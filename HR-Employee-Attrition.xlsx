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xml" ContentType="application/vnd.openxmlformats-officedocument.drawing+xml"/>
  <Override PartName="/xl/slicers/slicer2.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fef36966dbc052aa/Desktop/DS_course/Capstone Assignments/Excel/"/>
    </mc:Choice>
  </mc:AlternateContent>
  <xr:revisionPtr revIDLastSave="3344" documentId="8_{123FF73A-0D16-4845-9A7B-6DA3A7ABBBB0}" xr6:coauthVersionLast="47" xr6:coauthVersionMax="47" xr10:uidLastSave="{25FE94AE-BBCE-4FB4-BB33-A9748015F2CF}"/>
  <bookViews>
    <workbookView minimized="1" xWindow="-320000" yWindow="-320000" windowWidth="2370" windowHeight="560" activeTab="2" xr2:uid="{69434C15-1C5C-4759-A0D0-731FC4CF7C66}"/>
  </bookViews>
  <sheets>
    <sheet name="Data" sheetId="1" r:id="rId1"/>
    <sheet name="Pivots" sheetId="2" r:id="rId2"/>
    <sheet name="Dashboard" sheetId="5" r:id="rId3"/>
    <sheet name="Sheet1" sheetId="6" r:id="rId4"/>
  </sheets>
  <definedNames>
    <definedName name="Slicer_Age_Group">#N/A</definedName>
    <definedName name="Slicer_EnvironmentSatisfactionLabel">#N/A</definedName>
    <definedName name="Slicer_Gender">#N/A</definedName>
    <definedName name="Slicer_PercentSalaryHikeGroup">#N/A</definedName>
    <definedName name="Slicer_PerformanceRating">#N/A</definedName>
  </definedNames>
  <calcPr calcId="191029"/>
  <pivotCaches>
    <pivotCache cacheId="283"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3" i="1" l="1"/>
  <c r="AR2" i="1"/>
  <c r="AP5" i="1"/>
  <c r="AP2" i="1"/>
  <c r="AD23" i="1" a="1"/>
  <c r="AD23" i="1" s="1"/>
  <c r="AD2" i="1" a="1"/>
  <c r="AD2" i="1" s="1"/>
  <c r="AD3" i="1" a="1"/>
  <c r="AD3" i="1" s="1"/>
  <c r="AD4" i="1" a="1"/>
  <c r="AD4" i="1" s="1"/>
  <c r="AD5" i="1" a="1"/>
  <c r="AD5" i="1" s="1"/>
  <c r="AD6" i="1" a="1"/>
  <c r="AD6" i="1" s="1"/>
  <c r="AD7" i="1" a="1"/>
  <c r="AD7" i="1" s="1"/>
  <c r="AD8" i="1" a="1"/>
  <c r="AD8" i="1" s="1"/>
  <c r="AD9" i="1" a="1"/>
  <c r="AD9" i="1" s="1"/>
  <c r="AD10" i="1" a="1"/>
  <c r="AD10" i="1" s="1"/>
  <c r="AD11" i="1" a="1"/>
  <c r="AD11" i="1" s="1"/>
  <c r="AD12" i="1" a="1"/>
  <c r="AD12" i="1" s="1"/>
  <c r="AD13" i="1" a="1"/>
  <c r="AD13" i="1" s="1"/>
  <c r="AD14" i="1" a="1"/>
  <c r="AD14" i="1" s="1"/>
  <c r="AD15" i="1" a="1"/>
  <c r="AD15" i="1" s="1"/>
  <c r="AD16" i="1" a="1"/>
  <c r="AD16" i="1" s="1"/>
  <c r="AD17" i="1" a="1"/>
  <c r="AD17" i="1" s="1"/>
  <c r="AD18" i="1" a="1"/>
  <c r="AD18" i="1" s="1"/>
  <c r="AD19" i="1" a="1"/>
  <c r="AD19" i="1" s="1"/>
  <c r="AD20" i="1" a="1"/>
  <c r="AD20" i="1" s="1"/>
  <c r="AD21" i="1" a="1"/>
  <c r="AD21" i="1" s="1"/>
  <c r="AD22" i="1" a="1"/>
  <c r="AD22" i="1" s="1"/>
  <c r="AD24" i="1" a="1"/>
  <c r="AD24" i="1" s="1"/>
  <c r="AD25" i="1" a="1"/>
  <c r="AD25" i="1" s="1"/>
  <c r="AD26" i="1" a="1"/>
  <c r="AD26" i="1" s="1"/>
  <c r="AD27" i="1" a="1"/>
  <c r="AD27" i="1" s="1"/>
  <c r="AD28" i="1" a="1"/>
  <c r="AD28" i="1" s="1"/>
  <c r="AD29" i="1" a="1"/>
  <c r="AD29" i="1" s="1"/>
  <c r="AD30" i="1" a="1"/>
  <c r="AD30" i="1" s="1"/>
  <c r="AD31" i="1" a="1"/>
  <c r="AD31" i="1" s="1"/>
  <c r="AD32" i="1" a="1"/>
  <c r="AD32" i="1" s="1"/>
  <c r="AD33" i="1" a="1"/>
  <c r="AD33" i="1" s="1"/>
  <c r="AD34" i="1" a="1"/>
  <c r="AD34" i="1" s="1"/>
  <c r="AD35" i="1" a="1"/>
  <c r="AD35" i="1" s="1"/>
  <c r="AD36" i="1" a="1"/>
  <c r="AD36" i="1" s="1"/>
  <c r="AD37" i="1" a="1"/>
  <c r="AD37" i="1" s="1"/>
  <c r="AD38" i="1" a="1"/>
  <c r="AD38" i="1" s="1"/>
  <c r="AD39" i="1" a="1"/>
  <c r="AD39" i="1" s="1"/>
  <c r="AD40" i="1" a="1"/>
  <c r="AD40" i="1" s="1"/>
  <c r="AD41" i="1" a="1"/>
  <c r="AD41" i="1" s="1"/>
  <c r="AD42" i="1" a="1"/>
  <c r="AD42" i="1" s="1"/>
  <c r="AD43" i="1" a="1"/>
  <c r="AD43" i="1" s="1"/>
  <c r="AD44" i="1" a="1"/>
  <c r="AD44" i="1" s="1"/>
  <c r="AD45" i="1" a="1"/>
  <c r="AD45" i="1" s="1"/>
  <c r="AD46" i="1" a="1"/>
  <c r="AD46" i="1" s="1"/>
  <c r="AD47" i="1" a="1"/>
  <c r="AD47" i="1" s="1"/>
  <c r="AD48" i="1" a="1"/>
  <c r="AD48" i="1" s="1"/>
  <c r="AD49" i="1" a="1"/>
  <c r="AD49" i="1" s="1"/>
  <c r="AD50" i="1" a="1"/>
  <c r="AD50" i="1" s="1"/>
  <c r="AD51" i="1" a="1"/>
  <c r="AD51" i="1" s="1"/>
  <c r="AD52" i="1" a="1"/>
  <c r="AD52" i="1" s="1"/>
  <c r="AD53" i="1" a="1"/>
  <c r="AD53" i="1" s="1"/>
  <c r="AD54" i="1" a="1"/>
  <c r="AD54" i="1" s="1"/>
  <c r="AD55" i="1" a="1"/>
  <c r="AD55" i="1" s="1"/>
  <c r="AD56" i="1" a="1"/>
  <c r="AD56" i="1" s="1"/>
  <c r="AD57" i="1" a="1"/>
  <c r="AD57" i="1" s="1"/>
  <c r="AD58" i="1" a="1"/>
  <c r="AD58" i="1" s="1"/>
  <c r="AD59" i="1" a="1"/>
  <c r="AD59" i="1" s="1"/>
  <c r="AD60" i="1" a="1"/>
  <c r="AD60" i="1" s="1"/>
  <c r="AD61" i="1" a="1"/>
  <c r="AD61" i="1" s="1"/>
  <c r="AD62" i="1" a="1"/>
  <c r="AD62" i="1" s="1"/>
  <c r="AD63" i="1" a="1"/>
  <c r="AD63" i="1" s="1"/>
  <c r="AD64" i="1" a="1"/>
  <c r="AD64" i="1" s="1"/>
  <c r="AD65" i="1" a="1"/>
  <c r="AD65" i="1" s="1"/>
  <c r="AD66" i="1" a="1"/>
  <c r="AD66" i="1" s="1"/>
  <c r="AD67" i="1" a="1"/>
  <c r="AD67" i="1" s="1"/>
  <c r="AD68" i="1" a="1"/>
  <c r="AD68" i="1" s="1"/>
  <c r="AD69" i="1" a="1"/>
  <c r="AD69" i="1" s="1"/>
  <c r="AD70" i="1" a="1"/>
  <c r="AD70" i="1" s="1"/>
  <c r="AD71" i="1" a="1"/>
  <c r="AD71" i="1" s="1"/>
  <c r="AD72" i="1" a="1"/>
  <c r="AD72" i="1" s="1"/>
  <c r="AD73" i="1" a="1"/>
  <c r="AD73" i="1" s="1"/>
  <c r="AD74" i="1" a="1"/>
  <c r="AD74" i="1" s="1"/>
  <c r="AD75" i="1" a="1"/>
  <c r="AD75" i="1" s="1"/>
  <c r="AD76" i="1" a="1"/>
  <c r="AD76" i="1" s="1"/>
  <c r="AD77" i="1" a="1"/>
  <c r="AD77" i="1" s="1"/>
  <c r="AD78" i="1" a="1"/>
  <c r="AD78" i="1" s="1"/>
  <c r="AD79" i="1" a="1"/>
  <c r="AD79" i="1"/>
  <c r="AD80" i="1" a="1"/>
  <c r="AD80" i="1" s="1"/>
  <c r="AD81" i="1" a="1"/>
  <c r="AD81" i="1" s="1"/>
  <c r="AD82" i="1" a="1"/>
  <c r="AD82" i="1" s="1"/>
  <c r="AD83" i="1" a="1"/>
  <c r="AD83" i="1" s="1"/>
  <c r="AD84" i="1" a="1"/>
  <c r="AD84" i="1" s="1"/>
  <c r="AD85" i="1" a="1"/>
  <c r="AD85" i="1" s="1"/>
  <c r="AD86" i="1" a="1"/>
  <c r="AD86" i="1" s="1"/>
  <c r="AD87" i="1" a="1"/>
  <c r="AD87" i="1" s="1"/>
  <c r="AD88" i="1" a="1"/>
  <c r="AD88" i="1" s="1"/>
  <c r="AD89" i="1" a="1"/>
  <c r="AD89" i="1" s="1"/>
  <c r="AD90" i="1" a="1"/>
  <c r="AD90" i="1" s="1"/>
  <c r="AD91" i="1" a="1"/>
  <c r="AD91" i="1" s="1"/>
  <c r="AD92" i="1" a="1"/>
  <c r="AD92" i="1" s="1"/>
  <c r="AD93" i="1" a="1"/>
  <c r="AD93" i="1" s="1"/>
  <c r="AD94" i="1" a="1"/>
  <c r="AD94" i="1" s="1"/>
  <c r="AD95" i="1" a="1"/>
  <c r="AD95" i="1" s="1"/>
  <c r="AD96" i="1" a="1"/>
  <c r="AD96" i="1" s="1"/>
  <c r="AD97" i="1" a="1"/>
  <c r="AD97" i="1" s="1"/>
  <c r="AD98" i="1" a="1"/>
  <c r="AD98" i="1" s="1"/>
  <c r="AD99" i="1" a="1"/>
  <c r="AD99" i="1" s="1"/>
  <c r="AD100" i="1" a="1"/>
  <c r="AD100" i="1" s="1"/>
  <c r="AD101" i="1" a="1"/>
  <c r="AD101" i="1" s="1"/>
  <c r="AD102" i="1" a="1"/>
  <c r="AD102" i="1" s="1"/>
  <c r="AD103" i="1" a="1"/>
  <c r="AD103" i="1" s="1"/>
  <c r="AD104" i="1" a="1"/>
  <c r="AD104" i="1" s="1"/>
  <c r="AD105" i="1" a="1"/>
  <c r="AD105" i="1" s="1"/>
  <c r="AD106" i="1" a="1"/>
  <c r="AD106" i="1" s="1"/>
  <c r="AD107" i="1" a="1"/>
  <c r="AD107" i="1" s="1"/>
  <c r="AD108" i="1" a="1"/>
  <c r="AD108" i="1" s="1"/>
  <c r="AD109" i="1" a="1"/>
  <c r="AD109" i="1" s="1"/>
  <c r="AD110" i="1" a="1"/>
  <c r="AD110" i="1" s="1"/>
  <c r="AD111" i="1" a="1"/>
  <c r="AD111" i="1" s="1"/>
  <c r="AD112" i="1" a="1"/>
  <c r="AD112" i="1" s="1"/>
  <c r="AD113" i="1" a="1"/>
  <c r="AD113" i="1" s="1"/>
  <c r="AD114" i="1" a="1"/>
  <c r="AD114" i="1" s="1"/>
  <c r="AD115" i="1" a="1"/>
  <c r="AD115" i="1" s="1"/>
  <c r="AD116" i="1" a="1"/>
  <c r="AD116" i="1" s="1"/>
  <c r="AD117" i="1" a="1"/>
  <c r="AD117" i="1" s="1"/>
  <c r="AD118" i="1" a="1"/>
  <c r="AD118" i="1" s="1"/>
  <c r="AD119" i="1" a="1"/>
  <c r="AD119" i="1" s="1"/>
  <c r="AD120" i="1" a="1"/>
  <c r="AD120" i="1" s="1"/>
  <c r="AD121" i="1" a="1"/>
  <c r="AD121" i="1" s="1"/>
  <c r="AD122" i="1" a="1"/>
  <c r="AD122" i="1" s="1"/>
  <c r="AD123" i="1" a="1"/>
  <c r="AD123" i="1" s="1"/>
  <c r="AD124" i="1" a="1"/>
  <c r="AD124" i="1" s="1"/>
  <c r="AD125" i="1" a="1"/>
  <c r="AD125" i="1" s="1"/>
  <c r="AD126" i="1" a="1"/>
  <c r="AD126" i="1" s="1"/>
  <c r="AD127" i="1" a="1"/>
  <c r="AD127" i="1"/>
  <c r="AD128" i="1" a="1"/>
  <c r="AD128" i="1" s="1"/>
  <c r="AD129" i="1" a="1"/>
  <c r="AD129" i="1" s="1"/>
  <c r="AD130" i="1" a="1"/>
  <c r="AD130" i="1" s="1"/>
  <c r="AD131" i="1" a="1"/>
  <c r="AD131" i="1" s="1"/>
  <c r="AD132" i="1" a="1"/>
  <c r="AD132" i="1" s="1"/>
  <c r="AD133" i="1" a="1"/>
  <c r="AD133" i="1" s="1"/>
  <c r="AD134" i="1" a="1"/>
  <c r="AD134" i="1" s="1"/>
  <c r="AD135" i="1" a="1"/>
  <c r="AD135" i="1" s="1"/>
  <c r="AD136" i="1" a="1"/>
  <c r="AD136" i="1" s="1"/>
  <c r="AD137" i="1" a="1"/>
  <c r="AD137" i="1" s="1"/>
  <c r="AD138" i="1" a="1"/>
  <c r="AD138" i="1" s="1"/>
  <c r="AD139" i="1" a="1"/>
  <c r="AD139" i="1" s="1"/>
  <c r="AD140" i="1" a="1"/>
  <c r="AD140" i="1" s="1"/>
  <c r="AD141" i="1" a="1"/>
  <c r="AD141" i="1" s="1"/>
  <c r="AD142" i="1" a="1"/>
  <c r="AD142" i="1" s="1"/>
  <c r="AD143" i="1" a="1"/>
  <c r="AD143" i="1" s="1"/>
  <c r="AD144" i="1" a="1"/>
  <c r="AD144" i="1" s="1"/>
  <c r="AD145" i="1" a="1"/>
  <c r="AD145" i="1" s="1"/>
  <c r="AD146" i="1" a="1"/>
  <c r="AD146" i="1" s="1"/>
  <c r="AD147" i="1" a="1"/>
  <c r="AD147" i="1" s="1"/>
  <c r="AD148" i="1" a="1"/>
  <c r="AD148" i="1" s="1"/>
  <c r="AD149" i="1" a="1"/>
  <c r="AD149" i="1" s="1"/>
  <c r="AD150" i="1" a="1"/>
  <c r="AD150" i="1" s="1"/>
  <c r="AD151" i="1" a="1"/>
  <c r="AD151" i="1" s="1"/>
  <c r="AD152" i="1" a="1"/>
  <c r="AD152" i="1" s="1"/>
  <c r="AD153" i="1" a="1"/>
  <c r="AD153" i="1" s="1"/>
  <c r="AD154" i="1" a="1"/>
  <c r="AD154" i="1" s="1"/>
  <c r="AD155" i="1" a="1"/>
  <c r="AD155" i="1" s="1"/>
  <c r="AD156" i="1" a="1"/>
  <c r="AD156" i="1" s="1"/>
  <c r="AD157" i="1" a="1"/>
  <c r="AD157" i="1" s="1"/>
  <c r="AD158" i="1" a="1"/>
  <c r="AD158" i="1" s="1"/>
  <c r="AD159" i="1" a="1"/>
  <c r="AD159" i="1" s="1"/>
  <c r="AD160" i="1" a="1"/>
  <c r="AD160" i="1" s="1"/>
  <c r="AD161" i="1" a="1"/>
  <c r="AD161" i="1" s="1"/>
  <c r="AD162" i="1" a="1"/>
  <c r="AD162" i="1" s="1"/>
  <c r="AD163" i="1" a="1"/>
  <c r="AD163" i="1" s="1"/>
  <c r="AD164" i="1" a="1"/>
  <c r="AD164" i="1" s="1"/>
  <c r="AD165" i="1" a="1"/>
  <c r="AD165" i="1" s="1"/>
  <c r="AD166" i="1" a="1"/>
  <c r="AD166" i="1" s="1"/>
  <c r="AD167" i="1" a="1"/>
  <c r="AD167" i="1" s="1"/>
  <c r="AD168" i="1" a="1"/>
  <c r="AD168" i="1" s="1"/>
  <c r="AD169" i="1" a="1"/>
  <c r="AD169" i="1" s="1"/>
  <c r="AD170" i="1" a="1"/>
  <c r="AD170" i="1" s="1"/>
  <c r="AD171" i="1" a="1"/>
  <c r="AD171" i="1" s="1"/>
  <c r="AD172" i="1" a="1"/>
  <c r="AD172" i="1" s="1"/>
  <c r="AD173" i="1" a="1"/>
  <c r="AD173" i="1" s="1"/>
  <c r="AD174" i="1" a="1"/>
  <c r="AD174" i="1" s="1"/>
  <c r="AD175" i="1" a="1"/>
  <c r="AD175" i="1" s="1"/>
  <c r="AD176" i="1" a="1"/>
  <c r="AD176" i="1" s="1"/>
  <c r="AD177" i="1" a="1"/>
  <c r="AD177" i="1" s="1"/>
  <c r="AD178" i="1" a="1"/>
  <c r="AD178" i="1" s="1"/>
  <c r="AD179" i="1" a="1"/>
  <c r="AD179" i="1" s="1"/>
  <c r="AD180" i="1" a="1"/>
  <c r="AD180" i="1" s="1"/>
  <c r="AD181" i="1" a="1"/>
  <c r="AD181" i="1" s="1"/>
  <c r="AD182" i="1" a="1"/>
  <c r="AD182" i="1" s="1"/>
  <c r="AD183" i="1" a="1"/>
  <c r="AD183" i="1" s="1"/>
  <c r="AD184" i="1" a="1"/>
  <c r="AD184" i="1" s="1"/>
  <c r="AD185" i="1" a="1"/>
  <c r="AD185" i="1" s="1"/>
  <c r="AD186" i="1" a="1"/>
  <c r="AD186" i="1" s="1"/>
  <c r="AD187" i="1" a="1"/>
  <c r="AD187" i="1" s="1"/>
  <c r="AD188" i="1" a="1"/>
  <c r="AD188" i="1" s="1"/>
  <c r="AD189" i="1" a="1"/>
  <c r="AD189" i="1" s="1"/>
  <c r="AD190" i="1" a="1"/>
  <c r="AD190" i="1" s="1"/>
  <c r="AD191" i="1" a="1"/>
  <c r="AD191" i="1" s="1"/>
  <c r="AD192" i="1" a="1"/>
  <c r="AD192" i="1" s="1"/>
  <c r="AD193" i="1" a="1"/>
  <c r="AD193" i="1" s="1"/>
  <c r="AD194" i="1" a="1"/>
  <c r="AD194" i="1" s="1"/>
  <c r="AD195" i="1" a="1"/>
  <c r="AD195" i="1" s="1"/>
  <c r="AD196" i="1" a="1"/>
  <c r="AD196" i="1" s="1"/>
  <c r="AD197" i="1" a="1"/>
  <c r="AD197" i="1" s="1"/>
  <c r="AD198" i="1" a="1"/>
  <c r="AD198" i="1" s="1"/>
  <c r="AD199" i="1" a="1"/>
  <c r="AD199" i="1" s="1"/>
  <c r="AD200" i="1" a="1"/>
  <c r="AD200" i="1" s="1"/>
  <c r="AD201" i="1" a="1"/>
  <c r="AD201" i="1" s="1"/>
  <c r="AD202" i="1" a="1"/>
  <c r="AD202" i="1" s="1"/>
  <c r="AD203" i="1" a="1"/>
  <c r="AD203" i="1" s="1"/>
  <c r="AD204" i="1" a="1"/>
  <c r="AD204" i="1" s="1"/>
  <c r="AD205" i="1" a="1"/>
  <c r="AD205" i="1" s="1"/>
  <c r="AD206" i="1" a="1"/>
  <c r="AD206" i="1" s="1"/>
  <c r="AD207" i="1" a="1"/>
  <c r="AD207" i="1" s="1"/>
  <c r="AD208" i="1" a="1"/>
  <c r="AD208" i="1" s="1"/>
  <c r="AD209" i="1" a="1"/>
  <c r="AD209" i="1" s="1"/>
  <c r="AD210" i="1" a="1"/>
  <c r="AD210" i="1" s="1"/>
  <c r="AD211" i="1" a="1"/>
  <c r="AD211" i="1" s="1"/>
  <c r="AD212" i="1" a="1"/>
  <c r="AD212" i="1" s="1"/>
  <c r="AD213" i="1" a="1"/>
  <c r="AD213" i="1" s="1"/>
  <c r="AD214" i="1" a="1"/>
  <c r="AD214" i="1" s="1"/>
  <c r="AD215" i="1" a="1"/>
  <c r="AD215" i="1" s="1"/>
  <c r="AD216" i="1" a="1"/>
  <c r="AD216" i="1" s="1"/>
  <c r="AD217" i="1" a="1"/>
  <c r="AD217" i="1" s="1"/>
  <c r="AD218" i="1" a="1"/>
  <c r="AD218" i="1" s="1"/>
  <c r="AD219" i="1" a="1"/>
  <c r="AD219" i="1" s="1"/>
  <c r="AD220" i="1" a="1"/>
  <c r="AD220" i="1" s="1"/>
  <c r="AD221" i="1" a="1"/>
  <c r="AD221" i="1" s="1"/>
  <c r="AD222" i="1" a="1"/>
  <c r="AD222" i="1" s="1"/>
  <c r="AD223" i="1" a="1"/>
  <c r="AD223" i="1" s="1"/>
  <c r="AD224" i="1" a="1"/>
  <c r="AD224" i="1" s="1"/>
  <c r="AD225" i="1" a="1"/>
  <c r="AD225" i="1" s="1"/>
  <c r="AD226" i="1" a="1"/>
  <c r="AD226" i="1" s="1"/>
  <c r="AD227" i="1" a="1"/>
  <c r="AD227" i="1" s="1"/>
  <c r="AD228" i="1" a="1"/>
  <c r="AD228" i="1" s="1"/>
  <c r="AD229" i="1" a="1"/>
  <c r="AD229" i="1" s="1"/>
  <c r="AD230" i="1" a="1"/>
  <c r="AD230" i="1" s="1"/>
  <c r="AD231" i="1" a="1"/>
  <c r="AD231" i="1" s="1"/>
  <c r="AD232" i="1" a="1"/>
  <c r="AD232" i="1" s="1"/>
  <c r="AD233" i="1" a="1"/>
  <c r="AD233" i="1" s="1"/>
  <c r="AD234" i="1" a="1"/>
  <c r="AD234" i="1" s="1"/>
  <c r="AD235" i="1" a="1"/>
  <c r="AD235" i="1" s="1"/>
  <c r="AD236" i="1" a="1"/>
  <c r="AD236" i="1" s="1"/>
  <c r="AD237" i="1" a="1"/>
  <c r="AD237" i="1" s="1"/>
  <c r="AD238" i="1" a="1"/>
  <c r="AD238" i="1" s="1"/>
  <c r="AD239" i="1" a="1"/>
  <c r="AD239" i="1" s="1"/>
  <c r="AD240" i="1" a="1"/>
  <c r="AD240" i="1" s="1"/>
  <c r="AD241" i="1" a="1"/>
  <c r="AD241" i="1" s="1"/>
  <c r="AD242" i="1" a="1"/>
  <c r="AD242" i="1" s="1"/>
  <c r="AD243" i="1" a="1"/>
  <c r="AD243" i="1" s="1"/>
  <c r="AD244" i="1" a="1"/>
  <c r="AD244" i="1" s="1"/>
  <c r="AD245" i="1" a="1"/>
  <c r="AD245" i="1" s="1"/>
  <c r="AD246" i="1" a="1"/>
  <c r="AD246" i="1" s="1"/>
  <c r="AD247" i="1" a="1"/>
  <c r="AD247" i="1" s="1"/>
  <c r="AD248" i="1" a="1"/>
  <c r="AD248" i="1" s="1"/>
  <c r="AD249" i="1" a="1"/>
  <c r="AD249" i="1" s="1"/>
  <c r="AD250" i="1" a="1"/>
  <c r="AD250" i="1" s="1"/>
  <c r="AD251" i="1" a="1"/>
  <c r="AD251" i="1" s="1"/>
  <c r="AD252" i="1" a="1"/>
  <c r="AD252" i="1" s="1"/>
  <c r="AD253" i="1" a="1"/>
  <c r="AD253" i="1" s="1"/>
  <c r="AD254" i="1" a="1"/>
  <c r="AD254" i="1" s="1"/>
  <c r="AD255" i="1" a="1"/>
  <c r="AD255" i="1" s="1"/>
  <c r="AD256" i="1" a="1"/>
  <c r="AD256" i="1" s="1"/>
  <c r="AD257" i="1" a="1"/>
  <c r="AD257" i="1" s="1"/>
  <c r="AD258" i="1" a="1"/>
  <c r="AD258" i="1" s="1"/>
  <c r="AD259" i="1" a="1"/>
  <c r="AD259" i="1" s="1"/>
  <c r="AD260" i="1" a="1"/>
  <c r="AD260" i="1" s="1"/>
  <c r="AD261" i="1" a="1"/>
  <c r="AD261" i="1" s="1"/>
  <c r="AD262" i="1" a="1"/>
  <c r="AD262" i="1" s="1"/>
  <c r="AD263" i="1" a="1"/>
  <c r="AD263" i="1" s="1"/>
  <c r="AD264" i="1" a="1"/>
  <c r="AD264" i="1" s="1"/>
  <c r="AD265" i="1" a="1"/>
  <c r="AD265" i="1" s="1"/>
  <c r="AD266" i="1" a="1"/>
  <c r="AD266" i="1" s="1"/>
  <c r="AD267" i="1" a="1"/>
  <c r="AD267" i="1" s="1"/>
  <c r="AD268" i="1" a="1"/>
  <c r="AD268" i="1" s="1"/>
  <c r="AD269" i="1" a="1"/>
  <c r="AD269" i="1" s="1"/>
  <c r="AD270" i="1" a="1"/>
  <c r="AD270" i="1" s="1"/>
  <c r="AD271" i="1" a="1"/>
  <c r="AD271" i="1" s="1"/>
  <c r="AD272" i="1" a="1"/>
  <c r="AD272" i="1" s="1"/>
  <c r="AD273" i="1" a="1"/>
  <c r="AD273" i="1" s="1"/>
  <c r="AD274" i="1" a="1"/>
  <c r="AD274" i="1" s="1"/>
  <c r="AD275" i="1" a="1"/>
  <c r="AD275" i="1" s="1"/>
  <c r="AD276" i="1" a="1"/>
  <c r="AD276" i="1" s="1"/>
  <c r="AD277" i="1" a="1"/>
  <c r="AD277" i="1" s="1"/>
  <c r="AD278" i="1" a="1"/>
  <c r="AD278" i="1" s="1"/>
  <c r="AD279" i="1" a="1"/>
  <c r="AD279" i="1" s="1"/>
  <c r="AD280" i="1" a="1"/>
  <c r="AD280" i="1" s="1"/>
  <c r="AD281" i="1" a="1"/>
  <c r="AD281" i="1" s="1"/>
  <c r="AD282" i="1" a="1"/>
  <c r="AD282" i="1" s="1"/>
  <c r="AD283" i="1" a="1"/>
  <c r="AD283" i="1" s="1"/>
  <c r="AD284" i="1" a="1"/>
  <c r="AD284" i="1" s="1"/>
  <c r="AD285" i="1" a="1"/>
  <c r="AD285" i="1" s="1"/>
  <c r="AD286" i="1" a="1"/>
  <c r="AD286" i="1" s="1"/>
  <c r="AD287" i="1" a="1"/>
  <c r="AD287" i="1" s="1"/>
  <c r="AD288" i="1" a="1"/>
  <c r="AD288" i="1" s="1"/>
  <c r="AD289" i="1" a="1"/>
  <c r="AD289" i="1" s="1"/>
  <c r="AD290" i="1" a="1"/>
  <c r="AD290" i="1" s="1"/>
  <c r="AD291" i="1" a="1"/>
  <c r="AD291" i="1" s="1"/>
  <c r="AD292" i="1" a="1"/>
  <c r="AD292" i="1" s="1"/>
  <c r="AD293" i="1" a="1"/>
  <c r="AD293" i="1" s="1"/>
  <c r="AD294" i="1" a="1"/>
  <c r="AD294" i="1" s="1"/>
  <c r="AD295" i="1" a="1"/>
  <c r="AD295" i="1" s="1"/>
  <c r="AD296" i="1" a="1"/>
  <c r="AD296" i="1" s="1"/>
  <c r="AD297" i="1" a="1"/>
  <c r="AD297" i="1" s="1"/>
  <c r="AD298" i="1" a="1"/>
  <c r="AD298" i="1" s="1"/>
  <c r="AD299" i="1" a="1"/>
  <c r="AD299" i="1" s="1"/>
  <c r="AD300" i="1" a="1"/>
  <c r="AD300" i="1" s="1"/>
  <c r="AD301" i="1" a="1"/>
  <c r="AD301" i="1" s="1"/>
  <c r="AD302" i="1" a="1"/>
  <c r="AD302" i="1" s="1"/>
  <c r="AD303" i="1" a="1"/>
  <c r="AD303" i="1" s="1"/>
  <c r="AD304" i="1" a="1"/>
  <c r="AD304" i="1" s="1"/>
  <c r="AD305" i="1" a="1"/>
  <c r="AD305" i="1" s="1"/>
  <c r="AD306" i="1" a="1"/>
  <c r="AD306" i="1" s="1"/>
  <c r="AD307" i="1" a="1"/>
  <c r="AD307" i="1" s="1"/>
  <c r="AD308" i="1" a="1"/>
  <c r="AD308" i="1" s="1"/>
  <c r="AD309" i="1" a="1"/>
  <c r="AD309" i="1" s="1"/>
  <c r="AD310" i="1" a="1"/>
  <c r="AD310" i="1" s="1"/>
  <c r="AD311" i="1" a="1"/>
  <c r="AD311" i="1" s="1"/>
  <c r="AD312" i="1" a="1"/>
  <c r="AD312" i="1" s="1"/>
  <c r="AD313" i="1" a="1"/>
  <c r="AD313" i="1" s="1"/>
  <c r="AD314" i="1" a="1"/>
  <c r="AD314" i="1" s="1"/>
  <c r="AD315" i="1" a="1"/>
  <c r="AD315" i="1" s="1"/>
  <c r="AD316" i="1" a="1"/>
  <c r="AD316" i="1" s="1"/>
  <c r="AD317" i="1" a="1"/>
  <c r="AD317" i="1" s="1"/>
  <c r="AD318" i="1" a="1"/>
  <c r="AD318" i="1" s="1"/>
  <c r="AD319" i="1" a="1"/>
  <c r="AD319" i="1" s="1"/>
  <c r="AD320" i="1" a="1"/>
  <c r="AD320" i="1" s="1"/>
  <c r="AD321" i="1" a="1"/>
  <c r="AD321" i="1" s="1"/>
  <c r="AD322" i="1" a="1"/>
  <c r="AD322" i="1" s="1"/>
  <c r="AD323" i="1" a="1"/>
  <c r="AD323" i="1" s="1"/>
  <c r="AD324" i="1" a="1"/>
  <c r="AD324" i="1" s="1"/>
  <c r="AD325" i="1" a="1"/>
  <c r="AD325" i="1" s="1"/>
  <c r="AD326" i="1" a="1"/>
  <c r="AD326" i="1" s="1"/>
  <c r="AD327" i="1" a="1"/>
  <c r="AD327" i="1" s="1"/>
  <c r="AD328" i="1" a="1"/>
  <c r="AD328" i="1" s="1"/>
  <c r="AD329" i="1" a="1"/>
  <c r="AD329" i="1" s="1"/>
  <c r="AD330" i="1" a="1"/>
  <c r="AD330" i="1" s="1"/>
  <c r="AD331" i="1" a="1"/>
  <c r="AD331" i="1" s="1"/>
  <c r="AD332" i="1" a="1"/>
  <c r="AD332" i="1" s="1"/>
  <c r="AD333" i="1" a="1"/>
  <c r="AD333" i="1" s="1"/>
  <c r="AD334" i="1" a="1"/>
  <c r="AD334" i="1" s="1"/>
  <c r="AD335" i="1" a="1"/>
  <c r="AD335" i="1" s="1"/>
  <c r="AD336" i="1" a="1"/>
  <c r="AD336" i="1" s="1"/>
  <c r="AD337" i="1" a="1"/>
  <c r="AD337" i="1" s="1"/>
  <c r="AD338" i="1" a="1"/>
  <c r="AD338" i="1" s="1"/>
  <c r="AD339" i="1" a="1"/>
  <c r="AD339" i="1" s="1"/>
  <c r="AD340" i="1" a="1"/>
  <c r="AD340" i="1" s="1"/>
  <c r="AD341" i="1" a="1"/>
  <c r="AD341" i="1" s="1"/>
  <c r="AD342" i="1" a="1"/>
  <c r="AD342" i="1" s="1"/>
  <c r="AD343" i="1" a="1"/>
  <c r="AD343" i="1" s="1"/>
  <c r="AD344" i="1" a="1"/>
  <c r="AD344" i="1" s="1"/>
  <c r="AD345" i="1" a="1"/>
  <c r="AD345" i="1" s="1"/>
  <c r="AD346" i="1" a="1"/>
  <c r="AD346" i="1" s="1"/>
  <c r="AD347" i="1" a="1"/>
  <c r="AD347" i="1" s="1"/>
  <c r="AD348" i="1" a="1"/>
  <c r="AD348" i="1" s="1"/>
  <c r="AD349" i="1" a="1"/>
  <c r="AD349" i="1" s="1"/>
  <c r="AD350" i="1" a="1"/>
  <c r="AD350" i="1" s="1"/>
  <c r="AD351" i="1" a="1"/>
  <c r="AD351" i="1" s="1"/>
  <c r="AD352" i="1" a="1"/>
  <c r="AD352" i="1" s="1"/>
  <c r="AD353" i="1" a="1"/>
  <c r="AD353" i="1" s="1"/>
  <c r="AD354" i="1" a="1"/>
  <c r="AD354" i="1" s="1"/>
  <c r="AD355" i="1" a="1"/>
  <c r="AD355" i="1" s="1"/>
  <c r="AD356" i="1" a="1"/>
  <c r="AD356" i="1" s="1"/>
  <c r="AD357" i="1" a="1"/>
  <c r="AD357" i="1" s="1"/>
  <c r="AD358" i="1" a="1"/>
  <c r="AD358" i="1" s="1"/>
  <c r="AD359" i="1" a="1"/>
  <c r="AD359" i="1" s="1"/>
  <c r="AD360" i="1" a="1"/>
  <c r="AD360" i="1" s="1"/>
  <c r="AD361" i="1" a="1"/>
  <c r="AD361" i="1" s="1"/>
  <c r="AD362" i="1" a="1"/>
  <c r="AD362" i="1" s="1"/>
  <c r="AD363" i="1" a="1"/>
  <c r="AD363" i="1" s="1"/>
  <c r="AD364" i="1" a="1"/>
  <c r="AD364" i="1" s="1"/>
  <c r="AD365" i="1" a="1"/>
  <c r="AD365" i="1" s="1"/>
  <c r="AD366" i="1" a="1"/>
  <c r="AD366" i="1" s="1"/>
  <c r="AD367" i="1" a="1"/>
  <c r="AD367" i="1" s="1"/>
  <c r="AD368" i="1" a="1"/>
  <c r="AD368" i="1" s="1"/>
  <c r="AD369" i="1" a="1"/>
  <c r="AD369" i="1" s="1"/>
  <c r="AD370" i="1" a="1"/>
  <c r="AD370" i="1" s="1"/>
  <c r="AD371" i="1" a="1"/>
  <c r="AD371" i="1" s="1"/>
  <c r="AD372" i="1" a="1"/>
  <c r="AD372" i="1" s="1"/>
  <c r="AD373" i="1" a="1"/>
  <c r="AD373" i="1" s="1"/>
  <c r="AD374" i="1" a="1"/>
  <c r="AD374" i="1" s="1"/>
  <c r="AD375" i="1" a="1"/>
  <c r="AD375" i="1" s="1"/>
  <c r="AD376" i="1" a="1"/>
  <c r="AD376" i="1" s="1"/>
  <c r="AD377" i="1" a="1"/>
  <c r="AD377" i="1" s="1"/>
  <c r="AD378" i="1" a="1"/>
  <c r="AD378" i="1" s="1"/>
  <c r="AD379" i="1" a="1"/>
  <c r="AD379" i="1" s="1"/>
  <c r="AD380" i="1" a="1"/>
  <c r="AD380" i="1" s="1"/>
  <c r="AD381" i="1" a="1"/>
  <c r="AD381" i="1" s="1"/>
  <c r="AD382" i="1" a="1"/>
  <c r="AD382" i="1" s="1"/>
  <c r="AD383" i="1" a="1"/>
  <c r="AD383" i="1" s="1"/>
  <c r="AD384" i="1" a="1"/>
  <c r="AD384" i="1" s="1"/>
  <c r="AD385" i="1" a="1"/>
  <c r="AD385" i="1" s="1"/>
  <c r="AD386" i="1" a="1"/>
  <c r="AD386" i="1" s="1"/>
  <c r="AD387" i="1" a="1"/>
  <c r="AD387" i="1" s="1"/>
  <c r="AD388" i="1" a="1"/>
  <c r="AD388" i="1" s="1"/>
  <c r="AD389" i="1" a="1"/>
  <c r="AD389" i="1" s="1"/>
  <c r="AD390" i="1" a="1"/>
  <c r="AD390" i="1" s="1"/>
  <c r="AD391" i="1" a="1"/>
  <c r="AD391" i="1" s="1"/>
  <c r="AD392" i="1" a="1"/>
  <c r="AD392" i="1" s="1"/>
  <c r="AD393" i="1" a="1"/>
  <c r="AD393" i="1" s="1"/>
  <c r="AD394" i="1" a="1"/>
  <c r="AD394" i="1" s="1"/>
  <c r="AD395" i="1" a="1"/>
  <c r="AD395" i="1" s="1"/>
  <c r="AD396" i="1" a="1"/>
  <c r="AD396" i="1" s="1"/>
  <c r="AD397" i="1" a="1"/>
  <c r="AD397" i="1" s="1"/>
  <c r="AD398" i="1" a="1"/>
  <c r="AD398" i="1" s="1"/>
  <c r="AD399" i="1" a="1"/>
  <c r="AD399" i="1" s="1"/>
  <c r="AD400" i="1" a="1"/>
  <c r="AD400" i="1" s="1"/>
  <c r="AD401" i="1" a="1"/>
  <c r="AD401" i="1" s="1"/>
  <c r="AD402" i="1" a="1"/>
  <c r="AD402" i="1" s="1"/>
  <c r="AD403" i="1" a="1"/>
  <c r="AD403" i="1" s="1"/>
  <c r="AD404" i="1" a="1"/>
  <c r="AD404" i="1" s="1"/>
  <c r="AD405" i="1" a="1"/>
  <c r="AD405" i="1" s="1"/>
  <c r="AD406" i="1" a="1"/>
  <c r="AD406" i="1" s="1"/>
  <c r="AD407" i="1" a="1"/>
  <c r="AD407" i="1" s="1"/>
  <c r="AD408" i="1" a="1"/>
  <c r="AD408" i="1" s="1"/>
  <c r="AD409" i="1" a="1"/>
  <c r="AD409" i="1" s="1"/>
  <c r="AD410" i="1" a="1"/>
  <c r="AD410" i="1" s="1"/>
  <c r="AD411" i="1" a="1"/>
  <c r="AD411" i="1" s="1"/>
  <c r="AD412" i="1" a="1"/>
  <c r="AD412" i="1" s="1"/>
  <c r="AD413" i="1" a="1"/>
  <c r="AD413" i="1" s="1"/>
  <c r="AD414" i="1" a="1"/>
  <c r="AD414" i="1" s="1"/>
  <c r="AD415" i="1" a="1"/>
  <c r="AD415" i="1" s="1"/>
  <c r="AD416" i="1" a="1"/>
  <c r="AD416" i="1" s="1"/>
  <c r="AD417" i="1" a="1"/>
  <c r="AD417" i="1" s="1"/>
  <c r="AD418" i="1" a="1"/>
  <c r="AD418" i="1" s="1"/>
  <c r="AD419" i="1" a="1"/>
  <c r="AD419" i="1" s="1"/>
  <c r="AD420" i="1" a="1"/>
  <c r="AD420" i="1" s="1"/>
  <c r="AD421" i="1" a="1"/>
  <c r="AD421" i="1" s="1"/>
  <c r="AD422" i="1" a="1"/>
  <c r="AD422" i="1" s="1"/>
  <c r="AD423" i="1" a="1"/>
  <c r="AD423" i="1" s="1"/>
  <c r="AD424" i="1" a="1"/>
  <c r="AD424" i="1" s="1"/>
  <c r="AD425" i="1" a="1"/>
  <c r="AD425" i="1" s="1"/>
  <c r="AD426" i="1" a="1"/>
  <c r="AD426" i="1" s="1"/>
  <c r="AD427" i="1" a="1"/>
  <c r="AD427" i="1" s="1"/>
  <c r="AD428" i="1" a="1"/>
  <c r="AD428" i="1" s="1"/>
  <c r="AD429" i="1" a="1"/>
  <c r="AD429" i="1" s="1"/>
  <c r="AD430" i="1" a="1"/>
  <c r="AD430" i="1" s="1"/>
  <c r="AD431" i="1" a="1"/>
  <c r="AD431" i="1" s="1"/>
  <c r="AD432" i="1" a="1"/>
  <c r="AD432" i="1" s="1"/>
  <c r="AD433" i="1" a="1"/>
  <c r="AD433" i="1" s="1"/>
  <c r="AD434" i="1" a="1"/>
  <c r="AD434" i="1" s="1"/>
  <c r="AD435" i="1" a="1"/>
  <c r="AD435" i="1" s="1"/>
  <c r="AD436" i="1" a="1"/>
  <c r="AD436" i="1" s="1"/>
  <c r="AD437" i="1" a="1"/>
  <c r="AD437" i="1" s="1"/>
  <c r="AD438" i="1" a="1"/>
  <c r="AD438" i="1" s="1"/>
  <c r="AD439" i="1" a="1"/>
  <c r="AD439" i="1" s="1"/>
  <c r="AD440" i="1" a="1"/>
  <c r="AD440" i="1" s="1"/>
  <c r="AD441" i="1" a="1"/>
  <c r="AD441" i="1" s="1"/>
  <c r="AD442" i="1" a="1"/>
  <c r="AD442" i="1" s="1"/>
  <c r="AD443" i="1" a="1"/>
  <c r="AD443" i="1" s="1"/>
  <c r="AD444" i="1" a="1"/>
  <c r="AD444" i="1" s="1"/>
  <c r="AD445" i="1" a="1"/>
  <c r="AD445" i="1" s="1"/>
  <c r="AD446" i="1" a="1"/>
  <c r="AD446" i="1" s="1"/>
  <c r="AD447" i="1" a="1"/>
  <c r="AD447" i="1" s="1"/>
  <c r="AD448" i="1" a="1"/>
  <c r="AD448" i="1" s="1"/>
  <c r="AD449" i="1" a="1"/>
  <c r="AD449" i="1" s="1"/>
  <c r="AD450" i="1" a="1"/>
  <c r="AD450" i="1" s="1"/>
  <c r="AD451" i="1" a="1"/>
  <c r="AD451" i="1" s="1"/>
  <c r="AD452" i="1" a="1"/>
  <c r="AD452" i="1" s="1"/>
  <c r="AD453" i="1" a="1"/>
  <c r="AD453" i="1" s="1"/>
  <c r="AD454" i="1" a="1"/>
  <c r="AD454" i="1" s="1"/>
  <c r="AD455" i="1" a="1"/>
  <c r="AD455" i="1" s="1"/>
  <c r="AD456" i="1" a="1"/>
  <c r="AD456" i="1" s="1"/>
  <c r="AD457" i="1" a="1"/>
  <c r="AD457" i="1" s="1"/>
  <c r="AD458" i="1" a="1"/>
  <c r="AD458" i="1" s="1"/>
  <c r="AD459" i="1" a="1"/>
  <c r="AD459" i="1" s="1"/>
  <c r="AD460" i="1" a="1"/>
  <c r="AD460" i="1" s="1"/>
  <c r="AD461" i="1" a="1"/>
  <c r="AD461" i="1" s="1"/>
  <c r="AD462" i="1" a="1"/>
  <c r="AD462" i="1" s="1"/>
  <c r="AD463" i="1" a="1"/>
  <c r="AD463" i="1" s="1"/>
  <c r="AD464" i="1" a="1"/>
  <c r="AD464" i="1" s="1"/>
  <c r="AD465" i="1" a="1"/>
  <c r="AD465" i="1" s="1"/>
  <c r="AD466" i="1" a="1"/>
  <c r="AD466" i="1" s="1"/>
  <c r="AD467" i="1" a="1"/>
  <c r="AD467" i="1" s="1"/>
  <c r="AD468" i="1" a="1"/>
  <c r="AD468" i="1" s="1"/>
  <c r="AD469" i="1" a="1"/>
  <c r="AD469" i="1" s="1"/>
  <c r="AD470" i="1" a="1"/>
  <c r="AD470" i="1" s="1"/>
  <c r="AD471" i="1" a="1"/>
  <c r="AD471" i="1" s="1"/>
  <c r="AD472" i="1" a="1"/>
  <c r="AD472" i="1" s="1"/>
  <c r="AD473" i="1" a="1"/>
  <c r="AD473" i="1" s="1"/>
  <c r="AD474" i="1" a="1"/>
  <c r="AD474" i="1" s="1"/>
  <c r="AD475" i="1" a="1"/>
  <c r="AD475" i="1" s="1"/>
  <c r="AD476" i="1" a="1"/>
  <c r="AD476" i="1" s="1"/>
  <c r="AD477" i="1" a="1"/>
  <c r="AD477" i="1" s="1"/>
  <c r="AD478" i="1" a="1"/>
  <c r="AD478" i="1" s="1"/>
  <c r="AD479" i="1" a="1"/>
  <c r="AD479" i="1" s="1"/>
  <c r="AD480" i="1" a="1"/>
  <c r="AD480" i="1" s="1"/>
  <c r="AD481" i="1" a="1"/>
  <c r="AD481" i="1" s="1"/>
  <c r="AD482" i="1" a="1"/>
  <c r="AD482" i="1" s="1"/>
  <c r="AD483" i="1" a="1"/>
  <c r="AD483" i="1" s="1"/>
  <c r="AD484" i="1" a="1"/>
  <c r="AD484" i="1" s="1"/>
  <c r="AD485" i="1" a="1"/>
  <c r="AD485" i="1" s="1"/>
  <c r="AD486" i="1" a="1"/>
  <c r="AD486" i="1"/>
  <c r="AD487" i="1" a="1"/>
  <c r="AD487" i="1" s="1"/>
  <c r="AD488" i="1" a="1"/>
  <c r="AD488" i="1" s="1"/>
  <c r="AD489" i="1" a="1"/>
  <c r="AD489" i="1" s="1"/>
  <c r="AD490" i="1" a="1"/>
  <c r="AD490" i="1" s="1"/>
  <c r="AD491" i="1" a="1"/>
  <c r="AD491" i="1" s="1"/>
  <c r="AD492" i="1" a="1"/>
  <c r="AD492" i="1" s="1"/>
  <c r="AD493" i="1" a="1"/>
  <c r="AD493" i="1" s="1"/>
  <c r="AD494" i="1" a="1"/>
  <c r="AD494" i="1" s="1"/>
  <c r="AD495" i="1" a="1"/>
  <c r="AD495" i="1" s="1"/>
  <c r="AD496" i="1" a="1"/>
  <c r="AD496" i="1" s="1"/>
  <c r="AD497" i="1" a="1"/>
  <c r="AD497" i="1" s="1"/>
  <c r="AD498" i="1" a="1"/>
  <c r="AD498" i="1" s="1"/>
  <c r="AD499" i="1" a="1"/>
  <c r="AD499" i="1" s="1"/>
  <c r="AD500" i="1" a="1"/>
  <c r="AD500" i="1" s="1"/>
  <c r="AD501" i="1" a="1"/>
  <c r="AD501" i="1" s="1"/>
  <c r="AD502" i="1" a="1"/>
  <c r="AD502" i="1" s="1"/>
  <c r="AD503" i="1" a="1"/>
  <c r="AD503" i="1" s="1"/>
  <c r="AD504" i="1" a="1"/>
  <c r="AD504" i="1" s="1"/>
  <c r="AD505" i="1" a="1"/>
  <c r="AD505" i="1" s="1"/>
  <c r="AD506" i="1" a="1"/>
  <c r="AD506" i="1" s="1"/>
  <c r="AD507" i="1" a="1"/>
  <c r="AD507" i="1" s="1"/>
  <c r="AD508" i="1" a="1"/>
  <c r="AD508" i="1" s="1"/>
  <c r="AD509" i="1" a="1"/>
  <c r="AD509" i="1" s="1"/>
  <c r="AD510" i="1" a="1"/>
  <c r="AD510" i="1" s="1"/>
  <c r="AD511" i="1" a="1"/>
  <c r="AD511" i="1" s="1"/>
  <c r="AD512" i="1" a="1"/>
  <c r="AD512" i="1" s="1"/>
  <c r="AD513" i="1" a="1"/>
  <c r="AD513" i="1" s="1"/>
  <c r="AD514" i="1" a="1"/>
  <c r="AD514" i="1" s="1"/>
  <c r="AD515" i="1" a="1"/>
  <c r="AD515" i="1" s="1"/>
  <c r="AD516" i="1" a="1"/>
  <c r="AD516" i="1" s="1"/>
  <c r="AD517" i="1" a="1"/>
  <c r="AD517" i="1" s="1"/>
  <c r="AD518" i="1" a="1"/>
  <c r="AD518" i="1" s="1"/>
  <c r="AD519" i="1" a="1"/>
  <c r="AD519" i="1" s="1"/>
  <c r="AD520" i="1" a="1"/>
  <c r="AD520" i="1" s="1"/>
  <c r="AD521" i="1" a="1"/>
  <c r="AD521" i="1" s="1"/>
  <c r="AD522" i="1" a="1"/>
  <c r="AD522" i="1" s="1"/>
  <c r="AD523" i="1" a="1"/>
  <c r="AD523" i="1" s="1"/>
  <c r="AD524" i="1" a="1"/>
  <c r="AD524" i="1" s="1"/>
  <c r="AD525" i="1" a="1"/>
  <c r="AD525" i="1" s="1"/>
  <c r="AD526" i="1" a="1"/>
  <c r="AD526" i="1" s="1"/>
  <c r="AD527" i="1" a="1"/>
  <c r="AD527" i="1" s="1"/>
  <c r="AD528" i="1" a="1"/>
  <c r="AD528" i="1" s="1"/>
  <c r="AD529" i="1" a="1"/>
  <c r="AD529" i="1" s="1"/>
  <c r="AD530" i="1" a="1"/>
  <c r="AD530" i="1" s="1"/>
  <c r="AD531" i="1" a="1"/>
  <c r="AD531" i="1" s="1"/>
  <c r="AD532" i="1" a="1"/>
  <c r="AD532" i="1" s="1"/>
  <c r="AD533" i="1" a="1"/>
  <c r="AD533" i="1" s="1"/>
  <c r="AD534" i="1" a="1"/>
  <c r="AD534" i="1" s="1"/>
  <c r="AD535" i="1" a="1"/>
  <c r="AD535" i="1" s="1"/>
  <c r="AD536" i="1" a="1"/>
  <c r="AD536" i="1" s="1"/>
  <c r="AD537" i="1" a="1"/>
  <c r="AD537" i="1" s="1"/>
  <c r="AD538" i="1" a="1"/>
  <c r="AD538" i="1" s="1"/>
  <c r="AD539" i="1" a="1"/>
  <c r="AD539" i="1" s="1"/>
  <c r="AD540" i="1" a="1"/>
  <c r="AD540" i="1" s="1"/>
  <c r="AD541" i="1" a="1"/>
  <c r="AD541" i="1" s="1"/>
  <c r="AD542" i="1" a="1"/>
  <c r="AD542" i="1" s="1"/>
  <c r="AD543" i="1" a="1"/>
  <c r="AD543" i="1" s="1"/>
  <c r="AD544" i="1" a="1"/>
  <c r="AD544" i="1" s="1"/>
  <c r="AD545" i="1" a="1"/>
  <c r="AD545" i="1" s="1"/>
  <c r="AD546" i="1" a="1"/>
  <c r="AD546" i="1" s="1"/>
  <c r="AD547" i="1" a="1"/>
  <c r="AD547" i="1" s="1"/>
  <c r="AD548" i="1" a="1"/>
  <c r="AD548" i="1" s="1"/>
  <c r="AD549" i="1" a="1"/>
  <c r="AD549" i="1" s="1"/>
  <c r="AD550" i="1" a="1"/>
  <c r="AD550" i="1" s="1"/>
  <c r="AD551" i="1" a="1"/>
  <c r="AD551" i="1" s="1"/>
  <c r="AD552" i="1" a="1"/>
  <c r="AD552" i="1" s="1"/>
  <c r="AD553" i="1" a="1"/>
  <c r="AD553" i="1" s="1"/>
  <c r="AD554" i="1" a="1"/>
  <c r="AD554" i="1" s="1"/>
  <c r="AD555" i="1" a="1"/>
  <c r="AD555" i="1" s="1"/>
  <c r="AD556" i="1" a="1"/>
  <c r="AD556" i="1" s="1"/>
  <c r="AD557" i="1" a="1"/>
  <c r="AD557" i="1" s="1"/>
  <c r="AD558" i="1" a="1"/>
  <c r="AD558" i="1" s="1"/>
  <c r="AD559" i="1" a="1"/>
  <c r="AD559" i="1" s="1"/>
  <c r="AD560" i="1" a="1"/>
  <c r="AD560" i="1" s="1"/>
  <c r="AD561" i="1" a="1"/>
  <c r="AD561" i="1" s="1"/>
  <c r="AD562" i="1" a="1"/>
  <c r="AD562" i="1" s="1"/>
  <c r="AD563" i="1" a="1"/>
  <c r="AD563" i="1" s="1"/>
  <c r="AD564" i="1" a="1"/>
  <c r="AD564" i="1"/>
  <c r="AD565" i="1" a="1"/>
  <c r="AD565" i="1" s="1"/>
  <c r="AD566" i="1" a="1"/>
  <c r="AD566" i="1" s="1"/>
  <c r="AD567" i="1" a="1"/>
  <c r="AD567" i="1" s="1"/>
  <c r="AD568" i="1" a="1"/>
  <c r="AD568" i="1" s="1"/>
  <c r="AD569" i="1" a="1"/>
  <c r="AD569" i="1" s="1"/>
  <c r="AD570" i="1" a="1"/>
  <c r="AD570" i="1" s="1"/>
  <c r="AD571" i="1" a="1"/>
  <c r="AD571" i="1" s="1"/>
  <c r="AD572" i="1" a="1"/>
  <c r="AD572" i="1" s="1"/>
  <c r="AD573" i="1" a="1"/>
  <c r="AD573" i="1" s="1"/>
  <c r="AD574" i="1" a="1"/>
  <c r="AD574" i="1" s="1"/>
  <c r="AD575" i="1" a="1"/>
  <c r="AD575" i="1" s="1"/>
  <c r="AD576" i="1" a="1"/>
  <c r="AD576" i="1" s="1"/>
  <c r="AD577" i="1" a="1"/>
  <c r="AD577" i="1" s="1"/>
  <c r="AD578" i="1" a="1"/>
  <c r="AD578" i="1" s="1"/>
  <c r="AD579" i="1" a="1"/>
  <c r="AD579" i="1" s="1"/>
  <c r="AD580" i="1" a="1"/>
  <c r="AD580" i="1" s="1"/>
  <c r="AD581" i="1" a="1"/>
  <c r="AD581" i="1" s="1"/>
  <c r="AD582" i="1" a="1"/>
  <c r="AD582" i="1" s="1"/>
  <c r="AD583" i="1" a="1"/>
  <c r="AD583" i="1" s="1"/>
  <c r="AD584" i="1" a="1"/>
  <c r="AD584" i="1" s="1"/>
  <c r="AD585" i="1" a="1"/>
  <c r="AD585" i="1" s="1"/>
  <c r="AD586" i="1" a="1"/>
  <c r="AD586" i="1" s="1"/>
  <c r="AD587" i="1" a="1"/>
  <c r="AD587" i="1" s="1"/>
  <c r="AD588" i="1" a="1"/>
  <c r="AD588" i="1" s="1"/>
  <c r="AD589" i="1" a="1"/>
  <c r="AD589" i="1" s="1"/>
  <c r="AD590" i="1" a="1"/>
  <c r="AD590" i="1" s="1"/>
  <c r="AD591" i="1" a="1"/>
  <c r="AD591" i="1" s="1"/>
  <c r="AD592" i="1" a="1"/>
  <c r="AD592" i="1" s="1"/>
  <c r="AD593" i="1" a="1"/>
  <c r="AD593" i="1" s="1"/>
  <c r="AD594" i="1" a="1"/>
  <c r="AD594" i="1" s="1"/>
  <c r="AD595" i="1" a="1"/>
  <c r="AD595" i="1" s="1"/>
  <c r="AD596" i="1" a="1"/>
  <c r="AD596" i="1" s="1"/>
  <c r="AD597" i="1" a="1"/>
  <c r="AD597" i="1" s="1"/>
  <c r="AD598" i="1" a="1"/>
  <c r="AD598" i="1" s="1"/>
  <c r="AD599" i="1" a="1"/>
  <c r="AD599" i="1" s="1"/>
  <c r="AD600" i="1" a="1"/>
  <c r="AD600" i="1" s="1"/>
  <c r="AD601" i="1" a="1"/>
  <c r="AD601" i="1" s="1"/>
  <c r="AD602" i="1" a="1"/>
  <c r="AD602" i="1" s="1"/>
  <c r="AD603" i="1" a="1"/>
  <c r="AD603" i="1" s="1"/>
  <c r="AD604" i="1" a="1"/>
  <c r="AD604" i="1" s="1"/>
  <c r="AD605" i="1" a="1"/>
  <c r="AD605" i="1" s="1"/>
  <c r="AD606" i="1" a="1"/>
  <c r="AD606" i="1" s="1"/>
  <c r="AD607" i="1" a="1"/>
  <c r="AD607" i="1" s="1"/>
  <c r="AD608" i="1" a="1"/>
  <c r="AD608" i="1" s="1"/>
  <c r="AD609" i="1" a="1"/>
  <c r="AD609" i="1" s="1"/>
  <c r="AD610" i="1" a="1"/>
  <c r="AD610" i="1" s="1"/>
  <c r="AD611" i="1" a="1"/>
  <c r="AD611" i="1" s="1"/>
  <c r="AD612" i="1" a="1"/>
  <c r="AD612" i="1" s="1"/>
  <c r="AD613" i="1" a="1"/>
  <c r="AD613" i="1" s="1"/>
  <c r="AD614" i="1" a="1"/>
  <c r="AD614" i="1" s="1"/>
  <c r="AD615" i="1" a="1"/>
  <c r="AD615" i="1" s="1"/>
  <c r="AD616" i="1" a="1"/>
  <c r="AD616" i="1" s="1"/>
  <c r="AD617" i="1" a="1"/>
  <c r="AD617" i="1" s="1"/>
  <c r="AD618" i="1" a="1"/>
  <c r="AD618" i="1" s="1"/>
  <c r="AD619" i="1" a="1"/>
  <c r="AD619" i="1" s="1"/>
  <c r="AD620" i="1" a="1"/>
  <c r="AD620" i="1" s="1"/>
  <c r="AD621" i="1" a="1"/>
  <c r="AD621" i="1" s="1"/>
  <c r="AD622" i="1" a="1"/>
  <c r="AD622" i="1" s="1"/>
  <c r="AD623" i="1" a="1"/>
  <c r="AD623" i="1" s="1"/>
  <c r="AD624" i="1" a="1"/>
  <c r="AD624" i="1" s="1"/>
  <c r="AD625" i="1" a="1"/>
  <c r="AD625" i="1" s="1"/>
  <c r="AD626" i="1" a="1"/>
  <c r="AD626" i="1" s="1"/>
  <c r="AD627" i="1" a="1"/>
  <c r="AD627" i="1" s="1"/>
  <c r="AD628" i="1" a="1"/>
  <c r="AD628" i="1"/>
  <c r="AD629" i="1" a="1"/>
  <c r="AD629" i="1" s="1"/>
  <c r="AD630" i="1" a="1"/>
  <c r="AD630" i="1" s="1"/>
  <c r="AD631" i="1" a="1"/>
  <c r="AD631" i="1" s="1"/>
  <c r="AD632" i="1" a="1"/>
  <c r="AD632" i="1" s="1"/>
  <c r="AD633" i="1" a="1"/>
  <c r="AD633" i="1" s="1"/>
  <c r="AD634" i="1" a="1"/>
  <c r="AD634" i="1" s="1"/>
  <c r="AD635" i="1" a="1"/>
  <c r="AD635" i="1" s="1"/>
  <c r="AD636" i="1" a="1"/>
  <c r="AD636" i="1" s="1"/>
  <c r="AD637" i="1" a="1"/>
  <c r="AD637" i="1" s="1"/>
  <c r="AD638" i="1" a="1"/>
  <c r="AD638" i="1" s="1"/>
  <c r="AD639" i="1" a="1"/>
  <c r="AD639" i="1" s="1"/>
  <c r="AD640" i="1" a="1"/>
  <c r="AD640" i="1" s="1"/>
  <c r="AD641" i="1" a="1"/>
  <c r="AD641" i="1" s="1"/>
  <c r="AD642" i="1" a="1"/>
  <c r="AD642" i="1" s="1"/>
  <c r="AD643" i="1" a="1"/>
  <c r="AD643" i="1" s="1"/>
  <c r="AD644" i="1" a="1"/>
  <c r="AD644" i="1" s="1"/>
  <c r="AD645" i="1" a="1"/>
  <c r="AD645" i="1" s="1"/>
  <c r="AD646" i="1" a="1"/>
  <c r="AD646" i="1" s="1"/>
  <c r="AD647" i="1" a="1"/>
  <c r="AD647" i="1" s="1"/>
  <c r="AD648" i="1" a="1"/>
  <c r="AD648" i="1" s="1"/>
  <c r="AD649" i="1" a="1"/>
  <c r="AD649" i="1" s="1"/>
  <c r="AD650" i="1" a="1"/>
  <c r="AD650" i="1" s="1"/>
  <c r="AD651" i="1" a="1"/>
  <c r="AD651" i="1" s="1"/>
  <c r="AD652" i="1" a="1"/>
  <c r="AD652" i="1" s="1"/>
  <c r="AD653" i="1" a="1"/>
  <c r="AD653" i="1" s="1"/>
  <c r="AD654" i="1" a="1"/>
  <c r="AD654" i="1" s="1"/>
  <c r="AD655" i="1" a="1"/>
  <c r="AD655" i="1" s="1"/>
  <c r="AD656" i="1" a="1"/>
  <c r="AD656" i="1" s="1"/>
  <c r="AD657" i="1" a="1"/>
  <c r="AD657" i="1" s="1"/>
  <c r="AD658" i="1" a="1"/>
  <c r="AD658" i="1" s="1"/>
  <c r="AD659" i="1" a="1"/>
  <c r="AD659" i="1" s="1"/>
  <c r="AD660" i="1" a="1"/>
  <c r="AD660" i="1" s="1"/>
  <c r="AD661" i="1" a="1"/>
  <c r="AD661" i="1" s="1"/>
  <c r="AD662" i="1" a="1"/>
  <c r="AD662" i="1" s="1"/>
  <c r="AD663" i="1" a="1"/>
  <c r="AD663" i="1" s="1"/>
  <c r="AD664" i="1" a="1"/>
  <c r="AD664" i="1" s="1"/>
  <c r="AD665" i="1" a="1"/>
  <c r="AD665" i="1" s="1"/>
  <c r="AD666" i="1" a="1"/>
  <c r="AD666" i="1" s="1"/>
  <c r="AD667" i="1" a="1"/>
  <c r="AD667" i="1" s="1"/>
  <c r="AD668" i="1" a="1"/>
  <c r="AD668" i="1" s="1"/>
  <c r="AD669" i="1" a="1"/>
  <c r="AD669" i="1" s="1"/>
  <c r="AD670" i="1" a="1"/>
  <c r="AD670" i="1" s="1"/>
  <c r="AD671" i="1" a="1"/>
  <c r="AD671" i="1" s="1"/>
  <c r="AD672" i="1" a="1"/>
  <c r="AD672" i="1" s="1"/>
  <c r="AD673" i="1" a="1"/>
  <c r="AD673" i="1" s="1"/>
  <c r="AD674" i="1" a="1"/>
  <c r="AD674" i="1" s="1"/>
  <c r="AD675" i="1" a="1"/>
  <c r="AD675" i="1" s="1"/>
  <c r="AD676" i="1" a="1"/>
  <c r="AD676" i="1" s="1"/>
  <c r="AD677" i="1" a="1"/>
  <c r="AD677" i="1" s="1"/>
  <c r="AD678" i="1" a="1"/>
  <c r="AD678" i="1" s="1"/>
  <c r="AD679" i="1" a="1"/>
  <c r="AD679" i="1" s="1"/>
  <c r="AD680" i="1" a="1"/>
  <c r="AD680" i="1" s="1"/>
  <c r="AD681" i="1" a="1"/>
  <c r="AD681" i="1" s="1"/>
  <c r="AD682" i="1" a="1"/>
  <c r="AD682" i="1" s="1"/>
  <c r="AD683" i="1" a="1"/>
  <c r="AD683" i="1" s="1"/>
  <c r="AD684" i="1" a="1"/>
  <c r="AD684" i="1" s="1"/>
  <c r="AD685" i="1" a="1"/>
  <c r="AD685" i="1" s="1"/>
  <c r="AD686" i="1" a="1"/>
  <c r="AD686" i="1" s="1"/>
  <c r="AD687" i="1" a="1"/>
  <c r="AD687" i="1" s="1"/>
  <c r="AD688" i="1" a="1"/>
  <c r="AD688" i="1" s="1"/>
  <c r="AD689" i="1" a="1"/>
  <c r="AD689" i="1" s="1"/>
  <c r="AD690" i="1" a="1"/>
  <c r="AD690" i="1" s="1"/>
  <c r="AD691" i="1" a="1"/>
  <c r="AD691" i="1" s="1"/>
  <c r="AD692" i="1" a="1"/>
  <c r="AD692" i="1" s="1"/>
  <c r="AD693" i="1" a="1"/>
  <c r="AD693" i="1" s="1"/>
  <c r="AD694" i="1" a="1"/>
  <c r="AD694" i="1" s="1"/>
  <c r="AD695" i="1" a="1"/>
  <c r="AD695" i="1" s="1"/>
  <c r="AD696" i="1" a="1"/>
  <c r="AD696" i="1" s="1"/>
  <c r="AD697" i="1" a="1"/>
  <c r="AD697" i="1" s="1"/>
  <c r="AD698" i="1" a="1"/>
  <c r="AD698" i="1" s="1"/>
  <c r="AD699" i="1" a="1"/>
  <c r="AD699" i="1" s="1"/>
  <c r="AD700" i="1" a="1"/>
  <c r="AD700" i="1" s="1"/>
  <c r="AD701" i="1" a="1"/>
  <c r="AD701" i="1" s="1"/>
  <c r="AD702" i="1" a="1"/>
  <c r="AD702" i="1" s="1"/>
  <c r="AD703" i="1" a="1"/>
  <c r="AD703" i="1" s="1"/>
  <c r="AD704" i="1" a="1"/>
  <c r="AD704" i="1" s="1"/>
  <c r="AD705" i="1" a="1"/>
  <c r="AD705" i="1" s="1"/>
  <c r="AD706" i="1" a="1"/>
  <c r="AD706" i="1" s="1"/>
  <c r="AD707" i="1" a="1"/>
  <c r="AD707" i="1" s="1"/>
  <c r="AD708" i="1" a="1"/>
  <c r="AD708" i="1" s="1"/>
  <c r="AD709" i="1" a="1"/>
  <c r="AD709" i="1" s="1"/>
  <c r="AD710" i="1" a="1"/>
  <c r="AD710" i="1" s="1"/>
  <c r="AD711" i="1" a="1"/>
  <c r="AD711" i="1" s="1"/>
  <c r="AD712" i="1" a="1"/>
  <c r="AD712" i="1" s="1"/>
  <c r="AD713" i="1" a="1"/>
  <c r="AD713" i="1" s="1"/>
  <c r="AD714" i="1" a="1"/>
  <c r="AD714" i="1" s="1"/>
  <c r="AD715" i="1" a="1"/>
  <c r="AD715" i="1" s="1"/>
  <c r="AD716" i="1" a="1"/>
  <c r="AD716" i="1" s="1"/>
  <c r="AD717" i="1" a="1"/>
  <c r="AD717" i="1" s="1"/>
  <c r="AD718" i="1" a="1"/>
  <c r="AD718" i="1" s="1"/>
  <c r="AD719" i="1" a="1"/>
  <c r="AD719" i="1" s="1"/>
  <c r="AD720" i="1" a="1"/>
  <c r="AD720" i="1" s="1"/>
  <c r="AD721" i="1" a="1"/>
  <c r="AD721" i="1" s="1"/>
  <c r="AD722" i="1" a="1"/>
  <c r="AD722" i="1" s="1"/>
  <c r="AD723" i="1" a="1"/>
  <c r="AD723" i="1" s="1"/>
  <c r="AD724" i="1" a="1"/>
  <c r="AD724" i="1" s="1"/>
  <c r="AD725" i="1" a="1"/>
  <c r="AD725" i="1" s="1"/>
  <c r="AD726" i="1" a="1"/>
  <c r="AD726" i="1" s="1"/>
  <c r="AD727" i="1" a="1"/>
  <c r="AD727" i="1" s="1"/>
  <c r="AD728" i="1" a="1"/>
  <c r="AD728" i="1" s="1"/>
  <c r="AD729" i="1" a="1"/>
  <c r="AD729" i="1" s="1"/>
  <c r="AD730" i="1" a="1"/>
  <c r="AD730" i="1" s="1"/>
  <c r="AD731" i="1" a="1"/>
  <c r="AD731" i="1" s="1"/>
  <c r="AD732" i="1" a="1"/>
  <c r="AD732" i="1" s="1"/>
  <c r="AD733" i="1" a="1"/>
  <c r="AD733" i="1" s="1"/>
  <c r="AD734" i="1" a="1"/>
  <c r="AD734" i="1" s="1"/>
  <c r="AD735" i="1" a="1"/>
  <c r="AD735" i="1" s="1"/>
  <c r="AD736" i="1" a="1"/>
  <c r="AD736" i="1" s="1"/>
  <c r="AD737" i="1" a="1"/>
  <c r="AD737" i="1" s="1"/>
  <c r="AD738" i="1" a="1"/>
  <c r="AD738" i="1" s="1"/>
  <c r="AD739" i="1" a="1"/>
  <c r="AD739" i="1" s="1"/>
  <c r="AD740" i="1" a="1"/>
  <c r="AD740" i="1" s="1"/>
  <c r="AD741" i="1" a="1"/>
  <c r="AD741" i="1" s="1"/>
  <c r="AD742" i="1" a="1"/>
  <c r="AD742" i="1" s="1"/>
  <c r="AD743" i="1" a="1"/>
  <c r="AD743" i="1" s="1"/>
  <c r="AD744" i="1" a="1"/>
  <c r="AD744" i="1" s="1"/>
  <c r="AD745" i="1" a="1"/>
  <c r="AD745" i="1" s="1"/>
  <c r="AD746" i="1" a="1"/>
  <c r="AD746" i="1" s="1"/>
  <c r="AD747" i="1" a="1"/>
  <c r="AD747" i="1" s="1"/>
  <c r="AD748" i="1" a="1"/>
  <c r="AD748" i="1" s="1"/>
  <c r="AD749" i="1" a="1"/>
  <c r="AD749" i="1" s="1"/>
  <c r="AD750" i="1" a="1"/>
  <c r="AD750" i="1" s="1"/>
  <c r="AD751" i="1" a="1"/>
  <c r="AD751" i="1" s="1"/>
  <c r="AD752" i="1" a="1"/>
  <c r="AD752" i="1" s="1"/>
  <c r="AD753" i="1" a="1"/>
  <c r="AD753" i="1" s="1"/>
  <c r="AD754" i="1" a="1"/>
  <c r="AD754" i="1" s="1"/>
  <c r="AD755" i="1" a="1"/>
  <c r="AD755" i="1" s="1"/>
  <c r="AD756" i="1" a="1"/>
  <c r="AD756" i="1" s="1"/>
  <c r="AD757" i="1" a="1"/>
  <c r="AD757" i="1" s="1"/>
  <c r="AD758" i="1" a="1"/>
  <c r="AD758" i="1" s="1"/>
  <c r="AD759" i="1" a="1"/>
  <c r="AD759" i="1" s="1"/>
  <c r="AD760" i="1" a="1"/>
  <c r="AD760" i="1" s="1"/>
  <c r="AD761" i="1" a="1"/>
  <c r="AD761" i="1" s="1"/>
  <c r="AD762" i="1" a="1"/>
  <c r="AD762" i="1" s="1"/>
  <c r="AD763" i="1" a="1"/>
  <c r="AD763" i="1" s="1"/>
  <c r="AD764" i="1" a="1"/>
  <c r="AD764" i="1" s="1"/>
  <c r="AD765" i="1" a="1"/>
  <c r="AD765" i="1" s="1"/>
  <c r="AD766" i="1" a="1"/>
  <c r="AD766" i="1" s="1"/>
  <c r="AD767" i="1" a="1"/>
  <c r="AD767" i="1" s="1"/>
  <c r="AD768" i="1" a="1"/>
  <c r="AD768" i="1" s="1"/>
  <c r="AD769" i="1" a="1"/>
  <c r="AD769" i="1" s="1"/>
  <c r="AD770" i="1" a="1"/>
  <c r="AD770" i="1" s="1"/>
  <c r="AD771" i="1" a="1"/>
  <c r="AD771" i="1" s="1"/>
  <c r="AD772" i="1" a="1"/>
  <c r="AD772" i="1" s="1"/>
  <c r="AD773" i="1" a="1"/>
  <c r="AD773" i="1" s="1"/>
  <c r="AD774" i="1" a="1"/>
  <c r="AD774" i="1" s="1"/>
  <c r="AD775" i="1" a="1"/>
  <c r="AD775" i="1" s="1"/>
  <c r="AD776" i="1" a="1"/>
  <c r="AD776" i="1" s="1"/>
  <c r="AD777" i="1" a="1"/>
  <c r="AD777" i="1" s="1"/>
  <c r="AD778" i="1" a="1"/>
  <c r="AD778" i="1" s="1"/>
  <c r="AD779" i="1" a="1"/>
  <c r="AD779" i="1" s="1"/>
  <c r="AD780" i="1" a="1"/>
  <c r="AD780" i="1" s="1"/>
  <c r="AD781" i="1" a="1"/>
  <c r="AD781" i="1" s="1"/>
  <c r="AD782" i="1" a="1"/>
  <c r="AD782" i="1" s="1"/>
  <c r="AD783" i="1" a="1"/>
  <c r="AD783" i="1" s="1"/>
  <c r="AD784" i="1" a="1"/>
  <c r="AD784" i="1" s="1"/>
  <c r="AD785" i="1" a="1"/>
  <c r="AD785" i="1" s="1"/>
  <c r="AD786" i="1" a="1"/>
  <c r="AD786" i="1" s="1"/>
  <c r="AD787" i="1" a="1"/>
  <c r="AD787" i="1" s="1"/>
  <c r="AD788" i="1" a="1"/>
  <c r="AD788" i="1" s="1"/>
  <c r="AD789" i="1" a="1"/>
  <c r="AD789" i="1" s="1"/>
  <c r="AD790" i="1" a="1"/>
  <c r="AD790" i="1" s="1"/>
  <c r="AD791" i="1" a="1"/>
  <c r="AD791" i="1" s="1"/>
  <c r="AD792" i="1" a="1"/>
  <c r="AD792" i="1" s="1"/>
  <c r="AD793" i="1" a="1"/>
  <c r="AD793" i="1" s="1"/>
  <c r="AD794" i="1" a="1"/>
  <c r="AD794" i="1" s="1"/>
  <c r="AD795" i="1" a="1"/>
  <c r="AD795" i="1" s="1"/>
  <c r="AD796" i="1" a="1"/>
  <c r="AD796" i="1" s="1"/>
  <c r="AD797" i="1" a="1"/>
  <c r="AD797" i="1" s="1"/>
  <c r="AD798" i="1" a="1"/>
  <c r="AD798" i="1" s="1"/>
  <c r="AD799" i="1" a="1"/>
  <c r="AD799" i="1" s="1"/>
  <c r="AD800" i="1" a="1"/>
  <c r="AD800" i="1" s="1"/>
  <c r="AD801" i="1" a="1"/>
  <c r="AD801" i="1" s="1"/>
  <c r="AD802" i="1" a="1"/>
  <c r="AD802" i="1" s="1"/>
  <c r="AD803" i="1" a="1"/>
  <c r="AD803" i="1" s="1"/>
  <c r="AD804" i="1" a="1"/>
  <c r="AD804" i="1" s="1"/>
  <c r="AD805" i="1" a="1"/>
  <c r="AD805" i="1" s="1"/>
  <c r="AD806" i="1" a="1"/>
  <c r="AD806" i="1" s="1"/>
  <c r="AD807" i="1" a="1"/>
  <c r="AD807" i="1" s="1"/>
  <c r="AD808" i="1" a="1"/>
  <c r="AD808" i="1" s="1"/>
  <c r="AD809" i="1" a="1"/>
  <c r="AD809" i="1" s="1"/>
  <c r="AD810" i="1" a="1"/>
  <c r="AD810" i="1" s="1"/>
  <c r="AD811" i="1" a="1"/>
  <c r="AD811" i="1" s="1"/>
  <c r="AD812" i="1" a="1"/>
  <c r="AD812" i="1" s="1"/>
  <c r="AD813" i="1" a="1"/>
  <c r="AD813" i="1" s="1"/>
  <c r="AD814" i="1" a="1"/>
  <c r="AD814" i="1" s="1"/>
  <c r="AD815" i="1" a="1"/>
  <c r="AD815" i="1" s="1"/>
  <c r="AD816" i="1" a="1"/>
  <c r="AD816" i="1" s="1"/>
  <c r="AD817" i="1" a="1"/>
  <c r="AD817" i="1" s="1"/>
  <c r="AD818" i="1" a="1"/>
  <c r="AD818" i="1" s="1"/>
  <c r="AD819" i="1" a="1"/>
  <c r="AD819" i="1" s="1"/>
  <c r="AD820" i="1" a="1"/>
  <c r="AD820" i="1" s="1"/>
  <c r="AD821" i="1" a="1"/>
  <c r="AD821" i="1" s="1"/>
  <c r="AD822" i="1" a="1"/>
  <c r="AD822" i="1" s="1"/>
  <c r="AD823" i="1" a="1"/>
  <c r="AD823" i="1" s="1"/>
  <c r="AD824" i="1" a="1"/>
  <c r="AD824" i="1" s="1"/>
  <c r="AD825" i="1" a="1"/>
  <c r="AD825" i="1" s="1"/>
  <c r="AD826" i="1" a="1"/>
  <c r="AD826" i="1" s="1"/>
  <c r="AD827" i="1" a="1"/>
  <c r="AD827" i="1" s="1"/>
  <c r="AD828" i="1" a="1"/>
  <c r="AD828" i="1" s="1"/>
  <c r="AD829" i="1" a="1"/>
  <c r="AD829" i="1" s="1"/>
  <c r="AD830" i="1" a="1"/>
  <c r="AD830" i="1" s="1"/>
  <c r="AD831" i="1" a="1"/>
  <c r="AD831" i="1" s="1"/>
  <c r="AD832" i="1" a="1"/>
  <c r="AD832" i="1" s="1"/>
  <c r="AD833" i="1" a="1"/>
  <c r="AD833" i="1" s="1"/>
  <c r="AD834" i="1" a="1"/>
  <c r="AD834" i="1" s="1"/>
  <c r="AD835" i="1" a="1"/>
  <c r="AD835" i="1" s="1"/>
  <c r="AD836" i="1" a="1"/>
  <c r="AD836" i="1" s="1"/>
  <c r="AD837" i="1" a="1"/>
  <c r="AD837" i="1" s="1"/>
  <c r="AD838" i="1" a="1"/>
  <c r="AD838" i="1" s="1"/>
  <c r="AD839" i="1" a="1"/>
  <c r="AD839" i="1" s="1"/>
  <c r="AD840" i="1" a="1"/>
  <c r="AD840" i="1" s="1"/>
  <c r="AD841" i="1" a="1"/>
  <c r="AD841" i="1" s="1"/>
  <c r="AD842" i="1" a="1"/>
  <c r="AD842" i="1" s="1"/>
  <c r="AD843" i="1" a="1"/>
  <c r="AD843" i="1" s="1"/>
  <c r="AD844" i="1" a="1"/>
  <c r="AD844" i="1" s="1"/>
  <c r="AD845" i="1" a="1"/>
  <c r="AD845" i="1" s="1"/>
  <c r="AD846" i="1" a="1"/>
  <c r="AD846" i="1" s="1"/>
  <c r="AD847" i="1" a="1"/>
  <c r="AD847" i="1" s="1"/>
  <c r="AD848" i="1" a="1"/>
  <c r="AD848" i="1" s="1"/>
  <c r="AD849" i="1" a="1"/>
  <c r="AD849" i="1" s="1"/>
  <c r="AD850" i="1" a="1"/>
  <c r="AD850" i="1" s="1"/>
  <c r="AD851" i="1" a="1"/>
  <c r="AD851" i="1" s="1"/>
  <c r="AD852" i="1" a="1"/>
  <c r="AD852" i="1" s="1"/>
  <c r="AD853" i="1" a="1"/>
  <c r="AD853" i="1" s="1"/>
  <c r="AD854" i="1" a="1"/>
  <c r="AD854" i="1" s="1"/>
  <c r="AD855" i="1" a="1"/>
  <c r="AD855" i="1" s="1"/>
  <c r="AD856" i="1" a="1"/>
  <c r="AD856" i="1" s="1"/>
  <c r="AD857" i="1" a="1"/>
  <c r="AD857" i="1" s="1"/>
  <c r="AD858" i="1" a="1"/>
  <c r="AD858" i="1" s="1"/>
  <c r="AD859" i="1" a="1"/>
  <c r="AD859" i="1" s="1"/>
  <c r="AD860" i="1" a="1"/>
  <c r="AD860" i="1" s="1"/>
  <c r="AD861" i="1" a="1"/>
  <c r="AD861" i="1" s="1"/>
  <c r="AD862" i="1" a="1"/>
  <c r="AD862" i="1" s="1"/>
  <c r="AD863" i="1" a="1"/>
  <c r="AD863" i="1" s="1"/>
  <c r="AD864" i="1" a="1"/>
  <c r="AD864" i="1" s="1"/>
  <c r="AD865" i="1" a="1"/>
  <c r="AD865" i="1" s="1"/>
  <c r="AD866" i="1" a="1"/>
  <c r="AD866" i="1" s="1"/>
  <c r="AD867" i="1" a="1"/>
  <c r="AD867" i="1" s="1"/>
  <c r="AD868" i="1" a="1"/>
  <c r="AD868" i="1" s="1"/>
  <c r="AD869" i="1" a="1"/>
  <c r="AD869" i="1" s="1"/>
  <c r="AD870" i="1" a="1"/>
  <c r="AD870" i="1" s="1"/>
  <c r="AD871" i="1" a="1"/>
  <c r="AD871" i="1" s="1"/>
  <c r="AD872" i="1" a="1"/>
  <c r="AD872" i="1" s="1"/>
  <c r="AD873" i="1" a="1"/>
  <c r="AD873" i="1" s="1"/>
  <c r="AD874" i="1" a="1"/>
  <c r="AD874" i="1" s="1"/>
  <c r="AD875" i="1" a="1"/>
  <c r="AD875" i="1" s="1"/>
  <c r="AD876" i="1" a="1"/>
  <c r="AD876" i="1" s="1"/>
  <c r="AD877" i="1" a="1"/>
  <c r="AD877" i="1" s="1"/>
  <c r="AD878" i="1" a="1"/>
  <c r="AD878" i="1" s="1"/>
  <c r="AD879" i="1" a="1"/>
  <c r="AD879" i="1" s="1"/>
  <c r="AD880" i="1" a="1"/>
  <c r="AD880" i="1" s="1"/>
  <c r="AD881" i="1" a="1"/>
  <c r="AD881" i="1" s="1"/>
  <c r="AD882" i="1" a="1"/>
  <c r="AD882" i="1" s="1"/>
  <c r="AD883" i="1" a="1"/>
  <c r="AD883" i="1" s="1"/>
  <c r="AD884" i="1" a="1"/>
  <c r="AD884" i="1" s="1"/>
  <c r="AD885" i="1" a="1"/>
  <c r="AD885" i="1" s="1"/>
  <c r="AD886" i="1" a="1"/>
  <c r="AD886" i="1" s="1"/>
  <c r="AD887" i="1" a="1"/>
  <c r="AD887" i="1" s="1"/>
  <c r="AD888" i="1" a="1"/>
  <c r="AD888" i="1" s="1"/>
  <c r="AD889" i="1" a="1"/>
  <c r="AD889" i="1" s="1"/>
  <c r="AD890" i="1" a="1"/>
  <c r="AD890" i="1" s="1"/>
  <c r="AD891" i="1" a="1"/>
  <c r="AD891" i="1" s="1"/>
  <c r="AD892" i="1" a="1"/>
  <c r="AD892" i="1" s="1"/>
  <c r="AD893" i="1" a="1"/>
  <c r="AD893" i="1" s="1"/>
  <c r="AD894" i="1" a="1"/>
  <c r="AD894" i="1" s="1"/>
  <c r="AD895" i="1" a="1"/>
  <c r="AD895" i="1" s="1"/>
  <c r="AD896" i="1" a="1"/>
  <c r="AD896" i="1" s="1"/>
  <c r="AD897" i="1" a="1"/>
  <c r="AD897" i="1" s="1"/>
  <c r="AD898" i="1" a="1"/>
  <c r="AD898" i="1" s="1"/>
  <c r="AD899" i="1" a="1"/>
  <c r="AD899" i="1" s="1"/>
  <c r="AD900" i="1" a="1"/>
  <c r="AD900" i="1" s="1"/>
  <c r="AD901" i="1" a="1"/>
  <c r="AD901" i="1" s="1"/>
  <c r="AD902" i="1" a="1"/>
  <c r="AD902" i="1" s="1"/>
  <c r="AD903" i="1" a="1"/>
  <c r="AD903" i="1" s="1"/>
  <c r="AD904" i="1" a="1"/>
  <c r="AD904" i="1" s="1"/>
  <c r="AD905" i="1" a="1"/>
  <c r="AD905" i="1" s="1"/>
  <c r="AD906" i="1" a="1"/>
  <c r="AD906" i="1" s="1"/>
  <c r="AD907" i="1" a="1"/>
  <c r="AD907" i="1" s="1"/>
  <c r="AD908" i="1" a="1"/>
  <c r="AD908" i="1" s="1"/>
  <c r="AD909" i="1" a="1"/>
  <c r="AD909" i="1" s="1"/>
  <c r="AD910" i="1" a="1"/>
  <c r="AD910" i="1" s="1"/>
  <c r="AD911" i="1" a="1"/>
  <c r="AD911" i="1" s="1"/>
  <c r="AD912" i="1" a="1"/>
  <c r="AD912" i="1" s="1"/>
  <c r="AD913" i="1" a="1"/>
  <c r="AD913" i="1" s="1"/>
  <c r="AD914" i="1" a="1"/>
  <c r="AD914" i="1" s="1"/>
  <c r="AD915" i="1" a="1"/>
  <c r="AD915" i="1" s="1"/>
  <c r="AD916" i="1" a="1"/>
  <c r="AD916" i="1" s="1"/>
  <c r="AD917" i="1" a="1"/>
  <c r="AD917" i="1" s="1"/>
  <c r="AD918" i="1" a="1"/>
  <c r="AD918" i="1" s="1"/>
  <c r="AD919" i="1" a="1"/>
  <c r="AD919" i="1" s="1"/>
  <c r="AD920" i="1" a="1"/>
  <c r="AD920" i="1" s="1"/>
  <c r="AD921" i="1" a="1"/>
  <c r="AD921" i="1" s="1"/>
  <c r="AD922" i="1" a="1"/>
  <c r="AD922" i="1" s="1"/>
  <c r="AD923" i="1" a="1"/>
  <c r="AD923" i="1" s="1"/>
  <c r="AD924" i="1" a="1"/>
  <c r="AD924" i="1" s="1"/>
  <c r="AD925" i="1" a="1"/>
  <c r="AD925" i="1" s="1"/>
  <c r="AD926" i="1" a="1"/>
  <c r="AD926" i="1" s="1"/>
  <c r="AD927" i="1" a="1"/>
  <c r="AD927" i="1" s="1"/>
  <c r="AD928" i="1" a="1"/>
  <c r="AD928" i="1" s="1"/>
  <c r="AD929" i="1" a="1"/>
  <c r="AD929" i="1" s="1"/>
  <c r="AD930" i="1" a="1"/>
  <c r="AD930" i="1" s="1"/>
  <c r="AD931" i="1" a="1"/>
  <c r="AD931" i="1" s="1"/>
  <c r="AD932" i="1" a="1"/>
  <c r="AD932" i="1" s="1"/>
  <c r="AD933" i="1" a="1"/>
  <c r="AD933" i="1" s="1"/>
  <c r="AD934" i="1" a="1"/>
  <c r="AD934" i="1" s="1"/>
  <c r="AD935" i="1" a="1"/>
  <c r="AD935" i="1" s="1"/>
  <c r="AD936" i="1" a="1"/>
  <c r="AD936" i="1" s="1"/>
  <c r="AD937" i="1" a="1"/>
  <c r="AD937" i="1" s="1"/>
  <c r="AD938" i="1" a="1"/>
  <c r="AD938" i="1" s="1"/>
  <c r="AD939" i="1" a="1"/>
  <c r="AD939" i="1" s="1"/>
  <c r="AD940" i="1" a="1"/>
  <c r="AD940" i="1" s="1"/>
  <c r="AD941" i="1" a="1"/>
  <c r="AD941" i="1" s="1"/>
  <c r="AD942" i="1" a="1"/>
  <c r="AD942" i="1" s="1"/>
  <c r="AD943" i="1" a="1"/>
  <c r="AD943" i="1" s="1"/>
  <c r="AD944" i="1" a="1"/>
  <c r="AD944" i="1" s="1"/>
  <c r="AD945" i="1" a="1"/>
  <c r="AD945" i="1" s="1"/>
  <c r="AD946" i="1" a="1"/>
  <c r="AD946" i="1"/>
  <c r="AD947" i="1" a="1"/>
  <c r="AD947" i="1" s="1"/>
  <c r="AD948" i="1" a="1"/>
  <c r="AD948" i="1" s="1"/>
  <c r="AD949" i="1" a="1"/>
  <c r="AD949" i="1" s="1"/>
  <c r="AD950" i="1" a="1"/>
  <c r="AD950" i="1" s="1"/>
  <c r="AD951" i="1" a="1"/>
  <c r="AD951" i="1" s="1"/>
  <c r="AD952" i="1" a="1"/>
  <c r="AD952" i="1" s="1"/>
  <c r="AD953" i="1" a="1"/>
  <c r="AD953" i="1" s="1"/>
  <c r="AD954" i="1" a="1"/>
  <c r="AD954" i="1" s="1"/>
  <c r="AD955" i="1" a="1"/>
  <c r="AD955" i="1" s="1"/>
  <c r="AD956" i="1" a="1"/>
  <c r="AD956" i="1" s="1"/>
  <c r="AD957" i="1" a="1"/>
  <c r="AD957" i="1" s="1"/>
  <c r="AD958" i="1" a="1"/>
  <c r="AD958" i="1" s="1"/>
  <c r="AD959" i="1" a="1"/>
  <c r="AD959" i="1" s="1"/>
  <c r="AD960" i="1" a="1"/>
  <c r="AD960" i="1" s="1"/>
  <c r="AD961" i="1" a="1"/>
  <c r="AD961" i="1" s="1"/>
  <c r="AD962" i="1" a="1"/>
  <c r="AD962" i="1" s="1"/>
  <c r="AD963" i="1" a="1"/>
  <c r="AD963" i="1" s="1"/>
  <c r="AD964" i="1" a="1"/>
  <c r="AD964" i="1" s="1"/>
  <c r="AD965" i="1" a="1"/>
  <c r="AD965" i="1" s="1"/>
  <c r="AD966" i="1" a="1"/>
  <c r="AD966" i="1" s="1"/>
  <c r="AD967" i="1" a="1"/>
  <c r="AD967" i="1" s="1"/>
  <c r="AD968" i="1" a="1"/>
  <c r="AD968" i="1" s="1"/>
  <c r="AD969" i="1" a="1"/>
  <c r="AD969" i="1" s="1"/>
  <c r="AD970" i="1" a="1"/>
  <c r="AD970" i="1" s="1"/>
  <c r="AD971" i="1" a="1"/>
  <c r="AD971" i="1" s="1"/>
  <c r="AD972" i="1" a="1"/>
  <c r="AD972" i="1" s="1"/>
  <c r="AD973" i="1" a="1"/>
  <c r="AD973" i="1" s="1"/>
  <c r="AD974" i="1" a="1"/>
  <c r="AD974" i="1" s="1"/>
  <c r="AD975" i="1" a="1"/>
  <c r="AD975" i="1" s="1"/>
  <c r="AD976" i="1" a="1"/>
  <c r="AD976" i="1" s="1"/>
  <c r="AD977" i="1" a="1"/>
  <c r="AD977" i="1" s="1"/>
  <c r="AD978" i="1" a="1"/>
  <c r="AD978" i="1" s="1"/>
  <c r="AD979" i="1" a="1"/>
  <c r="AD979" i="1" s="1"/>
  <c r="AD980" i="1" a="1"/>
  <c r="AD980" i="1" s="1"/>
  <c r="AD981" i="1" a="1"/>
  <c r="AD981" i="1" s="1"/>
  <c r="AD982" i="1" a="1"/>
  <c r="AD982" i="1" s="1"/>
  <c r="AD983" i="1" a="1"/>
  <c r="AD983" i="1" s="1"/>
  <c r="AD984" i="1" a="1"/>
  <c r="AD984" i="1" s="1"/>
  <c r="AD985" i="1" a="1"/>
  <c r="AD985" i="1" s="1"/>
  <c r="AD986" i="1" a="1"/>
  <c r="AD986" i="1" s="1"/>
  <c r="AD987" i="1" a="1"/>
  <c r="AD987" i="1" s="1"/>
  <c r="AD988" i="1" a="1"/>
  <c r="AD988" i="1" s="1"/>
  <c r="AD989" i="1" a="1"/>
  <c r="AD989" i="1" s="1"/>
  <c r="AD990" i="1" a="1"/>
  <c r="AD990" i="1" s="1"/>
  <c r="AD991" i="1" a="1"/>
  <c r="AD991" i="1" s="1"/>
  <c r="AD992" i="1" a="1"/>
  <c r="AD992" i="1" s="1"/>
  <c r="AD993" i="1" a="1"/>
  <c r="AD993" i="1" s="1"/>
  <c r="AD994" i="1" a="1"/>
  <c r="AD994" i="1" s="1"/>
  <c r="AD995" i="1" a="1"/>
  <c r="AD995" i="1" s="1"/>
  <c r="AD996" i="1" a="1"/>
  <c r="AD996" i="1" s="1"/>
  <c r="AD997" i="1" a="1"/>
  <c r="AD997" i="1" s="1"/>
  <c r="AD998" i="1" a="1"/>
  <c r="AD998" i="1" s="1"/>
  <c r="AD999" i="1" a="1"/>
  <c r="AD999" i="1" s="1"/>
  <c r="AD1000" i="1" a="1"/>
  <c r="AD1000" i="1" s="1"/>
  <c r="AD1001" i="1" a="1"/>
  <c r="AD1001" i="1" s="1"/>
  <c r="AD1002" i="1" a="1"/>
  <c r="AD1002" i="1" s="1"/>
  <c r="AD1003" i="1" a="1"/>
  <c r="AD1003" i="1" s="1"/>
  <c r="AD1004" i="1" a="1"/>
  <c r="AD1004" i="1" s="1"/>
  <c r="AD1005" i="1" a="1"/>
  <c r="AD1005" i="1" s="1"/>
  <c r="AD1006" i="1" a="1"/>
  <c r="AD1006" i="1" s="1"/>
  <c r="AD1007" i="1" a="1"/>
  <c r="AD1007" i="1" s="1"/>
  <c r="AD1008" i="1" a="1"/>
  <c r="AD1008" i="1" s="1"/>
  <c r="AD1009" i="1" a="1"/>
  <c r="AD1009" i="1" s="1"/>
  <c r="AD1010" i="1" a="1"/>
  <c r="AD1010" i="1" s="1"/>
  <c r="AD1011" i="1" a="1"/>
  <c r="AD1011" i="1" s="1"/>
  <c r="AD1012" i="1" a="1"/>
  <c r="AD1012" i="1" s="1"/>
  <c r="AD1013" i="1" a="1"/>
  <c r="AD1013" i="1" s="1"/>
  <c r="AD1014" i="1" a="1"/>
  <c r="AD1014" i="1" s="1"/>
  <c r="AD1015" i="1" a="1"/>
  <c r="AD1015" i="1" s="1"/>
  <c r="AD1016" i="1" a="1"/>
  <c r="AD1016" i="1" s="1"/>
  <c r="AD1017" i="1" a="1"/>
  <c r="AD1017" i="1" s="1"/>
  <c r="AD1018" i="1" a="1"/>
  <c r="AD1018" i="1" s="1"/>
  <c r="AD1019" i="1" a="1"/>
  <c r="AD1019" i="1" s="1"/>
  <c r="AD1020" i="1" a="1"/>
  <c r="AD1020" i="1" s="1"/>
  <c r="AD1021" i="1" a="1"/>
  <c r="AD1021" i="1" s="1"/>
  <c r="AD1022" i="1" a="1"/>
  <c r="AD1022" i="1" s="1"/>
  <c r="AD1023" i="1" a="1"/>
  <c r="AD1023" i="1" s="1"/>
  <c r="AD1024" i="1" a="1"/>
  <c r="AD1024" i="1" s="1"/>
  <c r="AD1025" i="1" a="1"/>
  <c r="AD1025" i="1" s="1"/>
  <c r="AD1026" i="1" a="1"/>
  <c r="AD1026" i="1" s="1"/>
  <c r="AD1027" i="1" a="1"/>
  <c r="AD1027" i="1" s="1"/>
  <c r="AD1028" i="1" a="1"/>
  <c r="AD1028" i="1" s="1"/>
  <c r="AD1029" i="1" a="1"/>
  <c r="AD1029" i="1" s="1"/>
  <c r="AD1030" i="1" a="1"/>
  <c r="AD1030" i="1" s="1"/>
  <c r="AD1031" i="1" a="1"/>
  <c r="AD1031" i="1" s="1"/>
  <c r="AD1032" i="1" a="1"/>
  <c r="AD1032" i="1" s="1"/>
  <c r="AD1033" i="1" a="1"/>
  <c r="AD1033" i="1" s="1"/>
  <c r="AD1034" i="1" a="1"/>
  <c r="AD1034" i="1" s="1"/>
  <c r="AD1035" i="1" a="1"/>
  <c r="AD1035" i="1" s="1"/>
  <c r="AD1036" i="1" a="1"/>
  <c r="AD1036" i="1" s="1"/>
  <c r="AD1037" i="1" a="1"/>
  <c r="AD1037" i="1" s="1"/>
  <c r="AD1038" i="1" a="1"/>
  <c r="AD1038" i="1" s="1"/>
  <c r="AD1039" i="1" a="1"/>
  <c r="AD1039" i="1" s="1"/>
  <c r="AD1040" i="1" a="1"/>
  <c r="AD1040" i="1" s="1"/>
  <c r="AD1041" i="1" a="1"/>
  <c r="AD1041" i="1" s="1"/>
  <c r="AD1042" i="1" a="1"/>
  <c r="AD1042" i="1" s="1"/>
  <c r="AD1043" i="1" a="1"/>
  <c r="AD1043" i="1" s="1"/>
  <c r="AD1044" i="1" a="1"/>
  <c r="AD1044" i="1" s="1"/>
  <c r="AD1045" i="1" a="1"/>
  <c r="AD1045" i="1" s="1"/>
  <c r="AD1046" i="1" a="1"/>
  <c r="AD1046" i="1" s="1"/>
  <c r="AD1047" i="1" a="1"/>
  <c r="AD1047" i="1" s="1"/>
  <c r="AD1048" i="1" a="1"/>
  <c r="AD1048" i="1" s="1"/>
  <c r="AD1049" i="1" a="1"/>
  <c r="AD1049" i="1" s="1"/>
  <c r="AD1050" i="1" a="1"/>
  <c r="AD1050" i="1" s="1"/>
  <c r="AD1051" i="1" a="1"/>
  <c r="AD1051" i="1" s="1"/>
  <c r="AD1052" i="1" a="1"/>
  <c r="AD1052" i="1" s="1"/>
  <c r="AD1053" i="1" a="1"/>
  <c r="AD1053" i="1" s="1"/>
  <c r="AD1054" i="1" a="1"/>
  <c r="AD1054" i="1" s="1"/>
  <c r="AD1055" i="1" a="1"/>
  <c r="AD1055" i="1" s="1"/>
  <c r="AD1056" i="1" a="1"/>
  <c r="AD1056" i="1" s="1"/>
  <c r="AD1057" i="1" a="1"/>
  <c r="AD1057" i="1" s="1"/>
  <c r="AD1058" i="1" a="1"/>
  <c r="AD1058" i="1" s="1"/>
  <c r="AD1059" i="1" a="1"/>
  <c r="AD1059" i="1" s="1"/>
  <c r="AD1060" i="1" a="1"/>
  <c r="AD1060" i="1" s="1"/>
  <c r="AD1061" i="1" a="1"/>
  <c r="AD1061" i="1" s="1"/>
  <c r="AD1062" i="1" a="1"/>
  <c r="AD1062" i="1" s="1"/>
  <c r="AD1063" i="1" a="1"/>
  <c r="AD1063" i="1" s="1"/>
  <c r="AD1064" i="1" a="1"/>
  <c r="AD1064" i="1" s="1"/>
  <c r="AD1065" i="1" a="1"/>
  <c r="AD1065" i="1" s="1"/>
  <c r="AD1066" i="1" a="1"/>
  <c r="AD1066" i="1" s="1"/>
  <c r="AD1067" i="1" a="1"/>
  <c r="AD1067" i="1" s="1"/>
  <c r="AD1068" i="1" a="1"/>
  <c r="AD1068" i="1" s="1"/>
  <c r="AD1069" i="1" a="1"/>
  <c r="AD1069" i="1" s="1"/>
  <c r="AD1070" i="1" a="1"/>
  <c r="AD1070" i="1" s="1"/>
  <c r="AD1071" i="1" a="1"/>
  <c r="AD1071" i="1" s="1"/>
  <c r="AD1072" i="1" a="1"/>
  <c r="AD1072" i="1" s="1"/>
  <c r="AD1073" i="1" a="1"/>
  <c r="AD1073" i="1" s="1"/>
  <c r="AD1074" i="1" a="1"/>
  <c r="AD1074" i="1" s="1"/>
  <c r="AD1075" i="1" a="1"/>
  <c r="AD1075" i="1" s="1"/>
  <c r="AD1076" i="1" a="1"/>
  <c r="AD1076" i="1" s="1"/>
  <c r="AD1077" i="1" a="1"/>
  <c r="AD1077" i="1" s="1"/>
  <c r="AD1078" i="1" a="1"/>
  <c r="AD1078" i="1" s="1"/>
  <c r="AD1079" i="1" a="1"/>
  <c r="AD1079" i="1" s="1"/>
  <c r="AD1080" i="1" a="1"/>
  <c r="AD1080" i="1" s="1"/>
  <c r="AD1081" i="1" a="1"/>
  <c r="AD1081" i="1" s="1"/>
  <c r="AD1082" i="1" a="1"/>
  <c r="AD1082" i="1" s="1"/>
  <c r="AD1083" i="1" a="1"/>
  <c r="AD1083" i="1" s="1"/>
  <c r="AD1084" i="1" a="1"/>
  <c r="AD1084" i="1" s="1"/>
  <c r="AD1085" i="1" a="1"/>
  <c r="AD1085" i="1" s="1"/>
  <c r="AD1086" i="1" a="1"/>
  <c r="AD1086" i="1" s="1"/>
  <c r="AD1087" i="1" a="1"/>
  <c r="AD1087" i="1" s="1"/>
  <c r="AD1088" i="1" a="1"/>
  <c r="AD1088" i="1" s="1"/>
  <c r="AD1089" i="1" a="1"/>
  <c r="AD1089" i="1" s="1"/>
  <c r="AD1090" i="1" a="1"/>
  <c r="AD1090" i="1" s="1"/>
  <c r="AD1091" i="1" a="1"/>
  <c r="AD1091" i="1" s="1"/>
  <c r="AD1092" i="1" a="1"/>
  <c r="AD1092" i="1" s="1"/>
  <c r="AD1093" i="1" a="1"/>
  <c r="AD1093" i="1" s="1"/>
  <c r="AD1094" i="1" a="1"/>
  <c r="AD1094" i="1" s="1"/>
  <c r="AD1095" i="1" a="1"/>
  <c r="AD1095" i="1" s="1"/>
  <c r="AD1096" i="1" a="1"/>
  <c r="AD1096" i="1" s="1"/>
  <c r="AD1097" i="1" a="1"/>
  <c r="AD1097" i="1" s="1"/>
  <c r="AD1098" i="1" a="1"/>
  <c r="AD1098" i="1" s="1"/>
  <c r="AD1099" i="1" a="1"/>
  <c r="AD1099" i="1" s="1"/>
  <c r="AD1100" i="1" a="1"/>
  <c r="AD1100" i="1" s="1"/>
  <c r="AD1101" i="1" a="1"/>
  <c r="AD1101" i="1" s="1"/>
  <c r="AD1102" i="1" a="1"/>
  <c r="AD1102" i="1" s="1"/>
  <c r="AD1103" i="1" a="1"/>
  <c r="AD1103" i="1" s="1"/>
  <c r="AD1104" i="1" a="1"/>
  <c r="AD1104" i="1" s="1"/>
  <c r="AD1105" i="1" a="1"/>
  <c r="AD1105" i="1" s="1"/>
  <c r="AD1106" i="1" a="1"/>
  <c r="AD1106" i="1" s="1"/>
  <c r="AD1107" i="1" a="1"/>
  <c r="AD1107" i="1" s="1"/>
  <c r="AD1108" i="1" a="1"/>
  <c r="AD1108" i="1" s="1"/>
  <c r="AD1109" i="1" a="1"/>
  <c r="AD1109" i="1" s="1"/>
  <c r="AD1110" i="1" a="1"/>
  <c r="AD1110" i="1" s="1"/>
  <c r="AD1111" i="1" a="1"/>
  <c r="AD1111" i="1" s="1"/>
  <c r="AD1112" i="1" a="1"/>
  <c r="AD1112" i="1" s="1"/>
  <c r="AD1113" i="1" a="1"/>
  <c r="AD1113" i="1" s="1"/>
  <c r="AD1114" i="1" a="1"/>
  <c r="AD1114" i="1" s="1"/>
  <c r="AD1115" i="1" a="1"/>
  <c r="AD1115" i="1" s="1"/>
  <c r="AD1116" i="1" a="1"/>
  <c r="AD1116" i="1" s="1"/>
  <c r="AD1117" i="1" a="1"/>
  <c r="AD1117" i="1" s="1"/>
  <c r="AD1118" i="1" a="1"/>
  <c r="AD1118" i="1" s="1"/>
  <c r="AD1119" i="1" a="1"/>
  <c r="AD1119" i="1" s="1"/>
  <c r="AD1120" i="1" a="1"/>
  <c r="AD1120" i="1" s="1"/>
  <c r="AD1121" i="1" a="1"/>
  <c r="AD1121" i="1" s="1"/>
  <c r="AD1122" i="1" a="1"/>
  <c r="AD1122" i="1" s="1"/>
  <c r="AD1123" i="1" a="1"/>
  <c r="AD1123" i="1" s="1"/>
  <c r="AD1124" i="1" a="1"/>
  <c r="AD1124" i="1" s="1"/>
  <c r="AD1125" i="1" a="1"/>
  <c r="AD1125" i="1" s="1"/>
  <c r="AD1126" i="1" a="1"/>
  <c r="AD1126" i="1" s="1"/>
  <c r="AD1127" i="1" a="1"/>
  <c r="AD1127" i="1" s="1"/>
  <c r="AD1128" i="1" a="1"/>
  <c r="AD1128" i="1" s="1"/>
  <c r="AD1129" i="1" a="1"/>
  <c r="AD1129" i="1" s="1"/>
  <c r="AD1130" i="1" a="1"/>
  <c r="AD1130" i="1" s="1"/>
  <c r="AD1131" i="1" a="1"/>
  <c r="AD1131" i="1" s="1"/>
  <c r="AD1132" i="1" a="1"/>
  <c r="AD1132" i="1" s="1"/>
  <c r="AD1133" i="1" a="1"/>
  <c r="AD1133" i="1" s="1"/>
  <c r="AD1134" i="1" a="1"/>
  <c r="AD1134" i="1" s="1"/>
  <c r="AD1135" i="1" a="1"/>
  <c r="AD1135" i="1" s="1"/>
  <c r="AD1136" i="1" a="1"/>
  <c r="AD1136" i="1" s="1"/>
  <c r="AD1137" i="1" a="1"/>
  <c r="AD1137" i="1" s="1"/>
  <c r="AD1138" i="1" a="1"/>
  <c r="AD1138" i="1" s="1"/>
  <c r="AD1139" i="1" a="1"/>
  <c r="AD1139" i="1" s="1"/>
  <c r="AD1140" i="1" a="1"/>
  <c r="AD1140" i="1" s="1"/>
  <c r="AD1141" i="1" a="1"/>
  <c r="AD1141" i="1" s="1"/>
  <c r="AD1142" i="1" a="1"/>
  <c r="AD1142" i="1" s="1"/>
  <c r="AD1143" i="1" a="1"/>
  <c r="AD1143" i="1" s="1"/>
  <c r="AD1144" i="1" a="1"/>
  <c r="AD1144" i="1" s="1"/>
  <c r="AD1145" i="1" a="1"/>
  <c r="AD1145" i="1" s="1"/>
  <c r="AD1146" i="1" a="1"/>
  <c r="AD1146" i="1" s="1"/>
  <c r="AD1147" i="1" a="1"/>
  <c r="AD1147" i="1" s="1"/>
  <c r="AD1148" i="1" a="1"/>
  <c r="AD1148" i="1" s="1"/>
  <c r="AD1149" i="1" a="1"/>
  <c r="AD1149" i="1" s="1"/>
  <c r="AD1150" i="1" a="1"/>
  <c r="AD1150" i="1" s="1"/>
  <c r="AD1151" i="1" a="1"/>
  <c r="AD1151" i="1" s="1"/>
  <c r="AD1152" i="1" a="1"/>
  <c r="AD1152" i="1" s="1"/>
  <c r="AD1153" i="1" a="1"/>
  <c r="AD1153" i="1" s="1"/>
  <c r="AD1154" i="1" a="1"/>
  <c r="AD1154" i="1" s="1"/>
  <c r="AD1155" i="1" a="1"/>
  <c r="AD1155" i="1" s="1"/>
  <c r="AD1156" i="1" a="1"/>
  <c r="AD1156" i="1" s="1"/>
  <c r="AD1157" i="1" a="1"/>
  <c r="AD1157" i="1" s="1"/>
  <c r="AD1158" i="1" a="1"/>
  <c r="AD1158" i="1" s="1"/>
  <c r="AD1159" i="1" a="1"/>
  <c r="AD1159" i="1" s="1"/>
  <c r="AD1160" i="1" a="1"/>
  <c r="AD1160" i="1" s="1"/>
  <c r="AD1161" i="1" a="1"/>
  <c r="AD1161" i="1" s="1"/>
  <c r="AD1162" i="1" a="1"/>
  <c r="AD1162" i="1" s="1"/>
  <c r="AD1163" i="1" a="1"/>
  <c r="AD1163" i="1" s="1"/>
  <c r="AD1164" i="1" a="1"/>
  <c r="AD1164" i="1" s="1"/>
  <c r="AD1165" i="1" a="1"/>
  <c r="AD1165" i="1" s="1"/>
  <c r="AD1166" i="1" a="1"/>
  <c r="AD1166" i="1" s="1"/>
  <c r="AD1167" i="1" a="1"/>
  <c r="AD1167" i="1" s="1"/>
  <c r="AD1168" i="1" a="1"/>
  <c r="AD1168" i="1" s="1"/>
  <c r="AD1169" i="1" a="1"/>
  <c r="AD1169" i="1" s="1"/>
  <c r="AD1170" i="1" a="1"/>
  <c r="AD1170" i="1" s="1"/>
  <c r="AD1171" i="1" a="1"/>
  <c r="AD1171" i="1" s="1"/>
  <c r="AD1172" i="1" a="1"/>
  <c r="AD1172" i="1" s="1"/>
  <c r="AD1173" i="1" a="1"/>
  <c r="AD1173" i="1" s="1"/>
  <c r="AD1174" i="1" a="1"/>
  <c r="AD1174" i="1" s="1"/>
  <c r="AD1175" i="1" a="1"/>
  <c r="AD1175" i="1" s="1"/>
  <c r="AD1176" i="1" a="1"/>
  <c r="AD1176" i="1" s="1"/>
  <c r="AD1177" i="1" a="1"/>
  <c r="AD1177" i="1" s="1"/>
  <c r="AD1178" i="1" a="1"/>
  <c r="AD1178" i="1" s="1"/>
  <c r="AD1179" i="1" a="1"/>
  <c r="AD1179" i="1" s="1"/>
  <c r="AD1180" i="1" a="1"/>
  <c r="AD1180" i="1" s="1"/>
  <c r="AD1181" i="1" a="1"/>
  <c r="AD1181" i="1" s="1"/>
  <c r="AD1182" i="1" a="1"/>
  <c r="AD1182" i="1" s="1"/>
  <c r="AD1183" i="1" a="1"/>
  <c r="AD1183" i="1" s="1"/>
  <c r="AD1184" i="1" a="1"/>
  <c r="AD1184" i="1" s="1"/>
  <c r="AD1185" i="1" a="1"/>
  <c r="AD1185" i="1" s="1"/>
  <c r="AD1186" i="1" a="1"/>
  <c r="AD1186" i="1" s="1"/>
  <c r="AD1187" i="1" a="1"/>
  <c r="AD1187" i="1" s="1"/>
  <c r="AD1188" i="1" a="1"/>
  <c r="AD1188" i="1" s="1"/>
  <c r="AD1189" i="1" a="1"/>
  <c r="AD1189" i="1" s="1"/>
  <c r="AD1190" i="1" a="1"/>
  <c r="AD1190" i="1" s="1"/>
  <c r="AD1191" i="1" a="1"/>
  <c r="AD1191" i="1" s="1"/>
  <c r="AD1192" i="1" a="1"/>
  <c r="AD1192" i="1" s="1"/>
  <c r="AD1193" i="1" a="1"/>
  <c r="AD1193" i="1" s="1"/>
  <c r="AD1194" i="1" a="1"/>
  <c r="AD1194" i="1" s="1"/>
  <c r="AD1195" i="1" a="1"/>
  <c r="AD1195" i="1" s="1"/>
  <c r="AD1196" i="1" a="1"/>
  <c r="AD1196" i="1" s="1"/>
  <c r="AD1197" i="1" a="1"/>
  <c r="AD1197" i="1" s="1"/>
  <c r="AD1198" i="1" a="1"/>
  <c r="AD1198" i="1" s="1"/>
  <c r="AD1199" i="1" a="1"/>
  <c r="AD1199" i="1" s="1"/>
  <c r="AD1200" i="1" a="1"/>
  <c r="AD1200" i="1" s="1"/>
  <c r="AD1201" i="1" a="1"/>
  <c r="AD1201" i="1" s="1"/>
  <c r="AD1202" i="1" a="1"/>
  <c r="AD1202" i="1" s="1"/>
  <c r="AD1203" i="1" a="1"/>
  <c r="AD1203" i="1" s="1"/>
  <c r="AD1204" i="1" a="1"/>
  <c r="AD1204" i="1" s="1"/>
  <c r="AD1205" i="1" a="1"/>
  <c r="AD1205" i="1" s="1"/>
  <c r="AD1206" i="1" a="1"/>
  <c r="AD1206" i="1" s="1"/>
  <c r="AD1207" i="1" a="1"/>
  <c r="AD1207" i="1" s="1"/>
  <c r="AD1208" i="1" a="1"/>
  <c r="AD1208" i="1" s="1"/>
  <c r="AD1209" i="1" a="1"/>
  <c r="AD1209" i="1" s="1"/>
  <c r="AD1210" i="1" a="1"/>
  <c r="AD1210" i="1" s="1"/>
  <c r="AD1211" i="1" a="1"/>
  <c r="AD1211" i="1" s="1"/>
  <c r="AD1212" i="1" a="1"/>
  <c r="AD1212" i="1" s="1"/>
  <c r="AD1213" i="1" a="1"/>
  <c r="AD1213" i="1" s="1"/>
  <c r="AD1214" i="1" a="1"/>
  <c r="AD1214" i="1" s="1"/>
  <c r="AD1215" i="1" a="1"/>
  <c r="AD1215" i="1" s="1"/>
  <c r="AD1216" i="1" a="1"/>
  <c r="AD1216" i="1" s="1"/>
  <c r="AD1217" i="1" a="1"/>
  <c r="AD1217" i="1" s="1"/>
  <c r="AD1218" i="1" a="1"/>
  <c r="AD1218" i="1" s="1"/>
  <c r="AD1219" i="1" a="1"/>
  <c r="AD1219" i="1" s="1"/>
  <c r="AD1220" i="1" a="1"/>
  <c r="AD1220" i="1" s="1"/>
  <c r="AD1221" i="1" a="1"/>
  <c r="AD1221" i="1" s="1"/>
  <c r="AD1222" i="1" a="1"/>
  <c r="AD1222" i="1" s="1"/>
  <c r="AD1223" i="1" a="1"/>
  <c r="AD1223" i="1" s="1"/>
  <c r="AD1224" i="1" a="1"/>
  <c r="AD1224" i="1" s="1"/>
  <c r="AD1225" i="1" a="1"/>
  <c r="AD1225" i="1" s="1"/>
  <c r="AD1226" i="1" a="1"/>
  <c r="AD1226" i="1" s="1"/>
  <c r="AD1227" i="1" a="1"/>
  <c r="AD1227" i="1" s="1"/>
  <c r="AD1228" i="1" a="1"/>
  <c r="AD1228" i="1" s="1"/>
  <c r="AD1229" i="1" a="1"/>
  <c r="AD1229" i="1" s="1"/>
  <c r="AD1230" i="1" a="1"/>
  <c r="AD1230" i="1" s="1"/>
  <c r="AD1231" i="1" a="1"/>
  <c r="AD1231" i="1" s="1"/>
  <c r="AD1232" i="1" a="1"/>
  <c r="AD1232" i="1" s="1"/>
  <c r="AD1233" i="1" a="1"/>
  <c r="AD1233" i="1" s="1"/>
  <c r="AD1234" i="1" a="1"/>
  <c r="AD1234" i="1" s="1"/>
  <c r="AD1235" i="1" a="1"/>
  <c r="AD1235" i="1" s="1"/>
  <c r="AD1236" i="1" a="1"/>
  <c r="AD1236" i="1" s="1"/>
  <c r="AD1237" i="1" a="1"/>
  <c r="AD1237" i="1" s="1"/>
  <c r="AD1238" i="1" a="1"/>
  <c r="AD1238" i="1" s="1"/>
  <c r="AD1239" i="1" a="1"/>
  <c r="AD1239" i="1" s="1"/>
  <c r="AD1240" i="1" a="1"/>
  <c r="AD1240" i="1" s="1"/>
  <c r="AD1241" i="1" a="1"/>
  <c r="AD1241" i="1" s="1"/>
  <c r="AD1242" i="1" a="1"/>
  <c r="AD1242" i="1" s="1"/>
  <c r="AD1243" i="1" a="1"/>
  <c r="AD1243" i="1" s="1"/>
  <c r="AD1244" i="1" a="1"/>
  <c r="AD1244" i="1" s="1"/>
  <c r="AD1245" i="1" a="1"/>
  <c r="AD1245" i="1" s="1"/>
  <c r="AD1246" i="1" a="1"/>
  <c r="AD1246" i="1" s="1"/>
  <c r="AD1247" i="1" a="1"/>
  <c r="AD1247" i="1" s="1"/>
  <c r="AD1248" i="1" a="1"/>
  <c r="AD1248" i="1" s="1"/>
  <c r="AD1249" i="1" a="1"/>
  <c r="AD1249" i="1" s="1"/>
  <c r="AD1250" i="1" a="1"/>
  <c r="AD1250" i="1" s="1"/>
  <c r="AD1251" i="1" a="1"/>
  <c r="AD1251" i="1" s="1"/>
  <c r="AD1252" i="1" a="1"/>
  <c r="AD1252" i="1" s="1"/>
  <c r="AD1253" i="1" a="1"/>
  <c r="AD1253" i="1" s="1"/>
  <c r="AD1254" i="1" a="1"/>
  <c r="AD1254" i="1" s="1"/>
  <c r="AD1255" i="1" a="1"/>
  <c r="AD1255" i="1" s="1"/>
  <c r="AD1256" i="1" a="1"/>
  <c r="AD1256" i="1" s="1"/>
  <c r="AD1257" i="1" a="1"/>
  <c r="AD1257" i="1" s="1"/>
  <c r="AD1258" i="1" a="1"/>
  <c r="AD1258" i="1" s="1"/>
  <c r="AD1259" i="1" a="1"/>
  <c r="AD1259" i="1" s="1"/>
  <c r="AD1260" i="1" a="1"/>
  <c r="AD1260" i="1" s="1"/>
  <c r="AD1261" i="1" a="1"/>
  <c r="AD1261" i="1" s="1"/>
  <c r="AD1262" i="1" a="1"/>
  <c r="AD1262" i="1" s="1"/>
  <c r="AD1263" i="1" a="1"/>
  <c r="AD1263" i="1" s="1"/>
  <c r="AD1264" i="1" a="1"/>
  <c r="AD1264" i="1" s="1"/>
  <c r="AD1265" i="1" a="1"/>
  <c r="AD1265" i="1" s="1"/>
  <c r="AD1266" i="1" a="1"/>
  <c r="AD1266" i="1" s="1"/>
  <c r="AD1267" i="1" a="1"/>
  <c r="AD1267" i="1" s="1"/>
  <c r="AD1268" i="1" a="1"/>
  <c r="AD1268" i="1" s="1"/>
  <c r="AD1269" i="1" a="1"/>
  <c r="AD1269" i="1" s="1"/>
  <c r="AD1270" i="1" a="1"/>
  <c r="AD1270" i="1" s="1"/>
  <c r="AD1271" i="1" a="1"/>
  <c r="AD1271" i="1" s="1"/>
  <c r="AD1272" i="1" a="1"/>
  <c r="AD1272" i="1" s="1"/>
  <c r="AD1273" i="1" a="1"/>
  <c r="AD1273" i="1" s="1"/>
  <c r="AD1274" i="1" a="1"/>
  <c r="AD1274" i="1" s="1"/>
  <c r="AD1275" i="1" a="1"/>
  <c r="AD1275" i="1" s="1"/>
  <c r="AD1276" i="1" a="1"/>
  <c r="AD1276" i="1" s="1"/>
  <c r="AD1277" i="1" a="1"/>
  <c r="AD1277" i="1" s="1"/>
  <c r="AD1278" i="1" a="1"/>
  <c r="AD1278" i="1" s="1"/>
  <c r="AD1279" i="1" a="1"/>
  <c r="AD1279" i="1" s="1"/>
  <c r="AD1280" i="1" a="1"/>
  <c r="AD1280" i="1" s="1"/>
  <c r="AD1281" i="1" a="1"/>
  <c r="AD1281" i="1" s="1"/>
  <c r="AD1282" i="1" a="1"/>
  <c r="AD1282" i="1" s="1"/>
  <c r="AD1283" i="1" a="1"/>
  <c r="AD1283" i="1" s="1"/>
  <c r="AD1284" i="1" a="1"/>
  <c r="AD1284" i="1" s="1"/>
  <c r="AD1285" i="1" a="1"/>
  <c r="AD1285" i="1" s="1"/>
  <c r="AD1286" i="1" a="1"/>
  <c r="AD1286" i="1" s="1"/>
  <c r="AD1287" i="1" a="1"/>
  <c r="AD1287" i="1" s="1"/>
  <c r="AD1288" i="1" a="1"/>
  <c r="AD1288" i="1" s="1"/>
  <c r="AD1289" i="1" a="1"/>
  <c r="AD1289" i="1" s="1"/>
  <c r="AD1290" i="1" a="1"/>
  <c r="AD1290" i="1" s="1"/>
  <c r="AD1291" i="1" a="1"/>
  <c r="AD1291" i="1" s="1"/>
  <c r="AD1292" i="1" a="1"/>
  <c r="AD1292" i="1" s="1"/>
  <c r="AD1293" i="1" a="1"/>
  <c r="AD1293" i="1" s="1"/>
  <c r="AD1294" i="1" a="1"/>
  <c r="AD1294" i="1" s="1"/>
  <c r="AD1295" i="1" a="1"/>
  <c r="AD1295" i="1" s="1"/>
  <c r="AD1296" i="1" a="1"/>
  <c r="AD1296" i="1" s="1"/>
  <c r="AD1297" i="1" a="1"/>
  <c r="AD1297" i="1" s="1"/>
  <c r="AD1298" i="1" a="1"/>
  <c r="AD1298" i="1" s="1"/>
  <c r="AD1299" i="1" a="1"/>
  <c r="AD1299" i="1" s="1"/>
  <c r="AD1300" i="1" a="1"/>
  <c r="AD1300" i="1" s="1"/>
  <c r="AD1301" i="1" a="1"/>
  <c r="AD1301" i="1" s="1"/>
  <c r="AD1302" i="1" a="1"/>
  <c r="AD1302" i="1" s="1"/>
  <c r="AD1303" i="1" a="1"/>
  <c r="AD1303" i="1" s="1"/>
  <c r="AD1304" i="1" a="1"/>
  <c r="AD1304" i="1" s="1"/>
  <c r="AD1305" i="1" a="1"/>
  <c r="AD1305" i="1" s="1"/>
  <c r="AD1306" i="1" a="1"/>
  <c r="AD1306" i="1" s="1"/>
  <c r="AD1307" i="1" a="1"/>
  <c r="AD1307" i="1" s="1"/>
  <c r="AD1308" i="1" a="1"/>
  <c r="AD1308" i="1" s="1"/>
  <c r="AD1309" i="1" a="1"/>
  <c r="AD1309" i="1" s="1"/>
  <c r="AD1310" i="1" a="1"/>
  <c r="AD1310" i="1" s="1"/>
  <c r="AD1311" i="1" a="1"/>
  <c r="AD1311" i="1" s="1"/>
  <c r="AD1312" i="1" a="1"/>
  <c r="AD1312" i="1" s="1"/>
  <c r="AD1313" i="1" a="1"/>
  <c r="AD1313" i="1" s="1"/>
  <c r="AD1314" i="1" a="1"/>
  <c r="AD1314" i="1" s="1"/>
  <c r="AD1315" i="1" a="1"/>
  <c r="AD1315" i="1" s="1"/>
  <c r="AD1316" i="1" a="1"/>
  <c r="AD1316" i="1" s="1"/>
  <c r="AD1317" i="1" a="1"/>
  <c r="AD1317" i="1" s="1"/>
  <c r="AD1318" i="1" a="1"/>
  <c r="AD1318" i="1" s="1"/>
  <c r="AD1319" i="1" a="1"/>
  <c r="AD1319" i="1" s="1"/>
  <c r="AD1320" i="1" a="1"/>
  <c r="AD1320" i="1" s="1"/>
  <c r="AD1321" i="1" a="1"/>
  <c r="AD1321" i="1" s="1"/>
  <c r="AD1322" i="1" a="1"/>
  <c r="AD1322" i="1" s="1"/>
  <c r="AD1323" i="1" a="1"/>
  <c r="AD1323" i="1" s="1"/>
  <c r="AD1324" i="1" a="1"/>
  <c r="AD1324" i="1" s="1"/>
  <c r="AD1325" i="1" a="1"/>
  <c r="AD1325" i="1" s="1"/>
  <c r="AD1326" i="1" a="1"/>
  <c r="AD1326" i="1" s="1"/>
  <c r="AD1327" i="1" a="1"/>
  <c r="AD1327" i="1" s="1"/>
  <c r="AD1328" i="1" a="1"/>
  <c r="AD1328" i="1" s="1"/>
  <c r="AD1329" i="1" a="1"/>
  <c r="AD1329" i="1" s="1"/>
  <c r="AD1330" i="1" a="1"/>
  <c r="AD1330" i="1" s="1"/>
  <c r="AD1331" i="1" a="1"/>
  <c r="AD1331" i="1" s="1"/>
  <c r="AD1332" i="1" a="1"/>
  <c r="AD1332" i="1" s="1"/>
  <c r="AD1333" i="1" a="1"/>
  <c r="AD1333" i="1" s="1"/>
  <c r="AD1334" i="1" a="1"/>
  <c r="AD1334" i="1" s="1"/>
  <c r="AD1335" i="1" a="1"/>
  <c r="AD1335" i="1" s="1"/>
  <c r="AD1336" i="1" a="1"/>
  <c r="AD1336" i="1" s="1"/>
  <c r="AD1337" i="1" a="1"/>
  <c r="AD1337" i="1" s="1"/>
  <c r="AD1338" i="1" a="1"/>
  <c r="AD1338" i="1" s="1"/>
  <c r="AD1339" i="1" a="1"/>
  <c r="AD1339" i="1" s="1"/>
  <c r="AD1340" i="1" a="1"/>
  <c r="AD1340" i="1" s="1"/>
  <c r="AD1341" i="1" a="1"/>
  <c r="AD1341" i="1" s="1"/>
  <c r="AD1342" i="1" a="1"/>
  <c r="AD1342" i="1" s="1"/>
  <c r="AD1343" i="1" a="1"/>
  <c r="AD1343" i="1" s="1"/>
  <c r="AD1344" i="1" a="1"/>
  <c r="AD1344" i="1" s="1"/>
  <c r="AD1345" i="1" a="1"/>
  <c r="AD1345" i="1" s="1"/>
  <c r="AD1346" i="1" a="1"/>
  <c r="AD1346" i="1" s="1"/>
  <c r="AD1347" i="1" a="1"/>
  <c r="AD1347" i="1" s="1"/>
  <c r="AD1348" i="1" a="1"/>
  <c r="AD1348" i="1" s="1"/>
  <c r="AD1349" i="1" a="1"/>
  <c r="AD1349" i="1" s="1"/>
  <c r="AD1350" i="1" a="1"/>
  <c r="AD1350" i="1" s="1"/>
  <c r="AD1351" i="1" a="1"/>
  <c r="AD1351" i="1" s="1"/>
  <c r="AD1352" i="1" a="1"/>
  <c r="AD1352" i="1" s="1"/>
  <c r="AD1353" i="1" a="1"/>
  <c r="AD1353" i="1" s="1"/>
  <c r="AD1354" i="1" a="1"/>
  <c r="AD1354" i="1" s="1"/>
  <c r="AD1355" i="1" a="1"/>
  <c r="AD1355" i="1" s="1"/>
  <c r="AD1356" i="1" a="1"/>
  <c r="AD1356" i="1" s="1"/>
  <c r="AD1357" i="1" a="1"/>
  <c r="AD1357" i="1" s="1"/>
  <c r="AD1358" i="1" a="1"/>
  <c r="AD1358" i="1" s="1"/>
  <c r="AD1359" i="1" a="1"/>
  <c r="AD1359" i="1" s="1"/>
  <c r="AD1360" i="1" a="1"/>
  <c r="AD1360" i="1" s="1"/>
  <c r="AD1361" i="1" a="1"/>
  <c r="AD1361" i="1" s="1"/>
  <c r="AD1362" i="1" a="1"/>
  <c r="AD1362" i="1" s="1"/>
  <c r="AD1363" i="1" a="1"/>
  <c r="AD1363" i="1" s="1"/>
  <c r="AD1364" i="1" a="1"/>
  <c r="AD1364" i="1" s="1"/>
  <c r="AD1365" i="1" a="1"/>
  <c r="AD1365" i="1" s="1"/>
  <c r="AD1366" i="1" a="1"/>
  <c r="AD1366" i="1" s="1"/>
  <c r="AD1367" i="1" a="1"/>
  <c r="AD1367" i="1" s="1"/>
  <c r="AD1368" i="1" a="1"/>
  <c r="AD1368" i="1" s="1"/>
  <c r="AD1369" i="1" a="1"/>
  <c r="AD1369" i="1" s="1"/>
  <c r="AD1370" i="1" a="1"/>
  <c r="AD1370" i="1" s="1"/>
  <c r="AD1371" i="1" a="1"/>
  <c r="AD1371" i="1" s="1"/>
  <c r="AD1372" i="1" a="1"/>
  <c r="AD1372" i="1" s="1"/>
  <c r="AD1373" i="1" a="1"/>
  <c r="AD1373" i="1" s="1"/>
  <c r="AD1374" i="1" a="1"/>
  <c r="AD1374" i="1" s="1"/>
  <c r="AD1375" i="1" a="1"/>
  <c r="AD1375" i="1" s="1"/>
  <c r="AD1376" i="1" a="1"/>
  <c r="AD1376" i="1" s="1"/>
  <c r="AD1377" i="1" a="1"/>
  <c r="AD1377" i="1" s="1"/>
  <c r="AD1378" i="1" a="1"/>
  <c r="AD1378" i="1" s="1"/>
  <c r="AD1379" i="1" a="1"/>
  <c r="AD1379" i="1" s="1"/>
  <c r="AD1380" i="1" a="1"/>
  <c r="AD1380" i="1" s="1"/>
  <c r="AD1381" i="1" a="1"/>
  <c r="AD1381" i="1" s="1"/>
  <c r="AD1382" i="1" a="1"/>
  <c r="AD1382" i="1" s="1"/>
  <c r="AD1383" i="1" a="1"/>
  <c r="AD1383" i="1" s="1"/>
  <c r="AD1384" i="1" a="1"/>
  <c r="AD1384" i="1" s="1"/>
  <c r="AD1385" i="1" a="1"/>
  <c r="AD1385" i="1" s="1"/>
  <c r="AD1386" i="1" a="1"/>
  <c r="AD1386" i="1" s="1"/>
  <c r="AD1387" i="1" a="1"/>
  <c r="AD1387" i="1" s="1"/>
  <c r="AD1388" i="1" a="1"/>
  <c r="AD1388" i="1" s="1"/>
  <c r="AD1389" i="1" a="1"/>
  <c r="AD1389" i="1" s="1"/>
  <c r="AD1390" i="1" a="1"/>
  <c r="AD1390" i="1" s="1"/>
  <c r="AD1391" i="1" a="1"/>
  <c r="AD1391" i="1" s="1"/>
  <c r="AD1392" i="1" a="1"/>
  <c r="AD1392" i="1" s="1"/>
  <c r="AD1393" i="1" a="1"/>
  <c r="AD1393" i="1" s="1"/>
  <c r="AD1394" i="1" a="1"/>
  <c r="AD1394" i="1" s="1"/>
  <c r="AD1395" i="1" a="1"/>
  <c r="AD1395" i="1" s="1"/>
  <c r="AD1396" i="1" a="1"/>
  <c r="AD1396" i="1" s="1"/>
  <c r="AD1397" i="1" a="1"/>
  <c r="AD1397" i="1" s="1"/>
  <c r="AD1398" i="1" a="1"/>
  <c r="AD1398" i="1" s="1"/>
  <c r="AD1399" i="1" a="1"/>
  <c r="AD1399" i="1" s="1"/>
  <c r="AD1400" i="1" a="1"/>
  <c r="AD1400" i="1" s="1"/>
  <c r="AD1401" i="1" a="1"/>
  <c r="AD1401" i="1" s="1"/>
  <c r="AD1402" i="1" a="1"/>
  <c r="AD1402" i="1" s="1"/>
  <c r="AD1403" i="1" a="1"/>
  <c r="AD1403" i="1" s="1"/>
  <c r="AD1404" i="1" a="1"/>
  <c r="AD1404" i="1" s="1"/>
  <c r="AD1405" i="1" a="1"/>
  <c r="AD1405" i="1" s="1"/>
  <c r="AD1406" i="1" a="1"/>
  <c r="AD1406" i="1" s="1"/>
  <c r="AD1407" i="1" a="1"/>
  <c r="AD1407" i="1" s="1"/>
  <c r="AD1408" i="1" a="1"/>
  <c r="AD1408" i="1" s="1"/>
  <c r="AD1409" i="1" a="1"/>
  <c r="AD1409" i="1" s="1"/>
  <c r="AD1410" i="1" a="1"/>
  <c r="AD1410" i="1" s="1"/>
  <c r="AD1411" i="1" a="1"/>
  <c r="AD1411" i="1" s="1"/>
  <c r="AD1412" i="1" a="1"/>
  <c r="AD1412" i="1" s="1"/>
  <c r="AD1413" i="1" a="1"/>
  <c r="AD1413" i="1" s="1"/>
  <c r="AD1414" i="1" a="1"/>
  <c r="AD1414" i="1" s="1"/>
  <c r="AD1415" i="1" a="1"/>
  <c r="AD1415" i="1" s="1"/>
  <c r="AD1416" i="1" a="1"/>
  <c r="AD1416" i="1" s="1"/>
  <c r="AD1417" i="1" a="1"/>
  <c r="AD1417" i="1" s="1"/>
  <c r="AD1418" i="1" a="1"/>
  <c r="AD1418" i="1" s="1"/>
  <c r="AD1419" i="1" a="1"/>
  <c r="AD1419" i="1" s="1"/>
  <c r="AD1420" i="1" a="1"/>
  <c r="AD1420" i="1" s="1"/>
  <c r="AD1421" i="1" a="1"/>
  <c r="AD1421" i="1" s="1"/>
  <c r="AD1422" i="1" a="1"/>
  <c r="AD1422" i="1" s="1"/>
  <c r="AD1423" i="1" a="1"/>
  <c r="AD1423" i="1" s="1"/>
  <c r="AD1424" i="1" a="1"/>
  <c r="AD1424" i="1" s="1"/>
  <c r="AD1425" i="1" a="1"/>
  <c r="AD1425" i="1" s="1"/>
  <c r="AD1426" i="1" a="1"/>
  <c r="AD1426" i="1" s="1"/>
  <c r="AD1427" i="1" a="1"/>
  <c r="AD1427" i="1" s="1"/>
  <c r="AD1428" i="1" a="1"/>
  <c r="AD1428" i="1" s="1"/>
  <c r="AD1429" i="1" a="1"/>
  <c r="AD1429" i="1" s="1"/>
  <c r="AD1430" i="1" a="1"/>
  <c r="AD1430" i="1" s="1"/>
  <c r="AD1431" i="1" a="1"/>
  <c r="AD1431" i="1" s="1"/>
  <c r="AD1432" i="1" a="1"/>
  <c r="AD1432" i="1" s="1"/>
  <c r="AD1433" i="1" a="1"/>
  <c r="AD1433" i="1" s="1"/>
  <c r="AD1434" i="1" a="1"/>
  <c r="AD1434" i="1" s="1"/>
  <c r="AD1435" i="1" a="1"/>
  <c r="AD1435" i="1" s="1"/>
  <c r="AD1436" i="1" a="1"/>
  <c r="AD1436" i="1" s="1"/>
  <c r="AD1437" i="1" a="1"/>
  <c r="AD1437" i="1" s="1"/>
  <c r="AD1438" i="1" a="1"/>
  <c r="AD1438" i="1" s="1"/>
  <c r="AD1439" i="1" a="1"/>
  <c r="AD1439" i="1" s="1"/>
  <c r="AD1440" i="1" a="1"/>
  <c r="AD1440" i="1" s="1"/>
  <c r="AD1441" i="1" a="1"/>
  <c r="AD1441" i="1" s="1"/>
  <c r="AD1442" i="1" a="1"/>
  <c r="AD1442" i="1" s="1"/>
  <c r="AD1443" i="1" a="1"/>
  <c r="AD1443" i="1" s="1"/>
  <c r="AD1444" i="1" a="1"/>
  <c r="AD1444" i="1" s="1"/>
  <c r="AD1445" i="1" a="1"/>
  <c r="AD1445" i="1" s="1"/>
  <c r="AD1446" i="1" a="1"/>
  <c r="AD1446" i="1" s="1"/>
  <c r="AD1447" i="1" a="1"/>
  <c r="AD1447" i="1" s="1"/>
  <c r="AD1448" i="1" a="1"/>
  <c r="AD1448" i="1" s="1"/>
  <c r="AD1449" i="1" a="1"/>
  <c r="AD1449" i="1" s="1"/>
  <c r="AD1450" i="1" a="1"/>
  <c r="AD1450" i="1" s="1"/>
  <c r="AD1451" i="1" a="1"/>
  <c r="AD1451" i="1" s="1"/>
  <c r="AD1452" i="1" a="1"/>
  <c r="AD1452" i="1" s="1"/>
  <c r="AD1453" i="1" a="1"/>
  <c r="AD1453" i="1" s="1"/>
  <c r="AD1454" i="1" a="1"/>
  <c r="AD1454" i="1" s="1"/>
  <c r="AD1455" i="1" a="1"/>
  <c r="AD1455" i="1" s="1"/>
  <c r="AD1456" i="1" a="1"/>
  <c r="AD1456" i="1" s="1"/>
  <c r="AD1457" i="1" a="1"/>
  <c r="AD1457" i="1" s="1"/>
  <c r="AD1458" i="1" a="1"/>
  <c r="AD1458" i="1" s="1"/>
  <c r="AD1459" i="1" a="1"/>
  <c r="AD1459" i="1" s="1"/>
  <c r="AD1460" i="1" a="1"/>
  <c r="AD1460" i="1" s="1"/>
  <c r="AD1461" i="1" a="1"/>
  <c r="AD1461" i="1" s="1"/>
  <c r="AD1462" i="1" a="1"/>
  <c r="AD1462" i="1" s="1"/>
  <c r="AD1463" i="1" a="1"/>
  <c r="AD1463" i="1" s="1"/>
  <c r="AD1464" i="1" a="1"/>
  <c r="AD1464" i="1" s="1"/>
  <c r="AD1465" i="1" a="1"/>
  <c r="AD1465" i="1" s="1"/>
  <c r="AD1466" i="1" a="1"/>
  <c r="AD1466" i="1" s="1"/>
  <c r="AD1467" i="1" a="1"/>
  <c r="AD1467" i="1" s="1"/>
  <c r="AD1468" i="1" a="1"/>
  <c r="AD1468" i="1" s="1"/>
  <c r="AD1469" i="1" a="1"/>
  <c r="AD1469" i="1" s="1"/>
  <c r="AD1470" i="1" a="1"/>
  <c r="AD1470" i="1" s="1"/>
  <c r="AD1471" i="1" a="1"/>
  <c r="AD1471" i="1" s="1"/>
  <c r="B8" i="1" a="1"/>
  <c r="B8" i="1" s="1"/>
  <c r="B78" i="1" a="1"/>
  <c r="B78" i="1" s="1"/>
  <c r="B59" i="2"/>
  <c r="B58" i="2"/>
  <c r="X8" i="1" a="1"/>
  <c r="X8" i="1" s="1"/>
  <c r="N2" i="1" a="1"/>
  <c r="N2" i="1" s="1"/>
  <c r="N3" i="1" a="1"/>
  <c r="N3" i="1" s="1"/>
  <c r="N4" i="1" a="1"/>
  <c r="N4" i="1" s="1"/>
  <c r="N5" i="1" a="1"/>
  <c r="N5" i="1" s="1"/>
  <c r="N6" i="1" a="1"/>
  <c r="N6" i="1" s="1"/>
  <c r="N7" i="1" a="1"/>
  <c r="N7" i="1" s="1"/>
  <c r="N8" i="1" a="1"/>
  <c r="N8" i="1" s="1"/>
  <c r="N9" i="1" a="1"/>
  <c r="N9" i="1" s="1"/>
  <c r="N10" i="1" a="1"/>
  <c r="N10" i="1" s="1"/>
  <c r="N11" i="1" a="1"/>
  <c r="N11" i="1" s="1"/>
  <c r="N12" i="1" a="1"/>
  <c r="N12" i="1" s="1"/>
  <c r="N13" i="1" a="1"/>
  <c r="N13" i="1" s="1"/>
  <c r="N14" i="1" a="1"/>
  <c r="N14" i="1" s="1"/>
  <c r="N15" i="1" a="1"/>
  <c r="N15" i="1" s="1"/>
  <c r="N16" i="1" a="1"/>
  <c r="N16" i="1" s="1"/>
  <c r="N17" i="1" a="1"/>
  <c r="N17" i="1" s="1"/>
  <c r="N18" i="1" a="1"/>
  <c r="N18" i="1" s="1"/>
  <c r="N19" i="1" a="1"/>
  <c r="N19" i="1" s="1"/>
  <c r="N20" i="1" a="1"/>
  <c r="N20" i="1" s="1"/>
  <c r="N21" i="1" a="1"/>
  <c r="N21" i="1" s="1"/>
  <c r="N22" i="1" a="1"/>
  <c r="N22" i="1" s="1"/>
  <c r="N23" i="1" a="1"/>
  <c r="N23" i="1" s="1"/>
  <c r="N24" i="1" a="1"/>
  <c r="N24" i="1" s="1"/>
  <c r="N25" i="1" a="1"/>
  <c r="N25" i="1" s="1"/>
  <c r="N26" i="1" a="1"/>
  <c r="N26" i="1" s="1"/>
  <c r="N27" i="1" a="1"/>
  <c r="N27" i="1" s="1"/>
  <c r="N28" i="1" a="1"/>
  <c r="N28" i="1" s="1"/>
  <c r="N29" i="1" a="1"/>
  <c r="N29" i="1" s="1"/>
  <c r="N30" i="1" a="1"/>
  <c r="N30" i="1" s="1"/>
  <c r="N31" i="1" a="1"/>
  <c r="N31" i="1" s="1"/>
  <c r="N32" i="1" a="1"/>
  <c r="N32" i="1" s="1"/>
  <c r="N33" i="1" a="1"/>
  <c r="N33" i="1" s="1"/>
  <c r="N34" i="1" a="1"/>
  <c r="N34" i="1" s="1"/>
  <c r="N35" i="1" a="1"/>
  <c r="N35" i="1" s="1"/>
  <c r="N36" i="1" a="1"/>
  <c r="N36" i="1" s="1"/>
  <c r="N37" i="1" a="1"/>
  <c r="N37" i="1" s="1"/>
  <c r="N38" i="1" a="1"/>
  <c r="N38" i="1" s="1"/>
  <c r="N39" i="1" a="1"/>
  <c r="N39" i="1" s="1"/>
  <c r="N40" i="1" a="1"/>
  <c r="N40" i="1" s="1"/>
  <c r="N41" i="1" a="1"/>
  <c r="N41" i="1" s="1"/>
  <c r="N42" i="1" a="1"/>
  <c r="N42" i="1" s="1"/>
  <c r="N43" i="1" a="1"/>
  <c r="N43" i="1" s="1"/>
  <c r="N44" i="1" a="1"/>
  <c r="N44" i="1" s="1"/>
  <c r="N45" i="1" a="1"/>
  <c r="N45" i="1" s="1"/>
  <c r="N46" i="1" a="1"/>
  <c r="N46" i="1" s="1"/>
  <c r="N47" i="1" a="1"/>
  <c r="N47" i="1" s="1"/>
  <c r="N48" i="1" a="1"/>
  <c r="N48" i="1" s="1"/>
  <c r="N49" i="1" a="1"/>
  <c r="N49" i="1" s="1"/>
  <c r="N50" i="1" a="1"/>
  <c r="N50" i="1" s="1"/>
  <c r="N51" i="1" a="1"/>
  <c r="N51" i="1" s="1"/>
  <c r="N52" i="1" a="1"/>
  <c r="N52" i="1" s="1"/>
  <c r="N53" i="1" a="1"/>
  <c r="N53" i="1" s="1"/>
  <c r="N54" i="1" a="1"/>
  <c r="N54" i="1" s="1"/>
  <c r="N55" i="1" a="1"/>
  <c r="N55" i="1" s="1"/>
  <c r="N56" i="1" a="1"/>
  <c r="N56" i="1" s="1"/>
  <c r="N57" i="1" a="1"/>
  <c r="N57" i="1" s="1"/>
  <c r="N58" i="1" a="1"/>
  <c r="N58" i="1" s="1"/>
  <c r="N59" i="1" a="1"/>
  <c r="N59" i="1" s="1"/>
  <c r="N60" i="1" a="1"/>
  <c r="N60" i="1" s="1"/>
  <c r="N61" i="1" a="1"/>
  <c r="N61" i="1" s="1"/>
  <c r="N62" i="1" a="1"/>
  <c r="N62" i="1" s="1"/>
  <c r="N63" i="1" a="1"/>
  <c r="N63" i="1" s="1"/>
  <c r="N64" i="1" a="1"/>
  <c r="N64" i="1" s="1"/>
  <c r="N65" i="1" a="1"/>
  <c r="N65" i="1" s="1"/>
  <c r="N66" i="1" a="1"/>
  <c r="N66" i="1" s="1"/>
  <c r="N67" i="1" a="1"/>
  <c r="N67" i="1" s="1"/>
  <c r="N68" i="1" a="1"/>
  <c r="N68" i="1" s="1"/>
  <c r="N69" i="1" a="1"/>
  <c r="N69" i="1" s="1"/>
  <c r="N70" i="1" a="1"/>
  <c r="N70" i="1" s="1"/>
  <c r="N71" i="1" a="1"/>
  <c r="N71" i="1" s="1"/>
  <c r="N72" i="1" a="1"/>
  <c r="N72" i="1" s="1"/>
  <c r="N73" i="1" a="1"/>
  <c r="N73" i="1" s="1"/>
  <c r="N74" i="1" a="1"/>
  <c r="N74" i="1" s="1"/>
  <c r="N75" i="1" a="1"/>
  <c r="N75" i="1" s="1"/>
  <c r="N76" i="1" a="1"/>
  <c r="N76" i="1" s="1"/>
  <c r="N77" i="1" a="1"/>
  <c r="N77" i="1" s="1"/>
  <c r="N78" i="1" a="1"/>
  <c r="N78" i="1" s="1"/>
  <c r="N79" i="1" a="1"/>
  <c r="N79" i="1" s="1"/>
  <c r="N80" i="1" a="1"/>
  <c r="N80" i="1" s="1"/>
  <c r="N81" i="1" a="1"/>
  <c r="N81" i="1" s="1"/>
  <c r="N82" i="1" a="1"/>
  <c r="N82" i="1" s="1"/>
  <c r="N83" i="1" a="1"/>
  <c r="N83" i="1" s="1"/>
  <c r="N84" i="1" a="1"/>
  <c r="N84" i="1" s="1"/>
  <c r="N85" i="1" a="1"/>
  <c r="N85" i="1" s="1"/>
  <c r="N86" i="1" a="1"/>
  <c r="N86" i="1" s="1"/>
  <c r="N87" i="1" a="1"/>
  <c r="N87" i="1" s="1"/>
  <c r="N88" i="1" a="1"/>
  <c r="N88" i="1" s="1"/>
  <c r="N89" i="1" a="1"/>
  <c r="N89" i="1" s="1"/>
  <c r="N90" i="1" a="1"/>
  <c r="N90" i="1" s="1"/>
  <c r="N91" i="1" a="1"/>
  <c r="N91" i="1" s="1"/>
  <c r="N92" i="1" a="1"/>
  <c r="N92" i="1" s="1"/>
  <c r="N93" i="1" a="1"/>
  <c r="N93" i="1" s="1"/>
  <c r="N94" i="1" a="1"/>
  <c r="N94" i="1" s="1"/>
  <c r="N95" i="1" a="1"/>
  <c r="N95" i="1" s="1"/>
  <c r="N96" i="1" a="1"/>
  <c r="N96" i="1" s="1"/>
  <c r="N97" i="1" a="1"/>
  <c r="N97" i="1" s="1"/>
  <c r="N98" i="1" a="1"/>
  <c r="N98" i="1" s="1"/>
  <c r="N99" i="1" a="1"/>
  <c r="N99" i="1" s="1"/>
  <c r="N100" i="1" a="1"/>
  <c r="N100" i="1" s="1"/>
  <c r="N101" i="1" a="1"/>
  <c r="N101" i="1" s="1"/>
  <c r="N102" i="1" a="1"/>
  <c r="N102" i="1" s="1"/>
  <c r="N103" i="1" a="1"/>
  <c r="N103" i="1" s="1"/>
  <c r="N104" i="1" a="1"/>
  <c r="N104" i="1" s="1"/>
  <c r="N105" i="1" a="1"/>
  <c r="N105" i="1" s="1"/>
  <c r="N106" i="1" a="1"/>
  <c r="N106" i="1" s="1"/>
  <c r="N107" i="1" a="1"/>
  <c r="N107" i="1" s="1"/>
  <c r="N108" i="1" a="1"/>
  <c r="N108" i="1" s="1"/>
  <c r="N109" i="1" a="1"/>
  <c r="N109" i="1" s="1"/>
  <c r="N110" i="1" a="1"/>
  <c r="N110" i="1" s="1"/>
  <c r="N111" i="1" a="1"/>
  <c r="N111" i="1" s="1"/>
  <c r="N112" i="1" a="1"/>
  <c r="N112" i="1" s="1"/>
  <c r="N113" i="1" a="1"/>
  <c r="N113" i="1" s="1"/>
  <c r="N114" i="1" a="1"/>
  <c r="N114" i="1" s="1"/>
  <c r="N115" i="1" a="1"/>
  <c r="N115" i="1" s="1"/>
  <c r="N116" i="1" a="1"/>
  <c r="N116" i="1" s="1"/>
  <c r="N117" i="1" a="1"/>
  <c r="N117" i="1" s="1"/>
  <c r="N118" i="1" a="1"/>
  <c r="N118" i="1" s="1"/>
  <c r="N119" i="1" a="1"/>
  <c r="N119" i="1" s="1"/>
  <c r="N120" i="1" a="1"/>
  <c r="N120" i="1" s="1"/>
  <c r="N121" i="1" a="1"/>
  <c r="N121" i="1" s="1"/>
  <c r="N122" i="1" a="1"/>
  <c r="N122" i="1" s="1"/>
  <c r="N123" i="1" a="1"/>
  <c r="N123" i="1" s="1"/>
  <c r="N124" i="1" a="1"/>
  <c r="N124" i="1" s="1"/>
  <c r="N125" i="1" a="1"/>
  <c r="N125" i="1" s="1"/>
  <c r="N126" i="1" a="1"/>
  <c r="N126" i="1" s="1"/>
  <c r="N127" i="1" a="1"/>
  <c r="N127" i="1" s="1"/>
  <c r="N128" i="1" a="1"/>
  <c r="N128" i="1" s="1"/>
  <c r="N129" i="1" a="1"/>
  <c r="N129" i="1" s="1"/>
  <c r="N130" i="1" a="1"/>
  <c r="N130" i="1" s="1"/>
  <c r="N131" i="1" a="1"/>
  <c r="N131" i="1" s="1"/>
  <c r="N132" i="1" a="1"/>
  <c r="N132" i="1" s="1"/>
  <c r="N133" i="1" a="1"/>
  <c r="N133" i="1" s="1"/>
  <c r="N134" i="1" a="1"/>
  <c r="N134" i="1" s="1"/>
  <c r="N135" i="1" a="1"/>
  <c r="N135" i="1" s="1"/>
  <c r="N136" i="1" a="1"/>
  <c r="N136" i="1" s="1"/>
  <c r="N137" i="1" a="1"/>
  <c r="N137" i="1" s="1"/>
  <c r="N138" i="1" a="1"/>
  <c r="N138" i="1" s="1"/>
  <c r="N139" i="1" a="1"/>
  <c r="N139" i="1" s="1"/>
  <c r="N140" i="1" a="1"/>
  <c r="N140" i="1" s="1"/>
  <c r="N141" i="1" a="1"/>
  <c r="N141" i="1" s="1"/>
  <c r="N142" i="1" a="1"/>
  <c r="N142" i="1" s="1"/>
  <c r="N143" i="1" a="1"/>
  <c r="N143" i="1" s="1"/>
  <c r="N144" i="1" a="1"/>
  <c r="N144" i="1" s="1"/>
  <c r="N145" i="1" a="1"/>
  <c r="N145" i="1" s="1"/>
  <c r="N146" i="1" a="1"/>
  <c r="N146" i="1" s="1"/>
  <c r="N147" i="1" a="1"/>
  <c r="N147" i="1" s="1"/>
  <c r="N148" i="1" a="1"/>
  <c r="N148" i="1" s="1"/>
  <c r="N149" i="1" a="1"/>
  <c r="N149" i="1" s="1"/>
  <c r="N150" i="1" a="1"/>
  <c r="N150" i="1" s="1"/>
  <c r="N151" i="1" a="1"/>
  <c r="N151" i="1" s="1"/>
  <c r="N152" i="1" a="1"/>
  <c r="N152" i="1" s="1"/>
  <c r="N153" i="1" a="1"/>
  <c r="N153" i="1" s="1"/>
  <c r="N154" i="1" a="1"/>
  <c r="N154" i="1" s="1"/>
  <c r="N155" i="1" a="1"/>
  <c r="N155" i="1" s="1"/>
  <c r="N156" i="1" a="1"/>
  <c r="N156" i="1" s="1"/>
  <c r="N157" i="1" a="1"/>
  <c r="N157" i="1" s="1"/>
  <c r="N158" i="1" a="1"/>
  <c r="N158" i="1" s="1"/>
  <c r="N159" i="1" a="1"/>
  <c r="N159" i="1" s="1"/>
  <c r="N160" i="1" a="1"/>
  <c r="N160" i="1" s="1"/>
  <c r="N161" i="1" a="1"/>
  <c r="N161" i="1" s="1"/>
  <c r="N162" i="1" a="1"/>
  <c r="N162" i="1" s="1"/>
  <c r="N163" i="1" a="1"/>
  <c r="N163" i="1" s="1"/>
  <c r="N164" i="1" a="1"/>
  <c r="N164" i="1" s="1"/>
  <c r="N165" i="1" a="1"/>
  <c r="N165" i="1" s="1"/>
  <c r="N166" i="1" a="1"/>
  <c r="N166" i="1" s="1"/>
  <c r="N167" i="1" a="1"/>
  <c r="N167" i="1" s="1"/>
  <c r="N168" i="1" a="1"/>
  <c r="N168" i="1" s="1"/>
  <c r="N169" i="1" a="1"/>
  <c r="N169" i="1" s="1"/>
  <c r="N170" i="1" a="1"/>
  <c r="N170" i="1" s="1"/>
  <c r="N171" i="1" a="1"/>
  <c r="N171" i="1" s="1"/>
  <c r="N172" i="1" a="1"/>
  <c r="N172" i="1" s="1"/>
  <c r="N173" i="1" a="1"/>
  <c r="N173" i="1" s="1"/>
  <c r="N174" i="1" a="1"/>
  <c r="N174" i="1" s="1"/>
  <c r="N175" i="1" a="1"/>
  <c r="N175" i="1" s="1"/>
  <c r="N176" i="1" a="1"/>
  <c r="N176" i="1" s="1"/>
  <c r="N177" i="1" a="1"/>
  <c r="N177" i="1" s="1"/>
  <c r="N178" i="1" a="1"/>
  <c r="N178" i="1" s="1"/>
  <c r="N179" i="1" a="1"/>
  <c r="N179" i="1" s="1"/>
  <c r="N180" i="1" a="1"/>
  <c r="N180" i="1" s="1"/>
  <c r="N181" i="1" a="1"/>
  <c r="N181" i="1" s="1"/>
  <c r="N182" i="1" a="1"/>
  <c r="N182" i="1" s="1"/>
  <c r="N183" i="1" a="1"/>
  <c r="N183" i="1" s="1"/>
  <c r="N184" i="1" a="1"/>
  <c r="N184" i="1" s="1"/>
  <c r="N185" i="1" a="1"/>
  <c r="N185" i="1" s="1"/>
  <c r="N186" i="1" a="1"/>
  <c r="N186" i="1" s="1"/>
  <c r="N187" i="1" a="1"/>
  <c r="N187" i="1" s="1"/>
  <c r="N188" i="1" a="1"/>
  <c r="N188" i="1" s="1"/>
  <c r="N189" i="1" a="1"/>
  <c r="N189" i="1" s="1"/>
  <c r="N190" i="1" a="1"/>
  <c r="N190" i="1" s="1"/>
  <c r="N191" i="1" a="1"/>
  <c r="N191" i="1" s="1"/>
  <c r="N192" i="1" a="1"/>
  <c r="N192" i="1" s="1"/>
  <c r="N193" i="1" a="1"/>
  <c r="N193" i="1" s="1"/>
  <c r="N194" i="1" a="1"/>
  <c r="N194" i="1" s="1"/>
  <c r="N195" i="1" a="1"/>
  <c r="N195" i="1" s="1"/>
  <c r="N196" i="1" a="1"/>
  <c r="N196" i="1" s="1"/>
  <c r="N197" i="1" a="1"/>
  <c r="N197" i="1" s="1"/>
  <c r="N198" i="1" a="1"/>
  <c r="N198" i="1" s="1"/>
  <c r="N199" i="1" a="1"/>
  <c r="N199" i="1" s="1"/>
  <c r="N200" i="1" a="1"/>
  <c r="N200" i="1" s="1"/>
  <c r="N201" i="1" a="1"/>
  <c r="N201" i="1" s="1"/>
  <c r="N202" i="1" a="1"/>
  <c r="N202" i="1" s="1"/>
  <c r="N203" i="1" a="1"/>
  <c r="N203" i="1" s="1"/>
  <c r="N204" i="1" a="1"/>
  <c r="N204" i="1" s="1"/>
  <c r="N205" i="1" a="1"/>
  <c r="N205" i="1" s="1"/>
  <c r="N206" i="1" a="1"/>
  <c r="N206" i="1" s="1"/>
  <c r="N207" i="1" a="1"/>
  <c r="N207" i="1" s="1"/>
  <c r="N208" i="1" a="1"/>
  <c r="N208" i="1" s="1"/>
  <c r="N209" i="1" a="1"/>
  <c r="N209" i="1" s="1"/>
  <c r="N210" i="1" a="1"/>
  <c r="N210" i="1" s="1"/>
  <c r="N211" i="1" a="1"/>
  <c r="N211" i="1" s="1"/>
  <c r="N212" i="1" a="1"/>
  <c r="N212" i="1" s="1"/>
  <c r="N213" i="1" a="1"/>
  <c r="N213" i="1" s="1"/>
  <c r="N214" i="1" a="1"/>
  <c r="N214" i="1" s="1"/>
  <c r="N215" i="1" a="1"/>
  <c r="N215" i="1" s="1"/>
  <c r="N216" i="1" a="1"/>
  <c r="N216" i="1" s="1"/>
  <c r="N217" i="1" a="1"/>
  <c r="N217" i="1" s="1"/>
  <c r="N218" i="1" a="1"/>
  <c r="N218" i="1" s="1"/>
  <c r="N219" i="1" a="1"/>
  <c r="N219" i="1" s="1"/>
  <c r="N220" i="1" a="1"/>
  <c r="N220" i="1" s="1"/>
  <c r="N221" i="1" a="1"/>
  <c r="N221" i="1" s="1"/>
  <c r="N222" i="1" a="1"/>
  <c r="N222" i="1" s="1"/>
  <c r="N223" i="1" a="1"/>
  <c r="N223" i="1" s="1"/>
  <c r="N224" i="1" a="1"/>
  <c r="N224" i="1" s="1"/>
  <c r="N225" i="1" a="1"/>
  <c r="N225" i="1" s="1"/>
  <c r="N226" i="1" a="1"/>
  <c r="N226" i="1" s="1"/>
  <c r="N227" i="1" a="1"/>
  <c r="N227" i="1" s="1"/>
  <c r="N228" i="1" a="1"/>
  <c r="N228" i="1" s="1"/>
  <c r="N229" i="1" a="1"/>
  <c r="N229" i="1" s="1"/>
  <c r="N230" i="1" a="1"/>
  <c r="N230" i="1" s="1"/>
  <c r="N231" i="1" a="1"/>
  <c r="N231" i="1" s="1"/>
  <c r="N232" i="1" a="1"/>
  <c r="N232" i="1" s="1"/>
  <c r="N233" i="1" a="1"/>
  <c r="N233" i="1" s="1"/>
  <c r="N234" i="1" a="1"/>
  <c r="N234" i="1" s="1"/>
  <c r="N235" i="1" a="1"/>
  <c r="N235" i="1" s="1"/>
  <c r="N236" i="1" a="1"/>
  <c r="N236" i="1" s="1"/>
  <c r="N237" i="1" a="1"/>
  <c r="N237" i="1" s="1"/>
  <c r="N238" i="1" a="1"/>
  <c r="N238" i="1" s="1"/>
  <c r="N239" i="1" a="1"/>
  <c r="N239" i="1" s="1"/>
  <c r="N240" i="1" a="1"/>
  <c r="N240" i="1" s="1"/>
  <c r="N241" i="1" a="1"/>
  <c r="N241" i="1" s="1"/>
  <c r="N242" i="1" a="1"/>
  <c r="N242" i="1" s="1"/>
  <c r="N243" i="1" a="1"/>
  <c r="N243" i="1" s="1"/>
  <c r="N244" i="1" a="1"/>
  <c r="N244" i="1" s="1"/>
  <c r="N245" i="1" a="1"/>
  <c r="N245" i="1" s="1"/>
  <c r="N246" i="1" a="1"/>
  <c r="N246" i="1" s="1"/>
  <c r="N247" i="1" a="1"/>
  <c r="N247" i="1" s="1"/>
  <c r="N248" i="1" a="1"/>
  <c r="N248" i="1" s="1"/>
  <c r="N249" i="1" a="1"/>
  <c r="N249" i="1" s="1"/>
  <c r="N250" i="1" a="1"/>
  <c r="N250" i="1" s="1"/>
  <c r="N251" i="1" a="1"/>
  <c r="N251" i="1" s="1"/>
  <c r="N252" i="1" a="1"/>
  <c r="N252" i="1" s="1"/>
  <c r="N253" i="1" a="1"/>
  <c r="N253" i="1" s="1"/>
  <c r="N254" i="1" a="1"/>
  <c r="N254" i="1" s="1"/>
  <c r="N255" i="1" a="1"/>
  <c r="N255" i="1" s="1"/>
  <c r="N256" i="1" a="1"/>
  <c r="N256" i="1" s="1"/>
  <c r="N257" i="1" a="1"/>
  <c r="N257" i="1" s="1"/>
  <c r="N258" i="1" a="1"/>
  <c r="N258" i="1" s="1"/>
  <c r="N259" i="1" a="1"/>
  <c r="N259" i="1" s="1"/>
  <c r="N260" i="1" a="1"/>
  <c r="N260" i="1" s="1"/>
  <c r="N261" i="1" a="1"/>
  <c r="N261" i="1" s="1"/>
  <c r="N262" i="1" a="1"/>
  <c r="N262" i="1" s="1"/>
  <c r="N263" i="1" a="1"/>
  <c r="N263" i="1" s="1"/>
  <c r="N264" i="1" a="1"/>
  <c r="N264" i="1" s="1"/>
  <c r="N265" i="1" a="1"/>
  <c r="N265" i="1" s="1"/>
  <c r="N266" i="1" a="1"/>
  <c r="N266" i="1" s="1"/>
  <c r="N267" i="1" a="1"/>
  <c r="N267" i="1" s="1"/>
  <c r="N268" i="1" a="1"/>
  <c r="N268" i="1" s="1"/>
  <c r="N269" i="1" a="1"/>
  <c r="N269" i="1" s="1"/>
  <c r="N270" i="1" a="1"/>
  <c r="N270" i="1" s="1"/>
  <c r="N271" i="1" a="1"/>
  <c r="N271" i="1" s="1"/>
  <c r="N272" i="1" a="1"/>
  <c r="N272" i="1" s="1"/>
  <c r="N273" i="1" a="1"/>
  <c r="N273" i="1" s="1"/>
  <c r="N274" i="1" a="1"/>
  <c r="N274" i="1" s="1"/>
  <c r="N275" i="1" a="1"/>
  <c r="N275" i="1" s="1"/>
  <c r="N276" i="1" a="1"/>
  <c r="N276" i="1" s="1"/>
  <c r="N277" i="1" a="1"/>
  <c r="N277" i="1" s="1"/>
  <c r="N278" i="1" a="1"/>
  <c r="N278" i="1" s="1"/>
  <c r="N279" i="1" a="1"/>
  <c r="N279" i="1" s="1"/>
  <c r="N280" i="1" a="1"/>
  <c r="N280" i="1" s="1"/>
  <c r="N281" i="1" a="1"/>
  <c r="N281" i="1" s="1"/>
  <c r="N282" i="1" a="1"/>
  <c r="N282" i="1" s="1"/>
  <c r="N283" i="1" a="1"/>
  <c r="N283" i="1" s="1"/>
  <c r="N284" i="1" a="1"/>
  <c r="N284" i="1" s="1"/>
  <c r="N285" i="1" a="1"/>
  <c r="N285" i="1" s="1"/>
  <c r="N286" i="1" a="1"/>
  <c r="N286" i="1" s="1"/>
  <c r="N287" i="1" a="1"/>
  <c r="N287" i="1" s="1"/>
  <c r="N288" i="1" a="1"/>
  <c r="N288" i="1" s="1"/>
  <c r="N289" i="1" a="1"/>
  <c r="N289" i="1" s="1"/>
  <c r="N290" i="1" a="1"/>
  <c r="N290" i="1" s="1"/>
  <c r="N291" i="1" a="1"/>
  <c r="N291" i="1" s="1"/>
  <c r="N292" i="1" a="1"/>
  <c r="N292" i="1" s="1"/>
  <c r="N293" i="1" a="1"/>
  <c r="N293" i="1" s="1"/>
  <c r="N294" i="1" a="1"/>
  <c r="N294" i="1" s="1"/>
  <c r="N295" i="1" a="1"/>
  <c r="N295" i="1" s="1"/>
  <c r="N296" i="1" a="1"/>
  <c r="N296" i="1" s="1"/>
  <c r="N297" i="1" a="1"/>
  <c r="N297" i="1" s="1"/>
  <c r="N298" i="1" a="1"/>
  <c r="N298" i="1" s="1"/>
  <c r="N299" i="1" a="1"/>
  <c r="N299" i="1" s="1"/>
  <c r="N300" i="1" a="1"/>
  <c r="N300" i="1" s="1"/>
  <c r="N301" i="1" a="1"/>
  <c r="N301" i="1" s="1"/>
  <c r="N302" i="1" a="1"/>
  <c r="N302" i="1" s="1"/>
  <c r="N303" i="1" a="1"/>
  <c r="N303" i="1" s="1"/>
  <c r="N304" i="1" a="1"/>
  <c r="N304" i="1" s="1"/>
  <c r="N305" i="1" a="1"/>
  <c r="N305" i="1" s="1"/>
  <c r="N306" i="1" a="1"/>
  <c r="N306" i="1" s="1"/>
  <c r="N307" i="1" a="1"/>
  <c r="N307" i="1" s="1"/>
  <c r="N308" i="1" a="1"/>
  <c r="N308" i="1" s="1"/>
  <c r="N309" i="1" a="1"/>
  <c r="N309" i="1" s="1"/>
  <c r="N310" i="1" a="1"/>
  <c r="N310" i="1" s="1"/>
  <c r="N311" i="1" a="1"/>
  <c r="N311" i="1" s="1"/>
  <c r="N312" i="1" a="1"/>
  <c r="N312" i="1" s="1"/>
  <c r="N313" i="1" a="1"/>
  <c r="N313" i="1" s="1"/>
  <c r="N314" i="1" a="1"/>
  <c r="N314" i="1" s="1"/>
  <c r="N315" i="1" a="1"/>
  <c r="N315" i="1" s="1"/>
  <c r="N316" i="1" a="1"/>
  <c r="N316" i="1" s="1"/>
  <c r="N317" i="1" a="1"/>
  <c r="N317" i="1" s="1"/>
  <c r="N318" i="1" a="1"/>
  <c r="N318" i="1" s="1"/>
  <c r="N319" i="1" a="1"/>
  <c r="N319" i="1" s="1"/>
  <c r="N320" i="1" a="1"/>
  <c r="N320" i="1" s="1"/>
  <c r="N321" i="1" a="1"/>
  <c r="N321" i="1" s="1"/>
  <c r="N322" i="1" a="1"/>
  <c r="N322" i="1" s="1"/>
  <c r="N323" i="1" a="1"/>
  <c r="N323" i="1" s="1"/>
  <c r="N324" i="1" a="1"/>
  <c r="N324" i="1" s="1"/>
  <c r="N325" i="1" a="1"/>
  <c r="N325" i="1" s="1"/>
  <c r="N326" i="1" a="1"/>
  <c r="N326" i="1" s="1"/>
  <c r="N327" i="1" a="1"/>
  <c r="N327" i="1" s="1"/>
  <c r="N328" i="1" a="1"/>
  <c r="N328" i="1" s="1"/>
  <c r="N329" i="1" a="1"/>
  <c r="N329" i="1" s="1"/>
  <c r="N330" i="1" a="1"/>
  <c r="N330" i="1" s="1"/>
  <c r="N331" i="1" a="1"/>
  <c r="N331" i="1" s="1"/>
  <c r="N332" i="1" a="1"/>
  <c r="N332" i="1" s="1"/>
  <c r="N333" i="1" a="1"/>
  <c r="N333" i="1" s="1"/>
  <c r="N334" i="1" a="1"/>
  <c r="N334" i="1" s="1"/>
  <c r="N335" i="1" a="1"/>
  <c r="N335" i="1" s="1"/>
  <c r="N336" i="1" a="1"/>
  <c r="N336" i="1" s="1"/>
  <c r="N337" i="1" a="1"/>
  <c r="N337" i="1" s="1"/>
  <c r="N338" i="1" a="1"/>
  <c r="N338" i="1" s="1"/>
  <c r="N339" i="1" a="1"/>
  <c r="N339" i="1" s="1"/>
  <c r="N340" i="1" a="1"/>
  <c r="N340" i="1" s="1"/>
  <c r="N341" i="1" a="1"/>
  <c r="N341" i="1" s="1"/>
  <c r="N342" i="1" a="1"/>
  <c r="N342" i="1" s="1"/>
  <c r="N343" i="1" a="1"/>
  <c r="N343" i="1" s="1"/>
  <c r="N344" i="1" a="1"/>
  <c r="N344" i="1" s="1"/>
  <c r="N345" i="1" a="1"/>
  <c r="N345" i="1" s="1"/>
  <c r="N346" i="1" a="1"/>
  <c r="N346" i="1" s="1"/>
  <c r="N347" i="1" a="1"/>
  <c r="N347" i="1" s="1"/>
  <c r="N348" i="1" a="1"/>
  <c r="N348" i="1" s="1"/>
  <c r="N349" i="1" a="1"/>
  <c r="N349" i="1" s="1"/>
  <c r="N350" i="1" a="1"/>
  <c r="N350" i="1" s="1"/>
  <c r="N351" i="1" a="1"/>
  <c r="N351" i="1" s="1"/>
  <c r="N352" i="1" a="1"/>
  <c r="N352" i="1" s="1"/>
  <c r="N353" i="1" a="1"/>
  <c r="N353" i="1" s="1"/>
  <c r="N354" i="1" a="1"/>
  <c r="N354" i="1" s="1"/>
  <c r="N355" i="1" a="1"/>
  <c r="N355" i="1" s="1"/>
  <c r="N356" i="1" a="1"/>
  <c r="N356" i="1" s="1"/>
  <c r="N357" i="1" a="1"/>
  <c r="N357" i="1" s="1"/>
  <c r="N358" i="1" a="1"/>
  <c r="N358" i="1" s="1"/>
  <c r="N359" i="1" a="1"/>
  <c r="N359" i="1" s="1"/>
  <c r="N360" i="1" a="1"/>
  <c r="N360" i="1" s="1"/>
  <c r="N361" i="1" a="1"/>
  <c r="N361" i="1" s="1"/>
  <c r="N362" i="1" a="1"/>
  <c r="N362" i="1" s="1"/>
  <c r="N363" i="1" a="1"/>
  <c r="N363" i="1" s="1"/>
  <c r="N364" i="1" a="1"/>
  <c r="N364" i="1" s="1"/>
  <c r="N365" i="1" a="1"/>
  <c r="N365" i="1" s="1"/>
  <c r="N366" i="1" a="1"/>
  <c r="N366" i="1" s="1"/>
  <c r="N367" i="1" a="1"/>
  <c r="N367" i="1" s="1"/>
  <c r="N368" i="1" a="1"/>
  <c r="N368" i="1" s="1"/>
  <c r="N369" i="1" a="1"/>
  <c r="N369" i="1" s="1"/>
  <c r="N370" i="1" a="1"/>
  <c r="N370" i="1" s="1"/>
  <c r="N371" i="1" a="1"/>
  <c r="N371" i="1" s="1"/>
  <c r="N372" i="1" a="1"/>
  <c r="N372" i="1" s="1"/>
  <c r="N373" i="1" a="1"/>
  <c r="N373" i="1" s="1"/>
  <c r="N374" i="1" a="1"/>
  <c r="N374" i="1" s="1"/>
  <c r="N375" i="1" a="1"/>
  <c r="N375" i="1" s="1"/>
  <c r="N376" i="1" a="1"/>
  <c r="N376" i="1" s="1"/>
  <c r="N377" i="1" a="1"/>
  <c r="N377" i="1" s="1"/>
  <c r="N378" i="1" a="1"/>
  <c r="N378" i="1" s="1"/>
  <c r="N379" i="1" a="1"/>
  <c r="N379" i="1" s="1"/>
  <c r="N380" i="1" a="1"/>
  <c r="N380" i="1" s="1"/>
  <c r="N381" i="1" a="1"/>
  <c r="N381" i="1" s="1"/>
  <c r="N382" i="1" a="1"/>
  <c r="N382" i="1" s="1"/>
  <c r="N383" i="1" a="1"/>
  <c r="N383" i="1" s="1"/>
  <c r="N384" i="1" a="1"/>
  <c r="N384" i="1" s="1"/>
  <c r="N385" i="1" a="1"/>
  <c r="N385" i="1" s="1"/>
  <c r="N386" i="1" a="1"/>
  <c r="N386" i="1" s="1"/>
  <c r="N387" i="1" a="1"/>
  <c r="N387" i="1" s="1"/>
  <c r="N388" i="1" a="1"/>
  <c r="N388" i="1" s="1"/>
  <c r="N389" i="1" a="1"/>
  <c r="N389" i="1" s="1"/>
  <c r="N390" i="1" a="1"/>
  <c r="N390" i="1" s="1"/>
  <c r="N391" i="1" a="1"/>
  <c r="N391" i="1" s="1"/>
  <c r="N392" i="1" a="1"/>
  <c r="N392" i="1" s="1"/>
  <c r="N393" i="1" a="1"/>
  <c r="N393" i="1" s="1"/>
  <c r="N394" i="1" a="1"/>
  <c r="N394" i="1" s="1"/>
  <c r="N395" i="1" a="1"/>
  <c r="N395" i="1" s="1"/>
  <c r="N396" i="1" a="1"/>
  <c r="N396" i="1" s="1"/>
  <c r="N397" i="1" a="1"/>
  <c r="N397" i="1" s="1"/>
  <c r="N398" i="1" a="1"/>
  <c r="N398" i="1" s="1"/>
  <c r="N399" i="1" a="1"/>
  <c r="N399" i="1" s="1"/>
  <c r="N400" i="1" a="1"/>
  <c r="N400" i="1" s="1"/>
  <c r="N401" i="1" a="1"/>
  <c r="N401" i="1" s="1"/>
  <c r="N402" i="1" a="1"/>
  <c r="N402" i="1" s="1"/>
  <c r="N403" i="1" a="1"/>
  <c r="N403" i="1" s="1"/>
  <c r="N404" i="1" a="1"/>
  <c r="N404" i="1" s="1"/>
  <c r="N405" i="1" a="1"/>
  <c r="N405" i="1" s="1"/>
  <c r="N406" i="1" a="1"/>
  <c r="N406" i="1" s="1"/>
  <c r="N407" i="1" a="1"/>
  <c r="N407" i="1" s="1"/>
  <c r="N408" i="1" a="1"/>
  <c r="N408" i="1" s="1"/>
  <c r="N409" i="1" a="1"/>
  <c r="N409" i="1" s="1"/>
  <c r="N410" i="1" a="1"/>
  <c r="N410" i="1" s="1"/>
  <c r="N411" i="1" a="1"/>
  <c r="N411" i="1" s="1"/>
  <c r="N412" i="1" a="1"/>
  <c r="N412" i="1" s="1"/>
  <c r="N413" i="1" a="1"/>
  <c r="N413" i="1" s="1"/>
  <c r="N414" i="1" a="1"/>
  <c r="N414" i="1" s="1"/>
  <c r="N415" i="1" a="1"/>
  <c r="N415" i="1" s="1"/>
  <c r="N416" i="1" a="1"/>
  <c r="N416" i="1" s="1"/>
  <c r="N417" i="1" a="1"/>
  <c r="N417" i="1" s="1"/>
  <c r="N418" i="1" a="1"/>
  <c r="N418" i="1" s="1"/>
  <c r="N419" i="1" a="1"/>
  <c r="N419" i="1" s="1"/>
  <c r="N420" i="1" a="1"/>
  <c r="N420" i="1" s="1"/>
  <c r="N421" i="1" a="1"/>
  <c r="N421" i="1" s="1"/>
  <c r="N422" i="1" a="1"/>
  <c r="N422" i="1" s="1"/>
  <c r="N423" i="1" a="1"/>
  <c r="N423" i="1" s="1"/>
  <c r="N424" i="1" a="1"/>
  <c r="N424" i="1" s="1"/>
  <c r="N425" i="1" a="1"/>
  <c r="N425" i="1" s="1"/>
  <c r="N426" i="1" a="1"/>
  <c r="N426" i="1" s="1"/>
  <c r="N427" i="1" a="1"/>
  <c r="N427" i="1" s="1"/>
  <c r="N428" i="1" a="1"/>
  <c r="N428" i="1" s="1"/>
  <c r="N429" i="1" a="1"/>
  <c r="N429" i="1" s="1"/>
  <c r="N430" i="1" a="1"/>
  <c r="N430" i="1" s="1"/>
  <c r="N431" i="1" a="1"/>
  <c r="N431" i="1" s="1"/>
  <c r="N432" i="1" a="1"/>
  <c r="N432" i="1" s="1"/>
  <c r="N433" i="1" a="1"/>
  <c r="N433" i="1" s="1"/>
  <c r="N434" i="1" a="1"/>
  <c r="N434" i="1" s="1"/>
  <c r="N435" i="1" a="1"/>
  <c r="N435" i="1" s="1"/>
  <c r="N436" i="1" a="1"/>
  <c r="N436" i="1" s="1"/>
  <c r="N437" i="1" a="1"/>
  <c r="N437" i="1" s="1"/>
  <c r="N438" i="1" a="1"/>
  <c r="N438" i="1" s="1"/>
  <c r="N439" i="1" a="1"/>
  <c r="N439" i="1" s="1"/>
  <c r="N440" i="1" a="1"/>
  <c r="N440" i="1" s="1"/>
  <c r="N441" i="1" a="1"/>
  <c r="N441" i="1" s="1"/>
  <c r="N442" i="1" a="1"/>
  <c r="N442" i="1" s="1"/>
  <c r="N443" i="1" a="1"/>
  <c r="N443" i="1" s="1"/>
  <c r="N444" i="1" a="1"/>
  <c r="N444" i="1" s="1"/>
  <c r="N445" i="1" a="1"/>
  <c r="N445" i="1" s="1"/>
  <c r="N446" i="1" a="1"/>
  <c r="N446" i="1" s="1"/>
  <c r="N447" i="1" a="1"/>
  <c r="N447" i="1" s="1"/>
  <c r="N448" i="1" a="1"/>
  <c r="N448" i="1" s="1"/>
  <c r="N449" i="1" a="1"/>
  <c r="N449" i="1" s="1"/>
  <c r="N450" i="1" a="1"/>
  <c r="N450" i="1" s="1"/>
  <c r="N451" i="1" a="1"/>
  <c r="N451" i="1" s="1"/>
  <c r="N452" i="1" a="1"/>
  <c r="N452" i="1" s="1"/>
  <c r="N453" i="1" a="1"/>
  <c r="N453" i="1" s="1"/>
  <c r="N454" i="1" a="1"/>
  <c r="N454" i="1" s="1"/>
  <c r="N455" i="1" a="1"/>
  <c r="N455" i="1" s="1"/>
  <c r="N456" i="1" a="1"/>
  <c r="N456" i="1" s="1"/>
  <c r="N457" i="1" a="1"/>
  <c r="N457" i="1" s="1"/>
  <c r="N458" i="1" a="1"/>
  <c r="N458" i="1" s="1"/>
  <c r="N459" i="1" a="1"/>
  <c r="N459" i="1" s="1"/>
  <c r="N460" i="1" a="1"/>
  <c r="N460" i="1" s="1"/>
  <c r="N461" i="1" a="1"/>
  <c r="N461" i="1" s="1"/>
  <c r="N462" i="1" a="1"/>
  <c r="N462" i="1" s="1"/>
  <c r="N463" i="1" a="1"/>
  <c r="N463" i="1" s="1"/>
  <c r="N464" i="1" a="1"/>
  <c r="N464" i="1" s="1"/>
  <c r="N465" i="1" a="1"/>
  <c r="N465" i="1" s="1"/>
  <c r="N466" i="1" a="1"/>
  <c r="N466" i="1" s="1"/>
  <c r="N467" i="1" a="1"/>
  <c r="N467" i="1" s="1"/>
  <c r="N468" i="1" a="1"/>
  <c r="N468" i="1" s="1"/>
  <c r="N469" i="1" a="1"/>
  <c r="N469" i="1" s="1"/>
  <c r="N470" i="1" a="1"/>
  <c r="N470" i="1" s="1"/>
  <c r="N471" i="1" a="1"/>
  <c r="N471" i="1" s="1"/>
  <c r="N472" i="1" a="1"/>
  <c r="N472" i="1" s="1"/>
  <c r="N473" i="1" a="1"/>
  <c r="N473" i="1" s="1"/>
  <c r="N474" i="1" a="1"/>
  <c r="N474" i="1" s="1"/>
  <c r="N475" i="1" a="1"/>
  <c r="N475" i="1" s="1"/>
  <c r="N476" i="1" a="1"/>
  <c r="N476" i="1" s="1"/>
  <c r="N477" i="1" a="1"/>
  <c r="N477" i="1" s="1"/>
  <c r="N478" i="1" a="1"/>
  <c r="N478" i="1" s="1"/>
  <c r="N479" i="1" a="1"/>
  <c r="N479" i="1" s="1"/>
  <c r="N480" i="1" a="1"/>
  <c r="N480" i="1" s="1"/>
  <c r="N481" i="1" a="1"/>
  <c r="N481" i="1" s="1"/>
  <c r="N482" i="1" a="1"/>
  <c r="N482" i="1" s="1"/>
  <c r="N483" i="1" a="1"/>
  <c r="N483" i="1" s="1"/>
  <c r="N484" i="1" a="1"/>
  <c r="N484" i="1" s="1"/>
  <c r="N485" i="1" a="1"/>
  <c r="N485" i="1" s="1"/>
  <c r="N486" i="1" a="1"/>
  <c r="N486" i="1" s="1"/>
  <c r="N487" i="1" a="1"/>
  <c r="N487" i="1" s="1"/>
  <c r="N488" i="1" a="1"/>
  <c r="N488" i="1" s="1"/>
  <c r="N489" i="1" a="1"/>
  <c r="N489" i="1" s="1"/>
  <c r="N490" i="1" a="1"/>
  <c r="N490" i="1" s="1"/>
  <c r="N491" i="1" a="1"/>
  <c r="N491" i="1" s="1"/>
  <c r="N492" i="1" a="1"/>
  <c r="N492" i="1" s="1"/>
  <c r="N493" i="1" a="1"/>
  <c r="N493" i="1" s="1"/>
  <c r="N494" i="1" a="1"/>
  <c r="N494" i="1" s="1"/>
  <c r="N495" i="1" a="1"/>
  <c r="N495" i="1" s="1"/>
  <c r="N496" i="1" a="1"/>
  <c r="N496" i="1" s="1"/>
  <c r="N497" i="1" a="1"/>
  <c r="N497" i="1" s="1"/>
  <c r="N498" i="1" a="1"/>
  <c r="N498" i="1" s="1"/>
  <c r="N499" i="1" a="1"/>
  <c r="N499" i="1" s="1"/>
  <c r="N500" i="1" a="1"/>
  <c r="N500" i="1" s="1"/>
  <c r="N501" i="1" a="1"/>
  <c r="N501" i="1" s="1"/>
  <c r="N502" i="1" a="1"/>
  <c r="N502" i="1" s="1"/>
  <c r="N503" i="1" a="1"/>
  <c r="N503" i="1" s="1"/>
  <c r="N504" i="1" a="1"/>
  <c r="N504" i="1" s="1"/>
  <c r="N505" i="1" a="1"/>
  <c r="N505" i="1" s="1"/>
  <c r="N506" i="1" a="1"/>
  <c r="N506" i="1" s="1"/>
  <c r="N507" i="1" a="1"/>
  <c r="N507" i="1" s="1"/>
  <c r="N508" i="1" a="1"/>
  <c r="N508" i="1" s="1"/>
  <c r="N509" i="1" a="1"/>
  <c r="N509" i="1" s="1"/>
  <c r="N510" i="1" a="1"/>
  <c r="N510" i="1" s="1"/>
  <c r="N511" i="1" a="1"/>
  <c r="N511" i="1" s="1"/>
  <c r="N512" i="1" a="1"/>
  <c r="N512" i="1" s="1"/>
  <c r="N513" i="1" a="1"/>
  <c r="N513" i="1" s="1"/>
  <c r="N514" i="1" a="1"/>
  <c r="N514" i="1" s="1"/>
  <c r="N515" i="1" a="1"/>
  <c r="N515" i="1" s="1"/>
  <c r="N516" i="1" a="1"/>
  <c r="N516" i="1" s="1"/>
  <c r="N517" i="1" a="1"/>
  <c r="N517" i="1" s="1"/>
  <c r="N518" i="1" a="1"/>
  <c r="N518" i="1" s="1"/>
  <c r="N519" i="1" a="1"/>
  <c r="N519" i="1" s="1"/>
  <c r="N520" i="1" a="1"/>
  <c r="N520" i="1" s="1"/>
  <c r="N521" i="1" a="1"/>
  <c r="N521" i="1" s="1"/>
  <c r="N522" i="1" a="1"/>
  <c r="N522" i="1" s="1"/>
  <c r="N523" i="1" a="1"/>
  <c r="N523" i="1" s="1"/>
  <c r="N524" i="1" a="1"/>
  <c r="N524" i="1" s="1"/>
  <c r="N525" i="1" a="1"/>
  <c r="N525" i="1" s="1"/>
  <c r="N526" i="1" a="1"/>
  <c r="N526" i="1" s="1"/>
  <c r="N527" i="1" a="1"/>
  <c r="N527" i="1" s="1"/>
  <c r="N528" i="1" a="1"/>
  <c r="N528" i="1" s="1"/>
  <c r="N529" i="1" a="1"/>
  <c r="N529" i="1" s="1"/>
  <c r="N530" i="1" a="1"/>
  <c r="N530" i="1" s="1"/>
  <c r="N531" i="1" a="1"/>
  <c r="N531" i="1" s="1"/>
  <c r="N532" i="1" a="1"/>
  <c r="N532" i="1" s="1"/>
  <c r="N533" i="1" a="1"/>
  <c r="N533" i="1" s="1"/>
  <c r="N534" i="1" a="1"/>
  <c r="N534" i="1" s="1"/>
  <c r="N535" i="1" a="1"/>
  <c r="N535" i="1" s="1"/>
  <c r="N536" i="1" a="1"/>
  <c r="N536" i="1" s="1"/>
  <c r="N537" i="1" a="1"/>
  <c r="N537" i="1" s="1"/>
  <c r="N538" i="1" a="1"/>
  <c r="N538" i="1" s="1"/>
  <c r="N539" i="1" a="1"/>
  <c r="N539" i="1" s="1"/>
  <c r="N540" i="1" a="1"/>
  <c r="N540" i="1" s="1"/>
  <c r="N541" i="1" a="1"/>
  <c r="N541" i="1" s="1"/>
  <c r="N542" i="1" a="1"/>
  <c r="N542" i="1" s="1"/>
  <c r="N543" i="1" a="1"/>
  <c r="N543" i="1" s="1"/>
  <c r="N544" i="1" a="1"/>
  <c r="N544" i="1" s="1"/>
  <c r="N545" i="1" a="1"/>
  <c r="N545" i="1" s="1"/>
  <c r="N546" i="1" a="1"/>
  <c r="N546" i="1" s="1"/>
  <c r="N547" i="1" a="1"/>
  <c r="N547" i="1" s="1"/>
  <c r="N548" i="1" a="1"/>
  <c r="N548" i="1" s="1"/>
  <c r="N549" i="1" a="1"/>
  <c r="N549" i="1" s="1"/>
  <c r="N550" i="1" a="1"/>
  <c r="N550" i="1" s="1"/>
  <c r="N551" i="1" a="1"/>
  <c r="N551" i="1" s="1"/>
  <c r="N552" i="1" a="1"/>
  <c r="N552" i="1" s="1"/>
  <c r="N553" i="1" a="1"/>
  <c r="N553" i="1" s="1"/>
  <c r="N554" i="1" a="1"/>
  <c r="N554" i="1" s="1"/>
  <c r="N555" i="1" a="1"/>
  <c r="N555" i="1" s="1"/>
  <c r="N556" i="1" a="1"/>
  <c r="N556" i="1" s="1"/>
  <c r="N557" i="1" a="1"/>
  <c r="N557" i="1" s="1"/>
  <c r="N558" i="1" a="1"/>
  <c r="N558" i="1" s="1"/>
  <c r="N559" i="1" a="1"/>
  <c r="N559" i="1" s="1"/>
  <c r="N560" i="1" a="1"/>
  <c r="N560" i="1" s="1"/>
  <c r="N561" i="1" a="1"/>
  <c r="N561" i="1" s="1"/>
  <c r="N562" i="1" a="1"/>
  <c r="N562" i="1" s="1"/>
  <c r="N563" i="1" a="1"/>
  <c r="N563" i="1" s="1"/>
  <c r="N564" i="1" a="1"/>
  <c r="N564" i="1" s="1"/>
  <c r="N565" i="1" a="1"/>
  <c r="N565" i="1" s="1"/>
  <c r="N566" i="1" a="1"/>
  <c r="N566" i="1" s="1"/>
  <c r="N567" i="1" a="1"/>
  <c r="N567" i="1" s="1"/>
  <c r="N568" i="1" a="1"/>
  <c r="N568" i="1" s="1"/>
  <c r="N569" i="1" a="1"/>
  <c r="N569" i="1" s="1"/>
  <c r="N570" i="1" a="1"/>
  <c r="N570" i="1" s="1"/>
  <c r="N571" i="1" a="1"/>
  <c r="N571" i="1" s="1"/>
  <c r="N572" i="1" a="1"/>
  <c r="N572" i="1" s="1"/>
  <c r="N573" i="1" a="1"/>
  <c r="N573" i="1" s="1"/>
  <c r="N574" i="1" a="1"/>
  <c r="N574" i="1" s="1"/>
  <c r="N575" i="1" a="1"/>
  <c r="N575" i="1" s="1"/>
  <c r="N576" i="1" a="1"/>
  <c r="N576" i="1" s="1"/>
  <c r="N577" i="1" a="1"/>
  <c r="N577" i="1" s="1"/>
  <c r="N578" i="1" a="1"/>
  <c r="N578" i="1" s="1"/>
  <c r="N579" i="1" a="1"/>
  <c r="N579" i="1" s="1"/>
  <c r="N580" i="1" a="1"/>
  <c r="N580" i="1" s="1"/>
  <c r="N581" i="1" a="1"/>
  <c r="N581" i="1" s="1"/>
  <c r="N582" i="1" a="1"/>
  <c r="N582" i="1" s="1"/>
  <c r="N583" i="1" a="1"/>
  <c r="N583" i="1" s="1"/>
  <c r="N584" i="1" a="1"/>
  <c r="N584" i="1" s="1"/>
  <c r="N585" i="1" a="1"/>
  <c r="N585" i="1" s="1"/>
  <c r="N586" i="1" a="1"/>
  <c r="N586" i="1" s="1"/>
  <c r="N587" i="1" a="1"/>
  <c r="N587" i="1" s="1"/>
  <c r="N588" i="1" a="1"/>
  <c r="N588" i="1" s="1"/>
  <c r="N589" i="1" a="1"/>
  <c r="N589" i="1" s="1"/>
  <c r="N590" i="1" a="1"/>
  <c r="N590" i="1" s="1"/>
  <c r="N591" i="1" a="1"/>
  <c r="N591" i="1" s="1"/>
  <c r="N592" i="1" a="1"/>
  <c r="N592" i="1" s="1"/>
  <c r="N593" i="1" a="1"/>
  <c r="N593" i="1" s="1"/>
  <c r="N594" i="1" a="1"/>
  <c r="N594" i="1" s="1"/>
  <c r="N595" i="1" a="1"/>
  <c r="N595" i="1" s="1"/>
  <c r="N596" i="1" a="1"/>
  <c r="N596" i="1" s="1"/>
  <c r="N597" i="1" a="1"/>
  <c r="N597" i="1" s="1"/>
  <c r="N598" i="1" a="1"/>
  <c r="N598" i="1" s="1"/>
  <c r="N599" i="1" a="1"/>
  <c r="N599" i="1" s="1"/>
  <c r="N600" i="1" a="1"/>
  <c r="N600" i="1" s="1"/>
  <c r="N601" i="1" a="1"/>
  <c r="N601" i="1" s="1"/>
  <c r="N602" i="1" a="1"/>
  <c r="N602" i="1" s="1"/>
  <c r="N603" i="1" a="1"/>
  <c r="N603" i="1" s="1"/>
  <c r="N604" i="1" a="1"/>
  <c r="N604" i="1" s="1"/>
  <c r="N605" i="1" a="1"/>
  <c r="N605" i="1" s="1"/>
  <c r="N606" i="1" a="1"/>
  <c r="N606" i="1" s="1"/>
  <c r="N607" i="1" a="1"/>
  <c r="N607" i="1" s="1"/>
  <c r="N608" i="1" a="1"/>
  <c r="N608" i="1" s="1"/>
  <c r="N609" i="1" a="1"/>
  <c r="N609" i="1" s="1"/>
  <c r="N610" i="1" a="1"/>
  <c r="N610" i="1" s="1"/>
  <c r="N611" i="1" a="1"/>
  <c r="N611" i="1" s="1"/>
  <c r="N612" i="1" a="1"/>
  <c r="N612" i="1" s="1"/>
  <c r="N613" i="1" a="1"/>
  <c r="N613" i="1" s="1"/>
  <c r="N614" i="1" a="1"/>
  <c r="N614" i="1" s="1"/>
  <c r="N615" i="1" a="1"/>
  <c r="N615" i="1" s="1"/>
  <c r="N616" i="1" a="1"/>
  <c r="N616" i="1" s="1"/>
  <c r="N617" i="1" a="1"/>
  <c r="N617" i="1" s="1"/>
  <c r="N618" i="1" a="1"/>
  <c r="N618" i="1" s="1"/>
  <c r="N619" i="1" a="1"/>
  <c r="N619" i="1" s="1"/>
  <c r="N620" i="1" a="1"/>
  <c r="N620" i="1" s="1"/>
  <c r="N621" i="1" a="1"/>
  <c r="N621" i="1" s="1"/>
  <c r="N622" i="1" a="1"/>
  <c r="N622" i="1" s="1"/>
  <c r="N623" i="1" a="1"/>
  <c r="N623" i="1" s="1"/>
  <c r="N624" i="1" a="1"/>
  <c r="N624" i="1" s="1"/>
  <c r="N625" i="1" a="1"/>
  <c r="N625" i="1" s="1"/>
  <c r="N626" i="1" a="1"/>
  <c r="N626" i="1" s="1"/>
  <c r="N627" i="1" a="1"/>
  <c r="N627" i="1" s="1"/>
  <c r="N628" i="1" a="1"/>
  <c r="N628" i="1" s="1"/>
  <c r="N629" i="1" a="1"/>
  <c r="N629" i="1" s="1"/>
  <c r="N630" i="1" a="1"/>
  <c r="N630" i="1" s="1"/>
  <c r="N631" i="1" a="1"/>
  <c r="N631" i="1" s="1"/>
  <c r="N632" i="1" a="1"/>
  <c r="N632" i="1" s="1"/>
  <c r="N633" i="1" a="1"/>
  <c r="N633" i="1" s="1"/>
  <c r="N634" i="1" a="1"/>
  <c r="N634" i="1" s="1"/>
  <c r="N635" i="1" a="1"/>
  <c r="N635" i="1" s="1"/>
  <c r="N636" i="1" a="1"/>
  <c r="N636" i="1" s="1"/>
  <c r="N637" i="1" a="1"/>
  <c r="N637" i="1" s="1"/>
  <c r="N638" i="1" a="1"/>
  <c r="N638" i="1" s="1"/>
  <c r="N639" i="1" a="1"/>
  <c r="N639" i="1" s="1"/>
  <c r="N640" i="1" a="1"/>
  <c r="N640" i="1" s="1"/>
  <c r="N641" i="1" a="1"/>
  <c r="N641" i="1" s="1"/>
  <c r="N642" i="1" a="1"/>
  <c r="N642" i="1" s="1"/>
  <c r="N643" i="1" a="1"/>
  <c r="N643" i="1" s="1"/>
  <c r="N644" i="1" a="1"/>
  <c r="N644" i="1" s="1"/>
  <c r="N645" i="1" a="1"/>
  <c r="N645" i="1" s="1"/>
  <c r="N646" i="1" a="1"/>
  <c r="N646" i="1" s="1"/>
  <c r="N647" i="1" a="1"/>
  <c r="N647" i="1" s="1"/>
  <c r="N648" i="1" a="1"/>
  <c r="N648" i="1" s="1"/>
  <c r="N649" i="1" a="1"/>
  <c r="N649" i="1" s="1"/>
  <c r="N650" i="1" a="1"/>
  <c r="N650" i="1" s="1"/>
  <c r="N651" i="1" a="1"/>
  <c r="N651" i="1" s="1"/>
  <c r="N652" i="1" a="1"/>
  <c r="N652" i="1" s="1"/>
  <c r="N653" i="1" a="1"/>
  <c r="N653" i="1" s="1"/>
  <c r="N654" i="1" a="1"/>
  <c r="N654" i="1" s="1"/>
  <c r="N655" i="1" a="1"/>
  <c r="N655" i="1" s="1"/>
  <c r="N656" i="1" a="1"/>
  <c r="N656" i="1" s="1"/>
  <c r="N657" i="1" a="1"/>
  <c r="N657" i="1" s="1"/>
  <c r="N658" i="1" a="1"/>
  <c r="N658" i="1" s="1"/>
  <c r="N659" i="1" a="1"/>
  <c r="N659" i="1" s="1"/>
  <c r="N660" i="1" a="1"/>
  <c r="N660" i="1" s="1"/>
  <c r="N661" i="1" a="1"/>
  <c r="N661" i="1" s="1"/>
  <c r="N662" i="1" a="1"/>
  <c r="N662" i="1" s="1"/>
  <c r="N663" i="1" a="1"/>
  <c r="N663" i="1" s="1"/>
  <c r="N664" i="1" a="1"/>
  <c r="N664" i="1" s="1"/>
  <c r="N665" i="1" a="1"/>
  <c r="N665" i="1" s="1"/>
  <c r="N666" i="1" a="1"/>
  <c r="N666" i="1" s="1"/>
  <c r="N667" i="1" a="1"/>
  <c r="N667" i="1" s="1"/>
  <c r="N668" i="1" a="1"/>
  <c r="N668" i="1" s="1"/>
  <c r="N669" i="1" a="1"/>
  <c r="N669" i="1" s="1"/>
  <c r="N670" i="1" a="1"/>
  <c r="N670" i="1" s="1"/>
  <c r="N671" i="1" a="1"/>
  <c r="N671" i="1" s="1"/>
  <c r="N672" i="1" a="1"/>
  <c r="N672" i="1" s="1"/>
  <c r="N673" i="1" a="1"/>
  <c r="N673" i="1" s="1"/>
  <c r="N674" i="1" a="1"/>
  <c r="N674" i="1" s="1"/>
  <c r="N675" i="1" a="1"/>
  <c r="N675" i="1" s="1"/>
  <c r="N676" i="1" a="1"/>
  <c r="N676" i="1" s="1"/>
  <c r="N677" i="1" a="1"/>
  <c r="N677" i="1" s="1"/>
  <c r="N678" i="1" a="1"/>
  <c r="N678" i="1" s="1"/>
  <c r="N679" i="1" a="1"/>
  <c r="N679" i="1" s="1"/>
  <c r="N680" i="1" a="1"/>
  <c r="N680" i="1" s="1"/>
  <c r="N681" i="1" a="1"/>
  <c r="N681" i="1" s="1"/>
  <c r="N682" i="1" a="1"/>
  <c r="N682" i="1" s="1"/>
  <c r="N683" i="1" a="1"/>
  <c r="N683" i="1" s="1"/>
  <c r="N684" i="1" a="1"/>
  <c r="N684" i="1" s="1"/>
  <c r="N685" i="1" a="1"/>
  <c r="N685" i="1" s="1"/>
  <c r="N686" i="1" a="1"/>
  <c r="N686" i="1" s="1"/>
  <c r="N687" i="1" a="1"/>
  <c r="N687" i="1" s="1"/>
  <c r="N688" i="1" a="1"/>
  <c r="N688" i="1" s="1"/>
  <c r="N689" i="1" a="1"/>
  <c r="N689" i="1" s="1"/>
  <c r="N690" i="1" a="1"/>
  <c r="N690" i="1" s="1"/>
  <c r="N691" i="1" a="1"/>
  <c r="N691" i="1" s="1"/>
  <c r="N692" i="1" a="1"/>
  <c r="N692" i="1" s="1"/>
  <c r="N693" i="1" a="1"/>
  <c r="N693" i="1" s="1"/>
  <c r="N694" i="1" a="1"/>
  <c r="N694" i="1" s="1"/>
  <c r="N695" i="1" a="1"/>
  <c r="N695" i="1" s="1"/>
  <c r="N696" i="1" a="1"/>
  <c r="N696" i="1" s="1"/>
  <c r="N697" i="1" a="1"/>
  <c r="N697" i="1" s="1"/>
  <c r="N698" i="1" a="1"/>
  <c r="N698" i="1" s="1"/>
  <c r="N699" i="1" a="1"/>
  <c r="N699" i="1" s="1"/>
  <c r="N700" i="1" a="1"/>
  <c r="N700" i="1" s="1"/>
  <c r="N701" i="1" a="1"/>
  <c r="N701" i="1" s="1"/>
  <c r="N702" i="1" a="1"/>
  <c r="N702" i="1" s="1"/>
  <c r="N703" i="1" a="1"/>
  <c r="N703" i="1" s="1"/>
  <c r="N704" i="1" a="1"/>
  <c r="N704" i="1" s="1"/>
  <c r="N705" i="1" a="1"/>
  <c r="N705" i="1" s="1"/>
  <c r="N706" i="1" a="1"/>
  <c r="N706" i="1" s="1"/>
  <c r="N707" i="1" a="1"/>
  <c r="N707" i="1" s="1"/>
  <c r="N708" i="1" a="1"/>
  <c r="N708" i="1" s="1"/>
  <c r="N709" i="1" a="1"/>
  <c r="N709" i="1" s="1"/>
  <c r="N710" i="1" a="1"/>
  <c r="N710" i="1" s="1"/>
  <c r="N711" i="1" a="1"/>
  <c r="N711" i="1" s="1"/>
  <c r="N712" i="1" a="1"/>
  <c r="N712" i="1" s="1"/>
  <c r="N713" i="1" a="1"/>
  <c r="N713" i="1" s="1"/>
  <c r="N714" i="1" a="1"/>
  <c r="N714" i="1" s="1"/>
  <c r="N715" i="1" a="1"/>
  <c r="N715" i="1" s="1"/>
  <c r="N716" i="1" a="1"/>
  <c r="N716" i="1" s="1"/>
  <c r="N717" i="1" a="1"/>
  <c r="N717" i="1" s="1"/>
  <c r="N718" i="1" a="1"/>
  <c r="N718" i="1" s="1"/>
  <c r="N719" i="1" a="1"/>
  <c r="N719" i="1" s="1"/>
  <c r="N720" i="1" a="1"/>
  <c r="N720" i="1" s="1"/>
  <c r="N721" i="1" a="1"/>
  <c r="N721" i="1" s="1"/>
  <c r="N722" i="1" a="1"/>
  <c r="N722" i="1" s="1"/>
  <c r="N723" i="1" a="1"/>
  <c r="N723" i="1" s="1"/>
  <c r="N724" i="1" a="1"/>
  <c r="N724" i="1" s="1"/>
  <c r="N725" i="1" a="1"/>
  <c r="N725" i="1" s="1"/>
  <c r="N726" i="1" a="1"/>
  <c r="N726" i="1" s="1"/>
  <c r="N727" i="1" a="1"/>
  <c r="N727" i="1" s="1"/>
  <c r="N728" i="1" a="1"/>
  <c r="N728" i="1" s="1"/>
  <c r="N729" i="1" a="1"/>
  <c r="N729" i="1" s="1"/>
  <c r="N730" i="1" a="1"/>
  <c r="N730" i="1" s="1"/>
  <c r="N731" i="1" a="1"/>
  <c r="N731" i="1" s="1"/>
  <c r="N732" i="1" a="1"/>
  <c r="N732" i="1" s="1"/>
  <c r="N733" i="1" a="1"/>
  <c r="N733" i="1" s="1"/>
  <c r="N734" i="1" a="1"/>
  <c r="N734" i="1" s="1"/>
  <c r="N735" i="1" a="1"/>
  <c r="N735" i="1" s="1"/>
  <c r="N736" i="1" a="1"/>
  <c r="N736" i="1" s="1"/>
  <c r="N737" i="1" a="1"/>
  <c r="N737" i="1" s="1"/>
  <c r="N738" i="1" a="1"/>
  <c r="N738" i="1" s="1"/>
  <c r="N739" i="1" a="1"/>
  <c r="N739" i="1" s="1"/>
  <c r="N740" i="1" a="1"/>
  <c r="N740" i="1" s="1"/>
  <c r="N741" i="1" a="1"/>
  <c r="N741" i="1" s="1"/>
  <c r="N742" i="1" a="1"/>
  <c r="N742" i="1" s="1"/>
  <c r="N743" i="1" a="1"/>
  <c r="N743" i="1" s="1"/>
  <c r="N744" i="1" a="1"/>
  <c r="N744" i="1" s="1"/>
  <c r="N745" i="1" a="1"/>
  <c r="N745" i="1" s="1"/>
  <c r="N746" i="1" a="1"/>
  <c r="N746" i="1" s="1"/>
  <c r="N747" i="1" a="1"/>
  <c r="N747" i="1" s="1"/>
  <c r="N748" i="1" a="1"/>
  <c r="N748" i="1" s="1"/>
  <c r="N749" i="1" a="1"/>
  <c r="N749" i="1" s="1"/>
  <c r="N750" i="1" a="1"/>
  <c r="N750" i="1" s="1"/>
  <c r="N751" i="1" a="1"/>
  <c r="N751" i="1" s="1"/>
  <c r="N752" i="1" a="1"/>
  <c r="N752" i="1" s="1"/>
  <c r="N753" i="1" a="1"/>
  <c r="N753" i="1" s="1"/>
  <c r="N754" i="1" a="1"/>
  <c r="N754" i="1" s="1"/>
  <c r="N755" i="1" a="1"/>
  <c r="N755" i="1" s="1"/>
  <c r="N756" i="1" a="1"/>
  <c r="N756" i="1" s="1"/>
  <c r="N757" i="1" a="1"/>
  <c r="N757" i="1" s="1"/>
  <c r="N758" i="1" a="1"/>
  <c r="N758" i="1" s="1"/>
  <c r="N759" i="1" a="1"/>
  <c r="N759" i="1" s="1"/>
  <c r="N760" i="1" a="1"/>
  <c r="N760" i="1" s="1"/>
  <c r="N761" i="1" a="1"/>
  <c r="N761" i="1" s="1"/>
  <c r="N762" i="1" a="1"/>
  <c r="N762" i="1" s="1"/>
  <c r="N763" i="1" a="1"/>
  <c r="N763" i="1" s="1"/>
  <c r="N764" i="1" a="1"/>
  <c r="N764" i="1" s="1"/>
  <c r="N765" i="1" a="1"/>
  <c r="N765" i="1" s="1"/>
  <c r="N766" i="1" a="1"/>
  <c r="N766" i="1" s="1"/>
  <c r="N767" i="1" a="1"/>
  <c r="N767" i="1" s="1"/>
  <c r="N768" i="1" a="1"/>
  <c r="N768" i="1" s="1"/>
  <c r="N769" i="1" a="1"/>
  <c r="N769" i="1" s="1"/>
  <c r="N770" i="1" a="1"/>
  <c r="N770" i="1" s="1"/>
  <c r="N771" i="1" a="1"/>
  <c r="N771" i="1" s="1"/>
  <c r="N772" i="1" a="1"/>
  <c r="N772" i="1" s="1"/>
  <c r="N773" i="1" a="1"/>
  <c r="N773" i="1" s="1"/>
  <c r="N774" i="1" a="1"/>
  <c r="N774" i="1" s="1"/>
  <c r="N775" i="1" a="1"/>
  <c r="N775" i="1" s="1"/>
  <c r="N776" i="1" a="1"/>
  <c r="N776" i="1" s="1"/>
  <c r="N777" i="1" a="1"/>
  <c r="N777" i="1" s="1"/>
  <c r="N778" i="1" a="1"/>
  <c r="N778" i="1" s="1"/>
  <c r="N779" i="1" a="1"/>
  <c r="N779" i="1" s="1"/>
  <c r="N780" i="1" a="1"/>
  <c r="N780" i="1" s="1"/>
  <c r="N781" i="1" a="1"/>
  <c r="N781" i="1" s="1"/>
  <c r="N782" i="1" a="1"/>
  <c r="N782" i="1" s="1"/>
  <c r="N783" i="1" a="1"/>
  <c r="N783" i="1" s="1"/>
  <c r="N784" i="1" a="1"/>
  <c r="N784" i="1" s="1"/>
  <c r="N785" i="1" a="1"/>
  <c r="N785" i="1" s="1"/>
  <c r="N786" i="1" a="1"/>
  <c r="N786" i="1" s="1"/>
  <c r="N787" i="1" a="1"/>
  <c r="N787" i="1" s="1"/>
  <c r="N788" i="1" a="1"/>
  <c r="N788" i="1" s="1"/>
  <c r="N789" i="1" a="1"/>
  <c r="N789" i="1" s="1"/>
  <c r="N790" i="1" a="1"/>
  <c r="N790" i="1" s="1"/>
  <c r="N791" i="1" a="1"/>
  <c r="N791" i="1" s="1"/>
  <c r="N792" i="1" a="1"/>
  <c r="N792" i="1" s="1"/>
  <c r="N793" i="1" a="1"/>
  <c r="N793" i="1" s="1"/>
  <c r="N794" i="1" a="1"/>
  <c r="N794" i="1" s="1"/>
  <c r="N795" i="1" a="1"/>
  <c r="N795" i="1" s="1"/>
  <c r="N796" i="1" a="1"/>
  <c r="N796" i="1" s="1"/>
  <c r="N797" i="1" a="1"/>
  <c r="N797" i="1" s="1"/>
  <c r="N798" i="1" a="1"/>
  <c r="N798" i="1" s="1"/>
  <c r="N799" i="1" a="1"/>
  <c r="N799" i="1" s="1"/>
  <c r="N800" i="1" a="1"/>
  <c r="N800" i="1" s="1"/>
  <c r="N801" i="1" a="1"/>
  <c r="N801" i="1" s="1"/>
  <c r="N802" i="1" a="1"/>
  <c r="N802" i="1" s="1"/>
  <c r="N803" i="1" a="1"/>
  <c r="N803" i="1" s="1"/>
  <c r="N804" i="1" a="1"/>
  <c r="N804" i="1" s="1"/>
  <c r="N805" i="1" a="1"/>
  <c r="N805" i="1" s="1"/>
  <c r="N806" i="1" a="1"/>
  <c r="N806" i="1" s="1"/>
  <c r="N807" i="1" a="1"/>
  <c r="N807" i="1" s="1"/>
  <c r="N808" i="1" a="1"/>
  <c r="N808" i="1" s="1"/>
  <c r="N809" i="1" a="1"/>
  <c r="N809" i="1" s="1"/>
  <c r="N810" i="1" a="1"/>
  <c r="N810" i="1" s="1"/>
  <c r="N811" i="1" a="1"/>
  <c r="N811" i="1" s="1"/>
  <c r="N812" i="1" a="1"/>
  <c r="N812" i="1" s="1"/>
  <c r="N813" i="1" a="1"/>
  <c r="N813" i="1" s="1"/>
  <c r="N814" i="1" a="1"/>
  <c r="N814" i="1" s="1"/>
  <c r="N815" i="1" a="1"/>
  <c r="N815" i="1" s="1"/>
  <c r="N816" i="1" a="1"/>
  <c r="N816" i="1" s="1"/>
  <c r="N817" i="1" a="1"/>
  <c r="N817" i="1" s="1"/>
  <c r="N818" i="1" a="1"/>
  <c r="N818" i="1" s="1"/>
  <c r="N819" i="1" a="1"/>
  <c r="N819" i="1" s="1"/>
  <c r="N820" i="1" a="1"/>
  <c r="N820" i="1" s="1"/>
  <c r="N821" i="1" a="1"/>
  <c r="N821" i="1" s="1"/>
  <c r="N822" i="1" a="1"/>
  <c r="N822" i="1" s="1"/>
  <c r="N823" i="1" a="1"/>
  <c r="N823" i="1" s="1"/>
  <c r="N824" i="1" a="1"/>
  <c r="N824" i="1" s="1"/>
  <c r="N825" i="1" a="1"/>
  <c r="N825" i="1" s="1"/>
  <c r="N826" i="1" a="1"/>
  <c r="N826" i="1" s="1"/>
  <c r="N827" i="1" a="1"/>
  <c r="N827" i="1" s="1"/>
  <c r="N828" i="1" a="1"/>
  <c r="N828" i="1" s="1"/>
  <c r="N829" i="1" a="1"/>
  <c r="N829" i="1" s="1"/>
  <c r="N830" i="1" a="1"/>
  <c r="N830" i="1" s="1"/>
  <c r="N831" i="1" a="1"/>
  <c r="N831" i="1" s="1"/>
  <c r="N832" i="1" a="1"/>
  <c r="N832" i="1" s="1"/>
  <c r="N833" i="1" a="1"/>
  <c r="N833" i="1" s="1"/>
  <c r="N834" i="1" a="1"/>
  <c r="N834" i="1" s="1"/>
  <c r="N835" i="1" a="1"/>
  <c r="N835" i="1" s="1"/>
  <c r="N836" i="1" a="1"/>
  <c r="N836" i="1" s="1"/>
  <c r="N837" i="1" a="1"/>
  <c r="N837" i="1" s="1"/>
  <c r="N838" i="1" a="1"/>
  <c r="N838" i="1" s="1"/>
  <c r="N839" i="1" a="1"/>
  <c r="N839" i="1" s="1"/>
  <c r="N840" i="1" a="1"/>
  <c r="N840" i="1" s="1"/>
  <c r="N841" i="1" a="1"/>
  <c r="N841" i="1" s="1"/>
  <c r="N842" i="1" a="1"/>
  <c r="N842" i="1" s="1"/>
  <c r="N843" i="1" a="1"/>
  <c r="N843" i="1" s="1"/>
  <c r="N844" i="1" a="1"/>
  <c r="N844" i="1" s="1"/>
  <c r="N845" i="1" a="1"/>
  <c r="N845" i="1" s="1"/>
  <c r="N846" i="1" a="1"/>
  <c r="N846" i="1" s="1"/>
  <c r="N847" i="1" a="1"/>
  <c r="N847" i="1" s="1"/>
  <c r="N848" i="1" a="1"/>
  <c r="N848" i="1" s="1"/>
  <c r="N849" i="1" a="1"/>
  <c r="N849" i="1" s="1"/>
  <c r="N850" i="1" a="1"/>
  <c r="N850" i="1" s="1"/>
  <c r="N851" i="1" a="1"/>
  <c r="N851" i="1" s="1"/>
  <c r="N852" i="1" a="1"/>
  <c r="N852" i="1" s="1"/>
  <c r="N853" i="1" a="1"/>
  <c r="N853" i="1" s="1"/>
  <c r="N854" i="1" a="1"/>
  <c r="N854" i="1" s="1"/>
  <c r="N855" i="1" a="1"/>
  <c r="N855" i="1" s="1"/>
  <c r="N856" i="1" a="1"/>
  <c r="N856" i="1" s="1"/>
  <c r="N857" i="1" a="1"/>
  <c r="N857" i="1" s="1"/>
  <c r="N858" i="1" a="1"/>
  <c r="N858" i="1" s="1"/>
  <c r="N859" i="1" a="1"/>
  <c r="N859" i="1" s="1"/>
  <c r="N860" i="1" a="1"/>
  <c r="N860" i="1" s="1"/>
  <c r="N861" i="1" a="1"/>
  <c r="N861" i="1" s="1"/>
  <c r="N862" i="1" a="1"/>
  <c r="N862" i="1" s="1"/>
  <c r="N863" i="1" a="1"/>
  <c r="N863" i="1" s="1"/>
  <c r="N864" i="1" a="1"/>
  <c r="N864" i="1" s="1"/>
  <c r="N865" i="1" a="1"/>
  <c r="N865" i="1" s="1"/>
  <c r="N866" i="1" a="1"/>
  <c r="N866" i="1" s="1"/>
  <c r="N867" i="1" a="1"/>
  <c r="N867" i="1" s="1"/>
  <c r="N868" i="1" a="1"/>
  <c r="N868" i="1" s="1"/>
  <c r="N869" i="1" a="1"/>
  <c r="N869" i="1" s="1"/>
  <c r="N870" i="1" a="1"/>
  <c r="N870" i="1" s="1"/>
  <c r="N871" i="1" a="1"/>
  <c r="N871" i="1" s="1"/>
  <c r="N872" i="1" a="1"/>
  <c r="N872" i="1" s="1"/>
  <c r="N873" i="1" a="1"/>
  <c r="N873" i="1" s="1"/>
  <c r="N874" i="1" a="1"/>
  <c r="N874" i="1" s="1"/>
  <c r="N875" i="1" a="1"/>
  <c r="N875" i="1" s="1"/>
  <c r="N876" i="1" a="1"/>
  <c r="N876" i="1" s="1"/>
  <c r="N877" i="1" a="1"/>
  <c r="N877" i="1" s="1"/>
  <c r="N878" i="1" a="1"/>
  <c r="N878" i="1" s="1"/>
  <c r="N879" i="1" a="1"/>
  <c r="N879" i="1" s="1"/>
  <c r="N880" i="1" a="1"/>
  <c r="N880" i="1" s="1"/>
  <c r="N881" i="1" a="1"/>
  <c r="N881" i="1" s="1"/>
  <c r="N882" i="1" a="1"/>
  <c r="N882" i="1" s="1"/>
  <c r="N883" i="1" a="1"/>
  <c r="N883" i="1" s="1"/>
  <c r="N884" i="1" a="1"/>
  <c r="N884" i="1" s="1"/>
  <c r="N885" i="1" a="1"/>
  <c r="N885" i="1" s="1"/>
  <c r="N886" i="1" a="1"/>
  <c r="N886" i="1" s="1"/>
  <c r="N887" i="1" a="1"/>
  <c r="N887" i="1" s="1"/>
  <c r="N888" i="1" a="1"/>
  <c r="N888" i="1" s="1"/>
  <c r="N889" i="1" a="1"/>
  <c r="N889" i="1" s="1"/>
  <c r="N890" i="1" a="1"/>
  <c r="N890" i="1" s="1"/>
  <c r="N891" i="1" a="1"/>
  <c r="N891" i="1" s="1"/>
  <c r="N892" i="1" a="1"/>
  <c r="N892" i="1" s="1"/>
  <c r="N893" i="1" a="1"/>
  <c r="N893" i="1" s="1"/>
  <c r="N894" i="1" a="1"/>
  <c r="N894" i="1" s="1"/>
  <c r="N895" i="1" a="1"/>
  <c r="N895" i="1" s="1"/>
  <c r="N896" i="1" a="1"/>
  <c r="N896" i="1" s="1"/>
  <c r="N897" i="1" a="1"/>
  <c r="N897" i="1" s="1"/>
  <c r="N898" i="1" a="1"/>
  <c r="N898" i="1" s="1"/>
  <c r="N899" i="1" a="1"/>
  <c r="N899" i="1" s="1"/>
  <c r="N900" i="1" a="1"/>
  <c r="N900" i="1" s="1"/>
  <c r="N901" i="1" a="1"/>
  <c r="N901" i="1" s="1"/>
  <c r="N902" i="1" a="1"/>
  <c r="N902" i="1" s="1"/>
  <c r="N903" i="1" a="1"/>
  <c r="N903" i="1" s="1"/>
  <c r="N904" i="1" a="1"/>
  <c r="N904" i="1" s="1"/>
  <c r="N905" i="1" a="1"/>
  <c r="N905" i="1" s="1"/>
  <c r="N906" i="1" a="1"/>
  <c r="N906" i="1" s="1"/>
  <c r="N907" i="1" a="1"/>
  <c r="N907" i="1" s="1"/>
  <c r="N908" i="1" a="1"/>
  <c r="N908" i="1" s="1"/>
  <c r="N909" i="1" a="1"/>
  <c r="N909" i="1" s="1"/>
  <c r="N910" i="1" a="1"/>
  <c r="N910" i="1" s="1"/>
  <c r="N911" i="1" a="1"/>
  <c r="N911" i="1" s="1"/>
  <c r="N912" i="1" a="1"/>
  <c r="N912" i="1" s="1"/>
  <c r="N913" i="1" a="1"/>
  <c r="N913" i="1" s="1"/>
  <c r="N914" i="1" a="1"/>
  <c r="N914" i="1" s="1"/>
  <c r="N915" i="1" a="1"/>
  <c r="N915" i="1" s="1"/>
  <c r="N916" i="1" a="1"/>
  <c r="N916" i="1" s="1"/>
  <c r="N917" i="1" a="1"/>
  <c r="N917" i="1" s="1"/>
  <c r="N918" i="1" a="1"/>
  <c r="N918" i="1" s="1"/>
  <c r="N919" i="1" a="1"/>
  <c r="N919" i="1" s="1"/>
  <c r="N920" i="1" a="1"/>
  <c r="N920" i="1" s="1"/>
  <c r="N921" i="1" a="1"/>
  <c r="N921" i="1" s="1"/>
  <c r="N922" i="1" a="1"/>
  <c r="N922" i="1" s="1"/>
  <c r="N923" i="1" a="1"/>
  <c r="N923" i="1" s="1"/>
  <c r="N924" i="1" a="1"/>
  <c r="N924" i="1" s="1"/>
  <c r="N925" i="1" a="1"/>
  <c r="N925" i="1" s="1"/>
  <c r="N926" i="1" a="1"/>
  <c r="N926" i="1" s="1"/>
  <c r="N927" i="1" a="1"/>
  <c r="N927" i="1" s="1"/>
  <c r="N928" i="1" a="1"/>
  <c r="N928" i="1" s="1"/>
  <c r="N929" i="1" a="1"/>
  <c r="N929" i="1" s="1"/>
  <c r="N930" i="1" a="1"/>
  <c r="N930" i="1" s="1"/>
  <c r="N931" i="1" a="1"/>
  <c r="N931" i="1" s="1"/>
  <c r="N932" i="1" a="1"/>
  <c r="N932" i="1" s="1"/>
  <c r="N933" i="1" a="1"/>
  <c r="N933" i="1" s="1"/>
  <c r="N934" i="1" a="1"/>
  <c r="N934" i="1" s="1"/>
  <c r="N935" i="1" a="1"/>
  <c r="N935" i="1" s="1"/>
  <c r="N936" i="1" a="1"/>
  <c r="N936" i="1" s="1"/>
  <c r="N937" i="1" a="1"/>
  <c r="N937" i="1" s="1"/>
  <c r="N938" i="1" a="1"/>
  <c r="N938" i="1" s="1"/>
  <c r="N939" i="1" a="1"/>
  <c r="N939" i="1" s="1"/>
  <c r="N940" i="1" a="1"/>
  <c r="N940" i="1" s="1"/>
  <c r="N941" i="1" a="1"/>
  <c r="N941" i="1" s="1"/>
  <c r="N942" i="1" a="1"/>
  <c r="N942" i="1" s="1"/>
  <c r="N943" i="1" a="1"/>
  <c r="N943" i="1" s="1"/>
  <c r="N944" i="1" a="1"/>
  <c r="N944" i="1" s="1"/>
  <c r="N945" i="1" a="1"/>
  <c r="N945" i="1" s="1"/>
  <c r="N946" i="1" a="1"/>
  <c r="N946" i="1" s="1"/>
  <c r="N947" i="1" a="1"/>
  <c r="N947" i="1" s="1"/>
  <c r="N948" i="1" a="1"/>
  <c r="N948" i="1" s="1"/>
  <c r="N949" i="1" a="1"/>
  <c r="N949" i="1" s="1"/>
  <c r="N950" i="1" a="1"/>
  <c r="N950" i="1" s="1"/>
  <c r="N951" i="1" a="1"/>
  <c r="N951" i="1" s="1"/>
  <c r="N952" i="1" a="1"/>
  <c r="N952" i="1" s="1"/>
  <c r="N953" i="1" a="1"/>
  <c r="N953" i="1" s="1"/>
  <c r="N954" i="1" a="1"/>
  <c r="N954" i="1" s="1"/>
  <c r="N955" i="1" a="1"/>
  <c r="N955" i="1" s="1"/>
  <c r="N956" i="1" a="1"/>
  <c r="N956" i="1" s="1"/>
  <c r="N957" i="1" a="1"/>
  <c r="N957" i="1" s="1"/>
  <c r="N958" i="1" a="1"/>
  <c r="N958" i="1" s="1"/>
  <c r="N959" i="1" a="1"/>
  <c r="N959" i="1" s="1"/>
  <c r="N960" i="1" a="1"/>
  <c r="N960" i="1" s="1"/>
  <c r="N961" i="1" a="1"/>
  <c r="N961" i="1" s="1"/>
  <c r="N962" i="1" a="1"/>
  <c r="N962" i="1" s="1"/>
  <c r="N963" i="1" a="1"/>
  <c r="N963" i="1" s="1"/>
  <c r="N964" i="1" a="1"/>
  <c r="N964" i="1" s="1"/>
  <c r="N965" i="1" a="1"/>
  <c r="N965" i="1" s="1"/>
  <c r="N966" i="1" a="1"/>
  <c r="N966" i="1" s="1"/>
  <c r="N967" i="1" a="1"/>
  <c r="N967" i="1" s="1"/>
  <c r="N968" i="1" a="1"/>
  <c r="N968" i="1" s="1"/>
  <c r="N969" i="1" a="1"/>
  <c r="N969" i="1" s="1"/>
  <c r="N970" i="1" a="1"/>
  <c r="N970" i="1" s="1"/>
  <c r="N971" i="1" a="1"/>
  <c r="N971" i="1" s="1"/>
  <c r="N972" i="1" a="1"/>
  <c r="N972" i="1" s="1"/>
  <c r="N973" i="1" a="1"/>
  <c r="N973" i="1" s="1"/>
  <c r="N974" i="1" a="1"/>
  <c r="N974" i="1" s="1"/>
  <c r="N975" i="1" a="1"/>
  <c r="N975" i="1" s="1"/>
  <c r="N976" i="1" a="1"/>
  <c r="N976" i="1" s="1"/>
  <c r="N977" i="1" a="1"/>
  <c r="N977" i="1" s="1"/>
  <c r="N978" i="1" a="1"/>
  <c r="N978" i="1" s="1"/>
  <c r="N979" i="1" a="1"/>
  <c r="N979" i="1" s="1"/>
  <c r="N980" i="1" a="1"/>
  <c r="N980" i="1" s="1"/>
  <c r="N981" i="1" a="1"/>
  <c r="N981" i="1" s="1"/>
  <c r="N982" i="1" a="1"/>
  <c r="N982" i="1" s="1"/>
  <c r="N983" i="1" a="1"/>
  <c r="N983" i="1" s="1"/>
  <c r="N984" i="1" a="1"/>
  <c r="N984" i="1" s="1"/>
  <c r="N985" i="1" a="1"/>
  <c r="N985" i="1" s="1"/>
  <c r="N986" i="1" a="1"/>
  <c r="N986" i="1" s="1"/>
  <c r="N987" i="1" a="1"/>
  <c r="N987" i="1" s="1"/>
  <c r="N988" i="1" a="1"/>
  <c r="N988" i="1" s="1"/>
  <c r="N989" i="1" a="1"/>
  <c r="N989" i="1" s="1"/>
  <c r="N990" i="1" a="1"/>
  <c r="N990" i="1" s="1"/>
  <c r="N991" i="1" a="1"/>
  <c r="N991" i="1" s="1"/>
  <c r="N992" i="1" a="1"/>
  <c r="N992" i="1" s="1"/>
  <c r="N993" i="1" a="1"/>
  <c r="N993" i="1" s="1"/>
  <c r="N994" i="1" a="1"/>
  <c r="N994" i="1" s="1"/>
  <c r="N995" i="1" a="1"/>
  <c r="N995" i="1" s="1"/>
  <c r="N996" i="1" a="1"/>
  <c r="N996" i="1" s="1"/>
  <c r="N997" i="1" a="1"/>
  <c r="N997" i="1" s="1"/>
  <c r="N998" i="1" a="1"/>
  <c r="N998" i="1" s="1"/>
  <c r="N999" i="1" a="1"/>
  <c r="N999" i="1" s="1"/>
  <c r="N1000" i="1" a="1"/>
  <c r="N1000" i="1" s="1"/>
  <c r="N1001" i="1" a="1"/>
  <c r="N1001" i="1" s="1"/>
  <c r="N1002" i="1" a="1"/>
  <c r="N1002" i="1" s="1"/>
  <c r="N1003" i="1" a="1"/>
  <c r="N1003" i="1" s="1"/>
  <c r="N1004" i="1" a="1"/>
  <c r="N1004" i="1" s="1"/>
  <c r="N1005" i="1" a="1"/>
  <c r="N1005" i="1" s="1"/>
  <c r="N1006" i="1" a="1"/>
  <c r="N1006" i="1" s="1"/>
  <c r="N1007" i="1" a="1"/>
  <c r="N1007" i="1" s="1"/>
  <c r="N1008" i="1" a="1"/>
  <c r="N1008" i="1" s="1"/>
  <c r="N1009" i="1" a="1"/>
  <c r="N1009" i="1" s="1"/>
  <c r="N1010" i="1" a="1"/>
  <c r="N1010" i="1" s="1"/>
  <c r="N1011" i="1" a="1"/>
  <c r="N1011" i="1" s="1"/>
  <c r="N1012" i="1" a="1"/>
  <c r="N1012" i="1" s="1"/>
  <c r="N1013" i="1" a="1"/>
  <c r="N1013" i="1" s="1"/>
  <c r="N1014" i="1" a="1"/>
  <c r="N1014" i="1" s="1"/>
  <c r="N1015" i="1" a="1"/>
  <c r="N1015" i="1" s="1"/>
  <c r="N1016" i="1" a="1"/>
  <c r="N1016" i="1" s="1"/>
  <c r="N1017" i="1" a="1"/>
  <c r="N1017" i="1" s="1"/>
  <c r="N1018" i="1" a="1"/>
  <c r="N1018" i="1" s="1"/>
  <c r="N1019" i="1" a="1"/>
  <c r="N1019" i="1" s="1"/>
  <c r="N1020" i="1" a="1"/>
  <c r="N1020" i="1" s="1"/>
  <c r="N1021" i="1" a="1"/>
  <c r="N1021" i="1" s="1"/>
  <c r="N1022" i="1" a="1"/>
  <c r="N1022" i="1" s="1"/>
  <c r="N1023" i="1" a="1"/>
  <c r="N1023" i="1" s="1"/>
  <c r="N1024" i="1" a="1"/>
  <c r="N1024" i="1" s="1"/>
  <c r="N1025" i="1" a="1"/>
  <c r="N1025" i="1" s="1"/>
  <c r="N1026" i="1" a="1"/>
  <c r="N1026" i="1" s="1"/>
  <c r="N1027" i="1" a="1"/>
  <c r="N1027" i="1" s="1"/>
  <c r="N1028" i="1" a="1"/>
  <c r="N1028" i="1" s="1"/>
  <c r="N1029" i="1" a="1"/>
  <c r="N1029" i="1" s="1"/>
  <c r="N1030" i="1" a="1"/>
  <c r="N1030" i="1" s="1"/>
  <c r="N1031" i="1" a="1"/>
  <c r="N1031" i="1" s="1"/>
  <c r="N1032" i="1" a="1"/>
  <c r="N1032" i="1" s="1"/>
  <c r="N1033" i="1" a="1"/>
  <c r="N1033" i="1" s="1"/>
  <c r="N1034" i="1" a="1"/>
  <c r="N1034" i="1" s="1"/>
  <c r="N1035" i="1" a="1"/>
  <c r="N1035" i="1" s="1"/>
  <c r="N1036" i="1" a="1"/>
  <c r="N1036" i="1" s="1"/>
  <c r="N1037" i="1" a="1"/>
  <c r="N1037" i="1" s="1"/>
  <c r="N1038" i="1" a="1"/>
  <c r="N1038" i="1" s="1"/>
  <c r="N1039" i="1" a="1"/>
  <c r="N1039" i="1" s="1"/>
  <c r="N1040" i="1" a="1"/>
  <c r="N1040" i="1" s="1"/>
  <c r="N1041" i="1" a="1"/>
  <c r="N1041" i="1" s="1"/>
  <c r="N1042" i="1" a="1"/>
  <c r="N1042" i="1" s="1"/>
  <c r="N1043" i="1" a="1"/>
  <c r="N1043" i="1" s="1"/>
  <c r="N1044" i="1" a="1"/>
  <c r="N1044" i="1" s="1"/>
  <c r="N1045" i="1" a="1"/>
  <c r="N1045" i="1" s="1"/>
  <c r="N1046" i="1" a="1"/>
  <c r="N1046" i="1" s="1"/>
  <c r="N1047" i="1" a="1"/>
  <c r="N1047" i="1" s="1"/>
  <c r="N1048" i="1" a="1"/>
  <c r="N1048" i="1" s="1"/>
  <c r="N1049" i="1" a="1"/>
  <c r="N1049" i="1" s="1"/>
  <c r="N1050" i="1" a="1"/>
  <c r="N1050" i="1" s="1"/>
  <c r="N1051" i="1" a="1"/>
  <c r="N1051" i="1" s="1"/>
  <c r="N1052" i="1" a="1"/>
  <c r="N1052" i="1" s="1"/>
  <c r="N1053" i="1" a="1"/>
  <c r="N1053" i="1" s="1"/>
  <c r="N1054" i="1" a="1"/>
  <c r="N1054" i="1" s="1"/>
  <c r="N1055" i="1" a="1"/>
  <c r="N1055" i="1" s="1"/>
  <c r="N1056" i="1" a="1"/>
  <c r="N1056" i="1" s="1"/>
  <c r="N1057" i="1" a="1"/>
  <c r="N1057" i="1" s="1"/>
  <c r="N1058" i="1" a="1"/>
  <c r="N1058" i="1" s="1"/>
  <c r="N1059" i="1" a="1"/>
  <c r="N1059" i="1" s="1"/>
  <c r="N1060" i="1" a="1"/>
  <c r="N1060" i="1" s="1"/>
  <c r="N1061" i="1" a="1"/>
  <c r="N1061" i="1" s="1"/>
  <c r="N1062" i="1" a="1"/>
  <c r="N1062" i="1" s="1"/>
  <c r="N1063" i="1" a="1"/>
  <c r="N1063" i="1" s="1"/>
  <c r="N1064" i="1" a="1"/>
  <c r="N1064" i="1" s="1"/>
  <c r="N1065" i="1" a="1"/>
  <c r="N1065" i="1" s="1"/>
  <c r="N1066" i="1" a="1"/>
  <c r="N1066" i="1" s="1"/>
  <c r="N1067" i="1" a="1"/>
  <c r="N1067" i="1" s="1"/>
  <c r="N1068" i="1" a="1"/>
  <c r="N1068" i="1" s="1"/>
  <c r="N1069" i="1" a="1"/>
  <c r="N1069" i="1" s="1"/>
  <c r="N1070" i="1" a="1"/>
  <c r="N1070" i="1" s="1"/>
  <c r="N1071" i="1" a="1"/>
  <c r="N1071" i="1" s="1"/>
  <c r="N1072" i="1" a="1"/>
  <c r="N1072" i="1" s="1"/>
  <c r="N1073" i="1" a="1"/>
  <c r="N1073" i="1" s="1"/>
  <c r="N1074" i="1" a="1"/>
  <c r="N1074" i="1" s="1"/>
  <c r="N1075" i="1" a="1"/>
  <c r="N1075" i="1" s="1"/>
  <c r="N1076" i="1" a="1"/>
  <c r="N1076" i="1" s="1"/>
  <c r="N1077" i="1" a="1"/>
  <c r="N1077" i="1" s="1"/>
  <c r="N1078" i="1" a="1"/>
  <c r="N1078" i="1" s="1"/>
  <c r="N1079" i="1" a="1"/>
  <c r="N1079" i="1" s="1"/>
  <c r="N1080" i="1" a="1"/>
  <c r="N1080" i="1" s="1"/>
  <c r="N1081" i="1" a="1"/>
  <c r="N1081" i="1" s="1"/>
  <c r="N1082" i="1" a="1"/>
  <c r="N1082" i="1" s="1"/>
  <c r="N1083" i="1" a="1"/>
  <c r="N1083" i="1" s="1"/>
  <c r="N1084" i="1" a="1"/>
  <c r="N1084" i="1" s="1"/>
  <c r="N1085" i="1" a="1"/>
  <c r="N1085" i="1" s="1"/>
  <c r="N1086" i="1" a="1"/>
  <c r="N1086" i="1" s="1"/>
  <c r="N1087" i="1" a="1"/>
  <c r="N1087" i="1" s="1"/>
  <c r="N1088" i="1" a="1"/>
  <c r="N1088" i="1" s="1"/>
  <c r="N1089" i="1" a="1"/>
  <c r="N1089" i="1" s="1"/>
  <c r="N1090" i="1" a="1"/>
  <c r="N1090" i="1" s="1"/>
  <c r="N1091" i="1" a="1"/>
  <c r="N1091" i="1" s="1"/>
  <c r="N1092" i="1" a="1"/>
  <c r="N1092" i="1" s="1"/>
  <c r="N1093" i="1" a="1"/>
  <c r="N1093" i="1" s="1"/>
  <c r="N1094" i="1" a="1"/>
  <c r="N1094" i="1" s="1"/>
  <c r="N1095" i="1" a="1"/>
  <c r="N1095" i="1" s="1"/>
  <c r="N1096" i="1" a="1"/>
  <c r="N1096" i="1" s="1"/>
  <c r="N1097" i="1" a="1"/>
  <c r="N1097" i="1" s="1"/>
  <c r="N1098" i="1" a="1"/>
  <c r="N1098" i="1" s="1"/>
  <c r="N1099" i="1" a="1"/>
  <c r="N1099" i="1" s="1"/>
  <c r="N1100" i="1" a="1"/>
  <c r="N1100" i="1" s="1"/>
  <c r="N1101" i="1" a="1"/>
  <c r="N1101" i="1" s="1"/>
  <c r="N1102" i="1" a="1"/>
  <c r="N1102" i="1" s="1"/>
  <c r="N1103" i="1" a="1"/>
  <c r="N1103" i="1" s="1"/>
  <c r="N1104" i="1" a="1"/>
  <c r="N1104" i="1" s="1"/>
  <c r="N1105" i="1" a="1"/>
  <c r="N1105" i="1" s="1"/>
  <c r="N1106" i="1" a="1"/>
  <c r="N1106" i="1" s="1"/>
  <c r="N1107" i="1" a="1"/>
  <c r="N1107" i="1" s="1"/>
  <c r="N1108" i="1" a="1"/>
  <c r="N1108" i="1" s="1"/>
  <c r="N1109" i="1" a="1"/>
  <c r="N1109" i="1" s="1"/>
  <c r="N1110" i="1" a="1"/>
  <c r="N1110" i="1" s="1"/>
  <c r="N1111" i="1" a="1"/>
  <c r="N1111" i="1" s="1"/>
  <c r="N1112" i="1" a="1"/>
  <c r="N1112" i="1" s="1"/>
  <c r="N1113" i="1" a="1"/>
  <c r="N1113" i="1" s="1"/>
  <c r="N1114" i="1" a="1"/>
  <c r="N1114" i="1" s="1"/>
  <c r="N1115" i="1" a="1"/>
  <c r="N1115" i="1" s="1"/>
  <c r="N1116" i="1" a="1"/>
  <c r="N1116" i="1" s="1"/>
  <c r="N1117" i="1" a="1"/>
  <c r="N1117" i="1" s="1"/>
  <c r="N1118" i="1" a="1"/>
  <c r="N1118" i="1" s="1"/>
  <c r="N1119" i="1" a="1"/>
  <c r="N1119" i="1" s="1"/>
  <c r="N1120" i="1" a="1"/>
  <c r="N1120" i="1" s="1"/>
  <c r="N1121" i="1" a="1"/>
  <c r="N1121" i="1" s="1"/>
  <c r="N1122" i="1" a="1"/>
  <c r="N1122" i="1" s="1"/>
  <c r="N1123" i="1" a="1"/>
  <c r="N1123" i="1" s="1"/>
  <c r="N1124" i="1" a="1"/>
  <c r="N1124" i="1" s="1"/>
  <c r="N1125" i="1" a="1"/>
  <c r="N1125" i="1" s="1"/>
  <c r="N1126" i="1" a="1"/>
  <c r="N1126" i="1" s="1"/>
  <c r="N1127" i="1" a="1"/>
  <c r="N1127" i="1" s="1"/>
  <c r="N1128" i="1" a="1"/>
  <c r="N1128" i="1" s="1"/>
  <c r="N1129" i="1" a="1"/>
  <c r="N1129" i="1" s="1"/>
  <c r="N1130" i="1" a="1"/>
  <c r="N1130" i="1" s="1"/>
  <c r="N1131" i="1" a="1"/>
  <c r="N1131" i="1" s="1"/>
  <c r="N1132" i="1" a="1"/>
  <c r="N1132" i="1" s="1"/>
  <c r="N1133" i="1" a="1"/>
  <c r="N1133" i="1" s="1"/>
  <c r="N1134" i="1" a="1"/>
  <c r="N1134" i="1" s="1"/>
  <c r="N1135" i="1" a="1"/>
  <c r="N1135" i="1" s="1"/>
  <c r="N1136" i="1" a="1"/>
  <c r="N1136" i="1" s="1"/>
  <c r="N1137" i="1" a="1"/>
  <c r="N1137" i="1" s="1"/>
  <c r="N1138" i="1" a="1"/>
  <c r="N1138" i="1" s="1"/>
  <c r="N1139" i="1" a="1"/>
  <c r="N1139" i="1" s="1"/>
  <c r="N1140" i="1" a="1"/>
  <c r="N1140" i="1" s="1"/>
  <c r="N1141" i="1" a="1"/>
  <c r="N1141" i="1" s="1"/>
  <c r="N1142" i="1" a="1"/>
  <c r="N1142" i="1" s="1"/>
  <c r="N1143" i="1" a="1"/>
  <c r="N1143" i="1" s="1"/>
  <c r="N1144" i="1" a="1"/>
  <c r="N1144" i="1" s="1"/>
  <c r="N1145" i="1" a="1"/>
  <c r="N1145" i="1" s="1"/>
  <c r="N1146" i="1" a="1"/>
  <c r="N1146" i="1" s="1"/>
  <c r="N1147" i="1" a="1"/>
  <c r="N1147" i="1" s="1"/>
  <c r="N1148" i="1" a="1"/>
  <c r="N1148" i="1" s="1"/>
  <c r="N1149" i="1" a="1"/>
  <c r="N1149" i="1" s="1"/>
  <c r="N1150" i="1" a="1"/>
  <c r="N1150" i="1" s="1"/>
  <c r="N1151" i="1" a="1"/>
  <c r="N1151" i="1" s="1"/>
  <c r="N1152" i="1" a="1"/>
  <c r="N1152" i="1" s="1"/>
  <c r="N1153" i="1" a="1"/>
  <c r="N1153" i="1" s="1"/>
  <c r="N1154" i="1" a="1"/>
  <c r="N1154" i="1" s="1"/>
  <c r="N1155" i="1" a="1"/>
  <c r="N1155" i="1" s="1"/>
  <c r="N1156" i="1" a="1"/>
  <c r="N1156" i="1" s="1"/>
  <c r="N1157" i="1" a="1"/>
  <c r="N1157" i="1" s="1"/>
  <c r="N1158" i="1" a="1"/>
  <c r="N1158" i="1" s="1"/>
  <c r="N1159" i="1" a="1"/>
  <c r="N1159" i="1" s="1"/>
  <c r="N1160" i="1" a="1"/>
  <c r="N1160" i="1" s="1"/>
  <c r="N1161" i="1" a="1"/>
  <c r="N1161" i="1" s="1"/>
  <c r="N1162" i="1" a="1"/>
  <c r="N1162" i="1" s="1"/>
  <c r="N1163" i="1" a="1"/>
  <c r="N1163" i="1" s="1"/>
  <c r="N1164" i="1" a="1"/>
  <c r="N1164" i="1" s="1"/>
  <c r="N1165" i="1" a="1"/>
  <c r="N1165" i="1" s="1"/>
  <c r="N1166" i="1" a="1"/>
  <c r="N1166" i="1" s="1"/>
  <c r="N1167" i="1" a="1"/>
  <c r="N1167" i="1" s="1"/>
  <c r="N1168" i="1" a="1"/>
  <c r="N1168" i="1" s="1"/>
  <c r="N1169" i="1" a="1"/>
  <c r="N1169" i="1" s="1"/>
  <c r="N1170" i="1" a="1"/>
  <c r="N1170" i="1" s="1"/>
  <c r="N1171" i="1" a="1"/>
  <c r="N1171" i="1" s="1"/>
  <c r="N1172" i="1" a="1"/>
  <c r="N1172" i="1" s="1"/>
  <c r="N1173" i="1" a="1"/>
  <c r="N1173" i="1" s="1"/>
  <c r="N1174" i="1" a="1"/>
  <c r="N1174" i="1" s="1"/>
  <c r="N1175" i="1" a="1"/>
  <c r="N1175" i="1" s="1"/>
  <c r="N1176" i="1" a="1"/>
  <c r="N1176" i="1" s="1"/>
  <c r="N1177" i="1" a="1"/>
  <c r="N1177" i="1" s="1"/>
  <c r="N1178" i="1" a="1"/>
  <c r="N1178" i="1" s="1"/>
  <c r="N1179" i="1" a="1"/>
  <c r="N1179" i="1" s="1"/>
  <c r="N1180" i="1" a="1"/>
  <c r="N1180" i="1" s="1"/>
  <c r="N1181" i="1" a="1"/>
  <c r="N1181" i="1" s="1"/>
  <c r="N1182" i="1" a="1"/>
  <c r="N1182" i="1" s="1"/>
  <c r="N1183" i="1" a="1"/>
  <c r="N1183" i="1" s="1"/>
  <c r="N1184" i="1" a="1"/>
  <c r="N1184" i="1" s="1"/>
  <c r="N1185" i="1" a="1"/>
  <c r="N1185" i="1" s="1"/>
  <c r="N1186" i="1" a="1"/>
  <c r="N1186" i="1" s="1"/>
  <c r="N1187" i="1" a="1"/>
  <c r="N1187" i="1" s="1"/>
  <c r="N1188" i="1" a="1"/>
  <c r="N1188" i="1" s="1"/>
  <c r="N1189" i="1" a="1"/>
  <c r="N1189" i="1" s="1"/>
  <c r="N1190" i="1" a="1"/>
  <c r="N1190" i="1" s="1"/>
  <c r="N1191" i="1" a="1"/>
  <c r="N1191" i="1" s="1"/>
  <c r="N1192" i="1" a="1"/>
  <c r="N1192" i="1" s="1"/>
  <c r="N1193" i="1" a="1"/>
  <c r="N1193" i="1" s="1"/>
  <c r="N1194" i="1" a="1"/>
  <c r="N1194" i="1" s="1"/>
  <c r="N1195" i="1" a="1"/>
  <c r="N1195" i="1" s="1"/>
  <c r="N1196" i="1" a="1"/>
  <c r="N1196" i="1" s="1"/>
  <c r="N1197" i="1" a="1"/>
  <c r="N1197" i="1" s="1"/>
  <c r="N1198" i="1" a="1"/>
  <c r="N1198" i="1" s="1"/>
  <c r="N1199" i="1" a="1"/>
  <c r="N1199" i="1" s="1"/>
  <c r="N1200" i="1" a="1"/>
  <c r="N1200" i="1" s="1"/>
  <c r="N1201" i="1" a="1"/>
  <c r="N1201" i="1" s="1"/>
  <c r="N1202" i="1" a="1"/>
  <c r="N1202" i="1" s="1"/>
  <c r="N1203" i="1" a="1"/>
  <c r="N1203" i="1" s="1"/>
  <c r="N1204" i="1" a="1"/>
  <c r="N1204" i="1" s="1"/>
  <c r="N1205" i="1" a="1"/>
  <c r="N1205" i="1" s="1"/>
  <c r="N1206" i="1" a="1"/>
  <c r="N1206" i="1" s="1"/>
  <c r="N1207" i="1" a="1"/>
  <c r="N1207" i="1" s="1"/>
  <c r="N1208" i="1" a="1"/>
  <c r="N1208" i="1" s="1"/>
  <c r="N1209" i="1" a="1"/>
  <c r="N1209" i="1" s="1"/>
  <c r="N1210" i="1" a="1"/>
  <c r="N1210" i="1" s="1"/>
  <c r="N1211" i="1" a="1"/>
  <c r="N1211" i="1" s="1"/>
  <c r="N1212" i="1" a="1"/>
  <c r="N1212" i="1" s="1"/>
  <c r="N1213" i="1" a="1"/>
  <c r="N1213" i="1" s="1"/>
  <c r="N1214" i="1" a="1"/>
  <c r="N1214" i="1" s="1"/>
  <c r="N1215" i="1" a="1"/>
  <c r="N1215" i="1" s="1"/>
  <c r="N1216" i="1" a="1"/>
  <c r="N1216" i="1" s="1"/>
  <c r="N1217" i="1" a="1"/>
  <c r="N1217" i="1" s="1"/>
  <c r="N1218" i="1" a="1"/>
  <c r="N1218" i="1" s="1"/>
  <c r="N1219" i="1" a="1"/>
  <c r="N1219" i="1" s="1"/>
  <c r="N1220" i="1" a="1"/>
  <c r="N1220" i="1" s="1"/>
  <c r="N1221" i="1" a="1"/>
  <c r="N1221" i="1" s="1"/>
  <c r="N1222" i="1" a="1"/>
  <c r="N1222" i="1" s="1"/>
  <c r="N1223" i="1" a="1"/>
  <c r="N1223" i="1" s="1"/>
  <c r="N1224" i="1" a="1"/>
  <c r="N1224" i="1" s="1"/>
  <c r="N1225" i="1" a="1"/>
  <c r="N1225" i="1" s="1"/>
  <c r="N1226" i="1" a="1"/>
  <c r="N1226" i="1" s="1"/>
  <c r="N1227" i="1" a="1"/>
  <c r="N1227" i="1" s="1"/>
  <c r="N1228" i="1" a="1"/>
  <c r="N1228" i="1" s="1"/>
  <c r="N1229" i="1" a="1"/>
  <c r="N1229" i="1" s="1"/>
  <c r="N1230" i="1" a="1"/>
  <c r="N1230" i="1" s="1"/>
  <c r="N1231" i="1" a="1"/>
  <c r="N1231" i="1" s="1"/>
  <c r="N1232" i="1" a="1"/>
  <c r="N1232" i="1" s="1"/>
  <c r="N1233" i="1" a="1"/>
  <c r="N1233" i="1" s="1"/>
  <c r="N1234" i="1" a="1"/>
  <c r="N1234" i="1" s="1"/>
  <c r="N1235" i="1" a="1"/>
  <c r="N1235" i="1" s="1"/>
  <c r="N1236" i="1" a="1"/>
  <c r="N1236" i="1" s="1"/>
  <c r="N1237" i="1" a="1"/>
  <c r="N1237" i="1" s="1"/>
  <c r="N1238" i="1" a="1"/>
  <c r="N1238" i="1" s="1"/>
  <c r="N1239" i="1" a="1"/>
  <c r="N1239" i="1" s="1"/>
  <c r="N1240" i="1" a="1"/>
  <c r="N1240" i="1" s="1"/>
  <c r="N1241" i="1" a="1"/>
  <c r="N1241" i="1" s="1"/>
  <c r="N1242" i="1" a="1"/>
  <c r="N1242" i="1" s="1"/>
  <c r="N1243" i="1" a="1"/>
  <c r="N1243" i="1" s="1"/>
  <c r="N1244" i="1" a="1"/>
  <c r="N1244" i="1" s="1"/>
  <c r="N1245" i="1" a="1"/>
  <c r="N1245" i="1" s="1"/>
  <c r="N1246" i="1" a="1"/>
  <c r="N1246" i="1" s="1"/>
  <c r="N1247" i="1" a="1"/>
  <c r="N1247" i="1" s="1"/>
  <c r="N1248" i="1" a="1"/>
  <c r="N1248" i="1" s="1"/>
  <c r="N1249" i="1" a="1"/>
  <c r="N1249" i="1" s="1"/>
  <c r="N1250" i="1" a="1"/>
  <c r="N1250" i="1" s="1"/>
  <c r="N1251" i="1" a="1"/>
  <c r="N1251" i="1" s="1"/>
  <c r="N1252" i="1" a="1"/>
  <c r="N1252" i="1" s="1"/>
  <c r="N1253" i="1" a="1"/>
  <c r="N1253" i="1" s="1"/>
  <c r="N1254" i="1" a="1"/>
  <c r="N1254" i="1" s="1"/>
  <c r="N1255" i="1" a="1"/>
  <c r="N1255" i="1" s="1"/>
  <c r="N1256" i="1" a="1"/>
  <c r="N1256" i="1" s="1"/>
  <c r="N1257" i="1" a="1"/>
  <c r="N1257" i="1" s="1"/>
  <c r="N1258" i="1" a="1"/>
  <c r="N1258" i="1" s="1"/>
  <c r="N1259" i="1" a="1"/>
  <c r="N1259" i="1" s="1"/>
  <c r="N1260" i="1" a="1"/>
  <c r="N1260" i="1" s="1"/>
  <c r="N1261" i="1" a="1"/>
  <c r="N1261" i="1" s="1"/>
  <c r="N1262" i="1" a="1"/>
  <c r="N1262" i="1" s="1"/>
  <c r="N1263" i="1" a="1"/>
  <c r="N1263" i="1" s="1"/>
  <c r="N1264" i="1" a="1"/>
  <c r="N1264" i="1" s="1"/>
  <c r="N1265" i="1" a="1"/>
  <c r="N1265" i="1" s="1"/>
  <c r="N1266" i="1" a="1"/>
  <c r="N1266" i="1" s="1"/>
  <c r="N1267" i="1" a="1"/>
  <c r="N1267" i="1" s="1"/>
  <c r="N1268" i="1" a="1"/>
  <c r="N1268" i="1" s="1"/>
  <c r="N1269" i="1" a="1"/>
  <c r="N1269" i="1" s="1"/>
  <c r="N1270" i="1" a="1"/>
  <c r="N1270" i="1" s="1"/>
  <c r="N1271" i="1" a="1"/>
  <c r="N1271" i="1" s="1"/>
  <c r="N1272" i="1" a="1"/>
  <c r="N1272" i="1" s="1"/>
  <c r="N1273" i="1" a="1"/>
  <c r="N1273" i="1" s="1"/>
  <c r="N1274" i="1" a="1"/>
  <c r="N1274" i="1" s="1"/>
  <c r="N1275" i="1" a="1"/>
  <c r="N1275" i="1" s="1"/>
  <c r="N1276" i="1" a="1"/>
  <c r="N1276" i="1" s="1"/>
  <c r="N1277" i="1" a="1"/>
  <c r="N1277" i="1" s="1"/>
  <c r="N1278" i="1" a="1"/>
  <c r="N1278" i="1" s="1"/>
  <c r="N1279" i="1" a="1"/>
  <c r="N1279" i="1" s="1"/>
  <c r="N1280" i="1" a="1"/>
  <c r="N1280" i="1" s="1"/>
  <c r="N1281" i="1" a="1"/>
  <c r="N1281" i="1" s="1"/>
  <c r="N1282" i="1" a="1"/>
  <c r="N1282" i="1" s="1"/>
  <c r="N1283" i="1" a="1"/>
  <c r="N1283" i="1" s="1"/>
  <c r="N1284" i="1" a="1"/>
  <c r="N1284" i="1" s="1"/>
  <c r="N1285" i="1" a="1"/>
  <c r="N1285" i="1" s="1"/>
  <c r="N1286" i="1" a="1"/>
  <c r="N1286" i="1" s="1"/>
  <c r="N1287" i="1" a="1"/>
  <c r="N1287" i="1" s="1"/>
  <c r="N1288" i="1" a="1"/>
  <c r="N1288" i="1" s="1"/>
  <c r="N1289" i="1" a="1"/>
  <c r="N1289" i="1" s="1"/>
  <c r="N1290" i="1" a="1"/>
  <c r="N1290" i="1" s="1"/>
  <c r="N1291" i="1" a="1"/>
  <c r="N1291" i="1" s="1"/>
  <c r="N1292" i="1" a="1"/>
  <c r="N1292" i="1" s="1"/>
  <c r="N1293" i="1" a="1"/>
  <c r="N1293" i="1" s="1"/>
  <c r="N1294" i="1" a="1"/>
  <c r="N1294" i="1" s="1"/>
  <c r="N1295" i="1" a="1"/>
  <c r="N1295" i="1" s="1"/>
  <c r="N1296" i="1" a="1"/>
  <c r="N1296" i="1" s="1"/>
  <c r="N1297" i="1" a="1"/>
  <c r="N1297" i="1" s="1"/>
  <c r="N1298" i="1" a="1"/>
  <c r="N1298" i="1" s="1"/>
  <c r="N1299" i="1" a="1"/>
  <c r="N1299" i="1" s="1"/>
  <c r="N1300" i="1" a="1"/>
  <c r="N1300" i="1" s="1"/>
  <c r="N1301" i="1" a="1"/>
  <c r="N1301" i="1" s="1"/>
  <c r="N1302" i="1" a="1"/>
  <c r="N1302" i="1" s="1"/>
  <c r="N1303" i="1" a="1"/>
  <c r="N1303" i="1" s="1"/>
  <c r="N1304" i="1" a="1"/>
  <c r="N1304" i="1" s="1"/>
  <c r="N1305" i="1" a="1"/>
  <c r="N1305" i="1" s="1"/>
  <c r="N1306" i="1" a="1"/>
  <c r="N1306" i="1" s="1"/>
  <c r="N1307" i="1" a="1"/>
  <c r="N1307" i="1" s="1"/>
  <c r="N1308" i="1" a="1"/>
  <c r="N1308" i="1" s="1"/>
  <c r="N1309" i="1" a="1"/>
  <c r="N1309" i="1" s="1"/>
  <c r="N1310" i="1" a="1"/>
  <c r="N1310" i="1" s="1"/>
  <c r="N1311" i="1" a="1"/>
  <c r="N1311" i="1" s="1"/>
  <c r="N1312" i="1" a="1"/>
  <c r="N1312" i="1" s="1"/>
  <c r="N1313" i="1" a="1"/>
  <c r="N1313" i="1" s="1"/>
  <c r="N1314" i="1" a="1"/>
  <c r="N1314" i="1" s="1"/>
  <c r="N1315" i="1" a="1"/>
  <c r="N1315" i="1" s="1"/>
  <c r="N1316" i="1" a="1"/>
  <c r="N1316" i="1" s="1"/>
  <c r="N1317" i="1" a="1"/>
  <c r="N1317" i="1" s="1"/>
  <c r="N1318" i="1" a="1"/>
  <c r="N1318" i="1" s="1"/>
  <c r="N1319" i="1" a="1"/>
  <c r="N1319" i="1" s="1"/>
  <c r="N1320" i="1" a="1"/>
  <c r="N1320" i="1" s="1"/>
  <c r="N1321" i="1" a="1"/>
  <c r="N1321" i="1" s="1"/>
  <c r="N1322" i="1" a="1"/>
  <c r="N1322" i="1" s="1"/>
  <c r="N1323" i="1" a="1"/>
  <c r="N1323" i="1" s="1"/>
  <c r="N1324" i="1" a="1"/>
  <c r="N1324" i="1" s="1"/>
  <c r="N1325" i="1" a="1"/>
  <c r="N1325" i="1" s="1"/>
  <c r="N1326" i="1" a="1"/>
  <c r="N1326" i="1" s="1"/>
  <c r="N1327" i="1" a="1"/>
  <c r="N1327" i="1" s="1"/>
  <c r="N1328" i="1" a="1"/>
  <c r="N1328" i="1" s="1"/>
  <c r="N1329" i="1" a="1"/>
  <c r="N1329" i="1" s="1"/>
  <c r="N1330" i="1" a="1"/>
  <c r="N1330" i="1" s="1"/>
  <c r="N1331" i="1" a="1"/>
  <c r="N1331" i="1" s="1"/>
  <c r="N1332" i="1" a="1"/>
  <c r="N1332" i="1" s="1"/>
  <c r="N1333" i="1" a="1"/>
  <c r="N1333" i="1" s="1"/>
  <c r="N1334" i="1" a="1"/>
  <c r="N1334" i="1" s="1"/>
  <c r="N1335" i="1" a="1"/>
  <c r="N1335" i="1" s="1"/>
  <c r="N1336" i="1" a="1"/>
  <c r="N1336" i="1" s="1"/>
  <c r="N1337" i="1" a="1"/>
  <c r="N1337" i="1" s="1"/>
  <c r="N1338" i="1" a="1"/>
  <c r="N1338" i="1" s="1"/>
  <c r="N1339" i="1" a="1"/>
  <c r="N1339" i="1" s="1"/>
  <c r="N1340" i="1" a="1"/>
  <c r="N1340" i="1" s="1"/>
  <c r="N1341" i="1" a="1"/>
  <c r="N1341" i="1" s="1"/>
  <c r="N1342" i="1" a="1"/>
  <c r="N1342" i="1" s="1"/>
  <c r="N1343" i="1" a="1"/>
  <c r="N1343" i="1" s="1"/>
  <c r="N1344" i="1" a="1"/>
  <c r="N1344" i="1" s="1"/>
  <c r="N1345" i="1" a="1"/>
  <c r="N1345" i="1" s="1"/>
  <c r="N1346" i="1" a="1"/>
  <c r="N1346" i="1" s="1"/>
  <c r="N1347" i="1" a="1"/>
  <c r="N1347" i="1" s="1"/>
  <c r="N1348" i="1" a="1"/>
  <c r="N1348" i="1" s="1"/>
  <c r="N1349" i="1" a="1"/>
  <c r="N1349" i="1" s="1"/>
  <c r="N1350" i="1" a="1"/>
  <c r="N1350" i="1" s="1"/>
  <c r="N1351" i="1" a="1"/>
  <c r="N1351" i="1" s="1"/>
  <c r="N1352" i="1" a="1"/>
  <c r="N1352" i="1" s="1"/>
  <c r="N1353" i="1" a="1"/>
  <c r="N1353" i="1" s="1"/>
  <c r="N1354" i="1" a="1"/>
  <c r="N1354" i="1" s="1"/>
  <c r="N1355" i="1" a="1"/>
  <c r="N1355" i="1" s="1"/>
  <c r="N1356" i="1" a="1"/>
  <c r="N1356" i="1" s="1"/>
  <c r="N1357" i="1" a="1"/>
  <c r="N1357" i="1" s="1"/>
  <c r="N1358" i="1" a="1"/>
  <c r="N1358" i="1" s="1"/>
  <c r="N1359" i="1" a="1"/>
  <c r="N1359" i="1" s="1"/>
  <c r="N1360" i="1" a="1"/>
  <c r="N1360" i="1" s="1"/>
  <c r="N1361" i="1" a="1"/>
  <c r="N1361" i="1" s="1"/>
  <c r="N1362" i="1" a="1"/>
  <c r="N1362" i="1" s="1"/>
  <c r="N1363" i="1" a="1"/>
  <c r="N1363" i="1" s="1"/>
  <c r="N1364" i="1" a="1"/>
  <c r="N1364" i="1" s="1"/>
  <c r="N1365" i="1" a="1"/>
  <c r="N1365" i="1" s="1"/>
  <c r="N1366" i="1" a="1"/>
  <c r="N1366" i="1" s="1"/>
  <c r="N1367" i="1" a="1"/>
  <c r="N1367" i="1" s="1"/>
  <c r="N1368" i="1" a="1"/>
  <c r="N1368" i="1" s="1"/>
  <c r="N1369" i="1" a="1"/>
  <c r="N1369" i="1" s="1"/>
  <c r="N1370" i="1" a="1"/>
  <c r="N1370" i="1" s="1"/>
  <c r="N1371" i="1" a="1"/>
  <c r="N1371" i="1" s="1"/>
  <c r="N1372" i="1" a="1"/>
  <c r="N1372" i="1" s="1"/>
  <c r="N1373" i="1" a="1"/>
  <c r="N1373" i="1" s="1"/>
  <c r="N1374" i="1" a="1"/>
  <c r="N1374" i="1" s="1"/>
  <c r="N1375" i="1" a="1"/>
  <c r="N1375" i="1" s="1"/>
  <c r="N1376" i="1" a="1"/>
  <c r="N1376" i="1" s="1"/>
  <c r="N1377" i="1" a="1"/>
  <c r="N1377" i="1" s="1"/>
  <c r="N1378" i="1" a="1"/>
  <c r="N1378" i="1" s="1"/>
  <c r="N1379" i="1" a="1"/>
  <c r="N1379" i="1" s="1"/>
  <c r="N1380" i="1" a="1"/>
  <c r="N1380" i="1" s="1"/>
  <c r="N1381" i="1" a="1"/>
  <c r="N1381" i="1" s="1"/>
  <c r="N1382" i="1" a="1"/>
  <c r="N1382" i="1" s="1"/>
  <c r="N1383" i="1" a="1"/>
  <c r="N1383" i="1" s="1"/>
  <c r="N1384" i="1" a="1"/>
  <c r="N1384" i="1" s="1"/>
  <c r="N1385" i="1" a="1"/>
  <c r="N1385" i="1" s="1"/>
  <c r="N1386" i="1" a="1"/>
  <c r="N1386" i="1" s="1"/>
  <c r="N1387" i="1" a="1"/>
  <c r="N1387" i="1" s="1"/>
  <c r="N1388" i="1" a="1"/>
  <c r="N1388" i="1" s="1"/>
  <c r="N1389" i="1" a="1"/>
  <c r="N1389" i="1" s="1"/>
  <c r="N1390" i="1" a="1"/>
  <c r="N1390" i="1" s="1"/>
  <c r="N1391" i="1" a="1"/>
  <c r="N1391" i="1" s="1"/>
  <c r="N1392" i="1" a="1"/>
  <c r="N1392" i="1" s="1"/>
  <c r="N1393" i="1" a="1"/>
  <c r="N1393" i="1" s="1"/>
  <c r="N1394" i="1" a="1"/>
  <c r="N1394" i="1" s="1"/>
  <c r="N1395" i="1" a="1"/>
  <c r="N1395" i="1" s="1"/>
  <c r="N1396" i="1" a="1"/>
  <c r="N1396" i="1" s="1"/>
  <c r="N1397" i="1" a="1"/>
  <c r="N1397" i="1" s="1"/>
  <c r="N1398" i="1" a="1"/>
  <c r="N1398" i="1" s="1"/>
  <c r="N1399" i="1" a="1"/>
  <c r="N1399" i="1" s="1"/>
  <c r="N1400" i="1" a="1"/>
  <c r="N1400" i="1" s="1"/>
  <c r="N1401" i="1" a="1"/>
  <c r="N1401" i="1" s="1"/>
  <c r="N1402" i="1" a="1"/>
  <c r="N1402" i="1" s="1"/>
  <c r="N1403" i="1" a="1"/>
  <c r="N1403" i="1" s="1"/>
  <c r="N1404" i="1" a="1"/>
  <c r="N1404" i="1" s="1"/>
  <c r="N1405" i="1" a="1"/>
  <c r="N1405" i="1" s="1"/>
  <c r="N1406" i="1" a="1"/>
  <c r="N1406" i="1" s="1"/>
  <c r="N1407" i="1" a="1"/>
  <c r="N1407" i="1" s="1"/>
  <c r="N1408" i="1" a="1"/>
  <c r="N1408" i="1" s="1"/>
  <c r="N1409" i="1" a="1"/>
  <c r="N1409" i="1" s="1"/>
  <c r="N1410" i="1" a="1"/>
  <c r="N1410" i="1" s="1"/>
  <c r="N1411" i="1" a="1"/>
  <c r="N1411" i="1" s="1"/>
  <c r="N1412" i="1" a="1"/>
  <c r="N1412" i="1" s="1"/>
  <c r="N1413" i="1" a="1"/>
  <c r="N1413" i="1" s="1"/>
  <c r="N1414" i="1" a="1"/>
  <c r="N1414" i="1" s="1"/>
  <c r="N1415" i="1" a="1"/>
  <c r="N1415" i="1" s="1"/>
  <c r="N1416" i="1" a="1"/>
  <c r="N1416" i="1" s="1"/>
  <c r="N1417" i="1" a="1"/>
  <c r="N1417" i="1" s="1"/>
  <c r="N1418" i="1" a="1"/>
  <c r="N1418" i="1" s="1"/>
  <c r="N1419" i="1" a="1"/>
  <c r="N1419" i="1" s="1"/>
  <c r="N1420" i="1" a="1"/>
  <c r="N1420" i="1" s="1"/>
  <c r="N1421" i="1" a="1"/>
  <c r="N1421" i="1" s="1"/>
  <c r="N1422" i="1" a="1"/>
  <c r="N1422" i="1" s="1"/>
  <c r="N1423" i="1" a="1"/>
  <c r="N1423" i="1" s="1"/>
  <c r="N1424" i="1" a="1"/>
  <c r="N1424" i="1" s="1"/>
  <c r="N1425" i="1" a="1"/>
  <c r="N1425" i="1" s="1"/>
  <c r="N1426" i="1" a="1"/>
  <c r="N1426" i="1" s="1"/>
  <c r="N1427" i="1" a="1"/>
  <c r="N1427" i="1" s="1"/>
  <c r="N1428" i="1" a="1"/>
  <c r="N1428" i="1" s="1"/>
  <c r="N1429" i="1" a="1"/>
  <c r="N1429" i="1" s="1"/>
  <c r="N1430" i="1" a="1"/>
  <c r="N1430" i="1" s="1"/>
  <c r="N1431" i="1" a="1"/>
  <c r="N1431" i="1" s="1"/>
  <c r="N1432" i="1" a="1"/>
  <c r="N1432" i="1" s="1"/>
  <c r="N1433" i="1" a="1"/>
  <c r="N1433" i="1" s="1"/>
  <c r="N1434" i="1" a="1"/>
  <c r="N1434" i="1" s="1"/>
  <c r="N1435" i="1" a="1"/>
  <c r="N1435" i="1" s="1"/>
  <c r="N1436" i="1" a="1"/>
  <c r="N1436" i="1" s="1"/>
  <c r="N1437" i="1" a="1"/>
  <c r="N1437" i="1" s="1"/>
  <c r="N1438" i="1" a="1"/>
  <c r="N1438" i="1" s="1"/>
  <c r="N1439" i="1" a="1"/>
  <c r="N1439" i="1" s="1"/>
  <c r="N1440" i="1" a="1"/>
  <c r="N1440" i="1" s="1"/>
  <c r="N1441" i="1" a="1"/>
  <c r="N1441" i="1" s="1"/>
  <c r="N1442" i="1" a="1"/>
  <c r="N1442" i="1" s="1"/>
  <c r="N1443" i="1" a="1"/>
  <c r="N1443" i="1" s="1"/>
  <c r="N1444" i="1" a="1"/>
  <c r="N1444" i="1" s="1"/>
  <c r="N1445" i="1" a="1"/>
  <c r="N1445" i="1" s="1"/>
  <c r="N1446" i="1" a="1"/>
  <c r="N1446" i="1" s="1"/>
  <c r="N1447" i="1" a="1"/>
  <c r="N1447" i="1" s="1"/>
  <c r="N1448" i="1" a="1"/>
  <c r="N1448" i="1" s="1"/>
  <c r="N1449" i="1" a="1"/>
  <c r="N1449" i="1" s="1"/>
  <c r="N1450" i="1" a="1"/>
  <c r="N1450" i="1" s="1"/>
  <c r="N1451" i="1" a="1"/>
  <c r="N1451" i="1" s="1"/>
  <c r="N1452" i="1" a="1"/>
  <c r="N1452" i="1" s="1"/>
  <c r="N1453" i="1" a="1"/>
  <c r="N1453" i="1" s="1"/>
  <c r="N1454" i="1" a="1"/>
  <c r="N1454" i="1" s="1"/>
  <c r="N1455" i="1" a="1"/>
  <c r="N1455" i="1" s="1"/>
  <c r="N1456" i="1" a="1"/>
  <c r="N1456" i="1" s="1"/>
  <c r="N1457" i="1" a="1"/>
  <c r="N1457" i="1" s="1"/>
  <c r="N1458" i="1" a="1"/>
  <c r="N1458" i="1" s="1"/>
  <c r="N1459" i="1" a="1"/>
  <c r="N1459" i="1" s="1"/>
  <c r="N1460" i="1" a="1"/>
  <c r="N1460" i="1" s="1"/>
  <c r="N1461" i="1" a="1"/>
  <c r="N1461" i="1" s="1"/>
  <c r="N1462" i="1" a="1"/>
  <c r="N1462" i="1" s="1"/>
  <c r="N1463" i="1" a="1"/>
  <c r="N1463" i="1" s="1"/>
  <c r="N1464" i="1" a="1"/>
  <c r="N1464" i="1" s="1"/>
  <c r="N1465" i="1" a="1"/>
  <c r="N1465" i="1" s="1"/>
  <c r="N1466" i="1" a="1"/>
  <c r="N1466" i="1" s="1"/>
  <c r="N1467" i="1" a="1"/>
  <c r="N1467" i="1" s="1"/>
  <c r="N1468" i="1" a="1"/>
  <c r="N1468" i="1" s="1"/>
  <c r="N1469" i="1" a="1"/>
  <c r="N1469" i="1" s="1"/>
  <c r="N1470" i="1" a="1"/>
  <c r="N1470" i="1" s="1"/>
  <c r="N1471" i="1" a="1"/>
  <c r="N1471" i="1" s="1"/>
  <c r="U8" i="1" a="1"/>
  <c r="U8" i="1" s="1"/>
  <c r="CC4" i="2"/>
  <c r="CC3" i="2"/>
  <c r="C38" i="2"/>
  <c r="C37" i="2"/>
  <c r="C36" i="2"/>
  <c r="AP4" i="1"/>
  <c r="AP16" i="1"/>
  <c r="AP23" i="1"/>
  <c r="AP26" i="1"/>
  <c r="AP28" i="1"/>
  <c r="AP35" i="1"/>
  <c r="AP36" i="1"/>
  <c r="AP38" i="1"/>
  <c r="AP44" i="1"/>
  <c r="AP47" i="1"/>
  <c r="AP52" i="1"/>
  <c r="AP53" i="1"/>
  <c r="AP71" i="1"/>
  <c r="AP91" i="1"/>
  <c r="AP102" i="1"/>
  <c r="AP104" i="1"/>
  <c r="AP109" i="1"/>
  <c r="AP113" i="1"/>
  <c r="AP124" i="1"/>
  <c r="AP126" i="1"/>
  <c r="AP128" i="1"/>
  <c r="AP129" i="1"/>
  <c r="AP134" i="1"/>
  <c r="AP138" i="1"/>
  <c r="AP142" i="1"/>
  <c r="AP173" i="1"/>
  <c r="AP179" i="1"/>
  <c r="AP184" i="1"/>
  <c r="AP194" i="1"/>
  <c r="AP206" i="1"/>
  <c r="AP207" i="1"/>
  <c r="AP212" i="1"/>
  <c r="AP216" i="1"/>
  <c r="AP218" i="1"/>
  <c r="AP219" i="1"/>
  <c r="AP231" i="1"/>
  <c r="AP236" i="1"/>
  <c r="AP238" i="1"/>
  <c r="AP241" i="1"/>
  <c r="AP252" i="1"/>
  <c r="AP261" i="1"/>
  <c r="AP266" i="1"/>
  <c r="AP273" i="1"/>
  <c r="AP288" i="1"/>
  <c r="AP290" i="1"/>
  <c r="AP295" i="1"/>
  <c r="AP298" i="1"/>
  <c r="AP319" i="1"/>
  <c r="AP325" i="1"/>
  <c r="AP329" i="1"/>
  <c r="AP338" i="1"/>
  <c r="AP359" i="1"/>
  <c r="AP365" i="1"/>
  <c r="AP368" i="1"/>
  <c r="AP370" i="1"/>
  <c r="AP372" i="1"/>
  <c r="AP380" i="1"/>
  <c r="AP384" i="1"/>
  <c r="AP387" i="1"/>
  <c r="AP407" i="1"/>
  <c r="AP416" i="1"/>
  <c r="AP417" i="1"/>
  <c r="AP423" i="1"/>
  <c r="AP424" i="1"/>
  <c r="AP437" i="1"/>
  <c r="AP438" i="1"/>
  <c r="AP441" i="1"/>
  <c r="AP442" i="1"/>
  <c r="AP445" i="1"/>
  <c r="AP455" i="1"/>
  <c r="AP459" i="1"/>
  <c r="AP465" i="1"/>
  <c r="AP471" i="1"/>
  <c r="AP481" i="1"/>
  <c r="AP482" i="1"/>
  <c r="AP484" i="1"/>
  <c r="AP497" i="1"/>
  <c r="AP506" i="1"/>
  <c r="AP515" i="1"/>
  <c r="AP516" i="1"/>
  <c r="AP527" i="1"/>
  <c r="AP530" i="1"/>
  <c r="AP542" i="1"/>
  <c r="AP549" i="1"/>
  <c r="AP564" i="1"/>
  <c r="AP568" i="1"/>
  <c r="AP570" i="1"/>
  <c r="AP575" i="1"/>
  <c r="AP587" i="1"/>
  <c r="AP591" i="1"/>
  <c r="AP593" i="1"/>
  <c r="AP597" i="1"/>
  <c r="AP600" i="1"/>
  <c r="AP609" i="1"/>
  <c r="AP610" i="1"/>
  <c r="AP616" i="1"/>
  <c r="AP638" i="1"/>
  <c r="AP647" i="1"/>
  <c r="AP658" i="1"/>
  <c r="AP662" i="1"/>
  <c r="AP664" i="1"/>
  <c r="AP665" i="1"/>
  <c r="AP668" i="1"/>
  <c r="AP669" i="1"/>
  <c r="AP671" i="1"/>
  <c r="AP685" i="1"/>
  <c r="AP690" i="1"/>
  <c r="AP691" i="1"/>
  <c r="AP695" i="1"/>
  <c r="AP697" i="1"/>
  <c r="AP702" i="1"/>
  <c r="AP708" i="1"/>
  <c r="AP711" i="1"/>
  <c r="AP713" i="1"/>
  <c r="AP722" i="1"/>
  <c r="AP727" i="1"/>
  <c r="AP733" i="1"/>
  <c r="AP734" i="1"/>
  <c r="AP746" i="1"/>
  <c r="AP750" i="1"/>
  <c r="AP751" i="1"/>
  <c r="AP754" i="1"/>
  <c r="AP763" i="1"/>
  <c r="AP764" i="1"/>
  <c r="AP778" i="1"/>
  <c r="AP779" i="1"/>
  <c r="AP781" i="1"/>
  <c r="AP782" i="1"/>
  <c r="AP791" i="1"/>
  <c r="AP793" i="1"/>
  <c r="AP794" i="1"/>
  <c r="AP798" i="1"/>
  <c r="AP799" i="1"/>
  <c r="AP800" i="1"/>
  <c r="AP802" i="1"/>
  <c r="AP803" i="1"/>
  <c r="AP815" i="1"/>
  <c r="AP830" i="1"/>
  <c r="AP831" i="1"/>
  <c r="AP833" i="1"/>
  <c r="AP838" i="1"/>
  <c r="AP840" i="1"/>
  <c r="AP844" i="1"/>
  <c r="AP851" i="1"/>
  <c r="AP859" i="1"/>
  <c r="AP862" i="1"/>
  <c r="AP866" i="1"/>
  <c r="AP873" i="1"/>
  <c r="AP894" i="1"/>
  <c r="AP913" i="1"/>
  <c r="AP915" i="1"/>
  <c r="AP917" i="1"/>
  <c r="AP930" i="1"/>
  <c r="AP934" i="1"/>
  <c r="AP941" i="1"/>
  <c r="AP942" i="1"/>
  <c r="AP948" i="1"/>
  <c r="AP949" i="1"/>
  <c r="AP954" i="1"/>
  <c r="AP955" i="1"/>
  <c r="AP968" i="1"/>
  <c r="AP977" i="1"/>
  <c r="AP982" i="1"/>
  <c r="AP983" i="1"/>
  <c r="AP987" i="1"/>
  <c r="AP999" i="1"/>
  <c r="AP1008" i="1"/>
  <c r="AP1009" i="1"/>
  <c r="AP1014" i="1"/>
  <c r="AP1018" i="1"/>
  <c r="AP1023" i="1"/>
  <c r="AP1033" i="1"/>
  <c r="AP1034" i="1"/>
  <c r="AP1035" i="1"/>
  <c r="AP1038" i="1"/>
  <c r="AP1041" i="1"/>
  <c r="AP1058" i="1"/>
  <c r="AP1059" i="1"/>
  <c r="AP1060" i="1"/>
  <c r="AP1062" i="1"/>
  <c r="AP1070" i="1"/>
  <c r="AP1079" i="1"/>
  <c r="AP1085" i="1"/>
  <c r="AP1087" i="1"/>
  <c r="AP1108" i="1"/>
  <c r="AP1112" i="1"/>
  <c r="AP1113" i="1"/>
  <c r="AP1114" i="1"/>
  <c r="AP1138" i="1"/>
  <c r="AP1155" i="1"/>
  <c r="AP1164" i="1"/>
  <c r="AP1169" i="1"/>
  <c r="AP1173" i="1"/>
  <c r="AP1188" i="1"/>
  <c r="AP1203" i="1"/>
  <c r="AP1206" i="1"/>
  <c r="AP1207" i="1"/>
  <c r="AP1215" i="1"/>
  <c r="AP1224" i="1"/>
  <c r="AP1225" i="1"/>
  <c r="AP1238" i="1"/>
  <c r="AP1239" i="1"/>
  <c r="AP1248" i="1"/>
  <c r="AP1251" i="1"/>
  <c r="AP1257" i="1"/>
  <c r="AP1259" i="1"/>
  <c r="AP1264" i="1"/>
  <c r="AP1273" i="1"/>
  <c r="AP1275" i="1"/>
  <c r="AP1281" i="1"/>
  <c r="AP1283" i="1"/>
  <c r="AP1292" i="1"/>
  <c r="AP1293" i="1"/>
  <c r="AP1299" i="1"/>
  <c r="AP1300" i="1"/>
  <c r="AP1314" i="1"/>
  <c r="AP1315" i="1"/>
  <c r="AP1328" i="1"/>
  <c r="AP1334" i="1"/>
  <c r="AP1335" i="1"/>
  <c r="AP1340" i="1"/>
  <c r="AP1341" i="1"/>
  <c r="AP1355" i="1"/>
  <c r="AP1356" i="1"/>
  <c r="AP1367" i="1"/>
  <c r="AP1371" i="1"/>
  <c r="AP1377" i="1"/>
  <c r="AP1381" i="1"/>
  <c r="AP1392" i="1"/>
  <c r="AP1397" i="1"/>
  <c r="AP1398" i="1"/>
  <c r="AP1440" i="1"/>
  <c r="AP1444" i="1"/>
  <c r="AP1446" i="1"/>
  <c r="AP1454" i="1"/>
  <c r="AP1463" i="1"/>
  <c r="AQ2" i="1"/>
  <c r="AQ4" i="1"/>
  <c r="AQ16" i="1"/>
  <c r="AQ23" i="1"/>
  <c r="AQ26" i="1"/>
  <c r="AQ28" i="1"/>
  <c r="AQ35" i="1"/>
  <c r="AQ36" i="1"/>
  <c r="AQ38" i="1"/>
  <c r="AQ44" i="1"/>
  <c r="AQ47" i="1"/>
  <c r="AQ52" i="1"/>
  <c r="AQ53" i="1"/>
  <c r="AQ71" i="1"/>
  <c r="AQ91" i="1"/>
  <c r="AQ102" i="1"/>
  <c r="AQ104" i="1"/>
  <c r="AQ109" i="1"/>
  <c r="AQ113" i="1"/>
  <c r="AQ124" i="1"/>
  <c r="AQ126" i="1"/>
  <c r="AQ128" i="1"/>
  <c r="AQ129" i="1"/>
  <c r="AQ134" i="1"/>
  <c r="AQ138" i="1"/>
  <c r="AQ142" i="1"/>
  <c r="AQ173" i="1"/>
  <c r="AQ179" i="1"/>
  <c r="AQ184" i="1"/>
  <c r="AQ194" i="1"/>
  <c r="AQ206" i="1"/>
  <c r="AQ207" i="1"/>
  <c r="AQ212" i="1"/>
  <c r="AQ216" i="1"/>
  <c r="AQ218" i="1"/>
  <c r="AQ219" i="1"/>
  <c r="AQ231" i="1"/>
  <c r="AQ236" i="1"/>
  <c r="AQ238" i="1"/>
  <c r="AQ241" i="1"/>
  <c r="AQ252" i="1"/>
  <c r="AQ261" i="1"/>
  <c r="AQ266" i="1"/>
  <c r="AQ273" i="1"/>
  <c r="AQ288" i="1"/>
  <c r="AQ290" i="1"/>
  <c r="AQ295" i="1"/>
  <c r="AQ298" i="1"/>
  <c r="AQ319" i="1"/>
  <c r="AQ325" i="1"/>
  <c r="AQ329" i="1"/>
  <c r="AQ338" i="1"/>
  <c r="AQ359" i="1"/>
  <c r="AQ365" i="1"/>
  <c r="AQ368" i="1"/>
  <c r="AQ370" i="1"/>
  <c r="AQ372" i="1"/>
  <c r="AQ380" i="1"/>
  <c r="AQ384" i="1"/>
  <c r="AQ387" i="1"/>
  <c r="AQ407" i="1"/>
  <c r="AQ416" i="1"/>
  <c r="AQ417" i="1"/>
  <c r="AQ423" i="1"/>
  <c r="AQ424" i="1"/>
  <c r="AQ437" i="1"/>
  <c r="AQ438" i="1"/>
  <c r="AQ441" i="1"/>
  <c r="AQ442" i="1"/>
  <c r="AQ445" i="1"/>
  <c r="AQ455" i="1"/>
  <c r="AQ459" i="1"/>
  <c r="AQ465" i="1"/>
  <c r="AQ471" i="1"/>
  <c r="AQ481" i="1"/>
  <c r="AQ482" i="1"/>
  <c r="AQ484" i="1"/>
  <c r="AQ497" i="1"/>
  <c r="AQ506" i="1"/>
  <c r="AQ515" i="1"/>
  <c r="AQ516" i="1"/>
  <c r="AQ527" i="1"/>
  <c r="AQ530" i="1"/>
  <c r="AQ542" i="1"/>
  <c r="AQ549" i="1"/>
  <c r="AQ564" i="1"/>
  <c r="AQ568" i="1"/>
  <c r="AQ570" i="1"/>
  <c r="AQ575" i="1"/>
  <c r="AQ587" i="1"/>
  <c r="AQ591" i="1"/>
  <c r="AQ593" i="1"/>
  <c r="AQ597" i="1"/>
  <c r="AQ600" i="1"/>
  <c r="AQ609" i="1"/>
  <c r="AQ610" i="1"/>
  <c r="AQ616" i="1"/>
  <c r="AQ638" i="1"/>
  <c r="AQ647" i="1"/>
  <c r="AQ658" i="1"/>
  <c r="AQ662" i="1"/>
  <c r="AQ664" i="1"/>
  <c r="AQ665" i="1"/>
  <c r="AQ668" i="1"/>
  <c r="AQ669" i="1"/>
  <c r="AQ671" i="1"/>
  <c r="AQ685" i="1"/>
  <c r="AQ690" i="1"/>
  <c r="AQ691" i="1"/>
  <c r="AQ695" i="1"/>
  <c r="AQ697" i="1"/>
  <c r="AQ702" i="1"/>
  <c r="AQ708" i="1"/>
  <c r="AQ711" i="1"/>
  <c r="AQ713" i="1"/>
  <c r="AQ722" i="1"/>
  <c r="AQ727" i="1"/>
  <c r="AQ733" i="1"/>
  <c r="AQ734" i="1"/>
  <c r="AQ746" i="1"/>
  <c r="AQ750" i="1"/>
  <c r="AQ751" i="1"/>
  <c r="AQ754" i="1"/>
  <c r="AQ763" i="1"/>
  <c r="AQ764" i="1"/>
  <c r="AQ778" i="1"/>
  <c r="AQ779" i="1"/>
  <c r="AQ781" i="1"/>
  <c r="AQ782" i="1"/>
  <c r="AQ791" i="1"/>
  <c r="AQ793" i="1"/>
  <c r="AQ794" i="1"/>
  <c r="AQ798" i="1"/>
  <c r="AQ799" i="1"/>
  <c r="AQ800" i="1"/>
  <c r="AQ802" i="1"/>
  <c r="AQ803" i="1"/>
  <c r="AQ815" i="1"/>
  <c r="AQ830" i="1"/>
  <c r="AQ831" i="1"/>
  <c r="AQ833" i="1"/>
  <c r="AQ838" i="1"/>
  <c r="AQ840" i="1"/>
  <c r="AQ844" i="1"/>
  <c r="AQ851" i="1"/>
  <c r="AQ859" i="1"/>
  <c r="AQ862" i="1"/>
  <c r="AQ866" i="1"/>
  <c r="AQ873" i="1"/>
  <c r="AQ894" i="1"/>
  <c r="AQ913" i="1"/>
  <c r="AQ915" i="1"/>
  <c r="AQ917" i="1"/>
  <c r="AQ930" i="1"/>
  <c r="AQ934" i="1"/>
  <c r="AQ941" i="1"/>
  <c r="AQ942" i="1"/>
  <c r="AQ948" i="1"/>
  <c r="AQ949" i="1"/>
  <c r="AQ954" i="1"/>
  <c r="AQ955" i="1"/>
  <c r="AQ968" i="1"/>
  <c r="AQ977" i="1"/>
  <c r="AQ982" i="1"/>
  <c r="AQ983" i="1"/>
  <c r="AQ987" i="1"/>
  <c r="AQ999" i="1"/>
  <c r="AQ1008" i="1"/>
  <c r="AQ1009" i="1"/>
  <c r="AQ1014" i="1"/>
  <c r="AQ1018" i="1"/>
  <c r="AQ1023" i="1"/>
  <c r="AQ1033" i="1"/>
  <c r="AQ1034" i="1"/>
  <c r="AQ1035" i="1"/>
  <c r="AQ1038" i="1"/>
  <c r="AQ1041" i="1"/>
  <c r="AQ1058" i="1"/>
  <c r="AQ1059" i="1"/>
  <c r="AQ1060" i="1"/>
  <c r="AQ1062" i="1"/>
  <c r="AQ1070" i="1"/>
  <c r="AQ1079" i="1"/>
  <c r="AQ1085" i="1"/>
  <c r="AQ1087" i="1"/>
  <c r="AQ1108" i="1"/>
  <c r="AQ1112" i="1"/>
  <c r="AQ1113" i="1"/>
  <c r="AQ1114" i="1"/>
  <c r="AQ1138" i="1"/>
  <c r="AQ1155" i="1"/>
  <c r="AQ1164" i="1"/>
  <c r="AQ1169" i="1"/>
  <c r="AQ1173" i="1"/>
  <c r="AQ1188" i="1"/>
  <c r="AQ1203" i="1"/>
  <c r="AQ1206" i="1"/>
  <c r="AQ1207" i="1"/>
  <c r="AQ1215" i="1"/>
  <c r="AQ1224" i="1"/>
  <c r="AQ1225" i="1"/>
  <c r="AQ1238" i="1"/>
  <c r="AQ1239" i="1"/>
  <c r="AQ1248" i="1"/>
  <c r="AQ1251" i="1"/>
  <c r="AQ1257" i="1"/>
  <c r="AQ1259" i="1"/>
  <c r="AQ1264" i="1"/>
  <c r="AQ1273" i="1"/>
  <c r="AQ1275" i="1"/>
  <c r="AQ1281" i="1"/>
  <c r="AQ1283" i="1"/>
  <c r="AQ1292" i="1"/>
  <c r="AQ1293" i="1"/>
  <c r="AQ1299" i="1"/>
  <c r="AQ1300" i="1"/>
  <c r="AQ1314" i="1"/>
  <c r="AQ1315" i="1"/>
  <c r="AQ1328" i="1"/>
  <c r="AQ1334" i="1"/>
  <c r="AQ1335" i="1"/>
  <c r="AQ1340" i="1"/>
  <c r="AQ1341" i="1"/>
  <c r="AQ1355" i="1"/>
  <c r="AQ1356" i="1"/>
  <c r="AQ1367" i="1"/>
  <c r="AQ1371" i="1"/>
  <c r="AQ1377" i="1"/>
  <c r="AQ1381" i="1"/>
  <c r="AR1381" i="1" s="1"/>
  <c r="AQ1392" i="1"/>
  <c r="AQ1397" i="1"/>
  <c r="AR1397" i="1" s="1"/>
  <c r="AQ1398" i="1"/>
  <c r="AQ1440" i="1"/>
  <c r="AQ1444" i="1"/>
  <c r="AQ1446" i="1"/>
  <c r="AQ1454" i="1"/>
  <c r="AQ1463" i="1"/>
  <c r="X2" i="1" a="1"/>
  <c r="X2" i="1" s="1"/>
  <c r="X3" i="1" a="1"/>
  <c r="X3" i="1" s="1"/>
  <c r="X4" i="1" a="1"/>
  <c r="X4" i="1" s="1"/>
  <c r="X5" i="1" a="1"/>
  <c r="X5" i="1" s="1"/>
  <c r="X6" i="1" a="1"/>
  <c r="X6" i="1" s="1"/>
  <c r="X7" i="1" a="1"/>
  <c r="X7" i="1" s="1"/>
  <c r="X9" i="1" a="1"/>
  <c r="X9" i="1" s="1"/>
  <c r="X10" i="1" a="1"/>
  <c r="X10" i="1" s="1"/>
  <c r="X11" i="1" a="1"/>
  <c r="X11" i="1" s="1"/>
  <c r="X12" i="1" a="1"/>
  <c r="X12" i="1" s="1"/>
  <c r="X13" i="1" a="1"/>
  <c r="X13" i="1" s="1"/>
  <c r="X14" i="1" a="1"/>
  <c r="X14" i="1" s="1"/>
  <c r="X15" i="1" a="1"/>
  <c r="X15" i="1" s="1"/>
  <c r="X16" i="1" a="1"/>
  <c r="X16" i="1" s="1"/>
  <c r="X17" i="1" a="1"/>
  <c r="X17" i="1" s="1"/>
  <c r="X18" i="1" a="1"/>
  <c r="X18" i="1" s="1"/>
  <c r="X19" i="1" a="1"/>
  <c r="X19" i="1" s="1"/>
  <c r="X20" i="1" a="1"/>
  <c r="X20" i="1" s="1"/>
  <c r="X21" i="1" a="1"/>
  <c r="X21" i="1" s="1"/>
  <c r="X22" i="1" a="1"/>
  <c r="X22" i="1" s="1"/>
  <c r="X23" i="1" a="1"/>
  <c r="X23" i="1" s="1"/>
  <c r="X24" i="1" a="1"/>
  <c r="X24" i="1" s="1"/>
  <c r="X25" i="1" a="1"/>
  <c r="X25" i="1" s="1"/>
  <c r="X26" i="1" a="1"/>
  <c r="X26" i="1" s="1"/>
  <c r="X27" i="1" a="1"/>
  <c r="X27" i="1" s="1"/>
  <c r="X28" i="1" a="1"/>
  <c r="X28" i="1" s="1"/>
  <c r="X29" i="1" a="1"/>
  <c r="X29" i="1" s="1"/>
  <c r="X30" i="1" a="1"/>
  <c r="X30" i="1" s="1"/>
  <c r="X31" i="1" a="1"/>
  <c r="X31" i="1" s="1"/>
  <c r="X32" i="1" a="1"/>
  <c r="X32" i="1" s="1"/>
  <c r="X33" i="1" a="1"/>
  <c r="X33" i="1" s="1"/>
  <c r="X34" i="1" a="1"/>
  <c r="X34" i="1" s="1"/>
  <c r="X35" i="1" a="1"/>
  <c r="X35" i="1" s="1"/>
  <c r="X36" i="1" a="1"/>
  <c r="X36" i="1" s="1"/>
  <c r="X37" i="1" a="1"/>
  <c r="X37" i="1" s="1"/>
  <c r="X38" i="1" a="1"/>
  <c r="X38" i="1" s="1"/>
  <c r="X39" i="1" a="1"/>
  <c r="X39" i="1" s="1"/>
  <c r="X40" i="1" a="1"/>
  <c r="X40" i="1" s="1"/>
  <c r="X41" i="1" a="1"/>
  <c r="X41" i="1" s="1"/>
  <c r="X42" i="1" a="1"/>
  <c r="X42" i="1" s="1"/>
  <c r="X43" i="1" a="1"/>
  <c r="X43" i="1" s="1"/>
  <c r="X44" i="1" a="1"/>
  <c r="X44" i="1" s="1"/>
  <c r="X45" i="1" a="1"/>
  <c r="X45" i="1" s="1"/>
  <c r="X46" i="1" a="1"/>
  <c r="X46" i="1" s="1"/>
  <c r="X47" i="1" a="1"/>
  <c r="X47" i="1" s="1"/>
  <c r="X48" i="1" a="1"/>
  <c r="X48" i="1" s="1"/>
  <c r="X49" i="1" a="1"/>
  <c r="X49" i="1" s="1"/>
  <c r="X50" i="1" a="1"/>
  <c r="X50" i="1" s="1"/>
  <c r="X51" i="1" a="1"/>
  <c r="X51" i="1" s="1"/>
  <c r="X52" i="1" a="1"/>
  <c r="X52" i="1" s="1"/>
  <c r="X53" i="1" a="1"/>
  <c r="X53" i="1" s="1"/>
  <c r="X54" i="1" a="1"/>
  <c r="X54" i="1" s="1"/>
  <c r="X55" i="1" a="1"/>
  <c r="X55" i="1" s="1"/>
  <c r="X56" i="1" a="1"/>
  <c r="X56" i="1" s="1"/>
  <c r="X57" i="1" a="1"/>
  <c r="X57" i="1" s="1"/>
  <c r="X58" i="1" a="1"/>
  <c r="X58" i="1" s="1"/>
  <c r="X59" i="1" a="1"/>
  <c r="X59" i="1" s="1"/>
  <c r="X60" i="1" a="1"/>
  <c r="X60" i="1" s="1"/>
  <c r="X61" i="1" a="1"/>
  <c r="X61" i="1" s="1"/>
  <c r="X62" i="1" a="1"/>
  <c r="X62" i="1" s="1"/>
  <c r="X63" i="1" a="1"/>
  <c r="X63" i="1" s="1"/>
  <c r="X64" i="1" a="1"/>
  <c r="X64" i="1" s="1"/>
  <c r="X65" i="1" a="1"/>
  <c r="X65" i="1" s="1"/>
  <c r="X66" i="1" a="1"/>
  <c r="X66" i="1" s="1"/>
  <c r="X67" i="1" a="1"/>
  <c r="X67" i="1" s="1"/>
  <c r="X68" i="1" a="1"/>
  <c r="X68" i="1" s="1"/>
  <c r="X69" i="1" a="1"/>
  <c r="X69" i="1" s="1"/>
  <c r="X70" i="1" a="1"/>
  <c r="X70" i="1" s="1"/>
  <c r="X71" i="1" a="1"/>
  <c r="X71" i="1" s="1"/>
  <c r="X72" i="1" a="1"/>
  <c r="X72" i="1" s="1"/>
  <c r="X73" i="1" a="1"/>
  <c r="X73" i="1" s="1"/>
  <c r="X74" i="1" a="1"/>
  <c r="X74" i="1" s="1"/>
  <c r="X75" i="1" a="1"/>
  <c r="X75" i="1" s="1"/>
  <c r="X76" i="1" a="1"/>
  <c r="X76" i="1" s="1"/>
  <c r="X77" i="1" a="1"/>
  <c r="X77" i="1" s="1"/>
  <c r="X78" i="1" a="1"/>
  <c r="X78" i="1" s="1"/>
  <c r="X79" i="1" a="1"/>
  <c r="X79" i="1" s="1"/>
  <c r="X80" i="1" a="1"/>
  <c r="X80" i="1" s="1"/>
  <c r="X81" i="1" a="1"/>
  <c r="X81" i="1" s="1"/>
  <c r="X82" i="1" a="1"/>
  <c r="X82" i="1" s="1"/>
  <c r="X83" i="1" a="1"/>
  <c r="X83" i="1" s="1"/>
  <c r="X84" i="1" a="1"/>
  <c r="X84" i="1" s="1"/>
  <c r="X85" i="1" a="1"/>
  <c r="X85" i="1" s="1"/>
  <c r="X86" i="1" a="1"/>
  <c r="X86" i="1" s="1"/>
  <c r="X87" i="1" a="1"/>
  <c r="X87" i="1" s="1"/>
  <c r="X88" i="1" a="1"/>
  <c r="X88" i="1" s="1"/>
  <c r="X89" i="1" a="1"/>
  <c r="X89" i="1" s="1"/>
  <c r="X90" i="1" a="1"/>
  <c r="X90" i="1" s="1"/>
  <c r="X91" i="1" a="1"/>
  <c r="X91" i="1" s="1"/>
  <c r="X92" i="1" a="1"/>
  <c r="X92" i="1" s="1"/>
  <c r="X93" i="1" a="1"/>
  <c r="X93" i="1" s="1"/>
  <c r="X94" i="1" a="1"/>
  <c r="X94" i="1" s="1"/>
  <c r="X95" i="1" a="1"/>
  <c r="X95" i="1" s="1"/>
  <c r="X96" i="1" a="1"/>
  <c r="X96" i="1" s="1"/>
  <c r="X97" i="1" a="1"/>
  <c r="X97" i="1" s="1"/>
  <c r="X98" i="1" a="1"/>
  <c r="X98" i="1" s="1"/>
  <c r="X99" i="1" a="1"/>
  <c r="X99" i="1" s="1"/>
  <c r="X100" i="1" a="1"/>
  <c r="X100" i="1" s="1"/>
  <c r="X101" i="1" a="1"/>
  <c r="X101" i="1" s="1"/>
  <c r="X102" i="1" a="1"/>
  <c r="X102" i="1" s="1"/>
  <c r="X103" i="1" a="1"/>
  <c r="X103" i="1" s="1"/>
  <c r="X104" i="1" a="1"/>
  <c r="X104" i="1" s="1"/>
  <c r="X105" i="1" a="1"/>
  <c r="X105" i="1" s="1"/>
  <c r="X106" i="1" a="1"/>
  <c r="X106" i="1" s="1"/>
  <c r="X107" i="1" a="1"/>
  <c r="X107" i="1" s="1"/>
  <c r="X108" i="1" a="1"/>
  <c r="X108" i="1" s="1"/>
  <c r="X109" i="1" a="1"/>
  <c r="X109" i="1" s="1"/>
  <c r="X110" i="1" a="1"/>
  <c r="X110" i="1" s="1"/>
  <c r="X111" i="1" a="1"/>
  <c r="X111" i="1" s="1"/>
  <c r="X112" i="1" a="1"/>
  <c r="X112" i="1" s="1"/>
  <c r="X113" i="1" a="1"/>
  <c r="X113" i="1" s="1"/>
  <c r="X114" i="1" a="1"/>
  <c r="X114" i="1" s="1"/>
  <c r="X115" i="1" a="1"/>
  <c r="X115" i="1" s="1"/>
  <c r="X116" i="1" a="1"/>
  <c r="X116" i="1" s="1"/>
  <c r="X117" i="1" a="1"/>
  <c r="X117" i="1" s="1"/>
  <c r="X118" i="1" a="1"/>
  <c r="X118" i="1" s="1"/>
  <c r="X119" i="1" a="1"/>
  <c r="X119" i="1" s="1"/>
  <c r="X120" i="1" a="1"/>
  <c r="X120" i="1" s="1"/>
  <c r="X121" i="1" a="1"/>
  <c r="X121" i="1" s="1"/>
  <c r="X122" i="1" a="1"/>
  <c r="X122" i="1" s="1"/>
  <c r="X123" i="1" a="1"/>
  <c r="X123" i="1" s="1"/>
  <c r="X124" i="1" a="1"/>
  <c r="X124" i="1" s="1"/>
  <c r="X125" i="1" a="1"/>
  <c r="X125" i="1" s="1"/>
  <c r="X126" i="1" a="1"/>
  <c r="X126" i="1" s="1"/>
  <c r="X127" i="1" a="1"/>
  <c r="X127" i="1" s="1"/>
  <c r="X128" i="1" a="1"/>
  <c r="X128" i="1" s="1"/>
  <c r="X129" i="1" a="1"/>
  <c r="X129" i="1" s="1"/>
  <c r="X130" i="1" a="1"/>
  <c r="X130" i="1" s="1"/>
  <c r="X131" i="1" a="1"/>
  <c r="X131" i="1" s="1"/>
  <c r="X132" i="1" a="1"/>
  <c r="X132" i="1" s="1"/>
  <c r="X133" i="1" a="1"/>
  <c r="X133" i="1" s="1"/>
  <c r="X134" i="1" a="1"/>
  <c r="X134" i="1" s="1"/>
  <c r="X135" i="1" a="1"/>
  <c r="X135" i="1" s="1"/>
  <c r="X136" i="1" a="1"/>
  <c r="X136" i="1" s="1"/>
  <c r="X137" i="1" a="1"/>
  <c r="X137" i="1" s="1"/>
  <c r="X138" i="1" a="1"/>
  <c r="X138" i="1" s="1"/>
  <c r="X139" i="1" a="1"/>
  <c r="X139" i="1" s="1"/>
  <c r="X140" i="1" a="1"/>
  <c r="X140" i="1" s="1"/>
  <c r="X141" i="1" a="1"/>
  <c r="X141" i="1" s="1"/>
  <c r="X142" i="1" a="1"/>
  <c r="X142" i="1" s="1"/>
  <c r="X143" i="1" a="1"/>
  <c r="X143" i="1" s="1"/>
  <c r="X144" i="1" a="1"/>
  <c r="X144" i="1" s="1"/>
  <c r="X145" i="1" a="1"/>
  <c r="X145" i="1" s="1"/>
  <c r="X146" i="1" a="1"/>
  <c r="X146" i="1" s="1"/>
  <c r="X147" i="1" a="1"/>
  <c r="X147" i="1" s="1"/>
  <c r="X148" i="1" a="1"/>
  <c r="X148" i="1" s="1"/>
  <c r="X149" i="1" a="1"/>
  <c r="X149" i="1" s="1"/>
  <c r="X150" i="1" a="1"/>
  <c r="X150" i="1" s="1"/>
  <c r="X151" i="1" a="1"/>
  <c r="X151" i="1" s="1"/>
  <c r="X152" i="1" a="1"/>
  <c r="X152" i="1" s="1"/>
  <c r="X153" i="1" a="1"/>
  <c r="X153" i="1" s="1"/>
  <c r="X154" i="1" a="1"/>
  <c r="X154" i="1" s="1"/>
  <c r="X155" i="1" a="1"/>
  <c r="X155" i="1" s="1"/>
  <c r="X156" i="1" a="1"/>
  <c r="X156" i="1" s="1"/>
  <c r="X157" i="1" a="1"/>
  <c r="X157" i="1" s="1"/>
  <c r="X158" i="1" a="1"/>
  <c r="X158" i="1" s="1"/>
  <c r="X159" i="1" a="1"/>
  <c r="X159" i="1" s="1"/>
  <c r="X160" i="1" a="1"/>
  <c r="X160" i="1" s="1"/>
  <c r="X161" i="1" a="1"/>
  <c r="X161" i="1" s="1"/>
  <c r="X162" i="1" a="1"/>
  <c r="X162" i="1" s="1"/>
  <c r="X163" i="1" a="1"/>
  <c r="X163" i="1" s="1"/>
  <c r="X164" i="1" a="1"/>
  <c r="X164" i="1" s="1"/>
  <c r="X165" i="1" a="1"/>
  <c r="X165" i="1" s="1"/>
  <c r="X166" i="1" a="1"/>
  <c r="X166" i="1" s="1"/>
  <c r="X167" i="1" a="1"/>
  <c r="X167" i="1" s="1"/>
  <c r="X168" i="1" a="1"/>
  <c r="X168" i="1" s="1"/>
  <c r="X169" i="1" a="1"/>
  <c r="X169" i="1" s="1"/>
  <c r="X170" i="1" a="1"/>
  <c r="X170" i="1" s="1"/>
  <c r="X171" i="1" a="1"/>
  <c r="X171" i="1" s="1"/>
  <c r="X172" i="1" a="1"/>
  <c r="X172" i="1" s="1"/>
  <c r="X173" i="1" a="1"/>
  <c r="X173" i="1" s="1"/>
  <c r="X174" i="1" a="1"/>
  <c r="X174" i="1" s="1"/>
  <c r="X175" i="1" a="1"/>
  <c r="X175" i="1" s="1"/>
  <c r="X176" i="1" a="1"/>
  <c r="X176" i="1" s="1"/>
  <c r="X177" i="1" a="1"/>
  <c r="X177" i="1" s="1"/>
  <c r="X178" i="1" a="1"/>
  <c r="X178" i="1" s="1"/>
  <c r="X179" i="1" a="1"/>
  <c r="X179" i="1" s="1"/>
  <c r="X180" i="1" a="1"/>
  <c r="X180" i="1" s="1"/>
  <c r="X181" i="1" a="1"/>
  <c r="X181" i="1" s="1"/>
  <c r="X182" i="1" a="1"/>
  <c r="X182" i="1" s="1"/>
  <c r="X183" i="1" a="1"/>
  <c r="X183" i="1" s="1"/>
  <c r="X184" i="1" a="1"/>
  <c r="X184" i="1" s="1"/>
  <c r="X185" i="1" a="1"/>
  <c r="X185" i="1" s="1"/>
  <c r="X186" i="1" a="1"/>
  <c r="X186" i="1" s="1"/>
  <c r="X187" i="1" a="1"/>
  <c r="X187" i="1" s="1"/>
  <c r="X188" i="1" a="1"/>
  <c r="X188" i="1" s="1"/>
  <c r="X189" i="1" a="1"/>
  <c r="X189" i="1" s="1"/>
  <c r="X190" i="1" a="1"/>
  <c r="X190" i="1" s="1"/>
  <c r="X191" i="1" a="1"/>
  <c r="X191" i="1" s="1"/>
  <c r="X192" i="1" a="1"/>
  <c r="X192" i="1" s="1"/>
  <c r="X193" i="1" a="1"/>
  <c r="X193" i="1" s="1"/>
  <c r="X194" i="1" a="1"/>
  <c r="X194" i="1" s="1"/>
  <c r="X195" i="1" a="1"/>
  <c r="X195" i="1" s="1"/>
  <c r="X196" i="1" a="1"/>
  <c r="X196" i="1" s="1"/>
  <c r="X197" i="1" a="1"/>
  <c r="X197" i="1" s="1"/>
  <c r="X198" i="1" a="1"/>
  <c r="X198" i="1" s="1"/>
  <c r="X199" i="1" a="1"/>
  <c r="X199" i="1" s="1"/>
  <c r="X200" i="1" a="1"/>
  <c r="X200" i="1" s="1"/>
  <c r="X201" i="1" a="1"/>
  <c r="X201" i="1" s="1"/>
  <c r="X202" i="1" a="1"/>
  <c r="X202" i="1" s="1"/>
  <c r="X203" i="1" a="1"/>
  <c r="X203" i="1" s="1"/>
  <c r="X204" i="1" a="1"/>
  <c r="X204" i="1" s="1"/>
  <c r="X205" i="1" a="1"/>
  <c r="X205" i="1" s="1"/>
  <c r="X206" i="1" a="1"/>
  <c r="X206" i="1" s="1"/>
  <c r="X207" i="1" a="1"/>
  <c r="X207" i="1" s="1"/>
  <c r="X208" i="1" a="1"/>
  <c r="X208" i="1" s="1"/>
  <c r="X209" i="1" a="1"/>
  <c r="X209" i="1" s="1"/>
  <c r="X210" i="1" a="1"/>
  <c r="X210" i="1" s="1"/>
  <c r="X211" i="1" a="1"/>
  <c r="X211" i="1" s="1"/>
  <c r="X212" i="1" a="1"/>
  <c r="X212" i="1" s="1"/>
  <c r="X213" i="1" a="1"/>
  <c r="X213" i="1" s="1"/>
  <c r="X214" i="1" a="1"/>
  <c r="X214" i="1" s="1"/>
  <c r="X215" i="1" a="1"/>
  <c r="X215" i="1" s="1"/>
  <c r="X216" i="1" a="1"/>
  <c r="X216" i="1" s="1"/>
  <c r="X217" i="1" a="1"/>
  <c r="X217" i="1" s="1"/>
  <c r="X218" i="1" a="1"/>
  <c r="X218" i="1" s="1"/>
  <c r="X219" i="1" a="1"/>
  <c r="X219" i="1" s="1"/>
  <c r="X220" i="1" a="1"/>
  <c r="X220" i="1" s="1"/>
  <c r="X221" i="1" a="1"/>
  <c r="X221" i="1" s="1"/>
  <c r="X222" i="1" a="1"/>
  <c r="X222" i="1" s="1"/>
  <c r="X223" i="1" a="1"/>
  <c r="X223" i="1" s="1"/>
  <c r="X224" i="1" a="1"/>
  <c r="X224" i="1" s="1"/>
  <c r="X225" i="1" a="1"/>
  <c r="X225" i="1" s="1"/>
  <c r="X226" i="1" a="1"/>
  <c r="X226" i="1" s="1"/>
  <c r="X227" i="1" a="1"/>
  <c r="X227" i="1" s="1"/>
  <c r="X228" i="1" a="1"/>
  <c r="X228" i="1" s="1"/>
  <c r="X229" i="1" a="1"/>
  <c r="X229" i="1" s="1"/>
  <c r="X230" i="1" a="1"/>
  <c r="X230" i="1" s="1"/>
  <c r="X231" i="1" a="1"/>
  <c r="X231" i="1" s="1"/>
  <c r="X232" i="1" a="1"/>
  <c r="X232" i="1" s="1"/>
  <c r="X233" i="1" a="1"/>
  <c r="X233" i="1" s="1"/>
  <c r="X234" i="1" a="1"/>
  <c r="X234" i="1" s="1"/>
  <c r="X235" i="1" a="1"/>
  <c r="X235" i="1" s="1"/>
  <c r="X236" i="1" a="1"/>
  <c r="X236" i="1" s="1"/>
  <c r="X237" i="1" a="1"/>
  <c r="X237" i="1" s="1"/>
  <c r="X238" i="1" a="1"/>
  <c r="X238" i="1" s="1"/>
  <c r="X239" i="1" a="1"/>
  <c r="X239" i="1" s="1"/>
  <c r="X240" i="1" a="1"/>
  <c r="X240" i="1" s="1"/>
  <c r="X241" i="1" a="1"/>
  <c r="X241" i="1" s="1"/>
  <c r="X242" i="1" a="1"/>
  <c r="X242" i="1" s="1"/>
  <c r="X243" i="1" a="1"/>
  <c r="X243" i="1" s="1"/>
  <c r="X244" i="1" a="1"/>
  <c r="X244" i="1" s="1"/>
  <c r="X245" i="1" a="1"/>
  <c r="X245" i="1" s="1"/>
  <c r="X246" i="1" a="1"/>
  <c r="X246" i="1" s="1"/>
  <c r="X247" i="1" a="1"/>
  <c r="X247" i="1" s="1"/>
  <c r="X248" i="1" a="1"/>
  <c r="X248" i="1" s="1"/>
  <c r="X249" i="1" a="1"/>
  <c r="X249" i="1" s="1"/>
  <c r="X250" i="1" a="1"/>
  <c r="X250" i="1" s="1"/>
  <c r="X251" i="1" a="1"/>
  <c r="X251" i="1" s="1"/>
  <c r="X252" i="1" a="1"/>
  <c r="X252" i="1" s="1"/>
  <c r="X253" i="1" a="1"/>
  <c r="X253" i="1" s="1"/>
  <c r="X254" i="1" a="1"/>
  <c r="X254" i="1" s="1"/>
  <c r="X255" i="1" a="1"/>
  <c r="X255" i="1" s="1"/>
  <c r="X256" i="1" a="1"/>
  <c r="X256" i="1" s="1"/>
  <c r="X257" i="1" a="1"/>
  <c r="X257" i="1" s="1"/>
  <c r="X258" i="1" a="1"/>
  <c r="X258" i="1" s="1"/>
  <c r="X259" i="1" a="1"/>
  <c r="X259" i="1" s="1"/>
  <c r="X260" i="1" a="1"/>
  <c r="X260" i="1" s="1"/>
  <c r="X261" i="1" a="1"/>
  <c r="X261" i="1" s="1"/>
  <c r="X262" i="1" a="1"/>
  <c r="X262" i="1" s="1"/>
  <c r="X263" i="1" a="1"/>
  <c r="X263" i="1" s="1"/>
  <c r="X264" i="1" a="1"/>
  <c r="X264" i="1" s="1"/>
  <c r="X265" i="1" a="1"/>
  <c r="X265" i="1" s="1"/>
  <c r="X266" i="1" a="1"/>
  <c r="X266" i="1" s="1"/>
  <c r="X267" i="1" a="1"/>
  <c r="X267" i="1" s="1"/>
  <c r="X268" i="1" a="1"/>
  <c r="X268" i="1" s="1"/>
  <c r="X269" i="1" a="1"/>
  <c r="X269" i="1" s="1"/>
  <c r="X270" i="1" a="1"/>
  <c r="X270" i="1" s="1"/>
  <c r="X271" i="1" a="1"/>
  <c r="X271" i="1" s="1"/>
  <c r="X272" i="1" a="1"/>
  <c r="X272" i="1" s="1"/>
  <c r="X273" i="1" a="1"/>
  <c r="X273" i="1" s="1"/>
  <c r="X274" i="1" a="1"/>
  <c r="X274" i="1" s="1"/>
  <c r="X275" i="1" a="1"/>
  <c r="X275" i="1" s="1"/>
  <c r="X276" i="1" a="1"/>
  <c r="X276" i="1" s="1"/>
  <c r="X277" i="1" a="1"/>
  <c r="X277" i="1" s="1"/>
  <c r="X278" i="1" a="1"/>
  <c r="X278" i="1" s="1"/>
  <c r="X279" i="1" a="1"/>
  <c r="X279" i="1" s="1"/>
  <c r="X280" i="1" a="1"/>
  <c r="X280" i="1" s="1"/>
  <c r="X281" i="1" a="1"/>
  <c r="X281" i="1" s="1"/>
  <c r="X282" i="1" a="1"/>
  <c r="X282" i="1" s="1"/>
  <c r="X283" i="1" a="1"/>
  <c r="X283" i="1" s="1"/>
  <c r="X284" i="1" a="1"/>
  <c r="X284" i="1" s="1"/>
  <c r="X285" i="1" a="1"/>
  <c r="X285" i="1" s="1"/>
  <c r="X286" i="1" a="1"/>
  <c r="X286" i="1" s="1"/>
  <c r="X287" i="1" a="1"/>
  <c r="X287" i="1" s="1"/>
  <c r="X288" i="1" a="1"/>
  <c r="X288" i="1" s="1"/>
  <c r="X289" i="1" a="1"/>
  <c r="X289" i="1" s="1"/>
  <c r="X290" i="1" a="1"/>
  <c r="X290" i="1" s="1"/>
  <c r="X291" i="1" a="1"/>
  <c r="X291" i="1" s="1"/>
  <c r="X292" i="1" a="1"/>
  <c r="X292" i="1" s="1"/>
  <c r="X293" i="1" a="1"/>
  <c r="X293" i="1" s="1"/>
  <c r="X294" i="1" a="1"/>
  <c r="X294" i="1" s="1"/>
  <c r="X295" i="1" a="1"/>
  <c r="X295" i="1" s="1"/>
  <c r="X296" i="1" a="1"/>
  <c r="X296" i="1" s="1"/>
  <c r="X297" i="1" a="1"/>
  <c r="X297" i="1" s="1"/>
  <c r="X298" i="1" a="1"/>
  <c r="X298" i="1" s="1"/>
  <c r="X299" i="1" a="1"/>
  <c r="X299" i="1" s="1"/>
  <c r="X300" i="1" a="1"/>
  <c r="X300" i="1" s="1"/>
  <c r="X301" i="1" a="1"/>
  <c r="X301" i="1" s="1"/>
  <c r="X302" i="1" a="1"/>
  <c r="X302" i="1" s="1"/>
  <c r="X303" i="1" a="1"/>
  <c r="X303" i="1" s="1"/>
  <c r="X304" i="1" a="1"/>
  <c r="X304" i="1" s="1"/>
  <c r="X305" i="1" a="1"/>
  <c r="X305" i="1" s="1"/>
  <c r="X306" i="1" a="1"/>
  <c r="X306" i="1" s="1"/>
  <c r="X307" i="1" a="1"/>
  <c r="X307" i="1" s="1"/>
  <c r="X308" i="1" a="1"/>
  <c r="X308" i="1" s="1"/>
  <c r="X309" i="1" a="1"/>
  <c r="X309" i="1" s="1"/>
  <c r="X310" i="1" a="1"/>
  <c r="X310" i="1" s="1"/>
  <c r="X311" i="1" a="1"/>
  <c r="X311" i="1" s="1"/>
  <c r="X312" i="1" a="1"/>
  <c r="X312" i="1" s="1"/>
  <c r="X313" i="1" a="1"/>
  <c r="X313" i="1" s="1"/>
  <c r="X314" i="1" a="1"/>
  <c r="X314" i="1" s="1"/>
  <c r="X315" i="1" a="1"/>
  <c r="X315" i="1" s="1"/>
  <c r="X316" i="1" a="1"/>
  <c r="X316" i="1" s="1"/>
  <c r="X317" i="1" a="1"/>
  <c r="X317" i="1" s="1"/>
  <c r="X318" i="1" a="1"/>
  <c r="X318" i="1" s="1"/>
  <c r="X319" i="1" a="1"/>
  <c r="X319" i="1" s="1"/>
  <c r="X320" i="1" a="1"/>
  <c r="X320" i="1" s="1"/>
  <c r="X321" i="1" a="1"/>
  <c r="X321" i="1" s="1"/>
  <c r="X322" i="1" a="1"/>
  <c r="X322" i="1" s="1"/>
  <c r="X323" i="1" a="1"/>
  <c r="X323" i="1" s="1"/>
  <c r="X324" i="1" a="1"/>
  <c r="X324" i="1" s="1"/>
  <c r="X325" i="1" a="1"/>
  <c r="X325" i="1" s="1"/>
  <c r="X326" i="1" a="1"/>
  <c r="X326" i="1" s="1"/>
  <c r="X327" i="1" a="1"/>
  <c r="X327" i="1" s="1"/>
  <c r="X328" i="1" a="1"/>
  <c r="X328" i="1" s="1"/>
  <c r="X329" i="1" a="1"/>
  <c r="X329" i="1" s="1"/>
  <c r="X330" i="1" a="1"/>
  <c r="X330" i="1" s="1"/>
  <c r="X331" i="1" a="1"/>
  <c r="X331" i="1" s="1"/>
  <c r="X332" i="1" a="1"/>
  <c r="X332" i="1" s="1"/>
  <c r="X333" i="1" a="1"/>
  <c r="X333" i="1" s="1"/>
  <c r="X334" i="1" a="1"/>
  <c r="X334" i="1" s="1"/>
  <c r="X335" i="1" a="1"/>
  <c r="X335" i="1" s="1"/>
  <c r="X336" i="1" a="1"/>
  <c r="X336" i="1" s="1"/>
  <c r="X337" i="1" a="1"/>
  <c r="X337" i="1" s="1"/>
  <c r="X338" i="1" a="1"/>
  <c r="X338" i="1" s="1"/>
  <c r="X339" i="1" a="1"/>
  <c r="X339" i="1" s="1"/>
  <c r="X340" i="1" a="1"/>
  <c r="X340" i="1" s="1"/>
  <c r="X341" i="1" a="1"/>
  <c r="X341" i="1" s="1"/>
  <c r="X342" i="1" a="1"/>
  <c r="X342" i="1" s="1"/>
  <c r="X343" i="1" a="1"/>
  <c r="X343" i="1" s="1"/>
  <c r="X344" i="1" a="1"/>
  <c r="X344" i="1" s="1"/>
  <c r="X345" i="1" a="1"/>
  <c r="X345" i="1" s="1"/>
  <c r="X346" i="1" a="1"/>
  <c r="X346" i="1" s="1"/>
  <c r="X347" i="1" a="1"/>
  <c r="X347" i="1" s="1"/>
  <c r="X348" i="1" a="1"/>
  <c r="X348" i="1" s="1"/>
  <c r="X349" i="1" a="1"/>
  <c r="X349" i="1" s="1"/>
  <c r="X350" i="1" a="1"/>
  <c r="X350" i="1" s="1"/>
  <c r="X351" i="1" a="1"/>
  <c r="X351" i="1" s="1"/>
  <c r="X352" i="1" a="1"/>
  <c r="X352" i="1" s="1"/>
  <c r="X353" i="1" a="1"/>
  <c r="X353" i="1" s="1"/>
  <c r="X354" i="1" a="1"/>
  <c r="X354" i="1" s="1"/>
  <c r="X355" i="1" a="1"/>
  <c r="X355" i="1" s="1"/>
  <c r="X356" i="1" a="1"/>
  <c r="X356" i="1" s="1"/>
  <c r="X357" i="1" a="1"/>
  <c r="X357" i="1" s="1"/>
  <c r="X358" i="1" a="1"/>
  <c r="X358" i="1" s="1"/>
  <c r="X359" i="1" a="1"/>
  <c r="X359" i="1" s="1"/>
  <c r="X360" i="1" a="1"/>
  <c r="X360" i="1" s="1"/>
  <c r="X361" i="1" a="1"/>
  <c r="X361" i="1" s="1"/>
  <c r="X362" i="1" a="1"/>
  <c r="X362" i="1" s="1"/>
  <c r="X363" i="1" a="1"/>
  <c r="X363" i="1" s="1"/>
  <c r="X364" i="1" a="1"/>
  <c r="X364" i="1" s="1"/>
  <c r="X365" i="1" a="1"/>
  <c r="X365" i="1" s="1"/>
  <c r="X366" i="1" a="1"/>
  <c r="X366" i="1" s="1"/>
  <c r="X367" i="1" a="1"/>
  <c r="X367" i="1" s="1"/>
  <c r="X368" i="1" a="1"/>
  <c r="X368" i="1" s="1"/>
  <c r="X369" i="1" a="1"/>
  <c r="X369" i="1" s="1"/>
  <c r="X370" i="1" a="1"/>
  <c r="X370" i="1" s="1"/>
  <c r="X371" i="1" a="1"/>
  <c r="X371" i="1" s="1"/>
  <c r="X372" i="1" a="1"/>
  <c r="X372" i="1" s="1"/>
  <c r="X373" i="1" a="1"/>
  <c r="X373" i="1" s="1"/>
  <c r="X374" i="1" a="1"/>
  <c r="X374" i="1" s="1"/>
  <c r="X375" i="1" a="1"/>
  <c r="X375" i="1" s="1"/>
  <c r="X376" i="1" a="1"/>
  <c r="X376" i="1" s="1"/>
  <c r="X377" i="1" a="1"/>
  <c r="X377" i="1" s="1"/>
  <c r="X378" i="1" a="1"/>
  <c r="X378" i="1" s="1"/>
  <c r="X379" i="1" a="1"/>
  <c r="X379" i="1" s="1"/>
  <c r="X380" i="1" a="1"/>
  <c r="X380" i="1" s="1"/>
  <c r="X381" i="1" a="1"/>
  <c r="X381" i="1" s="1"/>
  <c r="X382" i="1" a="1"/>
  <c r="X382" i="1" s="1"/>
  <c r="X383" i="1" a="1"/>
  <c r="X383" i="1" s="1"/>
  <c r="X384" i="1" a="1"/>
  <c r="X384" i="1" s="1"/>
  <c r="X385" i="1" a="1"/>
  <c r="X385" i="1" s="1"/>
  <c r="X386" i="1" a="1"/>
  <c r="X386" i="1" s="1"/>
  <c r="X387" i="1" a="1"/>
  <c r="X387" i="1" s="1"/>
  <c r="X388" i="1" a="1"/>
  <c r="X388" i="1" s="1"/>
  <c r="X389" i="1" a="1"/>
  <c r="X389" i="1" s="1"/>
  <c r="X390" i="1" a="1"/>
  <c r="X390" i="1" s="1"/>
  <c r="X391" i="1" a="1"/>
  <c r="X391" i="1" s="1"/>
  <c r="X392" i="1" a="1"/>
  <c r="X392" i="1" s="1"/>
  <c r="X393" i="1" a="1"/>
  <c r="X393" i="1" s="1"/>
  <c r="X394" i="1" a="1"/>
  <c r="X394" i="1" s="1"/>
  <c r="X395" i="1" a="1"/>
  <c r="X395" i="1" s="1"/>
  <c r="X396" i="1" a="1"/>
  <c r="X396" i="1" s="1"/>
  <c r="X397" i="1" a="1"/>
  <c r="X397" i="1" s="1"/>
  <c r="X398" i="1" a="1"/>
  <c r="X398" i="1" s="1"/>
  <c r="X399" i="1" a="1"/>
  <c r="X399" i="1" s="1"/>
  <c r="X400" i="1" a="1"/>
  <c r="X400" i="1" s="1"/>
  <c r="X401" i="1" a="1"/>
  <c r="X401" i="1" s="1"/>
  <c r="X402" i="1" a="1"/>
  <c r="X402" i="1" s="1"/>
  <c r="X403" i="1" a="1"/>
  <c r="X403" i="1" s="1"/>
  <c r="X404" i="1" a="1"/>
  <c r="X404" i="1" s="1"/>
  <c r="X405" i="1" a="1"/>
  <c r="X405" i="1" s="1"/>
  <c r="X406" i="1" a="1"/>
  <c r="X406" i="1" s="1"/>
  <c r="X407" i="1" a="1"/>
  <c r="X407" i="1" s="1"/>
  <c r="X408" i="1" a="1"/>
  <c r="X408" i="1" s="1"/>
  <c r="X409" i="1" a="1"/>
  <c r="X409" i="1" s="1"/>
  <c r="X410" i="1" a="1"/>
  <c r="X410" i="1" s="1"/>
  <c r="X411" i="1" a="1"/>
  <c r="X411" i="1" s="1"/>
  <c r="X412" i="1" a="1"/>
  <c r="X412" i="1" s="1"/>
  <c r="X413" i="1" a="1"/>
  <c r="X413" i="1" s="1"/>
  <c r="X414" i="1" a="1"/>
  <c r="X414" i="1" s="1"/>
  <c r="X415" i="1" a="1"/>
  <c r="X415" i="1" s="1"/>
  <c r="X416" i="1" a="1"/>
  <c r="X416" i="1" s="1"/>
  <c r="X417" i="1" a="1"/>
  <c r="X417" i="1" s="1"/>
  <c r="X418" i="1" a="1"/>
  <c r="X418" i="1" s="1"/>
  <c r="X419" i="1" a="1"/>
  <c r="X419" i="1" s="1"/>
  <c r="X420" i="1" a="1"/>
  <c r="X420" i="1" s="1"/>
  <c r="X421" i="1" a="1"/>
  <c r="X421" i="1" s="1"/>
  <c r="X422" i="1" a="1"/>
  <c r="X422" i="1" s="1"/>
  <c r="X423" i="1" a="1"/>
  <c r="X423" i="1" s="1"/>
  <c r="X424" i="1" a="1"/>
  <c r="X424" i="1" s="1"/>
  <c r="X425" i="1" a="1"/>
  <c r="X425" i="1" s="1"/>
  <c r="X426" i="1" a="1"/>
  <c r="X426" i="1" s="1"/>
  <c r="X427" i="1" a="1"/>
  <c r="X427" i="1" s="1"/>
  <c r="X428" i="1" a="1"/>
  <c r="X428" i="1" s="1"/>
  <c r="X429" i="1" a="1"/>
  <c r="X429" i="1" s="1"/>
  <c r="X430" i="1" a="1"/>
  <c r="X430" i="1" s="1"/>
  <c r="X431" i="1" a="1"/>
  <c r="X431" i="1" s="1"/>
  <c r="X432" i="1" a="1"/>
  <c r="X432" i="1" s="1"/>
  <c r="X433" i="1" a="1"/>
  <c r="X433" i="1" s="1"/>
  <c r="X434" i="1" a="1"/>
  <c r="X434" i="1" s="1"/>
  <c r="X435" i="1" a="1"/>
  <c r="X435" i="1" s="1"/>
  <c r="X436" i="1" a="1"/>
  <c r="X436" i="1" s="1"/>
  <c r="X437" i="1" a="1"/>
  <c r="X437" i="1" s="1"/>
  <c r="X438" i="1" a="1"/>
  <c r="X438" i="1" s="1"/>
  <c r="X439" i="1" a="1"/>
  <c r="X439" i="1" s="1"/>
  <c r="X440" i="1" a="1"/>
  <c r="X440" i="1" s="1"/>
  <c r="X441" i="1" a="1"/>
  <c r="X441" i="1" s="1"/>
  <c r="X442" i="1" a="1"/>
  <c r="X442" i="1" s="1"/>
  <c r="X443" i="1" a="1"/>
  <c r="X443" i="1" s="1"/>
  <c r="X444" i="1" a="1"/>
  <c r="X444" i="1" s="1"/>
  <c r="X445" i="1" a="1"/>
  <c r="X445" i="1" s="1"/>
  <c r="X446" i="1" a="1"/>
  <c r="X446" i="1" s="1"/>
  <c r="X447" i="1" a="1"/>
  <c r="X447" i="1" s="1"/>
  <c r="X448" i="1" a="1"/>
  <c r="X448" i="1" s="1"/>
  <c r="X449" i="1" a="1"/>
  <c r="X449" i="1" s="1"/>
  <c r="X450" i="1" a="1"/>
  <c r="X450" i="1" s="1"/>
  <c r="X451" i="1" a="1"/>
  <c r="X451" i="1" s="1"/>
  <c r="X452" i="1" a="1"/>
  <c r="X452" i="1" s="1"/>
  <c r="X453" i="1" a="1"/>
  <c r="X453" i="1" s="1"/>
  <c r="X454" i="1" a="1"/>
  <c r="X454" i="1" s="1"/>
  <c r="X455" i="1" a="1"/>
  <c r="X455" i="1" s="1"/>
  <c r="X456" i="1" a="1"/>
  <c r="X456" i="1" s="1"/>
  <c r="X457" i="1" a="1"/>
  <c r="X457" i="1" s="1"/>
  <c r="X458" i="1" a="1"/>
  <c r="X458" i="1" s="1"/>
  <c r="X459" i="1" a="1"/>
  <c r="X459" i="1" s="1"/>
  <c r="X460" i="1" a="1"/>
  <c r="X460" i="1" s="1"/>
  <c r="X461" i="1" a="1"/>
  <c r="X461" i="1" s="1"/>
  <c r="X462" i="1" a="1"/>
  <c r="X462" i="1" s="1"/>
  <c r="X463" i="1" a="1"/>
  <c r="X463" i="1" s="1"/>
  <c r="X464" i="1" a="1"/>
  <c r="X464" i="1" s="1"/>
  <c r="X465" i="1" a="1"/>
  <c r="X465" i="1" s="1"/>
  <c r="X466" i="1" a="1"/>
  <c r="X466" i="1" s="1"/>
  <c r="X467" i="1" a="1"/>
  <c r="X467" i="1" s="1"/>
  <c r="X468" i="1" a="1"/>
  <c r="X468" i="1" s="1"/>
  <c r="X469" i="1" a="1"/>
  <c r="X469" i="1" s="1"/>
  <c r="X470" i="1" a="1"/>
  <c r="X470" i="1" s="1"/>
  <c r="X471" i="1" a="1"/>
  <c r="X471" i="1" s="1"/>
  <c r="X472" i="1" a="1"/>
  <c r="X472" i="1" s="1"/>
  <c r="X473" i="1" a="1"/>
  <c r="X473" i="1" s="1"/>
  <c r="X474" i="1" a="1"/>
  <c r="X474" i="1" s="1"/>
  <c r="X475" i="1" a="1"/>
  <c r="X475" i="1" s="1"/>
  <c r="X476" i="1" a="1"/>
  <c r="X476" i="1" s="1"/>
  <c r="X477" i="1" a="1"/>
  <c r="X477" i="1" s="1"/>
  <c r="X478" i="1" a="1"/>
  <c r="X478" i="1" s="1"/>
  <c r="X479" i="1" a="1"/>
  <c r="X479" i="1" s="1"/>
  <c r="X480" i="1" a="1"/>
  <c r="X480" i="1" s="1"/>
  <c r="X481" i="1" a="1"/>
  <c r="X481" i="1" s="1"/>
  <c r="X482" i="1" a="1"/>
  <c r="X482" i="1" s="1"/>
  <c r="X483" i="1" a="1"/>
  <c r="X483" i="1" s="1"/>
  <c r="X484" i="1" a="1"/>
  <c r="X484" i="1" s="1"/>
  <c r="X485" i="1" a="1"/>
  <c r="X485" i="1" s="1"/>
  <c r="X486" i="1" a="1"/>
  <c r="X486" i="1" s="1"/>
  <c r="X487" i="1" a="1"/>
  <c r="X487" i="1" s="1"/>
  <c r="X488" i="1" a="1"/>
  <c r="X488" i="1" s="1"/>
  <c r="X489" i="1" a="1"/>
  <c r="X489" i="1" s="1"/>
  <c r="X490" i="1" a="1"/>
  <c r="X490" i="1" s="1"/>
  <c r="X491" i="1" a="1"/>
  <c r="X491" i="1" s="1"/>
  <c r="X492" i="1" a="1"/>
  <c r="X492" i="1" s="1"/>
  <c r="X493" i="1" a="1"/>
  <c r="X493" i="1" s="1"/>
  <c r="X494" i="1" a="1"/>
  <c r="X494" i="1" s="1"/>
  <c r="X495" i="1" a="1"/>
  <c r="X495" i="1" s="1"/>
  <c r="X496" i="1" a="1"/>
  <c r="X496" i="1" s="1"/>
  <c r="X497" i="1" a="1"/>
  <c r="X497" i="1" s="1"/>
  <c r="X498" i="1" a="1"/>
  <c r="X498" i="1" s="1"/>
  <c r="X499" i="1" a="1"/>
  <c r="X499" i="1" s="1"/>
  <c r="X500" i="1" a="1"/>
  <c r="X500" i="1" s="1"/>
  <c r="X501" i="1" a="1"/>
  <c r="X501" i="1" s="1"/>
  <c r="X502" i="1" a="1"/>
  <c r="X502" i="1" s="1"/>
  <c r="X503" i="1" a="1"/>
  <c r="X503" i="1" s="1"/>
  <c r="X504" i="1" a="1"/>
  <c r="X504" i="1" s="1"/>
  <c r="X505" i="1" a="1"/>
  <c r="X505" i="1" s="1"/>
  <c r="X506" i="1" a="1"/>
  <c r="X506" i="1" s="1"/>
  <c r="X507" i="1" a="1"/>
  <c r="X507" i="1" s="1"/>
  <c r="X508" i="1" a="1"/>
  <c r="X508" i="1" s="1"/>
  <c r="X509" i="1" a="1"/>
  <c r="X509" i="1" s="1"/>
  <c r="X510" i="1" a="1"/>
  <c r="X510" i="1" s="1"/>
  <c r="X511" i="1" a="1"/>
  <c r="X511" i="1" s="1"/>
  <c r="X512" i="1" a="1"/>
  <c r="X512" i="1" s="1"/>
  <c r="X513" i="1" a="1"/>
  <c r="X513" i="1" s="1"/>
  <c r="X514" i="1" a="1"/>
  <c r="X514" i="1" s="1"/>
  <c r="X515" i="1" a="1"/>
  <c r="X515" i="1" s="1"/>
  <c r="X516" i="1" a="1"/>
  <c r="X516" i="1" s="1"/>
  <c r="X517" i="1" a="1"/>
  <c r="X517" i="1" s="1"/>
  <c r="X518" i="1" a="1"/>
  <c r="X518" i="1" s="1"/>
  <c r="X519" i="1" a="1"/>
  <c r="X519" i="1" s="1"/>
  <c r="X520" i="1" a="1"/>
  <c r="X520" i="1" s="1"/>
  <c r="X521" i="1" a="1"/>
  <c r="X521" i="1" s="1"/>
  <c r="X522" i="1" a="1"/>
  <c r="X522" i="1" s="1"/>
  <c r="X523" i="1" a="1"/>
  <c r="X523" i="1" s="1"/>
  <c r="X524" i="1" a="1"/>
  <c r="X524" i="1" s="1"/>
  <c r="X525" i="1" a="1"/>
  <c r="X525" i="1" s="1"/>
  <c r="X526" i="1" a="1"/>
  <c r="X526" i="1" s="1"/>
  <c r="X527" i="1" a="1"/>
  <c r="X527" i="1" s="1"/>
  <c r="X528" i="1" a="1"/>
  <c r="X528" i="1" s="1"/>
  <c r="X529" i="1" a="1"/>
  <c r="X529" i="1" s="1"/>
  <c r="X530" i="1" a="1"/>
  <c r="X530" i="1" s="1"/>
  <c r="X531" i="1" a="1"/>
  <c r="X531" i="1" s="1"/>
  <c r="X532" i="1" a="1"/>
  <c r="X532" i="1" s="1"/>
  <c r="X533" i="1" a="1"/>
  <c r="X533" i="1" s="1"/>
  <c r="X534" i="1" a="1"/>
  <c r="X534" i="1" s="1"/>
  <c r="X535" i="1" a="1"/>
  <c r="X535" i="1" s="1"/>
  <c r="X536" i="1" a="1"/>
  <c r="X536" i="1" s="1"/>
  <c r="X537" i="1" a="1"/>
  <c r="X537" i="1" s="1"/>
  <c r="X538" i="1" a="1"/>
  <c r="X538" i="1" s="1"/>
  <c r="X539" i="1" a="1"/>
  <c r="X539" i="1" s="1"/>
  <c r="X540" i="1" a="1"/>
  <c r="X540" i="1" s="1"/>
  <c r="X541" i="1" a="1"/>
  <c r="X541" i="1" s="1"/>
  <c r="X542" i="1" a="1"/>
  <c r="X542" i="1" s="1"/>
  <c r="X543" i="1" a="1"/>
  <c r="X543" i="1" s="1"/>
  <c r="X544" i="1" a="1"/>
  <c r="X544" i="1" s="1"/>
  <c r="X545" i="1" a="1"/>
  <c r="X545" i="1" s="1"/>
  <c r="X546" i="1" a="1"/>
  <c r="X546" i="1" s="1"/>
  <c r="X547" i="1" a="1"/>
  <c r="X547" i="1" s="1"/>
  <c r="X548" i="1" a="1"/>
  <c r="X548" i="1" s="1"/>
  <c r="X549" i="1" a="1"/>
  <c r="X549" i="1" s="1"/>
  <c r="X550" i="1" a="1"/>
  <c r="X550" i="1" s="1"/>
  <c r="X551" i="1" a="1"/>
  <c r="X551" i="1" s="1"/>
  <c r="X552" i="1" a="1"/>
  <c r="X552" i="1" s="1"/>
  <c r="X553" i="1" a="1"/>
  <c r="X553" i="1" s="1"/>
  <c r="X554" i="1" a="1"/>
  <c r="X554" i="1" s="1"/>
  <c r="X555" i="1" a="1"/>
  <c r="X555" i="1" s="1"/>
  <c r="X556" i="1" a="1"/>
  <c r="X556" i="1" s="1"/>
  <c r="X557" i="1" a="1"/>
  <c r="X557" i="1" s="1"/>
  <c r="X558" i="1" a="1"/>
  <c r="X558" i="1" s="1"/>
  <c r="X559" i="1" a="1"/>
  <c r="X559" i="1" s="1"/>
  <c r="X560" i="1" a="1"/>
  <c r="X560" i="1" s="1"/>
  <c r="X561" i="1" a="1"/>
  <c r="X561" i="1" s="1"/>
  <c r="X562" i="1" a="1"/>
  <c r="X562" i="1" s="1"/>
  <c r="X563" i="1" a="1"/>
  <c r="X563" i="1" s="1"/>
  <c r="X564" i="1" a="1"/>
  <c r="X564" i="1" s="1"/>
  <c r="X565" i="1" a="1"/>
  <c r="X565" i="1" s="1"/>
  <c r="X566" i="1" a="1"/>
  <c r="X566" i="1" s="1"/>
  <c r="X567" i="1" a="1"/>
  <c r="X567" i="1" s="1"/>
  <c r="X568" i="1" a="1"/>
  <c r="X568" i="1" s="1"/>
  <c r="X569" i="1" a="1"/>
  <c r="X569" i="1" s="1"/>
  <c r="X570" i="1" a="1"/>
  <c r="X570" i="1" s="1"/>
  <c r="X571" i="1" a="1"/>
  <c r="X571" i="1" s="1"/>
  <c r="X572" i="1" a="1"/>
  <c r="X572" i="1" s="1"/>
  <c r="X573" i="1" a="1"/>
  <c r="X573" i="1" s="1"/>
  <c r="X574" i="1" a="1"/>
  <c r="X574" i="1" s="1"/>
  <c r="X575" i="1" a="1"/>
  <c r="X575" i="1" s="1"/>
  <c r="X576" i="1" a="1"/>
  <c r="X576" i="1" s="1"/>
  <c r="X577" i="1" a="1"/>
  <c r="X577" i="1" s="1"/>
  <c r="X578" i="1" a="1"/>
  <c r="X578" i="1" s="1"/>
  <c r="X579" i="1" a="1"/>
  <c r="X579" i="1" s="1"/>
  <c r="X580" i="1" a="1"/>
  <c r="X580" i="1" s="1"/>
  <c r="X581" i="1" a="1"/>
  <c r="X581" i="1" s="1"/>
  <c r="X582" i="1" a="1"/>
  <c r="X582" i="1" s="1"/>
  <c r="X583" i="1" a="1"/>
  <c r="X583" i="1" s="1"/>
  <c r="X584" i="1" a="1"/>
  <c r="X584" i="1" s="1"/>
  <c r="X585" i="1" a="1"/>
  <c r="X585" i="1" s="1"/>
  <c r="X586" i="1" a="1"/>
  <c r="X586" i="1" s="1"/>
  <c r="X587" i="1" a="1"/>
  <c r="X587" i="1" s="1"/>
  <c r="X588" i="1" a="1"/>
  <c r="X588" i="1" s="1"/>
  <c r="X589" i="1" a="1"/>
  <c r="X589" i="1" s="1"/>
  <c r="X590" i="1" a="1"/>
  <c r="X590" i="1" s="1"/>
  <c r="X591" i="1" a="1"/>
  <c r="X591" i="1" s="1"/>
  <c r="X592" i="1" a="1"/>
  <c r="X592" i="1" s="1"/>
  <c r="X593" i="1" a="1"/>
  <c r="X593" i="1" s="1"/>
  <c r="X594" i="1" a="1"/>
  <c r="X594" i="1" s="1"/>
  <c r="X595" i="1" a="1"/>
  <c r="X595" i="1" s="1"/>
  <c r="X596" i="1" a="1"/>
  <c r="X596" i="1" s="1"/>
  <c r="X597" i="1" a="1"/>
  <c r="X597" i="1" s="1"/>
  <c r="X598" i="1" a="1"/>
  <c r="X598" i="1" s="1"/>
  <c r="X599" i="1" a="1"/>
  <c r="X599" i="1" s="1"/>
  <c r="X600" i="1" a="1"/>
  <c r="X600" i="1" s="1"/>
  <c r="X601" i="1" a="1"/>
  <c r="X601" i="1" s="1"/>
  <c r="X602" i="1" a="1"/>
  <c r="X602" i="1" s="1"/>
  <c r="X603" i="1" a="1"/>
  <c r="X603" i="1" s="1"/>
  <c r="X604" i="1" a="1"/>
  <c r="X604" i="1" s="1"/>
  <c r="X605" i="1" a="1"/>
  <c r="X605" i="1" s="1"/>
  <c r="X606" i="1" a="1"/>
  <c r="X606" i="1" s="1"/>
  <c r="X607" i="1" a="1"/>
  <c r="X607" i="1" s="1"/>
  <c r="X608" i="1" a="1"/>
  <c r="X608" i="1" s="1"/>
  <c r="X609" i="1" a="1"/>
  <c r="X609" i="1" s="1"/>
  <c r="X610" i="1" a="1"/>
  <c r="X610" i="1" s="1"/>
  <c r="X611" i="1" a="1"/>
  <c r="X611" i="1" s="1"/>
  <c r="X612" i="1" a="1"/>
  <c r="X612" i="1" s="1"/>
  <c r="X613" i="1" a="1"/>
  <c r="X613" i="1" s="1"/>
  <c r="X614" i="1" a="1"/>
  <c r="X614" i="1" s="1"/>
  <c r="X615" i="1" a="1"/>
  <c r="X615" i="1" s="1"/>
  <c r="X616" i="1" a="1"/>
  <c r="X616" i="1" s="1"/>
  <c r="X617" i="1" a="1"/>
  <c r="X617" i="1" s="1"/>
  <c r="X618" i="1" a="1"/>
  <c r="X618" i="1" s="1"/>
  <c r="X619" i="1" a="1"/>
  <c r="X619" i="1" s="1"/>
  <c r="X620" i="1" a="1"/>
  <c r="X620" i="1" s="1"/>
  <c r="X621" i="1" a="1"/>
  <c r="X621" i="1" s="1"/>
  <c r="X622" i="1" a="1"/>
  <c r="X622" i="1" s="1"/>
  <c r="X623" i="1" a="1"/>
  <c r="X623" i="1" s="1"/>
  <c r="X624" i="1" a="1"/>
  <c r="X624" i="1" s="1"/>
  <c r="X625" i="1" a="1"/>
  <c r="X625" i="1" s="1"/>
  <c r="X626" i="1" a="1"/>
  <c r="X626" i="1" s="1"/>
  <c r="X627" i="1" a="1"/>
  <c r="X627" i="1" s="1"/>
  <c r="X628" i="1" a="1"/>
  <c r="X628" i="1" s="1"/>
  <c r="X629" i="1" a="1"/>
  <c r="X629" i="1" s="1"/>
  <c r="X630" i="1" a="1"/>
  <c r="X630" i="1" s="1"/>
  <c r="X631" i="1" a="1"/>
  <c r="X631" i="1" s="1"/>
  <c r="X632" i="1" a="1"/>
  <c r="X632" i="1" s="1"/>
  <c r="X633" i="1" a="1"/>
  <c r="X633" i="1" s="1"/>
  <c r="X634" i="1" a="1"/>
  <c r="X634" i="1" s="1"/>
  <c r="X635" i="1" a="1"/>
  <c r="X635" i="1" s="1"/>
  <c r="X636" i="1" a="1"/>
  <c r="X636" i="1" s="1"/>
  <c r="X637" i="1" a="1"/>
  <c r="X637" i="1" s="1"/>
  <c r="X638" i="1" a="1"/>
  <c r="X638" i="1" s="1"/>
  <c r="X639" i="1" a="1"/>
  <c r="X639" i="1" s="1"/>
  <c r="X640" i="1" a="1"/>
  <c r="X640" i="1" s="1"/>
  <c r="X641" i="1" a="1"/>
  <c r="X641" i="1" s="1"/>
  <c r="X642" i="1" a="1"/>
  <c r="X642" i="1" s="1"/>
  <c r="X643" i="1" a="1"/>
  <c r="X643" i="1" s="1"/>
  <c r="X644" i="1" a="1"/>
  <c r="X644" i="1" s="1"/>
  <c r="X645" i="1" a="1"/>
  <c r="X645" i="1" s="1"/>
  <c r="X646" i="1" a="1"/>
  <c r="X646" i="1" s="1"/>
  <c r="X647" i="1" a="1"/>
  <c r="X647" i="1" s="1"/>
  <c r="X648" i="1" a="1"/>
  <c r="X648" i="1" s="1"/>
  <c r="X649" i="1" a="1"/>
  <c r="X649" i="1" s="1"/>
  <c r="X650" i="1" a="1"/>
  <c r="X650" i="1" s="1"/>
  <c r="X651" i="1" a="1"/>
  <c r="X651" i="1" s="1"/>
  <c r="X652" i="1" a="1"/>
  <c r="X652" i="1" s="1"/>
  <c r="X653" i="1" a="1"/>
  <c r="X653" i="1" s="1"/>
  <c r="X654" i="1" a="1"/>
  <c r="X654" i="1" s="1"/>
  <c r="X655" i="1" a="1"/>
  <c r="X655" i="1" s="1"/>
  <c r="X656" i="1" a="1"/>
  <c r="X656" i="1" s="1"/>
  <c r="X657" i="1" a="1"/>
  <c r="X657" i="1" s="1"/>
  <c r="X658" i="1" a="1"/>
  <c r="X658" i="1" s="1"/>
  <c r="X659" i="1" a="1"/>
  <c r="X659" i="1" s="1"/>
  <c r="X660" i="1" a="1"/>
  <c r="X660" i="1" s="1"/>
  <c r="X661" i="1" a="1"/>
  <c r="X661" i="1" s="1"/>
  <c r="X662" i="1" a="1"/>
  <c r="X662" i="1" s="1"/>
  <c r="X663" i="1" a="1"/>
  <c r="X663" i="1" s="1"/>
  <c r="X664" i="1" a="1"/>
  <c r="X664" i="1" s="1"/>
  <c r="X665" i="1" a="1"/>
  <c r="X665" i="1" s="1"/>
  <c r="X666" i="1" a="1"/>
  <c r="X666" i="1" s="1"/>
  <c r="X667" i="1" a="1"/>
  <c r="X667" i="1" s="1"/>
  <c r="X668" i="1" a="1"/>
  <c r="X668" i="1" s="1"/>
  <c r="X669" i="1" a="1"/>
  <c r="X669" i="1" s="1"/>
  <c r="X670" i="1" a="1"/>
  <c r="X670" i="1" s="1"/>
  <c r="X671" i="1" a="1"/>
  <c r="X671" i="1" s="1"/>
  <c r="X672" i="1" a="1"/>
  <c r="X672" i="1" s="1"/>
  <c r="X673" i="1" a="1"/>
  <c r="X673" i="1" s="1"/>
  <c r="X674" i="1" a="1"/>
  <c r="X674" i="1" s="1"/>
  <c r="X675" i="1" a="1"/>
  <c r="X675" i="1" s="1"/>
  <c r="X676" i="1" a="1"/>
  <c r="X676" i="1" s="1"/>
  <c r="X677" i="1" a="1"/>
  <c r="X677" i="1" s="1"/>
  <c r="X678" i="1" a="1"/>
  <c r="X678" i="1" s="1"/>
  <c r="X679" i="1" a="1"/>
  <c r="X679" i="1" s="1"/>
  <c r="X680" i="1" a="1"/>
  <c r="X680" i="1" s="1"/>
  <c r="X681" i="1" a="1"/>
  <c r="X681" i="1" s="1"/>
  <c r="X682" i="1" a="1"/>
  <c r="X682" i="1" s="1"/>
  <c r="X683" i="1" a="1"/>
  <c r="X683" i="1" s="1"/>
  <c r="X684" i="1" a="1"/>
  <c r="X684" i="1" s="1"/>
  <c r="X685" i="1" a="1"/>
  <c r="X685" i="1" s="1"/>
  <c r="X686" i="1" a="1"/>
  <c r="X686" i="1" s="1"/>
  <c r="X687" i="1" a="1"/>
  <c r="X687" i="1" s="1"/>
  <c r="X688" i="1" a="1"/>
  <c r="X688" i="1" s="1"/>
  <c r="X689" i="1" a="1"/>
  <c r="X689" i="1" s="1"/>
  <c r="X690" i="1" a="1"/>
  <c r="X690" i="1" s="1"/>
  <c r="X691" i="1" a="1"/>
  <c r="X691" i="1" s="1"/>
  <c r="X692" i="1" a="1"/>
  <c r="X692" i="1" s="1"/>
  <c r="X693" i="1" a="1"/>
  <c r="X693" i="1" s="1"/>
  <c r="X694" i="1" a="1"/>
  <c r="X694" i="1" s="1"/>
  <c r="X695" i="1" a="1"/>
  <c r="X695" i="1" s="1"/>
  <c r="X696" i="1" a="1"/>
  <c r="X696" i="1" s="1"/>
  <c r="X697" i="1" a="1"/>
  <c r="X697" i="1" s="1"/>
  <c r="X698" i="1" a="1"/>
  <c r="X698" i="1" s="1"/>
  <c r="X699" i="1" a="1"/>
  <c r="X699" i="1" s="1"/>
  <c r="X700" i="1" a="1"/>
  <c r="X700" i="1" s="1"/>
  <c r="X701" i="1" a="1"/>
  <c r="X701" i="1" s="1"/>
  <c r="X702" i="1" a="1"/>
  <c r="X702" i="1" s="1"/>
  <c r="X703" i="1" a="1"/>
  <c r="X703" i="1" s="1"/>
  <c r="X704" i="1" a="1"/>
  <c r="X704" i="1" s="1"/>
  <c r="X705" i="1" a="1"/>
  <c r="X705" i="1" s="1"/>
  <c r="X706" i="1" a="1"/>
  <c r="X706" i="1" s="1"/>
  <c r="X707" i="1" a="1"/>
  <c r="X707" i="1" s="1"/>
  <c r="X708" i="1" a="1"/>
  <c r="X708" i="1" s="1"/>
  <c r="X709" i="1" a="1"/>
  <c r="X709" i="1" s="1"/>
  <c r="X710" i="1" a="1"/>
  <c r="X710" i="1" s="1"/>
  <c r="X711" i="1" a="1"/>
  <c r="X711" i="1" s="1"/>
  <c r="X712" i="1" a="1"/>
  <c r="X712" i="1" s="1"/>
  <c r="X713" i="1" a="1"/>
  <c r="X713" i="1" s="1"/>
  <c r="X714" i="1" a="1"/>
  <c r="X714" i="1" s="1"/>
  <c r="X715" i="1" a="1"/>
  <c r="X715" i="1" s="1"/>
  <c r="X716" i="1" a="1"/>
  <c r="X716" i="1" s="1"/>
  <c r="X717" i="1" a="1"/>
  <c r="X717" i="1" s="1"/>
  <c r="X718" i="1" a="1"/>
  <c r="X718" i="1" s="1"/>
  <c r="X719" i="1" a="1"/>
  <c r="X719" i="1" s="1"/>
  <c r="X720" i="1" a="1"/>
  <c r="X720" i="1" s="1"/>
  <c r="X721" i="1" a="1"/>
  <c r="X721" i="1" s="1"/>
  <c r="X722" i="1" a="1"/>
  <c r="X722" i="1" s="1"/>
  <c r="X723" i="1" a="1"/>
  <c r="X723" i="1" s="1"/>
  <c r="X724" i="1" a="1"/>
  <c r="X724" i="1" s="1"/>
  <c r="X725" i="1" a="1"/>
  <c r="X725" i="1" s="1"/>
  <c r="X726" i="1" a="1"/>
  <c r="X726" i="1" s="1"/>
  <c r="X727" i="1" a="1"/>
  <c r="X727" i="1" s="1"/>
  <c r="X728" i="1" a="1"/>
  <c r="X728" i="1" s="1"/>
  <c r="X729" i="1" a="1"/>
  <c r="X729" i="1" s="1"/>
  <c r="X730" i="1" a="1"/>
  <c r="X730" i="1" s="1"/>
  <c r="X731" i="1" a="1"/>
  <c r="X731" i="1" s="1"/>
  <c r="X732" i="1" a="1"/>
  <c r="X732" i="1" s="1"/>
  <c r="X733" i="1" a="1"/>
  <c r="X733" i="1" s="1"/>
  <c r="X734" i="1" a="1"/>
  <c r="X734" i="1" s="1"/>
  <c r="X735" i="1" a="1"/>
  <c r="X735" i="1" s="1"/>
  <c r="X736" i="1" a="1"/>
  <c r="X736" i="1" s="1"/>
  <c r="X737" i="1" a="1"/>
  <c r="X737" i="1" s="1"/>
  <c r="X738" i="1" a="1"/>
  <c r="X738" i="1" s="1"/>
  <c r="X739" i="1" a="1"/>
  <c r="X739" i="1" s="1"/>
  <c r="X740" i="1" a="1"/>
  <c r="X740" i="1" s="1"/>
  <c r="X741" i="1" a="1"/>
  <c r="X741" i="1" s="1"/>
  <c r="X742" i="1" a="1"/>
  <c r="X742" i="1" s="1"/>
  <c r="X743" i="1" a="1"/>
  <c r="X743" i="1" s="1"/>
  <c r="X744" i="1" a="1"/>
  <c r="X744" i="1" s="1"/>
  <c r="X745" i="1" a="1"/>
  <c r="X745" i="1" s="1"/>
  <c r="X746" i="1" a="1"/>
  <c r="X746" i="1" s="1"/>
  <c r="X747" i="1" a="1"/>
  <c r="X747" i="1" s="1"/>
  <c r="X748" i="1" a="1"/>
  <c r="X748" i="1" s="1"/>
  <c r="X749" i="1" a="1"/>
  <c r="X749" i="1" s="1"/>
  <c r="X750" i="1" a="1"/>
  <c r="X750" i="1" s="1"/>
  <c r="X751" i="1" a="1"/>
  <c r="X751" i="1" s="1"/>
  <c r="X752" i="1" a="1"/>
  <c r="X752" i="1" s="1"/>
  <c r="X753" i="1" a="1"/>
  <c r="X753" i="1" s="1"/>
  <c r="X754" i="1" a="1"/>
  <c r="X754" i="1" s="1"/>
  <c r="X755" i="1" a="1"/>
  <c r="X755" i="1" s="1"/>
  <c r="X756" i="1" a="1"/>
  <c r="X756" i="1" s="1"/>
  <c r="X757" i="1" a="1"/>
  <c r="X757" i="1" s="1"/>
  <c r="X758" i="1" a="1"/>
  <c r="X758" i="1" s="1"/>
  <c r="X759" i="1" a="1"/>
  <c r="X759" i="1" s="1"/>
  <c r="X760" i="1" a="1"/>
  <c r="X760" i="1" s="1"/>
  <c r="X761" i="1" a="1"/>
  <c r="X761" i="1" s="1"/>
  <c r="X762" i="1" a="1"/>
  <c r="X762" i="1" s="1"/>
  <c r="X763" i="1" a="1"/>
  <c r="X763" i="1" s="1"/>
  <c r="X764" i="1" a="1"/>
  <c r="X764" i="1" s="1"/>
  <c r="X765" i="1" a="1"/>
  <c r="X765" i="1" s="1"/>
  <c r="X766" i="1" a="1"/>
  <c r="X766" i="1" s="1"/>
  <c r="X767" i="1" a="1"/>
  <c r="X767" i="1" s="1"/>
  <c r="X768" i="1" a="1"/>
  <c r="X768" i="1" s="1"/>
  <c r="X769" i="1" a="1"/>
  <c r="X769" i="1" s="1"/>
  <c r="X770" i="1" a="1"/>
  <c r="X770" i="1" s="1"/>
  <c r="X771" i="1" a="1"/>
  <c r="X771" i="1" s="1"/>
  <c r="X772" i="1" a="1"/>
  <c r="X772" i="1" s="1"/>
  <c r="X773" i="1" a="1"/>
  <c r="X773" i="1" s="1"/>
  <c r="X774" i="1" a="1"/>
  <c r="X774" i="1" s="1"/>
  <c r="X775" i="1" a="1"/>
  <c r="X775" i="1" s="1"/>
  <c r="X776" i="1" a="1"/>
  <c r="X776" i="1" s="1"/>
  <c r="X777" i="1" a="1"/>
  <c r="X777" i="1" s="1"/>
  <c r="X778" i="1" a="1"/>
  <c r="X778" i="1" s="1"/>
  <c r="X779" i="1" a="1"/>
  <c r="X779" i="1" s="1"/>
  <c r="X780" i="1" a="1"/>
  <c r="X780" i="1" s="1"/>
  <c r="X781" i="1" a="1"/>
  <c r="X781" i="1" s="1"/>
  <c r="X782" i="1" a="1"/>
  <c r="X782" i="1" s="1"/>
  <c r="X783" i="1" a="1"/>
  <c r="X783" i="1" s="1"/>
  <c r="X784" i="1" a="1"/>
  <c r="X784" i="1" s="1"/>
  <c r="X785" i="1" a="1"/>
  <c r="X785" i="1" s="1"/>
  <c r="X786" i="1" a="1"/>
  <c r="X786" i="1" s="1"/>
  <c r="X787" i="1" a="1"/>
  <c r="X787" i="1" s="1"/>
  <c r="X788" i="1" a="1"/>
  <c r="X788" i="1" s="1"/>
  <c r="X789" i="1" a="1"/>
  <c r="X789" i="1" s="1"/>
  <c r="X790" i="1" a="1"/>
  <c r="X790" i="1" s="1"/>
  <c r="X791" i="1" a="1"/>
  <c r="X791" i="1" s="1"/>
  <c r="X792" i="1" a="1"/>
  <c r="X792" i="1" s="1"/>
  <c r="X793" i="1" a="1"/>
  <c r="X793" i="1" s="1"/>
  <c r="X794" i="1" a="1"/>
  <c r="X794" i="1" s="1"/>
  <c r="X795" i="1" a="1"/>
  <c r="X795" i="1" s="1"/>
  <c r="X796" i="1" a="1"/>
  <c r="X796" i="1" s="1"/>
  <c r="X797" i="1" a="1"/>
  <c r="X797" i="1" s="1"/>
  <c r="X798" i="1" a="1"/>
  <c r="X798" i="1" s="1"/>
  <c r="X799" i="1" a="1"/>
  <c r="X799" i="1" s="1"/>
  <c r="X800" i="1" a="1"/>
  <c r="X800" i="1" s="1"/>
  <c r="X801" i="1" a="1"/>
  <c r="X801" i="1" s="1"/>
  <c r="X802" i="1" a="1"/>
  <c r="X802" i="1" s="1"/>
  <c r="X803" i="1" a="1"/>
  <c r="X803" i="1" s="1"/>
  <c r="X804" i="1" a="1"/>
  <c r="X804" i="1" s="1"/>
  <c r="X805" i="1" a="1"/>
  <c r="X805" i="1" s="1"/>
  <c r="X806" i="1" a="1"/>
  <c r="X806" i="1" s="1"/>
  <c r="X807" i="1" a="1"/>
  <c r="X807" i="1" s="1"/>
  <c r="X808" i="1" a="1"/>
  <c r="X808" i="1" s="1"/>
  <c r="X809" i="1" a="1"/>
  <c r="X809" i="1" s="1"/>
  <c r="X810" i="1" a="1"/>
  <c r="X810" i="1" s="1"/>
  <c r="X811" i="1" a="1"/>
  <c r="X811" i="1" s="1"/>
  <c r="X812" i="1" a="1"/>
  <c r="X812" i="1" s="1"/>
  <c r="X813" i="1" a="1"/>
  <c r="X813" i="1" s="1"/>
  <c r="X814" i="1" a="1"/>
  <c r="X814" i="1" s="1"/>
  <c r="X815" i="1" a="1"/>
  <c r="X815" i="1" s="1"/>
  <c r="X816" i="1" a="1"/>
  <c r="X816" i="1" s="1"/>
  <c r="X817" i="1" a="1"/>
  <c r="X817" i="1" s="1"/>
  <c r="X818" i="1" a="1"/>
  <c r="X818" i="1" s="1"/>
  <c r="X819" i="1" a="1"/>
  <c r="X819" i="1" s="1"/>
  <c r="X820" i="1" a="1"/>
  <c r="X820" i="1" s="1"/>
  <c r="X821" i="1" a="1"/>
  <c r="X821" i="1" s="1"/>
  <c r="X822" i="1" a="1"/>
  <c r="X822" i="1" s="1"/>
  <c r="X823" i="1" a="1"/>
  <c r="X823" i="1" s="1"/>
  <c r="X824" i="1" a="1"/>
  <c r="X824" i="1" s="1"/>
  <c r="X825" i="1" a="1"/>
  <c r="X825" i="1" s="1"/>
  <c r="X826" i="1" a="1"/>
  <c r="X826" i="1" s="1"/>
  <c r="X827" i="1" a="1"/>
  <c r="X827" i="1" s="1"/>
  <c r="X828" i="1" a="1"/>
  <c r="X828" i="1" s="1"/>
  <c r="X829" i="1" a="1"/>
  <c r="X829" i="1" s="1"/>
  <c r="X830" i="1" a="1"/>
  <c r="X830" i="1" s="1"/>
  <c r="X831" i="1" a="1"/>
  <c r="X831" i="1" s="1"/>
  <c r="X832" i="1" a="1"/>
  <c r="X832" i="1" s="1"/>
  <c r="X833" i="1" a="1"/>
  <c r="X833" i="1" s="1"/>
  <c r="X834" i="1" a="1"/>
  <c r="X834" i="1" s="1"/>
  <c r="X835" i="1" a="1"/>
  <c r="X835" i="1" s="1"/>
  <c r="X836" i="1" a="1"/>
  <c r="X836" i="1" s="1"/>
  <c r="X837" i="1" a="1"/>
  <c r="X837" i="1" s="1"/>
  <c r="X838" i="1" a="1"/>
  <c r="X838" i="1" s="1"/>
  <c r="X839" i="1" a="1"/>
  <c r="X839" i="1" s="1"/>
  <c r="X840" i="1" a="1"/>
  <c r="X840" i="1" s="1"/>
  <c r="X841" i="1" a="1"/>
  <c r="X841" i="1" s="1"/>
  <c r="X842" i="1" a="1"/>
  <c r="X842" i="1" s="1"/>
  <c r="X843" i="1" a="1"/>
  <c r="X843" i="1" s="1"/>
  <c r="X844" i="1" a="1"/>
  <c r="X844" i="1" s="1"/>
  <c r="X845" i="1" a="1"/>
  <c r="X845" i="1" s="1"/>
  <c r="X846" i="1" a="1"/>
  <c r="X846" i="1" s="1"/>
  <c r="X847" i="1" a="1"/>
  <c r="X847" i="1" s="1"/>
  <c r="X848" i="1" a="1"/>
  <c r="X848" i="1" s="1"/>
  <c r="X849" i="1" a="1"/>
  <c r="X849" i="1" s="1"/>
  <c r="X850" i="1" a="1"/>
  <c r="X850" i="1" s="1"/>
  <c r="X851" i="1" a="1"/>
  <c r="X851" i="1" s="1"/>
  <c r="X852" i="1" a="1"/>
  <c r="X852" i="1" s="1"/>
  <c r="X853" i="1" a="1"/>
  <c r="X853" i="1" s="1"/>
  <c r="X854" i="1" a="1"/>
  <c r="X854" i="1" s="1"/>
  <c r="X855" i="1" a="1"/>
  <c r="X855" i="1" s="1"/>
  <c r="X856" i="1" a="1"/>
  <c r="X856" i="1" s="1"/>
  <c r="X857" i="1" a="1"/>
  <c r="X857" i="1" s="1"/>
  <c r="X858" i="1" a="1"/>
  <c r="X858" i="1" s="1"/>
  <c r="X859" i="1" a="1"/>
  <c r="X859" i="1" s="1"/>
  <c r="X860" i="1" a="1"/>
  <c r="X860" i="1" s="1"/>
  <c r="X861" i="1" a="1"/>
  <c r="X861" i="1" s="1"/>
  <c r="X862" i="1" a="1"/>
  <c r="X862" i="1" s="1"/>
  <c r="X863" i="1" a="1"/>
  <c r="X863" i="1" s="1"/>
  <c r="X864" i="1" a="1"/>
  <c r="X864" i="1" s="1"/>
  <c r="X865" i="1" a="1"/>
  <c r="X865" i="1" s="1"/>
  <c r="X866" i="1" a="1"/>
  <c r="X866" i="1" s="1"/>
  <c r="X867" i="1" a="1"/>
  <c r="X867" i="1" s="1"/>
  <c r="X868" i="1" a="1"/>
  <c r="X868" i="1" s="1"/>
  <c r="X869" i="1" a="1"/>
  <c r="X869" i="1" s="1"/>
  <c r="X870" i="1" a="1"/>
  <c r="X870" i="1" s="1"/>
  <c r="X871" i="1" a="1"/>
  <c r="X871" i="1" s="1"/>
  <c r="X872" i="1" a="1"/>
  <c r="X872" i="1" s="1"/>
  <c r="X873" i="1" a="1"/>
  <c r="X873" i="1" s="1"/>
  <c r="X874" i="1" a="1"/>
  <c r="X874" i="1" s="1"/>
  <c r="X875" i="1" a="1"/>
  <c r="X875" i="1" s="1"/>
  <c r="X876" i="1" a="1"/>
  <c r="X876" i="1" s="1"/>
  <c r="X877" i="1" a="1"/>
  <c r="X877" i="1" s="1"/>
  <c r="X878" i="1" a="1"/>
  <c r="X878" i="1" s="1"/>
  <c r="X879" i="1" a="1"/>
  <c r="X879" i="1" s="1"/>
  <c r="X880" i="1" a="1"/>
  <c r="X880" i="1" s="1"/>
  <c r="X881" i="1" a="1"/>
  <c r="X881" i="1" s="1"/>
  <c r="X882" i="1" a="1"/>
  <c r="X882" i="1" s="1"/>
  <c r="X883" i="1" a="1"/>
  <c r="X883" i="1" s="1"/>
  <c r="X884" i="1" a="1"/>
  <c r="X884" i="1" s="1"/>
  <c r="X885" i="1" a="1"/>
  <c r="X885" i="1" s="1"/>
  <c r="X886" i="1" a="1"/>
  <c r="X886" i="1" s="1"/>
  <c r="X887" i="1" a="1"/>
  <c r="X887" i="1" s="1"/>
  <c r="X888" i="1" a="1"/>
  <c r="X888" i="1" s="1"/>
  <c r="X889" i="1" a="1"/>
  <c r="X889" i="1" s="1"/>
  <c r="X890" i="1" a="1"/>
  <c r="X890" i="1" s="1"/>
  <c r="X891" i="1" a="1"/>
  <c r="X891" i="1" s="1"/>
  <c r="X892" i="1" a="1"/>
  <c r="X892" i="1" s="1"/>
  <c r="X893" i="1" a="1"/>
  <c r="X893" i="1" s="1"/>
  <c r="X894" i="1" a="1"/>
  <c r="X894" i="1" s="1"/>
  <c r="X895" i="1" a="1"/>
  <c r="X895" i="1" s="1"/>
  <c r="X896" i="1" a="1"/>
  <c r="X896" i="1" s="1"/>
  <c r="X897" i="1" a="1"/>
  <c r="X897" i="1" s="1"/>
  <c r="X898" i="1" a="1"/>
  <c r="X898" i="1" s="1"/>
  <c r="X899" i="1" a="1"/>
  <c r="X899" i="1" s="1"/>
  <c r="X900" i="1" a="1"/>
  <c r="X900" i="1" s="1"/>
  <c r="X901" i="1" a="1"/>
  <c r="X901" i="1" s="1"/>
  <c r="X902" i="1" a="1"/>
  <c r="X902" i="1" s="1"/>
  <c r="X903" i="1" a="1"/>
  <c r="X903" i="1" s="1"/>
  <c r="X904" i="1" a="1"/>
  <c r="X904" i="1" s="1"/>
  <c r="X905" i="1" a="1"/>
  <c r="X905" i="1" s="1"/>
  <c r="X906" i="1" a="1"/>
  <c r="X906" i="1" s="1"/>
  <c r="X907" i="1" a="1"/>
  <c r="X907" i="1" s="1"/>
  <c r="X908" i="1" a="1"/>
  <c r="X908" i="1" s="1"/>
  <c r="X909" i="1" a="1"/>
  <c r="X909" i="1" s="1"/>
  <c r="X910" i="1" a="1"/>
  <c r="X910" i="1" s="1"/>
  <c r="X911" i="1" a="1"/>
  <c r="X911" i="1" s="1"/>
  <c r="X912" i="1" a="1"/>
  <c r="X912" i="1" s="1"/>
  <c r="X913" i="1" a="1"/>
  <c r="X913" i="1" s="1"/>
  <c r="X914" i="1" a="1"/>
  <c r="X914" i="1" s="1"/>
  <c r="X915" i="1" a="1"/>
  <c r="X915" i="1" s="1"/>
  <c r="X916" i="1" a="1"/>
  <c r="X916" i="1" s="1"/>
  <c r="X917" i="1" a="1"/>
  <c r="X917" i="1" s="1"/>
  <c r="X918" i="1" a="1"/>
  <c r="X918" i="1" s="1"/>
  <c r="X919" i="1" a="1"/>
  <c r="X919" i="1" s="1"/>
  <c r="X920" i="1" a="1"/>
  <c r="X920" i="1" s="1"/>
  <c r="X921" i="1" a="1"/>
  <c r="X921" i="1" s="1"/>
  <c r="X922" i="1" a="1"/>
  <c r="X922" i="1" s="1"/>
  <c r="X923" i="1" a="1"/>
  <c r="X923" i="1" s="1"/>
  <c r="X924" i="1" a="1"/>
  <c r="X924" i="1" s="1"/>
  <c r="X925" i="1" a="1"/>
  <c r="X925" i="1" s="1"/>
  <c r="X926" i="1" a="1"/>
  <c r="X926" i="1" s="1"/>
  <c r="X927" i="1" a="1"/>
  <c r="X927" i="1" s="1"/>
  <c r="X928" i="1" a="1"/>
  <c r="X928" i="1" s="1"/>
  <c r="X929" i="1" a="1"/>
  <c r="X929" i="1" s="1"/>
  <c r="X930" i="1" a="1"/>
  <c r="X930" i="1" s="1"/>
  <c r="X931" i="1" a="1"/>
  <c r="X931" i="1" s="1"/>
  <c r="X932" i="1" a="1"/>
  <c r="X932" i="1" s="1"/>
  <c r="X933" i="1" a="1"/>
  <c r="X933" i="1" s="1"/>
  <c r="X934" i="1" a="1"/>
  <c r="X934" i="1" s="1"/>
  <c r="X935" i="1" a="1"/>
  <c r="X935" i="1" s="1"/>
  <c r="X936" i="1" a="1"/>
  <c r="X936" i="1" s="1"/>
  <c r="X937" i="1" a="1"/>
  <c r="X937" i="1" s="1"/>
  <c r="X938" i="1" a="1"/>
  <c r="X938" i="1" s="1"/>
  <c r="X939" i="1" a="1"/>
  <c r="X939" i="1" s="1"/>
  <c r="X940" i="1" a="1"/>
  <c r="X940" i="1" s="1"/>
  <c r="X941" i="1" a="1"/>
  <c r="X941" i="1" s="1"/>
  <c r="X942" i="1" a="1"/>
  <c r="X942" i="1" s="1"/>
  <c r="X943" i="1" a="1"/>
  <c r="X943" i="1" s="1"/>
  <c r="X944" i="1" a="1"/>
  <c r="X944" i="1" s="1"/>
  <c r="X945" i="1" a="1"/>
  <c r="X945" i="1" s="1"/>
  <c r="X946" i="1" a="1"/>
  <c r="X946" i="1" s="1"/>
  <c r="X947" i="1" a="1"/>
  <c r="X947" i="1" s="1"/>
  <c r="X948" i="1" a="1"/>
  <c r="X948" i="1" s="1"/>
  <c r="X949" i="1" a="1"/>
  <c r="X949" i="1" s="1"/>
  <c r="X950" i="1" a="1"/>
  <c r="X950" i="1" s="1"/>
  <c r="X951" i="1" a="1"/>
  <c r="X951" i="1" s="1"/>
  <c r="X952" i="1" a="1"/>
  <c r="X952" i="1" s="1"/>
  <c r="X953" i="1" a="1"/>
  <c r="X953" i="1" s="1"/>
  <c r="X954" i="1" a="1"/>
  <c r="X954" i="1" s="1"/>
  <c r="X955" i="1" a="1"/>
  <c r="X955" i="1" s="1"/>
  <c r="X956" i="1" a="1"/>
  <c r="X956" i="1" s="1"/>
  <c r="X957" i="1" a="1"/>
  <c r="X957" i="1" s="1"/>
  <c r="X958" i="1" a="1"/>
  <c r="X958" i="1" s="1"/>
  <c r="X959" i="1" a="1"/>
  <c r="X959" i="1" s="1"/>
  <c r="X960" i="1" a="1"/>
  <c r="X960" i="1" s="1"/>
  <c r="X961" i="1" a="1"/>
  <c r="X961" i="1" s="1"/>
  <c r="X962" i="1" a="1"/>
  <c r="X962" i="1" s="1"/>
  <c r="X963" i="1" a="1"/>
  <c r="X963" i="1" s="1"/>
  <c r="X964" i="1" a="1"/>
  <c r="X964" i="1" s="1"/>
  <c r="X965" i="1" a="1"/>
  <c r="X965" i="1" s="1"/>
  <c r="X966" i="1" a="1"/>
  <c r="X966" i="1" s="1"/>
  <c r="X967" i="1" a="1"/>
  <c r="X967" i="1" s="1"/>
  <c r="X968" i="1" a="1"/>
  <c r="X968" i="1" s="1"/>
  <c r="X969" i="1" a="1"/>
  <c r="X969" i="1" s="1"/>
  <c r="X970" i="1" a="1"/>
  <c r="X970" i="1" s="1"/>
  <c r="X971" i="1" a="1"/>
  <c r="X971" i="1" s="1"/>
  <c r="X972" i="1" a="1"/>
  <c r="X972" i="1" s="1"/>
  <c r="X973" i="1" a="1"/>
  <c r="X973" i="1" s="1"/>
  <c r="X974" i="1" a="1"/>
  <c r="X974" i="1" s="1"/>
  <c r="X975" i="1" a="1"/>
  <c r="X975" i="1" s="1"/>
  <c r="X976" i="1" a="1"/>
  <c r="X976" i="1" s="1"/>
  <c r="X977" i="1" a="1"/>
  <c r="X977" i="1" s="1"/>
  <c r="X978" i="1" a="1"/>
  <c r="X978" i="1" s="1"/>
  <c r="X979" i="1" a="1"/>
  <c r="X979" i="1" s="1"/>
  <c r="X980" i="1" a="1"/>
  <c r="X980" i="1" s="1"/>
  <c r="X981" i="1" a="1"/>
  <c r="X981" i="1" s="1"/>
  <c r="X982" i="1" a="1"/>
  <c r="X982" i="1" s="1"/>
  <c r="X983" i="1" a="1"/>
  <c r="X983" i="1" s="1"/>
  <c r="X984" i="1" a="1"/>
  <c r="X984" i="1" s="1"/>
  <c r="X985" i="1" a="1"/>
  <c r="X985" i="1" s="1"/>
  <c r="X986" i="1" a="1"/>
  <c r="X986" i="1" s="1"/>
  <c r="X987" i="1" a="1"/>
  <c r="X987" i="1" s="1"/>
  <c r="X988" i="1" a="1"/>
  <c r="X988" i="1" s="1"/>
  <c r="X989" i="1" a="1"/>
  <c r="X989" i="1" s="1"/>
  <c r="X990" i="1" a="1"/>
  <c r="X990" i="1" s="1"/>
  <c r="X991" i="1" a="1"/>
  <c r="X991" i="1" s="1"/>
  <c r="X992" i="1" a="1"/>
  <c r="X992" i="1" s="1"/>
  <c r="X993" i="1" a="1"/>
  <c r="X993" i="1" s="1"/>
  <c r="X994" i="1" a="1"/>
  <c r="X994" i="1" s="1"/>
  <c r="X995" i="1" a="1"/>
  <c r="X995" i="1" s="1"/>
  <c r="X996" i="1" a="1"/>
  <c r="X996" i="1" s="1"/>
  <c r="X997" i="1" a="1"/>
  <c r="X997" i="1" s="1"/>
  <c r="X998" i="1" a="1"/>
  <c r="X998" i="1" s="1"/>
  <c r="X999" i="1" a="1"/>
  <c r="X999" i="1" s="1"/>
  <c r="X1000" i="1" a="1"/>
  <c r="X1000" i="1" s="1"/>
  <c r="X1001" i="1" a="1"/>
  <c r="X1001" i="1" s="1"/>
  <c r="X1002" i="1" a="1"/>
  <c r="X1002" i="1" s="1"/>
  <c r="X1003" i="1" a="1"/>
  <c r="X1003" i="1" s="1"/>
  <c r="X1004" i="1" a="1"/>
  <c r="X1004" i="1" s="1"/>
  <c r="X1005" i="1" a="1"/>
  <c r="X1005" i="1" s="1"/>
  <c r="X1006" i="1" a="1"/>
  <c r="X1006" i="1" s="1"/>
  <c r="X1007" i="1" a="1"/>
  <c r="X1007" i="1" s="1"/>
  <c r="X1008" i="1" a="1"/>
  <c r="X1008" i="1" s="1"/>
  <c r="X1009" i="1" a="1"/>
  <c r="X1009" i="1" s="1"/>
  <c r="X1010" i="1" a="1"/>
  <c r="X1010" i="1" s="1"/>
  <c r="X1011" i="1" a="1"/>
  <c r="X1011" i="1" s="1"/>
  <c r="X1012" i="1" a="1"/>
  <c r="X1012" i="1" s="1"/>
  <c r="X1013" i="1" a="1"/>
  <c r="X1013" i="1" s="1"/>
  <c r="X1014" i="1" a="1"/>
  <c r="X1014" i="1" s="1"/>
  <c r="X1015" i="1" a="1"/>
  <c r="X1015" i="1" s="1"/>
  <c r="X1016" i="1" a="1"/>
  <c r="X1016" i="1" s="1"/>
  <c r="X1017" i="1" a="1"/>
  <c r="X1017" i="1" s="1"/>
  <c r="X1018" i="1" a="1"/>
  <c r="X1018" i="1" s="1"/>
  <c r="X1019" i="1" a="1"/>
  <c r="X1019" i="1" s="1"/>
  <c r="X1020" i="1" a="1"/>
  <c r="X1020" i="1" s="1"/>
  <c r="X1021" i="1" a="1"/>
  <c r="X1021" i="1" s="1"/>
  <c r="X1022" i="1" a="1"/>
  <c r="X1022" i="1" s="1"/>
  <c r="X1023" i="1" a="1"/>
  <c r="X1023" i="1" s="1"/>
  <c r="X1024" i="1" a="1"/>
  <c r="X1024" i="1" s="1"/>
  <c r="X1025" i="1" a="1"/>
  <c r="X1025" i="1" s="1"/>
  <c r="X1026" i="1" a="1"/>
  <c r="X1026" i="1" s="1"/>
  <c r="X1027" i="1" a="1"/>
  <c r="X1027" i="1" s="1"/>
  <c r="X1028" i="1" a="1"/>
  <c r="X1028" i="1" s="1"/>
  <c r="X1029" i="1" a="1"/>
  <c r="X1029" i="1" s="1"/>
  <c r="X1030" i="1" a="1"/>
  <c r="X1030" i="1" s="1"/>
  <c r="X1031" i="1" a="1"/>
  <c r="X1031" i="1" s="1"/>
  <c r="X1032" i="1" a="1"/>
  <c r="X1032" i="1" s="1"/>
  <c r="X1033" i="1" a="1"/>
  <c r="X1033" i="1" s="1"/>
  <c r="X1034" i="1" a="1"/>
  <c r="X1034" i="1" s="1"/>
  <c r="X1035" i="1" a="1"/>
  <c r="X1035" i="1" s="1"/>
  <c r="X1036" i="1" a="1"/>
  <c r="X1036" i="1" s="1"/>
  <c r="X1037" i="1" a="1"/>
  <c r="X1037" i="1" s="1"/>
  <c r="X1038" i="1" a="1"/>
  <c r="X1038" i="1" s="1"/>
  <c r="X1039" i="1" a="1"/>
  <c r="X1039" i="1" s="1"/>
  <c r="X1040" i="1" a="1"/>
  <c r="X1040" i="1" s="1"/>
  <c r="X1041" i="1" a="1"/>
  <c r="X1041" i="1" s="1"/>
  <c r="X1042" i="1" a="1"/>
  <c r="X1042" i="1" s="1"/>
  <c r="X1043" i="1" a="1"/>
  <c r="X1043" i="1" s="1"/>
  <c r="X1044" i="1" a="1"/>
  <c r="X1044" i="1" s="1"/>
  <c r="X1045" i="1" a="1"/>
  <c r="X1045" i="1" s="1"/>
  <c r="X1046" i="1" a="1"/>
  <c r="X1046" i="1" s="1"/>
  <c r="X1047" i="1" a="1"/>
  <c r="X1047" i="1" s="1"/>
  <c r="X1048" i="1" a="1"/>
  <c r="X1048" i="1" s="1"/>
  <c r="X1049" i="1" a="1"/>
  <c r="X1049" i="1" s="1"/>
  <c r="X1050" i="1" a="1"/>
  <c r="X1050" i="1" s="1"/>
  <c r="X1051" i="1" a="1"/>
  <c r="X1051" i="1" s="1"/>
  <c r="X1052" i="1" a="1"/>
  <c r="X1052" i="1" s="1"/>
  <c r="X1053" i="1" a="1"/>
  <c r="X1053" i="1" s="1"/>
  <c r="X1054" i="1" a="1"/>
  <c r="X1054" i="1" s="1"/>
  <c r="X1055" i="1" a="1"/>
  <c r="X1055" i="1" s="1"/>
  <c r="X1056" i="1" a="1"/>
  <c r="X1056" i="1" s="1"/>
  <c r="X1057" i="1" a="1"/>
  <c r="X1057" i="1" s="1"/>
  <c r="X1058" i="1" a="1"/>
  <c r="X1058" i="1" s="1"/>
  <c r="X1059" i="1" a="1"/>
  <c r="X1059" i="1" s="1"/>
  <c r="X1060" i="1" a="1"/>
  <c r="X1060" i="1" s="1"/>
  <c r="X1061" i="1" a="1"/>
  <c r="X1061" i="1" s="1"/>
  <c r="X1062" i="1" a="1"/>
  <c r="X1062" i="1" s="1"/>
  <c r="X1063" i="1" a="1"/>
  <c r="X1063" i="1" s="1"/>
  <c r="X1064" i="1" a="1"/>
  <c r="X1064" i="1" s="1"/>
  <c r="X1065" i="1" a="1"/>
  <c r="X1065" i="1" s="1"/>
  <c r="X1066" i="1" a="1"/>
  <c r="X1066" i="1" s="1"/>
  <c r="X1067" i="1" a="1"/>
  <c r="X1067" i="1" s="1"/>
  <c r="X1068" i="1" a="1"/>
  <c r="X1068" i="1" s="1"/>
  <c r="X1069" i="1" a="1"/>
  <c r="X1069" i="1" s="1"/>
  <c r="X1070" i="1" a="1"/>
  <c r="X1070" i="1" s="1"/>
  <c r="X1071" i="1" a="1"/>
  <c r="X1071" i="1" s="1"/>
  <c r="X1072" i="1" a="1"/>
  <c r="X1072" i="1" s="1"/>
  <c r="X1073" i="1" a="1"/>
  <c r="X1073" i="1" s="1"/>
  <c r="X1074" i="1" a="1"/>
  <c r="X1074" i="1" s="1"/>
  <c r="X1075" i="1" a="1"/>
  <c r="X1075" i="1" s="1"/>
  <c r="X1076" i="1" a="1"/>
  <c r="X1076" i="1" s="1"/>
  <c r="X1077" i="1" a="1"/>
  <c r="X1077" i="1" s="1"/>
  <c r="X1078" i="1" a="1"/>
  <c r="X1078" i="1" s="1"/>
  <c r="X1079" i="1" a="1"/>
  <c r="X1079" i="1" s="1"/>
  <c r="X1080" i="1" a="1"/>
  <c r="X1080" i="1" s="1"/>
  <c r="X1081" i="1" a="1"/>
  <c r="X1081" i="1" s="1"/>
  <c r="X1082" i="1" a="1"/>
  <c r="X1082" i="1" s="1"/>
  <c r="X1083" i="1" a="1"/>
  <c r="X1083" i="1" s="1"/>
  <c r="X1084" i="1" a="1"/>
  <c r="X1084" i="1" s="1"/>
  <c r="X1085" i="1" a="1"/>
  <c r="X1085" i="1" s="1"/>
  <c r="X1086" i="1" a="1"/>
  <c r="X1086" i="1" s="1"/>
  <c r="X1087" i="1" a="1"/>
  <c r="X1087" i="1" s="1"/>
  <c r="X1088" i="1" a="1"/>
  <c r="X1088" i="1" s="1"/>
  <c r="X1089" i="1" a="1"/>
  <c r="X1089" i="1" s="1"/>
  <c r="X1090" i="1" a="1"/>
  <c r="X1090" i="1" s="1"/>
  <c r="X1091" i="1" a="1"/>
  <c r="X1091" i="1" s="1"/>
  <c r="X1092" i="1" a="1"/>
  <c r="X1092" i="1" s="1"/>
  <c r="X1093" i="1" a="1"/>
  <c r="X1093" i="1" s="1"/>
  <c r="X1094" i="1" a="1"/>
  <c r="X1094" i="1" s="1"/>
  <c r="X1095" i="1" a="1"/>
  <c r="X1095" i="1" s="1"/>
  <c r="X1096" i="1" a="1"/>
  <c r="X1096" i="1" s="1"/>
  <c r="X1097" i="1" a="1"/>
  <c r="X1097" i="1" s="1"/>
  <c r="X1098" i="1" a="1"/>
  <c r="X1098" i="1" s="1"/>
  <c r="X1099" i="1" a="1"/>
  <c r="X1099" i="1" s="1"/>
  <c r="X1100" i="1" a="1"/>
  <c r="X1100" i="1" s="1"/>
  <c r="X1101" i="1" a="1"/>
  <c r="X1101" i="1" s="1"/>
  <c r="X1102" i="1" a="1"/>
  <c r="X1102" i="1" s="1"/>
  <c r="X1103" i="1" a="1"/>
  <c r="X1103" i="1" s="1"/>
  <c r="X1104" i="1" a="1"/>
  <c r="X1104" i="1" s="1"/>
  <c r="X1105" i="1" a="1"/>
  <c r="X1105" i="1" s="1"/>
  <c r="X1106" i="1" a="1"/>
  <c r="X1106" i="1" s="1"/>
  <c r="X1107" i="1" a="1"/>
  <c r="X1107" i="1" s="1"/>
  <c r="X1108" i="1" a="1"/>
  <c r="X1108" i="1" s="1"/>
  <c r="X1109" i="1" a="1"/>
  <c r="X1109" i="1" s="1"/>
  <c r="X1110" i="1" a="1"/>
  <c r="X1110" i="1" s="1"/>
  <c r="X1111" i="1" a="1"/>
  <c r="X1111" i="1" s="1"/>
  <c r="X1112" i="1" a="1"/>
  <c r="X1112" i="1" s="1"/>
  <c r="X1113" i="1" a="1"/>
  <c r="X1113" i="1" s="1"/>
  <c r="X1114" i="1" a="1"/>
  <c r="X1114" i="1" s="1"/>
  <c r="X1115" i="1" a="1"/>
  <c r="X1115" i="1" s="1"/>
  <c r="X1116" i="1" a="1"/>
  <c r="X1116" i="1" s="1"/>
  <c r="X1117" i="1" a="1"/>
  <c r="X1117" i="1" s="1"/>
  <c r="X1118" i="1" a="1"/>
  <c r="X1118" i="1" s="1"/>
  <c r="X1119" i="1" a="1"/>
  <c r="X1119" i="1" s="1"/>
  <c r="X1120" i="1" a="1"/>
  <c r="X1120" i="1" s="1"/>
  <c r="X1121" i="1" a="1"/>
  <c r="X1121" i="1" s="1"/>
  <c r="X1122" i="1" a="1"/>
  <c r="X1122" i="1" s="1"/>
  <c r="X1123" i="1" a="1"/>
  <c r="X1123" i="1" s="1"/>
  <c r="X1124" i="1" a="1"/>
  <c r="X1124" i="1" s="1"/>
  <c r="X1125" i="1" a="1"/>
  <c r="X1125" i="1" s="1"/>
  <c r="X1126" i="1" a="1"/>
  <c r="X1126" i="1" s="1"/>
  <c r="X1127" i="1" a="1"/>
  <c r="X1127" i="1" s="1"/>
  <c r="X1128" i="1" a="1"/>
  <c r="X1128" i="1" s="1"/>
  <c r="X1129" i="1" a="1"/>
  <c r="X1129" i="1" s="1"/>
  <c r="X1130" i="1" a="1"/>
  <c r="X1130" i="1" s="1"/>
  <c r="X1131" i="1" a="1"/>
  <c r="X1131" i="1" s="1"/>
  <c r="X1132" i="1" a="1"/>
  <c r="X1132" i="1" s="1"/>
  <c r="X1133" i="1" a="1"/>
  <c r="X1133" i="1" s="1"/>
  <c r="X1134" i="1" a="1"/>
  <c r="X1134" i="1" s="1"/>
  <c r="X1135" i="1" a="1"/>
  <c r="X1135" i="1" s="1"/>
  <c r="X1136" i="1" a="1"/>
  <c r="X1136" i="1" s="1"/>
  <c r="X1137" i="1" a="1"/>
  <c r="X1137" i="1" s="1"/>
  <c r="X1138" i="1" a="1"/>
  <c r="X1138" i="1" s="1"/>
  <c r="X1139" i="1" a="1"/>
  <c r="X1139" i="1" s="1"/>
  <c r="X1140" i="1" a="1"/>
  <c r="X1140" i="1" s="1"/>
  <c r="X1141" i="1" a="1"/>
  <c r="X1141" i="1" s="1"/>
  <c r="X1142" i="1" a="1"/>
  <c r="X1142" i="1" s="1"/>
  <c r="X1143" i="1" a="1"/>
  <c r="X1143" i="1" s="1"/>
  <c r="X1144" i="1" a="1"/>
  <c r="X1144" i="1" s="1"/>
  <c r="X1145" i="1" a="1"/>
  <c r="X1145" i="1" s="1"/>
  <c r="X1146" i="1" a="1"/>
  <c r="X1146" i="1" s="1"/>
  <c r="X1147" i="1" a="1"/>
  <c r="X1147" i="1" s="1"/>
  <c r="X1148" i="1" a="1"/>
  <c r="X1148" i="1" s="1"/>
  <c r="X1149" i="1" a="1"/>
  <c r="X1149" i="1" s="1"/>
  <c r="X1150" i="1" a="1"/>
  <c r="X1150" i="1" s="1"/>
  <c r="X1151" i="1" a="1"/>
  <c r="X1151" i="1" s="1"/>
  <c r="X1152" i="1" a="1"/>
  <c r="X1152" i="1" s="1"/>
  <c r="X1153" i="1" a="1"/>
  <c r="X1153" i="1" s="1"/>
  <c r="X1154" i="1" a="1"/>
  <c r="X1154" i="1" s="1"/>
  <c r="X1155" i="1" a="1"/>
  <c r="X1155" i="1" s="1"/>
  <c r="X1156" i="1" a="1"/>
  <c r="X1156" i="1" s="1"/>
  <c r="X1157" i="1" a="1"/>
  <c r="X1157" i="1" s="1"/>
  <c r="X1158" i="1" a="1"/>
  <c r="X1158" i="1" s="1"/>
  <c r="X1159" i="1" a="1"/>
  <c r="X1159" i="1" s="1"/>
  <c r="X1160" i="1" a="1"/>
  <c r="X1160" i="1" s="1"/>
  <c r="X1161" i="1" a="1"/>
  <c r="X1161" i="1" s="1"/>
  <c r="X1162" i="1" a="1"/>
  <c r="X1162" i="1" s="1"/>
  <c r="X1163" i="1" a="1"/>
  <c r="X1163" i="1" s="1"/>
  <c r="X1164" i="1" a="1"/>
  <c r="X1164" i="1" s="1"/>
  <c r="X1165" i="1" a="1"/>
  <c r="X1165" i="1" s="1"/>
  <c r="X1166" i="1" a="1"/>
  <c r="X1166" i="1" s="1"/>
  <c r="X1167" i="1" a="1"/>
  <c r="X1167" i="1" s="1"/>
  <c r="X1168" i="1" a="1"/>
  <c r="X1168" i="1" s="1"/>
  <c r="X1169" i="1" a="1"/>
  <c r="X1169" i="1" s="1"/>
  <c r="X1170" i="1" a="1"/>
  <c r="X1170" i="1" s="1"/>
  <c r="X1171" i="1" a="1"/>
  <c r="X1171" i="1" s="1"/>
  <c r="X1172" i="1" a="1"/>
  <c r="X1172" i="1" s="1"/>
  <c r="X1173" i="1" a="1"/>
  <c r="X1173" i="1" s="1"/>
  <c r="X1174" i="1" a="1"/>
  <c r="X1174" i="1" s="1"/>
  <c r="X1175" i="1" a="1"/>
  <c r="X1175" i="1" s="1"/>
  <c r="X1176" i="1" a="1"/>
  <c r="X1176" i="1" s="1"/>
  <c r="X1177" i="1" a="1"/>
  <c r="X1177" i="1" s="1"/>
  <c r="X1178" i="1" a="1"/>
  <c r="X1178" i="1" s="1"/>
  <c r="X1179" i="1" a="1"/>
  <c r="X1179" i="1" s="1"/>
  <c r="X1180" i="1" a="1"/>
  <c r="X1180" i="1" s="1"/>
  <c r="X1181" i="1" a="1"/>
  <c r="X1181" i="1" s="1"/>
  <c r="X1182" i="1" a="1"/>
  <c r="X1182" i="1" s="1"/>
  <c r="X1183" i="1" a="1"/>
  <c r="X1183" i="1" s="1"/>
  <c r="X1184" i="1" a="1"/>
  <c r="X1184" i="1" s="1"/>
  <c r="X1185" i="1" a="1"/>
  <c r="X1185" i="1" s="1"/>
  <c r="X1186" i="1" a="1"/>
  <c r="X1186" i="1" s="1"/>
  <c r="X1187" i="1" a="1"/>
  <c r="X1187" i="1" s="1"/>
  <c r="X1188" i="1" a="1"/>
  <c r="X1188" i="1" s="1"/>
  <c r="X1189" i="1" a="1"/>
  <c r="X1189" i="1" s="1"/>
  <c r="X1190" i="1" a="1"/>
  <c r="X1190" i="1" s="1"/>
  <c r="X1191" i="1" a="1"/>
  <c r="X1191" i="1" s="1"/>
  <c r="X1192" i="1" a="1"/>
  <c r="X1192" i="1" s="1"/>
  <c r="X1193" i="1" a="1"/>
  <c r="X1193" i="1" s="1"/>
  <c r="X1194" i="1" a="1"/>
  <c r="X1194" i="1" s="1"/>
  <c r="X1195" i="1" a="1"/>
  <c r="X1195" i="1" s="1"/>
  <c r="X1196" i="1" a="1"/>
  <c r="X1196" i="1" s="1"/>
  <c r="X1197" i="1" a="1"/>
  <c r="X1197" i="1" s="1"/>
  <c r="X1198" i="1" a="1"/>
  <c r="X1198" i="1" s="1"/>
  <c r="X1199" i="1" a="1"/>
  <c r="X1199" i="1" s="1"/>
  <c r="X1200" i="1" a="1"/>
  <c r="X1200" i="1" s="1"/>
  <c r="X1201" i="1" a="1"/>
  <c r="X1201" i="1" s="1"/>
  <c r="X1202" i="1" a="1"/>
  <c r="X1202" i="1" s="1"/>
  <c r="X1203" i="1" a="1"/>
  <c r="X1203" i="1" s="1"/>
  <c r="X1204" i="1" a="1"/>
  <c r="X1204" i="1" s="1"/>
  <c r="X1205" i="1" a="1"/>
  <c r="X1205" i="1" s="1"/>
  <c r="X1206" i="1" a="1"/>
  <c r="X1206" i="1" s="1"/>
  <c r="X1207" i="1" a="1"/>
  <c r="X1207" i="1" s="1"/>
  <c r="X1208" i="1" a="1"/>
  <c r="X1208" i="1" s="1"/>
  <c r="X1209" i="1" a="1"/>
  <c r="X1209" i="1" s="1"/>
  <c r="X1210" i="1" a="1"/>
  <c r="X1210" i="1" s="1"/>
  <c r="X1211" i="1" a="1"/>
  <c r="X1211" i="1" s="1"/>
  <c r="X1212" i="1" a="1"/>
  <c r="X1212" i="1" s="1"/>
  <c r="X1213" i="1" a="1"/>
  <c r="X1213" i="1" s="1"/>
  <c r="X1214" i="1" a="1"/>
  <c r="X1214" i="1" s="1"/>
  <c r="X1215" i="1" a="1"/>
  <c r="X1215" i="1" s="1"/>
  <c r="X1216" i="1" a="1"/>
  <c r="X1216" i="1" s="1"/>
  <c r="X1217" i="1" a="1"/>
  <c r="X1217" i="1" s="1"/>
  <c r="X1218" i="1" a="1"/>
  <c r="X1218" i="1" s="1"/>
  <c r="X1219" i="1" a="1"/>
  <c r="X1219" i="1" s="1"/>
  <c r="X1220" i="1" a="1"/>
  <c r="X1220" i="1" s="1"/>
  <c r="X1221" i="1" a="1"/>
  <c r="X1221" i="1" s="1"/>
  <c r="X1222" i="1" a="1"/>
  <c r="X1222" i="1" s="1"/>
  <c r="X1223" i="1" a="1"/>
  <c r="X1223" i="1" s="1"/>
  <c r="X1224" i="1" a="1"/>
  <c r="X1224" i="1" s="1"/>
  <c r="X1225" i="1" a="1"/>
  <c r="X1225" i="1" s="1"/>
  <c r="X1226" i="1" a="1"/>
  <c r="X1226" i="1" s="1"/>
  <c r="X1227" i="1" a="1"/>
  <c r="X1227" i="1" s="1"/>
  <c r="X1228" i="1" a="1"/>
  <c r="X1228" i="1" s="1"/>
  <c r="X1229" i="1" a="1"/>
  <c r="X1229" i="1" s="1"/>
  <c r="X1230" i="1" a="1"/>
  <c r="X1230" i="1" s="1"/>
  <c r="X1231" i="1" a="1"/>
  <c r="X1231" i="1" s="1"/>
  <c r="X1232" i="1" a="1"/>
  <c r="X1232" i="1" s="1"/>
  <c r="X1233" i="1" a="1"/>
  <c r="X1233" i="1" s="1"/>
  <c r="X1234" i="1" a="1"/>
  <c r="X1234" i="1" s="1"/>
  <c r="X1235" i="1" a="1"/>
  <c r="X1235" i="1" s="1"/>
  <c r="X1236" i="1" a="1"/>
  <c r="X1236" i="1" s="1"/>
  <c r="X1237" i="1" a="1"/>
  <c r="X1237" i="1" s="1"/>
  <c r="X1238" i="1" a="1"/>
  <c r="X1238" i="1" s="1"/>
  <c r="X1239" i="1" a="1"/>
  <c r="X1239" i="1" s="1"/>
  <c r="X1240" i="1" a="1"/>
  <c r="X1240" i="1" s="1"/>
  <c r="X1241" i="1" a="1"/>
  <c r="X1241" i="1" s="1"/>
  <c r="X1242" i="1" a="1"/>
  <c r="X1242" i="1" s="1"/>
  <c r="X1243" i="1" a="1"/>
  <c r="X1243" i="1" s="1"/>
  <c r="X1244" i="1" a="1"/>
  <c r="X1244" i="1" s="1"/>
  <c r="X1245" i="1" a="1"/>
  <c r="X1245" i="1" s="1"/>
  <c r="X1246" i="1" a="1"/>
  <c r="X1246" i="1" s="1"/>
  <c r="X1247" i="1" a="1"/>
  <c r="X1247" i="1" s="1"/>
  <c r="X1248" i="1" a="1"/>
  <c r="X1248" i="1" s="1"/>
  <c r="X1249" i="1" a="1"/>
  <c r="X1249" i="1" s="1"/>
  <c r="X1250" i="1" a="1"/>
  <c r="X1250" i="1" s="1"/>
  <c r="X1251" i="1" a="1"/>
  <c r="X1251" i="1" s="1"/>
  <c r="X1252" i="1" a="1"/>
  <c r="X1252" i="1" s="1"/>
  <c r="X1253" i="1" a="1"/>
  <c r="X1253" i="1" s="1"/>
  <c r="X1254" i="1" a="1"/>
  <c r="X1254" i="1" s="1"/>
  <c r="X1255" i="1" a="1"/>
  <c r="X1255" i="1" s="1"/>
  <c r="X1256" i="1" a="1"/>
  <c r="X1256" i="1" s="1"/>
  <c r="X1257" i="1" a="1"/>
  <c r="X1257" i="1" s="1"/>
  <c r="X1258" i="1" a="1"/>
  <c r="X1258" i="1" s="1"/>
  <c r="X1259" i="1" a="1"/>
  <c r="X1259" i="1" s="1"/>
  <c r="X1260" i="1" a="1"/>
  <c r="X1260" i="1" s="1"/>
  <c r="X1261" i="1" a="1"/>
  <c r="X1261" i="1" s="1"/>
  <c r="X1262" i="1" a="1"/>
  <c r="X1262" i="1" s="1"/>
  <c r="X1263" i="1" a="1"/>
  <c r="X1263" i="1" s="1"/>
  <c r="X1264" i="1" a="1"/>
  <c r="X1264" i="1" s="1"/>
  <c r="X1265" i="1" a="1"/>
  <c r="X1265" i="1" s="1"/>
  <c r="X1266" i="1" a="1"/>
  <c r="X1266" i="1" s="1"/>
  <c r="X1267" i="1" a="1"/>
  <c r="X1267" i="1" s="1"/>
  <c r="X1268" i="1" a="1"/>
  <c r="X1268" i="1" s="1"/>
  <c r="X1269" i="1" a="1"/>
  <c r="X1269" i="1" s="1"/>
  <c r="X1270" i="1" a="1"/>
  <c r="X1270" i="1" s="1"/>
  <c r="X1271" i="1" a="1"/>
  <c r="X1271" i="1" s="1"/>
  <c r="X1272" i="1" a="1"/>
  <c r="X1272" i="1" s="1"/>
  <c r="X1273" i="1" a="1"/>
  <c r="X1273" i="1" s="1"/>
  <c r="X1274" i="1" a="1"/>
  <c r="X1274" i="1" s="1"/>
  <c r="X1275" i="1" a="1"/>
  <c r="X1275" i="1" s="1"/>
  <c r="X1276" i="1" a="1"/>
  <c r="X1276" i="1" s="1"/>
  <c r="X1277" i="1" a="1"/>
  <c r="X1277" i="1" s="1"/>
  <c r="X1278" i="1" a="1"/>
  <c r="X1278" i="1" s="1"/>
  <c r="X1279" i="1" a="1"/>
  <c r="X1279" i="1" s="1"/>
  <c r="X1280" i="1" a="1"/>
  <c r="X1280" i="1" s="1"/>
  <c r="X1281" i="1" a="1"/>
  <c r="X1281" i="1" s="1"/>
  <c r="X1282" i="1" a="1"/>
  <c r="X1282" i="1" s="1"/>
  <c r="X1283" i="1" a="1"/>
  <c r="X1283" i="1" s="1"/>
  <c r="X1284" i="1" a="1"/>
  <c r="X1284" i="1" s="1"/>
  <c r="X1285" i="1" a="1"/>
  <c r="X1285" i="1" s="1"/>
  <c r="X1286" i="1" a="1"/>
  <c r="X1286" i="1" s="1"/>
  <c r="X1287" i="1" a="1"/>
  <c r="X1287" i="1" s="1"/>
  <c r="X1288" i="1" a="1"/>
  <c r="X1288" i="1" s="1"/>
  <c r="X1289" i="1" a="1"/>
  <c r="X1289" i="1" s="1"/>
  <c r="X1290" i="1" a="1"/>
  <c r="X1290" i="1" s="1"/>
  <c r="X1291" i="1" a="1"/>
  <c r="X1291" i="1" s="1"/>
  <c r="X1292" i="1" a="1"/>
  <c r="X1292" i="1" s="1"/>
  <c r="X1293" i="1" a="1"/>
  <c r="X1293" i="1" s="1"/>
  <c r="X1294" i="1" a="1"/>
  <c r="X1294" i="1" s="1"/>
  <c r="X1295" i="1" a="1"/>
  <c r="X1295" i="1" s="1"/>
  <c r="X1296" i="1" a="1"/>
  <c r="X1296" i="1" s="1"/>
  <c r="X1297" i="1" a="1"/>
  <c r="X1297" i="1" s="1"/>
  <c r="X1298" i="1" a="1"/>
  <c r="X1298" i="1" s="1"/>
  <c r="X1299" i="1" a="1"/>
  <c r="X1299" i="1" s="1"/>
  <c r="X1300" i="1" a="1"/>
  <c r="X1300" i="1" s="1"/>
  <c r="X1301" i="1" a="1"/>
  <c r="X1301" i="1" s="1"/>
  <c r="X1302" i="1" a="1"/>
  <c r="X1302" i="1" s="1"/>
  <c r="X1303" i="1" a="1"/>
  <c r="X1303" i="1" s="1"/>
  <c r="X1304" i="1" a="1"/>
  <c r="X1304" i="1" s="1"/>
  <c r="X1305" i="1" a="1"/>
  <c r="X1305" i="1" s="1"/>
  <c r="X1306" i="1" a="1"/>
  <c r="X1306" i="1" s="1"/>
  <c r="X1307" i="1" a="1"/>
  <c r="X1307" i="1" s="1"/>
  <c r="X1308" i="1" a="1"/>
  <c r="X1308" i="1" s="1"/>
  <c r="X1309" i="1" a="1"/>
  <c r="X1309" i="1" s="1"/>
  <c r="X1310" i="1" a="1"/>
  <c r="X1310" i="1" s="1"/>
  <c r="X1311" i="1" a="1"/>
  <c r="X1311" i="1" s="1"/>
  <c r="X1312" i="1" a="1"/>
  <c r="X1312" i="1" s="1"/>
  <c r="X1313" i="1" a="1"/>
  <c r="X1313" i="1" s="1"/>
  <c r="X1314" i="1" a="1"/>
  <c r="X1314" i="1" s="1"/>
  <c r="X1315" i="1" a="1"/>
  <c r="X1315" i="1" s="1"/>
  <c r="X1316" i="1" a="1"/>
  <c r="X1316" i="1" s="1"/>
  <c r="X1317" i="1" a="1"/>
  <c r="X1317" i="1" s="1"/>
  <c r="X1318" i="1" a="1"/>
  <c r="X1318" i="1" s="1"/>
  <c r="X1319" i="1" a="1"/>
  <c r="X1319" i="1" s="1"/>
  <c r="X1320" i="1" a="1"/>
  <c r="X1320" i="1" s="1"/>
  <c r="X1321" i="1" a="1"/>
  <c r="X1321" i="1" s="1"/>
  <c r="X1322" i="1" a="1"/>
  <c r="X1322" i="1" s="1"/>
  <c r="X1323" i="1" a="1"/>
  <c r="X1323" i="1" s="1"/>
  <c r="X1324" i="1" a="1"/>
  <c r="X1324" i="1" s="1"/>
  <c r="X1325" i="1" a="1"/>
  <c r="X1325" i="1" s="1"/>
  <c r="X1326" i="1" a="1"/>
  <c r="X1326" i="1" s="1"/>
  <c r="X1327" i="1" a="1"/>
  <c r="X1327" i="1" s="1"/>
  <c r="X1328" i="1" a="1"/>
  <c r="X1328" i="1" s="1"/>
  <c r="X1329" i="1" a="1"/>
  <c r="X1329" i="1" s="1"/>
  <c r="X1330" i="1" a="1"/>
  <c r="X1330" i="1" s="1"/>
  <c r="X1331" i="1" a="1"/>
  <c r="X1331" i="1" s="1"/>
  <c r="X1332" i="1" a="1"/>
  <c r="X1332" i="1" s="1"/>
  <c r="X1333" i="1" a="1"/>
  <c r="X1333" i="1" s="1"/>
  <c r="X1334" i="1" a="1"/>
  <c r="X1334" i="1" s="1"/>
  <c r="X1335" i="1" a="1"/>
  <c r="X1335" i="1" s="1"/>
  <c r="X1336" i="1" a="1"/>
  <c r="X1336" i="1" s="1"/>
  <c r="X1337" i="1" a="1"/>
  <c r="X1337" i="1" s="1"/>
  <c r="X1338" i="1" a="1"/>
  <c r="X1338" i="1" s="1"/>
  <c r="X1339" i="1" a="1"/>
  <c r="X1339" i="1" s="1"/>
  <c r="X1340" i="1" a="1"/>
  <c r="X1340" i="1" s="1"/>
  <c r="X1341" i="1" a="1"/>
  <c r="X1341" i="1" s="1"/>
  <c r="X1342" i="1" a="1"/>
  <c r="X1342" i="1" s="1"/>
  <c r="X1343" i="1" a="1"/>
  <c r="X1343" i="1" s="1"/>
  <c r="X1344" i="1" a="1"/>
  <c r="X1344" i="1" s="1"/>
  <c r="X1345" i="1" a="1"/>
  <c r="X1345" i="1" s="1"/>
  <c r="X1346" i="1" a="1"/>
  <c r="X1346" i="1" s="1"/>
  <c r="X1347" i="1" a="1"/>
  <c r="X1347" i="1" s="1"/>
  <c r="X1348" i="1" a="1"/>
  <c r="X1348" i="1" s="1"/>
  <c r="X1349" i="1" a="1"/>
  <c r="X1349" i="1" s="1"/>
  <c r="X1350" i="1" a="1"/>
  <c r="X1350" i="1" s="1"/>
  <c r="X1351" i="1" a="1"/>
  <c r="X1351" i="1" s="1"/>
  <c r="X1352" i="1" a="1"/>
  <c r="X1352" i="1" s="1"/>
  <c r="X1353" i="1" a="1"/>
  <c r="X1353" i="1" s="1"/>
  <c r="X1354" i="1" a="1"/>
  <c r="X1354" i="1" s="1"/>
  <c r="X1355" i="1" a="1"/>
  <c r="X1355" i="1" s="1"/>
  <c r="X1356" i="1" a="1"/>
  <c r="X1356" i="1" s="1"/>
  <c r="X1357" i="1" a="1"/>
  <c r="X1357" i="1" s="1"/>
  <c r="X1358" i="1" a="1"/>
  <c r="X1358" i="1" s="1"/>
  <c r="X1359" i="1" a="1"/>
  <c r="X1359" i="1" s="1"/>
  <c r="X1360" i="1" a="1"/>
  <c r="X1360" i="1" s="1"/>
  <c r="X1361" i="1" a="1"/>
  <c r="X1361" i="1" s="1"/>
  <c r="X1362" i="1" a="1"/>
  <c r="X1362" i="1" s="1"/>
  <c r="X1363" i="1" a="1"/>
  <c r="X1363" i="1" s="1"/>
  <c r="X1364" i="1" a="1"/>
  <c r="X1364" i="1" s="1"/>
  <c r="X1365" i="1" a="1"/>
  <c r="X1365" i="1" s="1"/>
  <c r="X1366" i="1" a="1"/>
  <c r="X1366" i="1" s="1"/>
  <c r="X1367" i="1" a="1"/>
  <c r="X1367" i="1" s="1"/>
  <c r="X1368" i="1" a="1"/>
  <c r="X1368" i="1" s="1"/>
  <c r="X1369" i="1" a="1"/>
  <c r="X1369" i="1" s="1"/>
  <c r="X1370" i="1" a="1"/>
  <c r="X1370" i="1" s="1"/>
  <c r="X1371" i="1" a="1"/>
  <c r="X1371" i="1" s="1"/>
  <c r="X1372" i="1" a="1"/>
  <c r="X1372" i="1" s="1"/>
  <c r="X1373" i="1" a="1"/>
  <c r="X1373" i="1" s="1"/>
  <c r="X1374" i="1" a="1"/>
  <c r="X1374" i="1" s="1"/>
  <c r="X1375" i="1" a="1"/>
  <c r="X1375" i="1" s="1"/>
  <c r="X1376" i="1" a="1"/>
  <c r="X1376" i="1" s="1"/>
  <c r="X1377" i="1" a="1"/>
  <c r="X1377" i="1" s="1"/>
  <c r="X1378" i="1" a="1"/>
  <c r="X1378" i="1" s="1"/>
  <c r="X1379" i="1" a="1"/>
  <c r="X1379" i="1" s="1"/>
  <c r="X1380" i="1" a="1"/>
  <c r="X1380" i="1" s="1"/>
  <c r="X1381" i="1" a="1"/>
  <c r="X1381" i="1" s="1"/>
  <c r="X1382" i="1" a="1"/>
  <c r="X1382" i="1" s="1"/>
  <c r="X1383" i="1" a="1"/>
  <c r="X1383" i="1" s="1"/>
  <c r="X1384" i="1" a="1"/>
  <c r="X1384" i="1" s="1"/>
  <c r="X1385" i="1" a="1"/>
  <c r="X1385" i="1" s="1"/>
  <c r="X1386" i="1" a="1"/>
  <c r="X1386" i="1" s="1"/>
  <c r="X1387" i="1" a="1"/>
  <c r="X1387" i="1" s="1"/>
  <c r="X1388" i="1" a="1"/>
  <c r="X1388" i="1" s="1"/>
  <c r="X1389" i="1" a="1"/>
  <c r="X1389" i="1" s="1"/>
  <c r="X1390" i="1" a="1"/>
  <c r="X1390" i="1" s="1"/>
  <c r="X1391" i="1" a="1"/>
  <c r="X1391" i="1" s="1"/>
  <c r="X1392" i="1" a="1"/>
  <c r="X1392" i="1" s="1"/>
  <c r="X1393" i="1" a="1"/>
  <c r="X1393" i="1" s="1"/>
  <c r="X1394" i="1" a="1"/>
  <c r="X1394" i="1" s="1"/>
  <c r="X1395" i="1" a="1"/>
  <c r="X1395" i="1" s="1"/>
  <c r="X1396" i="1" a="1"/>
  <c r="X1396" i="1" s="1"/>
  <c r="X1397" i="1" a="1"/>
  <c r="X1397" i="1" s="1"/>
  <c r="X1398" i="1" a="1"/>
  <c r="X1398" i="1" s="1"/>
  <c r="X1399" i="1" a="1"/>
  <c r="X1399" i="1" s="1"/>
  <c r="X1400" i="1" a="1"/>
  <c r="X1400" i="1" s="1"/>
  <c r="X1401" i="1" a="1"/>
  <c r="X1401" i="1" s="1"/>
  <c r="X1402" i="1" a="1"/>
  <c r="X1402" i="1" s="1"/>
  <c r="X1403" i="1" a="1"/>
  <c r="X1403" i="1" s="1"/>
  <c r="X1404" i="1" a="1"/>
  <c r="X1404" i="1" s="1"/>
  <c r="X1405" i="1" a="1"/>
  <c r="X1405" i="1" s="1"/>
  <c r="X1406" i="1" a="1"/>
  <c r="X1406" i="1" s="1"/>
  <c r="X1407" i="1" a="1"/>
  <c r="X1407" i="1" s="1"/>
  <c r="X1408" i="1" a="1"/>
  <c r="X1408" i="1" s="1"/>
  <c r="X1409" i="1" a="1"/>
  <c r="X1409" i="1" s="1"/>
  <c r="X1410" i="1" a="1"/>
  <c r="X1410" i="1" s="1"/>
  <c r="X1411" i="1" a="1"/>
  <c r="X1411" i="1" s="1"/>
  <c r="X1412" i="1" a="1"/>
  <c r="X1412" i="1" s="1"/>
  <c r="X1413" i="1" a="1"/>
  <c r="X1413" i="1" s="1"/>
  <c r="X1414" i="1" a="1"/>
  <c r="X1414" i="1" s="1"/>
  <c r="X1415" i="1" a="1"/>
  <c r="X1415" i="1" s="1"/>
  <c r="X1416" i="1" a="1"/>
  <c r="X1416" i="1" s="1"/>
  <c r="X1417" i="1" a="1"/>
  <c r="X1417" i="1" s="1"/>
  <c r="X1418" i="1" a="1"/>
  <c r="X1418" i="1" s="1"/>
  <c r="X1419" i="1" a="1"/>
  <c r="X1419" i="1" s="1"/>
  <c r="X1420" i="1" a="1"/>
  <c r="X1420" i="1" s="1"/>
  <c r="X1421" i="1" a="1"/>
  <c r="X1421" i="1" s="1"/>
  <c r="X1422" i="1" a="1"/>
  <c r="X1422" i="1" s="1"/>
  <c r="X1423" i="1" a="1"/>
  <c r="X1423" i="1" s="1"/>
  <c r="X1424" i="1" a="1"/>
  <c r="X1424" i="1" s="1"/>
  <c r="X1425" i="1" a="1"/>
  <c r="X1425" i="1" s="1"/>
  <c r="X1426" i="1" a="1"/>
  <c r="X1426" i="1" s="1"/>
  <c r="X1427" i="1" a="1"/>
  <c r="X1427" i="1" s="1"/>
  <c r="X1428" i="1" a="1"/>
  <c r="X1428" i="1" s="1"/>
  <c r="X1429" i="1" a="1"/>
  <c r="X1429" i="1" s="1"/>
  <c r="X1430" i="1" a="1"/>
  <c r="X1430" i="1" s="1"/>
  <c r="X1431" i="1" a="1"/>
  <c r="X1431" i="1" s="1"/>
  <c r="X1432" i="1" a="1"/>
  <c r="X1432" i="1" s="1"/>
  <c r="X1433" i="1" a="1"/>
  <c r="X1433" i="1" s="1"/>
  <c r="X1434" i="1" a="1"/>
  <c r="X1434" i="1" s="1"/>
  <c r="X1435" i="1" a="1"/>
  <c r="X1435" i="1" s="1"/>
  <c r="X1436" i="1" a="1"/>
  <c r="X1436" i="1" s="1"/>
  <c r="X1437" i="1" a="1"/>
  <c r="X1437" i="1" s="1"/>
  <c r="X1438" i="1" a="1"/>
  <c r="X1438" i="1" s="1"/>
  <c r="X1439" i="1" a="1"/>
  <c r="X1439" i="1" s="1"/>
  <c r="X1440" i="1" a="1"/>
  <c r="X1440" i="1" s="1"/>
  <c r="X1441" i="1" a="1"/>
  <c r="X1441" i="1" s="1"/>
  <c r="X1442" i="1" a="1"/>
  <c r="X1442" i="1" s="1"/>
  <c r="X1443" i="1" a="1"/>
  <c r="X1443" i="1" s="1"/>
  <c r="X1444" i="1" a="1"/>
  <c r="X1444" i="1" s="1"/>
  <c r="X1445" i="1" a="1"/>
  <c r="X1445" i="1" s="1"/>
  <c r="X1446" i="1" a="1"/>
  <c r="X1446" i="1" s="1"/>
  <c r="X1447" i="1" a="1"/>
  <c r="X1447" i="1" s="1"/>
  <c r="X1448" i="1" a="1"/>
  <c r="X1448" i="1" s="1"/>
  <c r="X1449" i="1" a="1"/>
  <c r="X1449" i="1" s="1"/>
  <c r="X1450" i="1" a="1"/>
  <c r="X1450" i="1" s="1"/>
  <c r="X1451" i="1" a="1"/>
  <c r="X1451" i="1" s="1"/>
  <c r="X1452" i="1" a="1"/>
  <c r="X1452" i="1" s="1"/>
  <c r="X1453" i="1" a="1"/>
  <c r="X1453" i="1" s="1"/>
  <c r="X1454" i="1" a="1"/>
  <c r="X1454" i="1" s="1"/>
  <c r="X1455" i="1" a="1"/>
  <c r="X1455" i="1" s="1"/>
  <c r="X1456" i="1" a="1"/>
  <c r="X1456" i="1" s="1"/>
  <c r="X1457" i="1" a="1"/>
  <c r="X1457" i="1" s="1"/>
  <c r="X1458" i="1" a="1"/>
  <c r="X1458" i="1" s="1"/>
  <c r="X1459" i="1" a="1"/>
  <c r="X1459" i="1" s="1"/>
  <c r="X1460" i="1" a="1"/>
  <c r="X1460" i="1" s="1"/>
  <c r="X1461" i="1" a="1"/>
  <c r="X1461" i="1" s="1"/>
  <c r="X1462" i="1" a="1"/>
  <c r="X1462" i="1" s="1"/>
  <c r="X1463" i="1" a="1"/>
  <c r="X1463" i="1" s="1"/>
  <c r="X1464" i="1" a="1"/>
  <c r="X1464" i="1" s="1"/>
  <c r="X1465" i="1" a="1"/>
  <c r="X1465" i="1" s="1"/>
  <c r="X1466" i="1" a="1"/>
  <c r="X1466" i="1" s="1"/>
  <c r="X1467" i="1" a="1"/>
  <c r="X1467" i="1" s="1"/>
  <c r="X1468" i="1" a="1"/>
  <c r="X1468" i="1" s="1"/>
  <c r="X1469" i="1" a="1"/>
  <c r="X1469" i="1" s="1"/>
  <c r="X1470" i="1" a="1"/>
  <c r="X1470" i="1" s="1"/>
  <c r="X1471" i="1" a="1"/>
  <c r="X1471" i="1" s="1"/>
  <c r="U2" i="1" a="1"/>
  <c r="U2" i="1" s="1"/>
  <c r="U3" i="1" a="1"/>
  <c r="U3" i="1" s="1"/>
  <c r="U4" i="1" a="1"/>
  <c r="U4" i="1" s="1"/>
  <c r="U5" i="1" a="1"/>
  <c r="U5" i="1" s="1"/>
  <c r="U6" i="1" a="1"/>
  <c r="U6" i="1" s="1"/>
  <c r="U7" i="1" a="1"/>
  <c r="U7" i="1" s="1"/>
  <c r="U9" i="1" a="1"/>
  <c r="U9" i="1" s="1"/>
  <c r="U10" i="1" a="1"/>
  <c r="U10" i="1" s="1"/>
  <c r="U11" i="1" a="1"/>
  <c r="U11" i="1" s="1"/>
  <c r="U12" i="1" a="1"/>
  <c r="U12" i="1" s="1"/>
  <c r="U13" i="1" a="1"/>
  <c r="U13" i="1" s="1"/>
  <c r="U14" i="1" a="1"/>
  <c r="U14" i="1" s="1"/>
  <c r="U15" i="1" a="1"/>
  <c r="U15" i="1" s="1"/>
  <c r="U16" i="1" a="1"/>
  <c r="U16" i="1" s="1"/>
  <c r="U17" i="1" a="1"/>
  <c r="U17" i="1" s="1"/>
  <c r="U18" i="1" a="1"/>
  <c r="U18" i="1" s="1"/>
  <c r="U19" i="1" a="1"/>
  <c r="U19" i="1" s="1"/>
  <c r="U20" i="1" a="1"/>
  <c r="U20" i="1" s="1"/>
  <c r="U21" i="1" a="1"/>
  <c r="U21" i="1" s="1"/>
  <c r="U22" i="1" a="1"/>
  <c r="U22" i="1" s="1"/>
  <c r="U23" i="1" a="1"/>
  <c r="U23" i="1" s="1"/>
  <c r="U24" i="1" a="1"/>
  <c r="U24" i="1" s="1"/>
  <c r="U25" i="1" a="1"/>
  <c r="U25" i="1" s="1"/>
  <c r="U26" i="1" a="1"/>
  <c r="U26" i="1" s="1"/>
  <c r="U27" i="1" a="1"/>
  <c r="U27" i="1" s="1"/>
  <c r="U28" i="1" a="1"/>
  <c r="U28" i="1" s="1"/>
  <c r="U29" i="1" a="1"/>
  <c r="U29" i="1" s="1"/>
  <c r="U30" i="1" a="1"/>
  <c r="U30" i="1" s="1"/>
  <c r="U31" i="1" a="1"/>
  <c r="U31" i="1" s="1"/>
  <c r="U32" i="1" a="1"/>
  <c r="U32" i="1" s="1"/>
  <c r="U33" i="1" a="1"/>
  <c r="U33" i="1" s="1"/>
  <c r="U34" i="1" a="1"/>
  <c r="U34" i="1" s="1"/>
  <c r="U35" i="1" a="1"/>
  <c r="U35" i="1" s="1"/>
  <c r="U36" i="1" a="1"/>
  <c r="U36" i="1" s="1"/>
  <c r="U37" i="1" a="1"/>
  <c r="U37" i="1" s="1"/>
  <c r="U38" i="1" a="1"/>
  <c r="U38" i="1" s="1"/>
  <c r="U39" i="1" a="1"/>
  <c r="U39" i="1" s="1"/>
  <c r="U40" i="1" a="1"/>
  <c r="U40" i="1" s="1"/>
  <c r="U41" i="1" a="1"/>
  <c r="U41" i="1" s="1"/>
  <c r="U42" i="1" a="1"/>
  <c r="U42" i="1" s="1"/>
  <c r="U43" i="1" a="1"/>
  <c r="U43" i="1" s="1"/>
  <c r="U44" i="1" a="1"/>
  <c r="U44" i="1" s="1"/>
  <c r="U45" i="1" a="1"/>
  <c r="U45" i="1" s="1"/>
  <c r="U46" i="1" a="1"/>
  <c r="U46" i="1" s="1"/>
  <c r="U47" i="1" a="1"/>
  <c r="U47" i="1" s="1"/>
  <c r="U48" i="1" a="1"/>
  <c r="U48" i="1" s="1"/>
  <c r="U49" i="1" a="1"/>
  <c r="U49" i="1" s="1"/>
  <c r="U50" i="1" a="1"/>
  <c r="U50" i="1" s="1"/>
  <c r="U51" i="1" a="1"/>
  <c r="U51" i="1" s="1"/>
  <c r="U52" i="1" a="1"/>
  <c r="U52" i="1" s="1"/>
  <c r="U53" i="1" a="1"/>
  <c r="U53" i="1" s="1"/>
  <c r="U54" i="1" a="1"/>
  <c r="U54" i="1" s="1"/>
  <c r="U55" i="1" a="1"/>
  <c r="U55" i="1" s="1"/>
  <c r="U56" i="1" a="1"/>
  <c r="U56" i="1" s="1"/>
  <c r="U57" i="1" a="1"/>
  <c r="U57" i="1" s="1"/>
  <c r="U58" i="1" a="1"/>
  <c r="U58" i="1" s="1"/>
  <c r="U59" i="1" a="1"/>
  <c r="U59" i="1" s="1"/>
  <c r="U60" i="1" a="1"/>
  <c r="U60" i="1" s="1"/>
  <c r="U61" i="1" a="1"/>
  <c r="U61" i="1" s="1"/>
  <c r="U62" i="1" a="1"/>
  <c r="U62" i="1" s="1"/>
  <c r="U63" i="1" a="1"/>
  <c r="U63" i="1" s="1"/>
  <c r="U64" i="1" a="1"/>
  <c r="U64" i="1" s="1"/>
  <c r="U65" i="1" a="1"/>
  <c r="U65" i="1" s="1"/>
  <c r="U66" i="1" a="1"/>
  <c r="U66" i="1" s="1"/>
  <c r="U67" i="1" a="1"/>
  <c r="U67" i="1" s="1"/>
  <c r="U68" i="1" a="1"/>
  <c r="U68" i="1" s="1"/>
  <c r="U69" i="1" a="1"/>
  <c r="U69" i="1" s="1"/>
  <c r="U70" i="1" a="1"/>
  <c r="U70" i="1" s="1"/>
  <c r="U71" i="1" a="1"/>
  <c r="U71" i="1" s="1"/>
  <c r="U72" i="1" a="1"/>
  <c r="U72" i="1" s="1"/>
  <c r="U73" i="1" a="1"/>
  <c r="U73" i="1" s="1"/>
  <c r="U74" i="1" a="1"/>
  <c r="U74" i="1" s="1"/>
  <c r="U75" i="1" a="1"/>
  <c r="U75" i="1" s="1"/>
  <c r="U76" i="1" a="1"/>
  <c r="U76" i="1" s="1"/>
  <c r="U77" i="1" a="1"/>
  <c r="U77" i="1" s="1"/>
  <c r="U78" i="1" a="1"/>
  <c r="U78" i="1" s="1"/>
  <c r="U79" i="1" a="1"/>
  <c r="U79" i="1" s="1"/>
  <c r="U80" i="1" a="1"/>
  <c r="U80" i="1" s="1"/>
  <c r="U81" i="1" a="1"/>
  <c r="U81" i="1" s="1"/>
  <c r="U82" i="1" a="1"/>
  <c r="U82" i="1" s="1"/>
  <c r="U83" i="1" a="1"/>
  <c r="U83" i="1" s="1"/>
  <c r="U84" i="1" a="1"/>
  <c r="U84" i="1" s="1"/>
  <c r="U85" i="1" a="1"/>
  <c r="U85" i="1" s="1"/>
  <c r="U86" i="1" a="1"/>
  <c r="U86" i="1" s="1"/>
  <c r="U87" i="1" a="1"/>
  <c r="U87" i="1" s="1"/>
  <c r="U88" i="1" a="1"/>
  <c r="U88" i="1" s="1"/>
  <c r="U89" i="1" a="1"/>
  <c r="U89" i="1" s="1"/>
  <c r="U90" i="1" a="1"/>
  <c r="U90" i="1" s="1"/>
  <c r="U91" i="1" a="1"/>
  <c r="U91" i="1" s="1"/>
  <c r="U92" i="1" a="1"/>
  <c r="U92" i="1" s="1"/>
  <c r="U93" i="1" a="1"/>
  <c r="U93" i="1" s="1"/>
  <c r="U94" i="1" a="1"/>
  <c r="U94" i="1" s="1"/>
  <c r="U95" i="1" a="1"/>
  <c r="U95" i="1" s="1"/>
  <c r="U96" i="1" a="1"/>
  <c r="U96" i="1" s="1"/>
  <c r="U97" i="1" a="1"/>
  <c r="U97" i="1" s="1"/>
  <c r="U98" i="1" a="1"/>
  <c r="U98" i="1" s="1"/>
  <c r="U99" i="1" a="1"/>
  <c r="U99" i="1" s="1"/>
  <c r="U100" i="1" a="1"/>
  <c r="U100" i="1" s="1"/>
  <c r="U101" i="1" a="1"/>
  <c r="U101" i="1" s="1"/>
  <c r="U102" i="1" a="1"/>
  <c r="U102" i="1" s="1"/>
  <c r="U103" i="1" a="1"/>
  <c r="U103" i="1" s="1"/>
  <c r="U104" i="1" a="1"/>
  <c r="U104" i="1" s="1"/>
  <c r="U105" i="1" a="1"/>
  <c r="U105" i="1" s="1"/>
  <c r="U106" i="1" a="1"/>
  <c r="U106" i="1" s="1"/>
  <c r="U107" i="1" a="1"/>
  <c r="U107" i="1" s="1"/>
  <c r="U108" i="1" a="1"/>
  <c r="U108" i="1" s="1"/>
  <c r="U109" i="1" a="1"/>
  <c r="U109" i="1" s="1"/>
  <c r="U110" i="1" a="1"/>
  <c r="U110" i="1" s="1"/>
  <c r="U111" i="1" a="1"/>
  <c r="U111" i="1" s="1"/>
  <c r="U112" i="1" a="1"/>
  <c r="U112" i="1" s="1"/>
  <c r="U113" i="1" a="1"/>
  <c r="U113" i="1" s="1"/>
  <c r="U114" i="1" a="1"/>
  <c r="U114" i="1" s="1"/>
  <c r="U115" i="1" a="1"/>
  <c r="U115" i="1" s="1"/>
  <c r="U116" i="1" a="1"/>
  <c r="U116" i="1" s="1"/>
  <c r="U117" i="1" a="1"/>
  <c r="U117" i="1" s="1"/>
  <c r="U118" i="1" a="1"/>
  <c r="U118" i="1" s="1"/>
  <c r="U119" i="1" a="1"/>
  <c r="U119" i="1" s="1"/>
  <c r="U120" i="1" a="1"/>
  <c r="U120" i="1" s="1"/>
  <c r="U121" i="1" a="1"/>
  <c r="U121" i="1" s="1"/>
  <c r="U122" i="1" a="1"/>
  <c r="U122" i="1" s="1"/>
  <c r="U123" i="1" a="1"/>
  <c r="U123" i="1" s="1"/>
  <c r="U124" i="1" a="1"/>
  <c r="U124" i="1" s="1"/>
  <c r="U125" i="1" a="1"/>
  <c r="U125" i="1" s="1"/>
  <c r="U126" i="1" a="1"/>
  <c r="U126" i="1" s="1"/>
  <c r="U127" i="1" a="1"/>
  <c r="U127" i="1" s="1"/>
  <c r="U128" i="1" a="1"/>
  <c r="U128" i="1" s="1"/>
  <c r="U129" i="1" a="1"/>
  <c r="U129" i="1" s="1"/>
  <c r="U130" i="1" a="1"/>
  <c r="U130" i="1" s="1"/>
  <c r="U131" i="1" a="1"/>
  <c r="U131" i="1" s="1"/>
  <c r="U132" i="1" a="1"/>
  <c r="U132" i="1" s="1"/>
  <c r="U133" i="1" a="1"/>
  <c r="U133" i="1" s="1"/>
  <c r="U134" i="1" a="1"/>
  <c r="U134" i="1" s="1"/>
  <c r="U135" i="1" a="1"/>
  <c r="U135" i="1" s="1"/>
  <c r="U136" i="1" a="1"/>
  <c r="U136" i="1" s="1"/>
  <c r="U137" i="1" a="1"/>
  <c r="U137" i="1" s="1"/>
  <c r="U138" i="1" a="1"/>
  <c r="U138" i="1" s="1"/>
  <c r="U139" i="1" a="1"/>
  <c r="U139" i="1" s="1"/>
  <c r="U140" i="1" a="1"/>
  <c r="U140" i="1" s="1"/>
  <c r="U141" i="1" a="1"/>
  <c r="U141" i="1" s="1"/>
  <c r="U142" i="1" a="1"/>
  <c r="U142" i="1" s="1"/>
  <c r="U143" i="1" a="1"/>
  <c r="U143" i="1" s="1"/>
  <c r="U144" i="1" a="1"/>
  <c r="U144" i="1" s="1"/>
  <c r="U145" i="1" a="1"/>
  <c r="U145" i="1" s="1"/>
  <c r="U146" i="1" a="1"/>
  <c r="U146" i="1" s="1"/>
  <c r="U147" i="1" a="1"/>
  <c r="U147" i="1" s="1"/>
  <c r="U148" i="1" a="1"/>
  <c r="U148" i="1" s="1"/>
  <c r="U149" i="1" a="1"/>
  <c r="U149" i="1" s="1"/>
  <c r="U150" i="1" a="1"/>
  <c r="U150" i="1" s="1"/>
  <c r="U151" i="1" a="1"/>
  <c r="U151" i="1" s="1"/>
  <c r="U152" i="1" a="1"/>
  <c r="U152" i="1" s="1"/>
  <c r="U153" i="1" a="1"/>
  <c r="U153" i="1" s="1"/>
  <c r="U154" i="1" a="1"/>
  <c r="U154" i="1" s="1"/>
  <c r="U155" i="1" a="1"/>
  <c r="U155" i="1" s="1"/>
  <c r="U156" i="1" a="1"/>
  <c r="U156" i="1" s="1"/>
  <c r="U157" i="1" a="1"/>
  <c r="U157" i="1" s="1"/>
  <c r="U158" i="1" a="1"/>
  <c r="U158" i="1" s="1"/>
  <c r="U159" i="1" a="1"/>
  <c r="U159" i="1" s="1"/>
  <c r="U160" i="1" a="1"/>
  <c r="U160" i="1" s="1"/>
  <c r="U161" i="1" a="1"/>
  <c r="U161" i="1" s="1"/>
  <c r="U162" i="1" a="1"/>
  <c r="U162" i="1" s="1"/>
  <c r="U163" i="1" a="1"/>
  <c r="U163" i="1" s="1"/>
  <c r="U164" i="1" a="1"/>
  <c r="U164" i="1" s="1"/>
  <c r="U165" i="1" a="1"/>
  <c r="U165" i="1" s="1"/>
  <c r="U166" i="1" a="1"/>
  <c r="U166" i="1" s="1"/>
  <c r="U167" i="1" a="1"/>
  <c r="U167" i="1" s="1"/>
  <c r="U168" i="1" a="1"/>
  <c r="U168" i="1" s="1"/>
  <c r="U169" i="1" a="1"/>
  <c r="U169" i="1" s="1"/>
  <c r="U170" i="1" a="1"/>
  <c r="U170" i="1" s="1"/>
  <c r="U171" i="1" a="1"/>
  <c r="U171" i="1" s="1"/>
  <c r="U172" i="1" a="1"/>
  <c r="U172" i="1" s="1"/>
  <c r="U173" i="1" a="1"/>
  <c r="U173" i="1" s="1"/>
  <c r="U174" i="1" a="1"/>
  <c r="U174" i="1" s="1"/>
  <c r="U175" i="1" a="1"/>
  <c r="U175" i="1" s="1"/>
  <c r="U176" i="1" a="1"/>
  <c r="U176" i="1" s="1"/>
  <c r="U177" i="1" a="1"/>
  <c r="U177" i="1" s="1"/>
  <c r="U178" i="1" a="1"/>
  <c r="U178" i="1" s="1"/>
  <c r="U179" i="1" a="1"/>
  <c r="U179" i="1" s="1"/>
  <c r="U180" i="1" a="1"/>
  <c r="U180" i="1" s="1"/>
  <c r="U181" i="1" a="1"/>
  <c r="U181" i="1" s="1"/>
  <c r="U182" i="1" a="1"/>
  <c r="U182" i="1" s="1"/>
  <c r="U183" i="1" a="1"/>
  <c r="U183" i="1" s="1"/>
  <c r="U184" i="1" a="1"/>
  <c r="U184" i="1" s="1"/>
  <c r="U185" i="1" a="1"/>
  <c r="U185" i="1" s="1"/>
  <c r="U186" i="1" a="1"/>
  <c r="U186" i="1" s="1"/>
  <c r="U187" i="1" a="1"/>
  <c r="U187" i="1" s="1"/>
  <c r="U188" i="1" a="1"/>
  <c r="U188" i="1" s="1"/>
  <c r="U189" i="1" a="1"/>
  <c r="U189" i="1" s="1"/>
  <c r="U190" i="1" a="1"/>
  <c r="U190" i="1" s="1"/>
  <c r="U191" i="1" a="1"/>
  <c r="U191" i="1" s="1"/>
  <c r="U192" i="1" a="1"/>
  <c r="U192" i="1" s="1"/>
  <c r="U193" i="1" a="1"/>
  <c r="U193" i="1" s="1"/>
  <c r="U194" i="1" a="1"/>
  <c r="U194" i="1" s="1"/>
  <c r="U195" i="1" a="1"/>
  <c r="U195" i="1" s="1"/>
  <c r="U196" i="1" a="1"/>
  <c r="U196" i="1" s="1"/>
  <c r="U197" i="1" a="1"/>
  <c r="U197" i="1" s="1"/>
  <c r="U198" i="1" a="1"/>
  <c r="U198" i="1" s="1"/>
  <c r="U199" i="1" a="1"/>
  <c r="U199" i="1" s="1"/>
  <c r="U200" i="1" a="1"/>
  <c r="U200" i="1" s="1"/>
  <c r="U201" i="1" a="1"/>
  <c r="U201" i="1" s="1"/>
  <c r="U202" i="1" a="1"/>
  <c r="U202" i="1" s="1"/>
  <c r="U203" i="1" a="1"/>
  <c r="U203" i="1" s="1"/>
  <c r="U204" i="1" a="1"/>
  <c r="U204" i="1" s="1"/>
  <c r="U205" i="1" a="1"/>
  <c r="U205" i="1" s="1"/>
  <c r="U206" i="1" a="1"/>
  <c r="U206" i="1" s="1"/>
  <c r="U207" i="1" a="1"/>
  <c r="U207" i="1" s="1"/>
  <c r="U208" i="1" a="1"/>
  <c r="U208" i="1" s="1"/>
  <c r="U209" i="1" a="1"/>
  <c r="U209" i="1" s="1"/>
  <c r="U210" i="1" a="1"/>
  <c r="U210" i="1" s="1"/>
  <c r="U211" i="1" a="1"/>
  <c r="U211" i="1" s="1"/>
  <c r="U212" i="1" a="1"/>
  <c r="U212" i="1" s="1"/>
  <c r="U213" i="1" a="1"/>
  <c r="U213" i="1" s="1"/>
  <c r="U214" i="1" a="1"/>
  <c r="U214" i="1" s="1"/>
  <c r="U215" i="1" a="1"/>
  <c r="U215" i="1" s="1"/>
  <c r="U216" i="1" a="1"/>
  <c r="U216" i="1" s="1"/>
  <c r="U217" i="1" a="1"/>
  <c r="U217" i="1" s="1"/>
  <c r="U218" i="1" a="1"/>
  <c r="U218" i="1" s="1"/>
  <c r="U219" i="1" a="1"/>
  <c r="U219" i="1" s="1"/>
  <c r="U220" i="1" a="1"/>
  <c r="U220" i="1" s="1"/>
  <c r="U221" i="1" a="1"/>
  <c r="U221" i="1" s="1"/>
  <c r="U222" i="1" a="1"/>
  <c r="U222" i="1" s="1"/>
  <c r="U223" i="1" a="1"/>
  <c r="U223" i="1" s="1"/>
  <c r="U224" i="1" a="1"/>
  <c r="U224" i="1" s="1"/>
  <c r="U225" i="1" a="1"/>
  <c r="U225" i="1" s="1"/>
  <c r="U226" i="1" a="1"/>
  <c r="U226" i="1" s="1"/>
  <c r="U227" i="1" a="1"/>
  <c r="U227" i="1" s="1"/>
  <c r="U228" i="1" a="1"/>
  <c r="U228" i="1" s="1"/>
  <c r="U229" i="1" a="1"/>
  <c r="U229" i="1" s="1"/>
  <c r="U230" i="1" a="1"/>
  <c r="U230" i="1" s="1"/>
  <c r="U231" i="1" a="1"/>
  <c r="U231" i="1" s="1"/>
  <c r="U232" i="1" a="1"/>
  <c r="U232" i="1" s="1"/>
  <c r="U233" i="1" a="1"/>
  <c r="U233" i="1" s="1"/>
  <c r="U234" i="1" a="1"/>
  <c r="U234" i="1" s="1"/>
  <c r="U235" i="1" a="1"/>
  <c r="U235" i="1" s="1"/>
  <c r="U236" i="1" a="1"/>
  <c r="U236" i="1" s="1"/>
  <c r="U237" i="1" a="1"/>
  <c r="U237" i="1" s="1"/>
  <c r="U238" i="1" a="1"/>
  <c r="U238" i="1" s="1"/>
  <c r="U239" i="1" a="1"/>
  <c r="U239" i="1" s="1"/>
  <c r="U240" i="1" a="1"/>
  <c r="U240" i="1" s="1"/>
  <c r="U241" i="1" a="1"/>
  <c r="U241" i="1" s="1"/>
  <c r="U242" i="1" a="1"/>
  <c r="U242" i="1" s="1"/>
  <c r="U243" i="1" a="1"/>
  <c r="U243" i="1" s="1"/>
  <c r="U244" i="1" a="1"/>
  <c r="U244" i="1" s="1"/>
  <c r="U245" i="1" a="1"/>
  <c r="U245" i="1" s="1"/>
  <c r="U246" i="1" a="1"/>
  <c r="U246" i="1" s="1"/>
  <c r="U247" i="1" a="1"/>
  <c r="U247" i="1" s="1"/>
  <c r="U248" i="1" a="1"/>
  <c r="U248" i="1" s="1"/>
  <c r="U249" i="1" a="1"/>
  <c r="U249" i="1" s="1"/>
  <c r="U250" i="1" a="1"/>
  <c r="U250" i="1" s="1"/>
  <c r="U251" i="1" a="1"/>
  <c r="U251" i="1" s="1"/>
  <c r="U252" i="1" a="1"/>
  <c r="U252" i="1" s="1"/>
  <c r="U253" i="1" a="1"/>
  <c r="U253" i="1" s="1"/>
  <c r="U254" i="1" a="1"/>
  <c r="U254" i="1" s="1"/>
  <c r="U255" i="1" a="1"/>
  <c r="U255" i="1" s="1"/>
  <c r="U256" i="1" a="1"/>
  <c r="U256" i="1" s="1"/>
  <c r="U257" i="1" a="1"/>
  <c r="U257" i="1" s="1"/>
  <c r="U258" i="1" a="1"/>
  <c r="U258" i="1" s="1"/>
  <c r="U259" i="1" a="1"/>
  <c r="U259" i="1" s="1"/>
  <c r="U260" i="1" a="1"/>
  <c r="U260" i="1" s="1"/>
  <c r="U261" i="1" a="1"/>
  <c r="U261" i="1" s="1"/>
  <c r="U262" i="1" a="1"/>
  <c r="U262" i="1" s="1"/>
  <c r="U263" i="1" a="1"/>
  <c r="U263" i="1" s="1"/>
  <c r="U264" i="1" a="1"/>
  <c r="U264" i="1" s="1"/>
  <c r="U265" i="1" a="1"/>
  <c r="U265" i="1" s="1"/>
  <c r="U266" i="1" a="1"/>
  <c r="U266" i="1" s="1"/>
  <c r="U267" i="1" a="1"/>
  <c r="U267" i="1" s="1"/>
  <c r="U268" i="1" a="1"/>
  <c r="U268" i="1" s="1"/>
  <c r="U269" i="1" a="1"/>
  <c r="U269" i="1" s="1"/>
  <c r="U270" i="1" a="1"/>
  <c r="U270" i="1" s="1"/>
  <c r="U271" i="1" a="1"/>
  <c r="U271" i="1" s="1"/>
  <c r="U272" i="1" a="1"/>
  <c r="U272" i="1" s="1"/>
  <c r="U273" i="1" a="1"/>
  <c r="U273" i="1" s="1"/>
  <c r="U274" i="1" a="1"/>
  <c r="U274" i="1" s="1"/>
  <c r="U275" i="1" a="1"/>
  <c r="U275" i="1" s="1"/>
  <c r="U276" i="1" a="1"/>
  <c r="U276" i="1" s="1"/>
  <c r="U277" i="1" a="1"/>
  <c r="U277" i="1" s="1"/>
  <c r="U278" i="1" a="1"/>
  <c r="U278" i="1" s="1"/>
  <c r="U279" i="1" a="1"/>
  <c r="U279" i="1" s="1"/>
  <c r="U280" i="1" a="1"/>
  <c r="U280" i="1" s="1"/>
  <c r="U281" i="1" a="1"/>
  <c r="U281" i="1" s="1"/>
  <c r="U282" i="1" a="1"/>
  <c r="U282" i="1" s="1"/>
  <c r="U283" i="1" a="1"/>
  <c r="U283" i="1" s="1"/>
  <c r="U284" i="1" a="1"/>
  <c r="U284" i="1" s="1"/>
  <c r="U285" i="1" a="1"/>
  <c r="U285" i="1" s="1"/>
  <c r="U286" i="1" a="1"/>
  <c r="U286" i="1" s="1"/>
  <c r="U287" i="1" a="1"/>
  <c r="U287" i="1" s="1"/>
  <c r="U288" i="1" a="1"/>
  <c r="U288" i="1" s="1"/>
  <c r="U289" i="1" a="1"/>
  <c r="U289" i="1" s="1"/>
  <c r="U290" i="1" a="1"/>
  <c r="U290" i="1" s="1"/>
  <c r="U291" i="1" a="1"/>
  <c r="U291" i="1" s="1"/>
  <c r="U292" i="1" a="1"/>
  <c r="U292" i="1" s="1"/>
  <c r="U293" i="1" a="1"/>
  <c r="U293" i="1" s="1"/>
  <c r="U294" i="1" a="1"/>
  <c r="U294" i="1" s="1"/>
  <c r="U295" i="1" a="1"/>
  <c r="U295" i="1" s="1"/>
  <c r="U296" i="1" a="1"/>
  <c r="U296" i="1" s="1"/>
  <c r="U297" i="1" a="1"/>
  <c r="U297" i="1" s="1"/>
  <c r="U298" i="1" a="1"/>
  <c r="U298" i="1" s="1"/>
  <c r="U299" i="1" a="1"/>
  <c r="U299" i="1" s="1"/>
  <c r="U300" i="1" a="1"/>
  <c r="U300" i="1" s="1"/>
  <c r="U301" i="1" a="1"/>
  <c r="U301" i="1" s="1"/>
  <c r="U302" i="1" a="1"/>
  <c r="U302" i="1" s="1"/>
  <c r="U303" i="1" a="1"/>
  <c r="U303" i="1" s="1"/>
  <c r="U304" i="1" a="1"/>
  <c r="U304" i="1" s="1"/>
  <c r="U305" i="1" a="1"/>
  <c r="U305" i="1" s="1"/>
  <c r="U306" i="1" a="1"/>
  <c r="U306" i="1" s="1"/>
  <c r="U307" i="1" a="1"/>
  <c r="U307" i="1" s="1"/>
  <c r="U308" i="1" a="1"/>
  <c r="U308" i="1" s="1"/>
  <c r="U309" i="1" a="1"/>
  <c r="U309" i="1" s="1"/>
  <c r="U310" i="1" a="1"/>
  <c r="U310" i="1" s="1"/>
  <c r="U311" i="1" a="1"/>
  <c r="U311" i="1" s="1"/>
  <c r="U312" i="1" a="1"/>
  <c r="U312" i="1" s="1"/>
  <c r="U313" i="1" a="1"/>
  <c r="U313" i="1" s="1"/>
  <c r="U314" i="1" a="1"/>
  <c r="U314" i="1" s="1"/>
  <c r="U315" i="1" a="1"/>
  <c r="U315" i="1" s="1"/>
  <c r="U316" i="1" a="1"/>
  <c r="U316" i="1" s="1"/>
  <c r="U317" i="1" a="1"/>
  <c r="U317" i="1" s="1"/>
  <c r="U318" i="1" a="1"/>
  <c r="U318" i="1" s="1"/>
  <c r="U319" i="1" a="1"/>
  <c r="U319" i="1" s="1"/>
  <c r="U320" i="1" a="1"/>
  <c r="U320" i="1" s="1"/>
  <c r="U321" i="1" a="1"/>
  <c r="U321" i="1" s="1"/>
  <c r="U322" i="1" a="1"/>
  <c r="U322" i="1" s="1"/>
  <c r="U323" i="1" a="1"/>
  <c r="U323" i="1" s="1"/>
  <c r="U324" i="1" a="1"/>
  <c r="U324" i="1" s="1"/>
  <c r="U325" i="1" a="1"/>
  <c r="U325" i="1" s="1"/>
  <c r="U326" i="1" a="1"/>
  <c r="U326" i="1" s="1"/>
  <c r="U327" i="1" a="1"/>
  <c r="U327" i="1" s="1"/>
  <c r="U328" i="1" a="1"/>
  <c r="U328" i="1" s="1"/>
  <c r="U329" i="1" a="1"/>
  <c r="U329" i="1" s="1"/>
  <c r="U330" i="1" a="1"/>
  <c r="U330" i="1" s="1"/>
  <c r="U331" i="1" a="1"/>
  <c r="U331" i="1" s="1"/>
  <c r="U332" i="1" a="1"/>
  <c r="U332" i="1" s="1"/>
  <c r="U333" i="1" a="1"/>
  <c r="U333" i="1" s="1"/>
  <c r="U334" i="1" a="1"/>
  <c r="U334" i="1" s="1"/>
  <c r="U335" i="1" a="1"/>
  <c r="U335" i="1" s="1"/>
  <c r="U336" i="1" a="1"/>
  <c r="U336" i="1" s="1"/>
  <c r="U337" i="1" a="1"/>
  <c r="U337" i="1" s="1"/>
  <c r="U338" i="1" a="1"/>
  <c r="U338" i="1" s="1"/>
  <c r="U339" i="1" a="1"/>
  <c r="U339" i="1" s="1"/>
  <c r="U340" i="1" a="1"/>
  <c r="U340" i="1" s="1"/>
  <c r="U341" i="1" a="1"/>
  <c r="U341" i="1" s="1"/>
  <c r="U342" i="1" a="1"/>
  <c r="U342" i="1" s="1"/>
  <c r="U343" i="1" a="1"/>
  <c r="U343" i="1" s="1"/>
  <c r="U344" i="1" a="1"/>
  <c r="U344" i="1" s="1"/>
  <c r="U345" i="1" a="1"/>
  <c r="U345" i="1" s="1"/>
  <c r="U346" i="1" a="1"/>
  <c r="U346" i="1" s="1"/>
  <c r="U347" i="1" a="1"/>
  <c r="U347" i="1" s="1"/>
  <c r="U348" i="1" a="1"/>
  <c r="U348" i="1" s="1"/>
  <c r="U349" i="1" a="1"/>
  <c r="U349" i="1" s="1"/>
  <c r="U350" i="1" a="1"/>
  <c r="U350" i="1" s="1"/>
  <c r="U351" i="1" a="1"/>
  <c r="U351" i="1" s="1"/>
  <c r="U352" i="1" a="1"/>
  <c r="U352" i="1" s="1"/>
  <c r="U353" i="1" a="1"/>
  <c r="U353" i="1" s="1"/>
  <c r="U354" i="1" a="1"/>
  <c r="U354" i="1" s="1"/>
  <c r="U355" i="1" a="1"/>
  <c r="U355" i="1" s="1"/>
  <c r="U356" i="1" a="1"/>
  <c r="U356" i="1" s="1"/>
  <c r="U357" i="1" a="1"/>
  <c r="U357" i="1" s="1"/>
  <c r="U358" i="1" a="1"/>
  <c r="U358" i="1" s="1"/>
  <c r="U359" i="1" a="1"/>
  <c r="U359" i="1" s="1"/>
  <c r="U360" i="1" a="1"/>
  <c r="U360" i="1" s="1"/>
  <c r="U361" i="1" a="1"/>
  <c r="U361" i="1" s="1"/>
  <c r="U362" i="1" a="1"/>
  <c r="U362" i="1" s="1"/>
  <c r="U363" i="1" a="1"/>
  <c r="U363" i="1" s="1"/>
  <c r="U364" i="1" a="1"/>
  <c r="U364" i="1" s="1"/>
  <c r="U365" i="1" a="1"/>
  <c r="U365" i="1" s="1"/>
  <c r="U366" i="1" a="1"/>
  <c r="U366" i="1" s="1"/>
  <c r="U367" i="1" a="1"/>
  <c r="U367" i="1" s="1"/>
  <c r="U368" i="1" a="1"/>
  <c r="U368" i="1" s="1"/>
  <c r="U369" i="1" a="1"/>
  <c r="U369" i="1" s="1"/>
  <c r="U370" i="1" a="1"/>
  <c r="U370" i="1" s="1"/>
  <c r="U371" i="1" a="1"/>
  <c r="U371" i="1" s="1"/>
  <c r="U372" i="1" a="1"/>
  <c r="U372" i="1" s="1"/>
  <c r="U373" i="1" a="1"/>
  <c r="U373" i="1" s="1"/>
  <c r="U374" i="1" a="1"/>
  <c r="U374" i="1" s="1"/>
  <c r="U375" i="1" a="1"/>
  <c r="U375" i="1" s="1"/>
  <c r="U376" i="1" a="1"/>
  <c r="U376" i="1" s="1"/>
  <c r="U377" i="1" a="1"/>
  <c r="U377" i="1" s="1"/>
  <c r="U378" i="1" a="1"/>
  <c r="U378" i="1" s="1"/>
  <c r="U379" i="1" a="1"/>
  <c r="U379" i="1" s="1"/>
  <c r="U380" i="1" a="1"/>
  <c r="U380" i="1" s="1"/>
  <c r="U381" i="1" a="1"/>
  <c r="U381" i="1" s="1"/>
  <c r="U382" i="1" a="1"/>
  <c r="U382" i="1" s="1"/>
  <c r="U383" i="1" a="1"/>
  <c r="U383" i="1" s="1"/>
  <c r="U384" i="1" a="1"/>
  <c r="U384" i="1" s="1"/>
  <c r="U385" i="1" a="1"/>
  <c r="U385" i="1" s="1"/>
  <c r="U386" i="1" a="1"/>
  <c r="U386" i="1" s="1"/>
  <c r="U387" i="1" a="1"/>
  <c r="U387" i="1" s="1"/>
  <c r="U388" i="1" a="1"/>
  <c r="U388" i="1" s="1"/>
  <c r="U389" i="1" a="1"/>
  <c r="U389" i="1" s="1"/>
  <c r="U390" i="1" a="1"/>
  <c r="U390" i="1" s="1"/>
  <c r="U391" i="1" a="1"/>
  <c r="U391" i="1" s="1"/>
  <c r="U392" i="1" a="1"/>
  <c r="U392" i="1" s="1"/>
  <c r="U393" i="1" a="1"/>
  <c r="U393" i="1" s="1"/>
  <c r="U394" i="1" a="1"/>
  <c r="U394" i="1" s="1"/>
  <c r="U395" i="1" a="1"/>
  <c r="U395" i="1" s="1"/>
  <c r="U396" i="1" a="1"/>
  <c r="U396" i="1" s="1"/>
  <c r="U397" i="1" a="1"/>
  <c r="U397" i="1" s="1"/>
  <c r="U398" i="1" a="1"/>
  <c r="U398" i="1" s="1"/>
  <c r="U399" i="1" a="1"/>
  <c r="U399" i="1" s="1"/>
  <c r="U400" i="1" a="1"/>
  <c r="U400" i="1" s="1"/>
  <c r="U401" i="1" a="1"/>
  <c r="U401" i="1" s="1"/>
  <c r="U402" i="1" a="1"/>
  <c r="U402" i="1" s="1"/>
  <c r="U403" i="1" a="1"/>
  <c r="U403" i="1" s="1"/>
  <c r="U404" i="1" a="1"/>
  <c r="U404" i="1" s="1"/>
  <c r="U405" i="1" a="1"/>
  <c r="U405" i="1" s="1"/>
  <c r="U406" i="1" a="1"/>
  <c r="U406" i="1" s="1"/>
  <c r="U407" i="1" a="1"/>
  <c r="U407" i="1" s="1"/>
  <c r="U408" i="1" a="1"/>
  <c r="U408" i="1" s="1"/>
  <c r="U409" i="1" a="1"/>
  <c r="U409" i="1" s="1"/>
  <c r="U410" i="1" a="1"/>
  <c r="U410" i="1" s="1"/>
  <c r="U411" i="1" a="1"/>
  <c r="U411" i="1" s="1"/>
  <c r="U412" i="1" a="1"/>
  <c r="U412" i="1" s="1"/>
  <c r="U413" i="1" a="1"/>
  <c r="U413" i="1" s="1"/>
  <c r="U414" i="1" a="1"/>
  <c r="U414" i="1" s="1"/>
  <c r="U415" i="1" a="1"/>
  <c r="U415" i="1" s="1"/>
  <c r="U416" i="1" a="1"/>
  <c r="U416" i="1" s="1"/>
  <c r="U417" i="1" a="1"/>
  <c r="U417" i="1" s="1"/>
  <c r="U418" i="1" a="1"/>
  <c r="U418" i="1" s="1"/>
  <c r="U419" i="1" a="1"/>
  <c r="U419" i="1" s="1"/>
  <c r="U420" i="1" a="1"/>
  <c r="U420" i="1" s="1"/>
  <c r="U421" i="1" a="1"/>
  <c r="U421" i="1" s="1"/>
  <c r="U422" i="1" a="1"/>
  <c r="U422" i="1" s="1"/>
  <c r="U423" i="1" a="1"/>
  <c r="U423" i="1" s="1"/>
  <c r="U424" i="1" a="1"/>
  <c r="U424" i="1" s="1"/>
  <c r="U425" i="1" a="1"/>
  <c r="U425" i="1" s="1"/>
  <c r="U426" i="1" a="1"/>
  <c r="U426" i="1" s="1"/>
  <c r="U427" i="1" a="1"/>
  <c r="U427" i="1" s="1"/>
  <c r="U428" i="1" a="1"/>
  <c r="U428" i="1" s="1"/>
  <c r="U429" i="1" a="1"/>
  <c r="U429" i="1" s="1"/>
  <c r="U430" i="1" a="1"/>
  <c r="U430" i="1" s="1"/>
  <c r="U431" i="1" a="1"/>
  <c r="U431" i="1" s="1"/>
  <c r="U432" i="1" a="1"/>
  <c r="U432" i="1" s="1"/>
  <c r="U433" i="1" a="1"/>
  <c r="U433" i="1" s="1"/>
  <c r="U434" i="1" a="1"/>
  <c r="U434" i="1" s="1"/>
  <c r="U435" i="1" a="1"/>
  <c r="U435" i="1" s="1"/>
  <c r="U436" i="1" a="1"/>
  <c r="U436" i="1" s="1"/>
  <c r="U437" i="1" a="1"/>
  <c r="U437" i="1" s="1"/>
  <c r="U438" i="1" a="1"/>
  <c r="U438" i="1" s="1"/>
  <c r="U439" i="1" a="1"/>
  <c r="U439" i="1" s="1"/>
  <c r="U440" i="1" a="1"/>
  <c r="U440" i="1" s="1"/>
  <c r="U441" i="1" a="1"/>
  <c r="U441" i="1" s="1"/>
  <c r="U442" i="1" a="1"/>
  <c r="U442" i="1" s="1"/>
  <c r="U443" i="1" a="1"/>
  <c r="U443" i="1" s="1"/>
  <c r="U444" i="1" a="1"/>
  <c r="U444" i="1" s="1"/>
  <c r="U445" i="1" a="1"/>
  <c r="U445" i="1" s="1"/>
  <c r="U446" i="1" a="1"/>
  <c r="U446" i="1" s="1"/>
  <c r="U447" i="1" a="1"/>
  <c r="U447" i="1" s="1"/>
  <c r="U448" i="1" a="1"/>
  <c r="U448" i="1" s="1"/>
  <c r="U449" i="1" a="1"/>
  <c r="U449" i="1" s="1"/>
  <c r="U450" i="1" a="1"/>
  <c r="U450" i="1" s="1"/>
  <c r="U451" i="1" a="1"/>
  <c r="U451" i="1" s="1"/>
  <c r="U452" i="1" a="1"/>
  <c r="U452" i="1" s="1"/>
  <c r="U453" i="1" a="1"/>
  <c r="U453" i="1" s="1"/>
  <c r="U454" i="1" a="1"/>
  <c r="U454" i="1" s="1"/>
  <c r="U455" i="1" a="1"/>
  <c r="U455" i="1" s="1"/>
  <c r="U456" i="1" a="1"/>
  <c r="U456" i="1" s="1"/>
  <c r="U457" i="1" a="1"/>
  <c r="U457" i="1" s="1"/>
  <c r="U458" i="1" a="1"/>
  <c r="U458" i="1" s="1"/>
  <c r="U459" i="1" a="1"/>
  <c r="U459" i="1" s="1"/>
  <c r="U460" i="1" a="1"/>
  <c r="U460" i="1" s="1"/>
  <c r="U461" i="1" a="1"/>
  <c r="U461" i="1" s="1"/>
  <c r="U462" i="1" a="1"/>
  <c r="U462" i="1" s="1"/>
  <c r="U463" i="1" a="1"/>
  <c r="U463" i="1" s="1"/>
  <c r="U464" i="1" a="1"/>
  <c r="U464" i="1" s="1"/>
  <c r="U465" i="1" a="1"/>
  <c r="U465" i="1" s="1"/>
  <c r="U466" i="1" a="1"/>
  <c r="U466" i="1" s="1"/>
  <c r="U467" i="1" a="1"/>
  <c r="U467" i="1" s="1"/>
  <c r="U468" i="1" a="1"/>
  <c r="U468" i="1" s="1"/>
  <c r="U469" i="1" a="1"/>
  <c r="U469" i="1" s="1"/>
  <c r="U470" i="1" a="1"/>
  <c r="U470" i="1" s="1"/>
  <c r="U471" i="1" a="1"/>
  <c r="U471" i="1" s="1"/>
  <c r="U472" i="1" a="1"/>
  <c r="U472" i="1" s="1"/>
  <c r="U473" i="1" a="1"/>
  <c r="U473" i="1" s="1"/>
  <c r="U474" i="1" a="1"/>
  <c r="U474" i="1" s="1"/>
  <c r="U475" i="1" a="1"/>
  <c r="U475" i="1" s="1"/>
  <c r="U476" i="1" a="1"/>
  <c r="U476" i="1" s="1"/>
  <c r="U477" i="1" a="1"/>
  <c r="U477" i="1" s="1"/>
  <c r="U478" i="1" a="1"/>
  <c r="U478" i="1" s="1"/>
  <c r="U479" i="1" a="1"/>
  <c r="U479" i="1" s="1"/>
  <c r="U480" i="1" a="1"/>
  <c r="U480" i="1" s="1"/>
  <c r="U481" i="1" a="1"/>
  <c r="U481" i="1" s="1"/>
  <c r="U482" i="1" a="1"/>
  <c r="U482" i="1" s="1"/>
  <c r="U483" i="1" a="1"/>
  <c r="U483" i="1" s="1"/>
  <c r="U484" i="1" a="1"/>
  <c r="U484" i="1" s="1"/>
  <c r="U485" i="1" a="1"/>
  <c r="U485" i="1" s="1"/>
  <c r="U486" i="1" a="1"/>
  <c r="U486" i="1" s="1"/>
  <c r="U487" i="1" a="1"/>
  <c r="U487" i="1" s="1"/>
  <c r="U488" i="1" a="1"/>
  <c r="U488" i="1" s="1"/>
  <c r="U489" i="1" a="1"/>
  <c r="U489" i="1" s="1"/>
  <c r="U490" i="1" a="1"/>
  <c r="U490" i="1" s="1"/>
  <c r="U491" i="1" a="1"/>
  <c r="U491" i="1" s="1"/>
  <c r="U492" i="1" a="1"/>
  <c r="U492" i="1" s="1"/>
  <c r="U493" i="1" a="1"/>
  <c r="U493" i="1" s="1"/>
  <c r="U494" i="1" a="1"/>
  <c r="U494" i="1" s="1"/>
  <c r="U495" i="1" a="1"/>
  <c r="U495" i="1" s="1"/>
  <c r="U496" i="1" a="1"/>
  <c r="U496" i="1" s="1"/>
  <c r="U497" i="1" a="1"/>
  <c r="U497" i="1" s="1"/>
  <c r="U498" i="1" a="1"/>
  <c r="U498" i="1" s="1"/>
  <c r="U499" i="1" a="1"/>
  <c r="U499" i="1" s="1"/>
  <c r="U500" i="1" a="1"/>
  <c r="U500" i="1" s="1"/>
  <c r="U501" i="1" a="1"/>
  <c r="U501" i="1" s="1"/>
  <c r="U502" i="1" a="1"/>
  <c r="U502" i="1" s="1"/>
  <c r="U503" i="1" a="1"/>
  <c r="U503" i="1" s="1"/>
  <c r="U504" i="1" a="1"/>
  <c r="U504" i="1" s="1"/>
  <c r="U505" i="1" a="1"/>
  <c r="U505" i="1" s="1"/>
  <c r="U506" i="1" a="1"/>
  <c r="U506" i="1" s="1"/>
  <c r="U507" i="1" a="1"/>
  <c r="U507" i="1" s="1"/>
  <c r="U508" i="1" a="1"/>
  <c r="U508" i="1" s="1"/>
  <c r="U509" i="1" a="1"/>
  <c r="U509" i="1" s="1"/>
  <c r="U510" i="1" a="1"/>
  <c r="U510" i="1" s="1"/>
  <c r="U511" i="1" a="1"/>
  <c r="U511" i="1" s="1"/>
  <c r="U512" i="1" a="1"/>
  <c r="U512" i="1" s="1"/>
  <c r="U513" i="1" a="1"/>
  <c r="U513" i="1" s="1"/>
  <c r="U514" i="1" a="1"/>
  <c r="U514" i="1" s="1"/>
  <c r="U515" i="1" a="1"/>
  <c r="U515" i="1" s="1"/>
  <c r="U516" i="1" a="1"/>
  <c r="U516" i="1" s="1"/>
  <c r="U517" i="1" a="1"/>
  <c r="U517" i="1" s="1"/>
  <c r="U518" i="1" a="1"/>
  <c r="U518" i="1" s="1"/>
  <c r="U519" i="1" a="1"/>
  <c r="U519" i="1" s="1"/>
  <c r="U520" i="1" a="1"/>
  <c r="U520" i="1" s="1"/>
  <c r="U521" i="1" a="1"/>
  <c r="U521" i="1" s="1"/>
  <c r="U522" i="1" a="1"/>
  <c r="U522" i="1" s="1"/>
  <c r="U523" i="1" a="1"/>
  <c r="U523" i="1" s="1"/>
  <c r="U524" i="1" a="1"/>
  <c r="U524" i="1" s="1"/>
  <c r="U525" i="1" a="1"/>
  <c r="U525" i="1" s="1"/>
  <c r="U526" i="1" a="1"/>
  <c r="U526" i="1" s="1"/>
  <c r="U527" i="1" a="1"/>
  <c r="U527" i="1" s="1"/>
  <c r="U528" i="1" a="1"/>
  <c r="U528" i="1" s="1"/>
  <c r="U529" i="1" a="1"/>
  <c r="U529" i="1" s="1"/>
  <c r="U530" i="1" a="1"/>
  <c r="U530" i="1" s="1"/>
  <c r="U531" i="1" a="1"/>
  <c r="U531" i="1" s="1"/>
  <c r="U532" i="1" a="1"/>
  <c r="U532" i="1" s="1"/>
  <c r="U533" i="1" a="1"/>
  <c r="U533" i="1" s="1"/>
  <c r="U534" i="1" a="1"/>
  <c r="U534" i="1" s="1"/>
  <c r="U535" i="1" a="1"/>
  <c r="U535" i="1" s="1"/>
  <c r="U536" i="1" a="1"/>
  <c r="U536" i="1" s="1"/>
  <c r="U537" i="1" a="1"/>
  <c r="U537" i="1" s="1"/>
  <c r="U538" i="1" a="1"/>
  <c r="U538" i="1" s="1"/>
  <c r="U539" i="1" a="1"/>
  <c r="U539" i="1" s="1"/>
  <c r="U540" i="1" a="1"/>
  <c r="U540" i="1" s="1"/>
  <c r="U541" i="1" a="1"/>
  <c r="U541" i="1" s="1"/>
  <c r="U542" i="1" a="1"/>
  <c r="U542" i="1" s="1"/>
  <c r="U543" i="1" a="1"/>
  <c r="U543" i="1" s="1"/>
  <c r="U544" i="1" a="1"/>
  <c r="U544" i="1" s="1"/>
  <c r="U545" i="1" a="1"/>
  <c r="U545" i="1" s="1"/>
  <c r="U546" i="1" a="1"/>
  <c r="U546" i="1" s="1"/>
  <c r="U547" i="1" a="1"/>
  <c r="U547" i="1" s="1"/>
  <c r="U548" i="1" a="1"/>
  <c r="U548" i="1" s="1"/>
  <c r="U549" i="1" a="1"/>
  <c r="U549" i="1" s="1"/>
  <c r="U550" i="1" a="1"/>
  <c r="U550" i="1" s="1"/>
  <c r="U551" i="1" a="1"/>
  <c r="U551" i="1" s="1"/>
  <c r="U552" i="1" a="1"/>
  <c r="U552" i="1" s="1"/>
  <c r="U553" i="1" a="1"/>
  <c r="U553" i="1" s="1"/>
  <c r="U554" i="1" a="1"/>
  <c r="U554" i="1" s="1"/>
  <c r="U555" i="1" a="1"/>
  <c r="U555" i="1" s="1"/>
  <c r="U556" i="1" a="1"/>
  <c r="U556" i="1" s="1"/>
  <c r="U557" i="1" a="1"/>
  <c r="U557" i="1" s="1"/>
  <c r="U558" i="1" a="1"/>
  <c r="U558" i="1" s="1"/>
  <c r="U559" i="1" a="1"/>
  <c r="U559" i="1" s="1"/>
  <c r="U560" i="1" a="1"/>
  <c r="U560" i="1" s="1"/>
  <c r="U561" i="1" a="1"/>
  <c r="U561" i="1" s="1"/>
  <c r="U562" i="1" a="1"/>
  <c r="U562" i="1" s="1"/>
  <c r="U563" i="1" a="1"/>
  <c r="U563" i="1" s="1"/>
  <c r="U564" i="1" a="1"/>
  <c r="U564" i="1" s="1"/>
  <c r="U565" i="1" a="1"/>
  <c r="U565" i="1" s="1"/>
  <c r="U566" i="1" a="1"/>
  <c r="U566" i="1" s="1"/>
  <c r="U567" i="1" a="1"/>
  <c r="U567" i="1" s="1"/>
  <c r="U568" i="1" a="1"/>
  <c r="U568" i="1" s="1"/>
  <c r="U569" i="1" a="1"/>
  <c r="U569" i="1" s="1"/>
  <c r="U570" i="1" a="1"/>
  <c r="U570" i="1" s="1"/>
  <c r="U571" i="1" a="1"/>
  <c r="U571" i="1" s="1"/>
  <c r="U572" i="1" a="1"/>
  <c r="U572" i="1" s="1"/>
  <c r="U573" i="1" a="1"/>
  <c r="U573" i="1" s="1"/>
  <c r="U574" i="1" a="1"/>
  <c r="U574" i="1" s="1"/>
  <c r="U575" i="1" a="1"/>
  <c r="U575" i="1" s="1"/>
  <c r="U576" i="1" a="1"/>
  <c r="U576" i="1" s="1"/>
  <c r="U577" i="1" a="1"/>
  <c r="U577" i="1" s="1"/>
  <c r="U578" i="1" a="1"/>
  <c r="U578" i="1" s="1"/>
  <c r="U579" i="1" a="1"/>
  <c r="U579" i="1" s="1"/>
  <c r="U580" i="1" a="1"/>
  <c r="U580" i="1" s="1"/>
  <c r="U581" i="1" a="1"/>
  <c r="U581" i="1" s="1"/>
  <c r="U582" i="1" a="1"/>
  <c r="U582" i="1" s="1"/>
  <c r="U583" i="1" a="1"/>
  <c r="U583" i="1" s="1"/>
  <c r="U584" i="1" a="1"/>
  <c r="U584" i="1" s="1"/>
  <c r="U585" i="1" a="1"/>
  <c r="U585" i="1" s="1"/>
  <c r="U586" i="1" a="1"/>
  <c r="U586" i="1" s="1"/>
  <c r="U587" i="1" a="1"/>
  <c r="U587" i="1" s="1"/>
  <c r="U588" i="1" a="1"/>
  <c r="U588" i="1" s="1"/>
  <c r="U589" i="1" a="1"/>
  <c r="U589" i="1" s="1"/>
  <c r="U590" i="1" a="1"/>
  <c r="U590" i="1" s="1"/>
  <c r="U591" i="1" a="1"/>
  <c r="U591" i="1" s="1"/>
  <c r="U592" i="1" a="1"/>
  <c r="U592" i="1" s="1"/>
  <c r="U593" i="1" a="1"/>
  <c r="U593" i="1" s="1"/>
  <c r="U594" i="1" a="1"/>
  <c r="U594" i="1" s="1"/>
  <c r="U595" i="1" a="1"/>
  <c r="U595" i="1" s="1"/>
  <c r="U596" i="1" a="1"/>
  <c r="U596" i="1" s="1"/>
  <c r="U597" i="1" a="1"/>
  <c r="U597" i="1" s="1"/>
  <c r="U598" i="1" a="1"/>
  <c r="U598" i="1" s="1"/>
  <c r="U599" i="1" a="1"/>
  <c r="U599" i="1" s="1"/>
  <c r="U600" i="1" a="1"/>
  <c r="U600" i="1" s="1"/>
  <c r="U601" i="1" a="1"/>
  <c r="U601" i="1" s="1"/>
  <c r="U602" i="1" a="1"/>
  <c r="U602" i="1" s="1"/>
  <c r="U603" i="1" a="1"/>
  <c r="U603" i="1" s="1"/>
  <c r="U604" i="1" a="1"/>
  <c r="U604" i="1" s="1"/>
  <c r="U605" i="1" a="1"/>
  <c r="U605" i="1" s="1"/>
  <c r="U606" i="1" a="1"/>
  <c r="U606" i="1" s="1"/>
  <c r="U607" i="1" a="1"/>
  <c r="U607" i="1" s="1"/>
  <c r="U608" i="1" a="1"/>
  <c r="U608" i="1" s="1"/>
  <c r="U609" i="1" a="1"/>
  <c r="U609" i="1" s="1"/>
  <c r="U610" i="1" a="1"/>
  <c r="U610" i="1" s="1"/>
  <c r="U611" i="1" a="1"/>
  <c r="U611" i="1" s="1"/>
  <c r="U612" i="1" a="1"/>
  <c r="U612" i="1" s="1"/>
  <c r="U613" i="1" a="1"/>
  <c r="U613" i="1" s="1"/>
  <c r="U614" i="1" a="1"/>
  <c r="U614" i="1" s="1"/>
  <c r="U615" i="1" a="1"/>
  <c r="U615" i="1" s="1"/>
  <c r="U616" i="1" a="1"/>
  <c r="U616" i="1" s="1"/>
  <c r="U617" i="1" a="1"/>
  <c r="U617" i="1" s="1"/>
  <c r="U618" i="1" a="1"/>
  <c r="U618" i="1" s="1"/>
  <c r="U619" i="1" a="1"/>
  <c r="U619" i="1" s="1"/>
  <c r="U620" i="1" a="1"/>
  <c r="U620" i="1" s="1"/>
  <c r="U621" i="1" a="1"/>
  <c r="U621" i="1" s="1"/>
  <c r="U622" i="1" a="1"/>
  <c r="U622" i="1" s="1"/>
  <c r="U623" i="1" a="1"/>
  <c r="U623" i="1" s="1"/>
  <c r="U624" i="1" a="1"/>
  <c r="U624" i="1" s="1"/>
  <c r="U625" i="1" a="1"/>
  <c r="U625" i="1" s="1"/>
  <c r="U626" i="1" a="1"/>
  <c r="U626" i="1" s="1"/>
  <c r="U627" i="1" a="1"/>
  <c r="U627" i="1" s="1"/>
  <c r="U628" i="1" a="1"/>
  <c r="U628" i="1" s="1"/>
  <c r="U629" i="1" a="1"/>
  <c r="U629" i="1" s="1"/>
  <c r="U630" i="1" a="1"/>
  <c r="U630" i="1" s="1"/>
  <c r="U631" i="1" a="1"/>
  <c r="U631" i="1" s="1"/>
  <c r="U632" i="1" a="1"/>
  <c r="U632" i="1" s="1"/>
  <c r="U633" i="1" a="1"/>
  <c r="U633" i="1" s="1"/>
  <c r="U634" i="1" a="1"/>
  <c r="U634" i="1" s="1"/>
  <c r="U635" i="1" a="1"/>
  <c r="U635" i="1" s="1"/>
  <c r="U636" i="1" a="1"/>
  <c r="U636" i="1" s="1"/>
  <c r="U637" i="1" a="1"/>
  <c r="U637" i="1" s="1"/>
  <c r="U638" i="1" a="1"/>
  <c r="U638" i="1" s="1"/>
  <c r="U639" i="1" a="1"/>
  <c r="U639" i="1" s="1"/>
  <c r="U640" i="1" a="1"/>
  <c r="U640" i="1" s="1"/>
  <c r="U641" i="1" a="1"/>
  <c r="U641" i="1" s="1"/>
  <c r="U642" i="1" a="1"/>
  <c r="U642" i="1" s="1"/>
  <c r="U643" i="1" a="1"/>
  <c r="U643" i="1" s="1"/>
  <c r="U644" i="1" a="1"/>
  <c r="U644" i="1" s="1"/>
  <c r="U645" i="1" a="1"/>
  <c r="U645" i="1" s="1"/>
  <c r="U646" i="1" a="1"/>
  <c r="U646" i="1" s="1"/>
  <c r="U647" i="1" a="1"/>
  <c r="U647" i="1" s="1"/>
  <c r="U648" i="1" a="1"/>
  <c r="U648" i="1" s="1"/>
  <c r="U649" i="1" a="1"/>
  <c r="U649" i="1" s="1"/>
  <c r="U650" i="1" a="1"/>
  <c r="U650" i="1" s="1"/>
  <c r="U651" i="1" a="1"/>
  <c r="U651" i="1" s="1"/>
  <c r="U652" i="1" a="1"/>
  <c r="U652" i="1" s="1"/>
  <c r="U653" i="1" a="1"/>
  <c r="U653" i="1" s="1"/>
  <c r="U654" i="1" a="1"/>
  <c r="U654" i="1" s="1"/>
  <c r="U655" i="1" a="1"/>
  <c r="U655" i="1" s="1"/>
  <c r="U656" i="1" a="1"/>
  <c r="U656" i="1" s="1"/>
  <c r="U657" i="1" a="1"/>
  <c r="U657" i="1" s="1"/>
  <c r="U658" i="1" a="1"/>
  <c r="U658" i="1" s="1"/>
  <c r="U659" i="1" a="1"/>
  <c r="U659" i="1" s="1"/>
  <c r="U660" i="1" a="1"/>
  <c r="U660" i="1" s="1"/>
  <c r="U661" i="1" a="1"/>
  <c r="U661" i="1" s="1"/>
  <c r="U662" i="1" a="1"/>
  <c r="U662" i="1" s="1"/>
  <c r="U663" i="1" a="1"/>
  <c r="U663" i="1" s="1"/>
  <c r="U664" i="1" a="1"/>
  <c r="U664" i="1" s="1"/>
  <c r="U665" i="1" a="1"/>
  <c r="U665" i="1" s="1"/>
  <c r="U666" i="1" a="1"/>
  <c r="U666" i="1" s="1"/>
  <c r="U667" i="1" a="1"/>
  <c r="U667" i="1" s="1"/>
  <c r="U668" i="1" a="1"/>
  <c r="U668" i="1" s="1"/>
  <c r="U669" i="1" a="1"/>
  <c r="U669" i="1" s="1"/>
  <c r="U670" i="1" a="1"/>
  <c r="U670" i="1" s="1"/>
  <c r="U671" i="1" a="1"/>
  <c r="U671" i="1" s="1"/>
  <c r="U672" i="1" a="1"/>
  <c r="U672" i="1" s="1"/>
  <c r="U673" i="1" a="1"/>
  <c r="U673" i="1" s="1"/>
  <c r="U674" i="1" a="1"/>
  <c r="U674" i="1" s="1"/>
  <c r="U675" i="1" a="1"/>
  <c r="U675" i="1" s="1"/>
  <c r="U676" i="1" a="1"/>
  <c r="U676" i="1" s="1"/>
  <c r="U677" i="1" a="1"/>
  <c r="U677" i="1" s="1"/>
  <c r="U678" i="1" a="1"/>
  <c r="U678" i="1" s="1"/>
  <c r="U679" i="1" a="1"/>
  <c r="U679" i="1" s="1"/>
  <c r="U680" i="1" a="1"/>
  <c r="U680" i="1" s="1"/>
  <c r="U681" i="1" a="1"/>
  <c r="U681" i="1" s="1"/>
  <c r="U682" i="1" a="1"/>
  <c r="U682" i="1" s="1"/>
  <c r="U683" i="1" a="1"/>
  <c r="U683" i="1" s="1"/>
  <c r="U684" i="1" a="1"/>
  <c r="U684" i="1" s="1"/>
  <c r="U685" i="1" a="1"/>
  <c r="U685" i="1" s="1"/>
  <c r="U686" i="1" a="1"/>
  <c r="U686" i="1" s="1"/>
  <c r="U687" i="1" a="1"/>
  <c r="U687" i="1" s="1"/>
  <c r="U688" i="1" a="1"/>
  <c r="U688" i="1" s="1"/>
  <c r="U689" i="1" a="1"/>
  <c r="U689" i="1" s="1"/>
  <c r="U690" i="1" a="1"/>
  <c r="U690" i="1" s="1"/>
  <c r="U691" i="1" a="1"/>
  <c r="U691" i="1" s="1"/>
  <c r="U692" i="1" a="1"/>
  <c r="U692" i="1" s="1"/>
  <c r="U693" i="1" a="1"/>
  <c r="U693" i="1" s="1"/>
  <c r="U694" i="1" a="1"/>
  <c r="U694" i="1" s="1"/>
  <c r="U695" i="1" a="1"/>
  <c r="U695" i="1" s="1"/>
  <c r="U696" i="1" a="1"/>
  <c r="U696" i="1" s="1"/>
  <c r="U697" i="1" a="1"/>
  <c r="U697" i="1" s="1"/>
  <c r="U698" i="1" a="1"/>
  <c r="U698" i="1" s="1"/>
  <c r="U699" i="1" a="1"/>
  <c r="U699" i="1" s="1"/>
  <c r="U700" i="1" a="1"/>
  <c r="U700" i="1" s="1"/>
  <c r="U701" i="1" a="1"/>
  <c r="U701" i="1" s="1"/>
  <c r="U702" i="1" a="1"/>
  <c r="U702" i="1" s="1"/>
  <c r="U703" i="1" a="1"/>
  <c r="U703" i="1" s="1"/>
  <c r="U704" i="1" a="1"/>
  <c r="U704" i="1" s="1"/>
  <c r="U705" i="1" a="1"/>
  <c r="U705" i="1" s="1"/>
  <c r="U706" i="1" a="1"/>
  <c r="U706" i="1" s="1"/>
  <c r="U707" i="1" a="1"/>
  <c r="U707" i="1" s="1"/>
  <c r="U708" i="1" a="1"/>
  <c r="U708" i="1" s="1"/>
  <c r="U709" i="1" a="1"/>
  <c r="U709" i="1" s="1"/>
  <c r="U710" i="1" a="1"/>
  <c r="U710" i="1" s="1"/>
  <c r="U711" i="1" a="1"/>
  <c r="U711" i="1" s="1"/>
  <c r="U712" i="1" a="1"/>
  <c r="U712" i="1" s="1"/>
  <c r="U713" i="1" a="1"/>
  <c r="U713" i="1" s="1"/>
  <c r="U714" i="1" a="1"/>
  <c r="U714" i="1" s="1"/>
  <c r="U715" i="1" a="1"/>
  <c r="U715" i="1" s="1"/>
  <c r="U716" i="1" a="1"/>
  <c r="U716" i="1" s="1"/>
  <c r="U717" i="1" a="1"/>
  <c r="U717" i="1" s="1"/>
  <c r="U718" i="1" a="1"/>
  <c r="U718" i="1" s="1"/>
  <c r="U719" i="1" a="1"/>
  <c r="U719" i="1" s="1"/>
  <c r="U720" i="1" a="1"/>
  <c r="U720" i="1" s="1"/>
  <c r="U721" i="1" a="1"/>
  <c r="U721" i="1" s="1"/>
  <c r="U722" i="1" a="1"/>
  <c r="U722" i="1" s="1"/>
  <c r="U723" i="1" a="1"/>
  <c r="U723" i="1" s="1"/>
  <c r="U724" i="1" a="1"/>
  <c r="U724" i="1" s="1"/>
  <c r="U725" i="1" a="1"/>
  <c r="U725" i="1" s="1"/>
  <c r="U726" i="1" a="1"/>
  <c r="U726" i="1" s="1"/>
  <c r="U727" i="1" a="1"/>
  <c r="U727" i="1" s="1"/>
  <c r="U728" i="1" a="1"/>
  <c r="U728" i="1" s="1"/>
  <c r="U729" i="1" a="1"/>
  <c r="U729" i="1" s="1"/>
  <c r="U730" i="1" a="1"/>
  <c r="U730" i="1" s="1"/>
  <c r="U731" i="1" a="1"/>
  <c r="U731" i="1" s="1"/>
  <c r="U732" i="1" a="1"/>
  <c r="U732" i="1" s="1"/>
  <c r="U733" i="1" a="1"/>
  <c r="U733" i="1" s="1"/>
  <c r="U734" i="1" a="1"/>
  <c r="U734" i="1" s="1"/>
  <c r="U735" i="1" a="1"/>
  <c r="U735" i="1" s="1"/>
  <c r="U736" i="1" a="1"/>
  <c r="U736" i="1" s="1"/>
  <c r="U737" i="1" a="1"/>
  <c r="U737" i="1" s="1"/>
  <c r="U738" i="1" a="1"/>
  <c r="U738" i="1" s="1"/>
  <c r="U739" i="1" a="1"/>
  <c r="U739" i="1" s="1"/>
  <c r="U740" i="1" a="1"/>
  <c r="U740" i="1" s="1"/>
  <c r="U741" i="1" a="1"/>
  <c r="U741" i="1" s="1"/>
  <c r="U742" i="1" a="1"/>
  <c r="U742" i="1" s="1"/>
  <c r="U743" i="1" a="1"/>
  <c r="U743" i="1" s="1"/>
  <c r="U744" i="1" a="1"/>
  <c r="U744" i="1" s="1"/>
  <c r="U745" i="1" a="1"/>
  <c r="U745" i="1" s="1"/>
  <c r="U746" i="1" a="1"/>
  <c r="U746" i="1" s="1"/>
  <c r="U747" i="1" a="1"/>
  <c r="U747" i="1" s="1"/>
  <c r="U748" i="1" a="1"/>
  <c r="U748" i="1" s="1"/>
  <c r="U749" i="1" a="1"/>
  <c r="U749" i="1" s="1"/>
  <c r="U750" i="1" a="1"/>
  <c r="U750" i="1" s="1"/>
  <c r="U751" i="1" a="1"/>
  <c r="U751" i="1" s="1"/>
  <c r="U752" i="1" a="1"/>
  <c r="U752" i="1" s="1"/>
  <c r="U753" i="1" a="1"/>
  <c r="U753" i="1" s="1"/>
  <c r="U754" i="1" a="1"/>
  <c r="U754" i="1" s="1"/>
  <c r="U755" i="1" a="1"/>
  <c r="U755" i="1" s="1"/>
  <c r="U756" i="1" a="1"/>
  <c r="U756" i="1" s="1"/>
  <c r="U757" i="1" a="1"/>
  <c r="U757" i="1" s="1"/>
  <c r="U758" i="1" a="1"/>
  <c r="U758" i="1" s="1"/>
  <c r="U759" i="1" a="1"/>
  <c r="U759" i="1" s="1"/>
  <c r="U760" i="1" a="1"/>
  <c r="U760" i="1" s="1"/>
  <c r="U761" i="1" a="1"/>
  <c r="U761" i="1" s="1"/>
  <c r="U762" i="1" a="1"/>
  <c r="U762" i="1" s="1"/>
  <c r="U763" i="1" a="1"/>
  <c r="U763" i="1" s="1"/>
  <c r="U764" i="1" a="1"/>
  <c r="U764" i="1" s="1"/>
  <c r="U765" i="1" a="1"/>
  <c r="U765" i="1" s="1"/>
  <c r="U766" i="1" a="1"/>
  <c r="U766" i="1" s="1"/>
  <c r="U767" i="1" a="1"/>
  <c r="U767" i="1" s="1"/>
  <c r="U768" i="1" a="1"/>
  <c r="U768" i="1" s="1"/>
  <c r="U769" i="1" a="1"/>
  <c r="U769" i="1" s="1"/>
  <c r="U770" i="1" a="1"/>
  <c r="U770" i="1" s="1"/>
  <c r="U771" i="1" a="1"/>
  <c r="U771" i="1" s="1"/>
  <c r="U772" i="1" a="1"/>
  <c r="U772" i="1" s="1"/>
  <c r="U773" i="1" a="1"/>
  <c r="U773" i="1" s="1"/>
  <c r="U774" i="1" a="1"/>
  <c r="U774" i="1" s="1"/>
  <c r="U775" i="1" a="1"/>
  <c r="U775" i="1" s="1"/>
  <c r="U776" i="1" a="1"/>
  <c r="U776" i="1" s="1"/>
  <c r="U777" i="1" a="1"/>
  <c r="U777" i="1" s="1"/>
  <c r="U778" i="1" a="1"/>
  <c r="U778" i="1" s="1"/>
  <c r="U779" i="1" a="1"/>
  <c r="U779" i="1" s="1"/>
  <c r="U780" i="1" a="1"/>
  <c r="U780" i="1" s="1"/>
  <c r="U781" i="1" a="1"/>
  <c r="U781" i="1" s="1"/>
  <c r="U782" i="1" a="1"/>
  <c r="U782" i="1" s="1"/>
  <c r="U783" i="1" a="1"/>
  <c r="U783" i="1" s="1"/>
  <c r="U784" i="1" a="1"/>
  <c r="U784" i="1" s="1"/>
  <c r="U785" i="1" a="1"/>
  <c r="U785" i="1" s="1"/>
  <c r="U786" i="1" a="1"/>
  <c r="U786" i="1" s="1"/>
  <c r="U787" i="1" a="1"/>
  <c r="U787" i="1" s="1"/>
  <c r="U788" i="1" a="1"/>
  <c r="U788" i="1" s="1"/>
  <c r="U789" i="1" a="1"/>
  <c r="U789" i="1" s="1"/>
  <c r="U790" i="1" a="1"/>
  <c r="U790" i="1" s="1"/>
  <c r="U791" i="1" a="1"/>
  <c r="U791" i="1" s="1"/>
  <c r="U792" i="1" a="1"/>
  <c r="U792" i="1" s="1"/>
  <c r="U793" i="1" a="1"/>
  <c r="U793" i="1" s="1"/>
  <c r="U794" i="1" a="1"/>
  <c r="U794" i="1" s="1"/>
  <c r="U795" i="1" a="1"/>
  <c r="U795" i="1" s="1"/>
  <c r="U796" i="1" a="1"/>
  <c r="U796" i="1" s="1"/>
  <c r="U797" i="1" a="1"/>
  <c r="U797" i="1" s="1"/>
  <c r="U798" i="1" a="1"/>
  <c r="U798" i="1" s="1"/>
  <c r="U799" i="1" a="1"/>
  <c r="U799" i="1" s="1"/>
  <c r="U800" i="1" a="1"/>
  <c r="U800" i="1" s="1"/>
  <c r="U801" i="1" a="1"/>
  <c r="U801" i="1" s="1"/>
  <c r="U802" i="1" a="1"/>
  <c r="U802" i="1" s="1"/>
  <c r="U803" i="1" a="1"/>
  <c r="U803" i="1" s="1"/>
  <c r="U804" i="1" a="1"/>
  <c r="U804" i="1" s="1"/>
  <c r="U805" i="1" a="1"/>
  <c r="U805" i="1" s="1"/>
  <c r="U806" i="1" a="1"/>
  <c r="U806" i="1" s="1"/>
  <c r="U807" i="1" a="1"/>
  <c r="U807" i="1" s="1"/>
  <c r="U808" i="1" a="1"/>
  <c r="U808" i="1" s="1"/>
  <c r="U809" i="1" a="1"/>
  <c r="U809" i="1" s="1"/>
  <c r="U810" i="1" a="1"/>
  <c r="U810" i="1" s="1"/>
  <c r="U811" i="1" a="1"/>
  <c r="U811" i="1" s="1"/>
  <c r="U812" i="1" a="1"/>
  <c r="U812" i="1" s="1"/>
  <c r="U813" i="1" a="1"/>
  <c r="U813" i="1" s="1"/>
  <c r="U814" i="1" a="1"/>
  <c r="U814" i="1" s="1"/>
  <c r="U815" i="1" a="1"/>
  <c r="U815" i="1" s="1"/>
  <c r="U816" i="1" a="1"/>
  <c r="U816" i="1" s="1"/>
  <c r="U817" i="1" a="1"/>
  <c r="U817" i="1" s="1"/>
  <c r="U818" i="1" a="1"/>
  <c r="U818" i="1" s="1"/>
  <c r="U819" i="1" a="1"/>
  <c r="U819" i="1" s="1"/>
  <c r="U820" i="1" a="1"/>
  <c r="U820" i="1" s="1"/>
  <c r="U821" i="1" a="1"/>
  <c r="U821" i="1" s="1"/>
  <c r="U822" i="1" a="1"/>
  <c r="U822" i="1" s="1"/>
  <c r="U823" i="1" a="1"/>
  <c r="U823" i="1" s="1"/>
  <c r="U824" i="1" a="1"/>
  <c r="U824" i="1" s="1"/>
  <c r="U825" i="1" a="1"/>
  <c r="U825" i="1" s="1"/>
  <c r="U826" i="1" a="1"/>
  <c r="U826" i="1" s="1"/>
  <c r="U827" i="1" a="1"/>
  <c r="U827" i="1" s="1"/>
  <c r="U828" i="1" a="1"/>
  <c r="U828" i="1" s="1"/>
  <c r="U829" i="1" a="1"/>
  <c r="U829" i="1" s="1"/>
  <c r="U830" i="1" a="1"/>
  <c r="U830" i="1" s="1"/>
  <c r="U831" i="1" a="1"/>
  <c r="U831" i="1" s="1"/>
  <c r="U832" i="1" a="1"/>
  <c r="U832" i="1" s="1"/>
  <c r="U833" i="1" a="1"/>
  <c r="U833" i="1" s="1"/>
  <c r="U834" i="1" a="1"/>
  <c r="U834" i="1" s="1"/>
  <c r="U835" i="1" a="1"/>
  <c r="U835" i="1" s="1"/>
  <c r="U836" i="1" a="1"/>
  <c r="U836" i="1" s="1"/>
  <c r="U837" i="1" a="1"/>
  <c r="U837" i="1" s="1"/>
  <c r="U838" i="1" a="1"/>
  <c r="U838" i="1" s="1"/>
  <c r="U839" i="1" a="1"/>
  <c r="U839" i="1" s="1"/>
  <c r="U840" i="1" a="1"/>
  <c r="U840" i="1" s="1"/>
  <c r="U841" i="1" a="1"/>
  <c r="U841" i="1" s="1"/>
  <c r="U842" i="1" a="1"/>
  <c r="U842" i="1" s="1"/>
  <c r="U843" i="1" a="1"/>
  <c r="U843" i="1" s="1"/>
  <c r="U844" i="1" a="1"/>
  <c r="U844" i="1" s="1"/>
  <c r="U845" i="1" a="1"/>
  <c r="U845" i="1" s="1"/>
  <c r="U846" i="1" a="1"/>
  <c r="U846" i="1" s="1"/>
  <c r="U847" i="1" a="1"/>
  <c r="U847" i="1" s="1"/>
  <c r="U848" i="1" a="1"/>
  <c r="U848" i="1" s="1"/>
  <c r="U849" i="1" a="1"/>
  <c r="U849" i="1" s="1"/>
  <c r="U850" i="1" a="1"/>
  <c r="U850" i="1" s="1"/>
  <c r="U851" i="1" a="1"/>
  <c r="U851" i="1" s="1"/>
  <c r="U852" i="1" a="1"/>
  <c r="U852" i="1" s="1"/>
  <c r="U853" i="1" a="1"/>
  <c r="U853" i="1" s="1"/>
  <c r="U854" i="1" a="1"/>
  <c r="U854" i="1" s="1"/>
  <c r="U855" i="1" a="1"/>
  <c r="U855" i="1" s="1"/>
  <c r="U856" i="1" a="1"/>
  <c r="U856" i="1" s="1"/>
  <c r="U857" i="1" a="1"/>
  <c r="U857" i="1" s="1"/>
  <c r="U858" i="1" a="1"/>
  <c r="U858" i="1" s="1"/>
  <c r="U859" i="1" a="1"/>
  <c r="U859" i="1" s="1"/>
  <c r="U860" i="1" a="1"/>
  <c r="U860" i="1" s="1"/>
  <c r="U861" i="1" a="1"/>
  <c r="U861" i="1" s="1"/>
  <c r="U862" i="1" a="1"/>
  <c r="U862" i="1" s="1"/>
  <c r="U863" i="1" a="1"/>
  <c r="U863" i="1" s="1"/>
  <c r="U864" i="1" a="1"/>
  <c r="U864" i="1" s="1"/>
  <c r="U865" i="1" a="1"/>
  <c r="U865" i="1" s="1"/>
  <c r="U866" i="1" a="1"/>
  <c r="U866" i="1" s="1"/>
  <c r="U867" i="1" a="1"/>
  <c r="U867" i="1" s="1"/>
  <c r="U868" i="1" a="1"/>
  <c r="U868" i="1" s="1"/>
  <c r="U869" i="1" a="1"/>
  <c r="U869" i="1" s="1"/>
  <c r="U870" i="1" a="1"/>
  <c r="U870" i="1" s="1"/>
  <c r="U871" i="1" a="1"/>
  <c r="U871" i="1" s="1"/>
  <c r="U872" i="1" a="1"/>
  <c r="U872" i="1" s="1"/>
  <c r="U873" i="1" a="1"/>
  <c r="U873" i="1" s="1"/>
  <c r="U874" i="1" a="1"/>
  <c r="U874" i="1" s="1"/>
  <c r="U875" i="1" a="1"/>
  <c r="U875" i="1" s="1"/>
  <c r="U876" i="1" a="1"/>
  <c r="U876" i="1" s="1"/>
  <c r="U877" i="1" a="1"/>
  <c r="U877" i="1" s="1"/>
  <c r="U878" i="1" a="1"/>
  <c r="U878" i="1" s="1"/>
  <c r="U879" i="1" a="1"/>
  <c r="U879" i="1" s="1"/>
  <c r="U880" i="1" a="1"/>
  <c r="U880" i="1" s="1"/>
  <c r="U881" i="1" a="1"/>
  <c r="U881" i="1" s="1"/>
  <c r="U882" i="1" a="1"/>
  <c r="U882" i="1" s="1"/>
  <c r="U883" i="1" a="1"/>
  <c r="U883" i="1" s="1"/>
  <c r="U884" i="1" a="1"/>
  <c r="U884" i="1" s="1"/>
  <c r="U885" i="1" a="1"/>
  <c r="U885" i="1" s="1"/>
  <c r="U886" i="1" a="1"/>
  <c r="U886" i="1" s="1"/>
  <c r="U887" i="1" a="1"/>
  <c r="U887" i="1" s="1"/>
  <c r="U888" i="1" a="1"/>
  <c r="U888" i="1" s="1"/>
  <c r="U889" i="1" a="1"/>
  <c r="U889" i="1" s="1"/>
  <c r="U890" i="1" a="1"/>
  <c r="U890" i="1" s="1"/>
  <c r="U891" i="1" a="1"/>
  <c r="U891" i="1" s="1"/>
  <c r="U892" i="1" a="1"/>
  <c r="U892" i="1" s="1"/>
  <c r="U893" i="1" a="1"/>
  <c r="U893" i="1" s="1"/>
  <c r="U894" i="1" a="1"/>
  <c r="U894" i="1" s="1"/>
  <c r="U895" i="1" a="1"/>
  <c r="U895" i="1" s="1"/>
  <c r="U896" i="1" a="1"/>
  <c r="U896" i="1" s="1"/>
  <c r="U897" i="1" a="1"/>
  <c r="U897" i="1" s="1"/>
  <c r="U898" i="1" a="1"/>
  <c r="U898" i="1" s="1"/>
  <c r="U899" i="1" a="1"/>
  <c r="U899" i="1" s="1"/>
  <c r="U900" i="1" a="1"/>
  <c r="U900" i="1" s="1"/>
  <c r="U901" i="1" a="1"/>
  <c r="U901" i="1" s="1"/>
  <c r="U902" i="1" a="1"/>
  <c r="U902" i="1" s="1"/>
  <c r="U903" i="1" a="1"/>
  <c r="U903" i="1" s="1"/>
  <c r="U904" i="1" a="1"/>
  <c r="U904" i="1" s="1"/>
  <c r="U905" i="1" a="1"/>
  <c r="U905" i="1" s="1"/>
  <c r="U906" i="1" a="1"/>
  <c r="U906" i="1" s="1"/>
  <c r="U907" i="1" a="1"/>
  <c r="U907" i="1" s="1"/>
  <c r="U908" i="1" a="1"/>
  <c r="U908" i="1" s="1"/>
  <c r="U909" i="1" a="1"/>
  <c r="U909" i="1" s="1"/>
  <c r="U910" i="1" a="1"/>
  <c r="U910" i="1" s="1"/>
  <c r="U911" i="1" a="1"/>
  <c r="U911" i="1" s="1"/>
  <c r="U912" i="1" a="1"/>
  <c r="U912" i="1" s="1"/>
  <c r="U913" i="1" a="1"/>
  <c r="U913" i="1" s="1"/>
  <c r="U914" i="1" a="1"/>
  <c r="U914" i="1" s="1"/>
  <c r="U915" i="1" a="1"/>
  <c r="U915" i="1" s="1"/>
  <c r="U916" i="1" a="1"/>
  <c r="U916" i="1" s="1"/>
  <c r="U917" i="1" a="1"/>
  <c r="U917" i="1" s="1"/>
  <c r="U918" i="1" a="1"/>
  <c r="U918" i="1" s="1"/>
  <c r="U919" i="1" a="1"/>
  <c r="U919" i="1" s="1"/>
  <c r="U920" i="1" a="1"/>
  <c r="U920" i="1" s="1"/>
  <c r="U921" i="1" a="1"/>
  <c r="U921" i="1" s="1"/>
  <c r="U922" i="1" a="1"/>
  <c r="U922" i="1" s="1"/>
  <c r="U923" i="1" a="1"/>
  <c r="U923" i="1" s="1"/>
  <c r="U924" i="1" a="1"/>
  <c r="U924" i="1" s="1"/>
  <c r="U925" i="1" a="1"/>
  <c r="U925" i="1" s="1"/>
  <c r="U926" i="1" a="1"/>
  <c r="U926" i="1" s="1"/>
  <c r="U927" i="1" a="1"/>
  <c r="U927" i="1" s="1"/>
  <c r="U928" i="1" a="1"/>
  <c r="U928" i="1" s="1"/>
  <c r="U929" i="1" a="1"/>
  <c r="U929" i="1" s="1"/>
  <c r="U930" i="1" a="1"/>
  <c r="U930" i="1" s="1"/>
  <c r="U931" i="1" a="1"/>
  <c r="U931" i="1" s="1"/>
  <c r="U932" i="1" a="1"/>
  <c r="U932" i="1" s="1"/>
  <c r="U933" i="1" a="1"/>
  <c r="U933" i="1" s="1"/>
  <c r="U934" i="1" a="1"/>
  <c r="U934" i="1" s="1"/>
  <c r="U935" i="1" a="1"/>
  <c r="U935" i="1" s="1"/>
  <c r="U936" i="1" a="1"/>
  <c r="U936" i="1" s="1"/>
  <c r="U937" i="1" a="1"/>
  <c r="U937" i="1" s="1"/>
  <c r="U938" i="1" a="1"/>
  <c r="U938" i="1" s="1"/>
  <c r="U939" i="1" a="1"/>
  <c r="U939" i="1" s="1"/>
  <c r="U940" i="1" a="1"/>
  <c r="U940" i="1" s="1"/>
  <c r="U941" i="1" a="1"/>
  <c r="U941" i="1" s="1"/>
  <c r="U942" i="1" a="1"/>
  <c r="U942" i="1" s="1"/>
  <c r="U943" i="1" a="1"/>
  <c r="U943" i="1" s="1"/>
  <c r="U944" i="1" a="1"/>
  <c r="U944" i="1" s="1"/>
  <c r="U945" i="1" a="1"/>
  <c r="U945" i="1" s="1"/>
  <c r="U946" i="1" a="1"/>
  <c r="U946" i="1" s="1"/>
  <c r="U947" i="1" a="1"/>
  <c r="U947" i="1" s="1"/>
  <c r="U948" i="1" a="1"/>
  <c r="U948" i="1" s="1"/>
  <c r="U949" i="1" a="1"/>
  <c r="U949" i="1" s="1"/>
  <c r="U950" i="1" a="1"/>
  <c r="U950" i="1" s="1"/>
  <c r="U951" i="1" a="1"/>
  <c r="U951" i="1" s="1"/>
  <c r="U952" i="1" a="1"/>
  <c r="U952" i="1" s="1"/>
  <c r="U953" i="1" a="1"/>
  <c r="U953" i="1" s="1"/>
  <c r="U954" i="1" a="1"/>
  <c r="U954" i="1" s="1"/>
  <c r="U955" i="1" a="1"/>
  <c r="U955" i="1" s="1"/>
  <c r="U956" i="1" a="1"/>
  <c r="U956" i="1" s="1"/>
  <c r="U957" i="1" a="1"/>
  <c r="U957" i="1" s="1"/>
  <c r="U958" i="1" a="1"/>
  <c r="U958" i="1" s="1"/>
  <c r="U959" i="1" a="1"/>
  <c r="U959" i="1" s="1"/>
  <c r="U960" i="1" a="1"/>
  <c r="U960" i="1" s="1"/>
  <c r="U961" i="1" a="1"/>
  <c r="U961" i="1" s="1"/>
  <c r="U962" i="1" a="1"/>
  <c r="U962" i="1" s="1"/>
  <c r="U963" i="1" a="1"/>
  <c r="U963" i="1" s="1"/>
  <c r="U964" i="1" a="1"/>
  <c r="U964" i="1" s="1"/>
  <c r="U965" i="1" a="1"/>
  <c r="U965" i="1" s="1"/>
  <c r="U966" i="1" a="1"/>
  <c r="U966" i="1" s="1"/>
  <c r="U967" i="1" a="1"/>
  <c r="U967" i="1" s="1"/>
  <c r="U968" i="1" a="1"/>
  <c r="U968" i="1" s="1"/>
  <c r="U969" i="1" a="1"/>
  <c r="U969" i="1" s="1"/>
  <c r="U970" i="1" a="1"/>
  <c r="U970" i="1" s="1"/>
  <c r="U971" i="1" a="1"/>
  <c r="U971" i="1" s="1"/>
  <c r="U972" i="1" a="1"/>
  <c r="U972" i="1" s="1"/>
  <c r="U973" i="1" a="1"/>
  <c r="U973" i="1" s="1"/>
  <c r="U974" i="1" a="1"/>
  <c r="U974" i="1" s="1"/>
  <c r="U975" i="1" a="1"/>
  <c r="U975" i="1" s="1"/>
  <c r="U976" i="1" a="1"/>
  <c r="U976" i="1" s="1"/>
  <c r="U977" i="1" a="1"/>
  <c r="U977" i="1" s="1"/>
  <c r="U978" i="1" a="1"/>
  <c r="U978" i="1" s="1"/>
  <c r="U979" i="1" a="1"/>
  <c r="U979" i="1" s="1"/>
  <c r="U980" i="1" a="1"/>
  <c r="U980" i="1" s="1"/>
  <c r="U981" i="1" a="1"/>
  <c r="U981" i="1" s="1"/>
  <c r="U982" i="1" a="1"/>
  <c r="U982" i="1" s="1"/>
  <c r="U983" i="1" a="1"/>
  <c r="U983" i="1" s="1"/>
  <c r="U984" i="1" a="1"/>
  <c r="U984" i="1" s="1"/>
  <c r="U985" i="1" a="1"/>
  <c r="U985" i="1" s="1"/>
  <c r="U986" i="1" a="1"/>
  <c r="U986" i="1" s="1"/>
  <c r="U987" i="1" a="1"/>
  <c r="U987" i="1" s="1"/>
  <c r="U988" i="1" a="1"/>
  <c r="U988" i="1" s="1"/>
  <c r="U989" i="1" a="1"/>
  <c r="U989" i="1" s="1"/>
  <c r="U990" i="1" a="1"/>
  <c r="U990" i="1" s="1"/>
  <c r="U991" i="1" a="1"/>
  <c r="U991" i="1" s="1"/>
  <c r="U992" i="1" a="1"/>
  <c r="U992" i="1" s="1"/>
  <c r="U993" i="1" a="1"/>
  <c r="U993" i="1" s="1"/>
  <c r="U994" i="1" a="1"/>
  <c r="U994" i="1" s="1"/>
  <c r="U995" i="1" a="1"/>
  <c r="U995" i="1" s="1"/>
  <c r="U996" i="1" a="1"/>
  <c r="U996" i="1" s="1"/>
  <c r="U997" i="1" a="1"/>
  <c r="U997" i="1" s="1"/>
  <c r="U998" i="1" a="1"/>
  <c r="U998" i="1" s="1"/>
  <c r="U999" i="1" a="1"/>
  <c r="U999" i="1" s="1"/>
  <c r="U1000" i="1" a="1"/>
  <c r="U1000" i="1" s="1"/>
  <c r="U1001" i="1" a="1"/>
  <c r="U1001" i="1" s="1"/>
  <c r="U1002" i="1" a="1"/>
  <c r="U1002" i="1" s="1"/>
  <c r="U1003" i="1" a="1"/>
  <c r="U1003" i="1" s="1"/>
  <c r="U1004" i="1" a="1"/>
  <c r="U1004" i="1" s="1"/>
  <c r="U1005" i="1" a="1"/>
  <c r="U1005" i="1" s="1"/>
  <c r="U1006" i="1" a="1"/>
  <c r="U1006" i="1" s="1"/>
  <c r="U1007" i="1" a="1"/>
  <c r="U1007" i="1" s="1"/>
  <c r="U1008" i="1" a="1"/>
  <c r="U1008" i="1" s="1"/>
  <c r="U1009" i="1" a="1"/>
  <c r="U1009" i="1" s="1"/>
  <c r="U1010" i="1" a="1"/>
  <c r="U1010" i="1" s="1"/>
  <c r="U1011" i="1" a="1"/>
  <c r="U1011" i="1" s="1"/>
  <c r="U1012" i="1" a="1"/>
  <c r="U1012" i="1" s="1"/>
  <c r="U1013" i="1" a="1"/>
  <c r="U1013" i="1" s="1"/>
  <c r="U1014" i="1" a="1"/>
  <c r="U1014" i="1" s="1"/>
  <c r="U1015" i="1" a="1"/>
  <c r="U1015" i="1" s="1"/>
  <c r="U1016" i="1" a="1"/>
  <c r="U1016" i="1" s="1"/>
  <c r="U1017" i="1" a="1"/>
  <c r="U1017" i="1" s="1"/>
  <c r="U1018" i="1" a="1"/>
  <c r="U1018" i="1" s="1"/>
  <c r="U1019" i="1" a="1"/>
  <c r="U1019" i="1" s="1"/>
  <c r="U1020" i="1" a="1"/>
  <c r="U1020" i="1" s="1"/>
  <c r="U1021" i="1" a="1"/>
  <c r="U1021" i="1" s="1"/>
  <c r="U1022" i="1" a="1"/>
  <c r="U1022" i="1" s="1"/>
  <c r="U1023" i="1" a="1"/>
  <c r="U1023" i="1" s="1"/>
  <c r="U1024" i="1" a="1"/>
  <c r="U1024" i="1" s="1"/>
  <c r="U1025" i="1" a="1"/>
  <c r="U1025" i="1" s="1"/>
  <c r="U1026" i="1" a="1"/>
  <c r="U1026" i="1" s="1"/>
  <c r="U1027" i="1" a="1"/>
  <c r="U1027" i="1" s="1"/>
  <c r="U1028" i="1" a="1"/>
  <c r="U1028" i="1" s="1"/>
  <c r="U1029" i="1" a="1"/>
  <c r="U1029" i="1" s="1"/>
  <c r="U1030" i="1" a="1"/>
  <c r="U1030" i="1" s="1"/>
  <c r="U1031" i="1" a="1"/>
  <c r="U1031" i="1" s="1"/>
  <c r="U1032" i="1" a="1"/>
  <c r="U1032" i="1" s="1"/>
  <c r="U1033" i="1" a="1"/>
  <c r="U1033" i="1" s="1"/>
  <c r="U1034" i="1" a="1"/>
  <c r="U1034" i="1" s="1"/>
  <c r="U1035" i="1" a="1"/>
  <c r="U1035" i="1" s="1"/>
  <c r="U1036" i="1" a="1"/>
  <c r="U1036" i="1" s="1"/>
  <c r="U1037" i="1" a="1"/>
  <c r="U1037" i="1" s="1"/>
  <c r="U1038" i="1" a="1"/>
  <c r="U1038" i="1" s="1"/>
  <c r="U1039" i="1" a="1"/>
  <c r="U1039" i="1" s="1"/>
  <c r="U1040" i="1" a="1"/>
  <c r="U1040" i="1" s="1"/>
  <c r="U1041" i="1" a="1"/>
  <c r="U1041" i="1" s="1"/>
  <c r="U1042" i="1" a="1"/>
  <c r="U1042" i="1" s="1"/>
  <c r="U1043" i="1" a="1"/>
  <c r="U1043" i="1" s="1"/>
  <c r="U1044" i="1" a="1"/>
  <c r="U1044" i="1" s="1"/>
  <c r="U1045" i="1" a="1"/>
  <c r="U1045" i="1" s="1"/>
  <c r="U1046" i="1" a="1"/>
  <c r="U1046" i="1" s="1"/>
  <c r="U1047" i="1" a="1"/>
  <c r="U1047" i="1" s="1"/>
  <c r="U1048" i="1" a="1"/>
  <c r="U1048" i="1" s="1"/>
  <c r="U1049" i="1" a="1"/>
  <c r="U1049" i="1" s="1"/>
  <c r="U1050" i="1" a="1"/>
  <c r="U1050" i="1" s="1"/>
  <c r="U1051" i="1" a="1"/>
  <c r="U1051" i="1" s="1"/>
  <c r="U1052" i="1" a="1"/>
  <c r="U1052" i="1" s="1"/>
  <c r="U1053" i="1" a="1"/>
  <c r="U1053" i="1" s="1"/>
  <c r="U1054" i="1" a="1"/>
  <c r="U1054" i="1" s="1"/>
  <c r="U1055" i="1" a="1"/>
  <c r="U1055" i="1" s="1"/>
  <c r="U1056" i="1" a="1"/>
  <c r="U1056" i="1" s="1"/>
  <c r="U1057" i="1" a="1"/>
  <c r="U1057" i="1" s="1"/>
  <c r="U1058" i="1" a="1"/>
  <c r="U1058" i="1" s="1"/>
  <c r="U1059" i="1" a="1"/>
  <c r="U1059" i="1" s="1"/>
  <c r="U1060" i="1" a="1"/>
  <c r="U1060" i="1" s="1"/>
  <c r="U1061" i="1" a="1"/>
  <c r="U1061" i="1" s="1"/>
  <c r="U1062" i="1" a="1"/>
  <c r="U1062" i="1" s="1"/>
  <c r="U1063" i="1" a="1"/>
  <c r="U1063" i="1" s="1"/>
  <c r="U1064" i="1" a="1"/>
  <c r="U1064" i="1" s="1"/>
  <c r="U1065" i="1" a="1"/>
  <c r="U1065" i="1" s="1"/>
  <c r="U1066" i="1" a="1"/>
  <c r="U1066" i="1" s="1"/>
  <c r="U1067" i="1" a="1"/>
  <c r="U1067" i="1" s="1"/>
  <c r="U1068" i="1" a="1"/>
  <c r="U1068" i="1" s="1"/>
  <c r="U1069" i="1" a="1"/>
  <c r="U1069" i="1" s="1"/>
  <c r="U1070" i="1" a="1"/>
  <c r="U1070" i="1" s="1"/>
  <c r="U1071" i="1" a="1"/>
  <c r="U1071" i="1" s="1"/>
  <c r="U1072" i="1" a="1"/>
  <c r="U1072" i="1" s="1"/>
  <c r="U1073" i="1" a="1"/>
  <c r="U1073" i="1" s="1"/>
  <c r="U1074" i="1" a="1"/>
  <c r="U1074" i="1" s="1"/>
  <c r="U1075" i="1" a="1"/>
  <c r="U1075" i="1" s="1"/>
  <c r="U1076" i="1" a="1"/>
  <c r="U1076" i="1" s="1"/>
  <c r="U1077" i="1" a="1"/>
  <c r="U1077" i="1" s="1"/>
  <c r="U1078" i="1" a="1"/>
  <c r="U1078" i="1" s="1"/>
  <c r="U1079" i="1" a="1"/>
  <c r="U1079" i="1" s="1"/>
  <c r="U1080" i="1" a="1"/>
  <c r="U1080" i="1" s="1"/>
  <c r="U1081" i="1" a="1"/>
  <c r="U1081" i="1" s="1"/>
  <c r="U1082" i="1" a="1"/>
  <c r="U1082" i="1" s="1"/>
  <c r="U1083" i="1" a="1"/>
  <c r="U1083" i="1" s="1"/>
  <c r="U1084" i="1" a="1"/>
  <c r="U1084" i="1" s="1"/>
  <c r="U1085" i="1" a="1"/>
  <c r="U1085" i="1" s="1"/>
  <c r="U1086" i="1" a="1"/>
  <c r="U1086" i="1" s="1"/>
  <c r="U1087" i="1" a="1"/>
  <c r="U1087" i="1" s="1"/>
  <c r="U1088" i="1" a="1"/>
  <c r="U1088" i="1" s="1"/>
  <c r="U1089" i="1" a="1"/>
  <c r="U1089" i="1" s="1"/>
  <c r="U1090" i="1" a="1"/>
  <c r="U1090" i="1" s="1"/>
  <c r="U1091" i="1" a="1"/>
  <c r="U1091" i="1" s="1"/>
  <c r="U1092" i="1" a="1"/>
  <c r="U1092" i="1" s="1"/>
  <c r="U1093" i="1" a="1"/>
  <c r="U1093" i="1" s="1"/>
  <c r="U1094" i="1" a="1"/>
  <c r="U1094" i="1" s="1"/>
  <c r="U1095" i="1" a="1"/>
  <c r="U1095" i="1" s="1"/>
  <c r="U1096" i="1" a="1"/>
  <c r="U1096" i="1" s="1"/>
  <c r="U1097" i="1" a="1"/>
  <c r="U1097" i="1" s="1"/>
  <c r="U1098" i="1" a="1"/>
  <c r="U1098" i="1" s="1"/>
  <c r="U1099" i="1" a="1"/>
  <c r="U1099" i="1" s="1"/>
  <c r="U1100" i="1" a="1"/>
  <c r="U1100" i="1" s="1"/>
  <c r="U1101" i="1" a="1"/>
  <c r="U1101" i="1" s="1"/>
  <c r="U1102" i="1" a="1"/>
  <c r="U1102" i="1" s="1"/>
  <c r="U1103" i="1" a="1"/>
  <c r="U1103" i="1" s="1"/>
  <c r="U1104" i="1" a="1"/>
  <c r="U1104" i="1" s="1"/>
  <c r="U1105" i="1" a="1"/>
  <c r="U1105" i="1" s="1"/>
  <c r="U1106" i="1" a="1"/>
  <c r="U1106" i="1" s="1"/>
  <c r="U1107" i="1" a="1"/>
  <c r="U1107" i="1" s="1"/>
  <c r="U1108" i="1" a="1"/>
  <c r="U1108" i="1" s="1"/>
  <c r="U1109" i="1" a="1"/>
  <c r="U1109" i="1" s="1"/>
  <c r="U1110" i="1" a="1"/>
  <c r="U1110" i="1" s="1"/>
  <c r="U1111" i="1" a="1"/>
  <c r="U1111" i="1" s="1"/>
  <c r="U1112" i="1" a="1"/>
  <c r="U1112" i="1" s="1"/>
  <c r="U1113" i="1" a="1"/>
  <c r="U1113" i="1" s="1"/>
  <c r="U1114" i="1" a="1"/>
  <c r="U1114" i="1" s="1"/>
  <c r="U1115" i="1" a="1"/>
  <c r="U1115" i="1" s="1"/>
  <c r="U1116" i="1" a="1"/>
  <c r="U1116" i="1" s="1"/>
  <c r="U1117" i="1" a="1"/>
  <c r="U1117" i="1" s="1"/>
  <c r="U1118" i="1" a="1"/>
  <c r="U1118" i="1" s="1"/>
  <c r="U1119" i="1" a="1"/>
  <c r="U1119" i="1" s="1"/>
  <c r="U1120" i="1" a="1"/>
  <c r="U1120" i="1" s="1"/>
  <c r="U1121" i="1" a="1"/>
  <c r="U1121" i="1" s="1"/>
  <c r="U1122" i="1" a="1"/>
  <c r="U1122" i="1" s="1"/>
  <c r="U1123" i="1" a="1"/>
  <c r="U1123" i="1" s="1"/>
  <c r="U1124" i="1" a="1"/>
  <c r="U1124" i="1" s="1"/>
  <c r="U1125" i="1" a="1"/>
  <c r="U1125" i="1" s="1"/>
  <c r="U1126" i="1" a="1"/>
  <c r="U1126" i="1" s="1"/>
  <c r="U1127" i="1" a="1"/>
  <c r="U1127" i="1" s="1"/>
  <c r="U1128" i="1" a="1"/>
  <c r="U1128" i="1" s="1"/>
  <c r="U1129" i="1" a="1"/>
  <c r="U1129" i="1" s="1"/>
  <c r="U1130" i="1" a="1"/>
  <c r="U1130" i="1" s="1"/>
  <c r="U1131" i="1" a="1"/>
  <c r="U1131" i="1" s="1"/>
  <c r="U1132" i="1" a="1"/>
  <c r="U1132" i="1" s="1"/>
  <c r="U1133" i="1" a="1"/>
  <c r="U1133" i="1" s="1"/>
  <c r="U1134" i="1" a="1"/>
  <c r="U1134" i="1" s="1"/>
  <c r="U1135" i="1" a="1"/>
  <c r="U1135" i="1" s="1"/>
  <c r="U1136" i="1" a="1"/>
  <c r="U1136" i="1" s="1"/>
  <c r="U1137" i="1" a="1"/>
  <c r="U1137" i="1" s="1"/>
  <c r="U1138" i="1" a="1"/>
  <c r="U1138" i="1" s="1"/>
  <c r="U1139" i="1" a="1"/>
  <c r="U1139" i="1" s="1"/>
  <c r="U1140" i="1" a="1"/>
  <c r="U1140" i="1" s="1"/>
  <c r="U1141" i="1" a="1"/>
  <c r="U1141" i="1" s="1"/>
  <c r="U1142" i="1" a="1"/>
  <c r="U1142" i="1" s="1"/>
  <c r="U1143" i="1" a="1"/>
  <c r="U1143" i="1" s="1"/>
  <c r="U1144" i="1" a="1"/>
  <c r="U1144" i="1" s="1"/>
  <c r="U1145" i="1" a="1"/>
  <c r="U1145" i="1" s="1"/>
  <c r="U1146" i="1" a="1"/>
  <c r="U1146" i="1" s="1"/>
  <c r="U1147" i="1" a="1"/>
  <c r="U1147" i="1" s="1"/>
  <c r="U1148" i="1" a="1"/>
  <c r="U1148" i="1" s="1"/>
  <c r="U1149" i="1" a="1"/>
  <c r="U1149" i="1" s="1"/>
  <c r="U1150" i="1" a="1"/>
  <c r="U1150" i="1" s="1"/>
  <c r="U1151" i="1" a="1"/>
  <c r="U1151" i="1" s="1"/>
  <c r="U1152" i="1" a="1"/>
  <c r="U1152" i="1" s="1"/>
  <c r="U1153" i="1" a="1"/>
  <c r="U1153" i="1" s="1"/>
  <c r="U1154" i="1" a="1"/>
  <c r="U1154" i="1" s="1"/>
  <c r="U1155" i="1" a="1"/>
  <c r="U1155" i="1" s="1"/>
  <c r="U1156" i="1" a="1"/>
  <c r="U1156" i="1" s="1"/>
  <c r="U1157" i="1" a="1"/>
  <c r="U1157" i="1" s="1"/>
  <c r="U1158" i="1" a="1"/>
  <c r="U1158" i="1" s="1"/>
  <c r="U1159" i="1" a="1"/>
  <c r="U1159" i="1" s="1"/>
  <c r="U1160" i="1" a="1"/>
  <c r="U1160" i="1" s="1"/>
  <c r="U1161" i="1" a="1"/>
  <c r="U1161" i="1" s="1"/>
  <c r="U1162" i="1" a="1"/>
  <c r="U1162" i="1" s="1"/>
  <c r="U1163" i="1" a="1"/>
  <c r="U1163" i="1" s="1"/>
  <c r="U1164" i="1" a="1"/>
  <c r="U1164" i="1" s="1"/>
  <c r="U1165" i="1" a="1"/>
  <c r="U1165" i="1" s="1"/>
  <c r="U1166" i="1" a="1"/>
  <c r="U1166" i="1" s="1"/>
  <c r="U1167" i="1" a="1"/>
  <c r="U1167" i="1" s="1"/>
  <c r="U1168" i="1" a="1"/>
  <c r="U1168" i="1" s="1"/>
  <c r="U1169" i="1" a="1"/>
  <c r="U1169" i="1" s="1"/>
  <c r="U1170" i="1" a="1"/>
  <c r="U1170" i="1" s="1"/>
  <c r="U1171" i="1" a="1"/>
  <c r="U1171" i="1" s="1"/>
  <c r="U1172" i="1" a="1"/>
  <c r="U1172" i="1" s="1"/>
  <c r="U1173" i="1" a="1"/>
  <c r="U1173" i="1" s="1"/>
  <c r="U1174" i="1" a="1"/>
  <c r="U1174" i="1" s="1"/>
  <c r="U1175" i="1" a="1"/>
  <c r="U1175" i="1" s="1"/>
  <c r="U1176" i="1" a="1"/>
  <c r="U1176" i="1" s="1"/>
  <c r="U1177" i="1" a="1"/>
  <c r="U1177" i="1" s="1"/>
  <c r="U1178" i="1" a="1"/>
  <c r="U1178" i="1" s="1"/>
  <c r="U1179" i="1" a="1"/>
  <c r="U1179" i="1" s="1"/>
  <c r="U1180" i="1" a="1"/>
  <c r="U1180" i="1" s="1"/>
  <c r="U1181" i="1" a="1"/>
  <c r="U1181" i="1" s="1"/>
  <c r="U1182" i="1" a="1"/>
  <c r="U1182" i="1" s="1"/>
  <c r="U1183" i="1" a="1"/>
  <c r="U1183" i="1" s="1"/>
  <c r="U1184" i="1" a="1"/>
  <c r="U1184" i="1" s="1"/>
  <c r="U1185" i="1" a="1"/>
  <c r="U1185" i="1" s="1"/>
  <c r="U1186" i="1" a="1"/>
  <c r="U1186" i="1" s="1"/>
  <c r="U1187" i="1" a="1"/>
  <c r="U1187" i="1" s="1"/>
  <c r="U1188" i="1" a="1"/>
  <c r="U1188" i="1" s="1"/>
  <c r="U1189" i="1" a="1"/>
  <c r="U1189" i="1" s="1"/>
  <c r="U1190" i="1" a="1"/>
  <c r="U1190" i="1" s="1"/>
  <c r="U1191" i="1" a="1"/>
  <c r="U1191" i="1" s="1"/>
  <c r="U1192" i="1" a="1"/>
  <c r="U1192" i="1" s="1"/>
  <c r="U1193" i="1" a="1"/>
  <c r="U1193" i="1" s="1"/>
  <c r="U1194" i="1" a="1"/>
  <c r="U1194" i="1" s="1"/>
  <c r="U1195" i="1" a="1"/>
  <c r="U1195" i="1" s="1"/>
  <c r="U1196" i="1" a="1"/>
  <c r="U1196" i="1" s="1"/>
  <c r="U1197" i="1" a="1"/>
  <c r="U1197" i="1" s="1"/>
  <c r="U1198" i="1" a="1"/>
  <c r="U1198" i="1" s="1"/>
  <c r="U1199" i="1" a="1"/>
  <c r="U1199" i="1" s="1"/>
  <c r="U1200" i="1" a="1"/>
  <c r="U1200" i="1" s="1"/>
  <c r="U1201" i="1" a="1"/>
  <c r="U1201" i="1" s="1"/>
  <c r="U1202" i="1" a="1"/>
  <c r="U1202" i="1" s="1"/>
  <c r="U1203" i="1" a="1"/>
  <c r="U1203" i="1" s="1"/>
  <c r="U1204" i="1" a="1"/>
  <c r="U1204" i="1" s="1"/>
  <c r="U1205" i="1" a="1"/>
  <c r="U1205" i="1" s="1"/>
  <c r="U1206" i="1" a="1"/>
  <c r="U1206" i="1" s="1"/>
  <c r="U1207" i="1" a="1"/>
  <c r="U1207" i="1" s="1"/>
  <c r="U1208" i="1" a="1"/>
  <c r="U1208" i="1" s="1"/>
  <c r="U1209" i="1" a="1"/>
  <c r="U1209" i="1" s="1"/>
  <c r="U1210" i="1" a="1"/>
  <c r="U1210" i="1" s="1"/>
  <c r="U1211" i="1" a="1"/>
  <c r="U1211" i="1" s="1"/>
  <c r="U1212" i="1" a="1"/>
  <c r="U1212" i="1" s="1"/>
  <c r="U1213" i="1" a="1"/>
  <c r="U1213" i="1" s="1"/>
  <c r="U1214" i="1" a="1"/>
  <c r="U1214" i="1" s="1"/>
  <c r="U1215" i="1" a="1"/>
  <c r="U1215" i="1" s="1"/>
  <c r="U1216" i="1" a="1"/>
  <c r="U1216" i="1" s="1"/>
  <c r="U1217" i="1" a="1"/>
  <c r="U1217" i="1" s="1"/>
  <c r="U1218" i="1" a="1"/>
  <c r="U1218" i="1" s="1"/>
  <c r="U1219" i="1" a="1"/>
  <c r="U1219" i="1" s="1"/>
  <c r="U1220" i="1" a="1"/>
  <c r="U1220" i="1" s="1"/>
  <c r="U1221" i="1" a="1"/>
  <c r="U1221" i="1" s="1"/>
  <c r="U1222" i="1" a="1"/>
  <c r="U1222" i="1" s="1"/>
  <c r="U1223" i="1" a="1"/>
  <c r="U1223" i="1" s="1"/>
  <c r="U1224" i="1" a="1"/>
  <c r="U1224" i="1" s="1"/>
  <c r="U1225" i="1" a="1"/>
  <c r="U1225" i="1" s="1"/>
  <c r="U1226" i="1" a="1"/>
  <c r="U1226" i="1" s="1"/>
  <c r="U1227" i="1" a="1"/>
  <c r="U1227" i="1" s="1"/>
  <c r="U1228" i="1" a="1"/>
  <c r="U1228" i="1" s="1"/>
  <c r="U1229" i="1" a="1"/>
  <c r="U1229" i="1" s="1"/>
  <c r="U1230" i="1" a="1"/>
  <c r="U1230" i="1" s="1"/>
  <c r="U1231" i="1" a="1"/>
  <c r="U1231" i="1" s="1"/>
  <c r="U1232" i="1" a="1"/>
  <c r="U1232" i="1" s="1"/>
  <c r="U1233" i="1" a="1"/>
  <c r="U1233" i="1" s="1"/>
  <c r="U1234" i="1" a="1"/>
  <c r="U1234" i="1" s="1"/>
  <c r="U1235" i="1" a="1"/>
  <c r="U1235" i="1" s="1"/>
  <c r="U1236" i="1" a="1"/>
  <c r="U1236" i="1" s="1"/>
  <c r="U1237" i="1" a="1"/>
  <c r="U1237" i="1" s="1"/>
  <c r="U1238" i="1" a="1"/>
  <c r="U1238" i="1" s="1"/>
  <c r="U1239" i="1" a="1"/>
  <c r="U1239" i="1" s="1"/>
  <c r="U1240" i="1" a="1"/>
  <c r="U1240" i="1" s="1"/>
  <c r="U1241" i="1" a="1"/>
  <c r="U1241" i="1" s="1"/>
  <c r="U1242" i="1" a="1"/>
  <c r="U1242" i="1" s="1"/>
  <c r="U1243" i="1" a="1"/>
  <c r="U1243" i="1" s="1"/>
  <c r="U1244" i="1" a="1"/>
  <c r="U1244" i="1" s="1"/>
  <c r="U1245" i="1" a="1"/>
  <c r="U1245" i="1" s="1"/>
  <c r="U1246" i="1" a="1"/>
  <c r="U1246" i="1" s="1"/>
  <c r="U1247" i="1" a="1"/>
  <c r="U1247" i="1" s="1"/>
  <c r="U1248" i="1" a="1"/>
  <c r="U1248" i="1" s="1"/>
  <c r="U1249" i="1" a="1"/>
  <c r="U1249" i="1" s="1"/>
  <c r="U1250" i="1" a="1"/>
  <c r="U1250" i="1" s="1"/>
  <c r="U1251" i="1" a="1"/>
  <c r="U1251" i="1" s="1"/>
  <c r="U1252" i="1" a="1"/>
  <c r="U1252" i="1" s="1"/>
  <c r="U1253" i="1" a="1"/>
  <c r="U1253" i="1" s="1"/>
  <c r="U1254" i="1" a="1"/>
  <c r="U1254" i="1" s="1"/>
  <c r="U1255" i="1" a="1"/>
  <c r="U1255" i="1" s="1"/>
  <c r="U1256" i="1" a="1"/>
  <c r="U1256" i="1" s="1"/>
  <c r="U1257" i="1" a="1"/>
  <c r="U1257" i="1" s="1"/>
  <c r="U1258" i="1" a="1"/>
  <c r="U1258" i="1" s="1"/>
  <c r="U1259" i="1" a="1"/>
  <c r="U1259" i="1" s="1"/>
  <c r="U1260" i="1" a="1"/>
  <c r="U1260" i="1" s="1"/>
  <c r="U1261" i="1" a="1"/>
  <c r="U1261" i="1" s="1"/>
  <c r="U1262" i="1" a="1"/>
  <c r="U1262" i="1" s="1"/>
  <c r="U1263" i="1" a="1"/>
  <c r="U1263" i="1" s="1"/>
  <c r="U1264" i="1" a="1"/>
  <c r="U1264" i="1" s="1"/>
  <c r="U1265" i="1" a="1"/>
  <c r="U1265" i="1" s="1"/>
  <c r="U1266" i="1" a="1"/>
  <c r="U1266" i="1" s="1"/>
  <c r="U1267" i="1" a="1"/>
  <c r="U1267" i="1" s="1"/>
  <c r="U1268" i="1" a="1"/>
  <c r="U1268" i="1" s="1"/>
  <c r="U1269" i="1" a="1"/>
  <c r="U1269" i="1" s="1"/>
  <c r="U1270" i="1" a="1"/>
  <c r="U1270" i="1" s="1"/>
  <c r="U1271" i="1" a="1"/>
  <c r="U1271" i="1" s="1"/>
  <c r="U1272" i="1" a="1"/>
  <c r="U1272" i="1" s="1"/>
  <c r="U1273" i="1" a="1"/>
  <c r="U1273" i="1" s="1"/>
  <c r="U1274" i="1" a="1"/>
  <c r="U1274" i="1" s="1"/>
  <c r="U1275" i="1" a="1"/>
  <c r="U1275" i="1" s="1"/>
  <c r="U1276" i="1" a="1"/>
  <c r="U1276" i="1" s="1"/>
  <c r="U1277" i="1" a="1"/>
  <c r="U1277" i="1" s="1"/>
  <c r="U1278" i="1" a="1"/>
  <c r="U1278" i="1" s="1"/>
  <c r="U1279" i="1" a="1"/>
  <c r="U1279" i="1" s="1"/>
  <c r="U1280" i="1" a="1"/>
  <c r="U1280" i="1" s="1"/>
  <c r="U1281" i="1" a="1"/>
  <c r="U1281" i="1" s="1"/>
  <c r="U1282" i="1" a="1"/>
  <c r="U1282" i="1" s="1"/>
  <c r="U1283" i="1" a="1"/>
  <c r="U1283" i="1" s="1"/>
  <c r="U1284" i="1" a="1"/>
  <c r="U1284" i="1" s="1"/>
  <c r="U1285" i="1" a="1"/>
  <c r="U1285" i="1" s="1"/>
  <c r="U1286" i="1" a="1"/>
  <c r="U1286" i="1" s="1"/>
  <c r="U1287" i="1" a="1"/>
  <c r="U1287" i="1" s="1"/>
  <c r="U1288" i="1" a="1"/>
  <c r="U1288" i="1" s="1"/>
  <c r="U1289" i="1" a="1"/>
  <c r="U1289" i="1" s="1"/>
  <c r="U1290" i="1" a="1"/>
  <c r="U1290" i="1" s="1"/>
  <c r="U1291" i="1" a="1"/>
  <c r="U1291" i="1" s="1"/>
  <c r="U1292" i="1" a="1"/>
  <c r="U1292" i="1" s="1"/>
  <c r="U1293" i="1" a="1"/>
  <c r="U1293" i="1" s="1"/>
  <c r="U1294" i="1" a="1"/>
  <c r="U1294" i="1" s="1"/>
  <c r="U1295" i="1" a="1"/>
  <c r="U1295" i="1" s="1"/>
  <c r="U1296" i="1" a="1"/>
  <c r="U1296" i="1" s="1"/>
  <c r="U1297" i="1" a="1"/>
  <c r="U1297" i="1" s="1"/>
  <c r="U1298" i="1" a="1"/>
  <c r="U1298" i="1" s="1"/>
  <c r="U1299" i="1" a="1"/>
  <c r="U1299" i="1" s="1"/>
  <c r="U1300" i="1" a="1"/>
  <c r="U1300" i="1" s="1"/>
  <c r="U1301" i="1" a="1"/>
  <c r="U1301" i="1" s="1"/>
  <c r="U1302" i="1" a="1"/>
  <c r="U1302" i="1" s="1"/>
  <c r="U1303" i="1" a="1"/>
  <c r="U1303" i="1" s="1"/>
  <c r="U1304" i="1" a="1"/>
  <c r="U1304" i="1" s="1"/>
  <c r="U1305" i="1" a="1"/>
  <c r="U1305" i="1" s="1"/>
  <c r="U1306" i="1" a="1"/>
  <c r="U1306" i="1" s="1"/>
  <c r="U1307" i="1" a="1"/>
  <c r="U1307" i="1" s="1"/>
  <c r="U1308" i="1" a="1"/>
  <c r="U1308" i="1" s="1"/>
  <c r="U1309" i="1" a="1"/>
  <c r="U1309" i="1" s="1"/>
  <c r="U1310" i="1" a="1"/>
  <c r="U1310" i="1" s="1"/>
  <c r="U1311" i="1" a="1"/>
  <c r="U1311" i="1" s="1"/>
  <c r="U1312" i="1" a="1"/>
  <c r="U1312" i="1" s="1"/>
  <c r="U1313" i="1" a="1"/>
  <c r="U1313" i="1" s="1"/>
  <c r="U1314" i="1" a="1"/>
  <c r="U1314" i="1" s="1"/>
  <c r="U1315" i="1" a="1"/>
  <c r="U1315" i="1" s="1"/>
  <c r="U1316" i="1" a="1"/>
  <c r="U1316" i="1" s="1"/>
  <c r="U1317" i="1" a="1"/>
  <c r="U1317" i="1" s="1"/>
  <c r="U1318" i="1" a="1"/>
  <c r="U1318" i="1" s="1"/>
  <c r="U1319" i="1" a="1"/>
  <c r="U1319" i="1" s="1"/>
  <c r="U1320" i="1" a="1"/>
  <c r="U1320" i="1" s="1"/>
  <c r="U1321" i="1" a="1"/>
  <c r="U1321" i="1" s="1"/>
  <c r="U1322" i="1" a="1"/>
  <c r="U1322" i="1" s="1"/>
  <c r="U1323" i="1" a="1"/>
  <c r="U1323" i="1" s="1"/>
  <c r="U1324" i="1" a="1"/>
  <c r="U1324" i="1" s="1"/>
  <c r="U1325" i="1" a="1"/>
  <c r="U1325" i="1" s="1"/>
  <c r="U1326" i="1" a="1"/>
  <c r="U1326" i="1" s="1"/>
  <c r="U1327" i="1" a="1"/>
  <c r="U1327" i="1" s="1"/>
  <c r="U1328" i="1" a="1"/>
  <c r="U1328" i="1" s="1"/>
  <c r="U1329" i="1" a="1"/>
  <c r="U1329" i="1" s="1"/>
  <c r="U1330" i="1" a="1"/>
  <c r="U1330" i="1" s="1"/>
  <c r="U1331" i="1" a="1"/>
  <c r="U1331" i="1" s="1"/>
  <c r="U1332" i="1" a="1"/>
  <c r="U1332" i="1" s="1"/>
  <c r="U1333" i="1" a="1"/>
  <c r="U1333" i="1" s="1"/>
  <c r="U1334" i="1" a="1"/>
  <c r="U1334" i="1" s="1"/>
  <c r="U1335" i="1" a="1"/>
  <c r="U1335" i="1" s="1"/>
  <c r="U1336" i="1" a="1"/>
  <c r="U1336" i="1" s="1"/>
  <c r="U1337" i="1" a="1"/>
  <c r="U1337" i="1" s="1"/>
  <c r="U1338" i="1" a="1"/>
  <c r="U1338" i="1" s="1"/>
  <c r="U1339" i="1" a="1"/>
  <c r="U1339" i="1" s="1"/>
  <c r="U1340" i="1" a="1"/>
  <c r="U1340" i="1" s="1"/>
  <c r="U1341" i="1" a="1"/>
  <c r="U1341" i="1" s="1"/>
  <c r="U1342" i="1" a="1"/>
  <c r="U1342" i="1" s="1"/>
  <c r="U1343" i="1" a="1"/>
  <c r="U1343" i="1" s="1"/>
  <c r="U1344" i="1" a="1"/>
  <c r="U1344" i="1" s="1"/>
  <c r="U1345" i="1" a="1"/>
  <c r="U1345" i="1" s="1"/>
  <c r="U1346" i="1" a="1"/>
  <c r="U1346" i="1" s="1"/>
  <c r="U1347" i="1" a="1"/>
  <c r="U1347" i="1" s="1"/>
  <c r="U1348" i="1" a="1"/>
  <c r="U1348" i="1" s="1"/>
  <c r="U1349" i="1" a="1"/>
  <c r="U1349" i="1" s="1"/>
  <c r="U1350" i="1" a="1"/>
  <c r="U1350" i="1" s="1"/>
  <c r="U1351" i="1" a="1"/>
  <c r="U1351" i="1" s="1"/>
  <c r="U1352" i="1" a="1"/>
  <c r="U1352" i="1" s="1"/>
  <c r="U1353" i="1" a="1"/>
  <c r="U1353" i="1" s="1"/>
  <c r="U1354" i="1" a="1"/>
  <c r="U1354" i="1" s="1"/>
  <c r="U1355" i="1" a="1"/>
  <c r="U1355" i="1" s="1"/>
  <c r="U1356" i="1" a="1"/>
  <c r="U1356" i="1" s="1"/>
  <c r="U1357" i="1" a="1"/>
  <c r="U1357" i="1" s="1"/>
  <c r="U1358" i="1" a="1"/>
  <c r="U1358" i="1" s="1"/>
  <c r="U1359" i="1" a="1"/>
  <c r="U1359" i="1" s="1"/>
  <c r="U1360" i="1" a="1"/>
  <c r="U1360" i="1" s="1"/>
  <c r="U1361" i="1" a="1"/>
  <c r="U1361" i="1" s="1"/>
  <c r="U1362" i="1" a="1"/>
  <c r="U1362" i="1" s="1"/>
  <c r="U1363" i="1" a="1"/>
  <c r="U1363" i="1" s="1"/>
  <c r="U1364" i="1" a="1"/>
  <c r="U1364" i="1" s="1"/>
  <c r="U1365" i="1" a="1"/>
  <c r="U1365" i="1" s="1"/>
  <c r="U1366" i="1" a="1"/>
  <c r="U1366" i="1" s="1"/>
  <c r="U1367" i="1" a="1"/>
  <c r="U1367" i="1" s="1"/>
  <c r="U1368" i="1" a="1"/>
  <c r="U1368" i="1" s="1"/>
  <c r="U1369" i="1" a="1"/>
  <c r="U1369" i="1" s="1"/>
  <c r="U1370" i="1" a="1"/>
  <c r="U1370" i="1" s="1"/>
  <c r="U1371" i="1" a="1"/>
  <c r="U1371" i="1" s="1"/>
  <c r="U1372" i="1" a="1"/>
  <c r="U1372" i="1" s="1"/>
  <c r="U1373" i="1" a="1"/>
  <c r="U1373" i="1" s="1"/>
  <c r="U1374" i="1" a="1"/>
  <c r="U1374" i="1" s="1"/>
  <c r="U1375" i="1" a="1"/>
  <c r="U1375" i="1" s="1"/>
  <c r="U1376" i="1" a="1"/>
  <c r="U1376" i="1" s="1"/>
  <c r="U1377" i="1" a="1"/>
  <c r="U1377" i="1" s="1"/>
  <c r="U1378" i="1" a="1"/>
  <c r="U1378" i="1" s="1"/>
  <c r="U1379" i="1" a="1"/>
  <c r="U1379" i="1" s="1"/>
  <c r="U1380" i="1" a="1"/>
  <c r="U1380" i="1" s="1"/>
  <c r="U1381" i="1" a="1"/>
  <c r="U1381" i="1" s="1"/>
  <c r="U1382" i="1" a="1"/>
  <c r="U1382" i="1" s="1"/>
  <c r="U1383" i="1" a="1"/>
  <c r="U1383" i="1" s="1"/>
  <c r="U1384" i="1" a="1"/>
  <c r="U1384" i="1" s="1"/>
  <c r="U1385" i="1" a="1"/>
  <c r="U1385" i="1" s="1"/>
  <c r="U1386" i="1" a="1"/>
  <c r="U1386" i="1" s="1"/>
  <c r="U1387" i="1" a="1"/>
  <c r="U1387" i="1" s="1"/>
  <c r="U1388" i="1" a="1"/>
  <c r="U1388" i="1" s="1"/>
  <c r="U1389" i="1" a="1"/>
  <c r="U1389" i="1" s="1"/>
  <c r="U1390" i="1" a="1"/>
  <c r="U1390" i="1" s="1"/>
  <c r="U1391" i="1" a="1"/>
  <c r="U1391" i="1" s="1"/>
  <c r="U1392" i="1" a="1"/>
  <c r="U1392" i="1" s="1"/>
  <c r="U1393" i="1" a="1"/>
  <c r="U1393" i="1" s="1"/>
  <c r="U1394" i="1" a="1"/>
  <c r="U1394" i="1" s="1"/>
  <c r="U1395" i="1" a="1"/>
  <c r="U1395" i="1" s="1"/>
  <c r="U1396" i="1" a="1"/>
  <c r="U1396" i="1" s="1"/>
  <c r="U1397" i="1" a="1"/>
  <c r="U1397" i="1" s="1"/>
  <c r="U1398" i="1" a="1"/>
  <c r="U1398" i="1" s="1"/>
  <c r="U1399" i="1" a="1"/>
  <c r="U1399" i="1" s="1"/>
  <c r="U1400" i="1" a="1"/>
  <c r="U1400" i="1" s="1"/>
  <c r="U1401" i="1" a="1"/>
  <c r="U1401" i="1" s="1"/>
  <c r="U1402" i="1" a="1"/>
  <c r="U1402" i="1" s="1"/>
  <c r="U1403" i="1" a="1"/>
  <c r="U1403" i="1" s="1"/>
  <c r="U1404" i="1" a="1"/>
  <c r="U1404" i="1" s="1"/>
  <c r="U1405" i="1" a="1"/>
  <c r="U1405" i="1" s="1"/>
  <c r="U1406" i="1" a="1"/>
  <c r="U1406" i="1" s="1"/>
  <c r="U1407" i="1" a="1"/>
  <c r="U1407" i="1" s="1"/>
  <c r="U1408" i="1" a="1"/>
  <c r="U1408" i="1" s="1"/>
  <c r="U1409" i="1" a="1"/>
  <c r="U1409" i="1" s="1"/>
  <c r="U1410" i="1" a="1"/>
  <c r="U1410" i="1" s="1"/>
  <c r="U1411" i="1" a="1"/>
  <c r="U1411" i="1" s="1"/>
  <c r="U1412" i="1" a="1"/>
  <c r="U1412" i="1" s="1"/>
  <c r="U1413" i="1" a="1"/>
  <c r="U1413" i="1" s="1"/>
  <c r="U1414" i="1" a="1"/>
  <c r="U1414" i="1" s="1"/>
  <c r="U1415" i="1" a="1"/>
  <c r="U1415" i="1" s="1"/>
  <c r="U1416" i="1" a="1"/>
  <c r="U1416" i="1" s="1"/>
  <c r="U1417" i="1" a="1"/>
  <c r="U1417" i="1" s="1"/>
  <c r="U1418" i="1" a="1"/>
  <c r="U1418" i="1" s="1"/>
  <c r="U1419" i="1" a="1"/>
  <c r="U1419" i="1" s="1"/>
  <c r="U1420" i="1" a="1"/>
  <c r="U1420" i="1" s="1"/>
  <c r="U1421" i="1" a="1"/>
  <c r="U1421" i="1" s="1"/>
  <c r="U1422" i="1" a="1"/>
  <c r="U1422" i="1" s="1"/>
  <c r="U1423" i="1" a="1"/>
  <c r="U1423" i="1" s="1"/>
  <c r="U1424" i="1" a="1"/>
  <c r="U1424" i="1" s="1"/>
  <c r="U1425" i="1" a="1"/>
  <c r="U1425" i="1" s="1"/>
  <c r="U1426" i="1" a="1"/>
  <c r="U1426" i="1" s="1"/>
  <c r="U1427" i="1" a="1"/>
  <c r="U1427" i="1" s="1"/>
  <c r="U1428" i="1" a="1"/>
  <c r="U1428" i="1" s="1"/>
  <c r="U1429" i="1" a="1"/>
  <c r="U1429" i="1" s="1"/>
  <c r="U1430" i="1" a="1"/>
  <c r="U1430" i="1" s="1"/>
  <c r="U1431" i="1" a="1"/>
  <c r="U1431" i="1" s="1"/>
  <c r="U1432" i="1" a="1"/>
  <c r="U1432" i="1" s="1"/>
  <c r="U1433" i="1" a="1"/>
  <c r="U1433" i="1" s="1"/>
  <c r="U1434" i="1" a="1"/>
  <c r="U1434" i="1" s="1"/>
  <c r="U1435" i="1" a="1"/>
  <c r="U1435" i="1" s="1"/>
  <c r="U1436" i="1" a="1"/>
  <c r="U1436" i="1" s="1"/>
  <c r="U1437" i="1" a="1"/>
  <c r="U1437" i="1" s="1"/>
  <c r="U1438" i="1" a="1"/>
  <c r="U1438" i="1" s="1"/>
  <c r="U1439" i="1" a="1"/>
  <c r="U1439" i="1" s="1"/>
  <c r="U1440" i="1" a="1"/>
  <c r="U1440" i="1" s="1"/>
  <c r="U1441" i="1" a="1"/>
  <c r="U1441" i="1" s="1"/>
  <c r="U1442" i="1" a="1"/>
  <c r="U1442" i="1" s="1"/>
  <c r="U1443" i="1" a="1"/>
  <c r="U1443" i="1" s="1"/>
  <c r="U1444" i="1" a="1"/>
  <c r="U1444" i="1" s="1"/>
  <c r="U1445" i="1" a="1"/>
  <c r="U1445" i="1" s="1"/>
  <c r="U1446" i="1" a="1"/>
  <c r="U1446" i="1" s="1"/>
  <c r="U1447" i="1" a="1"/>
  <c r="U1447" i="1" s="1"/>
  <c r="U1448" i="1" a="1"/>
  <c r="U1448" i="1" s="1"/>
  <c r="U1449" i="1" a="1"/>
  <c r="U1449" i="1" s="1"/>
  <c r="U1450" i="1" a="1"/>
  <c r="U1450" i="1" s="1"/>
  <c r="U1451" i="1" a="1"/>
  <c r="U1451" i="1" s="1"/>
  <c r="U1452" i="1" a="1"/>
  <c r="U1452" i="1" s="1"/>
  <c r="U1453" i="1" a="1"/>
  <c r="U1453" i="1" s="1"/>
  <c r="U1454" i="1" a="1"/>
  <c r="U1454" i="1" s="1"/>
  <c r="U1455" i="1" a="1"/>
  <c r="U1455" i="1" s="1"/>
  <c r="U1456" i="1" a="1"/>
  <c r="U1456" i="1" s="1"/>
  <c r="U1457" i="1" a="1"/>
  <c r="U1457" i="1" s="1"/>
  <c r="U1458" i="1" a="1"/>
  <c r="U1458" i="1" s="1"/>
  <c r="U1459" i="1" a="1"/>
  <c r="U1459" i="1" s="1"/>
  <c r="U1460" i="1" a="1"/>
  <c r="U1460" i="1" s="1"/>
  <c r="U1461" i="1" a="1"/>
  <c r="U1461" i="1" s="1"/>
  <c r="U1462" i="1" a="1"/>
  <c r="U1462" i="1" s="1"/>
  <c r="U1463" i="1" a="1"/>
  <c r="U1463" i="1" s="1"/>
  <c r="U1464" i="1" a="1"/>
  <c r="U1464" i="1" s="1"/>
  <c r="U1465" i="1" a="1"/>
  <c r="U1465" i="1" s="1"/>
  <c r="U1466" i="1" a="1"/>
  <c r="U1466" i="1" s="1"/>
  <c r="U1467" i="1" a="1"/>
  <c r="U1467" i="1" s="1"/>
  <c r="U1468" i="1" a="1"/>
  <c r="U1468" i="1" s="1"/>
  <c r="U1469" i="1" a="1"/>
  <c r="U1469" i="1" s="1"/>
  <c r="U1470" i="1" a="1"/>
  <c r="U1470" i="1" s="1"/>
  <c r="U1471" i="1" a="1"/>
  <c r="U1471" i="1" s="1"/>
  <c r="AF41" i="2"/>
  <c r="AF40" i="2"/>
  <c r="B2" i="1" a="1"/>
  <c r="B2" i="1" s="1"/>
  <c r="B3" i="1" a="1"/>
  <c r="B3" i="1" s="1"/>
  <c r="B4" i="1" a="1"/>
  <c r="B4" i="1" s="1"/>
  <c r="B5" i="1" a="1"/>
  <c r="B5" i="1" s="1"/>
  <c r="B6" i="1" a="1"/>
  <c r="B6" i="1" s="1"/>
  <c r="B7" i="1" a="1"/>
  <c r="B7" i="1" s="1"/>
  <c r="B9" i="1" a="1"/>
  <c r="B9" i="1" s="1"/>
  <c r="B10" i="1" a="1"/>
  <c r="B10" i="1" s="1"/>
  <c r="B11" i="1" a="1"/>
  <c r="B11" i="1" s="1"/>
  <c r="B12" i="1" a="1"/>
  <c r="B12" i="1" s="1"/>
  <c r="B13" i="1" a="1"/>
  <c r="B13" i="1" s="1"/>
  <c r="B14" i="1" a="1"/>
  <c r="B14" i="1" s="1"/>
  <c r="B15" i="1" a="1"/>
  <c r="B15" i="1" s="1"/>
  <c r="B16" i="1" a="1"/>
  <c r="B16" i="1" s="1"/>
  <c r="B17" i="1" a="1"/>
  <c r="B17" i="1" s="1"/>
  <c r="B18" i="1" a="1"/>
  <c r="B18" i="1" s="1"/>
  <c r="B19" i="1" a="1"/>
  <c r="B19" i="1" s="1"/>
  <c r="B20" i="1" a="1"/>
  <c r="B20" i="1" s="1"/>
  <c r="B21" i="1" a="1"/>
  <c r="B21" i="1" s="1"/>
  <c r="B22" i="1" a="1"/>
  <c r="B22" i="1" s="1"/>
  <c r="B23" i="1" a="1"/>
  <c r="B23" i="1" s="1"/>
  <c r="B24" i="1" a="1"/>
  <c r="B24" i="1" s="1"/>
  <c r="B25" i="1" a="1"/>
  <c r="B25" i="1" s="1"/>
  <c r="B26" i="1" a="1"/>
  <c r="B26" i="1" s="1"/>
  <c r="B27" i="1" a="1"/>
  <c r="B27" i="1" s="1"/>
  <c r="B28" i="1" a="1"/>
  <c r="B28" i="1" s="1"/>
  <c r="B29" i="1" a="1"/>
  <c r="B29" i="1" s="1"/>
  <c r="B30" i="1" a="1"/>
  <c r="B30" i="1" s="1"/>
  <c r="B31" i="1" a="1"/>
  <c r="B31" i="1" s="1"/>
  <c r="B32" i="1" a="1"/>
  <c r="B32" i="1" s="1"/>
  <c r="B33" i="1" a="1"/>
  <c r="B33" i="1" s="1"/>
  <c r="B34" i="1" a="1"/>
  <c r="B34" i="1" s="1"/>
  <c r="B35" i="1" a="1"/>
  <c r="B35" i="1" s="1"/>
  <c r="B36" i="1" a="1"/>
  <c r="B36" i="1" s="1"/>
  <c r="B37" i="1" a="1"/>
  <c r="B37" i="1" s="1"/>
  <c r="B38" i="1" a="1"/>
  <c r="B38" i="1" s="1"/>
  <c r="B39" i="1" a="1"/>
  <c r="B39" i="1" s="1"/>
  <c r="B40" i="1" a="1"/>
  <c r="B40" i="1" s="1"/>
  <c r="B41" i="1" a="1"/>
  <c r="B41" i="1" s="1"/>
  <c r="B42" i="1" a="1"/>
  <c r="B42" i="1" s="1"/>
  <c r="B43" i="1" a="1"/>
  <c r="B43" i="1" s="1"/>
  <c r="B44" i="1" a="1"/>
  <c r="B44" i="1" s="1"/>
  <c r="B45" i="1" a="1"/>
  <c r="B45" i="1" s="1"/>
  <c r="B46" i="1" a="1"/>
  <c r="B46" i="1" s="1"/>
  <c r="B47" i="1" a="1"/>
  <c r="B47" i="1" s="1"/>
  <c r="B48" i="1" a="1"/>
  <c r="B48" i="1" s="1"/>
  <c r="B49" i="1" a="1"/>
  <c r="B49" i="1" s="1"/>
  <c r="B50" i="1" a="1"/>
  <c r="B50" i="1" s="1"/>
  <c r="B51" i="1" a="1"/>
  <c r="B51" i="1" s="1"/>
  <c r="B52" i="1" a="1"/>
  <c r="B52" i="1" s="1"/>
  <c r="B53" i="1" a="1"/>
  <c r="B53" i="1" s="1"/>
  <c r="B54" i="1" a="1"/>
  <c r="B54" i="1" s="1"/>
  <c r="B55" i="1" a="1"/>
  <c r="B55" i="1" s="1"/>
  <c r="B56" i="1" a="1"/>
  <c r="B56" i="1" s="1"/>
  <c r="B57" i="1" a="1"/>
  <c r="B57" i="1" s="1"/>
  <c r="B58" i="1" a="1"/>
  <c r="B58" i="1" s="1"/>
  <c r="B59" i="1" a="1"/>
  <c r="B59" i="1" s="1"/>
  <c r="B60" i="1" a="1"/>
  <c r="B60" i="1" s="1"/>
  <c r="B61" i="1" a="1"/>
  <c r="B61" i="1" s="1"/>
  <c r="B62" i="1" a="1"/>
  <c r="B62" i="1" s="1"/>
  <c r="B63" i="1" a="1"/>
  <c r="B63" i="1" s="1"/>
  <c r="B64" i="1" a="1"/>
  <c r="B64" i="1" s="1"/>
  <c r="B65" i="1" a="1"/>
  <c r="B65" i="1" s="1"/>
  <c r="AP65" i="1" s="1"/>
  <c r="AQ65" i="1" s="1"/>
  <c r="B66" i="1" a="1"/>
  <c r="B66" i="1" s="1"/>
  <c r="B67" i="1" a="1"/>
  <c r="B67" i="1" s="1"/>
  <c r="B68" i="1" a="1"/>
  <c r="B68" i="1" s="1"/>
  <c r="B69" i="1" a="1"/>
  <c r="B69" i="1" s="1"/>
  <c r="AP69" i="1" s="1"/>
  <c r="AQ69" i="1" s="1"/>
  <c r="B70" i="1" a="1"/>
  <c r="B70" i="1" s="1"/>
  <c r="B71" i="1" a="1"/>
  <c r="B71" i="1" s="1"/>
  <c r="B72" i="1" a="1"/>
  <c r="B72" i="1" s="1"/>
  <c r="B73" i="1" a="1"/>
  <c r="B73" i="1" s="1"/>
  <c r="B74" i="1" a="1"/>
  <c r="B74" i="1" s="1"/>
  <c r="B75" i="1" a="1"/>
  <c r="B75" i="1" s="1"/>
  <c r="B76" i="1" a="1"/>
  <c r="B76" i="1" s="1"/>
  <c r="B77" i="1" a="1"/>
  <c r="B77" i="1" s="1"/>
  <c r="AP77" i="1" s="1"/>
  <c r="AQ77" i="1" s="1"/>
  <c r="B79" i="1" a="1"/>
  <c r="B79" i="1" s="1"/>
  <c r="B80" i="1" a="1"/>
  <c r="B80" i="1" s="1"/>
  <c r="B81" i="1" a="1"/>
  <c r="B81" i="1" s="1"/>
  <c r="B82" i="1" a="1"/>
  <c r="B82" i="1" s="1"/>
  <c r="B83" i="1" a="1"/>
  <c r="B83" i="1" s="1"/>
  <c r="B84" i="1" a="1"/>
  <c r="B84" i="1" s="1"/>
  <c r="B85" i="1" a="1"/>
  <c r="B85" i="1" s="1"/>
  <c r="B86" i="1" a="1"/>
  <c r="B86" i="1" s="1"/>
  <c r="B87" i="1" a="1"/>
  <c r="B87" i="1" s="1"/>
  <c r="B88" i="1" a="1"/>
  <c r="B88" i="1" s="1"/>
  <c r="B89" i="1" a="1"/>
  <c r="B89" i="1" s="1"/>
  <c r="B90" i="1" a="1"/>
  <c r="B90" i="1" s="1"/>
  <c r="B91" i="1" a="1"/>
  <c r="B91" i="1" s="1"/>
  <c r="B92" i="1" a="1"/>
  <c r="B92" i="1" s="1"/>
  <c r="B93" i="1" a="1"/>
  <c r="B93" i="1" s="1"/>
  <c r="B94" i="1" a="1"/>
  <c r="B94" i="1" s="1"/>
  <c r="B95" i="1" a="1"/>
  <c r="B95" i="1" s="1"/>
  <c r="B96" i="1" a="1"/>
  <c r="B96" i="1" s="1"/>
  <c r="B97" i="1" a="1"/>
  <c r="B97" i="1" s="1"/>
  <c r="B98" i="1" a="1"/>
  <c r="B98" i="1" s="1"/>
  <c r="B99" i="1" a="1"/>
  <c r="B99" i="1" s="1"/>
  <c r="B100" i="1" a="1"/>
  <c r="B100" i="1" s="1"/>
  <c r="B101" i="1" a="1"/>
  <c r="B101" i="1" s="1"/>
  <c r="B102" i="1" a="1"/>
  <c r="B102" i="1" s="1"/>
  <c r="B103" i="1" a="1"/>
  <c r="B103" i="1" s="1"/>
  <c r="B104" i="1" a="1"/>
  <c r="B104" i="1" s="1"/>
  <c r="B105" i="1" a="1"/>
  <c r="B105" i="1" s="1"/>
  <c r="B106" i="1" a="1"/>
  <c r="B106" i="1" s="1"/>
  <c r="B107" i="1" a="1"/>
  <c r="B107" i="1" s="1"/>
  <c r="B108" i="1" a="1"/>
  <c r="B108" i="1" s="1"/>
  <c r="B109" i="1" a="1"/>
  <c r="B109" i="1" s="1"/>
  <c r="B110" i="1" a="1"/>
  <c r="B110" i="1" s="1"/>
  <c r="B111" i="1" a="1"/>
  <c r="B111" i="1" s="1"/>
  <c r="B112" i="1" a="1"/>
  <c r="B112" i="1" s="1"/>
  <c r="B113" i="1" a="1"/>
  <c r="B113" i="1" s="1"/>
  <c r="B114" i="1" a="1"/>
  <c r="B114" i="1" s="1"/>
  <c r="B115" i="1" a="1"/>
  <c r="B115" i="1" s="1"/>
  <c r="B116" i="1" a="1"/>
  <c r="B116" i="1" s="1"/>
  <c r="B117" i="1" a="1"/>
  <c r="B117" i="1" s="1"/>
  <c r="B118" i="1" a="1"/>
  <c r="B118" i="1" s="1"/>
  <c r="B119" i="1" a="1"/>
  <c r="B119" i="1" s="1"/>
  <c r="B120" i="1" a="1"/>
  <c r="B120" i="1" s="1"/>
  <c r="B121" i="1" a="1"/>
  <c r="B121" i="1" s="1"/>
  <c r="B122" i="1" a="1"/>
  <c r="B122" i="1" s="1"/>
  <c r="B123" i="1" a="1"/>
  <c r="B123" i="1" s="1"/>
  <c r="B124" i="1" a="1"/>
  <c r="B124" i="1" s="1"/>
  <c r="B125" i="1" a="1"/>
  <c r="B125" i="1" s="1"/>
  <c r="B126" i="1" a="1"/>
  <c r="B126" i="1" s="1"/>
  <c r="B127" i="1" a="1"/>
  <c r="B127" i="1" s="1"/>
  <c r="B128" i="1" a="1"/>
  <c r="B128" i="1" s="1"/>
  <c r="B129" i="1" a="1"/>
  <c r="B129" i="1" s="1"/>
  <c r="B130" i="1" a="1"/>
  <c r="B130" i="1" s="1"/>
  <c r="B131" i="1" a="1"/>
  <c r="B131" i="1" s="1"/>
  <c r="B132" i="1" a="1"/>
  <c r="B132" i="1" s="1"/>
  <c r="B133" i="1" a="1"/>
  <c r="B133" i="1" s="1"/>
  <c r="B134" i="1" a="1"/>
  <c r="B134" i="1" s="1"/>
  <c r="B135" i="1" a="1"/>
  <c r="B135" i="1" s="1"/>
  <c r="B136" i="1" a="1"/>
  <c r="B136" i="1" s="1"/>
  <c r="B137" i="1" a="1"/>
  <c r="B137" i="1" s="1"/>
  <c r="B138" i="1" a="1"/>
  <c r="B138" i="1" s="1"/>
  <c r="B139" i="1" a="1"/>
  <c r="B139" i="1" s="1"/>
  <c r="B140" i="1" a="1"/>
  <c r="B140" i="1" s="1"/>
  <c r="B141" i="1" a="1"/>
  <c r="B141" i="1" s="1"/>
  <c r="B142" i="1" a="1"/>
  <c r="B142" i="1" s="1"/>
  <c r="B143" i="1" a="1"/>
  <c r="B143" i="1" s="1"/>
  <c r="B144" i="1" a="1"/>
  <c r="B144" i="1" s="1"/>
  <c r="B145" i="1" a="1"/>
  <c r="B145" i="1" s="1"/>
  <c r="B146" i="1" a="1"/>
  <c r="B146" i="1" s="1"/>
  <c r="B147" i="1" a="1"/>
  <c r="B147" i="1" s="1"/>
  <c r="B148" i="1" a="1"/>
  <c r="B148" i="1" s="1"/>
  <c r="B149" i="1" a="1"/>
  <c r="B149" i="1" s="1"/>
  <c r="B150" i="1" a="1"/>
  <c r="B150" i="1" s="1"/>
  <c r="B151" i="1" a="1"/>
  <c r="B151" i="1" s="1"/>
  <c r="B152" i="1" a="1"/>
  <c r="B152" i="1" s="1"/>
  <c r="B153" i="1" a="1"/>
  <c r="B153" i="1" s="1"/>
  <c r="B154" i="1" a="1"/>
  <c r="B154" i="1" s="1"/>
  <c r="B155" i="1" a="1"/>
  <c r="B155" i="1" s="1"/>
  <c r="B156" i="1" a="1"/>
  <c r="B156" i="1" s="1"/>
  <c r="B157" i="1" a="1"/>
  <c r="B157" i="1" s="1"/>
  <c r="B158" i="1" a="1"/>
  <c r="B158" i="1" s="1"/>
  <c r="B159" i="1" a="1"/>
  <c r="B159" i="1" s="1"/>
  <c r="B160" i="1" a="1"/>
  <c r="B160" i="1" s="1"/>
  <c r="B161" i="1" a="1"/>
  <c r="B161" i="1" s="1"/>
  <c r="B162" i="1" a="1"/>
  <c r="B162" i="1" s="1"/>
  <c r="B163" i="1" a="1"/>
  <c r="B163" i="1" s="1"/>
  <c r="B164" i="1" a="1"/>
  <c r="B164" i="1" s="1"/>
  <c r="B165" i="1" a="1"/>
  <c r="B165" i="1" s="1"/>
  <c r="B166" i="1" a="1"/>
  <c r="B166" i="1" s="1"/>
  <c r="B167" i="1" a="1"/>
  <c r="B167" i="1" s="1"/>
  <c r="B168" i="1" a="1"/>
  <c r="B168" i="1" s="1"/>
  <c r="B169" i="1" a="1"/>
  <c r="B169" i="1" s="1"/>
  <c r="B170" i="1" a="1"/>
  <c r="B170" i="1" s="1"/>
  <c r="B171" i="1" a="1"/>
  <c r="B171" i="1" s="1"/>
  <c r="B172" i="1" a="1"/>
  <c r="B172" i="1" s="1"/>
  <c r="B173" i="1" a="1"/>
  <c r="B173" i="1" s="1"/>
  <c r="B174" i="1" a="1"/>
  <c r="B174" i="1" s="1"/>
  <c r="B175" i="1" a="1"/>
  <c r="B175" i="1" s="1"/>
  <c r="B176" i="1" a="1"/>
  <c r="B176" i="1" s="1"/>
  <c r="B177" i="1" a="1"/>
  <c r="B177" i="1" s="1"/>
  <c r="B178" i="1" a="1"/>
  <c r="B178" i="1" s="1"/>
  <c r="B179" i="1" a="1"/>
  <c r="B179" i="1" s="1"/>
  <c r="B180" i="1" a="1"/>
  <c r="B180" i="1" s="1"/>
  <c r="B181" i="1" a="1"/>
  <c r="B181" i="1" s="1"/>
  <c r="B182" i="1" a="1"/>
  <c r="B182" i="1" s="1"/>
  <c r="B183" i="1" a="1"/>
  <c r="B183" i="1" s="1"/>
  <c r="B184" i="1" a="1"/>
  <c r="B184" i="1" s="1"/>
  <c r="B185" i="1" a="1"/>
  <c r="B185" i="1" s="1"/>
  <c r="B186" i="1" a="1"/>
  <c r="B186" i="1" s="1"/>
  <c r="B187" i="1" a="1"/>
  <c r="B187" i="1" s="1"/>
  <c r="B188" i="1" a="1"/>
  <c r="B188" i="1" s="1"/>
  <c r="B189" i="1" a="1"/>
  <c r="B189" i="1" s="1"/>
  <c r="B190" i="1" a="1"/>
  <c r="B190" i="1" s="1"/>
  <c r="B191" i="1" a="1"/>
  <c r="B191" i="1" s="1"/>
  <c r="B192" i="1" a="1"/>
  <c r="B192" i="1" s="1"/>
  <c r="B193" i="1" a="1"/>
  <c r="B193" i="1" s="1"/>
  <c r="B194" i="1" a="1"/>
  <c r="B194" i="1" s="1"/>
  <c r="B195" i="1" a="1"/>
  <c r="B195" i="1" s="1"/>
  <c r="B196" i="1" a="1"/>
  <c r="B196" i="1" s="1"/>
  <c r="B197" i="1" a="1"/>
  <c r="B197" i="1" s="1"/>
  <c r="B198" i="1" a="1"/>
  <c r="B198" i="1" s="1"/>
  <c r="B199" i="1" a="1"/>
  <c r="B199" i="1" s="1"/>
  <c r="B200" i="1" a="1"/>
  <c r="B200" i="1" s="1"/>
  <c r="B201" i="1" a="1"/>
  <c r="B201" i="1" s="1"/>
  <c r="B202" i="1" a="1"/>
  <c r="B202" i="1" s="1"/>
  <c r="B203" i="1" a="1"/>
  <c r="B203" i="1" s="1"/>
  <c r="B204" i="1" a="1"/>
  <c r="B204" i="1" s="1"/>
  <c r="B205" i="1" a="1"/>
  <c r="B205" i="1" s="1"/>
  <c r="B206" i="1" a="1"/>
  <c r="B206" i="1" s="1"/>
  <c r="B207" i="1" a="1"/>
  <c r="B207" i="1" s="1"/>
  <c r="B208" i="1" a="1"/>
  <c r="B208" i="1" s="1"/>
  <c r="B209" i="1" a="1"/>
  <c r="B209" i="1" s="1"/>
  <c r="B210" i="1" a="1"/>
  <c r="B210" i="1" s="1"/>
  <c r="B211" i="1" a="1"/>
  <c r="B211" i="1" s="1"/>
  <c r="B212" i="1" a="1"/>
  <c r="B212" i="1" s="1"/>
  <c r="B213" i="1" a="1"/>
  <c r="B213" i="1" s="1"/>
  <c r="B214" i="1" a="1"/>
  <c r="B214" i="1" s="1"/>
  <c r="B215" i="1" a="1"/>
  <c r="B215" i="1" s="1"/>
  <c r="B216" i="1" a="1"/>
  <c r="B216" i="1" s="1"/>
  <c r="B217" i="1" a="1"/>
  <c r="B217" i="1" s="1"/>
  <c r="B218" i="1" a="1"/>
  <c r="B218" i="1" s="1"/>
  <c r="B219" i="1" a="1"/>
  <c r="B219" i="1" s="1"/>
  <c r="B220" i="1" a="1"/>
  <c r="B220" i="1" s="1"/>
  <c r="B221" i="1" a="1"/>
  <c r="B221" i="1" s="1"/>
  <c r="B222" i="1" a="1"/>
  <c r="B222" i="1" s="1"/>
  <c r="B223" i="1" a="1"/>
  <c r="B223" i="1" s="1"/>
  <c r="B224" i="1" a="1"/>
  <c r="B224" i="1" s="1"/>
  <c r="B225" i="1" a="1"/>
  <c r="B225" i="1" s="1"/>
  <c r="B226" i="1" a="1"/>
  <c r="B226" i="1" s="1"/>
  <c r="B227" i="1" a="1"/>
  <c r="B227" i="1" s="1"/>
  <c r="B228" i="1" a="1"/>
  <c r="B228" i="1" s="1"/>
  <c r="B229" i="1" a="1"/>
  <c r="B229" i="1" s="1"/>
  <c r="B230" i="1" a="1"/>
  <c r="B230" i="1" s="1"/>
  <c r="B231" i="1" a="1"/>
  <c r="B231" i="1" s="1"/>
  <c r="B232" i="1" a="1"/>
  <c r="B232" i="1" s="1"/>
  <c r="B233" i="1" a="1"/>
  <c r="B233" i="1" s="1"/>
  <c r="B234" i="1" a="1"/>
  <c r="B234" i="1" s="1"/>
  <c r="B235" i="1" a="1"/>
  <c r="B235" i="1" s="1"/>
  <c r="B236" i="1" a="1"/>
  <c r="B236" i="1" s="1"/>
  <c r="B237" i="1" a="1"/>
  <c r="B237" i="1" s="1"/>
  <c r="B238" i="1" a="1"/>
  <c r="B238" i="1" s="1"/>
  <c r="B239" i="1" a="1"/>
  <c r="B239" i="1" s="1"/>
  <c r="B240" i="1" a="1"/>
  <c r="B240" i="1" s="1"/>
  <c r="B241" i="1" a="1"/>
  <c r="B241" i="1" s="1"/>
  <c r="B242" i="1" a="1"/>
  <c r="B242" i="1" s="1"/>
  <c r="B243" i="1" a="1"/>
  <c r="B243" i="1" s="1"/>
  <c r="B244" i="1" a="1"/>
  <c r="B244" i="1" s="1"/>
  <c r="B245" i="1" a="1"/>
  <c r="B245" i="1" s="1"/>
  <c r="B246" i="1" a="1"/>
  <c r="B246" i="1" s="1"/>
  <c r="B247" i="1" a="1"/>
  <c r="B247" i="1" s="1"/>
  <c r="B248" i="1" a="1"/>
  <c r="B248" i="1" s="1"/>
  <c r="B249" i="1" a="1"/>
  <c r="B249" i="1" s="1"/>
  <c r="B250" i="1" a="1"/>
  <c r="B250" i="1" s="1"/>
  <c r="B251" i="1" a="1"/>
  <c r="B251" i="1" s="1"/>
  <c r="B252" i="1" a="1"/>
  <c r="B252" i="1" s="1"/>
  <c r="B253" i="1" a="1"/>
  <c r="B253" i="1" s="1"/>
  <c r="B254" i="1" a="1"/>
  <c r="B254" i="1" s="1"/>
  <c r="B255" i="1" a="1"/>
  <c r="B255" i="1" s="1"/>
  <c r="B256" i="1" a="1"/>
  <c r="B256" i="1" s="1"/>
  <c r="B257" i="1" a="1"/>
  <c r="B257" i="1" s="1"/>
  <c r="B258" i="1" a="1"/>
  <c r="B258" i="1" s="1"/>
  <c r="B259" i="1" a="1"/>
  <c r="B259" i="1" s="1"/>
  <c r="B260" i="1" a="1"/>
  <c r="B260" i="1" s="1"/>
  <c r="B261" i="1" a="1"/>
  <c r="B261" i="1" s="1"/>
  <c r="B262" i="1" a="1"/>
  <c r="B262" i="1" s="1"/>
  <c r="B263" i="1" a="1"/>
  <c r="B263" i="1" s="1"/>
  <c r="B264" i="1" a="1"/>
  <c r="B264" i="1" s="1"/>
  <c r="B265" i="1" a="1"/>
  <c r="B265" i="1" s="1"/>
  <c r="B266" i="1" a="1"/>
  <c r="B266" i="1" s="1"/>
  <c r="B267" i="1" a="1"/>
  <c r="B267" i="1" s="1"/>
  <c r="B268" i="1" a="1"/>
  <c r="B268" i="1" s="1"/>
  <c r="B269" i="1" a="1"/>
  <c r="B269" i="1" s="1"/>
  <c r="B270" i="1" a="1"/>
  <c r="B270" i="1" s="1"/>
  <c r="B271" i="1" a="1"/>
  <c r="B271" i="1" s="1"/>
  <c r="B272" i="1" a="1"/>
  <c r="B272" i="1" s="1"/>
  <c r="B273" i="1" a="1"/>
  <c r="B273" i="1" s="1"/>
  <c r="B274" i="1" a="1"/>
  <c r="B274" i="1" s="1"/>
  <c r="B275" i="1" a="1"/>
  <c r="B275" i="1" s="1"/>
  <c r="B276" i="1" a="1"/>
  <c r="B276" i="1" s="1"/>
  <c r="B277" i="1" a="1"/>
  <c r="B277" i="1" s="1"/>
  <c r="B278" i="1" a="1"/>
  <c r="B278" i="1" s="1"/>
  <c r="B279" i="1" a="1"/>
  <c r="B279" i="1" s="1"/>
  <c r="B280" i="1" a="1"/>
  <c r="B280" i="1" s="1"/>
  <c r="B281" i="1" a="1"/>
  <c r="B281" i="1" s="1"/>
  <c r="B282" i="1" a="1"/>
  <c r="B282" i="1" s="1"/>
  <c r="B283" i="1" a="1"/>
  <c r="B283" i="1" s="1"/>
  <c r="B284" i="1" a="1"/>
  <c r="B284" i="1" s="1"/>
  <c r="B285" i="1" a="1"/>
  <c r="B285" i="1" s="1"/>
  <c r="B286" i="1" a="1"/>
  <c r="B286" i="1" s="1"/>
  <c r="B287" i="1" a="1"/>
  <c r="B287" i="1" s="1"/>
  <c r="B288" i="1" a="1"/>
  <c r="B288" i="1" s="1"/>
  <c r="B289" i="1" a="1"/>
  <c r="B289" i="1" s="1"/>
  <c r="B290" i="1" a="1"/>
  <c r="B290" i="1" s="1"/>
  <c r="B291" i="1" a="1"/>
  <c r="B291" i="1" s="1"/>
  <c r="B292" i="1" a="1"/>
  <c r="B292" i="1" s="1"/>
  <c r="B293" i="1" a="1"/>
  <c r="B293" i="1" s="1"/>
  <c r="B294" i="1" a="1"/>
  <c r="B294" i="1" s="1"/>
  <c r="B295" i="1" a="1"/>
  <c r="B295" i="1" s="1"/>
  <c r="B296" i="1" a="1"/>
  <c r="B296" i="1" s="1"/>
  <c r="B297" i="1" a="1"/>
  <c r="B297" i="1" s="1"/>
  <c r="B298" i="1" a="1"/>
  <c r="B298" i="1" s="1"/>
  <c r="B299" i="1" a="1"/>
  <c r="B299" i="1" s="1"/>
  <c r="B300" i="1" a="1"/>
  <c r="B300" i="1" s="1"/>
  <c r="B301" i="1" a="1"/>
  <c r="B301" i="1" s="1"/>
  <c r="B302" i="1" a="1"/>
  <c r="B302" i="1" s="1"/>
  <c r="B303" i="1" a="1"/>
  <c r="B303" i="1" s="1"/>
  <c r="B304" i="1" a="1"/>
  <c r="B304" i="1" s="1"/>
  <c r="B305" i="1" a="1"/>
  <c r="B305" i="1" s="1"/>
  <c r="B306" i="1" a="1"/>
  <c r="B306" i="1" s="1"/>
  <c r="B307" i="1" a="1"/>
  <c r="B307" i="1" s="1"/>
  <c r="B308" i="1" a="1"/>
  <c r="B308" i="1" s="1"/>
  <c r="B309" i="1" a="1"/>
  <c r="B309" i="1" s="1"/>
  <c r="B310" i="1" a="1"/>
  <c r="B310" i="1" s="1"/>
  <c r="B311" i="1" a="1"/>
  <c r="B311" i="1" s="1"/>
  <c r="B312" i="1" a="1"/>
  <c r="B312" i="1" s="1"/>
  <c r="B313" i="1" a="1"/>
  <c r="B313" i="1" s="1"/>
  <c r="B314" i="1" a="1"/>
  <c r="B314" i="1" s="1"/>
  <c r="B315" i="1" a="1"/>
  <c r="B315" i="1" s="1"/>
  <c r="B316" i="1" a="1"/>
  <c r="B316" i="1" s="1"/>
  <c r="B317" i="1" a="1"/>
  <c r="B317" i="1" s="1"/>
  <c r="B318" i="1" a="1"/>
  <c r="B318" i="1" s="1"/>
  <c r="B319" i="1" a="1"/>
  <c r="B319" i="1" s="1"/>
  <c r="B320" i="1" a="1"/>
  <c r="B320" i="1" s="1"/>
  <c r="B321" i="1" a="1"/>
  <c r="B321" i="1" s="1"/>
  <c r="B322" i="1" a="1"/>
  <c r="B322" i="1" s="1"/>
  <c r="B323" i="1" a="1"/>
  <c r="B323" i="1" s="1"/>
  <c r="B324" i="1" a="1"/>
  <c r="B324" i="1" s="1"/>
  <c r="B325" i="1" a="1"/>
  <c r="B325" i="1" s="1"/>
  <c r="B326" i="1" a="1"/>
  <c r="B326" i="1" s="1"/>
  <c r="B327" i="1" a="1"/>
  <c r="B327" i="1" s="1"/>
  <c r="B328" i="1" a="1"/>
  <c r="B328" i="1" s="1"/>
  <c r="B329" i="1" a="1"/>
  <c r="B329" i="1" s="1"/>
  <c r="B330" i="1" a="1"/>
  <c r="B330" i="1" s="1"/>
  <c r="B331" i="1" a="1"/>
  <c r="B331" i="1" s="1"/>
  <c r="B332" i="1" a="1"/>
  <c r="B332" i="1" s="1"/>
  <c r="B333" i="1" a="1"/>
  <c r="B333" i="1" s="1"/>
  <c r="B334" i="1" a="1"/>
  <c r="B334" i="1" s="1"/>
  <c r="B335" i="1" a="1"/>
  <c r="B335" i="1" s="1"/>
  <c r="B336" i="1" a="1"/>
  <c r="B336" i="1" s="1"/>
  <c r="B337" i="1" a="1"/>
  <c r="B337" i="1" s="1"/>
  <c r="B338" i="1" a="1"/>
  <c r="B338" i="1" s="1"/>
  <c r="B339" i="1" a="1"/>
  <c r="B339" i="1" s="1"/>
  <c r="B340" i="1" a="1"/>
  <c r="B340" i="1" s="1"/>
  <c r="B341" i="1" a="1"/>
  <c r="B341" i="1" s="1"/>
  <c r="B342" i="1" a="1"/>
  <c r="B342" i="1" s="1"/>
  <c r="B343" i="1" a="1"/>
  <c r="B343" i="1" s="1"/>
  <c r="B344" i="1" a="1"/>
  <c r="B344" i="1" s="1"/>
  <c r="B345" i="1" a="1"/>
  <c r="B345" i="1" s="1"/>
  <c r="B346" i="1" a="1"/>
  <c r="B346" i="1" s="1"/>
  <c r="B347" i="1" a="1"/>
  <c r="B347" i="1" s="1"/>
  <c r="B348" i="1" a="1"/>
  <c r="B348" i="1" s="1"/>
  <c r="B349" i="1" a="1"/>
  <c r="B349" i="1" s="1"/>
  <c r="B350" i="1" a="1"/>
  <c r="B350" i="1" s="1"/>
  <c r="B351" i="1" a="1"/>
  <c r="B351" i="1" s="1"/>
  <c r="B352" i="1" a="1"/>
  <c r="B352" i="1" s="1"/>
  <c r="B353" i="1" a="1"/>
  <c r="B353" i="1" s="1"/>
  <c r="B354" i="1" a="1"/>
  <c r="B354" i="1" s="1"/>
  <c r="B355" i="1" a="1"/>
  <c r="B355" i="1" s="1"/>
  <c r="B356" i="1" a="1"/>
  <c r="B356" i="1" s="1"/>
  <c r="B357" i="1" a="1"/>
  <c r="B357" i="1" s="1"/>
  <c r="B358" i="1" a="1"/>
  <c r="B358" i="1" s="1"/>
  <c r="B359" i="1" a="1"/>
  <c r="B359" i="1" s="1"/>
  <c r="B360" i="1" a="1"/>
  <c r="B360" i="1" s="1"/>
  <c r="B361" i="1" a="1"/>
  <c r="B361" i="1" s="1"/>
  <c r="B362" i="1" a="1"/>
  <c r="B362" i="1" s="1"/>
  <c r="B363" i="1" a="1"/>
  <c r="B363" i="1" s="1"/>
  <c r="B364" i="1" a="1"/>
  <c r="B364" i="1" s="1"/>
  <c r="B365" i="1" a="1"/>
  <c r="B365" i="1" s="1"/>
  <c r="B366" i="1" a="1"/>
  <c r="B366" i="1" s="1"/>
  <c r="B367" i="1" a="1"/>
  <c r="B367" i="1" s="1"/>
  <c r="B368" i="1" a="1"/>
  <c r="B368" i="1" s="1"/>
  <c r="B369" i="1" a="1"/>
  <c r="B369" i="1" s="1"/>
  <c r="B370" i="1" a="1"/>
  <c r="B370" i="1" s="1"/>
  <c r="B371" i="1" a="1"/>
  <c r="B371" i="1" s="1"/>
  <c r="B372" i="1" a="1"/>
  <c r="B372" i="1" s="1"/>
  <c r="B373" i="1" a="1"/>
  <c r="B373" i="1" s="1"/>
  <c r="B374" i="1" a="1"/>
  <c r="B374" i="1" s="1"/>
  <c r="B375" i="1" a="1"/>
  <c r="B375" i="1" s="1"/>
  <c r="B376" i="1" a="1"/>
  <c r="B376" i="1" s="1"/>
  <c r="B377" i="1" a="1"/>
  <c r="B377" i="1" s="1"/>
  <c r="B378" i="1" a="1"/>
  <c r="B378" i="1" s="1"/>
  <c r="B379" i="1" a="1"/>
  <c r="B379" i="1" s="1"/>
  <c r="B380" i="1" a="1"/>
  <c r="B380" i="1" s="1"/>
  <c r="B381" i="1" a="1"/>
  <c r="B381" i="1" s="1"/>
  <c r="B382" i="1" a="1"/>
  <c r="B382" i="1" s="1"/>
  <c r="B383" i="1" a="1"/>
  <c r="B383" i="1" s="1"/>
  <c r="B384" i="1" a="1"/>
  <c r="B384" i="1" s="1"/>
  <c r="B385" i="1" a="1"/>
  <c r="B385" i="1" s="1"/>
  <c r="B386" i="1" a="1"/>
  <c r="B386" i="1" s="1"/>
  <c r="B387" i="1" a="1"/>
  <c r="B387" i="1" s="1"/>
  <c r="B388" i="1" a="1"/>
  <c r="B388" i="1" s="1"/>
  <c r="B389" i="1" a="1"/>
  <c r="B389" i="1" s="1"/>
  <c r="B390" i="1" a="1"/>
  <c r="B390" i="1" s="1"/>
  <c r="B391" i="1" a="1"/>
  <c r="B391" i="1" s="1"/>
  <c r="B392" i="1" a="1"/>
  <c r="B392" i="1" s="1"/>
  <c r="B393" i="1" a="1"/>
  <c r="B393" i="1" s="1"/>
  <c r="B394" i="1" a="1"/>
  <c r="B394" i="1" s="1"/>
  <c r="B395" i="1" a="1"/>
  <c r="B395" i="1" s="1"/>
  <c r="B396" i="1" a="1"/>
  <c r="B396" i="1" s="1"/>
  <c r="B397" i="1" a="1"/>
  <c r="B397" i="1" s="1"/>
  <c r="B398" i="1" a="1"/>
  <c r="B398" i="1" s="1"/>
  <c r="B399" i="1" a="1"/>
  <c r="B399" i="1" s="1"/>
  <c r="B400" i="1" a="1"/>
  <c r="B400" i="1" s="1"/>
  <c r="B401" i="1" a="1"/>
  <c r="B401" i="1" s="1"/>
  <c r="B402" i="1" a="1"/>
  <c r="B402" i="1" s="1"/>
  <c r="B403" i="1" a="1"/>
  <c r="B403" i="1" s="1"/>
  <c r="B404" i="1" a="1"/>
  <c r="B404" i="1" s="1"/>
  <c r="B405" i="1" a="1"/>
  <c r="B405" i="1" s="1"/>
  <c r="B406" i="1" a="1"/>
  <c r="B406" i="1" s="1"/>
  <c r="B407" i="1" a="1"/>
  <c r="B407" i="1" s="1"/>
  <c r="B408" i="1" a="1"/>
  <c r="B408" i="1" s="1"/>
  <c r="B409" i="1" a="1"/>
  <c r="B409" i="1" s="1"/>
  <c r="B410" i="1" a="1"/>
  <c r="B410" i="1" s="1"/>
  <c r="B411" i="1" a="1"/>
  <c r="B411" i="1" s="1"/>
  <c r="B412" i="1" a="1"/>
  <c r="B412" i="1" s="1"/>
  <c r="B413" i="1" a="1"/>
  <c r="B413" i="1" s="1"/>
  <c r="B414" i="1" a="1"/>
  <c r="B414" i="1" s="1"/>
  <c r="B415" i="1" a="1"/>
  <c r="B415" i="1" s="1"/>
  <c r="B416" i="1" a="1"/>
  <c r="B416" i="1" s="1"/>
  <c r="B417" i="1" a="1"/>
  <c r="B417" i="1" s="1"/>
  <c r="B418" i="1" a="1"/>
  <c r="B418" i="1" s="1"/>
  <c r="B419" i="1" a="1"/>
  <c r="B419" i="1" s="1"/>
  <c r="B420" i="1" a="1"/>
  <c r="B420" i="1" s="1"/>
  <c r="B421" i="1" a="1"/>
  <c r="B421" i="1" s="1"/>
  <c r="B422" i="1" a="1"/>
  <c r="B422" i="1" s="1"/>
  <c r="B423" i="1" a="1"/>
  <c r="B423" i="1" s="1"/>
  <c r="B424" i="1" a="1"/>
  <c r="B424" i="1" s="1"/>
  <c r="B425" i="1" a="1"/>
  <c r="B425" i="1" s="1"/>
  <c r="B426" i="1" a="1"/>
  <c r="B426" i="1" s="1"/>
  <c r="B427" i="1" a="1"/>
  <c r="B427" i="1" s="1"/>
  <c r="B428" i="1" a="1"/>
  <c r="B428" i="1" s="1"/>
  <c r="B429" i="1" a="1"/>
  <c r="B429" i="1" s="1"/>
  <c r="B430" i="1" a="1"/>
  <c r="B430" i="1" s="1"/>
  <c r="B431" i="1" a="1"/>
  <c r="B431" i="1" s="1"/>
  <c r="B432" i="1" a="1"/>
  <c r="B432" i="1" s="1"/>
  <c r="B433" i="1" a="1"/>
  <c r="B433" i="1" s="1"/>
  <c r="B434" i="1" a="1"/>
  <c r="B434" i="1" s="1"/>
  <c r="B435" i="1" a="1"/>
  <c r="B435" i="1" s="1"/>
  <c r="B436" i="1" a="1"/>
  <c r="B436" i="1" s="1"/>
  <c r="B437" i="1" a="1"/>
  <c r="B437" i="1" s="1"/>
  <c r="B438" i="1" a="1"/>
  <c r="B438" i="1" s="1"/>
  <c r="B439" i="1" a="1"/>
  <c r="B439" i="1" s="1"/>
  <c r="B440" i="1" a="1"/>
  <c r="B440" i="1" s="1"/>
  <c r="B441" i="1" a="1"/>
  <c r="B441" i="1" s="1"/>
  <c r="B442" i="1" a="1"/>
  <c r="B442" i="1" s="1"/>
  <c r="B443" i="1" a="1"/>
  <c r="B443" i="1" s="1"/>
  <c r="B444" i="1" a="1"/>
  <c r="B444" i="1" s="1"/>
  <c r="B445" i="1" a="1"/>
  <c r="B445" i="1" s="1"/>
  <c r="B446" i="1" a="1"/>
  <c r="B446" i="1" s="1"/>
  <c r="B447" i="1" a="1"/>
  <c r="B447" i="1" s="1"/>
  <c r="B448" i="1" a="1"/>
  <c r="B448" i="1" s="1"/>
  <c r="B449" i="1" a="1"/>
  <c r="B449" i="1" s="1"/>
  <c r="B450" i="1" a="1"/>
  <c r="B450" i="1" s="1"/>
  <c r="B451" i="1" a="1"/>
  <c r="B451" i="1" s="1"/>
  <c r="B452" i="1" a="1"/>
  <c r="B452" i="1" s="1"/>
  <c r="B453" i="1" a="1"/>
  <c r="B453" i="1" s="1"/>
  <c r="B454" i="1" a="1"/>
  <c r="B454" i="1" s="1"/>
  <c r="B455" i="1" a="1"/>
  <c r="B455" i="1" s="1"/>
  <c r="B456" i="1" a="1"/>
  <c r="B456" i="1" s="1"/>
  <c r="B457" i="1" a="1"/>
  <c r="B457" i="1" s="1"/>
  <c r="B458" i="1" a="1"/>
  <c r="B458" i="1" s="1"/>
  <c r="B459" i="1" a="1"/>
  <c r="B459" i="1" s="1"/>
  <c r="B460" i="1" a="1"/>
  <c r="B460" i="1" s="1"/>
  <c r="B461" i="1" a="1"/>
  <c r="B461" i="1" s="1"/>
  <c r="B462" i="1" a="1"/>
  <c r="B462" i="1" s="1"/>
  <c r="B463" i="1" a="1"/>
  <c r="B463" i="1" s="1"/>
  <c r="B464" i="1" a="1"/>
  <c r="B464" i="1" s="1"/>
  <c r="B465" i="1" a="1"/>
  <c r="B465" i="1" s="1"/>
  <c r="B466" i="1" a="1"/>
  <c r="B466" i="1" s="1"/>
  <c r="B467" i="1" a="1"/>
  <c r="B467" i="1" s="1"/>
  <c r="B468" i="1" a="1"/>
  <c r="B468" i="1" s="1"/>
  <c r="B469" i="1" a="1"/>
  <c r="B469" i="1" s="1"/>
  <c r="B470" i="1" a="1"/>
  <c r="B470" i="1" s="1"/>
  <c r="B471" i="1" a="1"/>
  <c r="B471" i="1" s="1"/>
  <c r="B472" i="1" a="1"/>
  <c r="B472" i="1" s="1"/>
  <c r="B473" i="1" a="1"/>
  <c r="B473" i="1" s="1"/>
  <c r="B474" i="1" a="1"/>
  <c r="B474" i="1" s="1"/>
  <c r="B475" i="1" a="1"/>
  <c r="B475" i="1" s="1"/>
  <c r="B476" i="1" a="1"/>
  <c r="B476" i="1" s="1"/>
  <c r="B477" i="1" a="1"/>
  <c r="B477" i="1" s="1"/>
  <c r="B478" i="1" a="1"/>
  <c r="B478" i="1" s="1"/>
  <c r="B479" i="1" a="1"/>
  <c r="B479" i="1" s="1"/>
  <c r="B480" i="1" a="1"/>
  <c r="B480" i="1" s="1"/>
  <c r="B481" i="1" a="1"/>
  <c r="B481" i="1" s="1"/>
  <c r="B482" i="1" a="1"/>
  <c r="B482" i="1" s="1"/>
  <c r="B483" i="1" a="1"/>
  <c r="B483" i="1" s="1"/>
  <c r="B484" i="1" a="1"/>
  <c r="B484" i="1" s="1"/>
  <c r="B485" i="1" a="1"/>
  <c r="B485" i="1" s="1"/>
  <c r="B486" i="1" a="1"/>
  <c r="B486" i="1" s="1"/>
  <c r="B487" i="1" a="1"/>
  <c r="B487" i="1" s="1"/>
  <c r="B488" i="1" a="1"/>
  <c r="B488" i="1" s="1"/>
  <c r="B489" i="1" a="1"/>
  <c r="B489" i="1" s="1"/>
  <c r="B490" i="1" a="1"/>
  <c r="B490" i="1" s="1"/>
  <c r="B491" i="1" a="1"/>
  <c r="B491" i="1" s="1"/>
  <c r="B492" i="1" a="1"/>
  <c r="B492" i="1" s="1"/>
  <c r="B493" i="1" a="1"/>
  <c r="B493" i="1" s="1"/>
  <c r="B494" i="1" a="1"/>
  <c r="B494" i="1" s="1"/>
  <c r="B495" i="1" a="1"/>
  <c r="B495" i="1" s="1"/>
  <c r="B496" i="1" a="1"/>
  <c r="B496" i="1" s="1"/>
  <c r="B497" i="1" a="1"/>
  <c r="B497" i="1" s="1"/>
  <c r="B498" i="1" a="1"/>
  <c r="B498" i="1" s="1"/>
  <c r="B499" i="1" a="1"/>
  <c r="B499" i="1" s="1"/>
  <c r="B500" i="1" a="1"/>
  <c r="B500" i="1" s="1"/>
  <c r="B501" i="1" a="1"/>
  <c r="B501" i="1" s="1"/>
  <c r="B502" i="1" a="1"/>
  <c r="B502" i="1" s="1"/>
  <c r="B503" i="1" a="1"/>
  <c r="B503" i="1" s="1"/>
  <c r="B504" i="1" a="1"/>
  <c r="B504" i="1" s="1"/>
  <c r="B505" i="1" a="1"/>
  <c r="B505" i="1" s="1"/>
  <c r="B506" i="1" a="1"/>
  <c r="B506" i="1" s="1"/>
  <c r="B507" i="1" a="1"/>
  <c r="B507" i="1" s="1"/>
  <c r="B508" i="1" a="1"/>
  <c r="B508" i="1" s="1"/>
  <c r="B509" i="1" a="1"/>
  <c r="B509" i="1" s="1"/>
  <c r="B510" i="1" a="1"/>
  <c r="B510" i="1" s="1"/>
  <c r="B511" i="1" a="1"/>
  <c r="B511" i="1" s="1"/>
  <c r="B512" i="1" a="1"/>
  <c r="B512" i="1" s="1"/>
  <c r="B513" i="1" a="1"/>
  <c r="B513" i="1" s="1"/>
  <c r="B514" i="1" a="1"/>
  <c r="B514" i="1" s="1"/>
  <c r="B515" i="1" a="1"/>
  <c r="B515" i="1" s="1"/>
  <c r="B516" i="1" a="1"/>
  <c r="B516" i="1" s="1"/>
  <c r="B517" i="1" a="1"/>
  <c r="B517" i="1" s="1"/>
  <c r="B518" i="1" a="1"/>
  <c r="B518" i="1" s="1"/>
  <c r="B519" i="1" a="1"/>
  <c r="B519" i="1" s="1"/>
  <c r="B520" i="1" a="1"/>
  <c r="B520" i="1" s="1"/>
  <c r="B521" i="1" a="1"/>
  <c r="B521" i="1" s="1"/>
  <c r="B522" i="1" a="1"/>
  <c r="B522" i="1" s="1"/>
  <c r="B523" i="1" a="1"/>
  <c r="B523" i="1" s="1"/>
  <c r="B524" i="1" a="1"/>
  <c r="B524" i="1" s="1"/>
  <c r="B525" i="1" a="1"/>
  <c r="B525" i="1" s="1"/>
  <c r="B526" i="1" a="1"/>
  <c r="B526" i="1" s="1"/>
  <c r="B527" i="1" a="1"/>
  <c r="B527" i="1" s="1"/>
  <c r="B528" i="1" a="1"/>
  <c r="B528" i="1" s="1"/>
  <c r="B529" i="1" a="1"/>
  <c r="B529" i="1" s="1"/>
  <c r="B530" i="1" a="1"/>
  <c r="B530" i="1" s="1"/>
  <c r="B531" i="1" a="1"/>
  <c r="B531" i="1" s="1"/>
  <c r="B532" i="1" a="1"/>
  <c r="B532" i="1" s="1"/>
  <c r="B533" i="1" a="1"/>
  <c r="B533" i="1" s="1"/>
  <c r="B534" i="1" a="1"/>
  <c r="B534" i="1" s="1"/>
  <c r="B535" i="1" a="1"/>
  <c r="B535" i="1" s="1"/>
  <c r="B536" i="1" a="1"/>
  <c r="B536" i="1" s="1"/>
  <c r="B537" i="1" a="1"/>
  <c r="B537" i="1" s="1"/>
  <c r="B538" i="1" a="1"/>
  <c r="B538" i="1" s="1"/>
  <c r="B539" i="1" a="1"/>
  <c r="B539" i="1" s="1"/>
  <c r="B540" i="1" a="1"/>
  <c r="B540" i="1" s="1"/>
  <c r="B541" i="1" a="1"/>
  <c r="B541" i="1" s="1"/>
  <c r="B542" i="1" a="1"/>
  <c r="B542" i="1" s="1"/>
  <c r="B543" i="1" a="1"/>
  <c r="B543" i="1" s="1"/>
  <c r="B544" i="1" a="1"/>
  <c r="B544" i="1" s="1"/>
  <c r="B545" i="1" a="1"/>
  <c r="B545" i="1" s="1"/>
  <c r="B546" i="1" a="1"/>
  <c r="B546" i="1" s="1"/>
  <c r="B547" i="1" a="1"/>
  <c r="B547" i="1" s="1"/>
  <c r="B548" i="1" a="1"/>
  <c r="B548" i="1" s="1"/>
  <c r="B549" i="1" a="1"/>
  <c r="B549" i="1" s="1"/>
  <c r="B550" i="1" a="1"/>
  <c r="B550" i="1" s="1"/>
  <c r="B551" i="1" a="1"/>
  <c r="B551" i="1" s="1"/>
  <c r="B552" i="1" a="1"/>
  <c r="B552" i="1" s="1"/>
  <c r="B553" i="1" a="1"/>
  <c r="B553" i="1" s="1"/>
  <c r="B554" i="1" a="1"/>
  <c r="B554" i="1" s="1"/>
  <c r="B555" i="1" a="1"/>
  <c r="B555" i="1" s="1"/>
  <c r="B556" i="1" a="1"/>
  <c r="B556" i="1" s="1"/>
  <c r="B557" i="1" a="1"/>
  <c r="B557" i="1" s="1"/>
  <c r="B558" i="1" a="1"/>
  <c r="B558" i="1" s="1"/>
  <c r="B559" i="1" a="1"/>
  <c r="B559" i="1" s="1"/>
  <c r="B560" i="1" a="1"/>
  <c r="B560" i="1" s="1"/>
  <c r="B561" i="1" a="1"/>
  <c r="B561" i="1" s="1"/>
  <c r="B562" i="1" a="1"/>
  <c r="B562" i="1" s="1"/>
  <c r="B563" i="1" a="1"/>
  <c r="B563" i="1" s="1"/>
  <c r="B564" i="1" a="1"/>
  <c r="B564" i="1" s="1"/>
  <c r="B565" i="1" a="1"/>
  <c r="B565" i="1" s="1"/>
  <c r="B566" i="1" a="1"/>
  <c r="B566" i="1" s="1"/>
  <c r="B567" i="1" a="1"/>
  <c r="B567" i="1" s="1"/>
  <c r="B568" i="1" a="1"/>
  <c r="B568" i="1" s="1"/>
  <c r="B569" i="1" a="1"/>
  <c r="B569" i="1" s="1"/>
  <c r="B570" i="1" a="1"/>
  <c r="B570" i="1" s="1"/>
  <c r="B571" i="1" a="1"/>
  <c r="B571" i="1" s="1"/>
  <c r="B572" i="1" a="1"/>
  <c r="B572" i="1" s="1"/>
  <c r="B573" i="1" a="1"/>
  <c r="B573" i="1" s="1"/>
  <c r="B574" i="1" a="1"/>
  <c r="B574" i="1" s="1"/>
  <c r="B575" i="1" a="1"/>
  <c r="B575" i="1" s="1"/>
  <c r="B576" i="1" a="1"/>
  <c r="B576" i="1" s="1"/>
  <c r="B577" i="1" a="1"/>
  <c r="B577" i="1" s="1"/>
  <c r="B578" i="1" a="1"/>
  <c r="B578" i="1" s="1"/>
  <c r="B579" i="1" a="1"/>
  <c r="B579" i="1" s="1"/>
  <c r="B580" i="1" a="1"/>
  <c r="B580" i="1" s="1"/>
  <c r="B581" i="1" a="1"/>
  <c r="B581" i="1" s="1"/>
  <c r="B582" i="1" a="1"/>
  <c r="B582" i="1" s="1"/>
  <c r="B583" i="1" a="1"/>
  <c r="B583" i="1" s="1"/>
  <c r="B584" i="1" a="1"/>
  <c r="B584" i="1" s="1"/>
  <c r="B585" i="1" a="1"/>
  <c r="B585" i="1" s="1"/>
  <c r="B586" i="1" a="1"/>
  <c r="B586" i="1" s="1"/>
  <c r="B587" i="1" a="1"/>
  <c r="B587" i="1" s="1"/>
  <c r="B588" i="1" a="1"/>
  <c r="B588" i="1" s="1"/>
  <c r="B589" i="1" a="1"/>
  <c r="B589" i="1" s="1"/>
  <c r="B590" i="1" a="1"/>
  <c r="B590" i="1" s="1"/>
  <c r="B591" i="1" a="1"/>
  <c r="B591" i="1" s="1"/>
  <c r="B592" i="1" a="1"/>
  <c r="B592" i="1" s="1"/>
  <c r="B593" i="1" a="1"/>
  <c r="B593" i="1" s="1"/>
  <c r="B594" i="1" a="1"/>
  <c r="B594" i="1" s="1"/>
  <c r="B595" i="1" a="1"/>
  <c r="B595" i="1" s="1"/>
  <c r="B596" i="1" a="1"/>
  <c r="B596" i="1" s="1"/>
  <c r="B597" i="1" a="1"/>
  <c r="B597" i="1" s="1"/>
  <c r="B598" i="1" a="1"/>
  <c r="B598" i="1" s="1"/>
  <c r="B599" i="1" a="1"/>
  <c r="B599" i="1" s="1"/>
  <c r="B600" i="1" a="1"/>
  <c r="B600" i="1" s="1"/>
  <c r="B601" i="1" a="1"/>
  <c r="B601" i="1" s="1"/>
  <c r="B602" i="1" a="1"/>
  <c r="B602" i="1" s="1"/>
  <c r="B603" i="1" a="1"/>
  <c r="B603" i="1" s="1"/>
  <c r="B604" i="1" a="1"/>
  <c r="B604" i="1" s="1"/>
  <c r="B605" i="1" a="1"/>
  <c r="B605" i="1" s="1"/>
  <c r="B606" i="1" a="1"/>
  <c r="B606" i="1" s="1"/>
  <c r="B607" i="1" a="1"/>
  <c r="B607" i="1" s="1"/>
  <c r="B608" i="1" a="1"/>
  <c r="B608" i="1" s="1"/>
  <c r="B609" i="1" a="1"/>
  <c r="B609" i="1" s="1"/>
  <c r="B610" i="1" a="1"/>
  <c r="B610" i="1" s="1"/>
  <c r="B611" i="1" a="1"/>
  <c r="B611" i="1" s="1"/>
  <c r="B612" i="1" a="1"/>
  <c r="B612" i="1" s="1"/>
  <c r="B613" i="1" a="1"/>
  <c r="B613" i="1" s="1"/>
  <c r="B614" i="1" a="1"/>
  <c r="B614" i="1" s="1"/>
  <c r="B615" i="1" a="1"/>
  <c r="B615" i="1" s="1"/>
  <c r="B616" i="1" a="1"/>
  <c r="B616" i="1" s="1"/>
  <c r="B617" i="1" a="1"/>
  <c r="B617" i="1" s="1"/>
  <c r="B618" i="1" a="1"/>
  <c r="B618" i="1" s="1"/>
  <c r="B619" i="1" a="1"/>
  <c r="B619" i="1" s="1"/>
  <c r="B620" i="1" a="1"/>
  <c r="B620" i="1" s="1"/>
  <c r="B621" i="1" a="1"/>
  <c r="B621" i="1" s="1"/>
  <c r="B622" i="1" a="1"/>
  <c r="B622" i="1" s="1"/>
  <c r="B623" i="1" a="1"/>
  <c r="B623" i="1" s="1"/>
  <c r="B624" i="1" a="1"/>
  <c r="B624" i="1" s="1"/>
  <c r="B625" i="1" a="1"/>
  <c r="B625" i="1" s="1"/>
  <c r="B626" i="1" a="1"/>
  <c r="B626" i="1" s="1"/>
  <c r="B627" i="1" a="1"/>
  <c r="B627" i="1" s="1"/>
  <c r="B628" i="1" a="1"/>
  <c r="B628" i="1" s="1"/>
  <c r="B629" i="1" a="1"/>
  <c r="B629" i="1" s="1"/>
  <c r="B630" i="1" a="1"/>
  <c r="B630" i="1" s="1"/>
  <c r="B631" i="1" a="1"/>
  <c r="B631" i="1" s="1"/>
  <c r="B632" i="1" a="1"/>
  <c r="B632" i="1" s="1"/>
  <c r="B633" i="1" a="1"/>
  <c r="B633" i="1" s="1"/>
  <c r="B634" i="1" a="1"/>
  <c r="B634" i="1" s="1"/>
  <c r="B635" i="1" a="1"/>
  <c r="B635" i="1" s="1"/>
  <c r="B636" i="1" a="1"/>
  <c r="B636" i="1" s="1"/>
  <c r="B637" i="1" a="1"/>
  <c r="B637" i="1" s="1"/>
  <c r="B638" i="1" a="1"/>
  <c r="B638" i="1" s="1"/>
  <c r="B639" i="1" a="1"/>
  <c r="B639" i="1" s="1"/>
  <c r="B640" i="1" a="1"/>
  <c r="B640" i="1" s="1"/>
  <c r="B641" i="1" a="1"/>
  <c r="B641" i="1" s="1"/>
  <c r="B642" i="1" a="1"/>
  <c r="B642" i="1" s="1"/>
  <c r="B643" i="1" a="1"/>
  <c r="B643" i="1" s="1"/>
  <c r="B644" i="1" a="1"/>
  <c r="B644" i="1" s="1"/>
  <c r="B645" i="1" a="1"/>
  <c r="B645" i="1" s="1"/>
  <c r="B646" i="1" a="1"/>
  <c r="B646" i="1" s="1"/>
  <c r="B647" i="1" a="1"/>
  <c r="B647" i="1" s="1"/>
  <c r="B648" i="1" a="1"/>
  <c r="B648" i="1" s="1"/>
  <c r="B649" i="1" a="1"/>
  <c r="B649" i="1" s="1"/>
  <c r="B650" i="1" a="1"/>
  <c r="B650" i="1" s="1"/>
  <c r="B651" i="1" a="1"/>
  <c r="B651" i="1" s="1"/>
  <c r="B652" i="1" a="1"/>
  <c r="B652" i="1" s="1"/>
  <c r="B653" i="1" a="1"/>
  <c r="B653" i="1" s="1"/>
  <c r="B654" i="1" a="1"/>
  <c r="B654" i="1" s="1"/>
  <c r="B655" i="1" a="1"/>
  <c r="B655" i="1" s="1"/>
  <c r="B656" i="1" a="1"/>
  <c r="B656" i="1" s="1"/>
  <c r="B657" i="1" a="1"/>
  <c r="B657" i="1" s="1"/>
  <c r="B658" i="1" a="1"/>
  <c r="B658" i="1" s="1"/>
  <c r="B659" i="1" a="1"/>
  <c r="B659" i="1" s="1"/>
  <c r="B660" i="1" a="1"/>
  <c r="B660" i="1" s="1"/>
  <c r="B661" i="1" a="1"/>
  <c r="B661" i="1" s="1"/>
  <c r="B662" i="1" a="1"/>
  <c r="B662" i="1" s="1"/>
  <c r="B663" i="1" a="1"/>
  <c r="B663" i="1" s="1"/>
  <c r="B664" i="1" a="1"/>
  <c r="B664" i="1" s="1"/>
  <c r="B665" i="1" a="1"/>
  <c r="B665" i="1" s="1"/>
  <c r="B666" i="1" a="1"/>
  <c r="B666" i="1" s="1"/>
  <c r="B667" i="1" a="1"/>
  <c r="B667" i="1" s="1"/>
  <c r="B668" i="1" a="1"/>
  <c r="B668" i="1" s="1"/>
  <c r="B669" i="1" a="1"/>
  <c r="B669" i="1" s="1"/>
  <c r="B670" i="1" a="1"/>
  <c r="B670" i="1" s="1"/>
  <c r="B671" i="1" a="1"/>
  <c r="B671" i="1" s="1"/>
  <c r="B672" i="1" a="1"/>
  <c r="B672" i="1" s="1"/>
  <c r="B673" i="1" a="1"/>
  <c r="B673" i="1" s="1"/>
  <c r="B674" i="1" a="1"/>
  <c r="B674" i="1" s="1"/>
  <c r="B675" i="1" a="1"/>
  <c r="B675" i="1" s="1"/>
  <c r="B676" i="1" a="1"/>
  <c r="B676" i="1" s="1"/>
  <c r="B677" i="1" a="1"/>
  <c r="B677" i="1" s="1"/>
  <c r="B678" i="1" a="1"/>
  <c r="B678" i="1" s="1"/>
  <c r="B679" i="1" a="1"/>
  <c r="B679" i="1" s="1"/>
  <c r="B680" i="1" a="1"/>
  <c r="B680" i="1" s="1"/>
  <c r="B681" i="1" a="1"/>
  <c r="B681" i="1" s="1"/>
  <c r="B682" i="1" a="1"/>
  <c r="B682" i="1" s="1"/>
  <c r="B683" i="1" a="1"/>
  <c r="B683" i="1" s="1"/>
  <c r="B684" i="1" a="1"/>
  <c r="B684" i="1" s="1"/>
  <c r="B685" i="1" a="1"/>
  <c r="B685" i="1" s="1"/>
  <c r="B686" i="1" a="1"/>
  <c r="B686" i="1" s="1"/>
  <c r="B687" i="1" a="1"/>
  <c r="B687" i="1" s="1"/>
  <c r="B688" i="1" a="1"/>
  <c r="B688" i="1" s="1"/>
  <c r="B689" i="1" a="1"/>
  <c r="B689" i="1" s="1"/>
  <c r="B690" i="1" a="1"/>
  <c r="B690" i="1" s="1"/>
  <c r="B691" i="1" a="1"/>
  <c r="B691" i="1" s="1"/>
  <c r="B692" i="1" a="1"/>
  <c r="B692" i="1" s="1"/>
  <c r="B693" i="1" a="1"/>
  <c r="B693" i="1" s="1"/>
  <c r="B694" i="1" a="1"/>
  <c r="B694" i="1" s="1"/>
  <c r="B695" i="1" a="1"/>
  <c r="B695" i="1" s="1"/>
  <c r="B696" i="1" a="1"/>
  <c r="B696" i="1" s="1"/>
  <c r="B697" i="1" a="1"/>
  <c r="B697" i="1" s="1"/>
  <c r="B698" i="1" a="1"/>
  <c r="B698" i="1" s="1"/>
  <c r="B699" i="1" a="1"/>
  <c r="B699" i="1" s="1"/>
  <c r="B700" i="1" a="1"/>
  <c r="B700" i="1" s="1"/>
  <c r="B701" i="1" a="1"/>
  <c r="B701" i="1" s="1"/>
  <c r="B702" i="1" a="1"/>
  <c r="B702" i="1" s="1"/>
  <c r="B703" i="1" a="1"/>
  <c r="B703" i="1" s="1"/>
  <c r="B704" i="1" a="1"/>
  <c r="B704" i="1" s="1"/>
  <c r="B705" i="1" a="1"/>
  <c r="B705" i="1" s="1"/>
  <c r="B706" i="1" a="1"/>
  <c r="B706" i="1" s="1"/>
  <c r="B707" i="1" a="1"/>
  <c r="B707" i="1" s="1"/>
  <c r="B708" i="1" a="1"/>
  <c r="B708" i="1" s="1"/>
  <c r="B709" i="1" a="1"/>
  <c r="B709" i="1" s="1"/>
  <c r="B710" i="1" a="1"/>
  <c r="B710" i="1" s="1"/>
  <c r="B711" i="1" a="1"/>
  <c r="B711" i="1" s="1"/>
  <c r="B712" i="1" a="1"/>
  <c r="B712" i="1" s="1"/>
  <c r="B713" i="1" a="1"/>
  <c r="B713" i="1" s="1"/>
  <c r="B714" i="1" a="1"/>
  <c r="B714" i="1" s="1"/>
  <c r="B715" i="1" a="1"/>
  <c r="B715" i="1" s="1"/>
  <c r="B716" i="1" a="1"/>
  <c r="B716" i="1" s="1"/>
  <c r="B717" i="1" a="1"/>
  <c r="B717" i="1" s="1"/>
  <c r="B718" i="1" a="1"/>
  <c r="B718" i="1" s="1"/>
  <c r="B719" i="1" a="1"/>
  <c r="B719" i="1" s="1"/>
  <c r="B720" i="1" a="1"/>
  <c r="B720" i="1" s="1"/>
  <c r="B721" i="1" a="1"/>
  <c r="B721" i="1" s="1"/>
  <c r="B722" i="1" a="1"/>
  <c r="B722" i="1" s="1"/>
  <c r="B723" i="1" a="1"/>
  <c r="B723" i="1" s="1"/>
  <c r="B724" i="1" a="1"/>
  <c r="B724" i="1" s="1"/>
  <c r="B725" i="1" a="1"/>
  <c r="B725" i="1" s="1"/>
  <c r="B726" i="1" a="1"/>
  <c r="B726" i="1" s="1"/>
  <c r="B727" i="1" a="1"/>
  <c r="B727" i="1" s="1"/>
  <c r="B728" i="1" a="1"/>
  <c r="B728" i="1" s="1"/>
  <c r="B729" i="1" a="1"/>
  <c r="B729" i="1" s="1"/>
  <c r="B730" i="1" a="1"/>
  <c r="B730" i="1" s="1"/>
  <c r="B731" i="1" a="1"/>
  <c r="B731" i="1" s="1"/>
  <c r="B732" i="1" a="1"/>
  <c r="B732" i="1" s="1"/>
  <c r="B733" i="1" a="1"/>
  <c r="B733" i="1" s="1"/>
  <c r="B734" i="1" a="1"/>
  <c r="B734" i="1" s="1"/>
  <c r="B735" i="1" a="1"/>
  <c r="B735" i="1" s="1"/>
  <c r="B736" i="1" a="1"/>
  <c r="B736" i="1" s="1"/>
  <c r="B737" i="1" a="1"/>
  <c r="B737" i="1" s="1"/>
  <c r="B738" i="1" a="1"/>
  <c r="B738" i="1" s="1"/>
  <c r="B739" i="1" a="1"/>
  <c r="B739" i="1" s="1"/>
  <c r="B740" i="1" a="1"/>
  <c r="B740" i="1" s="1"/>
  <c r="B741" i="1" a="1"/>
  <c r="B741" i="1" s="1"/>
  <c r="B742" i="1" a="1"/>
  <c r="B742" i="1" s="1"/>
  <c r="B743" i="1" a="1"/>
  <c r="B743" i="1" s="1"/>
  <c r="B744" i="1" a="1"/>
  <c r="B744" i="1" s="1"/>
  <c r="B745" i="1" a="1"/>
  <c r="B745" i="1" s="1"/>
  <c r="B746" i="1" a="1"/>
  <c r="B746" i="1" s="1"/>
  <c r="B747" i="1" a="1"/>
  <c r="B747" i="1" s="1"/>
  <c r="B748" i="1" a="1"/>
  <c r="B748" i="1" s="1"/>
  <c r="B749" i="1" a="1"/>
  <c r="B749" i="1" s="1"/>
  <c r="B750" i="1" a="1"/>
  <c r="B750" i="1" s="1"/>
  <c r="B751" i="1" a="1"/>
  <c r="B751" i="1" s="1"/>
  <c r="B752" i="1" a="1"/>
  <c r="B752" i="1" s="1"/>
  <c r="B753" i="1" a="1"/>
  <c r="B753" i="1" s="1"/>
  <c r="B754" i="1" a="1"/>
  <c r="B754" i="1" s="1"/>
  <c r="B755" i="1" a="1"/>
  <c r="B755" i="1" s="1"/>
  <c r="B756" i="1" a="1"/>
  <c r="B756" i="1" s="1"/>
  <c r="B757" i="1" a="1"/>
  <c r="B757" i="1" s="1"/>
  <c r="B758" i="1" a="1"/>
  <c r="B758" i="1" s="1"/>
  <c r="B759" i="1" a="1"/>
  <c r="B759" i="1" s="1"/>
  <c r="B760" i="1" a="1"/>
  <c r="B760" i="1" s="1"/>
  <c r="B761" i="1" a="1"/>
  <c r="B761" i="1" s="1"/>
  <c r="B762" i="1" a="1"/>
  <c r="B762" i="1" s="1"/>
  <c r="B763" i="1" a="1"/>
  <c r="B763" i="1" s="1"/>
  <c r="B764" i="1" a="1"/>
  <c r="B764" i="1" s="1"/>
  <c r="B765" i="1" a="1"/>
  <c r="B765" i="1" s="1"/>
  <c r="B766" i="1" a="1"/>
  <c r="B766" i="1" s="1"/>
  <c r="B767" i="1" a="1"/>
  <c r="B767" i="1" s="1"/>
  <c r="B768" i="1" a="1"/>
  <c r="B768" i="1" s="1"/>
  <c r="B769" i="1" a="1"/>
  <c r="B769" i="1" s="1"/>
  <c r="B770" i="1" a="1"/>
  <c r="B770" i="1" s="1"/>
  <c r="B771" i="1" a="1"/>
  <c r="B771" i="1" s="1"/>
  <c r="B772" i="1" a="1"/>
  <c r="B772" i="1" s="1"/>
  <c r="B773" i="1" a="1"/>
  <c r="B773" i="1" s="1"/>
  <c r="B774" i="1" a="1"/>
  <c r="B774" i="1" s="1"/>
  <c r="B775" i="1" a="1"/>
  <c r="B775" i="1" s="1"/>
  <c r="B776" i="1" a="1"/>
  <c r="B776" i="1" s="1"/>
  <c r="B777" i="1" a="1"/>
  <c r="B777" i="1" s="1"/>
  <c r="B778" i="1" a="1"/>
  <c r="B778" i="1" s="1"/>
  <c r="B779" i="1" a="1"/>
  <c r="B779" i="1" s="1"/>
  <c r="B780" i="1" a="1"/>
  <c r="B780" i="1" s="1"/>
  <c r="B781" i="1" a="1"/>
  <c r="B781" i="1" s="1"/>
  <c r="B782" i="1" a="1"/>
  <c r="B782" i="1" s="1"/>
  <c r="B783" i="1" a="1"/>
  <c r="B783" i="1" s="1"/>
  <c r="B784" i="1" a="1"/>
  <c r="B784" i="1" s="1"/>
  <c r="B785" i="1" a="1"/>
  <c r="B785" i="1" s="1"/>
  <c r="B786" i="1" a="1"/>
  <c r="B786" i="1" s="1"/>
  <c r="B787" i="1" a="1"/>
  <c r="B787" i="1" s="1"/>
  <c r="B788" i="1" a="1"/>
  <c r="B788" i="1" s="1"/>
  <c r="B789" i="1" a="1"/>
  <c r="B789" i="1" s="1"/>
  <c r="B790" i="1" a="1"/>
  <c r="B790" i="1" s="1"/>
  <c r="B791" i="1" a="1"/>
  <c r="B791" i="1" s="1"/>
  <c r="B792" i="1" a="1"/>
  <c r="B792" i="1" s="1"/>
  <c r="B793" i="1" a="1"/>
  <c r="B793" i="1" s="1"/>
  <c r="B794" i="1" a="1"/>
  <c r="B794" i="1" s="1"/>
  <c r="B795" i="1" a="1"/>
  <c r="B795" i="1" s="1"/>
  <c r="B796" i="1" a="1"/>
  <c r="B796" i="1" s="1"/>
  <c r="B797" i="1" a="1"/>
  <c r="B797" i="1" s="1"/>
  <c r="B798" i="1" a="1"/>
  <c r="B798" i="1" s="1"/>
  <c r="B799" i="1" a="1"/>
  <c r="B799" i="1" s="1"/>
  <c r="B800" i="1" a="1"/>
  <c r="B800" i="1" s="1"/>
  <c r="B801" i="1" a="1"/>
  <c r="B801" i="1" s="1"/>
  <c r="B802" i="1" a="1"/>
  <c r="B802" i="1" s="1"/>
  <c r="B803" i="1" a="1"/>
  <c r="B803" i="1" s="1"/>
  <c r="B804" i="1" a="1"/>
  <c r="B804" i="1" s="1"/>
  <c r="B805" i="1" a="1"/>
  <c r="B805" i="1" s="1"/>
  <c r="B806" i="1" a="1"/>
  <c r="B806" i="1" s="1"/>
  <c r="B807" i="1" a="1"/>
  <c r="B807" i="1" s="1"/>
  <c r="B808" i="1" a="1"/>
  <c r="B808" i="1" s="1"/>
  <c r="B809" i="1" a="1"/>
  <c r="B809" i="1" s="1"/>
  <c r="B810" i="1" a="1"/>
  <c r="B810" i="1" s="1"/>
  <c r="B811" i="1" a="1"/>
  <c r="B811" i="1" s="1"/>
  <c r="B812" i="1" a="1"/>
  <c r="B812" i="1" s="1"/>
  <c r="B813" i="1" a="1"/>
  <c r="B813" i="1" s="1"/>
  <c r="B814" i="1" a="1"/>
  <c r="B814" i="1" s="1"/>
  <c r="B815" i="1" a="1"/>
  <c r="B815" i="1" s="1"/>
  <c r="B816" i="1" a="1"/>
  <c r="B816" i="1" s="1"/>
  <c r="B817" i="1" a="1"/>
  <c r="B817" i="1" s="1"/>
  <c r="B818" i="1" a="1"/>
  <c r="B818" i="1" s="1"/>
  <c r="B819" i="1" a="1"/>
  <c r="B819" i="1" s="1"/>
  <c r="B820" i="1" a="1"/>
  <c r="B820" i="1" s="1"/>
  <c r="B821" i="1" a="1"/>
  <c r="B821" i="1" s="1"/>
  <c r="B822" i="1" a="1"/>
  <c r="B822" i="1" s="1"/>
  <c r="B823" i="1" a="1"/>
  <c r="B823" i="1" s="1"/>
  <c r="B824" i="1" a="1"/>
  <c r="B824" i="1" s="1"/>
  <c r="B825" i="1" a="1"/>
  <c r="B825" i="1" s="1"/>
  <c r="B826" i="1" a="1"/>
  <c r="B826" i="1" s="1"/>
  <c r="B827" i="1" a="1"/>
  <c r="B827" i="1" s="1"/>
  <c r="B828" i="1" a="1"/>
  <c r="B828" i="1" s="1"/>
  <c r="B829" i="1" a="1"/>
  <c r="B829" i="1" s="1"/>
  <c r="B830" i="1" a="1"/>
  <c r="B830" i="1" s="1"/>
  <c r="B831" i="1" a="1"/>
  <c r="B831" i="1" s="1"/>
  <c r="B832" i="1" a="1"/>
  <c r="B832" i="1" s="1"/>
  <c r="B833" i="1" a="1"/>
  <c r="B833" i="1" s="1"/>
  <c r="B834" i="1" a="1"/>
  <c r="B834" i="1" s="1"/>
  <c r="B835" i="1" a="1"/>
  <c r="B835" i="1" s="1"/>
  <c r="B836" i="1" a="1"/>
  <c r="B836" i="1" s="1"/>
  <c r="B837" i="1" a="1"/>
  <c r="B837" i="1" s="1"/>
  <c r="B838" i="1" a="1"/>
  <c r="B838" i="1" s="1"/>
  <c r="B839" i="1" a="1"/>
  <c r="B839" i="1" s="1"/>
  <c r="B840" i="1" a="1"/>
  <c r="B840" i="1" s="1"/>
  <c r="B841" i="1" a="1"/>
  <c r="B841" i="1" s="1"/>
  <c r="B842" i="1" a="1"/>
  <c r="B842" i="1" s="1"/>
  <c r="B843" i="1" a="1"/>
  <c r="B843" i="1" s="1"/>
  <c r="B844" i="1" a="1"/>
  <c r="B844" i="1" s="1"/>
  <c r="B845" i="1" a="1"/>
  <c r="B845" i="1" s="1"/>
  <c r="B846" i="1" a="1"/>
  <c r="B846" i="1" s="1"/>
  <c r="B847" i="1" a="1"/>
  <c r="B847" i="1" s="1"/>
  <c r="B848" i="1" a="1"/>
  <c r="B848" i="1" s="1"/>
  <c r="B849" i="1" a="1"/>
  <c r="B849" i="1" s="1"/>
  <c r="B850" i="1" a="1"/>
  <c r="B850" i="1" s="1"/>
  <c r="B851" i="1" a="1"/>
  <c r="B851" i="1" s="1"/>
  <c r="B852" i="1" a="1"/>
  <c r="B852" i="1" s="1"/>
  <c r="B853" i="1" a="1"/>
  <c r="B853" i="1" s="1"/>
  <c r="B854" i="1" a="1"/>
  <c r="B854" i="1" s="1"/>
  <c r="B855" i="1" a="1"/>
  <c r="B855" i="1" s="1"/>
  <c r="B856" i="1" a="1"/>
  <c r="B856" i="1" s="1"/>
  <c r="B857" i="1" a="1"/>
  <c r="B857" i="1" s="1"/>
  <c r="B858" i="1" a="1"/>
  <c r="B858" i="1" s="1"/>
  <c r="B859" i="1" a="1"/>
  <c r="B859" i="1" s="1"/>
  <c r="B860" i="1" a="1"/>
  <c r="B860" i="1" s="1"/>
  <c r="B861" i="1" a="1"/>
  <c r="B861" i="1" s="1"/>
  <c r="B862" i="1" a="1"/>
  <c r="B862" i="1" s="1"/>
  <c r="B863" i="1" a="1"/>
  <c r="B863" i="1" s="1"/>
  <c r="B864" i="1" a="1"/>
  <c r="B864" i="1" s="1"/>
  <c r="B865" i="1" a="1"/>
  <c r="B865" i="1" s="1"/>
  <c r="B866" i="1" a="1"/>
  <c r="B866" i="1" s="1"/>
  <c r="B867" i="1" a="1"/>
  <c r="B867" i="1" s="1"/>
  <c r="B868" i="1" a="1"/>
  <c r="B868" i="1" s="1"/>
  <c r="B869" i="1" a="1"/>
  <c r="B869" i="1" s="1"/>
  <c r="B870" i="1" a="1"/>
  <c r="B870" i="1" s="1"/>
  <c r="B871" i="1" a="1"/>
  <c r="B871" i="1" s="1"/>
  <c r="B872" i="1" a="1"/>
  <c r="B872" i="1" s="1"/>
  <c r="B873" i="1" a="1"/>
  <c r="B873" i="1" s="1"/>
  <c r="B874" i="1" a="1"/>
  <c r="B874" i="1" s="1"/>
  <c r="B875" i="1" a="1"/>
  <c r="B875" i="1" s="1"/>
  <c r="B876" i="1" a="1"/>
  <c r="B876" i="1" s="1"/>
  <c r="B877" i="1" a="1"/>
  <c r="B877" i="1" s="1"/>
  <c r="B878" i="1" a="1"/>
  <c r="B878" i="1" s="1"/>
  <c r="B879" i="1" a="1"/>
  <c r="B879" i="1" s="1"/>
  <c r="B880" i="1" a="1"/>
  <c r="B880" i="1" s="1"/>
  <c r="B881" i="1" a="1"/>
  <c r="B881" i="1" s="1"/>
  <c r="B882" i="1" a="1"/>
  <c r="B882" i="1" s="1"/>
  <c r="B883" i="1" a="1"/>
  <c r="B883" i="1" s="1"/>
  <c r="B884" i="1" a="1"/>
  <c r="B884" i="1" s="1"/>
  <c r="B885" i="1" a="1"/>
  <c r="B885" i="1" s="1"/>
  <c r="B886" i="1" a="1"/>
  <c r="B886" i="1" s="1"/>
  <c r="B887" i="1" a="1"/>
  <c r="B887" i="1" s="1"/>
  <c r="B888" i="1" a="1"/>
  <c r="B888" i="1" s="1"/>
  <c r="B889" i="1" a="1"/>
  <c r="B889" i="1" s="1"/>
  <c r="B890" i="1" a="1"/>
  <c r="B890" i="1" s="1"/>
  <c r="B891" i="1" a="1"/>
  <c r="B891" i="1" s="1"/>
  <c r="B892" i="1" a="1"/>
  <c r="B892" i="1" s="1"/>
  <c r="B893" i="1" a="1"/>
  <c r="B893" i="1" s="1"/>
  <c r="B894" i="1" a="1"/>
  <c r="B894" i="1" s="1"/>
  <c r="B895" i="1" a="1"/>
  <c r="B895" i="1" s="1"/>
  <c r="B896" i="1" a="1"/>
  <c r="B896" i="1" s="1"/>
  <c r="B897" i="1" a="1"/>
  <c r="B897" i="1" s="1"/>
  <c r="B898" i="1" a="1"/>
  <c r="B898" i="1" s="1"/>
  <c r="B899" i="1" a="1"/>
  <c r="B899" i="1" s="1"/>
  <c r="B900" i="1" a="1"/>
  <c r="B900" i="1" s="1"/>
  <c r="B901" i="1" a="1"/>
  <c r="B901" i="1" s="1"/>
  <c r="B902" i="1" a="1"/>
  <c r="B902" i="1" s="1"/>
  <c r="B903" i="1" a="1"/>
  <c r="B903" i="1" s="1"/>
  <c r="B904" i="1" a="1"/>
  <c r="B904" i="1" s="1"/>
  <c r="B905" i="1" a="1"/>
  <c r="B905" i="1" s="1"/>
  <c r="B906" i="1" a="1"/>
  <c r="B906" i="1" s="1"/>
  <c r="B907" i="1" a="1"/>
  <c r="B907" i="1" s="1"/>
  <c r="B908" i="1" a="1"/>
  <c r="B908" i="1" s="1"/>
  <c r="B909" i="1" a="1"/>
  <c r="B909" i="1" s="1"/>
  <c r="B910" i="1" a="1"/>
  <c r="B910" i="1" s="1"/>
  <c r="B911" i="1" a="1"/>
  <c r="B911" i="1" s="1"/>
  <c r="B912" i="1" a="1"/>
  <c r="B912" i="1" s="1"/>
  <c r="B913" i="1" a="1"/>
  <c r="B913" i="1" s="1"/>
  <c r="B914" i="1" a="1"/>
  <c r="B914" i="1" s="1"/>
  <c r="B915" i="1" a="1"/>
  <c r="B915" i="1" s="1"/>
  <c r="B916" i="1" a="1"/>
  <c r="B916" i="1" s="1"/>
  <c r="B917" i="1" a="1"/>
  <c r="B917" i="1" s="1"/>
  <c r="B918" i="1" a="1"/>
  <c r="B918" i="1" s="1"/>
  <c r="B919" i="1" a="1"/>
  <c r="B919" i="1" s="1"/>
  <c r="B920" i="1" a="1"/>
  <c r="B920" i="1" s="1"/>
  <c r="B921" i="1" a="1"/>
  <c r="B921" i="1" s="1"/>
  <c r="B922" i="1" a="1"/>
  <c r="B922" i="1" s="1"/>
  <c r="B923" i="1" a="1"/>
  <c r="B923" i="1" s="1"/>
  <c r="B924" i="1" a="1"/>
  <c r="B924" i="1" s="1"/>
  <c r="B925" i="1" a="1"/>
  <c r="B925" i="1" s="1"/>
  <c r="B926" i="1" a="1"/>
  <c r="B926" i="1" s="1"/>
  <c r="B927" i="1" a="1"/>
  <c r="B927" i="1" s="1"/>
  <c r="B928" i="1" a="1"/>
  <c r="B928" i="1" s="1"/>
  <c r="B929" i="1" a="1"/>
  <c r="B929" i="1" s="1"/>
  <c r="B930" i="1" a="1"/>
  <c r="B930" i="1" s="1"/>
  <c r="B931" i="1" a="1"/>
  <c r="B931" i="1" s="1"/>
  <c r="B932" i="1" a="1"/>
  <c r="B932" i="1" s="1"/>
  <c r="B933" i="1" a="1"/>
  <c r="B933" i="1" s="1"/>
  <c r="B934" i="1" a="1"/>
  <c r="B934" i="1" s="1"/>
  <c r="B935" i="1" a="1"/>
  <c r="B935" i="1" s="1"/>
  <c r="B936" i="1" a="1"/>
  <c r="B936" i="1" s="1"/>
  <c r="B937" i="1" a="1"/>
  <c r="B937" i="1" s="1"/>
  <c r="B938" i="1" a="1"/>
  <c r="B938" i="1" s="1"/>
  <c r="B939" i="1" a="1"/>
  <c r="B939" i="1" s="1"/>
  <c r="B940" i="1" a="1"/>
  <c r="B940" i="1" s="1"/>
  <c r="B941" i="1" a="1"/>
  <c r="B941" i="1" s="1"/>
  <c r="B942" i="1" a="1"/>
  <c r="B942" i="1" s="1"/>
  <c r="B943" i="1" a="1"/>
  <c r="B943" i="1" s="1"/>
  <c r="B944" i="1" a="1"/>
  <c r="B944" i="1" s="1"/>
  <c r="B945" i="1" a="1"/>
  <c r="B945" i="1" s="1"/>
  <c r="B946" i="1" a="1"/>
  <c r="B946" i="1" s="1"/>
  <c r="B947" i="1" a="1"/>
  <c r="B947" i="1" s="1"/>
  <c r="B948" i="1" a="1"/>
  <c r="B948" i="1" s="1"/>
  <c r="B949" i="1" a="1"/>
  <c r="B949" i="1" s="1"/>
  <c r="B950" i="1" a="1"/>
  <c r="B950" i="1" s="1"/>
  <c r="B951" i="1" a="1"/>
  <c r="B951" i="1" s="1"/>
  <c r="B952" i="1" a="1"/>
  <c r="B952" i="1" s="1"/>
  <c r="B953" i="1" a="1"/>
  <c r="B953" i="1" s="1"/>
  <c r="B954" i="1" a="1"/>
  <c r="B954" i="1" s="1"/>
  <c r="B955" i="1" a="1"/>
  <c r="B955" i="1" s="1"/>
  <c r="B956" i="1" a="1"/>
  <c r="B956" i="1" s="1"/>
  <c r="B957" i="1" a="1"/>
  <c r="B957" i="1" s="1"/>
  <c r="B958" i="1" a="1"/>
  <c r="B958" i="1" s="1"/>
  <c r="B959" i="1" a="1"/>
  <c r="B959" i="1" s="1"/>
  <c r="B960" i="1" a="1"/>
  <c r="B960" i="1" s="1"/>
  <c r="B961" i="1" a="1"/>
  <c r="B961" i="1" s="1"/>
  <c r="B962" i="1" a="1"/>
  <c r="B962" i="1" s="1"/>
  <c r="B963" i="1" a="1"/>
  <c r="B963" i="1" s="1"/>
  <c r="B964" i="1" a="1"/>
  <c r="B964" i="1" s="1"/>
  <c r="B965" i="1" a="1"/>
  <c r="B965" i="1" s="1"/>
  <c r="B966" i="1" a="1"/>
  <c r="B966" i="1" s="1"/>
  <c r="B967" i="1" a="1"/>
  <c r="B967" i="1" s="1"/>
  <c r="B968" i="1" a="1"/>
  <c r="B968" i="1" s="1"/>
  <c r="B969" i="1" a="1"/>
  <c r="B969" i="1" s="1"/>
  <c r="B970" i="1" a="1"/>
  <c r="B970" i="1" s="1"/>
  <c r="B971" i="1" a="1"/>
  <c r="B971" i="1" s="1"/>
  <c r="B972" i="1" a="1"/>
  <c r="B972" i="1" s="1"/>
  <c r="B973" i="1" a="1"/>
  <c r="B973" i="1" s="1"/>
  <c r="B974" i="1" a="1"/>
  <c r="B974" i="1" s="1"/>
  <c r="B975" i="1" a="1"/>
  <c r="B975" i="1" s="1"/>
  <c r="B976" i="1" a="1"/>
  <c r="B976" i="1" s="1"/>
  <c r="B977" i="1" a="1"/>
  <c r="B977" i="1" s="1"/>
  <c r="B978" i="1" a="1"/>
  <c r="B978" i="1" s="1"/>
  <c r="B979" i="1" a="1"/>
  <c r="B979" i="1" s="1"/>
  <c r="B980" i="1" a="1"/>
  <c r="B980" i="1" s="1"/>
  <c r="B981" i="1" a="1"/>
  <c r="B981" i="1" s="1"/>
  <c r="B982" i="1" a="1"/>
  <c r="B982" i="1" s="1"/>
  <c r="B983" i="1" a="1"/>
  <c r="B983" i="1" s="1"/>
  <c r="B984" i="1" a="1"/>
  <c r="B984" i="1" s="1"/>
  <c r="B985" i="1" a="1"/>
  <c r="B985" i="1" s="1"/>
  <c r="B986" i="1" a="1"/>
  <c r="B986" i="1" s="1"/>
  <c r="B987" i="1" a="1"/>
  <c r="B987" i="1" s="1"/>
  <c r="B988" i="1" a="1"/>
  <c r="B988" i="1" s="1"/>
  <c r="B989" i="1" a="1"/>
  <c r="B989" i="1" s="1"/>
  <c r="B990" i="1" a="1"/>
  <c r="B990" i="1" s="1"/>
  <c r="B991" i="1" a="1"/>
  <c r="B991" i="1" s="1"/>
  <c r="B992" i="1" a="1"/>
  <c r="B992" i="1" s="1"/>
  <c r="B993" i="1" a="1"/>
  <c r="B993" i="1" s="1"/>
  <c r="B994" i="1" a="1"/>
  <c r="B994" i="1" s="1"/>
  <c r="B995" i="1" a="1"/>
  <c r="B995" i="1" s="1"/>
  <c r="B996" i="1" a="1"/>
  <c r="B996" i="1" s="1"/>
  <c r="B997" i="1" a="1"/>
  <c r="B997" i="1" s="1"/>
  <c r="B998" i="1" a="1"/>
  <c r="B998" i="1" s="1"/>
  <c r="B999" i="1" a="1"/>
  <c r="B999" i="1" s="1"/>
  <c r="B1000" i="1" a="1"/>
  <c r="B1000" i="1" s="1"/>
  <c r="B1001" i="1" a="1"/>
  <c r="B1001" i="1" s="1"/>
  <c r="B1002" i="1" a="1"/>
  <c r="B1002" i="1" s="1"/>
  <c r="B1003" i="1" a="1"/>
  <c r="B1003" i="1" s="1"/>
  <c r="B1004" i="1" a="1"/>
  <c r="B1004" i="1" s="1"/>
  <c r="B1005" i="1" a="1"/>
  <c r="B1005" i="1" s="1"/>
  <c r="B1006" i="1" a="1"/>
  <c r="B1006" i="1" s="1"/>
  <c r="B1007" i="1" a="1"/>
  <c r="B1007" i="1" s="1"/>
  <c r="B1008" i="1" a="1"/>
  <c r="B1008" i="1" s="1"/>
  <c r="B1009" i="1" a="1"/>
  <c r="B1009" i="1" s="1"/>
  <c r="B1010" i="1" a="1"/>
  <c r="B1010" i="1" s="1"/>
  <c r="B1011" i="1" a="1"/>
  <c r="B1011" i="1" s="1"/>
  <c r="B1012" i="1" a="1"/>
  <c r="B1012" i="1" s="1"/>
  <c r="B1013" i="1" a="1"/>
  <c r="B1013" i="1" s="1"/>
  <c r="B1014" i="1" a="1"/>
  <c r="B1014" i="1" s="1"/>
  <c r="B1015" i="1" a="1"/>
  <c r="B1015" i="1" s="1"/>
  <c r="B1016" i="1" a="1"/>
  <c r="B1016" i="1" s="1"/>
  <c r="B1017" i="1" a="1"/>
  <c r="B1017" i="1" s="1"/>
  <c r="B1018" i="1" a="1"/>
  <c r="B1018" i="1" s="1"/>
  <c r="B1019" i="1" a="1"/>
  <c r="B1019" i="1" s="1"/>
  <c r="B1020" i="1" a="1"/>
  <c r="B1020" i="1" s="1"/>
  <c r="B1021" i="1" a="1"/>
  <c r="B1021" i="1" s="1"/>
  <c r="B1022" i="1" a="1"/>
  <c r="B1022" i="1" s="1"/>
  <c r="B1023" i="1" a="1"/>
  <c r="B1023" i="1" s="1"/>
  <c r="B1024" i="1" a="1"/>
  <c r="B1024" i="1" s="1"/>
  <c r="B1025" i="1" a="1"/>
  <c r="B1025" i="1" s="1"/>
  <c r="B1026" i="1" a="1"/>
  <c r="B1026" i="1" s="1"/>
  <c r="B1027" i="1" a="1"/>
  <c r="B1027" i="1" s="1"/>
  <c r="B1028" i="1" a="1"/>
  <c r="B1028" i="1" s="1"/>
  <c r="B1029" i="1" a="1"/>
  <c r="B1029" i="1" s="1"/>
  <c r="B1030" i="1" a="1"/>
  <c r="B1030" i="1" s="1"/>
  <c r="B1031" i="1" a="1"/>
  <c r="B1031" i="1" s="1"/>
  <c r="B1032" i="1" a="1"/>
  <c r="B1032" i="1" s="1"/>
  <c r="B1033" i="1" a="1"/>
  <c r="B1033" i="1" s="1"/>
  <c r="B1034" i="1" a="1"/>
  <c r="B1034" i="1" s="1"/>
  <c r="B1035" i="1" a="1"/>
  <c r="B1035" i="1" s="1"/>
  <c r="B1036" i="1" a="1"/>
  <c r="B1036" i="1" s="1"/>
  <c r="B1037" i="1" a="1"/>
  <c r="B1037" i="1" s="1"/>
  <c r="B1038" i="1" a="1"/>
  <c r="B1038" i="1" s="1"/>
  <c r="B1039" i="1" a="1"/>
  <c r="B1039" i="1" s="1"/>
  <c r="B1040" i="1" a="1"/>
  <c r="B1040" i="1" s="1"/>
  <c r="B1041" i="1" a="1"/>
  <c r="B1041" i="1" s="1"/>
  <c r="B1042" i="1" a="1"/>
  <c r="B1042" i="1" s="1"/>
  <c r="B1043" i="1" a="1"/>
  <c r="B1043" i="1" s="1"/>
  <c r="B1044" i="1" a="1"/>
  <c r="B1044" i="1" s="1"/>
  <c r="B1045" i="1" a="1"/>
  <c r="B1045" i="1" s="1"/>
  <c r="B1046" i="1" a="1"/>
  <c r="B1046" i="1" s="1"/>
  <c r="B1047" i="1" a="1"/>
  <c r="B1047" i="1" s="1"/>
  <c r="B1048" i="1" a="1"/>
  <c r="B1048" i="1" s="1"/>
  <c r="B1049" i="1" a="1"/>
  <c r="B1049" i="1" s="1"/>
  <c r="B1050" i="1" a="1"/>
  <c r="B1050" i="1" s="1"/>
  <c r="B1051" i="1" a="1"/>
  <c r="B1051" i="1" s="1"/>
  <c r="B1052" i="1" a="1"/>
  <c r="B1052" i="1" s="1"/>
  <c r="B1053" i="1" a="1"/>
  <c r="B1053" i="1" s="1"/>
  <c r="B1054" i="1" a="1"/>
  <c r="B1054" i="1" s="1"/>
  <c r="B1055" i="1" a="1"/>
  <c r="B1055" i="1" s="1"/>
  <c r="B1056" i="1" a="1"/>
  <c r="B1056" i="1" s="1"/>
  <c r="B1057" i="1" a="1"/>
  <c r="B1057" i="1" s="1"/>
  <c r="B1058" i="1" a="1"/>
  <c r="B1058" i="1" s="1"/>
  <c r="B1059" i="1" a="1"/>
  <c r="B1059" i="1" s="1"/>
  <c r="B1060" i="1" a="1"/>
  <c r="B1060" i="1" s="1"/>
  <c r="B1061" i="1" a="1"/>
  <c r="B1061" i="1" s="1"/>
  <c r="B1062" i="1" a="1"/>
  <c r="B1062" i="1" s="1"/>
  <c r="B1063" i="1" a="1"/>
  <c r="B1063" i="1" s="1"/>
  <c r="B1064" i="1" a="1"/>
  <c r="B1064" i="1" s="1"/>
  <c r="B1065" i="1" a="1"/>
  <c r="B1065" i="1" s="1"/>
  <c r="B1066" i="1" a="1"/>
  <c r="B1066" i="1" s="1"/>
  <c r="B1067" i="1" a="1"/>
  <c r="B1067" i="1" s="1"/>
  <c r="B1068" i="1" a="1"/>
  <c r="B1068" i="1" s="1"/>
  <c r="B1069" i="1" a="1"/>
  <c r="B1069" i="1" s="1"/>
  <c r="B1070" i="1" a="1"/>
  <c r="B1070" i="1" s="1"/>
  <c r="B1071" i="1" a="1"/>
  <c r="B1071" i="1" s="1"/>
  <c r="B1072" i="1" a="1"/>
  <c r="B1072" i="1" s="1"/>
  <c r="B1073" i="1" a="1"/>
  <c r="B1073" i="1" s="1"/>
  <c r="B1074" i="1" a="1"/>
  <c r="B1074" i="1" s="1"/>
  <c r="B1075" i="1" a="1"/>
  <c r="B1075" i="1" s="1"/>
  <c r="B1076" i="1" a="1"/>
  <c r="B1076" i="1" s="1"/>
  <c r="B1077" i="1" a="1"/>
  <c r="B1077" i="1" s="1"/>
  <c r="B1078" i="1" a="1"/>
  <c r="B1078" i="1" s="1"/>
  <c r="B1079" i="1" a="1"/>
  <c r="B1079" i="1" s="1"/>
  <c r="B1080" i="1" a="1"/>
  <c r="B1080" i="1" s="1"/>
  <c r="B1081" i="1" a="1"/>
  <c r="B1081" i="1" s="1"/>
  <c r="B1082" i="1" a="1"/>
  <c r="B1082" i="1" s="1"/>
  <c r="B1083" i="1" a="1"/>
  <c r="B1083" i="1" s="1"/>
  <c r="B1084" i="1" a="1"/>
  <c r="B1084" i="1" s="1"/>
  <c r="B1085" i="1" a="1"/>
  <c r="B1085" i="1" s="1"/>
  <c r="B1086" i="1" a="1"/>
  <c r="B1086" i="1" s="1"/>
  <c r="B1087" i="1" a="1"/>
  <c r="B1087" i="1" s="1"/>
  <c r="B1088" i="1" a="1"/>
  <c r="B1088" i="1" s="1"/>
  <c r="B1089" i="1" a="1"/>
  <c r="B1089" i="1" s="1"/>
  <c r="B1090" i="1" a="1"/>
  <c r="B1090" i="1" s="1"/>
  <c r="B1091" i="1" a="1"/>
  <c r="B1091" i="1" s="1"/>
  <c r="B1092" i="1" a="1"/>
  <c r="B1092" i="1" s="1"/>
  <c r="B1093" i="1" a="1"/>
  <c r="B1093" i="1" s="1"/>
  <c r="B1094" i="1" a="1"/>
  <c r="B1094" i="1" s="1"/>
  <c r="B1095" i="1" a="1"/>
  <c r="B1095" i="1" s="1"/>
  <c r="B1096" i="1" a="1"/>
  <c r="B1096" i="1" s="1"/>
  <c r="B1097" i="1" a="1"/>
  <c r="B1097" i="1" s="1"/>
  <c r="B1098" i="1" a="1"/>
  <c r="B1098" i="1" s="1"/>
  <c r="B1099" i="1" a="1"/>
  <c r="B1099" i="1" s="1"/>
  <c r="B1100" i="1" a="1"/>
  <c r="B1100" i="1" s="1"/>
  <c r="B1101" i="1" a="1"/>
  <c r="B1101" i="1" s="1"/>
  <c r="B1102" i="1" a="1"/>
  <c r="B1102" i="1" s="1"/>
  <c r="B1103" i="1" a="1"/>
  <c r="B1103" i="1" s="1"/>
  <c r="B1104" i="1" a="1"/>
  <c r="B1104" i="1" s="1"/>
  <c r="B1105" i="1" a="1"/>
  <c r="B1105" i="1" s="1"/>
  <c r="B1106" i="1" a="1"/>
  <c r="B1106" i="1" s="1"/>
  <c r="B1107" i="1" a="1"/>
  <c r="B1107" i="1" s="1"/>
  <c r="B1108" i="1" a="1"/>
  <c r="B1108" i="1" s="1"/>
  <c r="B1109" i="1" a="1"/>
  <c r="B1109" i="1" s="1"/>
  <c r="B1110" i="1" a="1"/>
  <c r="B1110" i="1" s="1"/>
  <c r="B1111" i="1" a="1"/>
  <c r="B1111" i="1" s="1"/>
  <c r="B1112" i="1" a="1"/>
  <c r="B1112" i="1" s="1"/>
  <c r="B1113" i="1" a="1"/>
  <c r="B1113" i="1" s="1"/>
  <c r="B1114" i="1" a="1"/>
  <c r="B1114" i="1" s="1"/>
  <c r="B1115" i="1" a="1"/>
  <c r="B1115" i="1" s="1"/>
  <c r="B1116" i="1" a="1"/>
  <c r="B1116" i="1" s="1"/>
  <c r="B1117" i="1" a="1"/>
  <c r="B1117" i="1" s="1"/>
  <c r="B1118" i="1" a="1"/>
  <c r="B1118" i="1" s="1"/>
  <c r="B1119" i="1" a="1"/>
  <c r="B1119" i="1" s="1"/>
  <c r="B1120" i="1" a="1"/>
  <c r="B1120" i="1" s="1"/>
  <c r="B1121" i="1" a="1"/>
  <c r="B1121" i="1" s="1"/>
  <c r="B1122" i="1" a="1"/>
  <c r="B1122" i="1" s="1"/>
  <c r="B1123" i="1" a="1"/>
  <c r="B1123" i="1" s="1"/>
  <c r="B1124" i="1" a="1"/>
  <c r="B1124" i="1" s="1"/>
  <c r="B1125" i="1" a="1"/>
  <c r="B1125" i="1" s="1"/>
  <c r="B1126" i="1" a="1"/>
  <c r="B1126" i="1" s="1"/>
  <c r="B1127" i="1" a="1"/>
  <c r="B1127" i="1" s="1"/>
  <c r="B1128" i="1" a="1"/>
  <c r="B1128" i="1" s="1"/>
  <c r="B1129" i="1" a="1"/>
  <c r="B1129" i="1" s="1"/>
  <c r="B1130" i="1" a="1"/>
  <c r="B1130" i="1" s="1"/>
  <c r="B1131" i="1" a="1"/>
  <c r="B1131" i="1" s="1"/>
  <c r="B1132" i="1" a="1"/>
  <c r="B1132" i="1" s="1"/>
  <c r="B1133" i="1" a="1"/>
  <c r="B1133" i="1" s="1"/>
  <c r="B1134" i="1" a="1"/>
  <c r="B1134" i="1" s="1"/>
  <c r="B1135" i="1" a="1"/>
  <c r="B1135" i="1" s="1"/>
  <c r="B1136" i="1" a="1"/>
  <c r="B1136" i="1" s="1"/>
  <c r="B1137" i="1" a="1"/>
  <c r="B1137" i="1" s="1"/>
  <c r="B1138" i="1" a="1"/>
  <c r="B1138" i="1" s="1"/>
  <c r="B1139" i="1" a="1"/>
  <c r="B1139" i="1" s="1"/>
  <c r="B1140" i="1" a="1"/>
  <c r="B1140" i="1" s="1"/>
  <c r="B1141" i="1" a="1"/>
  <c r="B1141" i="1" s="1"/>
  <c r="B1142" i="1" a="1"/>
  <c r="B1142" i="1" s="1"/>
  <c r="B1143" i="1" a="1"/>
  <c r="B1143" i="1" s="1"/>
  <c r="B1144" i="1" a="1"/>
  <c r="B1144" i="1" s="1"/>
  <c r="B1145" i="1" a="1"/>
  <c r="B1145" i="1" s="1"/>
  <c r="B1146" i="1" a="1"/>
  <c r="B1146" i="1" s="1"/>
  <c r="B1147" i="1" a="1"/>
  <c r="B1147" i="1" s="1"/>
  <c r="B1148" i="1" a="1"/>
  <c r="B1148" i="1" s="1"/>
  <c r="B1149" i="1" a="1"/>
  <c r="B1149" i="1" s="1"/>
  <c r="B1150" i="1" a="1"/>
  <c r="B1150" i="1" s="1"/>
  <c r="B1151" i="1" a="1"/>
  <c r="B1151" i="1" s="1"/>
  <c r="B1152" i="1" a="1"/>
  <c r="B1152" i="1" s="1"/>
  <c r="B1153" i="1" a="1"/>
  <c r="B1153" i="1" s="1"/>
  <c r="B1154" i="1" a="1"/>
  <c r="B1154" i="1" s="1"/>
  <c r="B1155" i="1" a="1"/>
  <c r="B1155" i="1" s="1"/>
  <c r="B1156" i="1" a="1"/>
  <c r="B1156" i="1" s="1"/>
  <c r="B1157" i="1" a="1"/>
  <c r="B1157" i="1" s="1"/>
  <c r="B1158" i="1" a="1"/>
  <c r="B1158" i="1" s="1"/>
  <c r="B1159" i="1" a="1"/>
  <c r="B1159" i="1" s="1"/>
  <c r="B1160" i="1" a="1"/>
  <c r="B1160" i="1" s="1"/>
  <c r="B1161" i="1" a="1"/>
  <c r="B1161" i="1" s="1"/>
  <c r="B1162" i="1" a="1"/>
  <c r="B1162" i="1" s="1"/>
  <c r="B1163" i="1" a="1"/>
  <c r="B1163" i="1" s="1"/>
  <c r="B1164" i="1" a="1"/>
  <c r="B1164" i="1" s="1"/>
  <c r="B1165" i="1" a="1"/>
  <c r="B1165" i="1" s="1"/>
  <c r="B1166" i="1" a="1"/>
  <c r="B1166" i="1" s="1"/>
  <c r="B1167" i="1" a="1"/>
  <c r="B1167" i="1" s="1"/>
  <c r="B1168" i="1" a="1"/>
  <c r="B1168" i="1" s="1"/>
  <c r="B1169" i="1" a="1"/>
  <c r="B1169" i="1" s="1"/>
  <c r="B1170" i="1" a="1"/>
  <c r="B1170" i="1" s="1"/>
  <c r="B1171" i="1" a="1"/>
  <c r="B1171" i="1" s="1"/>
  <c r="B1172" i="1" a="1"/>
  <c r="B1172" i="1" s="1"/>
  <c r="B1173" i="1" a="1"/>
  <c r="B1173" i="1" s="1"/>
  <c r="B1174" i="1" a="1"/>
  <c r="B1174" i="1" s="1"/>
  <c r="B1175" i="1" a="1"/>
  <c r="B1175" i="1" s="1"/>
  <c r="B1176" i="1" a="1"/>
  <c r="B1176" i="1" s="1"/>
  <c r="B1177" i="1" a="1"/>
  <c r="B1177" i="1" s="1"/>
  <c r="B1178" i="1" a="1"/>
  <c r="B1178" i="1" s="1"/>
  <c r="B1179" i="1" a="1"/>
  <c r="B1179" i="1" s="1"/>
  <c r="B1180" i="1" a="1"/>
  <c r="B1180" i="1" s="1"/>
  <c r="B1181" i="1" a="1"/>
  <c r="B1181" i="1" s="1"/>
  <c r="B1182" i="1" a="1"/>
  <c r="B1182" i="1" s="1"/>
  <c r="B1183" i="1" a="1"/>
  <c r="B1183" i="1" s="1"/>
  <c r="B1184" i="1" a="1"/>
  <c r="B1184" i="1" s="1"/>
  <c r="B1185" i="1" a="1"/>
  <c r="B1185" i="1" s="1"/>
  <c r="B1186" i="1" a="1"/>
  <c r="B1186" i="1" s="1"/>
  <c r="B1187" i="1" a="1"/>
  <c r="B1187" i="1" s="1"/>
  <c r="B1188" i="1" a="1"/>
  <c r="B1188" i="1" s="1"/>
  <c r="B1189" i="1" a="1"/>
  <c r="B1189" i="1" s="1"/>
  <c r="B1190" i="1" a="1"/>
  <c r="B1190" i="1" s="1"/>
  <c r="B1191" i="1" a="1"/>
  <c r="B1191" i="1" s="1"/>
  <c r="B1192" i="1" a="1"/>
  <c r="B1192" i="1" s="1"/>
  <c r="B1193" i="1" a="1"/>
  <c r="B1193" i="1" s="1"/>
  <c r="B1194" i="1" a="1"/>
  <c r="B1194" i="1" s="1"/>
  <c r="B1195" i="1" a="1"/>
  <c r="B1195" i="1" s="1"/>
  <c r="B1196" i="1" a="1"/>
  <c r="B1196" i="1" s="1"/>
  <c r="B1197" i="1" a="1"/>
  <c r="B1197" i="1" s="1"/>
  <c r="B1198" i="1" a="1"/>
  <c r="B1198" i="1" s="1"/>
  <c r="B1199" i="1" a="1"/>
  <c r="B1199" i="1" s="1"/>
  <c r="B1200" i="1" a="1"/>
  <c r="B1200" i="1" s="1"/>
  <c r="B1201" i="1" a="1"/>
  <c r="B1201" i="1" s="1"/>
  <c r="B1202" i="1" a="1"/>
  <c r="B1202" i="1" s="1"/>
  <c r="B1203" i="1" a="1"/>
  <c r="B1203" i="1" s="1"/>
  <c r="B1204" i="1" a="1"/>
  <c r="B1204" i="1" s="1"/>
  <c r="B1205" i="1" a="1"/>
  <c r="B1205" i="1" s="1"/>
  <c r="B1206" i="1" a="1"/>
  <c r="B1206" i="1" s="1"/>
  <c r="B1207" i="1" a="1"/>
  <c r="B1207" i="1" s="1"/>
  <c r="B1208" i="1" a="1"/>
  <c r="B1208" i="1" s="1"/>
  <c r="B1209" i="1" a="1"/>
  <c r="B1209" i="1" s="1"/>
  <c r="B1210" i="1" a="1"/>
  <c r="B1210" i="1" s="1"/>
  <c r="B1211" i="1" a="1"/>
  <c r="B1211" i="1" s="1"/>
  <c r="B1212" i="1" a="1"/>
  <c r="B1212" i="1" s="1"/>
  <c r="B1213" i="1" a="1"/>
  <c r="B1213" i="1" s="1"/>
  <c r="B1214" i="1" a="1"/>
  <c r="B1214" i="1" s="1"/>
  <c r="B1215" i="1" a="1"/>
  <c r="B1215" i="1" s="1"/>
  <c r="B1216" i="1" a="1"/>
  <c r="B1216" i="1" s="1"/>
  <c r="B1217" i="1" a="1"/>
  <c r="B1217" i="1" s="1"/>
  <c r="B1218" i="1" a="1"/>
  <c r="B1218" i="1" s="1"/>
  <c r="B1219" i="1" a="1"/>
  <c r="B1219" i="1" s="1"/>
  <c r="B1220" i="1" a="1"/>
  <c r="B1220" i="1" s="1"/>
  <c r="B1221" i="1" a="1"/>
  <c r="B1221" i="1" s="1"/>
  <c r="B1222" i="1" a="1"/>
  <c r="B1222" i="1" s="1"/>
  <c r="B1223" i="1" a="1"/>
  <c r="B1223" i="1" s="1"/>
  <c r="B1224" i="1" a="1"/>
  <c r="B1224" i="1" s="1"/>
  <c r="B1225" i="1" a="1"/>
  <c r="B1225" i="1" s="1"/>
  <c r="B1226" i="1" a="1"/>
  <c r="B1226" i="1" s="1"/>
  <c r="B1227" i="1" a="1"/>
  <c r="B1227" i="1" s="1"/>
  <c r="B1228" i="1" a="1"/>
  <c r="B1228" i="1" s="1"/>
  <c r="B1229" i="1" a="1"/>
  <c r="B1229" i="1" s="1"/>
  <c r="B1230" i="1" a="1"/>
  <c r="B1230" i="1" s="1"/>
  <c r="B1231" i="1" a="1"/>
  <c r="B1231" i="1" s="1"/>
  <c r="B1232" i="1" a="1"/>
  <c r="B1232" i="1" s="1"/>
  <c r="B1233" i="1" a="1"/>
  <c r="B1233" i="1" s="1"/>
  <c r="B1234" i="1" a="1"/>
  <c r="B1234" i="1" s="1"/>
  <c r="B1235" i="1" a="1"/>
  <c r="B1235" i="1" s="1"/>
  <c r="B1236" i="1" a="1"/>
  <c r="B1236" i="1" s="1"/>
  <c r="B1237" i="1" a="1"/>
  <c r="B1237" i="1" s="1"/>
  <c r="B1238" i="1" a="1"/>
  <c r="B1238" i="1" s="1"/>
  <c r="B1239" i="1" a="1"/>
  <c r="B1239" i="1" s="1"/>
  <c r="B1240" i="1" a="1"/>
  <c r="B1240" i="1" s="1"/>
  <c r="B1241" i="1" a="1"/>
  <c r="B1241" i="1" s="1"/>
  <c r="B1242" i="1" a="1"/>
  <c r="B1242" i="1" s="1"/>
  <c r="B1243" i="1" a="1"/>
  <c r="B1243" i="1" s="1"/>
  <c r="B1244" i="1" a="1"/>
  <c r="B1244" i="1" s="1"/>
  <c r="B1245" i="1" a="1"/>
  <c r="B1245" i="1" s="1"/>
  <c r="B1246" i="1" a="1"/>
  <c r="B1246" i="1" s="1"/>
  <c r="B1247" i="1" a="1"/>
  <c r="B1247" i="1" s="1"/>
  <c r="B1248" i="1" a="1"/>
  <c r="B1248" i="1" s="1"/>
  <c r="B1249" i="1" a="1"/>
  <c r="B1249" i="1" s="1"/>
  <c r="B1250" i="1" a="1"/>
  <c r="B1250" i="1" s="1"/>
  <c r="B1251" i="1" a="1"/>
  <c r="B1251" i="1" s="1"/>
  <c r="B1252" i="1" a="1"/>
  <c r="B1252" i="1" s="1"/>
  <c r="B1253" i="1" a="1"/>
  <c r="B1253" i="1" s="1"/>
  <c r="B1254" i="1" a="1"/>
  <c r="B1254" i="1" s="1"/>
  <c r="B1255" i="1" a="1"/>
  <c r="B1255" i="1" s="1"/>
  <c r="B1256" i="1" a="1"/>
  <c r="B1256" i="1" s="1"/>
  <c r="B1257" i="1" a="1"/>
  <c r="B1257" i="1" s="1"/>
  <c r="B1258" i="1" a="1"/>
  <c r="B1258" i="1" s="1"/>
  <c r="B1259" i="1" a="1"/>
  <c r="B1259" i="1" s="1"/>
  <c r="B1260" i="1" a="1"/>
  <c r="B1260" i="1" s="1"/>
  <c r="B1261" i="1" a="1"/>
  <c r="B1261" i="1" s="1"/>
  <c r="B1262" i="1" a="1"/>
  <c r="B1262" i="1" s="1"/>
  <c r="B1263" i="1" a="1"/>
  <c r="B1263" i="1" s="1"/>
  <c r="B1264" i="1" a="1"/>
  <c r="B1264" i="1" s="1"/>
  <c r="B1265" i="1" a="1"/>
  <c r="B1265" i="1" s="1"/>
  <c r="B1266" i="1" a="1"/>
  <c r="B1266" i="1" s="1"/>
  <c r="B1267" i="1" a="1"/>
  <c r="B1267" i="1" s="1"/>
  <c r="B1268" i="1" a="1"/>
  <c r="B1268" i="1" s="1"/>
  <c r="B1269" i="1" a="1"/>
  <c r="B1269" i="1" s="1"/>
  <c r="B1270" i="1" a="1"/>
  <c r="B1270" i="1" s="1"/>
  <c r="B1271" i="1" a="1"/>
  <c r="B1271" i="1" s="1"/>
  <c r="B1272" i="1" a="1"/>
  <c r="B1272" i="1" s="1"/>
  <c r="B1273" i="1" a="1"/>
  <c r="B1273" i="1" s="1"/>
  <c r="B1274" i="1" a="1"/>
  <c r="B1274" i="1" s="1"/>
  <c r="B1275" i="1" a="1"/>
  <c r="B1275" i="1" s="1"/>
  <c r="B1276" i="1" a="1"/>
  <c r="B1276" i="1" s="1"/>
  <c r="B1277" i="1" a="1"/>
  <c r="B1277" i="1" s="1"/>
  <c r="B1278" i="1" a="1"/>
  <c r="B1278" i="1" s="1"/>
  <c r="B1279" i="1" a="1"/>
  <c r="B1279" i="1" s="1"/>
  <c r="B1280" i="1" a="1"/>
  <c r="B1280" i="1" s="1"/>
  <c r="B1281" i="1" a="1"/>
  <c r="B1281" i="1" s="1"/>
  <c r="B1282" i="1" a="1"/>
  <c r="B1282" i="1" s="1"/>
  <c r="B1283" i="1" a="1"/>
  <c r="B1283" i="1" s="1"/>
  <c r="B1284" i="1" a="1"/>
  <c r="B1284" i="1" s="1"/>
  <c r="B1285" i="1" a="1"/>
  <c r="B1285" i="1" s="1"/>
  <c r="B1286" i="1" a="1"/>
  <c r="B1286" i="1" s="1"/>
  <c r="B1287" i="1" a="1"/>
  <c r="B1287" i="1" s="1"/>
  <c r="B1288" i="1" a="1"/>
  <c r="B1288" i="1" s="1"/>
  <c r="B1289" i="1" a="1"/>
  <c r="B1289" i="1" s="1"/>
  <c r="B1290" i="1" a="1"/>
  <c r="B1290" i="1" s="1"/>
  <c r="B1291" i="1" a="1"/>
  <c r="B1291" i="1" s="1"/>
  <c r="B1292" i="1" a="1"/>
  <c r="B1292" i="1" s="1"/>
  <c r="B1293" i="1" a="1"/>
  <c r="B1293" i="1" s="1"/>
  <c r="B1294" i="1" a="1"/>
  <c r="B1294" i="1" s="1"/>
  <c r="B1295" i="1" a="1"/>
  <c r="B1295" i="1" s="1"/>
  <c r="B1296" i="1" a="1"/>
  <c r="B1296" i="1" s="1"/>
  <c r="B1297" i="1" a="1"/>
  <c r="B1297" i="1" s="1"/>
  <c r="B1298" i="1" a="1"/>
  <c r="B1298" i="1" s="1"/>
  <c r="B1299" i="1" a="1"/>
  <c r="B1299" i="1" s="1"/>
  <c r="B1300" i="1" a="1"/>
  <c r="B1300" i="1" s="1"/>
  <c r="B1301" i="1" a="1"/>
  <c r="B1301" i="1" s="1"/>
  <c r="B1302" i="1" a="1"/>
  <c r="B1302" i="1" s="1"/>
  <c r="B1303" i="1" a="1"/>
  <c r="B1303" i="1" s="1"/>
  <c r="B1304" i="1" a="1"/>
  <c r="B1304" i="1" s="1"/>
  <c r="B1305" i="1" a="1"/>
  <c r="B1305" i="1" s="1"/>
  <c r="B1306" i="1" a="1"/>
  <c r="B1306" i="1" s="1"/>
  <c r="B1307" i="1" a="1"/>
  <c r="B1307" i="1" s="1"/>
  <c r="B1308" i="1" a="1"/>
  <c r="B1308" i="1" s="1"/>
  <c r="B1309" i="1" a="1"/>
  <c r="B1309" i="1" s="1"/>
  <c r="B1310" i="1" a="1"/>
  <c r="B1310" i="1" s="1"/>
  <c r="B1311" i="1" a="1"/>
  <c r="B1311" i="1" s="1"/>
  <c r="B1312" i="1" a="1"/>
  <c r="B1312" i="1" s="1"/>
  <c r="B1313" i="1" a="1"/>
  <c r="B1313" i="1" s="1"/>
  <c r="B1314" i="1" a="1"/>
  <c r="B1314" i="1" s="1"/>
  <c r="B1315" i="1" a="1"/>
  <c r="B1315" i="1" s="1"/>
  <c r="B1316" i="1" a="1"/>
  <c r="B1316" i="1" s="1"/>
  <c r="B1317" i="1" a="1"/>
  <c r="B1317" i="1" s="1"/>
  <c r="B1318" i="1" a="1"/>
  <c r="B1318" i="1" s="1"/>
  <c r="B1319" i="1" a="1"/>
  <c r="B1319" i="1" s="1"/>
  <c r="B1320" i="1" a="1"/>
  <c r="B1320" i="1" s="1"/>
  <c r="B1321" i="1" a="1"/>
  <c r="B1321" i="1" s="1"/>
  <c r="B1322" i="1" a="1"/>
  <c r="B1322" i="1" s="1"/>
  <c r="B1323" i="1" a="1"/>
  <c r="B1323" i="1" s="1"/>
  <c r="B1324" i="1" a="1"/>
  <c r="B1324" i="1" s="1"/>
  <c r="B1325" i="1" a="1"/>
  <c r="B1325" i="1" s="1"/>
  <c r="B1326" i="1" a="1"/>
  <c r="B1326" i="1" s="1"/>
  <c r="B1327" i="1" a="1"/>
  <c r="B1327" i="1" s="1"/>
  <c r="B1328" i="1" a="1"/>
  <c r="B1328" i="1" s="1"/>
  <c r="B1329" i="1" a="1"/>
  <c r="B1329" i="1" s="1"/>
  <c r="B1330" i="1" a="1"/>
  <c r="B1330" i="1" s="1"/>
  <c r="B1331" i="1" a="1"/>
  <c r="B1331" i="1" s="1"/>
  <c r="B1332" i="1" a="1"/>
  <c r="B1332" i="1" s="1"/>
  <c r="B1333" i="1" a="1"/>
  <c r="B1333" i="1" s="1"/>
  <c r="B1334" i="1" a="1"/>
  <c r="B1334" i="1" s="1"/>
  <c r="B1335" i="1" a="1"/>
  <c r="B1335" i="1" s="1"/>
  <c r="B1336" i="1" a="1"/>
  <c r="B1336" i="1" s="1"/>
  <c r="B1337" i="1" a="1"/>
  <c r="B1337" i="1" s="1"/>
  <c r="B1338" i="1" a="1"/>
  <c r="B1338" i="1" s="1"/>
  <c r="B1339" i="1" a="1"/>
  <c r="B1339" i="1" s="1"/>
  <c r="B1340" i="1" a="1"/>
  <c r="B1340" i="1" s="1"/>
  <c r="B1341" i="1" a="1"/>
  <c r="B1341" i="1" s="1"/>
  <c r="B1342" i="1" a="1"/>
  <c r="B1342" i="1" s="1"/>
  <c r="B1343" i="1" a="1"/>
  <c r="B1343" i="1" s="1"/>
  <c r="B1344" i="1" a="1"/>
  <c r="B1344" i="1" s="1"/>
  <c r="B1345" i="1" a="1"/>
  <c r="B1345" i="1" s="1"/>
  <c r="B1346" i="1" a="1"/>
  <c r="B1346" i="1" s="1"/>
  <c r="B1347" i="1" a="1"/>
  <c r="B1347" i="1" s="1"/>
  <c r="B1348" i="1" a="1"/>
  <c r="B1348" i="1" s="1"/>
  <c r="B1349" i="1" a="1"/>
  <c r="B1349" i="1" s="1"/>
  <c r="B1350" i="1" a="1"/>
  <c r="B1350" i="1" s="1"/>
  <c r="B1351" i="1" a="1"/>
  <c r="B1351" i="1" s="1"/>
  <c r="B1352" i="1" a="1"/>
  <c r="B1352" i="1" s="1"/>
  <c r="B1353" i="1" a="1"/>
  <c r="B1353" i="1" s="1"/>
  <c r="B1354" i="1" a="1"/>
  <c r="B1354" i="1" s="1"/>
  <c r="B1355" i="1" a="1"/>
  <c r="B1355" i="1" s="1"/>
  <c r="B1356" i="1" a="1"/>
  <c r="B1356" i="1" s="1"/>
  <c r="B1357" i="1" a="1"/>
  <c r="B1357" i="1" s="1"/>
  <c r="B1358" i="1" a="1"/>
  <c r="B1358" i="1" s="1"/>
  <c r="B1359" i="1" a="1"/>
  <c r="B1359" i="1" s="1"/>
  <c r="B1360" i="1" a="1"/>
  <c r="B1360" i="1" s="1"/>
  <c r="B1361" i="1" a="1"/>
  <c r="B1361" i="1" s="1"/>
  <c r="B1362" i="1" a="1"/>
  <c r="B1362" i="1" s="1"/>
  <c r="B1363" i="1" a="1"/>
  <c r="B1363" i="1" s="1"/>
  <c r="B1364" i="1" a="1"/>
  <c r="B1364" i="1" s="1"/>
  <c r="B1365" i="1" a="1"/>
  <c r="B1365" i="1" s="1"/>
  <c r="B1366" i="1" a="1"/>
  <c r="B1366" i="1" s="1"/>
  <c r="B1367" i="1" a="1"/>
  <c r="B1367" i="1" s="1"/>
  <c r="B1368" i="1" a="1"/>
  <c r="B1368" i="1" s="1"/>
  <c r="B1369" i="1" a="1"/>
  <c r="B1369" i="1" s="1"/>
  <c r="B1370" i="1" a="1"/>
  <c r="B1370" i="1" s="1"/>
  <c r="B1371" i="1" a="1"/>
  <c r="B1371" i="1" s="1"/>
  <c r="B1372" i="1" a="1"/>
  <c r="B1372" i="1" s="1"/>
  <c r="B1373" i="1" a="1"/>
  <c r="B1373" i="1" s="1"/>
  <c r="B1374" i="1" a="1"/>
  <c r="B1374" i="1" s="1"/>
  <c r="B1375" i="1" a="1"/>
  <c r="B1375" i="1" s="1"/>
  <c r="B1376" i="1" a="1"/>
  <c r="B1376" i="1" s="1"/>
  <c r="B1377" i="1" a="1"/>
  <c r="B1377" i="1" s="1"/>
  <c r="B1378" i="1" a="1"/>
  <c r="B1378" i="1" s="1"/>
  <c r="B1379" i="1" a="1"/>
  <c r="B1379" i="1" s="1"/>
  <c r="B1380" i="1" a="1"/>
  <c r="B1380" i="1" s="1"/>
  <c r="B1381" i="1" a="1"/>
  <c r="B1381" i="1" s="1"/>
  <c r="B1382" i="1" a="1"/>
  <c r="B1382" i="1" s="1"/>
  <c r="B1383" i="1" a="1"/>
  <c r="B1383" i="1" s="1"/>
  <c r="B1384" i="1" a="1"/>
  <c r="B1384" i="1" s="1"/>
  <c r="B1385" i="1" a="1"/>
  <c r="B1385" i="1" s="1"/>
  <c r="B1386" i="1" a="1"/>
  <c r="B1386" i="1" s="1"/>
  <c r="B1387" i="1" a="1"/>
  <c r="B1387" i="1" s="1"/>
  <c r="B1388" i="1" a="1"/>
  <c r="B1388" i="1" s="1"/>
  <c r="B1389" i="1" a="1"/>
  <c r="B1389" i="1" s="1"/>
  <c r="B1390" i="1" a="1"/>
  <c r="B1390" i="1" s="1"/>
  <c r="B1391" i="1" a="1"/>
  <c r="B1391" i="1" s="1"/>
  <c r="B1392" i="1" a="1"/>
  <c r="B1392" i="1" s="1"/>
  <c r="B1393" i="1" a="1"/>
  <c r="B1393" i="1" s="1"/>
  <c r="B1394" i="1" a="1"/>
  <c r="B1394" i="1" s="1"/>
  <c r="B1395" i="1" a="1"/>
  <c r="B1395" i="1" s="1"/>
  <c r="B1396" i="1" a="1"/>
  <c r="B1396" i="1" s="1"/>
  <c r="B1397" i="1" a="1"/>
  <c r="B1397" i="1" s="1"/>
  <c r="B1398" i="1" a="1"/>
  <c r="B1398" i="1" s="1"/>
  <c r="B1399" i="1" a="1"/>
  <c r="B1399" i="1" s="1"/>
  <c r="B1400" i="1" a="1"/>
  <c r="B1400" i="1" s="1"/>
  <c r="B1401" i="1" a="1"/>
  <c r="B1401" i="1" s="1"/>
  <c r="B1402" i="1" a="1"/>
  <c r="B1402" i="1" s="1"/>
  <c r="B1403" i="1" a="1"/>
  <c r="B1403" i="1" s="1"/>
  <c r="B1404" i="1" a="1"/>
  <c r="B1404" i="1" s="1"/>
  <c r="B1405" i="1" a="1"/>
  <c r="B1405" i="1" s="1"/>
  <c r="B1406" i="1" a="1"/>
  <c r="B1406" i="1" s="1"/>
  <c r="B1407" i="1" a="1"/>
  <c r="B1407" i="1" s="1"/>
  <c r="B1408" i="1" a="1"/>
  <c r="B1408" i="1" s="1"/>
  <c r="B1409" i="1" a="1"/>
  <c r="B1409" i="1" s="1"/>
  <c r="B1410" i="1" a="1"/>
  <c r="B1410" i="1" s="1"/>
  <c r="B1411" i="1" a="1"/>
  <c r="B1411" i="1" s="1"/>
  <c r="B1412" i="1" a="1"/>
  <c r="B1412" i="1" s="1"/>
  <c r="B1413" i="1" a="1"/>
  <c r="B1413" i="1" s="1"/>
  <c r="B1414" i="1" a="1"/>
  <c r="B1414" i="1" s="1"/>
  <c r="B1415" i="1" a="1"/>
  <c r="B1415" i="1" s="1"/>
  <c r="B1416" i="1" a="1"/>
  <c r="B1416" i="1" s="1"/>
  <c r="B1417" i="1" a="1"/>
  <c r="B1417" i="1" s="1"/>
  <c r="B1418" i="1" a="1"/>
  <c r="B1418" i="1" s="1"/>
  <c r="B1419" i="1" a="1"/>
  <c r="B1419" i="1" s="1"/>
  <c r="B1420" i="1" a="1"/>
  <c r="B1420" i="1" s="1"/>
  <c r="B1421" i="1" a="1"/>
  <c r="B1421" i="1" s="1"/>
  <c r="B1422" i="1" a="1"/>
  <c r="B1422" i="1" s="1"/>
  <c r="B1423" i="1" a="1"/>
  <c r="B1423" i="1" s="1"/>
  <c r="B1424" i="1" a="1"/>
  <c r="B1424" i="1" s="1"/>
  <c r="B1425" i="1" a="1"/>
  <c r="B1425" i="1" s="1"/>
  <c r="B1426" i="1" a="1"/>
  <c r="B1426" i="1" s="1"/>
  <c r="B1427" i="1" a="1"/>
  <c r="B1427" i="1" s="1"/>
  <c r="B1428" i="1" a="1"/>
  <c r="B1428" i="1" s="1"/>
  <c r="B1429" i="1" a="1"/>
  <c r="B1429" i="1" s="1"/>
  <c r="B1430" i="1" a="1"/>
  <c r="B1430" i="1" s="1"/>
  <c r="B1431" i="1" a="1"/>
  <c r="B1431" i="1" s="1"/>
  <c r="B1432" i="1" a="1"/>
  <c r="B1432" i="1" s="1"/>
  <c r="B1433" i="1" a="1"/>
  <c r="B1433" i="1" s="1"/>
  <c r="B1434" i="1" a="1"/>
  <c r="B1434" i="1" s="1"/>
  <c r="B1435" i="1" a="1"/>
  <c r="B1435" i="1" s="1"/>
  <c r="B1436" i="1" a="1"/>
  <c r="B1436" i="1" s="1"/>
  <c r="B1437" i="1" a="1"/>
  <c r="B1437" i="1" s="1"/>
  <c r="B1438" i="1" a="1"/>
  <c r="B1438" i="1" s="1"/>
  <c r="B1439" i="1" a="1"/>
  <c r="B1439" i="1" s="1"/>
  <c r="B1440" i="1" a="1"/>
  <c r="B1440" i="1" s="1"/>
  <c r="B1441" i="1" a="1"/>
  <c r="B1441" i="1" s="1"/>
  <c r="B1442" i="1" a="1"/>
  <c r="B1442" i="1" s="1"/>
  <c r="B1443" i="1" a="1"/>
  <c r="B1443" i="1" s="1"/>
  <c r="B1444" i="1" a="1"/>
  <c r="B1444" i="1" s="1"/>
  <c r="B1445" i="1" a="1"/>
  <c r="B1445" i="1" s="1"/>
  <c r="B1446" i="1" a="1"/>
  <c r="B1446" i="1" s="1"/>
  <c r="B1447" i="1" a="1"/>
  <c r="B1447" i="1" s="1"/>
  <c r="B1448" i="1" a="1"/>
  <c r="B1448" i="1" s="1"/>
  <c r="B1449" i="1" a="1"/>
  <c r="B1449" i="1" s="1"/>
  <c r="B1450" i="1" a="1"/>
  <c r="B1450" i="1" s="1"/>
  <c r="B1451" i="1" a="1"/>
  <c r="B1451" i="1" s="1"/>
  <c r="B1452" i="1" a="1"/>
  <c r="B1452" i="1" s="1"/>
  <c r="B1453" i="1" a="1"/>
  <c r="B1453" i="1" s="1"/>
  <c r="B1454" i="1" a="1"/>
  <c r="B1454" i="1" s="1"/>
  <c r="B1455" i="1" a="1"/>
  <c r="B1455" i="1" s="1"/>
  <c r="B1456" i="1" a="1"/>
  <c r="B1456" i="1" s="1"/>
  <c r="B1457" i="1" a="1"/>
  <c r="B1457" i="1" s="1"/>
  <c r="B1458" i="1" a="1"/>
  <c r="B1458" i="1" s="1"/>
  <c r="B1459" i="1" a="1"/>
  <c r="B1459" i="1" s="1"/>
  <c r="B1460" i="1" a="1"/>
  <c r="B1460" i="1" s="1"/>
  <c r="B1461" i="1" a="1"/>
  <c r="B1461" i="1" s="1"/>
  <c r="B1462" i="1" a="1"/>
  <c r="B1462" i="1" s="1"/>
  <c r="B1463" i="1" a="1"/>
  <c r="B1463" i="1" s="1"/>
  <c r="B1464" i="1" a="1"/>
  <c r="B1464" i="1" s="1"/>
  <c r="B1465" i="1" a="1"/>
  <c r="B1465" i="1" s="1"/>
  <c r="B1466" i="1" a="1"/>
  <c r="B1466" i="1" s="1"/>
  <c r="B1467" i="1" a="1"/>
  <c r="B1467" i="1" s="1"/>
  <c r="B1468" i="1" a="1"/>
  <c r="B1468" i="1" s="1"/>
  <c r="B1469" i="1" a="1"/>
  <c r="B1469" i="1" s="1"/>
  <c r="B1470" i="1" a="1"/>
  <c r="B1470" i="1" s="1"/>
  <c r="B1471" i="1" a="1"/>
  <c r="B1471" i="1" s="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K12" i="6"/>
  <c r="BP9" i="2"/>
  <c r="BP11" i="2"/>
  <c r="BP10" i="2"/>
  <c r="AP1471" i="1" l="1"/>
  <c r="AQ1471" i="1" s="1"/>
  <c r="AP1467" i="1"/>
  <c r="AQ1467" i="1" s="1"/>
  <c r="AP1459" i="1"/>
  <c r="AQ1459" i="1" s="1"/>
  <c r="AP1451" i="1"/>
  <c r="AQ1451" i="1" s="1"/>
  <c r="AR1451" i="1" s="1"/>
  <c r="AP1447" i="1"/>
  <c r="AQ1447" i="1" s="1"/>
  <c r="AP1443" i="1"/>
  <c r="AQ1443" i="1" s="1"/>
  <c r="AP1439" i="1"/>
  <c r="AQ1439" i="1" s="1"/>
  <c r="AP1435" i="1"/>
  <c r="AQ1435" i="1" s="1"/>
  <c r="AR1435" i="1" s="1"/>
  <c r="AP1431" i="1"/>
  <c r="AQ1431" i="1" s="1"/>
  <c r="AP1427" i="1"/>
  <c r="AQ1427" i="1" s="1"/>
  <c r="AP1423" i="1"/>
  <c r="AQ1423" i="1" s="1"/>
  <c r="AP1419" i="1"/>
  <c r="AQ1419" i="1" s="1"/>
  <c r="AR1419" i="1" s="1"/>
  <c r="AP1407" i="1"/>
  <c r="AQ1407" i="1" s="1"/>
  <c r="AP1403" i="1"/>
  <c r="AQ1403" i="1" s="1"/>
  <c r="AP1399" i="1"/>
  <c r="AQ1399" i="1" s="1"/>
  <c r="AP1395" i="1"/>
  <c r="AQ1395" i="1" s="1"/>
  <c r="AR1395" i="1" s="1"/>
  <c r="AP1391" i="1"/>
  <c r="AQ1391" i="1" s="1"/>
  <c r="AP1387" i="1"/>
  <c r="AQ1387" i="1" s="1"/>
  <c r="AP1375" i="1"/>
  <c r="AQ1375" i="1" s="1"/>
  <c r="AP1363" i="1"/>
  <c r="AQ1363" i="1" s="1"/>
  <c r="AR1363" i="1" s="1"/>
  <c r="AP1359" i="1"/>
  <c r="AQ1359" i="1" s="1"/>
  <c r="AP1211" i="1"/>
  <c r="AQ1211" i="1" s="1"/>
  <c r="AP1199" i="1"/>
  <c r="AQ1199" i="1" s="1"/>
  <c r="AR1199" i="1" s="1"/>
  <c r="AP1195" i="1"/>
  <c r="AQ1195" i="1" s="1"/>
  <c r="AR1195" i="1" s="1"/>
  <c r="AP1183" i="1"/>
  <c r="AQ1183" i="1" s="1"/>
  <c r="AP1179" i="1"/>
  <c r="AQ1179" i="1" s="1"/>
  <c r="AP1175" i="1"/>
  <c r="AQ1175" i="1" s="1"/>
  <c r="AP1171" i="1"/>
  <c r="AQ1171" i="1" s="1"/>
  <c r="AR1171" i="1" s="1"/>
  <c r="AP1167" i="1"/>
  <c r="AQ1167" i="1" s="1"/>
  <c r="AP1163" i="1"/>
  <c r="AQ1163" i="1" s="1"/>
  <c r="AP1151" i="1"/>
  <c r="AQ1151" i="1" s="1"/>
  <c r="AP1147" i="1"/>
  <c r="AQ1147" i="1" s="1"/>
  <c r="AR1147" i="1" s="1"/>
  <c r="AP1143" i="1"/>
  <c r="AQ1143" i="1" s="1"/>
  <c r="AP1139" i="1"/>
  <c r="AQ1139" i="1" s="1"/>
  <c r="AR1139" i="1" s="1"/>
  <c r="AP1135" i="1"/>
  <c r="AQ1135" i="1" s="1"/>
  <c r="AP1131" i="1"/>
  <c r="AQ1131" i="1" s="1"/>
  <c r="AR1131" i="1" s="1"/>
  <c r="AP1119" i="1"/>
  <c r="AQ1119" i="1" s="1"/>
  <c r="AP1115" i="1"/>
  <c r="AQ1115" i="1" s="1"/>
  <c r="AP1111" i="1"/>
  <c r="AQ1111" i="1" s="1"/>
  <c r="AP1107" i="1"/>
  <c r="AQ1107" i="1" s="1"/>
  <c r="AR1107" i="1" s="1"/>
  <c r="AP1103" i="1"/>
  <c r="AQ1103" i="1" s="1"/>
  <c r="AP1099" i="1"/>
  <c r="AQ1099" i="1" s="1"/>
  <c r="AR1099" i="1" s="1"/>
  <c r="AP1095" i="1"/>
  <c r="AQ1095" i="1" s="1"/>
  <c r="AP1091" i="1"/>
  <c r="AQ1091" i="1" s="1"/>
  <c r="AP74" i="1"/>
  <c r="AQ74" i="1" s="1"/>
  <c r="AP70" i="1"/>
  <c r="AQ70" i="1" s="1"/>
  <c r="AP66" i="1"/>
  <c r="AQ66" i="1" s="1"/>
  <c r="AP62" i="1"/>
  <c r="AQ62" i="1" s="1"/>
  <c r="AR62" i="1" s="1"/>
  <c r="AP58" i="1"/>
  <c r="AQ58" i="1" s="1"/>
  <c r="AP54" i="1"/>
  <c r="AQ54" i="1" s="1"/>
  <c r="AP42" i="1"/>
  <c r="AQ42" i="1" s="1"/>
  <c r="AP34" i="1"/>
  <c r="AQ34" i="1" s="1"/>
  <c r="AP30" i="1"/>
  <c r="AQ30" i="1" s="1"/>
  <c r="AP22" i="1"/>
  <c r="AQ22" i="1" s="1"/>
  <c r="AP18" i="1"/>
  <c r="AQ18" i="1" s="1"/>
  <c r="AP14" i="1"/>
  <c r="AQ14" i="1" s="1"/>
  <c r="AR14" i="1" s="1"/>
  <c r="AP10" i="1"/>
  <c r="AQ10" i="1" s="1"/>
  <c r="AP937" i="1"/>
  <c r="AQ937" i="1" s="1"/>
  <c r="AP933" i="1"/>
  <c r="AQ933" i="1" s="1"/>
  <c r="AP929" i="1"/>
  <c r="AQ929" i="1" s="1"/>
  <c r="AP925" i="1"/>
  <c r="AQ925" i="1" s="1"/>
  <c r="AP921" i="1"/>
  <c r="AQ921" i="1" s="1"/>
  <c r="AP909" i="1"/>
  <c r="AQ909" i="1" s="1"/>
  <c r="AP905" i="1"/>
  <c r="AQ905" i="1" s="1"/>
  <c r="AP901" i="1"/>
  <c r="AQ901" i="1" s="1"/>
  <c r="AP897" i="1"/>
  <c r="AQ897" i="1" s="1"/>
  <c r="AR897" i="1" s="1"/>
  <c r="AP893" i="1"/>
  <c r="AQ893" i="1" s="1"/>
  <c r="AP889" i="1"/>
  <c r="AQ889" i="1" s="1"/>
  <c r="AR889" i="1" s="1"/>
  <c r="AP885" i="1"/>
  <c r="AQ885" i="1" s="1"/>
  <c r="AR885" i="1" s="1"/>
  <c r="AP881" i="1"/>
  <c r="AQ881" i="1" s="1"/>
  <c r="AP877" i="1"/>
  <c r="AQ877" i="1" s="1"/>
  <c r="AP869" i="1"/>
  <c r="AQ869" i="1" s="1"/>
  <c r="AR869" i="1" s="1"/>
  <c r="AP865" i="1"/>
  <c r="AQ865" i="1" s="1"/>
  <c r="AR865" i="1" s="1"/>
  <c r="AP861" i="1"/>
  <c r="AQ861" i="1" s="1"/>
  <c r="AP857" i="1"/>
  <c r="AQ857" i="1" s="1"/>
  <c r="AP853" i="1"/>
  <c r="AQ853" i="1" s="1"/>
  <c r="AR853" i="1" s="1"/>
  <c r="AP849" i="1"/>
  <c r="AQ849" i="1" s="1"/>
  <c r="AR849" i="1" s="1"/>
  <c r="AP845" i="1"/>
  <c r="AQ845" i="1" s="1"/>
  <c r="AP841" i="1"/>
  <c r="AQ841" i="1" s="1"/>
  <c r="AP837" i="1"/>
  <c r="AQ837" i="1" s="1"/>
  <c r="AP829" i="1"/>
  <c r="AQ829" i="1" s="1"/>
  <c r="AR829" i="1" s="1"/>
  <c r="AP825" i="1"/>
  <c r="AQ825" i="1" s="1"/>
  <c r="AP821" i="1"/>
  <c r="AQ821" i="1" s="1"/>
  <c r="AP817" i="1"/>
  <c r="AQ817" i="1" s="1"/>
  <c r="AR817" i="1" s="1"/>
  <c r="AP813" i="1"/>
  <c r="AQ813" i="1" s="1"/>
  <c r="AR813" i="1" s="1"/>
  <c r="AP809" i="1"/>
  <c r="AQ809" i="1" s="1"/>
  <c r="AP805" i="1"/>
  <c r="AQ805" i="1" s="1"/>
  <c r="AP801" i="1"/>
  <c r="AQ801" i="1" s="1"/>
  <c r="AR801" i="1" s="1"/>
  <c r="AP797" i="1"/>
  <c r="AQ797" i="1" s="1"/>
  <c r="AR797" i="1" s="1"/>
  <c r="AP789" i="1"/>
  <c r="AQ789" i="1" s="1"/>
  <c r="AP785" i="1"/>
  <c r="AQ785" i="1" s="1"/>
  <c r="AP777" i="1"/>
  <c r="AQ777" i="1" s="1"/>
  <c r="AP773" i="1"/>
  <c r="AQ773" i="1" s="1"/>
  <c r="AR773" i="1" s="1"/>
  <c r="AP769" i="1"/>
  <c r="AQ769" i="1" s="1"/>
  <c r="AP765" i="1"/>
  <c r="AQ765" i="1" s="1"/>
  <c r="AR765" i="1" s="1"/>
  <c r="AP761" i="1"/>
  <c r="AQ761" i="1" s="1"/>
  <c r="AR761" i="1" s="1"/>
  <c r="AP757" i="1"/>
  <c r="AQ757" i="1" s="1"/>
  <c r="AR757" i="1" s="1"/>
  <c r="AP753" i="1"/>
  <c r="AQ753" i="1" s="1"/>
  <c r="AP749" i="1"/>
  <c r="AQ749" i="1" s="1"/>
  <c r="AP745" i="1"/>
  <c r="AQ745" i="1" s="1"/>
  <c r="AR745" i="1" s="1"/>
  <c r="AP741" i="1"/>
  <c r="AQ741" i="1" s="1"/>
  <c r="AR741" i="1" s="1"/>
  <c r="AP737" i="1"/>
  <c r="AQ737" i="1" s="1"/>
  <c r="AP729" i="1"/>
  <c r="AQ729" i="1" s="1"/>
  <c r="AP725" i="1"/>
  <c r="AQ725" i="1" s="1"/>
  <c r="AP721" i="1"/>
  <c r="AQ721" i="1" s="1"/>
  <c r="AR721" i="1" s="1"/>
  <c r="AP717" i="1"/>
  <c r="AQ717" i="1" s="1"/>
  <c r="AP709" i="1"/>
  <c r="AQ709" i="1" s="1"/>
  <c r="AP705" i="1"/>
  <c r="AQ705" i="1" s="1"/>
  <c r="AR705" i="1" s="1"/>
  <c r="AP701" i="1"/>
  <c r="AQ701" i="1" s="1"/>
  <c r="AR701" i="1" s="1"/>
  <c r="AP693" i="1"/>
  <c r="AQ693" i="1" s="1"/>
  <c r="AP689" i="1"/>
  <c r="AQ689" i="1" s="1"/>
  <c r="AP681" i="1"/>
  <c r="AQ681" i="1" s="1"/>
  <c r="AR681" i="1" s="1"/>
  <c r="AP677" i="1"/>
  <c r="AQ677" i="1" s="1"/>
  <c r="AR677" i="1" s="1"/>
  <c r="AP673" i="1"/>
  <c r="AQ673" i="1" s="1"/>
  <c r="AP661" i="1"/>
  <c r="AQ661" i="1" s="1"/>
  <c r="AP657" i="1"/>
  <c r="AQ657" i="1" s="1"/>
  <c r="AR657" i="1" s="1"/>
  <c r="AP653" i="1"/>
  <c r="AQ653" i="1" s="1"/>
  <c r="AP649" i="1"/>
  <c r="AQ649" i="1" s="1"/>
  <c r="AP641" i="1"/>
  <c r="AQ641" i="1" s="1"/>
  <c r="AP633" i="1"/>
  <c r="AQ633" i="1" s="1"/>
  <c r="AP625" i="1"/>
  <c r="AQ625" i="1" s="1"/>
  <c r="AP621" i="1"/>
  <c r="AQ621" i="1" s="1"/>
  <c r="AP605" i="1"/>
  <c r="AQ605" i="1" s="1"/>
  <c r="AP601" i="1"/>
  <c r="AQ601" i="1" s="1"/>
  <c r="AP589" i="1"/>
  <c r="AQ589" i="1" s="1"/>
  <c r="AP565" i="1"/>
  <c r="AQ565" i="1" s="1"/>
  <c r="AP561" i="1"/>
  <c r="AQ561" i="1" s="1"/>
  <c r="AP557" i="1"/>
  <c r="AQ557" i="1" s="1"/>
  <c r="AP553" i="1"/>
  <c r="AQ553" i="1" s="1"/>
  <c r="AP541" i="1"/>
  <c r="AQ541" i="1" s="1"/>
  <c r="AP533" i="1"/>
  <c r="AQ533" i="1" s="1"/>
  <c r="AR1392" i="1"/>
  <c r="AR1340" i="1"/>
  <c r="AR1293" i="1"/>
  <c r="AR1257" i="1"/>
  <c r="AR1238" i="1"/>
  <c r="AR1173" i="1"/>
  <c r="AR1138" i="1"/>
  <c r="AR1108" i="1"/>
  <c r="AR1070" i="1"/>
  <c r="AR1058" i="1"/>
  <c r="AR1034" i="1"/>
  <c r="AR1014" i="1"/>
  <c r="AR968" i="1"/>
  <c r="AR948" i="1"/>
  <c r="AR930" i="1"/>
  <c r="AR894" i="1"/>
  <c r="AR838" i="1"/>
  <c r="AR815" i="1"/>
  <c r="AR799" i="1"/>
  <c r="AR791" i="1"/>
  <c r="AR778" i="1"/>
  <c r="AR751" i="1"/>
  <c r="AR733" i="1"/>
  <c r="AR711" i="1"/>
  <c r="AR695" i="1"/>
  <c r="AR671" i="1"/>
  <c r="AR664" i="1"/>
  <c r="AR600" i="1"/>
  <c r="AR587" i="1"/>
  <c r="AR564" i="1"/>
  <c r="AR527" i="1"/>
  <c r="AR497" i="1"/>
  <c r="AR471" i="1"/>
  <c r="AR445" i="1"/>
  <c r="AR437" i="1"/>
  <c r="AR416" i="1"/>
  <c r="AR380" i="1"/>
  <c r="AR365" i="1"/>
  <c r="AR325" i="1"/>
  <c r="AR290" i="1"/>
  <c r="AR261" i="1"/>
  <c r="AR236" i="1"/>
  <c r="AR216" i="1"/>
  <c r="AR194" i="1"/>
  <c r="AR142" i="1"/>
  <c r="AR128" i="1"/>
  <c r="AR109" i="1"/>
  <c r="AR71" i="1"/>
  <c r="AR44" i="1"/>
  <c r="AR28" i="1"/>
  <c r="AR4" i="1"/>
  <c r="AR1444" i="1"/>
  <c r="AR1440" i="1"/>
  <c r="AR1427" i="1"/>
  <c r="AR1315" i="1"/>
  <c r="AR1299" i="1"/>
  <c r="AR1283" i="1"/>
  <c r="AR1251" i="1"/>
  <c r="AR1203" i="1"/>
  <c r="AR1155" i="1"/>
  <c r="AR1091" i="1"/>
  <c r="AR1059" i="1"/>
  <c r="AR915" i="1"/>
  <c r="AR851" i="1"/>
  <c r="AR750" i="1"/>
  <c r="AR70" i="1"/>
  <c r="AR58" i="1"/>
  <c r="AR42" i="1"/>
  <c r="AR34" i="1"/>
  <c r="AR1356" i="1"/>
  <c r="AR1314" i="1"/>
  <c r="AR1292" i="1"/>
  <c r="AR1273" i="1"/>
  <c r="AR1225" i="1"/>
  <c r="AR1206" i="1"/>
  <c r="AR1169" i="1"/>
  <c r="AR1114" i="1"/>
  <c r="AR1062" i="1"/>
  <c r="AR1041" i="1"/>
  <c r="AR1033" i="1"/>
  <c r="AR1009" i="1"/>
  <c r="AR942" i="1"/>
  <c r="AR917" i="1"/>
  <c r="AR873" i="1"/>
  <c r="AR833" i="1"/>
  <c r="AR803" i="1"/>
  <c r="AR764" i="1"/>
  <c r="AR727" i="1"/>
  <c r="AR708" i="1"/>
  <c r="AR691" i="1"/>
  <c r="AR669" i="1"/>
  <c r="AR662" i="1"/>
  <c r="AR616" i="1"/>
  <c r="AR597" i="1"/>
  <c r="AR575" i="1"/>
  <c r="AR549" i="1"/>
  <c r="AR516" i="1"/>
  <c r="AR484" i="1"/>
  <c r="AR465" i="1"/>
  <c r="AR442" i="1"/>
  <c r="AR424" i="1"/>
  <c r="AR407" i="1"/>
  <c r="AR372" i="1"/>
  <c r="AR359" i="1"/>
  <c r="AR319" i="1"/>
  <c r="AR288" i="1"/>
  <c r="AR252" i="1"/>
  <c r="AR231" i="1"/>
  <c r="AR212" i="1"/>
  <c r="AR184" i="1"/>
  <c r="AR138" i="1"/>
  <c r="AR126" i="1"/>
  <c r="AR104" i="1"/>
  <c r="AR53" i="1"/>
  <c r="AR38" i="1"/>
  <c r="AR26" i="1"/>
  <c r="AR1471" i="1"/>
  <c r="AR1467" i="1"/>
  <c r="AR1463" i="1"/>
  <c r="AR1459" i="1"/>
  <c r="AR1447" i="1"/>
  <c r="AR1443" i="1"/>
  <c r="AR1439" i="1"/>
  <c r="AR1423" i="1"/>
  <c r="AR1407" i="1"/>
  <c r="AR1391" i="1"/>
  <c r="AR1375" i="1"/>
  <c r="AR1359" i="1"/>
  <c r="AR1215" i="1"/>
  <c r="AR1183" i="1"/>
  <c r="AR1167" i="1"/>
  <c r="AR1151" i="1"/>
  <c r="AR1135" i="1"/>
  <c r="AR1119" i="1"/>
  <c r="AR1103" i="1"/>
  <c r="AR1087" i="1"/>
  <c r="AR1023" i="1"/>
  <c r="AR798" i="1"/>
  <c r="AR734" i="1"/>
  <c r="AR66" i="1"/>
  <c r="AR54" i="1"/>
  <c r="AR30" i="1"/>
  <c r="AR22" i="1"/>
  <c r="AR18" i="1"/>
  <c r="AR10" i="1"/>
  <c r="AP1470" i="1"/>
  <c r="AQ1470" i="1" s="1"/>
  <c r="AP1466" i="1"/>
  <c r="AQ1466" i="1" s="1"/>
  <c r="AP1462" i="1"/>
  <c r="AQ1462" i="1" s="1"/>
  <c r="AP1458" i="1"/>
  <c r="AQ1458" i="1" s="1"/>
  <c r="AP1450" i="1"/>
  <c r="AQ1450" i="1" s="1"/>
  <c r="AP1442" i="1"/>
  <c r="AQ1442" i="1" s="1"/>
  <c r="AP1438" i="1"/>
  <c r="AQ1438" i="1" s="1"/>
  <c r="AR1438" i="1" s="1"/>
  <c r="AP1434" i="1"/>
  <c r="AQ1434" i="1" s="1"/>
  <c r="AP1430" i="1"/>
  <c r="AQ1430" i="1" s="1"/>
  <c r="AP1426" i="1"/>
  <c r="AQ1426" i="1" s="1"/>
  <c r="AP1422" i="1"/>
  <c r="AQ1422" i="1" s="1"/>
  <c r="AP1418" i="1"/>
  <c r="AQ1418" i="1" s="1"/>
  <c r="AP1414" i="1"/>
  <c r="AQ1414" i="1" s="1"/>
  <c r="AP1410" i="1"/>
  <c r="AQ1410" i="1" s="1"/>
  <c r="AP1406" i="1"/>
  <c r="AQ1406" i="1" s="1"/>
  <c r="AP1402" i="1"/>
  <c r="AQ1402" i="1" s="1"/>
  <c r="AP1394" i="1"/>
  <c r="AQ1394" i="1" s="1"/>
  <c r="AP1390" i="1"/>
  <c r="AQ1390" i="1" s="1"/>
  <c r="AP1386" i="1"/>
  <c r="AQ1386" i="1" s="1"/>
  <c r="AP1382" i="1"/>
  <c r="AQ1382" i="1" s="1"/>
  <c r="AP1378" i="1"/>
  <c r="AQ1378" i="1" s="1"/>
  <c r="AP1374" i="1"/>
  <c r="AQ1374" i="1" s="1"/>
  <c r="AP1370" i="1"/>
  <c r="AQ1370" i="1" s="1"/>
  <c r="AP1366" i="1"/>
  <c r="AQ1366" i="1" s="1"/>
  <c r="AP1362" i="1"/>
  <c r="AQ1362" i="1" s="1"/>
  <c r="AP1358" i="1"/>
  <c r="AQ1358" i="1" s="1"/>
  <c r="AP1354" i="1"/>
  <c r="AQ1354" i="1" s="1"/>
  <c r="AP1350" i="1"/>
  <c r="AQ1350" i="1" s="1"/>
  <c r="AP1346" i="1"/>
  <c r="AQ1346" i="1" s="1"/>
  <c r="AP1342" i="1"/>
  <c r="AQ1342" i="1" s="1"/>
  <c r="AP1338" i="1"/>
  <c r="AQ1338" i="1" s="1"/>
  <c r="AP1330" i="1"/>
  <c r="AQ1330" i="1" s="1"/>
  <c r="AP1326" i="1"/>
  <c r="AQ1326" i="1" s="1"/>
  <c r="AP1322" i="1"/>
  <c r="AQ1322" i="1" s="1"/>
  <c r="AP1318" i="1"/>
  <c r="AQ1318" i="1" s="1"/>
  <c r="AP1310" i="1"/>
  <c r="AQ1310" i="1" s="1"/>
  <c r="AP1306" i="1"/>
  <c r="AQ1306" i="1" s="1"/>
  <c r="AP1302" i="1"/>
  <c r="AQ1302" i="1" s="1"/>
  <c r="AP1298" i="1"/>
  <c r="AQ1298" i="1" s="1"/>
  <c r="AP1294" i="1"/>
  <c r="AQ1294" i="1" s="1"/>
  <c r="AP1290" i="1"/>
  <c r="AQ1290" i="1" s="1"/>
  <c r="AP1286" i="1"/>
  <c r="AQ1286" i="1" s="1"/>
  <c r="AP1282" i="1"/>
  <c r="AQ1282" i="1" s="1"/>
  <c r="AP1278" i="1"/>
  <c r="AQ1278" i="1" s="1"/>
  <c r="AP1274" i="1"/>
  <c r="AQ1274" i="1" s="1"/>
  <c r="AP1270" i="1"/>
  <c r="AQ1270" i="1" s="1"/>
  <c r="AP1266" i="1"/>
  <c r="AQ1266" i="1" s="1"/>
  <c r="AP1262" i="1"/>
  <c r="AQ1262" i="1" s="1"/>
  <c r="AP1258" i="1"/>
  <c r="AQ1258" i="1" s="1"/>
  <c r="AP1250" i="1"/>
  <c r="AQ1250" i="1" s="1"/>
  <c r="AP1218" i="1"/>
  <c r="AQ1218" i="1" s="1"/>
  <c r="AP1214" i="1"/>
  <c r="AQ1214" i="1" s="1"/>
  <c r="AP1210" i="1"/>
  <c r="AQ1210" i="1" s="1"/>
  <c r="AP1202" i="1"/>
  <c r="AQ1202" i="1" s="1"/>
  <c r="AP1198" i="1"/>
  <c r="AQ1198" i="1" s="1"/>
  <c r="AP1194" i="1"/>
  <c r="AQ1194" i="1" s="1"/>
  <c r="AR1194" i="1" s="1"/>
  <c r="AP1186" i="1"/>
  <c r="AQ1186" i="1" s="1"/>
  <c r="AP1182" i="1"/>
  <c r="AQ1182" i="1" s="1"/>
  <c r="AP1178" i="1"/>
  <c r="AQ1178" i="1" s="1"/>
  <c r="AP1170" i="1"/>
  <c r="AQ1170" i="1" s="1"/>
  <c r="AR1170" i="1" s="1"/>
  <c r="AP1166" i="1"/>
  <c r="AQ1166" i="1" s="1"/>
  <c r="AP1162" i="1"/>
  <c r="AQ1162" i="1" s="1"/>
  <c r="AP1158" i="1"/>
  <c r="AQ1158" i="1" s="1"/>
  <c r="AP1154" i="1"/>
  <c r="AQ1154" i="1" s="1"/>
  <c r="AP1150" i="1"/>
  <c r="AQ1150" i="1" s="1"/>
  <c r="AP1146" i="1"/>
  <c r="AQ1146" i="1" s="1"/>
  <c r="AP1142" i="1"/>
  <c r="AQ1142" i="1" s="1"/>
  <c r="AP1134" i="1"/>
  <c r="AQ1134" i="1" s="1"/>
  <c r="AP1130" i="1"/>
  <c r="AQ1130" i="1" s="1"/>
  <c r="AR1130" i="1" s="1"/>
  <c r="AP1122" i="1"/>
  <c r="AQ1122" i="1" s="1"/>
  <c r="AP1118" i="1"/>
  <c r="AQ1118" i="1" s="1"/>
  <c r="AP1106" i="1"/>
  <c r="AQ1106" i="1" s="1"/>
  <c r="AP1102" i="1"/>
  <c r="AQ1102" i="1" s="1"/>
  <c r="AP1098" i="1"/>
  <c r="AQ1098" i="1" s="1"/>
  <c r="AP1094" i="1"/>
  <c r="AQ1094" i="1" s="1"/>
  <c r="AP1090" i="1"/>
  <c r="AQ1090" i="1" s="1"/>
  <c r="AP1086" i="1"/>
  <c r="AQ1086" i="1" s="1"/>
  <c r="AP974" i="1"/>
  <c r="AQ974" i="1" s="1"/>
  <c r="AP970" i="1"/>
  <c r="AQ970" i="1" s="1"/>
  <c r="AP966" i="1"/>
  <c r="AQ966" i="1" s="1"/>
  <c r="AP962" i="1"/>
  <c r="AQ962" i="1" s="1"/>
  <c r="AP958" i="1"/>
  <c r="AQ958" i="1" s="1"/>
  <c r="AP922" i="1"/>
  <c r="AQ922" i="1" s="1"/>
  <c r="AP918" i="1"/>
  <c r="AQ918" i="1" s="1"/>
  <c r="AP914" i="1"/>
  <c r="AQ914" i="1" s="1"/>
  <c r="AP910" i="1"/>
  <c r="AQ910" i="1" s="1"/>
  <c r="AP906" i="1"/>
  <c r="AQ906" i="1" s="1"/>
  <c r="AP902" i="1"/>
  <c r="AQ902" i="1" s="1"/>
  <c r="AP898" i="1"/>
  <c r="AQ898" i="1" s="1"/>
  <c r="AP890" i="1"/>
  <c r="AQ890" i="1" s="1"/>
  <c r="AP886" i="1"/>
  <c r="AQ886" i="1" s="1"/>
  <c r="AP882" i="1"/>
  <c r="AQ882" i="1" s="1"/>
  <c r="AP878" i="1"/>
  <c r="AQ878" i="1" s="1"/>
  <c r="AR878" i="1" s="1"/>
  <c r="AP874" i="1"/>
  <c r="AQ874" i="1" s="1"/>
  <c r="AP870" i="1"/>
  <c r="AQ870" i="1" s="1"/>
  <c r="AR870" i="1" s="1"/>
  <c r="AP858" i="1"/>
  <c r="AQ858" i="1" s="1"/>
  <c r="AP854" i="1"/>
  <c r="AQ854" i="1" s="1"/>
  <c r="AP850" i="1"/>
  <c r="AQ850" i="1" s="1"/>
  <c r="AP846" i="1"/>
  <c r="AQ846" i="1" s="1"/>
  <c r="AP842" i="1"/>
  <c r="AQ842" i="1" s="1"/>
  <c r="AP834" i="1"/>
  <c r="AQ834" i="1" s="1"/>
  <c r="AP170" i="1"/>
  <c r="AQ170" i="1" s="1"/>
  <c r="AP166" i="1"/>
  <c r="AQ166" i="1" s="1"/>
  <c r="AP162" i="1"/>
  <c r="AQ162" i="1" s="1"/>
  <c r="AP158" i="1"/>
  <c r="AQ158" i="1" s="1"/>
  <c r="AP154" i="1"/>
  <c r="AQ154" i="1" s="1"/>
  <c r="AR154" i="1" s="1"/>
  <c r="AP150" i="1"/>
  <c r="AQ150" i="1" s="1"/>
  <c r="AP146" i="1"/>
  <c r="AQ146" i="1" s="1"/>
  <c r="AP122" i="1"/>
  <c r="AQ122" i="1" s="1"/>
  <c r="AP118" i="1"/>
  <c r="AQ118" i="1" s="1"/>
  <c r="AP114" i="1"/>
  <c r="AQ114" i="1" s="1"/>
  <c r="AP98" i="1"/>
  <c r="AQ98" i="1" s="1"/>
  <c r="AP82" i="1"/>
  <c r="AQ82" i="1" s="1"/>
  <c r="AR77" i="1"/>
  <c r="AR69" i="1"/>
  <c r="AR65" i="1"/>
  <c r="AR1398" i="1"/>
  <c r="AR1377" i="1"/>
  <c r="AR1334" i="1"/>
  <c r="AR1300" i="1"/>
  <c r="AR1264" i="1"/>
  <c r="AR1248" i="1"/>
  <c r="AR1224" i="1"/>
  <c r="AR1164" i="1"/>
  <c r="AR1113" i="1"/>
  <c r="AR1085" i="1"/>
  <c r="AR1060" i="1"/>
  <c r="AR1038" i="1"/>
  <c r="AR1008" i="1"/>
  <c r="AR982" i="1"/>
  <c r="AR954" i="1"/>
  <c r="AR941" i="1"/>
  <c r="AR866" i="1"/>
  <c r="AR844" i="1"/>
  <c r="AR831" i="1"/>
  <c r="AR802" i="1"/>
  <c r="AR794" i="1"/>
  <c r="AR781" i="1"/>
  <c r="AR763" i="1"/>
  <c r="AR746" i="1"/>
  <c r="AR722" i="1"/>
  <c r="AR690" i="1"/>
  <c r="AR668" i="1"/>
  <c r="AR658" i="1"/>
  <c r="AR610" i="1"/>
  <c r="AR593" i="1"/>
  <c r="AR570" i="1"/>
  <c r="AR542" i="1"/>
  <c r="AR515" i="1"/>
  <c r="AR482" i="1"/>
  <c r="AR459" i="1"/>
  <c r="AR441" i="1"/>
  <c r="AR423" i="1"/>
  <c r="AR387" i="1"/>
  <c r="AR338" i="1"/>
  <c r="AR298" i="1"/>
  <c r="AR273" i="1"/>
  <c r="AR241" i="1"/>
  <c r="AR219" i="1"/>
  <c r="AR207" i="1"/>
  <c r="AR179" i="1"/>
  <c r="AR134" i="1"/>
  <c r="AR124" i="1"/>
  <c r="AR102" i="1"/>
  <c r="AR52" i="1"/>
  <c r="AR36" i="1"/>
  <c r="AR23" i="1"/>
  <c r="AR1454" i="1"/>
  <c r="AR1446" i="1"/>
  <c r="AR1403" i="1"/>
  <c r="AR1387" i="1"/>
  <c r="AR1371" i="1"/>
  <c r="AR1355" i="1"/>
  <c r="AR1275" i="1"/>
  <c r="AR1259" i="1"/>
  <c r="AR1211" i="1"/>
  <c r="AR1179" i="1"/>
  <c r="AR1163" i="1"/>
  <c r="AR1115" i="1"/>
  <c r="AR1035" i="1"/>
  <c r="AR987" i="1"/>
  <c r="AR955" i="1"/>
  <c r="AR859" i="1"/>
  <c r="AR782" i="1"/>
  <c r="AR370" i="1"/>
  <c r="AR74" i="1"/>
  <c r="AP1457" i="1"/>
  <c r="AQ1457" i="1" s="1"/>
  <c r="AP1437" i="1"/>
  <c r="AQ1437" i="1" s="1"/>
  <c r="AP1433" i="1"/>
  <c r="AQ1433" i="1" s="1"/>
  <c r="AP1429" i="1"/>
  <c r="AQ1429" i="1" s="1"/>
  <c r="AP1425" i="1"/>
  <c r="AQ1425" i="1" s="1"/>
  <c r="AP1421" i="1"/>
  <c r="AQ1421" i="1" s="1"/>
  <c r="AP1417" i="1"/>
  <c r="AQ1417" i="1" s="1"/>
  <c r="AP1413" i="1"/>
  <c r="AQ1413" i="1" s="1"/>
  <c r="AP1409" i="1"/>
  <c r="AQ1409" i="1" s="1"/>
  <c r="AP1405" i="1"/>
  <c r="AQ1405" i="1" s="1"/>
  <c r="AP1401" i="1"/>
  <c r="AQ1401" i="1" s="1"/>
  <c r="AP1393" i="1"/>
  <c r="AQ1393" i="1" s="1"/>
  <c r="AR1393" i="1" s="1"/>
  <c r="AP1389" i="1"/>
  <c r="AQ1389" i="1" s="1"/>
  <c r="AP1385" i="1"/>
  <c r="AQ1385" i="1" s="1"/>
  <c r="AP1365" i="1"/>
  <c r="AQ1365" i="1" s="1"/>
  <c r="AP1361" i="1"/>
  <c r="AQ1361" i="1" s="1"/>
  <c r="AP1357" i="1"/>
  <c r="AQ1357" i="1" s="1"/>
  <c r="AP1353" i="1"/>
  <c r="AQ1353" i="1" s="1"/>
  <c r="AP1349" i="1"/>
  <c r="AQ1349" i="1" s="1"/>
  <c r="AP1345" i="1"/>
  <c r="AQ1345" i="1" s="1"/>
  <c r="AR1345" i="1" s="1"/>
  <c r="AP1337" i="1"/>
  <c r="AQ1337" i="1" s="1"/>
  <c r="AP1333" i="1"/>
  <c r="AQ1333" i="1" s="1"/>
  <c r="AP1329" i="1"/>
  <c r="AQ1329" i="1" s="1"/>
  <c r="AP1325" i="1"/>
  <c r="AQ1325" i="1" s="1"/>
  <c r="AP1321" i="1"/>
  <c r="AQ1321" i="1" s="1"/>
  <c r="AP1317" i="1"/>
  <c r="AQ1317" i="1" s="1"/>
  <c r="AP1301" i="1"/>
  <c r="AQ1301" i="1" s="1"/>
  <c r="AP1297" i="1"/>
  <c r="AQ1297" i="1" s="1"/>
  <c r="AP1289" i="1"/>
  <c r="AQ1289" i="1" s="1"/>
  <c r="AP1285" i="1"/>
  <c r="AQ1285" i="1" s="1"/>
  <c r="AP1277" i="1"/>
  <c r="AQ1277" i="1" s="1"/>
  <c r="AP1269" i="1"/>
  <c r="AQ1269" i="1" s="1"/>
  <c r="AP1265" i="1"/>
  <c r="AQ1265" i="1" s="1"/>
  <c r="AP1261" i="1"/>
  <c r="AQ1261" i="1" s="1"/>
  <c r="AP1253" i="1"/>
  <c r="AQ1253" i="1" s="1"/>
  <c r="AP1237" i="1"/>
  <c r="AQ1237" i="1" s="1"/>
  <c r="AP1233" i="1"/>
  <c r="AQ1233" i="1" s="1"/>
  <c r="AP1229" i="1"/>
  <c r="AQ1229" i="1" s="1"/>
  <c r="AP1221" i="1"/>
  <c r="AQ1221" i="1" s="1"/>
  <c r="AP1013" i="1"/>
  <c r="AQ1013" i="1" s="1"/>
  <c r="AP1005" i="1"/>
  <c r="AQ1005" i="1" s="1"/>
  <c r="AP1001" i="1"/>
  <c r="AQ1001" i="1" s="1"/>
  <c r="AP997" i="1"/>
  <c r="AQ997" i="1" s="1"/>
  <c r="AP993" i="1"/>
  <c r="AQ993" i="1" s="1"/>
  <c r="AP989" i="1"/>
  <c r="AQ989" i="1" s="1"/>
  <c r="AP985" i="1"/>
  <c r="AQ985" i="1" s="1"/>
  <c r="AP981" i="1"/>
  <c r="AQ981" i="1" s="1"/>
  <c r="AP973" i="1"/>
  <c r="AQ973" i="1" s="1"/>
  <c r="AP969" i="1"/>
  <c r="AQ969" i="1" s="1"/>
  <c r="AP965" i="1"/>
  <c r="AQ965" i="1" s="1"/>
  <c r="AP961" i="1"/>
  <c r="AQ961" i="1" s="1"/>
  <c r="AP957" i="1"/>
  <c r="AQ957" i="1" s="1"/>
  <c r="AP953" i="1"/>
  <c r="AQ953" i="1" s="1"/>
  <c r="AP945" i="1"/>
  <c r="AQ945" i="1" s="1"/>
  <c r="AR937" i="1"/>
  <c r="AR933" i="1"/>
  <c r="AR929" i="1"/>
  <c r="AR925" i="1"/>
  <c r="AR921" i="1"/>
  <c r="AR909" i="1"/>
  <c r="AR905" i="1"/>
  <c r="AR901" i="1"/>
  <c r="AR893" i="1"/>
  <c r="AR881" i="1"/>
  <c r="AR877" i="1"/>
  <c r="AR861" i="1"/>
  <c r="AR857" i="1"/>
  <c r="AR845" i="1"/>
  <c r="AR841" i="1"/>
  <c r="AR837" i="1"/>
  <c r="AR825" i="1"/>
  <c r="AR821" i="1"/>
  <c r="AR809" i="1"/>
  <c r="AR805" i="1"/>
  <c r="AR789" i="1"/>
  <c r="AR785" i="1"/>
  <c r="AR777" i="1"/>
  <c r="AR769" i="1"/>
  <c r="AR753" i="1"/>
  <c r="AR749" i="1"/>
  <c r="AR737" i="1"/>
  <c r="AR729" i="1"/>
  <c r="AR725" i="1"/>
  <c r="AR717" i="1"/>
  <c r="AR709" i="1"/>
  <c r="AR693" i="1"/>
  <c r="AR689" i="1"/>
  <c r="AR673" i="1"/>
  <c r="AR661" i="1"/>
  <c r="AR653" i="1"/>
  <c r="AR649" i="1"/>
  <c r="AR641" i="1"/>
  <c r="AR633" i="1"/>
  <c r="AR625" i="1"/>
  <c r="AR621" i="1"/>
  <c r="AR605" i="1"/>
  <c r="AR601" i="1"/>
  <c r="AR589" i="1"/>
  <c r="AR565" i="1"/>
  <c r="AR561" i="1"/>
  <c r="AR557" i="1"/>
  <c r="AR553" i="1"/>
  <c r="AR541" i="1"/>
  <c r="AR533" i="1"/>
  <c r="AR1341" i="1"/>
  <c r="AR1328" i="1"/>
  <c r="AR1281" i="1"/>
  <c r="AR1188" i="1"/>
  <c r="AR1112" i="1"/>
  <c r="AR1018" i="1"/>
  <c r="AR977" i="1"/>
  <c r="AR949" i="1"/>
  <c r="AR934" i="1"/>
  <c r="AR913" i="1"/>
  <c r="AR862" i="1"/>
  <c r="AR840" i="1"/>
  <c r="AR800" i="1"/>
  <c r="AR793" i="1"/>
  <c r="AR779" i="1"/>
  <c r="AR754" i="1"/>
  <c r="AR713" i="1"/>
  <c r="AR697" i="1"/>
  <c r="AR685" i="1"/>
  <c r="AR665" i="1"/>
  <c r="AR647" i="1"/>
  <c r="AR609" i="1"/>
  <c r="AR591" i="1"/>
  <c r="AR568" i="1"/>
  <c r="AR530" i="1"/>
  <c r="AR506" i="1"/>
  <c r="AR481" i="1"/>
  <c r="AR455" i="1"/>
  <c r="AR438" i="1"/>
  <c r="AR417" i="1"/>
  <c r="AR384" i="1"/>
  <c r="AR368" i="1"/>
  <c r="AR329" i="1"/>
  <c r="AR295" i="1"/>
  <c r="AR266" i="1"/>
  <c r="AR238" i="1"/>
  <c r="AR218" i="1"/>
  <c r="AR206" i="1"/>
  <c r="AR173" i="1"/>
  <c r="AR129" i="1"/>
  <c r="AR113" i="1"/>
  <c r="AR91" i="1"/>
  <c r="AR47" i="1"/>
  <c r="AR35" i="1"/>
  <c r="AR16" i="1"/>
  <c r="AR1431" i="1"/>
  <c r="AR1399" i="1"/>
  <c r="AR1367" i="1"/>
  <c r="AR1335" i="1"/>
  <c r="AR1239" i="1"/>
  <c r="AR1207" i="1"/>
  <c r="AR1175" i="1"/>
  <c r="AR1143" i="1"/>
  <c r="AR1111" i="1"/>
  <c r="AR1095" i="1"/>
  <c r="AR1079" i="1"/>
  <c r="AR999" i="1"/>
  <c r="AR983" i="1"/>
  <c r="AR830" i="1"/>
  <c r="AR702" i="1"/>
  <c r="AR638" i="1"/>
  <c r="AP1464" i="1"/>
  <c r="AQ1464" i="1" s="1"/>
  <c r="AP1452" i="1"/>
  <c r="AQ1452" i="1" s="1"/>
  <c r="AP1448" i="1"/>
  <c r="AQ1448" i="1" s="1"/>
  <c r="AP1436" i="1"/>
  <c r="AQ1436" i="1" s="1"/>
  <c r="AP1432" i="1"/>
  <c r="AQ1432" i="1" s="1"/>
  <c r="AP1428" i="1"/>
  <c r="AQ1428" i="1" s="1"/>
  <c r="AP1424" i="1"/>
  <c r="AQ1424" i="1" s="1"/>
  <c r="AP1420" i="1"/>
  <c r="AQ1420" i="1" s="1"/>
  <c r="AP1416" i="1"/>
  <c r="AQ1416" i="1" s="1"/>
  <c r="AP1412" i="1"/>
  <c r="AQ1412" i="1" s="1"/>
  <c r="AP1408" i="1"/>
  <c r="AQ1408" i="1" s="1"/>
  <c r="AP1404" i="1"/>
  <c r="AQ1404" i="1" s="1"/>
  <c r="AR1404" i="1" s="1"/>
  <c r="AP1400" i="1"/>
  <c r="AQ1400" i="1" s="1"/>
  <c r="AP1396" i="1"/>
  <c r="AQ1396" i="1" s="1"/>
  <c r="AP1388" i="1"/>
  <c r="AQ1388" i="1" s="1"/>
  <c r="AR1388" i="1" s="1"/>
  <c r="AP1384" i="1"/>
  <c r="AQ1384" i="1" s="1"/>
  <c r="AR1384" i="1" s="1"/>
  <c r="AP1376" i="1"/>
  <c r="AQ1376" i="1" s="1"/>
  <c r="AP1372" i="1"/>
  <c r="AQ1372" i="1" s="1"/>
  <c r="AP1368" i="1"/>
  <c r="AQ1368" i="1" s="1"/>
  <c r="AP1364" i="1"/>
  <c r="AQ1364" i="1" s="1"/>
  <c r="AP1360" i="1"/>
  <c r="AQ1360" i="1" s="1"/>
  <c r="AP1352" i="1"/>
  <c r="AQ1352" i="1" s="1"/>
  <c r="AP1348" i="1"/>
  <c r="AQ1348" i="1" s="1"/>
  <c r="AP1344" i="1"/>
  <c r="AQ1344" i="1" s="1"/>
  <c r="AP1336" i="1"/>
  <c r="AQ1336" i="1" s="1"/>
  <c r="AP1332" i="1"/>
  <c r="AQ1332" i="1" s="1"/>
  <c r="AP1324" i="1"/>
  <c r="AQ1324" i="1" s="1"/>
  <c r="AP1320" i="1"/>
  <c r="AQ1320" i="1" s="1"/>
  <c r="AP1312" i="1"/>
  <c r="AQ1312" i="1" s="1"/>
  <c r="AP1308" i="1"/>
  <c r="AQ1308" i="1" s="1"/>
  <c r="AP1304" i="1"/>
  <c r="AQ1304" i="1" s="1"/>
  <c r="AP1296" i="1"/>
  <c r="AQ1296" i="1" s="1"/>
  <c r="AP1288" i="1"/>
  <c r="AQ1288" i="1" s="1"/>
  <c r="AP1284" i="1"/>
  <c r="AQ1284" i="1" s="1"/>
  <c r="AP525" i="1"/>
  <c r="AQ525" i="1" s="1"/>
  <c r="AP521" i="1"/>
  <c r="AQ521" i="1" s="1"/>
  <c r="AP501" i="1"/>
  <c r="AQ501" i="1" s="1"/>
  <c r="AP493" i="1"/>
  <c r="AQ493" i="1" s="1"/>
  <c r="AP489" i="1"/>
  <c r="AQ489" i="1" s="1"/>
  <c r="AP477" i="1"/>
  <c r="AQ477" i="1" s="1"/>
  <c r="AP469" i="1"/>
  <c r="AQ469" i="1" s="1"/>
  <c r="AP461" i="1"/>
  <c r="AQ461" i="1" s="1"/>
  <c r="AP457" i="1"/>
  <c r="AQ457" i="1" s="1"/>
  <c r="AP433" i="1"/>
  <c r="AQ433" i="1" s="1"/>
  <c r="AP429" i="1"/>
  <c r="AQ429" i="1" s="1"/>
  <c r="AP425" i="1"/>
  <c r="AQ425" i="1" s="1"/>
  <c r="AP421" i="1"/>
  <c r="AQ421" i="1" s="1"/>
  <c r="AP413" i="1"/>
  <c r="AQ413" i="1" s="1"/>
  <c r="AP405" i="1"/>
  <c r="AQ405" i="1" s="1"/>
  <c r="AP397" i="1"/>
  <c r="AQ397" i="1" s="1"/>
  <c r="AP393" i="1"/>
  <c r="AQ393" i="1" s="1"/>
  <c r="AP373" i="1"/>
  <c r="AQ373" i="1" s="1"/>
  <c r="AP369" i="1"/>
  <c r="AQ369" i="1" s="1"/>
  <c r="AP361" i="1"/>
  <c r="AQ361" i="1" s="1"/>
  <c r="AP353" i="1"/>
  <c r="AQ353" i="1" s="1"/>
  <c r="AP341" i="1"/>
  <c r="AQ341" i="1" s="1"/>
  <c r="AP337" i="1"/>
  <c r="AQ337" i="1" s="1"/>
  <c r="AP333" i="1"/>
  <c r="AQ333" i="1" s="1"/>
  <c r="AP321" i="1"/>
  <c r="AQ321" i="1" s="1"/>
  <c r="AP317" i="1"/>
  <c r="AQ317" i="1" s="1"/>
  <c r="AP313" i="1"/>
  <c r="AQ313" i="1" s="1"/>
  <c r="AP309" i="1"/>
  <c r="AQ309" i="1" s="1"/>
  <c r="AP305" i="1"/>
  <c r="AQ305" i="1" s="1"/>
  <c r="AP301" i="1"/>
  <c r="AQ301" i="1" s="1"/>
  <c r="AP297" i="1"/>
  <c r="AQ297" i="1" s="1"/>
  <c r="AP293" i="1"/>
  <c r="AQ293" i="1" s="1"/>
  <c r="AP289" i="1"/>
  <c r="AQ289" i="1" s="1"/>
  <c r="AP285" i="1"/>
  <c r="AQ285" i="1" s="1"/>
  <c r="AP281" i="1"/>
  <c r="AQ281" i="1" s="1"/>
  <c r="AP277" i="1"/>
  <c r="AQ277" i="1" s="1"/>
  <c r="AP269" i="1"/>
  <c r="AQ269" i="1" s="1"/>
  <c r="AP265" i="1"/>
  <c r="AQ265" i="1" s="1"/>
  <c r="AP257" i="1"/>
  <c r="AQ257" i="1" s="1"/>
  <c r="AP253" i="1"/>
  <c r="AQ253" i="1" s="1"/>
  <c r="AP249" i="1"/>
  <c r="AQ249" i="1" s="1"/>
  <c r="AP245" i="1"/>
  <c r="AQ245" i="1" s="1"/>
  <c r="AP237" i="1"/>
  <c r="AQ237" i="1" s="1"/>
  <c r="AP233" i="1"/>
  <c r="AQ233" i="1" s="1"/>
  <c r="AP229" i="1"/>
  <c r="AQ229" i="1" s="1"/>
  <c r="AP225" i="1"/>
  <c r="AQ225" i="1" s="1"/>
  <c r="AP221" i="1"/>
  <c r="AQ221" i="1" s="1"/>
  <c r="AP217" i="1"/>
  <c r="AQ217" i="1" s="1"/>
  <c r="AP213" i="1"/>
  <c r="AQ213" i="1" s="1"/>
  <c r="AP209" i="1"/>
  <c r="AQ209" i="1" s="1"/>
  <c r="AP205" i="1"/>
  <c r="AQ205" i="1" s="1"/>
  <c r="AP201" i="1"/>
  <c r="AQ201" i="1" s="1"/>
  <c r="AP197" i="1"/>
  <c r="AQ197" i="1" s="1"/>
  <c r="AR197" i="1" s="1"/>
  <c r="AP193" i="1"/>
  <c r="AQ193" i="1" s="1"/>
  <c r="AP189" i="1"/>
  <c r="AQ189" i="1" s="1"/>
  <c r="AP185" i="1"/>
  <c r="AQ185" i="1" s="1"/>
  <c r="AP181" i="1"/>
  <c r="AQ181" i="1" s="1"/>
  <c r="AP177" i="1"/>
  <c r="AQ177" i="1" s="1"/>
  <c r="AP165" i="1"/>
  <c r="AQ165" i="1" s="1"/>
  <c r="AP161" i="1"/>
  <c r="AQ161" i="1" s="1"/>
  <c r="AP157" i="1"/>
  <c r="AQ157" i="1" s="1"/>
  <c r="AP149" i="1"/>
  <c r="AQ149" i="1" s="1"/>
  <c r="AP141" i="1"/>
  <c r="AQ141" i="1" s="1"/>
  <c r="AP133" i="1"/>
  <c r="AQ133" i="1" s="1"/>
  <c r="AP125" i="1"/>
  <c r="AQ125" i="1" s="1"/>
  <c r="AP121" i="1"/>
  <c r="AQ121" i="1" s="1"/>
  <c r="AP117" i="1"/>
  <c r="AQ117" i="1" s="1"/>
  <c r="AP101" i="1"/>
  <c r="AQ101" i="1" s="1"/>
  <c r="AP97" i="1"/>
  <c r="AQ97" i="1" s="1"/>
  <c r="AP93" i="1"/>
  <c r="AQ93" i="1" s="1"/>
  <c r="AP85" i="1"/>
  <c r="AQ85" i="1" s="1"/>
  <c r="AP81" i="1"/>
  <c r="AQ81" i="1" s="1"/>
  <c r="AP1246" i="1"/>
  <c r="AQ1246" i="1" s="1"/>
  <c r="AP1242" i="1"/>
  <c r="AQ1242" i="1" s="1"/>
  <c r="AP1234" i="1"/>
  <c r="AQ1234" i="1" s="1"/>
  <c r="AP1230" i="1"/>
  <c r="AQ1230" i="1" s="1"/>
  <c r="AP1226" i="1"/>
  <c r="AQ1226" i="1" s="1"/>
  <c r="AP1222" i="1"/>
  <c r="AQ1222" i="1" s="1"/>
  <c r="AP78" i="1"/>
  <c r="AQ78" i="1" s="1"/>
  <c r="AP1411" i="1"/>
  <c r="AQ1411" i="1" s="1"/>
  <c r="AP8" i="1"/>
  <c r="AQ8" i="1" s="1"/>
  <c r="AR8" i="1" s="1"/>
  <c r="AP1156" i="1"/>
  <c r="AQ1156" i="1" s="1"/>
  <c r="AP1152" i="1"/>
  <c r="AQ1152" i="1" s="1"/>
  <c r="AP1148" i="1"/>
  <c r="AQ1148" i="1" s="1"/>
  <c r="AP1144" i="1"/>
  <c r="AQ1144" i="1" s="1"/>
  <c r="AR1144" i="1" s="1"/>
  <c r="AP1140" i="1"/>
  <c r="AQ1140" i="1" s="1"/>
  <c r="AP1136" i="1"/>
  <c r="AQ1136" i="1" s="1"/>
  <c r="AP1132" i="1"/>
  <c r="AQ1132" i="1" s="1"/>
  <c r="AP1128" i="1"/>
  <c r="AQ1128" i="1" s="1"/>
  <c r="AP1124" i="1"/>
  <c r="AQ1124" i="1" s="1"/>
  <c r="AR1124" i="1" s="1"/>
  <c r="AP1120" i="1"/>
  <c r="AQ1120" i="1" s="1"/>
  <c r="AP1116" i="1"/>
  <c r="AQ1116" i="1" s="1"/>
  <c r="AP1104" i="1"/>
  <c r="AQ1104" i="1" s="1"/>
  <c r="AR1104" i="1" s="1"/>
  <c r="AP1100" i="1"/>
  <c r="AQ1100" i="1" s="1"/>
  <c r="AP1096" i="1"/>
  <c r="AQ1096" i="1" s="1"/>
  <c r="AP1092" i="1"/>
  <c r="AQ1092" i="1" s="1"/>
  <c r="AP1088" i="1"/>
  <c r="AQ1088" i="1" s="1"/>
  <c r="AP1084" i="1"/>
  <c r="AQ1084" i="1" s="1"/>
  <c r="AP1080" i="1"/>
  <c r="AQ1080" i="1" s="1"/>
  <c r="AP1072" i="1"/>
  <c r="AQ1072" i="1" s="1"/>
  <c r="AP1068" i="1"/>
  <c r="AQ1068" i="1" s="1"/>
  <c r="AP1064" i="1"/>
  <c r="AQ1064" i="1" s="1"/>
  <c r="AP1056" i="1"/>
  <c r="AQ1056" i="1" s="1"/>
  <c r="AP1048" i="1"/>
  <c r="AQ1048" i="1" s="1"/>
  <c r="AP1044" i="1"/>
  <c r="AQ1044" i="1" s="1"/>
  <c r="AP1040" i="1"/>
  <c r="AQ1040" i="1" s="1"/>
  <c r="AP1036" i="1"/>
  <c r="AQ1036" i="1" s="1"/>
  <c r="AP1032" i="1"/>
  <c r="AQ1032" i="1" s="1"/>
  <c r="AP1028" i="1"/>
  <c r="AQ1028" i="1" s="1"/>
  <c r="AP1024" i="1"/>
  <c r="AQ1024" i="1" s="1"/>
  <c r="AP1020" i="1"/>
  <c r="AQ1020" i="1" s="1"/>
  <c r="AP1016" i="1"/>
  <c r="AQ1016" i="1" s="1"/>
  <c r="AP1012" i="1"/>
  <c r="AQ1012" i="1" s="1"/>
  <c r="AP1004" i="1"/>
  <c r="AQ1004" i="1" s="1"/>
  <c r="AP1000" i="1"/>
  <c r="AQ1000" i="1" s="1"/>
  <c r="AP996" i="1"/>
  <c r="AQ996" i="1" s="1"/>
  <c r="AP992" i="1"/>
  <c r="AQ992" i="1" s="1"/>
  <c r="AP984" i="1"/>
  <c r="AQ984" i="1" s="1"/>
  <c r="AP980" i="1"/>
  <c r="AQ980" i="1" s="1"/>
  <c r="AP976" i="1"/>
  <c r="AQ976" i="1" s="1"/>
  <c r="AP972" i="1"/>
  <c r="AQ972" i="1" s="1"/>
  <c r="AP964" i="1"/>
  <c r="AQ964" i="1" s="1"/>
  <c r="AP960" i="1"/>
  <c r="AQ960" i="1" s="1"/>
  <c r="AP952" i="1"/>
  <c r="AQ952" i="1" s="1"/>
  <c r="AP944" i="1"/>
  <c r="AQ944" i="1" s="1"/>
  <c r="AP940" i="1"/>
  <c r="AQ940" i="1" s="1"/>
  <c r="AP936" i="1"/>
  <c r="AQ936" i="1" s="1"/>
  <c r="AP932" i="1"/>
  <c r="AQ932" i="1" s="1"/>
  <c r="AP928" i="1"/>
  <c r="AQ928" i="1" s="1"/>
  <c r="AP924" i="1"/>
  <c r="AQ924" i="1" s="1"/>
  <c r="AP920" i="1"/>
  <c r="AQ920" i="1" s="1"/>
  <c r="AP916" i="1"/>
  <c r="AQ916" i="1" s="1"/>
  <c r="AP912" i="1"/>
  <c r="AQ912" i="1" s="1"/>
  <c r="AP908" i="1"/>
  <c r="AQ908" i="1" s="1"/>
  <c r="AP904" i="1"/>
  <c r="AQ904" i="1" s="1"/>
  <c r="AP900" i="1"/>
  <c r="AQ900" i="1" s="1"/>
  <c r="AP896" i="1"/>
  <c r="AQ896" i="1" s="1"/>
  <c r="AP892" i="1"/>
  <c r="AQ892" i="1" s="1"/>
  <c r="AP888" i="1"/>
  <c r="AQ888" i="1" s="1"/>
  <c r="AP884" i="1"/>
  <c r="AQ884" i="1" s="1"/>
  <c r="AP880" i="1"/>
  <c r="AQ880" i="1" s="1"/>
  <c r="AP876" i="1"/>
  <c r="AQ876" i="1" s="1"/>
  <c r="AP872" i="1"/>
  <c r="AQ872" i="1" s="1"/>
  <c r="AP868" i="1"/>
  <c r="AQ868" i="1" s="1"/>
  <c r="AP864" i="1"/>
  <c r="AQ864" i="1" s="1"/>
  <c r="AP856" i="1"/>
  <c r="AQ856" i="1" s="1"/>
  <c r="AP852" i="1"/>
  <c r="AQ852" i="1" s="1"/>
  <c r="AR852" i="1" s="1"/>
  <c r="AP848" i="1"/>
  <c r="AQ848" i="1" s="1"/>
  <c r="AP836" i="1"/>
  <c r="AQ836" i="1" s="1"/>
  <c r="AP832" i="1"/>
  <c r="AQ832" i="1" s="1"/>
  <c r="AP824" i="1"/>
  <c r="AQ824" i="1" s="1"/>
  <c r="AP820" i="1"/>
  <c r="AQ820" i="1" s="1"/>
  <c r="AP816" i="1"/>
  <c r="AQ816" i="1" s="1"/>
  <c r="AP812" i="1"/>
  <c r="AQ812" i="1" s="1"/>
  <c r="AP808" i="1"/>
  <c r="AQ808" i="1" s="1"/>
  <c r="AP796" i="1"/>
  <c r="AQ796" i="1" s="1"/>
  <c r="AP792" i="1"/>
  <c r="AQ792" i="1" s="1"/>
  <c r="AP788" i="1"/>
  <c r="AQ788" i="1" s="1"/>
  <c r="AP784" i="1"/>
  <c r="AQ784" i="1" s="1"/>
  <c r="AP780" i="1"/>
  <c r="AQ780" i="1" s="1"/>
  <c r="AP776" i="1"/>
  <c r="AQ776" i="1" s="1"/>
  <c r="AP772" i="1"/>
  <c r="AQ772" i="1" s="1"/>
  <c r="AP768" i="1"/>
  <c r="AQ768" i="1" s="1"/>
  <c r="AP760" i="1"/>
  <c r="AQ760" i="1" s="1"/>
  <c r="AP756" i="1"/>
  <c r="AQ756" i="1" s="1"/>
  <c r="AP752" i="1"/>
  <c r="AQ752" i="1" s="1"/>
  <c r="AP748" i="1"/>
  <c r="AQ748" i="1" s="1"/>
  <c r="AP744" i="1"/>
  <c r="AQ744" i="1" s="1"/>
  <c r="AP740" i="1"/>
  <c r="AQ740" i="1" s="1"/>
  <c r="AP736" i="1"/>
  <c r="AQ736" i="1" s="1"/>
  <c r="AR736" i="1" s="1"/>
  <c r="AP732" i="1"/>
  <c r="AQ732" i="1" s="1"/>
  <c r="AP728" i="1"/>
  <c r="AQ728" i="1" s="1"/>
  <c r="AP724" i="1"/>
  <c r="AQ724" i="1" s="1"/>
  <c r="AP720" i="1"/>
  <c r="AQ720" i="1" s="1"/>
  <c r="AR720" i="1" s="1"/>
  <c r="AP716" i="1"/>
  <c r="AQ716" i="1" s="1"/>
  <c r="AP712" i="1"/>
  <c r="AQ712" i="1" s="1"/>
  <c r="AP704" i="1"/>
  <c r="AQ704" i="1" s="1"/>
  <c r="AP700" i="1"/>
  <c r="AQ700" i="1" s="1"/>
  <c r="AP696" i="1"/>
  <c r="AQ696" i="1" s="1"/>
  <c r="AP692" i="1"/>
  <c r="AQ692" i="1" s="1"/>
  <c r="AP688" i="1"/>
  <c r="AQ688" i="1" s="1"/>
  <c r="AR688" i="1" s="1"/>
  <c r="AP684" i="1"/>
  <c r="AQ684" i="1" s="1"/>
  <c r="AP680" i="1"/>
  <c r="AQ680" i="1" s="1"/>
  <c r="AP676" i="1"/>
  <c r="AQ676" i="1" s="1"/>
  <c r="AP672" i="1"/>
  <c r="AQ672" i="1" s="1"/>
  <c r="AP660" i="1"/>
  <c r="AQ660" i="1" s="1"/>
  <c r="AR660" i="1" s="1"/>
  <c r="AP656" i="1"/>
  <c r="AQ656" i="1" s="1"/>
  <c r="AP652" i="1"/>
  <c r="AQ652" i="1" s="1"/>
  <c r="AP648" i="1"/>
  <c r="AQ648" i="1" s="1"/>
  <c r="AP644" i="1"/>
  <c r="AQ644" i="1" s="1"/>
  <c r="AP640" i="1"/>
  <c r="AQ640" i="1" s="1"/>
  <c r="AP636" i="1"/>
  <c r="AQ636" i="1" s="1"/>
  <c r="AR636" i="1" s="1"/>
  <c r="AP632" i="1"/>
  <c r="AQ632" i="1" s="1"/>
  <c r="AP628" i="1"/>
  <c r="AQ628" i="1" s="1"/>
  <c r="AP624" i="1"/>
  <c r="AQ624" i="1" s="1"/>
  <c r="AP620" i="1"/>
  <c r="AQ620" i="1" s="1"/>
  <c r="AP612" i="1"/>
  <c r="AQ612" i="1" s="1"/>
  <c r="AP608" i="1"/>
  <c r="AQ608" i="1" s="1"/>
  <c r="AP604" i="1"/>
  <c r="AQ604" i="1" s="1"/>
  <c r="AP596" i="1"/>
  <c r="AQ596" i="1" s="1"/>
  <c r="AP592" i="1"/>
  <c r="AQ592" i="1" s="1"/>
  <c r="AP588" i="1"/>
  <c r="AQ588" i="1" s="1"/>
  <c r="AP584" i="1"/>
  <c r="AQ584" i="1" s="1"/>
  <c r="AP580" i="1"/>
  <c r="AQ580" i="1" s="1"/>
  <c r="AP576" i="1"/>
  <c r="AQ576" i="1" s="1"/>
  <c r="AP572" i="1"/>
  <c r="AQ572" i="1" s="1"/>
  <c r="AP520" i="1"/>
  <c r="AQ520" i="1" s="1"/>
  <c r="AP472" i="1"/>
  <c r="AQ472" i="1" s="1"/>
  <c r="AR472" i="1" s="1"/>
  <c r="AP468" i="1"/>
  <c r="AQ468" i="1" s="1"/>
  <c r="AP464" i="1"/>
  <c r="AQ464" i="1" s="1"/>
  <c r="AP460" i="1"/>
  <c r="AQ460" i="1" s="1"/>
  <c r="AP456" i="1"/>
  <c r="AQ456" i="1" s="1"/>
  <c r="AP452" i="1"/>
  <c r="AQ452" i="1" s="1"/>
  <c r="AP448" i="1"/>
  <c r="AQ448" i="1" s="1"/>
  <c r="AP444" i="1"/>
  <c r="AQ444" i="1" s="1"/>
  <c r="AP440" i="1"/>
  <c r="AQ440" i="1" s="1"/>
  <c r="AP436" i="1"/>
  <c r="AQ436" i="1" s="1"/>
  <c r="AP432" i="1"/>
  <c r="AQ432" i="1" s="1"/>
  <c r="AP428" i="1"/>
  <c r="AQ428" i="1" s="1"/>
  <c r="AP420" i="1"/>
  <c r="AQ420" i="1" s="1"/>
  <c r="AP412" i="1"/>
  <c r="AQ412" i="1" s="1"/>
  <c r="AP408" i="1"/>
  <c r="AQ408" i="1" s="1"/>
  <c r="AP404" i="1"/>
  <c r="AQ404" i="1" s="1"/>
  <c r="AP1209" i="1"/>
  <c r="AQ1209" i="1" s="1"/>
  <c r="AP1197" i="1"/>
  <c r="AQ1197" i="1" s="1"/>
  <c r="AP1161" i="1"/>
  <c r="AQ1161" i="1" s="1"/>
  <c r="AP1149" i="1"/>
  <c r="AQ1149" i="1" s="1"/>
  <c r="AP1137" i="1"/>
  <c r="AQ1137" i="1" s="1"/>
  <c r="AP1125" i="1"/>
  <c r="AQ1125" i="1" s="1"/>
  <c r="AP1109" i="1"/>
  <c r="AQ1109" i="1" s="1"/>
  <c r="AP1097" i="1"/>
  <c r="AQ1097" i="1" s="1"/>
  <c r="AP1089" i="1"/>
  <c r="AQ1089" i="1" s="1"/>
  <c r="AR1089" i="1" s="1"/>
  <c r="AP1077" i="1"/>
  <c r="AQ1077" i="1" s="1"/>
  <c r="AP1065" i="1"/>
  <c r="AQ1065" i="1" s="1"/>
  <c r="AP1053" i="1"/>
  <c r="AQ1053" i="1" s="1"/>
  <c r="AP1037" i="1"/>
  <c r="AQ1037" i="1" s="1"/>
  <c r="AP1025" i="1"/>
  <c r="AQ1025" i="1" s="1"/>
  <c r="AP61" i="1"/>
  <c r="AQ61" i="1" s="1"/>
  <c r="AP49" i="1"/>
  <c r="AQ49" i="1" s="1"/>
  <c r="AP45" i="1"/>
  <c r="AQ45" i="1" s="1"/>
  <c r="AP41" i="1"/>
  <c r="AQ41" i="1" s="1"/>
  <c r="AP37" i="1"/>
  <c r="AQ37" i="1" s="1"/>
  <c r="AP33" i="1"/>
  <c r="AQ33" i="1" s="1"/>
  <c r="AP25" i="1"/>
  <c r="AQ25" i="1" s="1"/>
  <c r="AP21" i="1"/>
  <c r="AQ21" i="1" s="1"/>
  <c r="AP17" i="1"/>
  <c r="AQ17" i="1" s="1"/>
  <c r="AP13" i="1"/>
  <c r="AQ13" i="1" s="1"/>
  <c r="AP9" i="1"/>
  <c r="AQ9" i="1" s="1"/>
  <c r="AP1213" i="1"/>
  <c r="AQ1213" i="1" s="1"/>
  <c r="AP1201" i="1"/>
  <c r="AQ1201" i="1" s="1"/>
  <c r="AP1189" i="1"/>
  <c r="AQ1189" i="1" s="1"/>
  <c r="AP1165" i="1"/>
  <c r="AQ1165" i="1" s="1"/>
  <c r="AP1153" i="1"/>
  <c r="AQ1153" i="1" s="1"/>
  <c r="AP1141" i="1"/>
  <c r="AQ1141" i="1" s="1"/>
  <c r="AP1129" i="1"/>
  <c r="AQ1129" i="1" s="1"/>
  <c r="AP1105" i="1"/>
  <c r="AQ1105" i="1" s="1"/>
  <c r="AP1093" i="1"/>
  <c r="AQ1093" i="1" s="1"/>
  <c r="AP1073" i="1"/>
  <c r="AQ1073" i="1" s="1"/>
  <c r="AP1061" i="1"/>
  <c r="AQ1061" i="1" s="1"/>
  <c r="AP1049" i="1"/>
  <c r="AQ1049" i="1" s="1"/>
  <c r="AP1021" i="1"/>
  <c r="AQ1021" i="1" s="1"/>
  <c r="AQ5" i="1"/>
  <c r="AP1276" i="1"/>
  <c r="AQ1276" i="1" s="1"/>
  <c r="AP1268" i="1"/>
  <c r="AQ1268" i="1" s="1"/>
  <c r="AP1256" i="1"/>
  <c r="AQ1256" i="1" s="1"/>
  <c r="AP1244" i="1"/>
  <c r="AQ1244" i="1" s="1"/>
  <c r="AP1236" i="1"/>
  <c r="AQ1236" i="1" s="1"/>
  <c r="AP1228" i="1"/>
  <c r="AQ1228" i="1" s="1"/>
  <c r="AP1220" i="1"/>
  <c r="AQ1220" i="1" s="1"/>
  <c r="AP1212" i="1"/>
  <c r="AQ1212" i="1" s="1"/>
  <c r="AP1204" i="1"/>
  <c r="AQ1204" i="1" s="1"/>
  <c r="AP1196" i="1"/>
  <c r="AQ1196" i="1" s="1"/>
  <c r="AP1184" i="1"/>
  <c r="AQ1184" i="1" s="1"/>
  <c r="AP1176" i="1"/>
  <c r="AQ1176" i="1" s="1"/>
  <c r="AP1168" i="1"/>
  <c r="AQ1168" i="1" s="1"/>
  <c r="AP1160" i="1"/>
  <c r="AQ1160" i="1" s="1"/>
  <c r="AP396" i="1"/>
  <c r="AQ396" i="1" s="1"/>
  <c r="AP388" i="1"/>
  <c r="AQ388" i="1" s="1"/>
  <c r="AP360" i="1"/>
  <c r="AQ360" i="1" s="1"/>
  <c r="AP352" i="1"/>
  <c r="AQ352" i="1" s="1"/>
  <c r="AP344" i="1"/>
  <c r="AQ344" i="1" s="1"/>
  <c r="AP332" i="1"/>
  <c r="AQ332" i="1" s="1"/>
  <c r="AP328" i="1"/>
  <c r="AQ328" i="1" s="1"/>
  <c r="AP316" i="1"/>
  <c r="AQ316" i="1" s="1"/>
  <c r="AP312" i="1"/>
  <c r="AQ312" i="1" s="1"/>
  <c r="AP308" i="1"/>
  <c r="AQ308" i="1" s="1"/>
  <c r="AP300" i="1"/>
  <c r="AQ300" i="1" s="1"/>
  <c r="AP296" i="1"/>
  <c r="AQ296" i="1" s="1"/>
  <c r="AP292" i="1"/>
  <c r="AQ292" i="1" s="1"/>
  <c r="AP284" i="1"/>
  <c r="AQ284" i="1" s="1"/>
  <c r="AP276" i="1"/>
  <c r="AQ276" i="1" s="1"/>
  <c r="AP268" i="1"/>
  <c r="AQ268" i="1" s="1"/>
  <c r="AP260" i="1"/>
  <c r="AQ260" i="1" s="1"/>
  <c r="AP244" i="1"/>
  <c r="AQ244" i="1" s="1"/>
  <c r="AP240" i="1"/>
  <c r="AQ240" i="1" s="1"/>
  <c r="AP228" i="1"/>
  <c r="AQ228" i="1" s="1"/>
  <c r="AP220" i="1"/>
  <c r="AQ220" i="1" s="1"/>
  <c r="AP204" i="1"/>
  <c r="AQ204" i="1" s="1"/>
  <c r="AP200" i="1"/>
  <c r="AQ200" i="1" s="1"/>
  <c r="AP196" i="1"/>
  <c r="AQ196" i="1" s="1"/>
  <c r="AP192" i="1"/>
  <c r="AQ192" i="1" s="1"/>
  <c r="AP188" i="1"/>
  <c r="AQ188" i="1" s="1"/>
  <c r="AP180" i="1"/>
  <c r="AQ180" i="1" s="1"/>
  <c r="AP168" i="1"/>
  <c r="AQ168" i="1" s="1"/>
  <c r="AP164" i="1"/>
  <c r="AQ164" i="1" s="1"/>
  <c r="AP160" i="1"/>
  <c r="AQ160" i="1" s="1"/>
  <c r="AP156" i="1"/>
  <c r="AQ156" i="1" s="1"/>
  <c r="AP152" i="1"/>
  <c r="AQ152" i="1" s="1"/>
  <c r="AP148" i="1"/>
  <c r="AQ148" i="1" s="1"/>
  <c r="AP144" i="1"/>
  <c r="AQ144" i="1" s="1"/>
  <c r="AP140" i="1"/>
  <c r="AQ140" i="1" s="1"/>
  <c r="AP136" i="1"/>
  <c r="AQ136" i="1" s="1"/>
  <c r="AP132" i="1"/>
  <c r="AQ132" i="1" s="1"/>
  <c r="AP100" i="1"/>
  <c r="AQ100" i="1" s="1"/>
  <c r="AP96" i="1"/>
  <c r="AQ96" i="1" s="1"/>
  <c r="AP92" i="1"/>
  <c r="AQ92" i="1" s="1"/>
  <c r="AP88" i="1"/>
  <c r="AQ88" i="1" s="1"/>
  <c r="AR88" i="1" s="1"/>
  <c r="AP84" i="1"/>
  <c r="AQ84" i="1" s="1"/>
  <c r="AP80" i="1"/>
  <c r="AQ80" i="1" s="1"/>
  <c r="AP76" i="1"/>
  <c r="AQ76" i="1" s="1"/>
  <c r="AP72" i="1"/>
  <c r="AQ72" i="1" s="1"/>
  <c r="AP68" i="1"/>
  <c r="AQ68" i="1" s="1"/>
  <c r="AP64" i="1"/>
  <c r="AQ64" i="1" s="1"/>
  <c r="AP60" i="1"/>
  <c r="AQ60" i="1" s="1"/>
  <c r="AP56" i="1"/>
  <c r="AQ56" i="1" s="1"/>
  <c r="AP48" i="1"/>
  <c r="AQ48" i="1" s="1"/>
  <c r="AP40" i="1"/>
  <c r="AQ40" i="1" s="1"/>
  <c r="AR40" i="1" s="1"/>
  <c r="AP32" i="1"/>
  <c r="AQ32" i="1" s="1"/>
  <c r="AP24" i="1"/>
  <c r="AQ24" i="1" s="1"/>
  <c r="AP20" i="1"/>
  <c r="AQ20" i="1" s="1"/>
  <c r="AP12" i="1"/>
  <c r="AQ12" i="1" s="1"/>
  <c r="AP1217" i="1"/>
  <c r="AQ1217" i="1" s="1"/>
  <c r="AP1205" i="1"/>
  <c r="AQ1205" i="1" s="1"/>
  <c r="AP1193" i="1"/>
  <c r="AQ1193" i="1" s="1"/>
  <c r="AP1157" i="1"/>
  <c r="AQ1157" i="1" s="1"/>
  <c r="AP1145" i="1"/>
  <c r="AQ1145" i="1" s="1"/>
  <c r="AP1133" i="1"/>
  <c r="AQ1133" i="1" s="1"/>
  <c r="AP1101" i="1"/>
  <c r="AQ1101" i="1" s="1"/>
  <c r="AP1081" i="1"/>
  <c r="AQ1081" i="1" s="1"/>
  <c r="AP1069" i="1"/>
  <c r="AQ1069" i="1" s="1"/>
  <c r="AP1057" i="1"/>
  <c r="AQ1057" i="1" s="1"/>
  <c r="AP1045" i="1"/>
  <c r="AQ1045" i="1" s="1"/>
  <c r="AP1029" i="1"/>
  <c r="AQ1029" i="1" s="1"/>
  <c r="AP1017" i="1"/>
  <c r="AQ1017" i="1" s="1"/>
  <c r="AP401" i="1"/>
  <c r="AQ401" i="1" s="1"/>
  <c r="AR401" i="1" s="1"/>
  <c r="AP29" i="1"/>
  <c r="AQ29" i="1" s="1"/>
  <c r="AP1280" i="1"/>
  <c r="AQ1280" i="1" s="1"/>
  <c r="AP1272" i="1"/>
  <c r="AQ1272" i="1" s="1"/>
  <c r="AP1260" i="1"/>
  <c r="AQ1260" i="1" s="1"/>
  <c r="AP1252" i="1"/>
  <c r="AQ1252" i="1" s="1"/>
  <c r="AP1240" i="1"/>
  <c r="AQ1240" i="1" s="1"/>
  <c r="AP1232" i="1"/>
  <c r="AQ1232" i="1" s="1"/>
  <c r="AR1232" i="1" s="1"/>
  <c r="AP1216" i="1"/>
  <c r="AQ1216" i="1" s="1"/>
  <c r="AP1208" i="1"/>
  <c r="AQ1208" i="1" s="1"/>
  <c r="AP1200" i="1"/>
  <c r="AQ1200" i="1" s="1"/>
  <c r="AP1192" i="1"/>
  <c r="AQ1192" i="1" s="1"/>
  <c r="AP1180" i="1"/>
  <c r="AQ1180" i="1" s="1"/>
  <c r="AR1180" i="1" s="1"/>
  <c r="AP1172" i="1"/>
  <c r="AQ1172" i="1" s="1"/>
  <c r="AP988" i="1"/>
  <c r="AQ988" i="1" s="1"/>
  <c r="AP400" i="1"/>
  <c r="AQ400" i="1" s="1"/>
  <c r="AP392" i="1"/>
  <c r="AQ392" i="1" s="1"/>
  <c r="AP364" i="1"/>
  <c r="AQ364" i="1" s="1"/>
  <c r="AR364" i="1" s="1"/>
  <c r="AP356" i="1"/>
  <c r="AQ356" i="1" s="1"/>
  <c r="AP348" i="1"/>
  <c r="AQ348" i="1" s="1"/>
  <c r="AP340" i="1"/>
  <c r="AQ340" i="1" s="1"/>
  <c r="AP324" i="1"/>
  <c r="AQ324" i="1" s="1"/>
  <c r="AP232" i="1"/>
  <c r="AQ232" i="1" s="1"/>
  <c r="AP1347" i="1"/>
  <c r="AQ1347" i="1" s="1"/>
  <c r="AP1343" i="1"/>
  <c r="AQ1343" i="1" s="1"/>
  <c r="AP1339" i="1"/>
  <c r="AQ1339" i="1" s="1"/>
  <c r="AP1331" i="1"/>
  <c r="AQ1331" i="1" s="1"/>
  <c r="AP1327" i="1"/>
  <c r="AQ1327" i="1" s="1"/>
  <c r="AP1323" i="1"/>
  <c r="AQ1323" i="1" s="1"/>
  <c r="AP1311" i="1"/>
  <c r="AQ1311" i="1" s="1"/>
  <c r="AP1307" i="1"/>
  <c r="AQ1307" i="1" s="1"/>
  <c r="AP1303" i="1"/>
  <c r="AQ1303" i="1" s="1"/>
  <c r="AP1295" i="1"/>
  <c r="AQ1295" i="1" s="1"/>
  <c r="AP1291" i="1"/>
  <c r="AQ1291" i="1" s="1"/>
  <c r="AP1279" i="1"/>
  <c r="AQ1279" i="1" s="1"/>
  <c r="AP1271" i="1"/>
  <c r="AQ1271" i="1" s="1"/>
  <c r="AP1267" i="1"/>
  <c r="AQ1267" i="1" s="1"/>
  <c r="AP1263" i="1"/>
  <c r="AQ1263" i="1" s="1"/>
  <c r="AP1247" i="1"/>
  <c r="AQ1247" i="1" s="1"/>
  <c r="AP1243" i="1"/>
  <c r="AQ1243" i="1" s="1"/>
  <c r="AP1235" i="1"/>
  <c r="AQ1235" i="1" s="1"/>
  <c r="AP1231" i="1"/>
  <c r="AQ1231" i="1" s="1"/>
  <c r="AP1227" i="1"/>
  <c r="AQ1227" i="1" s="1"/>
  <c r="AP1219" i="1"/>
  <c r="AQ1219" i="1" s="1"/>
  <c r="AP1159" i="1"/>
  <c r="AQ1159" i="1" s="1"/>
  <c r="AP855" i="1"/>
  <c r="AQ855" i="1" s="1"/>
  <c r="AR855" i="1" s="1"/>
  <c r="AP847" i="1"/>
  <c r="AQ847" i="1" s="1"/>
  <c r="AP843" i="1"/>
  <c r="AQ843" i="1" s="1"/>
  <c r="AP839" i="1"/>
  <c r="AQ839" i="1" s="1"/>
  <c r="AP835" i="1"/>
  <c r="AQ835" i="1" s="1"/>
  <c r="AP827" i="1"/>
  <c r="AQ827" i="1" s="1"/>
  <c r="AP823" i="1"/>
  <c r="AQ823" i="1" s="1"/>
  <c r="AP819" i="1"/>
  <c r="AQ819" i="1" s="1"/>
  <c r="AP811" i="1"/>
  <c r="AQ811" i="1" s="1"/>
  <c r="AP807" i="1"/>
  <c r="AQ807" i="1" s="1"/>
  <c r="AP783" i="1"/>
  <c r="AQ783" i="1" s="1"/>
  <c r="AR783" i="1" s="1"/>
  <c r="AP775" i="1"/>
  <c r="AQ775" i="1" s="1"/>
  <c r="AP771" i="1"/>
  <c r="AQ771" i="1" s="1"/>
  <c r="AP767" i="1"/>
  <c r="AQ767" i="1" s="1"/>
  <c r="AP759" i="1"/>
  <c r="AQ759" i="1" s="1"/>
  <c r="AP755" i="1"/>
  <c r="AQ755" i="1" s="1"/>
  <c r="AP747" i="1"/>
  <c r="AQ747" i="1" s="1"/>
  <c r="AP743" i="1"/>
  <c r="AQ743" i="1" s="1"/>
  <c r="AP739" i="1"/>
  <c r="AQ739" i="1" s="1"/>
  <c r="AP735" i="1"/>
  <c r="AQ735" i="1" s="1"/>
  <c r="AP731" i="1"/>
  <c r="AQ731" i="1" s="1"/>
  <c r="AP723" i="1"/>
  <c r="AQ723" i="1" s="1"/>
  <c r="AP719" i="1"/>
  <c r="AQ719" i="1" s="1"/>
  <c r="AP715" i="1"/>
  <c r="AQ715" i="1" s="1"/>
  <c r="AP707" i="1"/>
  <c r="AQ707" i="1" s="1"/>
  <c r="AP703" i="1"/>
  <c r="AQ703" i="1" s="1"/>
  <c r="AP699" i="1"/>
  <c r="AQ699" i="1" s="1"/>
  <c r="AP687" i="1"/>
  <c r="AQ687" i="1" s="1"/>
  <c r="AP683" i="1"/>
  <c r="AQ683" i="1" s="1"/>
  <c r="AP679" i="1"/>
  <c r="AQ679" i="1" s="1"/>
  <c r="AP675" i="1"/>
  <c r="AQ675" i="1" s="1"/>
  <c r="AR675" i="1" s="1"/>
  <c r="AP667" i="1"/>
  <c r="AQ667" i="1" s="1"/>
  <c r="AR667" i="1" s="1"/>
  <c r="AP663" i="1"/>
  <c r="AQ663" i="1" s="1"/>
  <c r="AP659" i="1"/>
  <c r="AQ659" i="1" s="1"/>
  <c r="AP655" i="1"/>
  <c r="AQ655" i="1" s="1"/>
  <c r="AP651" i="1"/>
  <c r="AQ651" i="1" s="1"/>
  <c r="AP643" i="1"/>
  <c r="AQ643" i="1" s="1"/>
  <c r="AP639" i="1"/>
  <c r="AQ639" i="1" s="1"/>
  <c r="AP635" i="1"/>
  <c r="AQ635" i="1" s="1"/>
  <c r="AP631" i="1"/>
  <c r="AQ631" i="1" s="1"/>
  <c r="AP627" i="1"/>
  <c r="AQ627" i="1" s="1"/>
  <c r="AP623" i="1"/>
  <c r="AQ623" i="1" s="1"/>
  <c r="AP619" i="1"/>
  <c r="AQ619" i="1" s="1"/>
  <c r="AP1082" i="1"/>
  <c r="AQ1082" i="1" s="1"/>
  <c r="AP1078" i="1"/>
  <c r="AQ1078" i="1" s="1"/>
  <c r="AP1074" i="1"/>
  <c r="AQ1074" i="1" s="1"/>
  <c r="AP1066" i="1"/>
  <c r="AQ1066" i="1" s="1"/>
  <c r="AP1054" i="1"/>
  <c r="AQ1054" i="1" s="1"/>
  <c r="AP1050" i="1"/>
  <c r="AQ1050" i="1" s="1"/>
  <c r="AP1046" i="1"/>
  <c r="AQ1046" i="1" s="1"/>
  <c r="AP1042" i="1"/>
  <c r="AQ1042" i="1" s="1"/>
  <c r="AP1030" i="1"/>
  <c r="AQ1030" i="1" s="1"/>
  <c r="AP1026" i="1"/>
  <c r="AQ1026" i="1" s="1"/>
  <c r="AP1022" i="1"/>
  <c r="AQ1022" i="1" s="1"/>
  <c r="AP1010" i="1"/>
  <c r="AQ1010" i="1" s="1"/>
  <c r="AP1006" i="1"/>
  <c r="AQ1006" i="1" s="1"/>
  <c r="AR1006" i="1" s="1"/>
  <c r="AP1002" i="1"/>
  <c r="AQ1002" i="1" s="1"/>
  <c r="AP998" i="1"/>
  <c r="AQ998" i="1" s="1"/>
  <c r="AP994" i="1"/>
  <c r="AQ994" i="1" s="1"/>
  <c r="AP990" i="1"/>
  <c r="AQ990" i="1" s="1"/>
  <c r="AP986" i="1"/>
  <c r="AQ986" i="1" s="1"/>
  <c r="AP978" i="1"/>
  <c r="AQ978" i="1" s="1"/>
  <c r="AP554" i="1"/>
  <c r="AQ554" i="1" s="1"/>
  <c r="AP522" i="1"/>
  <c r="AQ522" i="1" s="1"/>
  <c r="AP518" i="1"/>
  <c r="AQ518" i="1" s="1"/>
  <c r="AR518" i="1" s="1"/>
  <c r="AP514" i="1"/>
  <c r="AQ514" i="1" s="1"/>
  <c r="AP470" i="1"/>
  <c r="AQ470" i="1" s="1"/>
  <c r="AP466" i="1"/>
  <c r="AQ466" i="1" s="1"/>
  <c r="AP462" i="1"/>
  <c r="AQ462" i="1" s="1"/>
  <c r="AP458" i="1"/>
  <c r="AQ458" i="1" s="1"/>
  <c r="AP454" i="1"/>
  <c r="AQ454" i="1" s="1"/>
  <c r="AP450" i="1"/>
  <c r="AQ450" i="1" s="1"/>
  <c r="AP446" i="1"/>
  <c r="AQ446" i="1" s="1"/>
  <c r="AP434" i="1"/>
  <c r="AQ434" i="1" s="1"/>
  <c r="AP430" i="1"/>
  <c r="AQ430" i="1" s="1"/>
  <c r="AP426" i="1"/>
  <c r="AQ426" i="1" s="1"/>
  <c r="AP422" i="1"/>
  <c r="AQ422" i="1" s="1"/>
  <c r="AP418" i="1"/>
  <c r="AQ418" i="1" s="1"/>
  <c r="AP414" i="1"/>
  <c r="AQ414" i="1" s="1"/>
  <c r="AP410" i="1"/>
  <c r="AQ410" i="1" s="1"/>
  <c r="AP406" i="1"/>
  <c r="AQ406" i="1" s="1"/>
  <c r="AP402" i="1"/>
  <c r="AQ402" i="1" s="1"/>
  <c r="AP378" i="1"/>
  <c r="AQ378" i="1" s="1"/>
  <c r="AP374" i="1"/>
  <c r="AQ374" i="1" s="1"/>
  <c r="AP366" i="1"/>
  <c r="AQ366" i="1" s="1"/>
  <c r="AP362" i="1"/>
  <c r="AQ362" i="1" s="1"/>
  <c r="AP358" i="1"/>
  <c r="AQ358" i="1" s="1"/>
  <c r="AP354" i="1"/>
  <c r="AQ354" i="1" s="1"/>
  <c r="AP350" i="1"/>
  <c r="AQ350" i="1" s="1"/>
  <c r="AP346" i="1"/>
  <c r="AQ346" i="1" s="1"/>
  <c r="AP342" i="1"/>
  <c r="AQ342" i="1" s="1"/>
  <c r="AP334" i="1"/>
  <c r="AQ334" i="1" s="1"/>
  <c r="AP330" i="1"/>
  <c r="AQ330" i="1" s="1"/>
  <c r="AP326" i="1"/>
  <c r="AQ326" i="1" s="1"/>
  <c r="AP322" i="1"/>
  <c r="AQ322" i="1" s="1"/>
  <c r="AP318" i="1"/>
  <c r="AQ318" i="1" s="1"/>
  <c r="AP314" i="1"/>
  <c r="AQ314" i="1" s="1"/>
  <c r="AP310" i="1"/>
  <c r="AQ310" i="1" s="1"/>
  <c r="AP306" i="1"/>
  <c r="AQ306" i="1" s="1"/>
  <c r="AP302" i="1"/>
  <c r="AQ302" i="1" s="1"/>
  <c r="AP294" i="1"/>
  <c r="AQ294" i="1" s="1"/>
  <c r="AP286" i="1"/>
  <c r="AQ286" i="1" s="1"/>
  <c r="AR286" i="1" s="1"/>
  <c r="AP282" i="1"/>
  <c r="AQ282" i="1" s="1"/>
  <c r="AP278" i="1"/>
  <c r="AQ278" i="1" s="1"/>
  <c r="AP274" i="1"/>
  <c r="AQ274" i="1" s="1"/>
  <c r="AP270" i="1"/>
  <c r="AQ270" i="1" s="1"/>
  <c r="AP262" i="1"/>
  <c r="AQ262" i="1" s="1"/>
  <c r="AP258" i="1"/>
  <c r="AQ258" i="1" s="1"/>
  <c r="AR258" i="1" s="1"/>
  <c r="AP254" i="1"/>
  <c r="AQ254" i="1" s="1"/>
  <c r="AP250" i="1"/>
  <c r="AQ250" i="1" s="1"/>
  <c r="AP246" i="1"/>
  <c r="AQ246" i="1" s="1"/>
  <c r="AP242" i="1"/>
  <c r="AQ242" i="1" s="1"/>
  <c r="AP234" i="1"/>
  <c r="AQ234" i="1" s="1"/>
  <c r="AP230" i="1"/>
  <c r="AQ230" i="1" s="1"/>
  <c r="AP226" i="1"/>
  <c r="AQ226" i="1" s="1"/>
  <c r="AP222" i="1"/>
  <c r="AQ222" i="1" s="1"/>
  <c r="AP214" i="1"/>
  <c r="AQ214" i="1" s="1"/>
  <c r="AP198" i="1"/>
  <c r="AQ198" i="1" s="1"/>
  <c r="AP190" i="1"/>
  <c r="AQ190" i="1" s="1"/>
  <c r="AP186" i="1"/>
  <c r="AQ186" i="1" s="1"/>
  <c r="AP6" i="1"/>
  <c r="AQ6" i="1" s="1"/>
  <c r="AP1415" i="1"/>
  <c r="AQ1415" i="1" s="1"/>
  <c r="AR1415" i="1" s="1"/>
  <c r="AP617" i="1"/>
  <c r="AQ617" i="1" s="1"/>
  <c r="AP1351" i="1"/>
  <c r="AQ1351" i="1" s="1"/>
  <c r="AP1287" i="1"/>
  <c r="AQ1287" i="1" s="1"/>
  <c r="AP1223" i="1"/>
  <c r="AQ1223" i="1" s="1"/>
  <c r="AP1052" i="1"/>
  <c r="AQ1052" i="1" s="1"/>
  <c r="AP828" i="1"/>
  <c r="AQ828" i="1" s="1"/>
  <c r="AP224" i="1"/>
  <c r="AQ224" i="1" s="1"/>
  <c r="AP1191" i="1"/>
  <c r="AQ1191" i="1" s="1"/>
  <c r="AP55" i="1"/>
  <c r="AQ55" i="1" s="1"/>
  <c r="AP786" i="1"/>
  <c r="AQ786" i="1" s="1"/>
  <c r="AP473" i="1"/>
  <c r="AQ473" i="1" s="1"/>
  <c r="AP105" i="1"/>
  <c r="AQ105" i="1" s="1"/>
  <c r="AP381" i="1"/>
  <c r="AQ381" i="1" s="1"/>
  <c r="AP1455" i="1"/>
  <c r="AQ1455" i="1" s="1"/>
  <c r="AP1379" i="1"/>
  <c r="AQ1379" i="1" s="1"/>
  <c r="AP1255" i="1"/>
  <c r="AQ1255" i="1" s="1"/>
  <c r="AP1127" i="1"/>
  <c r="AQ1127" i="1" s="1"/>
  <c r="AP1123" i="1"/>
  <c r="AQ1123" i="1" s="1"/>
  <c r="AP1076" i="1"/>
  <c r="AQ1076" i="1" s="1"/>
  <c r="AP956" i="1"/>
  <c r="AQ956" i="1" s="1"/>
  <c r="AP860" i="1"/>
  <c r="AQ860" i="1" s="1"/>
  <c r="AP512" i="1"/>
  <c r="AQ512" i="1" s="1"/>
  <c r="AP508" i="1"/>
  <c r="AQ508" i="1" s="1"/>
  <c r="AP504" i="1"/>
  <c r="AQ504" i="1" s="1"/>
  <c r="AP500" i="1"/>
  <c r="AQ500" i="1" s="1"/>
  <c r="AP496" i="1"/>
  <c r="AQ496" i="1" s="1"/>
  <c r="AR496" i="1" s="1"/>
  <c r="AP492" i="1"/>
  <c r="AQ492" i="1" s="1"/>
  <c r="AP488" i="1"/>
  <c r="AQ488" i="1" s="1"/>
  <c r="AP480" i="1"/>
  <c r="AQ480" i="1" s="1"/>
  <c r="AP476" i="1"/>
  <c r="AQ476" i="1" s="1"/>
  <c r="AR476" i="1" s="1"/>
  <c r="AP376" i="1"/>
  <c r="AQ376" i="1" s="1"/>
  <c r="AP172" i="1"/>
  <c r="AQ172" i="1" s="1"/>
  <c r="AP120" i="1"/>
  <c r="AQ120" i="1" s="1"/>
  <c r="AP116" i="1"/>
  <c r="AQ116" i="1" s="1"/>
  <c r="AP112" i="1"/>
  <c r="AQ112" i="1" s="1"/>
  <c r="AP108" i="1"/>
  <c r="AQ108" i="1" s="1"/>
  <c r="AP513" i="1"/>
  <c r="AQ513" i="1" s="1"/>
  <c r="AP1383" i="1"/>
  <c r="AQ1383" i="1" s="1"/>
  <c r="AP1319" i="1"/>
  <c r="AQ1319" i="1" s="1"/>
  <c r="AR1319" i="1" s="1"/>
  <c r="AP1187" i="1"/>
  <c r="AQ1187" i="1" s="1"/>
  <c r="AP1254" i="1"/>
  <c r="AQ1254" i="1" s="1"/>
  <c r="AP1190" i="1"/>
  <c r="AQ1190" i="1" s="1"/>
  <c r="AP1126" i="1"/>
  <c r="AQ1126" i="1" s="1"/>
  <c r="AP951" i="1"/>
  <c r="AQ951" i="1" s="1"/>
  <c r="AP923" i="1"/>
  <c r="AQ923" i="1" s="1"/>
  <c r="AR923" i="1" s="1"/>
  <c r="AP919" i="1"/>
  <c r="AQ919" i="1" s="1"/>
  <c r="AR919" i="1" s="1"/>
  <c r="AP911" i="1"/>
  <c r="AQ911" i="1" s="1"/>
  <c r="AR911" i="1" s="1"/>
  <c r="AP907" i="1"/>
  <c r="AQ907" i="1" s="1"/>
  <c r="AP903" i="1"/>
  <c r="AQ903" i="1" s="1"/>
  <c r="AP899" i="1"/>
  <c r="AQ899" i="1" s="1"/>
  <c r="AP895" i="1"/>
  <c r="AQ895" i="1" s="1"/>
  <c r="AP891" i="1"/>
  <c r="AQ891" i="1" s="1"/>
  <c r="AR891" i="1" s="1"/>
  <c r="AP887" i="1"/>
  <c r="AQ887" i="1" s="1"/>
  <c r="AP883" i="1"/>
  <c r="AQ883" i="1" s="1"/>
  <c r="AP879" i="1"/>
  <c r="AQ879" i="1" s="1"/>
  <c r="AP875" i="1"/>
  <c r="AQ875" i="1" s="1"/>
  <c r="AP871" i="1"/>
  <c r="AQ871" i="1" s="1"/>
  <c r="AP867" i="1"/>
  <c r="AQ867" i="1" s="1"/>
  <c r="AP863" i="1"/>
  <c r="AQ863" i="1" s="1"/>
  <c r="AP615" i="1"/>
  <c r="AQ615" i="1" s="1"/>
  <c r="AP611" i="1"/>
  <c r="AQ611" i="1" s="1"/>
  <c r="AP607" i="1"/>
  <c r="AQ607" i="1" s="1"/>
  <c r="AP603" i="1"/>
  <c r="AQ603" i="1" s="1"/>
  <c r="AP599" i="1"/>
  <c r="AQ599" i="1" s="1"/>
  <c r="AP595" i="1"/>
  <c r="AQ595" i="1" s="1"/>
  <c r="AP583" i="1"/>
  <c r="AQ583" i="1" s="1"/>
  <c r="AP579" i="1"/>
  <c r="AQ579" i="1" s="1"/>
  <c r="AR579" i="1" s="1"/>
  <c r="AP571" i="1"/>
  <c r="AQ571" i="1" s="1"/>
  <c r="AP563" i="1"/>
  <c r="AQ563" i="1" s="1"/>
  <c r="AP559" i="1"/>
  <c r="AQ559" i="1" s="1"/>
  <c r="AP555" i="1"/>
  <c r="AQ555" i="1" s="1"/>
  <c r="AP547" i="1"/>
  <c r="AQ547" i="1" s="1"/>
  <c r="AP539" i="1"/>
  <c r="AQ539" i="1" s="1"/>
  <c r="AP535" i="1"/>
  <c r="AQ535" i="1" s="1"/>
  <c r="AP531" i="1"/>
  <c r="AQ531" i="1" s="1"/>
  <c r="AP175" i="1"/>
  <c r="AQ175" i="1" s="1"/>
  <c r="AR175" i="1" s="1"/>
  <c r="AP27" i="1"/>
  <c r="AQ27" i="1" s="1"/>
  <c r="AP15" i="1"/>
  <c r="AQ15" i="1" s="1"/>
  <c r="AP7" i="1"/>
  <c r="AQ7" i="1" s="1"/>
  <c r="BP12" i="2"/>
  <c r="BQ10" i="2" s="1"/>
  <c r="AP947" i="1"/>
  <c r="AQ947" i="1" s="1"/>
  <c r="AP943" i="1"/>
  <c r="AQ943" i="1" s="1"/>
  <c r="AP939" i="1"/>
  <c r="AQ939" i="1" s="1"/>
  <c r="AP935" i="1"/>
  <c r="AQ935" i="1" s="1"/>
  <c r="AP931" i="1"/>
  <c r="AQ931" i="1" s="1"/>
  <c r="AR931" i="1" s="1"/>
  <c r="AP927" i="1"/>
  <c r="AQ927" i="1" s="1"/>
  <c r="AP795" i="1"/>
  <c r="AQ795" i="1" s="1"/>
  <c r="AP787" i="1"/>
  <c r="AQ787" i="1" s="1"/>
  <c r="AP523" i="1"/>
  <c r="AQ523" i="1" s="1"/>
  <c r="AP519" i="1"/>
  <c r="AQ519" i="1" s="1"/>
  <c r="AP507" i="1"/>
  <c r="AQ507" i="1" s="1"/>
  <c r="AR507" i="1" s="1"/>
  <c r="AP499" i="1"/>
  <c r="AQ499" i="1" s="1"/>
  <c r="AP495" i="1"/>
  <c r="AQ495" i="1" s="1"/>
  <c r="AP491" i="1"/>
  <c r="AQ491" i="1" s="1"/>
  <c r="AP487" i="1"/>
  <c r="AQ487" i="1" s="1"/>
  <c r="AP483" i="1"/>
  <c r="AQ483" i="1" s="1"/>
  <c r="AP475" i="1"/>
  <c r="AQ475" i="1" s="1"/>
  <c r="AP467" i="1"/>
  <c r="AQ467" i="1" s="1"/>
  <c r="AP463" i="1"/>
  <c r="AQ463" i="1" s="1"/>
  <c r="AP451" i="1"/>
  <c r="AQ451" i="1" s="1"/>
  <c r="AP443" i="1"/>
  <c r="AQ443" i="1" s="1"/>
  <c r="AP435" i="1"/>
  <c r="AQ435" i="1" s="1"/>
  <c r="AP431" i="1"/>
  <c r="AQ431" i="1" s="1"/>
  <c r="AP427" i="1"/>
  <c r="AQ427" i="1" s="1"/>
  <c r="AP419" i="1"/>
  <c r="AQ419" i="1" s="1"/>
  <c r="AP415" i="1"/>
  <c r="AQ415" i="1" s="1"/>
  <c r="AP411" i="1"/>
  <c r="AQ411" i="1" s="1"/>
  <c r="AP403" i="1"/>
  <c r="AQ403" i="1" s="1"/>
  <c r="AP399" i="1"/>
  <c r="AQ399" i="1" s="1"/>
  <c r="AP395" i="1"/>
  <c r="AQ395" i="1" s="1"/>
  <c r="AP391" i="1"/>
  <c r="AQ391" i="1" s="1"/>
  <c r="AP379" i="1"/>
  <c r="AQ379" i="1" s="1"/>
  <c r="AP375" i="1"/>
  <c r="AQ375" i="1" s="1"/>
  <c r="AP371" i="1"/>
  <c r="AQ371" i="1" s="1"/>
  <c r="AP367" i="1"/>
  <c r="AQ367" i="1" s="1"/>
  <c r="AP363" i="1"/>
  <c r="AQ363" i="1" s="1"/>
  <c r="AP355" i="1"/>
  <c r="AQ355" i="1" s="1"/>
  <c r="AP347" i="1"/>
  <c r="AQ347" i="1" s="1"/>
  <c r="AP339" i="1"/>
  <c r="AQ339" i="1" s="1"/>
  <c r="AP335" i="1"/>
  <c r="AQ335" i="1" s="1"/>
  <c r="AP331" i="1"/>
  <c r="AQ331" i="1" s="1"/>
  <c r="AP327" i="1"/>
  <c r="AQ327" i="1" s="1"/>
  <c r="AP323" i="1"/>
  <c r="AQ323" i="1" s="1"/>
  <c r="AP315" i="1"/>
  <c r="AQ315" i="1" s="1"/>
  <c r="AP311" i="1"/>
  <c r="AQ311" i="1" s="1"/>
  <c r="AP307" i="1"/>
  <c r="AQ307" i="1" s="1"/>
  <c r="AP303" i="1"/>
  <c r="AQ303" i="1" s="1"/>
  <c r="AR303" i="1" s="1"/>
  <c r="AP299" i="1"/>
  <c r="AQ299" i="1" s="1"/>
  <c r="AP291" i="1"/>
  <c r="AQ291" i="1" s="1"/>
  <c r="AP287" i="1"/>
  <c r="AQ287" i="1" s="1"/>
  <c r="AP283" i="1"/>
  <c r="AQ283" i="1" s="1"/>
  <c r="AP279" i="1"/>
  <c r="AQ279" i="1" s="1"/>
  <c r="AP275" i="1"/>
  <c r="AQ275" i="1" s="1"/>
  <c r="AP271" i="1"/>
  <c r="AQ271" i="1" s="1"/>
  <c r="AP267" i="1"/>
  <c r="AQ267" i="1" s="1"/>
  <c r="AP263" i="1"/>
  <c r="AQ263" i="1" s="1"/>
  <c r="AP259" i="1"/>
  <c r="AQ259" i="1" s="1"/>
  <c r="AP255" i="1"/>
  <c r="AQ255" i="1" s="1"/>
  <c r="AP251" i="1"/>
  <c r="AQ251" i="1" s="1"/>
  <c r="AP247" i="1"/>
  <c r="AQ247" i="1" s="1"/>
  <c r="AP243" i="1"/>
  <c r="AQ243" i="1" s="1"/>
  <c r="AP239" i="1"/>
  <c r="AQ239" i="1" s="1"/>
  <c r="AP235" i="1"/>
  <c r="AQ235" i="1" s="1"/>
  <c r="AP1469" i="1"/>
  <c r="AQ1469" i="1" s="1"/>
  <c r="AP1465" i="1"/>
  <c r="AQ1465" i="1" s="1"/>
  <c r="AP1461" i="1"/>
  <c r="AQ1461" i="1" s="1"/>
  <c r="AP1453" i="1"/>
  <c r="AQ1453" i="1" s="1"/>
  <c r="AP1449" i="1"/>
  <c r="AQ1449" i="1" s="1"/>
  <c r="AP1445" i="1"/>
  <c r="AQ1445" i="1" s="1"/>
  <c r="AP1441" i="1"/>
  <c r="AQ1441" i="1" s="1"/>
  <c r="AP1373" i="1"/>
  <c r="AQ1373" i="1" s="1"/>
  <c r="AP1369" i="1"/>
  <c r="AQ1369" i="1" s="1"/>
  <c r="AP1313" i="1"/>
  <c r="AQ1313" i="1" s="1"/>
  <c r="AP1309" i="1"/>
  <c r="AQ1309" i="1" s="1"/>
  <c r="AP1305" i="1"/>
  <c r="AQ1305" i="1" s="1"/>
  <c r="AP1174" i="1"/>
  <c r="AQ1174" i="1" s="1"/>
  <c r="AP1110" i="1"/>
  <c r="AQ1110" i="1" s="1"/>
  <c r="AP1083" i="1"/>
  <c r="AQ1083" i="1" s="1"/>
  <c r="AP1075" i="1"/>
  <c r="AQ1075" i="1" s="1"/>
  <c r="AP1071" i="1"/>
  <c r="AQ1071" i="1" s="1"/>
  <c r="AP1067" i="1"/>
  <c r="AQ1067" i="1" s="1"/>
  <c r="AP1063" i="1"/>
  <c r="AQ1063" i="1" s="1"/>
  <c r="AR1063" i="1" s="1"/>
  <c r="AP1055" i="1"/>
  <c r="AQ1055" i="1" s="1"/>
  <c r="AP1051" i="1"/>
  <c r="AQ1051" i="1" s="1"/>
  <c r="AP1047" i="1"/>
  <c r="AQ1047" i="1" s="1"/>
  <c r="AP1043" i="1"/>
  <c r="AQ1043" i="1" s="1"/>
  <c r="AP1039" i="1"/>
  <c r="AQ1039" i="1" s="1"/>
  <c r="AP1031" i="1"/>
  <c r="AQ1031" i="1" s="1"/>
  <c r="AP1027" i="1"/>
  <c r="AQ1027" i="1" s="1"/>
  <c r="AP1019" i="1"/>
  <c r="AQ1019" i="1" s="1"/>
  <c r="AR1019" i="1" s="1"/>
  <c r="AP1015" i="1"/>
  <c r="AQ1015" i="1" s="1"/>
  <c r="AP1011" i="1"/>
  <c r="AQ1011" i="1" s="1"/>
  <c r="AP1007" i="1"/>
  <c r="AQ1007" i="1" s="1"/>
  <c r="AP1003" i="1"/>
  <c r="AQ1003" i="1" s="1"/>
  <c r="AP995" i="1"/>
  <c r="AQ995" i="1" s="1"/>
  <c r="AP991" i="1"/>
  <c r="AQ991" i="1" s="1"/>
  <c r="AP979" i="1"/>
  <c r="AQ979" i="1" s="1"/>
  <c r="AP975" i="1"/>
  <c r="AQ975" i="1" s="1"/>
  <c r="AP971" i="1"/>
  <c r="AQ971" i="1" s="1"/>
  <c r="AP967" i="1"/>
  <c r="AQ967" i="1" s="1"/>
  <c r="AP963" i="1"/>
  <c r="AQ963" i="1" s="1"/>
  <c r="AP959" i="1"/>
  <c r="AQ959" i="1" s="1"/>
  <c r="AP1468" i="1"/>
  <c r="AQ1468" i="1" s="1"/>
  <c r="AP1460" i="1"/>
  <c r="AQ1460" i="1" s="1"/>
  <c r="AP1456" i="1"/>
  <c r="AQ1456" i="1" s="1"/>
  <c r="AP1380" i="1"/>
  <c r="AQ1380" i="1" s="1"/>
  <c r="AP1316" i="1"/>
  <c r="AQ1316" i="1" s="1"/>
  <c r="AP1249" i="1"/>
  <c r="AQ1249" i="1" s="1"/>
  <c r="AP1245" i="1"/>
  <c r="AQ1245" i="1" s="1"/>
  <c r="AP1241" i="1"/>
  <c r="AQ1241" i="1" s="1"/>
  <c r="AP1185" i="1"/>
  <c r="AQ1185" i="1" s="1"/>
  <c r="AP1181" i="1"/>
  <c r="AQ1181" i="1" s="1"/>
  <c r="AP1177" i="1"/>
  <c r="AQ1177" i="1" s="1"/>
  <c r="AP1121" i="1"/>
  <c r="AQ1121" i="1" s="1"/>
  <c r="AP1117" i="1"/>
  <c r="AQ1117" i="1" s="1"/>
  <c r="AP950" i="1"/>
  <c r="AQ950" i="1" s="1"/>
  <c r="AP946" i="1"/>
  <c r="AQ946" i="1" s="1"/>
  <c r="AP938" i="1"/>
  <c r="AQ938" i="1" s="1"/>
  <c r="AP926" i="1"/>
  <c r="AQ926" i="1" s="1"/>
  <c r="AP826" i="1"/>
  <c r="AQ826" i="1" s="1"/>
  <c r="AP822" i="1"/>
  <c r="AQ822" i="1" s="1"/>
  <c r="AP818" i="1"/>
  <c r="AQ818" i="1" s="1"/>
  <c r="AP814" i="1"/>
  <c r="AQ814" i="1" s="1"/>
  <c r="AP810" i="1"/>
  <c r="AQ810" i="1" s="1"/>
  <c r="AP806" i="1"/>
  <c r="AQ806" i="1" s="1"/>
  <c r="AP770" i="1"/>
  <c r="AQ770" i="1" s="1"/>
  <c r="AP742" i="1"/>
  <c r="AQ742" i="1" s="1"/>
  <c r="AP738" i="1"/>
  <c r="AQ738" i="1" s="1"/>
  <c r="AP726" i="1"/>
  <c r="AQ726" i="1" s="1"/>
  <c r="AP718" i="1"/>
  <c r="AQ718" i="1" s="1"/>
  <c r="AP710" i="1"/>
  <c r="AQ710" i="1" s="1"/>
  <c r="AP706" i="1"/>
  <c r="AQ706" i="1" s="1"/>
  <c r="AP698" i="1"/>
  <c r="AQ698" i="1" s="1"/>
  <c r="AP694" i="1"/>
  <c r="AQ694" i="1" s="1"/>
  <c r="AP686" i="1"/>
  <c r="AQ686" i="1" s="1"/>
  <c r="AP682" i="1"/>
  <c r="AQ682" i="1" s="1"/>
  <c r="AP678" i="1"/>
  <c r="AQ678" i="1" s="1"/>
  <c r="AP674" i="1"/>
  <c r="AQ674" i="1" s="1"/>
  <c r="AP670" i="1"/>
  <c r="AQ670" i="1" s="1"/>
  <c r="AP666" i="1"/>
  <c r="AQ666" i="1" s="1"/>
  <c r="AP654" i="1"/>
  <c r="AQ654" i="1" s="1"/>
  <c r="AP650" i="1"/>
  <c r="AQ650" i="1" s="1"/>
  <c r="AP646" i="1"/>
  <c r="AQ646" i="1" s="1"/>
  <c r="AP642" i="1"/>
  <c r="AQ642" i="1" s="1"/>
  <c r="AP634" i="1"/>
  <c r="AQ634" i="1" s="1"/>
  <c r="AP630" i="1"/>
  <c r="AQ630" i="1" s="1"/>
  <c r="AP626" i="1"/>
  <c r="AQ626" i="1" s="1"/>
  <c r="AP622" i="1"/>
  <c r="AQ622" i="1" s="1"/>
  <c r="AP618" i="1"/>
  <c r="AQ618" i="1" s="1"/>
  <c r="AP614" i="1"/>
  <c r="AQ614" i="1" s="1"/>
  <c r="AP606" i="1"/>
  <c r="AQ606" i="1" s="1"/>
  <c r="AP602" i="1"/>
  <c r="AQ602" i="1" s="1"/>
  <c r="AP598" i="1"/>
  <c r="AQ598" i="1" s="1"/>
  <c r="AP594" i="1"/>
  <c r="AQ594" i="1" s="1"/>
  <c r="AP590" i="1"/>
  <c r="AQ590" i="1" s="1"/>
  <c r="AP586" i="1"/>
  <c r="AQ586" i="1" s="1"/>
  <c r="AP582" i="1"/>
  <c r="AQ582" i="1" s="1"/>
  <c r="AP578" i="1"/>
  <c r="AQ578" i="1" s="1"/>
  <c r="AP574" i="1"/>
  <c r="AQ574" i="1" s="1"/>
  <c r="AP562" i="1"/>
  <c r="AQ562" i="1" s="1"/>
  <c r="AP546" i="1"/>
  <c r="AQ546" i="1" s="1"/>
  <c r="AP538" i="1"/>
  <c r="AQ538" i="1" s="1"/>
  <c r="AP510" i="1"/>
  <c r="AQ510" i="1" s="1"/>
  <c r="AP502" i="1"/>
  <c r="AQ502" i="1" s="1"/>
  <c r="AP498" i="1"/>
  <c r="AQ498" i="1" s="1"/>
  <c r="AR498" i="1" s="1"/>
  <c r="AP494" i="1"/>
  <c r="AQ494" i="1" s="1"/>
  <c r="AP490" i="1"/>
  <c r="AQ490" i="1" s="1"/>
  <c r="AP486" i="1"/>
  <c r="AQ486" i="1" s="1"/>
  <c r="AP478" i="1"/>
  <c r="AQ478" i="1" s="1"/>
  <c r="AP474" i="1"/>
  <c r="AQ474" i="1" s="1"/>
  <c r="AP398" i="1"/>
  <c r="AQ398" i="1" s="1"/>
  <c r="AP394" i="1"/>
  <c r="AQ394" i="1" s="1"/>
  <c r="AP390" i="1"/>
  <c r="AQ390" i="1" s="1"/>
  <c r="AP386" i="1"/>
  <c r="AQ386" i="1" s="1"/>
  <c r="AP382" i="1"/>
  <c r="AQ382" i="1" s="1"/>
  <c r="AP182" i="1"/>
  <c r="AQ182" i="1" s="1"/>
  <c r="AP130" i="1"/>
  <c r="AQ130" i="1" s="1"/>
  <c r="AP110" i="1"/>
  <c r="AQ110" i="1" s="1"/>
  <c r="AP106" i="1"/>
  <c r="AQ106" i="1" s="1"/>
  <c r="AP94" i="1"/>
  <c r="AQ94" i="1" s="1"/>
  <c r="AP90" i="1"/>
  <c r="AQ90" i="1" s="1"/>
  <c r="AP86" i="1"/>
  <c r="AQ86" i="1" s="1"/>
  <c r="AP50" i="1"/>
  <c r="AQ50" i="1" s="1"/>
  <c r="AP46" i="1"/>
  <c r="AQ46" i="1" s="1"/>
  <c r="AP227" i="1"/>
  <c r="AQ227" i="1" s="1"/>
  <c r="AP223" i="1"/>
  <c r="AQ223" i="1" s="1"/>
  <c r="AP215" i="1"/>
  <c r="AQ215" i="1" s="1"/>
  <c r="AP211" i="1"/>
  <c r="AQ211" i="1" s="1"/>
  <c r="AP203" i="1"/>
  <c r="AQ203" i="1" s="1"/>
  <c r="AP199" i="1"/>
  <c r="AQ199" i="1" s="1"/>
  <c r="AP195" i="1"/>
  <c r="AQ195" i="1" s="1"/>
  <c r="AP191" i="1"/>
  <c r="AQ191" i="1" s="1"/>
  <c r="AP187" i="1"/>
  <c r="AQ187" i="1" s="1"/>
  <c r="AP183" i="1"/>
  <c r="AQ183" i="1" s="1"/>
  <c r="AP171" i="1"/>
  <c r="AQ171" i="1" s="1"/>
  <c r="AP167" i="1"/>
  <c r="AQ167" i="1" s="1"/>
  <c r="AP139" i="1"/>
  <c r="AQ139" i="1" s="1"/>
  <c r="AP127" i="1"/>
  <c r="AQ127" i="1" s="1"/>
  <c r="AP119" i="1"/>
  <c r="AQ119" i="1" s="1"/>
  <c r="AP115" i="1"/>
  <c r="AQ115" i="1" s="1"/>
  <c r="AP103" i="1"/>
  <c r="AQ103" i="1" s="1"/>
  <c r="AP95" i="1"/>
  <c r="AQ95" i="1" s="1"/>
  <c r="AP87" i="1"/>
  <c r="AQ87" i="1" s="1"/>
  <c r="AP63" i="1"/>
  <c r="AQ63" i="1" s="1"/>
  <c r="AP39" i="1"/>
  <c r="AQ39" i="1" s="1"/>
  <c r="AP31" i="1"/>
  <c r="AQ31" i="1" s="1"/>
  <c r="AP645" i="1"/>
  <c r="AQ645" i="1" s="1"/>
  <c r="AP637" i="1"/>
  <c r="AQ637" i="1" s="1"/>
  <c r="AP629" i="1"/>
  <c r="AQ629" i="1" s="1"/>
  <c r="AP613" i="1"/>
  <c r="AQ613" i="1" s="1"/>
  <c r="AP585" i="1"/>
  <c r="AQ585" i="1" s="1"/>
  <c r="AP581" i="1"/>
  <c r="AQ581" i="1" s="1"/>
  <c r="AP577" i="1"/>
  <c r="AQ577" i="1" s="1"/>
  <c r="AP573" i="1"/>
  <c r="AQ573" i="1" s="1"/>
  <c r="AP569" i="1"/>
  <c r="AQ569" i="1" s="1"/>
  <c r="AP545" i="1"/>
  <c r="AQ545" i="1" s="1"/>
  <c r="AP537" i="1"/>
  <c r="AQ537" i="1" s="1"/>
  <c r="AP526" i="1"/>
  <c r="AQ526" i="1" s="1"/>
  <c r="AP210" i="1"/>
  <c r="AQ210" i="1" s="1"/>
  <c r="AP202" i="1"/>
  <c r="AQ202" i="1" s="1"/>
  <c r="AP178" i="1"/>
  <c r="AQ178" i="1" s="1"/>
  <c r="AP174" i="1"/>
  <c r="AQ174" i="1" s="1"/>
  <c r="AP804" i="1"/>
  <c r="AQ804" i="1" s="1"/>
  <c r="AP560" i="1"/>
  <c r="AQ560" i="1" s="1"/>
  <c r="AP556" i="1"/>
  <c r="AQ556" i="1" s="1"/>
  <c r="AP552" i="1"/>
  <c r="AQ552" i="1" s="1"/>
  <c r="AR552" i="1" s="1"/>
  <c r="AP548" i="1"/>
  <c r="AQ548" i="1" s="1"/>
  <c r="AP544" i="1"/>
  <c r="AQ544" i="1" s="1"/>
  <c r="AP540" i="1"/>
  <c r="AQ540" i="1" s="1"/>
  <c r="AP536" i="1"/>
  <c r="AQ536" i="1" s="1"/>
  <c r="AP532" i="1"/>
  <c r="AQ532" i="1" s="1"/>
  <c r="AP529" i="1"/>
  <c r="AQ529" i="1" s="1"/>
  <c r="AP517" i="1"/>
  <c r="AQ517" i="1" s="1"/>
  <c r="AP509" i="1"/>
  <c r="AQ509" i="1" s="1"/>
  <c r="AP505" i="1"/>
  <c r="AQ505" i="1" s="1"/>
  <c r="AP485" i="1"/>
  <c r="AQ485" i="1" s="1"/>
  <c r="AP453" i="1"/>
  <c r="AQ453" i="1" s="1"/>
  <c r="AP449" i="1"/>
  <c r="AQ449" i="1" s="1"/>
  <c r="AP409" i="1"/>
  <c r="AQ409" i="1" s="1"/>
  <c r="AP389" i="1"/>
  <c r="AQ389" i="1" s="1"/>
  <c r="AP385" i="1"/>
  <c r="AQ385" i="1" s="1"/>
  <c r="AP377" i="1"/>
  <c r="AQ377" i="1" s="1"/>
  <c r="AP357" i="1"/>
  <c r="AQ357" i="1" s="1"/>
  <c r="AP349" i="1"/>
  <c r="AQ349" i="1" s="1"/>
  <c r="AP345" i="1"/>
  <c r="AQ345" i="1" s="1"/>
  <c r="AP169" i="1"/>
  <c r="AQ169" i="1" s="1"/>
  <c r="AP153" i="1"/>
  <c r="AQ153" i="1" s="1"/>
  <c r="AP145" i="1"/>
  <c r="AQ145" i="1" s="1"/>
  <c r="AP137" i="1"/>
  <c r="AQ137" i="1" s="1"/>
  <c r="AP89" i="1"/>
  <c r="AQ89" i="1" s="1"/>
  <c r="AP73" i="1"/>
  <c r="AQ73" i="1" s="1"/>
  <c r="AP57" i="1"/>
  <c r="AQ57" i="1" s="1"/>
  <c r="AP567" i="1"/>
  <c r="AQ567" i="1" s="1"/>
  <c r="AP551" i="1"/>
  <c r="AQ551" i="1" s="1"/>
  <c r="AP543" i="1"/>
  <c r="AQ543" i="1" s="1"/>
  <c r="AP528" i="1"/>
  <c r="AQ528" i="1" s="1"/>
  <c r="AP524" i="1"/>
  <c r="AQ524" i="1" s="1"/>
  <c r="AP336" i="1"/>
  <c r="AQ336" i="1" s="1"/>
  <c r="AP320" i="1"/>
  <c r="AQ320" i="1" s="1"/>
  <c r="AP304" i="1"/>
  <c r="AQ304" i="1" s="1"/>
  <c r="AP280" i="1"/>
  <c r="AQ280" i="1" s="1"/>
  <c r="AP272" i="1"/>
  <c r="AQ272" i="1" s="1"/>
  <c r="AP264" i="1"/>
  <c r="AQ264" i="1" s="1"/>
  <c r="AR264" i="1" s="1"/>
  <c r="AP256" i="1"/>
  <c r="AQ256" i="1" s="1"/>
  <c r="AP248" i="1"/>
  <c r="AQ248" i="1" s="1"/>
  <c r="AP208" i="1"/>
  <c r="AQ208" i="1" s="1"/>
  <c r="AR208" i="1" s="1"/>
  <c r="AP176" i="1"/>
  <c r="AQ176" i="1" s="1"/>
  <c r="AP790" i="1"/>
  <c r="AQ790" i="1" s="1"/>
  <c r="AP774" i="1"/>
  <c r="AQ774" i="1" s="1"/>
  <c r="AP766" i="1"/>
  <c r="AQ766" i="1" s="1"/>
  <c r="AP762" i="1"/>
  <c r="AQ762" i="1" s="1"/>
  <c r="AP758" i="1"/>
  <c r="AQ758" i="1" s="1"/>
  <c r="AP730" i="1"/>
  <c r="AQ730" i="1" s="1"/>
  <c r="AP714" i="1"/>
  <c r="AQ714" i="1" s="1"/>
  <c r="AP566" i="1"/>
  <c r="AQ566" i="1" s="1"/>
  <c r="AP558" i="1"/>
  <c r="AQ558" i="1" s="1"/>
  <c r="AP550" i="1"/>
  <c r="AQ550" i="1" s="1"/>
  <c r="AP534" i="1"/>
  <c r="AQ534" i="1" s="1"/>
  <c r="AP511" i="1"/>
  <c r="AQ511" i="1" s="1"/>
  <c r="AP503" i="1"/>
  <c r="AQ503" i="1" s="1"/>
  <c r="AP479" i="1"/>
  <c r="AQ479" i="1" s="1"/>
  <c r="AP447" i="1"/>
  <c r="AQ447" i="1" s="1"/>
  <c r="AP439" i="1"/>
  <c r="AQ439" i="1" s="1"/>
  <c r="AP383" i="1"/>
  <c r="AQ383" i="1" s="1"/>
  <c r="AP351" i="1"/>
  <c r="AQ351" i="1" s="1"/>
  <c r="AP343" i="1"/>
  <c r="AQ343" i="1" s="1"/>
  <c r="AP163" i="1"/>
  <c r="AQ163" i="1" s="1"/>
  <c r="AP159" i="1"/>
  <c r="AQ159" i="1" s="1"/>
  <c r="AP155" i="1"/>
  <c r="AQ155" i="1" s="1"/>
  <c r="AP151" i="1"/>
  <c r="AQ151" i="1" s="1"/>
  <c r="AP147" i="1"/>
  <c r="AQ147" i="1" s="1"/>
  <c r="AP143" i="1"/>
  <c r="AQ143" i="1" s="1"/>
  <c r="AP135" i="1"/>
  <c r="AQ135" i="1" s="1"/>
  <c r="AP131" i="1"/>
  <c r="AQ131" i="1" s="1"/>
  <c r="AP123" i="1"/>
  <c r="AQ123" i="1" s="1"/>
  <c r="AP111" i="1"/>
  <c r="AQ111" i="1" s="1"/>
  <c r="AP107" i="1"/>
  <c r="AQ107" i="1" s="1"/>
  <c r="AP99" i="1"/>
  <c r="AQ99" i="1" s="1"/>
  <c r="AP83" i="1"/>
  <c r="AQ83" i="1" s="1"/>
  <c r="AP79" i="1"/>
  <c r="AQ79" i="1" s="1"/>
  <c r="AP75" i="1"/>
  <c r="AQ75" i="1" s="1"/>
  <c r="AP67" i="1"/>
  <c r="AQ67" i="1" s="1"/>
  <c r="AP59" i="1"/>
  <c r="AQ59" i="1" s="1"/>
  <c r="AR59" i="1" s="1"/>
  <c r="AP51" i="1"/>
  <c r="AQ51" i="1" s="1"/>
  <c r="AP43" i="1"/>
  <c r="AQ43" i="1" s="1"/>
  <c r="AR43" i="1" s="1"/>
  <c r="AP19" i="1"/>
  <c r="AQ19" i="1" s="1"/>
  <c r="AR19" i="1" s="1"/>
  <c r="AP11" i="1"/>
  <c r="AQ11" i="1" s="1"/>
  <c r="AP3" i="1"/>
  <c r="AQ3" i="1" s="1"/>
  <c r="AR11" i="1" l="1"/>
  <c r="AR83" i="1"/>
  <c r="AR123" i="1"/>
  <c r="AR147" i="1"/>
  <c r="AR163" i="1"/>
  <c r="AR439" i="1"/>
  <c r="AR511" i="1"/>
  <c r="AR566" i="1"/>
  <c r="AR67" i="1"/>
  <c r="AR99" i="1"/>
  <c r="AR131" i="1"/>
  <c r="AR151" i="1"/>
  <c r="AR343" i="1"/>
  <c r="AR447" i="1"/>
  <c r="AR534" i="1"/>
  <c r="AR714" i="1"/>
  <c r="AR766" i="1"/>
  <c r="AR272" i="1"/>
  <c r="AR336" i="1"/>
  <c r="AR551" i="1"/>
  <c r="AR89" i="1"/>
  <c r="AR169" i="1"/>
  <c r="AR377" i="1"/>
  <c r="AR449" i="1"/>
  <c r="AR509" i="1"/>
  <c r="AR536" i="1"/>
  <c r="AR174" i="1"/>
  <c r="AR526" i="1"/>
  <c r="AR573" i="1"/>
  <c r="AR613" i="1"/>
  <c r="AR31" i="1"/>
  <c r="AR95" i="1"/>
  <c r="AR127" i="1"/>
  <c r="AR183" i="1"/>
  <c r="AR199" i="1"/>
  <c r="AR223" i="1"/>
  <c r="AR86" i="1"/>
  <c r="AR110" i="1"/>
  <c r="AR386" i="1"/>
  <c r="AR474" i="1"/>
  <c r="AR494" i="1"/>
  <c r="AR538" i="1"/>
  <c r="AR578" i="1"/>
  <c r="AR594" i="1"/>
  <c r="AR614" i="1"/>
  <c r="AR630" i="1"/>
  <c r="AR650" i="1"/>
  <c r="AR674" i="1"/>
  <c r="AR694" i="1"/>
  <c r="AR718" i="1"/>
  <c r="AR770" i="1"/>
  <c r="AR818" i="1"/>
  <c r="AR75" i="1"/>
  <c r="AR107" i="1"/>
  <c r="AR135" i="1"/>
  <c r="AR155" i="1"/>
  <c r="AR351" i="1"/>
  <c r="AR479" i="1"/>
  <c r="AR550" i="1"/>
  <c r="AR51" i="1"/>
  <c r="AR79" i="1"/>
  <c r="AR111" i="1"/>
  <c r="AR143" i="1"/>
  <c r="AR159" i="1"/>
  <c r="AR383" i="1"/>
  <c r="AR503" i="1"/>
  <c r="AR558" i="1"/>
  <c r="AR758" i="1"/>
  <c r="AR790" i="1"/>
  <c r="AR256" i="1"/>
  <c r="AR304" i="1"/>
  <c r="AR528" i="1"/>
  <c r="AR57" i="1"/>
  <c r="AR145" i="1"/>
  <c r="AR349" i="1"/>
  <c r="AR389" i="1"/>
  <c r="AR485" i="1"/>
  <c r="AR529" i="1"/>
  <c r="AR544" i="1"/>
  <c r="AR560" i="1"/>
  <c r="AR202" i="1"/>
  <c r="AR545" i="1"/>
  <c r="AR581" i="1"/>
  <c r="AR637" i="1"/>
  <c r="AR63" i="1"/>
  <c r="AR115" i="1"/>
  <c r="AR167" i="1"/>
  <c r="AR191" i="1"/>
  <c r="AR211" i="1"/>
  <c r="AR46" i="1"/>
  <c r="AR94" i="1"/>
  <c r="AR182" i="1"/>
  <c r="AR394" i="1"/>
  <c r="AR486" i="1"/>
  <c r="AR502" i="1"/>
  <c r="AR562" i="1"/>
  <c r="AR762" i="1"/>
  <c r="AR176" i="1"/>
  <c r="AR320" i="1"/>
  <c r="AR543" i="1"/>
  <c r="AR73" i="1"/>
  <c r="AR153" i="1"/>
  <c r="AR357" i="1"/>
  <c r="AR409" i="1"/>
  <c r="AR505" i="1"/>
  <c r="AR532" i="1"/>
  <c r="AR548" i="1"/>
  <c r="AR804" i="1"/>
  <c r="AR210" i="1"/>
  <c r="AR569" i="1"/>
  <c r="AR585" i="1"/>
  <c r="AR645" i="1"/>
  <c r="AR87" i="1"/>
  <c r="AR119" i="1"/>
  <c r="AR171" i="1"/>
  <c r="AR195" i="1"/>
  <c r="AR215" i="1"/>
  <c r="AR50" i="1"/>
  <c r="AR106" i="1"/>
  <c r="AR382" i="1"/>
  <c r="AR398" i="1"/>
  <c r="AR490" i="1"/>
  <c r="AR510" i="1"/>
  <c r="AR574" i="1"/>
  <c r="AR590" i="1"/>
  <c r="AR606" i="1"/>
  <c r="AR626" i="1"/>
  <c r="AR646" i="1"/>
  <c r="AR670" i="1"/>
  <c r="AR686" i="1"/>
  <c r="AR710" i="1"/>
  <c r="AR742" i="1"/>
  <c r="AR814" i="1"/>
  <c r="AR926" i="1"/>
  <c r="AR1117" i="1"/>
  <c r="AR1185" i="1"/>
  <c r="AR1316" i="1"/>
  <c r="AR1468" i="1"/>
  <c r="AR971" i="1"/>
  <c r="AR995" i="1"/>
  <c r="AR1015" i="1"/>
  <c r="AR1039" i="1"/>
  <c r="AR1055" i="1"/>
  <c r="AR1075" i="1"/>
  <c r="AR1305" i="1"/>
  <c r="AR1373" i="1"/>
  <c r="AR1453" i="1"/>
  <c r="AR235" i="1"/>
  <c r="AR251" i="1"/>
  <c r="AR267" i="1"/>
  <c r="AR283" i="1"/>
  <c r="AR323" i="1"/>
  <c r="AR339" i="1"/>
  <c r="AR367" i="1"/>
  <c r="AR391" i="1"/>
  <c r="AR411" i="1"/>
  <c r="AR431" i="1"/>
  <c r="AR463" i="1"/>
  <c r="AR487" i="1"/>
  <c r="AR795" i="1"/>
  <c r="AR939" i="1"/>
  <c r="AR7" i="1"/>
  <c r="AR531" i="1"/>
  <c r="AR555" i="1"/>
  <c r="AR603" i="1"/>
  <c r="AR863" i="1"/>
  <c r="AR879" i="1"/>
  <c r="AR895" i="1"/>
  <c r="AR1126" i="1"/>
  <c r="AR112" i="1"/>
  <c r="AR376" i="1"/>
  <c r="AR492" i="1"/>
  <c r="AR508" i="1"/>
  <c r="AR1076" i="1"/>
  <c r="AR1379" i="1"/>
  <c r="AR473" i="1"/>
  <c r="AR224" i="1"/>
  <c r="AR1287" i="1"/>
  <c r="AR198" i="1"/>
  <c r="AR230" i="1"/>
  <c r="AR250" i="1"/>
  <c r="AR270" i="1"/>
  <c r="AR310" i="1"/>
  <c r="AR326" i="1"/>
  <c r="AR346" i="1"/>
  <c r="AR362" i="1"/>
  <c r="AR402" i="1"/>
  <c r="AR418" i="1"/>
  <c r="AR434" i="1"/>
  <c r="AR458" i="1"/>
  <c r="AR514" i="1"/>
  <c r="AR978" i="1"/>
  <c r="AR998" i="1"/>
  <c r="AR1022" i="1"/>
  <c r="AR1046" i="1"/>
  <c r="AR1074" i="1"/>
  <c r="AR623" i="1"/>
  <c r="AR639" i="1"/>
  <c r="AR659" i="1"/>
  <c r="AR679" i="1"/>
  <c r="AR703" i="1"/>
  <c r="AR723" i="1"/>
  <c r="AR743" i="1"/>
  <c r="AR767" i="1"/>
  <c r="AR807" i="1"/>
  <c r="AR827" i="1"/>
  <c r="AR847" i="1"/>
  <c r="AR1227" i="1"/>
  <c r="AR1247" i="1"/>
  <c r="AR1279" i="1"/>
  <c r="AR1307" i="1"/>
  <c r="AR1331" i="1"/>
  <c r="AR232" i="1"/>
  <c r="AR356" i="1"/>
  <c r="AR988" i="1"/>
  <c r="AR1200" i="1"/>
  <c r="AR1240" i="1"/>
  <c r="AR1280" i="1"/>
  <c r="AR1029" i="1"/>
  <c r="AR1081" i="1"/>
  <c r="AR1157" i="1"/>
  <c r="AR12" i="1"/>
  <c r="AR64" i="1"/>
  <c r="AR80" i="1"/>
  <c r="AR96" i="1"/>
  <c r="AR140" i="1"/>
  <c r="AR156" i="1"/>
  <c r="AR180" i="1"/>
  <c r="AR200" i="1"/>
  <c r="AR240" i="1"/>
  <c r="AR276" i="1"/>
  <c r="AR300" i="1"/>
  <c r="AR328" i="1"/>
  <c r="AR360" i="1"/>
  <c r="AR1168" i="1"/>
  <c r="AR1204" i="1"/>
  <c r="AR1236" i="1"/>
  <c r="AR1276" i="1"/>
  <c r="AR1061" i="1"/>
  <c r="AR1129" i="1"/>
  <c r="AR1189" i="1"/>
  <c r="AR13" i="1"/>
  <c r="AR33" i="1"/>
  <c r="AR49" i="1"/>
  <c r="AR1053" i="1"/>
  <c r="AR1097" i="1"/>
  <c r="AR1149" i="1"/>
  <c r="AR420" i="1"/>
  <c r="AR440" i="1"/>
  <c r="AR456" i="1"/>
  <c r="AR580" i="1"/>
  <c r="AR596" i="1"/>
  <c r="AR620" i="1"/>
  <c r="AR652" i="1"/>
  <c r="AR676" i="1"/>
  <c r="AR692" i="1"/>
  <c r="AR712" i="1"/>
  <c r="AR728" i="1"/>
  <c r="AR744" i="1"/>
  <c r="AR760" i="1"/>
  <c r="AR780" i="1"/>
  <c r="AR796" i="1"/>
  <c r="AR820" i="1"/>
  <c r="AR848" i="1"/>
  <c r="AR868" i="1"/>
  <c r="AR884" i="1"/>
  <c r="AR900" i="1"/>
  <c r="AR916" i="1"/>
  <c r="AR932" i="1"/>
  <c r="AR952" i="1"/>
  <c r="AR976" i="1"/>
  <c r="AR996" i="1"/>
  <c r="AR1016" i="1"/>
  <c r="AR1032" i="1"/>
  <c r="AR1048" i="1"/>
  <c r="AR1072" i="1"/>
  <c r="AR1092" i="1"/>
  <c r="AR1116" i="1"/>
  <c r="AR1132" i="1"/>
  <c r="AR1148" i="1"/>
  <c r="AR1411" i="1"/>
  <c r="AR1230" i="1"/>
  <c r="AR81" i="1"/>
  <c r="AR101" i="1"/>
  <c r="AR133" i="1"/>
  <c r="AR161" i="1"/>
  <c r="AR185" i="1"/>
  <c r="AR201" i="1"/>
  <c r="AR217" i="1"/>
  <c r="AR233" i="1"/>
  <c r="AR253" i="1"/>
  <c r="AR277" i="1"/>
  <c r="AR293" i="1"/>
  <c r="AR309" i="1"/>
  <c r="AR333" i="1"/>
  <c r="AR361" i="1"/>
  <c r="AR397" i="1"/>
  <c r="AR425" i="1"/>
  <c r="AR461" i="1"/>
  <c r="AR493" i="1"/>
  <c r="AR1284" i="1"/>
  <c r="AR1308" i="1"/>
  <c r="AR1332" i="1"/>
  <c r="AR1352" i="1"/>
  <c r="AR1372" i="1"/>
  <c r="AR1396" i="1"/>
  <c r="AR1412" i="1"/>
  <c r="AR1428" i="1"/>
  <c r="AR1452" i="1"/>
  <c r="AR945" i="1"/>
  <c r="AR965" i="1"/>
  <c r="AR985" i="1"/>
  <c r="AR1001" i="1"/>
  <c r="AR1229" i="1"/>
  <c r="AR1261" i="1"/>
  <c r="AR1285" i="1"/>
  <c r="AR1317" i="1"/>
  <c r="AR1333" i="1"/>
  <c r="AR1353" i="1"/>
  <c r="AR1385" i="1"/>
  <c r="AR1405" i="1"/>
  <c r="AR1421" i="1"/>
  <c r="AR1437" i="1"/>
  <c r="AR82" i="1"/>
  <c r="AR122" i="1"/>
  <c r="AR158" i="1"/>
  <c r="AR834" i="1"/>
  <c r="AR854" i="1"/>
  <c r="AR898" i="1"/>
  <c r="AR914" i="1"/>
  <c r="AR962" i="1"/>
  <c r="AR1086" i="1"/>
  <c r="AR1102" i="1"/>
  <c r="AR1150" i="1"/>
  <c r="AR1166" i="1"/>
  <c r="AR1186" i="1"/>
  <c r="AR1210" i="1"/>
  <c r="AR1258" i="1"/>
  <c r="AR1274" i="1"/>
  <c r="AR1290" i="1"/>
  <c r="AR1306" i="1"/>
  <c r="AR1326" i="1"/>
  <c r="AR1346" i="1"/>
  <c r="AR1362" i="1"/>
  <c r="AR1378" i="1"/>
  <c r="AR1394" i="1"/>
  <c r="AR1414" i="1"/>
  <c r="AR1430" i="1"/>
  <c r="AR1450" i="1"/>
  <c r="AR1470" i="1"/>
  <c r="AR938" i="1"/>
  <c r="AR1121" i="1"/>
  <c r="AR1241" i="1"/>
  <c r="AR1380" i="1"/>
  <c r="AR959" i="1"/>
  <c r="AR975" i="1"/>
  <c r="AR1003" i="1"/>
  <c r="AR1043" i="1"/>
  <c r="AR1083" i="1"/>
  <c r="AR1309" i="1"/>
  <c r="AR1441" i="1"/>
  <c r="AR1461" i="1"/>
  <c r="AR239" i="1"/>
  <c r="AR255" i="1"/>
  <c r="AR271" i="1"/>
  <c r="AR287" i="1"/>
  <c r="AR307" i="1"/>
  <c r="AR327" i="1"/>
  <c r="AR347" i="1"/>
  <c r="AR371" i="1"/>
  <c r="AR395" i="1"/>
  <c r="AR415" i="1"/>
  <c r="AR435" i="1"/>
  <c r="AR467" i="1"/>
  <c r="AR491" i="1"/>
  <c r="AR519" i="1"/>
  <c r="AR927" i="1"/>
  <c r="AR943" i="1"/>
  <c r="AR15" i="1"/>
  <c r="AR535" i="1"/>
  <c r="AR559" i="1"/>
  <c r="AR583" i="1"/>
  <c r="AR607" i="1"/>
  <c r="AR867" i="1"/>
  <c r="AR883" i="1"/>
  <c r="AR899" i="1"/>
  <c r="AR1190" i="1"/>
  <c r="AR1383" i="1"/>
  <c r="AR116" i="1"/>
  <c r="AR512" i="1"/>
  <c r="AR1123" i="1"/>
  <c r="AR1455" i="1"/>
  <c r="AR786" i="1"/>
  <c r="AR828" i="1"/>
  <c r="AR1351" i="1"/>
  <c r="AR6" i="1"/>
  <c r="AR214" i="1"/>
  <c r="AR234" i="1"/>
  <c r="AR254" i="1"/>
  <c r="AR274" i="1"/>
  <c r="AR294" i="1"/>
  <c r="AR314" i="1"/>
  <c r="AR330" i="1"/>
  <c r="AR350" i="1"/>
  <c r="AR366" i="1"/>
  <c r="AR406" i="1"/>
  <c r="AR422" i="1"/>
  <c r="AR446" i="1"/>
  <c r="AR462" i="1"/>
  <c r="AR986" i="1"/>
  <c r="AR1002" i="1"/>
  <c r="AR1026" i="1"/>
  <c r="AR1050" i="1"/>
  <c r="AR1078" i="1"/>
  <c r="AR627" i="1"/>
  <c r="AR643" i="1"/>
  <c r="AR663" i="1"/>
  <c r="AR683" i="1"/>
  <c r="AR707" i="1"/>
  <c r="AR731" i="1"/>
  <c r="AR747" i="1"/>
  <c r="AR771" i="1"/>
  <c r="AR811" i="1"/>
  <c r="AR835" i="1"/>
  <c r="AR1231" i="1"/>
  <c r="AR1263" i="1"/>
  <c r="AR1291" i="1"/>
  <c r="AR1311" i="1"/>
  <c r="AR1339" i="1"/>
  <c r="AR324" i="1"/>
  <c r="AR1172" i="1"/>
  <c r="AR1208" i="1"/>
  <c r="AR1252" i="1"/>
  <c r="AR29" i="1"/>
  <c r="AR1045" i="1"/>
  <c r="AR1101" i="1"/>
  <c r="AR1193" i="1"/>
  <c r="AR20" i="1"/>
  <c r="AR48" i="1"/>
  <c r="AR68" i="1"/>
  <c r="AR84" i="1"/>
  <c r="AR100" i="1"/>
  <c r="AR144" i="1"/>
  <c r="AR160" i="1"/>
  <c r="AR188" i="1"/>
  <c r="AR204" i="1"/>
  <c r="AR244" i="1"/>
  <c r="AR284" i="1"/>
  <c r="AR308" i="1"/>
  <c r="AR332" i="1"/>
  <c r="AR388" i="1"/>
  <c r="AR1176" i="1"/>
  <c r="AR1212" i="1"/>
  <c r="AR1244" i="1"/>
  <c r="AR5" i="1"/>
  <c r="AR1073" i="1"/>
  <c r="AR1141" i="1"/>
  <c r="AR1201" i="1"/>
  <c r="AR17" i="1"/>
  <c r="AR37" i="1"/>
  <c r="AR61" i="1"/>
  <c r="AR1065" i="1"/>
  <c r="AR1109" i="1"/>
  <c r="AR1161" i="1"/>
  <c r="AR404" i="1"/>
  <c r="AR428" i="1"/>
  <c r="AR444" i="1"/>
  <c r="AR460" i="1"/>
  <c r="AR520" i="1"/>
  <c r="AR584" i="1"/>
  <c r="AR604" i="1"/>
  <c r="AR624" i="1"/>
  <c r="AR640" i="1"/>
  <c r="AR656" i="1"/>
  <c r="AR680" i="1"/>
  <c r="AR696" i="1"/>
  <c r="AR716" i="1"/>
  <c r="AR732" i="1"/>
  <c r="AR748" i="1"/>
  <c r="AR768" i="1"/>
  <c r="AR784" i="1"/>
  <c r="AR808" i="1"/>
  <c r="AR824" i="1"/>
  <c r="AR872" i="1"/>
  <c r="AR888" i="1"/>
  <c r="AR904" i="1"/>
  <c r="AR920" i="1"/>
  <c r="AR936" i="1"/>
  <c r="AR960" i="1"/>
  <c r="AR980" i="1"/>
  <c r="AR1000" i="1"/>
  <c r="AR1020" i="1"/>
  <c r="AR1036" i="1"/>
  <c r="AR1056" i="1"/>
  <c r="AR1080" i="1"/>
  <c r="AR1096" i="1"/>
  <c r="AR1120" i="1"/>
  <c r="AR1136" i="1"/>
  <c r="AR1152" i="1"/>
  <c r="AR78" i="1"/>
  <c r="AR1234" i="1"/>
  <c r="AR85" i="1"/>
  <c r="AR117" i="1"/>
  <c r="AR141" i="1"/>
  <c r="AR165" i="1"/>
  <c r="AR189" i="1"/>
  <c r="AR205" i="1"/>
  <c r="AR221" i="1"/>
  <c r="AR237" i="1"/>
  <c r="AR257" i="1"/>
  <c r="AR281" i="1"/>
  <c r="AR297" i="1"/>
  <c r="AR313" i="1"/>
  <c r="AR337" i="1"/>
  <c r="AR369" i="1"/>
  <c r="AR405" i="1"/>
  <c r="AR429" i="1"/>
  <c r="AR469" i="1"/>
  <c r="AR501" i="1"/>
  <c r="AR1288" i="1"/>
  <c r="AR1312" i="1"/>
  <c r="AR1336" i="1"/>
  <c r="AR1360" i="1"/>
  <c r="AR1376" i="1"/>
  <c r="AR1400" i="1"/>
  <c r="AR1416" i="1"/>
  <c r="AR1432" i="1"/>
  <c r="AR1464" i="1"/>
  <c r="AR953" i="1"/>
  <c r="AR969" i="1"/>
  <c r="AR989" i="1"/>
  <c r="AR1005" i="1"/>
  <c r="AR1233" i="1"/>
  <c r="AR1265" i="1"/>
  <c r="AR1289" i="1"/>
  <c r="AR1321" i="1"/>
  <c r="AR1337" i="1"/>
  <c r="AR1357" i="1"/>
  <c r="AR1389" i="1"/>
  <c r="AR1409" i="1"/>
  <c r="AR1425" i="1"/>
  <c r="AR1457" i="1"/>
  <c r="AR98" i="1"/>
  <c r="AR146" i="1"/>
  <c r="AR162" i="1"/>
  <c r="AR842" i="1"/>
  <c r="AR858" i="1"/>
  <c r="AR882" i="1"/>
  <c r="AR902" i="1"/>
  <c r="AR918" i="1"/>
  <c r="AR966" i="1"/>
  <c r="AR1090" i="1"/>
  <c r="AR1106" i="1"/>
  <c r="AR1134" i="1"/>
  <c r="AR1154" i="1"/>
  <c r="AR1214" i="1"/>
  <c r="AR1262" i="1"/>
  <c r="AR1278" i="1"/>
  <c r="AR1294" i="1"/>
  <c r="AR1310" i="1"/>
  <c r="AR1330" i="1"/>
  <c r="AR1350" i="1"/>
  <c r="AR1366" i="1"/>
  <c r="AR1382" i="1"/>
  <c r="AR1402" i="1"/>
  <c r="AR1418" i="1"/>
  <c r="AR1434" i="1"/>
  <c r="AR1458" i="1"/>
  <c r="AR730" i="1"/>
  <c r="AR774" i="1"/>
  <c r="AR248" i="1"/>
  <c r="AR280" i="1"/>
  <c r="AR524" i="1"/>
  <c r="AR567" i="1"/>
  <c r="AR137" i="1"/>
  <c r="AR345" i="1"/>
  <c r="AR385" i="1"/>
  <c r="AR453" i="1"/>
  <c r="AR517" i="1"/>
  <c r="AR540" i="1"/>
  <c r="AR556" i="1"/>
  <c r="AR178" i="1"/>
  <c r="AR537" i="1"/>
  <c r="AR577" i="1"/>
  <c r="AR629" i="1"/>
  <c r="AR39" i="1"/>
  <c r="AR103" i="1"/>
  <c r="AR139" i="1"/>
  <c r="AR187" i="1"/>
  <c r="AR203" i="1"/>
  <c r="AR227" i="1"/>
  <c r="AR90" i="1"/>
  <c r="AR130" i="1"/>
  <c r="AR390" i="1"/>
  <c r="AR478" i="1"/>
  <c r="AR546" i="1"/>
  <c r="AR582" i="1"/>
  <c r="AR598" i="1"/>
  <c r="AR618" i="1"/>
  <c r="AR634" i="1"/>
  <c r="AR654" i="1"/>
  <c r="AR678" i="1"/>
  <c r="AR698" i="1"/>
  <c r="AR726" i="1"/>
  <c r="AR806" i="1"/>
  <c r="AR822" i="1"/>
  <c r="AR946" i="1"/>
  <c r="AR1177" i="1"/>
  <c r="AR1245" i="1"/>
  <c r="AR1456" i="1"/>
  <c r="AR963" i="1"/>
  <c r="AR979" i="1"/>
  <c r="AR1007" i="1"/>
  <c r="AR1027" i="1"/>
  <c r="AR1047" i="1"/>
  <c r="AR1067" i="1"/>
  <c r="AR1110" i="1"/>
  <c r="AR1313" i="1"/>
  <c r="AR1445" i="1"/>
  <c r="AR1465" i="1"/>
  <c r="AR243" i="1"/>
  <c r="AR259" i="1"/>
  <c r="AR275" i="1"/>
  <c r="AR291" i="1"/>
  <c r="AR311" i="1"/>
  <c r="AR331" i="1"/>
  <c r="AR355" i="1"/>
  <c r="AR375" i="1"/>
  <c r="AR399" i="1"/>
  <c r="AR419" i="1"/>
  <c r="AR443" i="1"/>
  <c r="AR475" i="1"/>
  <c r="AR495" i="1"/>
  <c r="AR523" i="1"/>
  <c r="AR947" i="1"/>
  <c r="AR27" i="1"/>
  <c r="AR539" i="1"/>
  <c r="AR563" i="1"/>
  <c r="AR595" i="1"/>
  <c r="AR611" i="1"/>
  <c r="AR871" i="1"/>
  <c r="AR887" i="1"/>
  <c r="AR903" i="1"/>
  <c r="AR1254" i="1"/>
  <c r="AR513" i="1"/>
  <c r="AR120" i="1"/>
  <c r="AR480" i="1"/>
  <c r="AR500" i="1"/>
  <c r="AR860" i="1"/>
  <c r="AR1127" i="1"/>
  <c r="AR381" i="1"/>
  <c r="AR55" i="1"/>
  <c r="AR1052" i="1"/>
  <c r="AR617" i="1"/>
  <c r="AR186" i="1"/>
  <c r="AR222" i="1"/>
  <c r="AR242" i="1"/>
  <c r="AR278" i="1"/>
  <c r="AR302" i="1"/>
  <c r="AR318" i="1"/>
  <c r="AR334" i="1"/>
  <c r="AR354" i="1"/>
  <c r="AR374" i="1"/>
  <c r="AR410" i="1"/>
  <c r="AR426" i="1"/>
  <c r="AR450" i="1"/>
  <c r="AR466" i="1"/>
  <c r="AR522" i="1"/>
  <c r="AR990" i="1"/>
  <c r="AR1030" i="1"/>
  <c r="AR1054" i="1"/>
  <c r="AR1082" i="1"/>
  <c r="AR631" i="1"/>
  <c r="AR651" i="1"/>
  <c r="AR687" i="1"/>
  <c r="AR715" i="1"/>
  <c r="AR735" i="1"/>
  <c r="AR755" i="1"/>
  <c r="AR775" i="1"/>
  <c r="AR819" i="1"/>
  <c r="AR839" i="1"/>
  <c r="AR1159" i="1"/>
  <c r="AR1235" i="1"/>
  <c r="AR1267" i="1"/>
  <c r="AR1295" i="1"/>
  <c r="AR1323" i="1"/>
  <c r="AR1343" i="1"/>
  <c r="AR340" i="1"/>
  <c r="AR392" i="1"/>
  <c r="AR1216" i="1"/>
  <c r="AR1260" i="1"/>
  <c r="AR1057" i="1"/>
  <c r="AR1133" i="1"/>
  <c r="AR1205" i="1"/>
  <c r="AR24" i="1"/>
  <c r="AR56" i="1"/>
  <c r="AR72" i="1"/>
  <c r="AR132" i="1"/>
  <c r="AR148" i="1"/>
  <c r="AR164" i="1"/>
  <c r="AR192" i="1"/>
  <c r="AR220" i="1"/>
  <c r="AR260" i="1"/>
  <c r="AR292" i="1"/>
  <c r="AR312" i="1"/>
  <c r="AR344" i="1"/>
  <c r="AR396" i="1"/>
  <c r="AR1184" i="1"/>
  <c r="AR1220" i="1"/>
  <c r="AR1256" i="1"/>
  <c r="AR1021" i="1"/>
  <c r="AR1093" i="1"/>
  <c r="AR1153" i="1"/>
  <c r="AR1213" i="1"/>
  <c r="AR21" i="1"/>
  <c r="AR41" i="1"/>
  <c r="AR1025" i="1"/>
  <c r="AR1077" i="1"/>
  <c r="AR1125" i="1"/>
  <c r="AR1197" i="1"/>
  <c r="AR408" i="1"/>
  <c r="AR432" i="1"/>
  <c r="AR448" i="1"/>
  <c r="AR464" i="1"/>
  <c r="AR572" i="1"/>
  <c r="AR588" i="1"/>
  <c r="AR608" i="1"/>
  <c r="AR628" i="1"/>
  <c r="AR644" i="1"/>
  <c r="AR684" i="1"/>
  <c r="AR700" i="1"/>
  <c r="AR752" i="1"/>
  <c r="AR772" i="1"/>
  <c r="AR788" i="1"/>
  <c r="AR812" i="1"/>
  <c r="AR832" i="1"/>
  <c r="AR856" i="1"/>
  <c r="AR876" i="1"/>
  <c r="AR892" i="1"/>
  <c r="AR908" i="1"/>
  <c r="AR924" i="1"/>
  <c r="AR940" i="1"/>
  <c r="AR964" i="1"/>
  <c r="AR984" i="1"/>
  <c r="AR1004" i="1"/>
  <c r="AR1024" i="1"/>
  <c r="AR1040" i="1"/>
  <c r="AR1064" i="1"/>
  <c r="AR1084" i="1"/>
  <c r="AR1100" i="1"/>
  <c r="AR1140" i="1"/>
  <c r="AR1156" i="1"/>
  <c r="AR1222" i="1"/>
  <c r="AR1242" i="1"/>
  <c r="AR93" i="1"/>
  <c r="AR121" i="1"/>
  <c r="AR149" i="1"/>
  <c r="AR177" i="1"/>
  <c r="AR193" i="1"/>
  <c r="AR209" i="1"/>
  <c r="AR225" i="1"/>
  <c r="AR245" i="1"/>
  <c r="AR265" i="1"/>
  <c r="AR285" i="1"/>
  <c r="AR301" i="1"/>
  <c r="AR317" i="1"/>
  <c r="AR341" i="1"/>
  <c r="AR373" i="1"/>
  <c r="AR413" i="1"/>
  <c r="AR433" i="1"/>
  <c r="AR477" i="1"/>
  <c r="AR521" i="1"/>
  <c r="AR1296" i="1"/>
  <c r="AR1320" i="1"/>
  <c r="AR1344" i="1"/>
  <c r="AR1364" i="1"/>
  <c r="AR1420" i="1"/>
  <c r="AR1436" i="1"/>
  <c r="AR957" i="1"/>
  <c r="AR973" i="1"/>
  <c r="AR993" i="1"/>
  <c r="AR1013" i="1"/>
  <c r="AR1237" i="1"/>
  <c r="AR1269" i="1"/>
  <c r="AR1297" i="1"/>
  <c r="AR1325" i="1"/>
  <c r="AR1361" i="1"/>
  <c r="AR1413" i="1"/>
  <c r="AR1429" i="1"/>
  <c r="AR114" i="1"/>
  <c r="AR150" i="1"/>
  <c r="AR166" i="1"/>
  <c r="AR846" i="1"/>
  <c r="AR886" i="1"/>
  <c r="AR906" i="1"/>
  <c r="AR922" i="1"/>
  <c r="AR970" i="1"/>
  <c r="AR1094" i="1"/>
  <c r="AR1118" i="1"/>
  <c r="AR1142" i="1"/>
  <c r="AR1158" i="1"/>
  <c r="AR1178" i="1"/>
  <c r="AR1198" i="1"/>
  <c r="AR1218" i="1"/>
  <c r="AR1266" i="1"/>
  <c r="AR1282" i="1"/>
  <c r="AR1298" i="1"/>
  <c r="AR1318" i="1"/>
  <c r="AR1338" i="1"/>
  <c r="AR1354" i="1"/>
  <c r="AR1370" i="1"/>
  <c r="AR1386" i="1"/>
  <c r="AR1406" i="1"/>
  <c r="AR1422" i="1"/>
  <c r="AR1462" i="1"/>
  <c r="AR586" i="1"/>
  <c r="AR602" i="1"/>
  <c r="AR622" i="1"/>
  <c r="AR642" i="1"/>
  <c r="AR666" i="1"/>
  <c r="AR682" i="1"/>
  <c r="AR706" i="1"/>
  <c r="AR738" i="1"/>
  <c r="AR810" i="1"/>
  <c r="AR826" i="1"/>
  <c r="AR950" i="1"/>
  <c r="AR1181" i="1"/>
  <c r="AR1249" i="1"/>
  <c r="AR1460" i="1"/>
  <c r="AR967" i="1"/>
  <c r="AR991" i="1"/>
  <c r="AR1011" i="1"/>
  <c r="AR1031" i="1"/>
  <c r="AR1051" i="1"/>
  <c r="AR1071" i="1"/>
  <c r="AR1174" i="1"/>
  <c r="AR1369" i="1"/>
  <c r="AR1449" i="1"/>
  <c r="AR1469" i="1"/>
  <c r="AR247" i="1"/>
  <c r="AR263" i="1"/>
  <c r="AR279" i="1"/>
  <c r="AR299" i="1"/>
  <c r="AR315" i="1"/>
  <c r="AR335" i="1"/>
  <c r="AR363" i="1"/>
  <c r="AR379" i="1"/>
  <c r="AR403" i="1"/>
  <c r="AR427" i="1"/>
  <c r="AR451" i="1"/>
  <c r="AR483" i="1"/>
  <c r="AR499" i="1"/>
  <c r="AR787" i="1"/>
  <c r="AR935" i="1"/>
  <c r="AR547" i="1"/>
  <c r="AR571" i="1"/>
  <c r="AR599" i="1"/>
  <c r="AR615" i="1"/>
  <c r="AR875" i="1"/>
  <c r="AR907" i="1"/>
  <c r="AR951" i="1"/>
  <c r="AR1187" i="1"/>
  <c r="AR108" i="1"/>
  <c r="AR172" i="1"/>
  <c r="AR488" i="1"/>
  <c r="AR504" i="1"/>
  <c r="AR956" i="1"/>
  <c r="AR1255" i="1"/>
  <c r="AR105" i="1"/>
  <c r="AR1191" i="1"/>
  <c r="AR1223" i="1"/>
  <c r="AR190" i="1"/>
  <c r="AR226" i="1"/>
  <c r="AR246" i="1"/>
  <c r="AR262" i="1"/>
  <c r="AR282" i="1"/>
  <c r="AR306" i="1"/>
  <c r="AR322" i="1"/>
  <c r="AR342" i="1"/>
  <c r="AR358" i="1"/>
  <c r="AR378" i="1"/>
  <c r="AR414" i="1"/>
  <c r="AR430" i="1"/>
  <c r="AR454" i="1"/>
  <c r="AR470" i="1"/>
  <c r="AR554" i="1"/>
  <c r="AR994" i="1"/>
  <c r="AR1010" i="1"/>
  <c r="AR1042" i="1"/>
  <c r="AR1066" i="1"/>
  <c r="AR619" i="1"/>
  <c r="AR635" i="1"/>
  <c r="AR655" i="1"/>
  <c r="AR699" i="1"/>
  <c r="AR719" i="1"/>
  <c r="AR739" i="1"/>
  <c r="AR759" i="1"/>
  <c r="AR823" i="1"/>
  <c r="AR843" i="1"/>
  <c r="AR1219" i="1"/>
  <c r="AR1243" i="1"/>
  <c r="AR1271" i="1"/>
  <c r="AR1303" i="1"/>
  <c r="AR1327" i="1"/>
  <c r="AR1347" i="1"/>
  <c r="AR348" i="1"/>
  <c r="AR400" i="1"/>
  <c r="AR1192" i="1"/>
  <c r="AR1272" i="1"/>
  <c r="AR1017" i="1"/>
  <c r="AR1069" i="1"/>
  <c r="AR1145" i="1"/>
  <c r="AR1217" i="1"/>
  <c r="AR32" i="1"/>
  <c r="AR60" i="1"/>
  <c r="AR76" i="1"/>
  <c r="AR92" i="1"/>
  <c r="AR136" i="1"/>
  <c r="AR152" i="1"/>
  <c r="AR168" i="1"/>
  <c r="AR196" i="1"/>
  <c r="AR228" i="1"/>
  <c r="AR268" i="1"/>
  <c r="AR296" i="1"/>
  <c r="AR316" i="1"/>
  <c r="AR352" i="1"/>
  <c r="AR1160" i="1"/>
  <c r="AR1196" i="1"/>
  <c r="AR1228" i="1"/>
  <c r="AR1268" i="1"/>
  <c r="AR1049" i="1"/>
  <c r="AR1105" i="1"/>
  <c r="AR1165" i="1"/>
  <c r="AR9" i="1"/>
  <c r="AR25" i="1"/>
  <c r="AR45" i="1"/>
  <c r="AR1037" i="1"/>
  <c r="AR1137" i="1"/>
  <c r="AR1209" i="1"/>
  <c r="AR412" i="1"/>
  <c r="AR436" i="1"/>
  <c r="AR452" i="1"/>
  <c r="AR468" i="1"/>
  <c r="AR576" i="1"/>
  <c r="AR592" i="1"/>
  <c r="AR612" i="1"/>
  <c r="AR632" i="1"/>
  <c r="AR648" i="1"/>
  <c r="AR672" i="1"/>
  <c r="AR704" i="1"/>
  <c r="AR724" i="1"/>
  <c r="AR740" i="1"/>
  <c r="AR756" i="1"/>
  <c r="AR776" i="1"/>
  <c r="AR792" i="1"/>
  <c r="AR816" i="1"/>
  <c r="AR836" i="1"/>
  <c r="AR864" i="1"/>
  <c r="AR880" i="1"/>
  <c r="AR896" i="1"/>
  <c r="AR912" i="1"/>
  <c r="AR928" i="1"/>
  <c r="AR944" i="1"/>
  <c r="AR972" i="1"/>
  <c r="AR992" i="1"/>
  <c r="AR1012" i="1"/>
  <c r="AR1028" i="1"/>
  <c r="AR1044" i="1"/>
  <c r="AR1068" i="1"/>
  <c r="AR1088" i="1"/>
  <c r="AR1128" i="1"/>
  <c r="AR1226" i="1"/>
  <c r="AR1246" i="1"/>
  <c r="AR97" i="1"/>
  <c r="AR125" i="1"/>
  <c r="AR157" i="1"/>
  <c r="AR181" i="1"/>
  <c r="AR213" i="1"/>
  <c r="AR229" i="1"/>
  <c r="AR249" i="1"/>
  <c r="AR269" i="1"/>
  <c r="AR289" i="1"/>
  <c r="AR305" i="1"/>
  <c r="AR321" i="1"/>
  <c r="AR353" i="1"/>
  <c r="AR393" i="1"/>
  <c r="AR421" i="1"/>
  <c r="AR457" i="1"/>
  <c r="AR489" i="1"/>
  <c r="AR525" i="1"/>
  <c r="AR1304" i="1"/>
  <c r="AR1324" i="1"/>
  <c r="AR1348" i="1"/>
  <c r="AR1368" i="1"/>
  <c r="AR1408" i="1"/>
  <c r="AR1424" i="1"/>
  <c r="AR1448" i="1"/>
  <c r="AR961" i="1"/>
  <c r="AR981" i="1"/>
  <c r="AR997" i="1"/>
  <c r="AR1221" i="1"/>
  <c r="AR1253" i="1"/>
  <c r="AR1277" i="1"/>
  <c r="AR1301" i="1"/>
  <c r="AR1329" i="1"/>
  <c r="AR1349" i="1"/>
  <c r="AR1365" i="1"/>
  <c r="AR1401" i="1"/>
  <c r="AR1417" i="1"/>
  <c r="AR1433" i="1"/>
  <c r="AR118" i="1"/>
  <c r="AR170" i="1"/>
  <c r="AR850" i="1"/>
  <c r="AR874" i="1"/>
  <c r="AR890" i="1"/>
  <c r="AR910" i="1"/>
  <c r="AR958" i="1"/>
  <c r="AR974" i="1"/>
  <c r="AR1098" i="1"/>
  <c r="AR1122" i="1"/>
  <c r="AR1146" i="1"/>
  <c r="AR1162" i="1"/>
  <c r="AR1182" i="1"/>
  <c r="AR1202" i="1"/>
  <c r="AR1250" i="1"/>
  <c r="AR1270" i="1"/>
  <c r="AR1286" i="1"/>
  <c r="AR1302" i="1"/>
  <c r="AR1322" i="1"/>
  <c r="AR1342" i="1"/>
  <c r="AR1358" i="1"/>
  <c r="AR1374" i="1"/>
  <c r="AR1390" i="1"/>
  <c r="AR1410" i="1"/>
  <c r="AR1426" i="1"/>
  <c r="AR1442" i="1"/>
  <c r="AR1466" i="1"/>
  <c r="BO17" i="2"/>
  <c r="BP17" i="2"/>
  <c r="BQ9" i="2"/>
  <c r="BQ11"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<sst xmlns="http://schemas.openxmlformats.org/spreadsheetml/2006/main" count="13494" uniqueCount="141">
  <si>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</si>
  <si>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</si>
  <si>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</si>
  <si>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</si>
  <si>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</si>
  <si>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</si>
  <si>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</si>
  <si>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</si>
  <si>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</si>
  <si>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</si>
  <si>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</si>
  <si>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</si>
  <si>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</si>
  <si>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</si>
  <si>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</si>
  <si>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</si>
  <si>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</si>
  <si>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</si>
  <si>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</si>
  <si>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</si>
  <si>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</si>
  <si>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</si>
  <si>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</si>
  <si>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</si>
  <si>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</si>
  <si>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</si>
  <si>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</si>
  <si>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</si>
  <si>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</si>
  <si>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</si>
  <si>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</si>
  <si>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</si>
  <si>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</si>
  <si>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</si>
  <si>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</si>
  <si>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</si>
  <si>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</si>
  <si>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</si>
  <si>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</si>
  <si>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</si>
  <si>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</si>
  <si>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</si>
  <si>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</si>
  <si>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</si>
  <si>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</si>
  <si>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</si>
  <si>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</si>
  <si>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</si>
  <si>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</si>
  <si>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</si>
  <si>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</si>
  <si>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</si>
  <si>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</si>
  <si>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</si>
  <si>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</si>
  <si>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</si>
  <si>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</si>
  <si>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</si>
  <si>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</si>
  <si>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</si>
  <si>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</si>
  <si>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</si>
  <si>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Attrition_Flag</t>
  </si>
  <si>
    <t>Row Labels</t>
  </si>
  <si>
    <t>Grand Total</t>
  </si>
  <si>
    <t>Sum of EmployeeNumber</t>
  </si>
  <si>
    <t>Count of EmployeeNumber</t>
  </si>
  <si>
    <t>Average of Attrition_Flag</t>
  </si>
  <si>
    <t>Employees Left</t>
  </si>
  <si>
    <t>Overall attrition rate</t>
  </si>
  <si>
    <t>Atrrition</t>
  </si>
  <si>
    <t>KPI</t>
  </si>
  <si>
    <t>Attrition Rate</t>
  </si>
  <si>
    <t>No. of  Employees</t>
  </si>
  <si>
    <t>Employee Left</t>
  </si>
  <si>
    <t>Job Roles with Highest Turnover</t>
  </si>
  <si>
    <t>Departments with Highest Turnover</t>
  </si>
  <si>
    <t>Departments</t>
  </si>
  <si>
    <t>Roles</t>
  </si>
  <si>
    <t>Deaprtments</t>
  </si>
  <si>
    <t>Overtime</t>
  </si>
  <si>
    <t>No. of Employees</t>
  </si>
  <si>
    <t>Employees</t>
  </si>
  <si>
    <t>Attrition is  higher among employees who work overtime</t>
  </si>
  <si>
    <t>IncomeBand</t>
  </si>
  <si>
    <t>High</t>
  </si>
  <si>
    <t>Low</t>
  </si>
  <si>
    <t>Income Band</t>
  </si>
  <si>
    <t>Lower paid employees are more likely to leave</t>
  </si>
  <si>
    <t>Age_Group</t>
  </si>
  <si>
    <t>18-24</t>
  </si>
  <si>
    <t>25-34</t>
  </si>
  <si>
    <t>35-44</t>
  </si>
  <si>
    <t>45-54</t>
  </si>
  <si>
    <t>55+</t>
  </si>
  <si>
    <t>Age Group</t>
  </si>
  <si>
    <t>Younger employees are generally leaving more frequently</t>
  </si>
  <si>
    <t>Job_Satisfaction_Label</t>
  </si>
  <si>
    <t>No. of EMployees</t>
  </si>
  <si>
    <t>Job Satisfaction</t>
  </si>
  <si>
    <t>Attrition_Risk_Score</t>
  </si>
  <si>
    <t>Attrition_Risk_Level</t>
  </si>
  <si>
    <t>Medium</t>
  </si>
  <si>
    <t>Current Employees</t>
  </si>
  <si>
    <t>Risk Level</t>
  </si>
  <si>
    <t>0 - 4000: Very Low</t>
  </si>
  <si>
    <t>4001 - 8000: Low-Earners</t>
  </si>
  <si>
    <t>8001 - 12000: Moderate Earners</t>
  </si>
  <si>
    <t>12001 - 16000: High</t>
  </si>
  <si>
    <t>16001 &gt; : Very High</t>
  </si>
  <si>
    <t>Very Satisfied</t>
  </si>
  <si>
    <t>Dissatisfied</t>
  </si>
  <si>
    <t>Satisfied</t>
  </si>
  <si>
    <t>Very Dissatisfied</t>
  </si>
  <si>
    <t>Very Low Income</t>
  </si>
  <si>
    <t>Moderate Income</t>
  </si>
  <si>
    <t>Low Income</t>
  </si>
  <si>
    <t>High Income</t>
  </si>
  <si>
    <t>Very High Income</t>
  </si>
  <si>
    <t>Q1. What is the overall attrition rate?</t>
  </si>
  <si>
    <t>Q2a.Which departments have the highest turnover?</t>
  </si>
  <si>
    <t>Q2b.Which job roles have the highest turnover?</t>
  </si>
  <si>
    <t>Q3. Does overtime work correlate with attrition?</t>
  </si>
  <si>
    <t>Q4. How does salary influence employee exit?</t>
  </si>
  <si>
    <t>Q5. Are younger employees leaving more frequently?</t>
  </si>
  <si>
    <t>High turnover for employees with a low job satisfaction</t>
  </si>
  <si>
    <t>Q6. What is the relationship between JobSatisfaction and Attrition?</t>
  </si>
  <si>
    <t>Q7. Which employees are most at risk in the next 6 months?</t>
  </si>
  <si>
    <t>A</t>
  </si>
  <si>
    <t>B</t>
  </si>
  <si>
    <t>Gauge Part</t>
  </si>
  <si>
    <t>Value</t>
  </si>
  <si>
    <t>Remaining</t>
  </si>
  <si>
    <t>Hidden</t>
  </si>
  <si>
    <t>Risk Score</t>
  </si>
  <si>
    <t>EnvironmentSatisfactionLabel</t>
  </si>
  <si>
    <t>PercentSalaryHikeGroup</t>
  </si>
  <si>
    <t>Risk_Sort_Key</t>
  </si>
  <si>
    <t>Max. of Risk_Sort_Key</t>
  </si>
  <si>
    <t>Average of MonthlyIncome</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</si>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</sst>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quot;£&quot;* #,##0.00_-;_-&quot;£&quot;* &quot;-&quot;??_-;_-@_-"/>
    <numFmt numFmtId="164" formatCode="0.0%"/>
    <numFmt numFmtId="165" formatCode="_-* #,##0_-;\-* #,##0_-;_-* &quot;-&quot;??_-;_-@_-"/>
  </numFmts>
  <fonts count="2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ptos Display"/>
      <family val="2"/>
      <scheme val="major"/>
    </font>
    <font>
      <sz val="10"/>
      <color theme="1"/>
      <name val="Arial Unicode MS"/>
    </font>
    <font>
      <b/>
      <sz val="11"/>
      <color rgb="FFF62212"/>
      <name val="Aptos Narrow"/>
      <family val="2"/>
      <scheme val="minor"/>
    </font>
    <font>
      <sz val="11"/>
      <color theme="4"/>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5"/>
        <bgColor indexed="64"/>
      </patternFill>
    </fill>
    <fill>
      <patternFill patternType="solid">
        <fgColor rgb="FF0F5B7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33" borderId="0" xfId="0" applyFill="1"/>
    <xf numFmtId="0" fontId="17" fillId="33" borderId="0" xfId="0" applyFont="1" applyFill="1"/>
    <xf numFmtId="165" fontId="0" fillId="0" borderId="0" xfId="0" applyNumberFormat="1"/>
    <xf numFmtId="0" fontId="17" fillId="33" borderId="0" xfId="0" applyFont="1" applyFill="1" applyAlignment="1">
      <alignment horizontal="left"/>
    </xf>
    <xf numFmtId="0" fontId="13" fillId="34" borderId="0" xfId="0" applyFont="1" applyFill="1"/>
    <xf numFmtId="0" fontId="18" fillId="0" borderId="0" xfId="0" applyFont="1"/>
    <xf numFmtId="164" fontId="0" fillId="0" borderId="0" xfId="1" applyNumberFormat="1" applyFont="1"/>
    <xf numFmtId="0" fontId="16" fillId="0" borderId="0" xfId="0" applyFont="1" applyAlignment="1">
      <alignment horizontal="center" vertical="center" wrapText="1"/>
    </xf>
    <xf numFmtId="0" fontId="0" fillId="0" borderId="0" xfId="0" applyAlignment="1">
      <alignment horizontal="right" vertical="center" wrapText="1"/>
    </xf>
    <xf numFmtId="0" fontId="16" fillId="0" borderId="0" xfId="0" applyFont="1" applyAlignment="1">
      <alignment horizontal="right" vertical="center" wrapText="1"/>
    </xf>
    <xf numFmtId="0" fontId="0" fillId="0" borderId="0" xfId="0" applyAlignment="1">
      <alignment vertical="center" wrapText="1"/>
    </xf>
    <xf numFmtId="9" fontId="19" fillId="0" borderId="0" xfId="1" applyFont="1" applyAlignment="1">
      <alignment horizontal="right" vertical="center" wrapText="1"/>
    </xf>
    <xf numFmtId="10" fontId="19" fillId="0" borderId="0" xfId="1" applyNumberFormat="1" applyFont="1" applyAlignment="1">
      <alignment horizontal="right" vertical="center" wrapText="1"/>
    </xf>
    <xf numFmtId="10" fontId="19" fillId="0" borderId="0" xfId="0" applyNumberFormat="1" applyFont="1" applyAlignment="1">
      <alignment horizontal="right" vertical="center" wrapText="1"/>
    </xf>
    <xf numFmtId="0" fontId="13" fillId="0" borderId="0" xfId="0" pivotButton="1" applyFont="1"/>
    <xf numFmtId="0" fontId="13" fillId="0" borderId="0" xfId="0" applyFont="1"/>
    <xf numFmtId="0" fontId="17" fillId="0" borderId="0" xfId="0" pivotButton="1" applyFont="1"/>
    <xf numFmtId="0" fontId="0" fillId="0" borderId="0" xfId="0" applyAlignment="1">
      <alignment horizontal="center"/>
    </xf>
    <xf numFmtId="0" fontId="17" fillId="0" borderId="0" xfId="0" applyFont="1"/>
    <xf numFmtId="0" fontId="21" fillId="35" borderId="0" xfId="0" applyFont="1" applyFill="1"/>
    <xf numFmtId="1" fontId="0" fillId="0" borderId="0" xfId="0" applyNumberFormat="1"/>
    <xf numFmtId="44" fontId="0" fillId="0" borderId="0" xfId="0" applyNumberFormat="1"/>
    <xf numFmtId="0" fontId="0" fillId="0" borderId="0" xfId="0" applyNumberFormat="1"/>
    <xf numFmtId="0" fontId="13" fillId="0" borderId="0" xfId="0" applyFont="1" applyFill="1"/>
    <xf numFmtId="0" fontId="20" fillId="0" borderId="0" xfId="0" applyNumberFormat="1" applyFont="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 cent" xfId="1" builtinId="5"/>
    <cellStyle name="Title" xfId="2" builtinId="15" customBuiltin="1"/>
    <cellStyle name="Total" xfId="18" builtinId="25" customBuiltin="1"/>
    <cellStyle name="Warning Text" xfId="15" builtinId="11" customBuiltin="1"/>
  </cellStyles>
  <dxfs count="3213">
    <dxf>
      <numFmt numFmtId="167" formatCode="_-* #,##0.0_-;\-* #,##0.0_-;_-* &quot;-&quot;??_-;_-@_-"/>
    </dxf>
    <dxf>
      <numFmt numFmtId="165" formatCode="_-* #,##0_-;\-* #,##0_-;_-* &quot;-&quot;??_-;_-@_-"/>
    </dxf>
    <dxf>
      <numFmt numFmtId="35" formatCode="_-* #,##0.00_-;\-* #,##0.00_-;_-* &quot;-&quot;??_-;_-@_-"/>
    </dxf>
    <dxf>
      <numFmt numFmtId="166" formatCode="_-* #,##0.000_-;\-* #,##0.000_-;_-* &quot;-&quot;??_-;_-@_-"/>
    </dxf>
    <dxf>
      <numFmt numFmtId="35" formatCode="_-* #,##0.00_-;\-* #,##0.00_-;_-* &quot;-&quot;??_-;_-@_-"/>
    </dxf>
    <dxf>
      <numFmt numFmtId="1" formatCode="0"/>
    </dxf>
    <dxf>
      <numFmt numFmtId="2" formatCode="0.00"/>
    </dxf>
    <dxf>
      <numFmt numFmtId="1" formatCode="0"/>
    </dxf>
    <dxf>
      <numFmt numFmtId="34" formatCode="_-&quot;£&quot;* #,##0.00_-;\-&quot;£&quot;* #,##0.00_-;_-&quot;£&quot;* &quot;-&quot;??_-;_-@_-"/>
    </dxf>
    <dxf>
      <numFmt numFmtId="14" formatCode="0.00%"/>
    </dxf>
    <dxf>
      <numFmt numFmtId="14" formatCode="0.00%"/>
    </dxf>
    <dxf>
      <numFmt numFmtId="14" formatCode="0.00%"/>
    </dxf>
    <dxf>
      <numFmt numFmtId="14" formatCode="0.00%"/>
    </dxf>
    <dxf>
      <numFmt numFmtId="165" formatCode="_-* #,##0_-;\-* #,##0_-;_-* &quot;-&quot;??_-;_-@_-"/>
    </dxf>
    <dxf>
      <numFmt numFmtId="14" formatCode="0.00%"/>
    </dxf>
    <dxf>
      <numFmt numFmtId="14" formatCode="0.00%"/>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2" formatCode="0.00"/>
    </dxf>
    <dxf>
      <numFmt numFmtId="0" formatCode="General"/>
    </dxf>
    <dxf>
      <numFmt numFmtId="0" formatCode="General"/>
    </dxf>
    <dxf>
      <numFmt numFmtId="1" formatCode="0"/>
    </dxf>
    <dxf>
      <numFmt numFmtId="2" formatCode="0.00"/>
    </dxf>
    <dxf>
      <numFmt numFmtId="1" formatCode="0"/>
    </dxf>
    <dxf>
      <numFmt numFmtId="34" formatCode="_-&quot;£&quot;* #,##0.00_-;\-&quot;£&quot;* #,##0.00_-;_-&quot;£&quot;* &quot;-&quot;??_-;_-@_-"/>
    </dxf>
    <dxf>
      <numFmt numFmtId="14" formatCode="0.00%"/>
    </dxf>
    <dxf>
      <numFmt numFmtId="14" formatCode="0.00%"/>
    </dxf>
    <dxf>
      <numFmt numFmtId="14" formatCode="0.00%"/>
    </dxf>
    <dxf>
      <numFmt numFmtId="14" formatCode="0.00%"/>
    </dxf>
    <dxf>
      <numFmt numFmtId="165" formatCode="_-* #,##0_-;\-* #,##0_-;_-* &quot;-&quot;??_-;_-@_-"/>
    </dxf>
    <dxf>
      <numFmt numFmtId="14" formatCode="0.00%"/>
    </dxf>
    <dxf>
      <numFmt numFmtId="14" formatCode="0.00%"/>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2" formatCode="0.00"/>
    </dxf>
    <dxf>
      <numFmt numFmtId="0" formatCode="General"/>
    </dxf>
    <dxf>
      <numFmt numFmtId="0" formatCode="General"/>
    </dxf>
    <dxf>
      <numFmt numFmtId="1" formatCode="0"/>
    </dxf>
    <dxf>
      <numFmt numFmtId="2" formatCode="0.00"/>
    </dxf>
    <dxf>
      <numFmt numFmtId="1" formatCode="0"/>
    </dxf>
    <dxf>
      <numFmt numFmtId="34" formatCode="_-&quot;£&quot;* #,##0.00_-;\-&quot;£&quot;* #,##0.00_-;_-&quot;£&quot;* &quot;-&quot;??_-;_-@_-"/>
    </dxf>
    <dxf>
      <numFmt numFmtId="14" formatCode="0.00%"/>
    </dxf>
    <dxf>
      <numFmt numFmtId="14" formatCode="0.00%"/>
    </dxf>
    <dxf>
      <numFmt numFmtId="14" formatCode="0.00%"/>
    </dxf>
    <dxf>
      <numFmt numFmtId="2" formatCode="0.00"/>
    </dxf>
    <dxf>
      <numFmt numFmtId="0" formatCode="General"/>
    </dxf>
    <dxf>
      <numFmt numFmtId="0" formatCode="General"/>
    </dxf>
    <dxf>
      <numFmt numFmtId="14" formatCode="0.00%"/>
    </dxf>
    <dxf>
      <numFmt numFmtId="14" formatCode="0.00%"/>
    </dxf>
    <dxf>
      <numFmt numFmtId="14" formatCode="0.00%"/>
    </dxf>
    <dxf>
      <numFmt numFmtId="165" formatCode="_-* #,##0_-;\-* #,##0_-;_-* &quot;-&quot;??_-;_-@_-"/>
    </dxf>
    <dxf>
      <numFmt numFmtId="14" formatCode="0.00%"/>
    </dxf>
    <dxf>
      <numFmt numFmtId="14" formatCode="0.00%"/>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2" formatCode="0.00"/>
    </dxf>
    <dxf>
      <numFmt numFmtId="1" formatCode="0"/>
    </dxf>
    <dxf>
      <numFmt numFmtId="34" formatCode="_-&quot;£&quot;* #,##0.00_-;\-&quot;£&quot;* #,##0.00_-;_-&quot;£&quot;* &quot;-&quot;??_-;_-@_-"/>
    </dxf>
    <dxf>
      <numFmt numFmtId="14" formatCode="0.00%"/>
    </dxf>
    <dxf>
      <numFmt numFmtId="14" formatCode="0.00%"/>
    </dxf>
    <dxf>
      <numFmt numFmtId="14" formatCode="0.00%"/>
    </dxf>
    <dxf>
      <numFmt numFmtId="2" formatCode="0.00"/>
    </dxf>
    <dxf>
      <numFmt numFmtId="0" formatCode="General"/>
    </dxf>
    <dxf>
      <numFmt numFmtId="0" formatCode="General"/>
    </dxf>
    <dxf>
      <numFmt numFmtId="14" formatCode="0.00%"/>
    </dxf>
    <dxf>
      <numFmt numFmtId="14" formatCode="0.00%"/>
    </dxf>
    <dxf>
      <numFmt numFmtId="14" formatCode="0.00%"/>
    </dxf>
    <dxf>
      <numFmt numFmtId="165" formatCode="_-* #,##0_-;\-* #,##0_-;_-* &quot;-&quot;??_-;_-@_-"/>
    </dxf>
    <dxf>
      <numFmt numFmtId="14" formatCode="0.00%"/>
    </dxf>
    <dxf>
      <numFmt numFmtId="14" formatCode="0.00%"/>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2" formatCode="0.00"/>
    </dxf>
    <dxf>
      <numFmt numFmtId="1" formatCode="0"/>
    </dxf>
    <dxf>
      <numFmt numFmtId="34" formatCode="_-&quot;£&quot;* #,##0.00_-;\-&quot;£&quot;* #,##0.00_-;_-&quot;£&quot;* &quot;-&quot;??_-;_-@_-"/>
    </dxf>
    <dxf>
      <numFmt numFmtId="14" formatCode="0.00%"/>
    </dxf>
    <dxf>
      <numFmt numFmtId="14" formatCode="0.00%"/>
    </dxf>
    <dxf>
      <numFmt numFmtId="14" formatCode="0.00%"/>
    </dxf>
    <dxf>
      <numFmt numFmtId="2" formatCode="0.00"/>
    </dxf>
    <dxf>
      <numFmt numFmtId="0" formatCode="General"/>
    </dxf>
    <dxf>
      <numFmt numFmtId="0" formatCode="General"/>
    </dxf>
    <dxf>
      <numFmt numFmtId="14" formatCode="0.00%"/>
    </dxf>
    <dxf>
      <numFmt numFmtId="14" formatCode="0.00%"/>
    </dxf>
    <dxf>
      <numFmt numFmtId="14" formatCode="0.00%"/>
    </dxf>
    <dxf>
      <numFmt numFmtId="165" formatCode="_-* #,##0_-;\-* #,##0_-;_-* &quot;-&quot;??_-;_-@_-"/>
    </dxf>
    <dxf>
      <numFmt numFmtId="14" formatCode="0.00%"/>
    </dxf>
    <dxf>
      <numFmt numFmtId="14" formatCode="0.00%"/>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2" formatCode="0.00"/>
    </dxf>
    <dxf>
      <numFmt numFmtId="1" formatCode="0"/>
    </dxf>
    <dxf>
      <numFmt numFmtId="34" formatCode="_-&quot;£&quot;* #,##0.00_-;\-&quot;£&quot;* #,##0.00_-;_-&quot;£&quot;* &quot;-&quot;??_-;_-@_-"/>
    </dxf>
    <dxf>
      <numFmt numFmtId="14" formatCode="0.00%"/>
    </dxf>
    <dxf>
      <numFmt numFmtId="14" formatCode="0.00%"/>
    </dxf>
    <dxf>
      <numFmt numFmtId="14" formatCode="0.00%"/>
    </dxf>
    <dxf>
      <numFmt numFmtId="14" formatCode="0.00%"/>
    </dxf>
    <dxf>
      <numFmt numFmtId="165" formatCode="_-* #,##0_-;\-* #,##0_-;_-* &quot;-&quot;??_-;_-@_-"/>
    </dxf>
    <dxf>
      <numFmt numFmtId="14" formatCode="0.00%"/>
    </dxf>
    <dxf>
      <numFmt numFmtId="14" formatCode="0.00%"/>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2" formatCode="0.00"/>
    </dxf>
    <dxf>
      <numFmt numFmtId="0" formatCode="General"/>
    </dxf>
    <dxf>
      <numFmt numFmtId="0" formatCode="General"/>
    </dxf>
    <dxf>
      <numFmt numFmtId="1" formatCode="0"/>
    </dxf>
    <dxf>
      <numFmt numFmtId="2" formatCode="0.00"/>
    </dxf>
    <dxf>
      <numFmt numFmtId="1" formatCode="0"/>
    </dxf>
    <dxf>
      <numFmt numFmtId="34" formatCode="_-&quot;£&quot;* #,##0.00_-;\-&quot;£&quot;* #,##0.00_-;_-&quot;£&quot;* &quot;-&quot;??_-;_-@_-"/>
    </dxf>
    <dxf>
      <numFmt numFmtId="14" formatCode="0.00%"/>
    </dxf>
    <dxf>
      <numFmt numFmtId="14" formatCode="0.00%"/>
    </dxf>
    <dxf>
      <numFmt numFmtId="14" formatCode="0.00%"/>
    </dxf>
    <dxf>
      <numFmt numFmtId="14" formatCode="0.00%"/>
    </dxf>
    <dxf>
      <numFmt numFmtId="165" formatCode="_-* #,##0_-;\-* #,##0_-;_-* &quot;-&quot;??_-;_-@_-"/>
    </dxf>
    <dxf>
      <numFmt numFmtId="14" formatCode="0.00%"/>
    </dxf>
    <dxf>
      <numFmt numFmtId="14" formatCode="0.00%"/>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2" formatCode="0.00"/>
    </dxf>
    <dxf>
      <numFmt numFmtId="0" formatCode="General"/>
    </dxf>
    <dxf>
      <numFmt numFmtId="0" formatCode="General"/>
    </dxf>
    <dxf>
      <numFmt numFmtId="1" formatCode="0"/>
    </dxf>
    <dxf>
      <numFmt numFmtId="2" formatCode="0.00"/>
    </dxf>
    <dxf>
      <numFmt numFmtId="1" formatCode="0"/>
    </dxf>
    <dxf>
      <numFmt numFmtId="34" formatCode="_-&quot;£&quot;* #,##0.00_-;\-&quot;£&quot;* #,##0.00_-;_-&quot;£&quot;* &quot;-&quot;??_-;_-@_-"/>
    </dxf>
    <dxf>
      <numFmt numFmtId="14" formatCode="0.00%"/>
    </dxf>
    <dxf>
      <numFmt numFmtId="14" formatCode="0.00%"/>
    </dxf>
    <dxf>
      <numFmt numFmtId="14" formatCode="0.00%"/>
    </dxf>
    <dxf>
      <numFmt numFmtId="14" formatCode="0.00%"/>
    </dxf>
    <dxf>
      <numFmt numFmtId="165" formatCode="_-* #,##0_-;\-* #,##0_-;_-* &quot;-&quot;??_-;_-@_-"/>
    </dxf>
    <dxf>
      <numFmt numFmtId="14" formatCode="0.00%"/>
    </dxf>
    <dxf>
      <numFmt numFmtId="14" formatCode="0.00%"/>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2" formatCode="0.00"/>
    </dxf>
    <dxf>
      <numFmt numFmtId="0" formatCode="General"/>
    </dxf>
    <dxf>
      <numFmt numFmtId="0" formatCode="General"/>
    </dxf>
    <dxf>
      <numFmt numFmtId="1" formatCode="0"/>
    </dxf>
    <dxf>
      <numFmt numFmtId="2" formatCode="0.00"/>
    </dxf>
    <dxf>
      <numFmt numFmtId="1" formatCode="0"/>
    </dxf>
    <dxf>
      <numFmt numFmtId="34" formatCode="_-&quot;£&quot;* #,##0.00_-;\-&quot;£&quot;* #,##0.00_-;_-&quot;£&quot;* &quot;-&quot;??_-;_-@_-"/>
    </dxf>
    <dxf>
      <numFmt numFmtId="14" formatCode="0.00%"/>
    </dxf>
    <dxf>
      <numFmt numFmtId="14" formatCode="0.00%"/>
    </dxf>
    <dxf>
      <numFmt numFmtId="14" formatCode="0.00%"/>
    </dxf>
    <dxf>
      <numFmt numFmtId="14" formatCode="0.00%"/>
    </dxf>
    <dxf>
      <numFmt numFmtId="165" formatCode="_-* #,##0_-;\-* #,##0_-;_-* &quot;-&quot;??_-;_-@_-"/>
    </dxf>
    <dxf>
      <numFmt numFmtId="14" formatCode="0.00%"/>
    </dxf>
    <dxf>
      <numFmt numFmtId="14" formatCode="0.00%"/>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2" formatCode="0.00"/>
    </dxf>
    <dxf>
      <numFmt numFmtId="0" formatCode="General"/>
    </dxf>
    <dxf>
      <numFmt numFmtId="0" formatCode="General"/>
    </dxf>
    <dxf>
      <numFmt numFmtId="1" formatCode="0"/>
    </dxf>
    <dxf>
      <numFmt numFmtId="2" formatCode="0.00"/>
    </dxf>
    <dxf>
      <numFmt numFmtId="1" formatCode="0"/>
    </dxf>
    <dxf>
      <numFmt numFmtId="34" formatCode="_-&quot;£&quot;* #,##0.00_-;\-&quot;£&quot;* #,##0.00_-;_-&quot;£&quot;* &quot;-&quot;??_-;_-@_-"/>
    </dxf>
    <dxf>
      <numFmt numFmtId="14" formatCode="0.00%"/>
    </dxf>
    <dxf>
      <numFmt numFmtId="14" formatCode="0.00%"/>
    </dxf>
    <dxf>
      <numFmt numFmtId="14" formatCode="0.00%"/>
    </dxf>
    <dxf>
      <numFmt numFmtId="14" formatCode="0.00%"/>
    </dxf>
    <dxf>
      <numFmt numFmtId="165" formatCode="_-* #,##0_-;\-* #,##0_-;_-* &quot;-&quot;??_-;_-@_-"/>
    </dxf>
    <dxf>
      <numFmt numFmtId="14" formatCode="0.00%"/>
    </dxf>
    <dxf>
      <numFmt numFmtId="14" formatCode="0.00%"/>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2" formatCode="0.00"/>
    </dxf>
    <dxf>
      <numFmt numFmtId="0" formatCode="General"/>
    </dxf>
    <dxf>
      <numFmt numFmtId="0" formatCode="General"/>
    </dxf>
    <dxf>
      <numFmt numFmtId="1" formatCode="0"/>
    </dxf>
    <dxf>
      <numFmt numFmtId="2" formatCode="0.00"/>
    </dxf>
    <dxf>
      <numFmt numFmtId="1" formatCode="0"/>
    </dxf>
    <dxf>
      <numFmt numFmtId="34" formatCode="_-&quot;£&quot;* #,##0.00_-;\-&quot;£&quot;* #,##0.00_-;_-&quot;£&quot;* &quot;-&quot;??_-;_-@_-"/>
    </dxf>
    <dxf>
      <numFmt numFmtId="14" formatCode="0.00%"/>
    </dxf>
    <dxf>
      <numFmt numFmtId="14" formatCode="0.00%"/>
    </dxf>
    <dxf>
      <numFmt numFmtId="14" formatCode="0.00%"/>
    </dxf>
    <dxf>
      <numFmt numFmtId="14" formatCode="0.00%"/>
    </dxf>
    <dxf>
      <numFmt numFmtId="165" formatCode="_-* #,##0_-;\-* #,##0_-;_-* &quot;-&quot;??_-;_-@_-"/>
    </dxf>
    <dxf>
      <numFmt numFmtId="14" formatCode="0.00%"/>
    </dxf>
    <dxf>
      <numFmt numFmtId="14" formatCode="0.00%"/>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2" formatCode="0.00"/>
    </dxf>
    <dxf>
      <numFmt numFmtId="0" formatCode="General"/>
    </dxf>
    <dxf>
      <numFmt numFmtId="0" formatCode="General"/>
    </dxf>
    <dxf>
      <numFmt numFmtId="1" formatCode="0"/>
    </dxf>
    <dxf>
      <numFmt numFmtId="2" formatCode="0.00"/>
    </dxf>
    <dxf>
      <numFmt numFmtId="1" formatCode="0"/>
    </dxf>
    <dxf>
      <numFmt numFmtId="34" formatCode="_-&quot;£&quot;* #,##0.00_-;\-&quot;£&quot;* #,##0.00_-;_-&quot;£&quot;* &quot;-&quot;??_-;_-@_-"/>
    </dxf>
    <dxf>
      <numFmt numFmtId="14" formatCode="0.00%"/>
    </dxf>
    <dxf>
      <numFmt numFmtId="14" formatCode="0.00%"/>
    </dxf>
    <dxf>
      <numFmt numFmtId="14" formatCode="0.00%"/>
    </dxf>
    <dxf>
      <numFmt numFmtId="14" formatCode="0.00%"/>
    </dxf>
    <dxf>
      <numFmt numFmtId="165" formatCode="_-* #,##0_-;\-* #,##0_-;_-* &quot;-&quot;??_-;_-@_-"/>
    </dxf>
    <dxf>
      <numFmt numFmtId="14" formatCode="0.00%"/>
    </dxf>
    <dxf>
      <numFmt numFmtId="14" formatCode="0.00%"/>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2" formatCode="0.00"/>
    </dxf>
    <dxf>
      <numFmt numFmtId="0" formatCode="General"/>
    </dxf>
    <dxf>
      <numFmt numFmtId="0" formatCode="General"/>
    </dxf>
    <dxf>
      <numFmt numFmtId="1" formatCode="0"/>
    </dxf>
    <dxf>
      <numFmt numFmtId="2" formatCode="0.00"/>
    </dxf>
    <dxf>
      <numFmt numFmtId="1" formatCode="0"/>
    </dxf>
    <dxf>
      <numFmt numFmtId="34" formatCode="_-&quot;£&quot;* #,##0.00_-;\-&quot;£&quot;* #,##0.00_-;_-&quot;£&quot;* &quot;-&quot;??_-;_-@_-"/>
    </dxf>
    <dxf>
      <numFmt numFmtId="14" formatCode="0.00%"/>
    </dxf>
    <dxf>
      <numFmt numFmtId="14" formatCode="0.00%"/>
    </dxf>
    <dxf>
      <numFmt numFmtId="14" formatCode="0.00%"/>
    </dxf>
    <dxf>
      <numFmt numFmtId="2" formatCode="0.00"/>
    </dxf>
    <dxf>
      <numFmt numFmtId="0" formatCode="General"/>
    </dxf>
    <dxf>
      <numFmt numFmtId="0" formatCode="General"/>
    </dxf>
    <dxf>
      <numFmt numFmtId="14" formatCode="0.00%"/>
    </dxf>
    <dxf>
      <numFmt numFmtId="14" formatCode="0.00%"/>
    </dxf>
    <dxf>
      <numFmt numFmtId="14" formatCode="0.00%"/>
    </dxf>
    <dxf>
      <numFmt numFmtId="165" formatCode="_-* #,##0_-;\-* #,##0_-;_-* &quot;-&quot;??_-;_-@_-"/>
    </dxf>
    <dxf>
      <numFmt numFmtId="14" formatCode="0.00%"/>
    </dxf>
    <dxf>
      <numFmt numFmtId="14" formatCode="0.00%"/>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2" formatCode="0.00"/>
    </dxf>
    <dxf>
      <numFmt numFmtId="1" formatCode="0"/>
    </dxf>
    <dxf>
      <numFmt numFmtId="34" formatCode="_-&quot;£&quot;* #,##0.00_-;\-&quot;£&quot;* #,##0.00_-;_-&quot;£&quot;* &quot;-&quot;??_-;_-@_-"/>
    </dxf>
    <dxf>
      <numFmt numFmtId="14" formatCode="0.00%"/>
    </dxf>
    <dxf>
      <numFmt numFmtId="14" formatCode="0.00%"/>
    </dxf>
    <dxf>
      <numFmt numFmtId="14" formatCode="0.00%"/>
    </dxf>
    <dxf>
      <numFmt numFmtId="2" formatCode="0.00"/>
    </dxf>
    <dxf>
      <numFmt numFmtId="0" formatCode="General"/>
    </dxf>
    <dxf>
      <numFmt numFmtId="0" formatCode="General"/>
    </dxf>
    <dxf>
      <numFmt numFmtId="14" formatCode="0.00%"/>
    </dxf>
    <dxf>
      <numFmt numFmtId="14" formatCode="0.00%"/>
    </dxf>
    <dxf>
      <numFmt numFmtId="14" formatCode="0.00%"/>
    </dxf>
    <dxf>
      <numFmt numFmtId="165" formatCode="_-* #,##0_-;\-* #,##0_-;_-* &quot;-&quot;??_-;_-@_-"/>
    </dxf>
    <dxf>
      <numFmt numFmtId="14" formatCode="0.00%"/>
    </dxf>
    <dxf>
      <numFmt numFmtId="14" formatCode="0.00%"/>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2" formatCode="0.00"/>
    </dxf>
    <dxf>
      <numFmt numFmtId="1" formatCode="0"/>
    </dxf>
    <dxf>
      <numFmt numFmtId="34" formatCode="_-&quot;£&quot;* #,##0.00_-;\-&quot;£&quot;* #,##0.00_-;_-&quot;£&quot;* &quot;-&quot;??_-;_-@_-"/>
    </dxf>
    <dxf>
      <numFmt numFmtId="14" formatCode="0.00%"/>
    </dxf>
    <dxf>
      <numFmt numFmtId="14" formatCode="0.00%"/>
    </dxf>
    <dxf>
      <numFmt numFmtId="14" formatCode="0.00%"/>
    </dxf>
    <dxf>
      <numFmt numFmtId="2" formatCode="0.00"/>
    </dxf>
    <dxf>
      <numFmt numFmtId="0" formatCode="General"/>
    </dxf>
    <dxf>
      <numFmt numFmtId="0" formatCode="General"/>
    </dxf>
    <dxf>
      <numFmt numFmtId="14" formatCode="0.00%"/>
    </dxf>
    <dxf>
      <numFmt numFmtId="14" formatCode="0.00%"/>
    </dxf>
    <dxf>
      <numFmt numFmtId="14" formatCode="0.00%"/>
    </dxf>
    <dxf>
      <numFmt numFmtId="165" formatCode="_-* #,##0_-;\-* #,##0_-;_-* &quot;-&quot;??_-;_-@_-"/>
    </dxf>
    <dxf>
      <numFmt numFmtId="14" formatCode="0.00%"/>
    </dxf>
    <dxf>
      <numFmt numFmtId="14" formatCode="0.00%"/>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2" formatCode="0.00"/>
    </dxf>
    <dxf>
      <numFmt numFmtId="1" formatCode="0"/>
    </dxf>
    <dxf>
      <numFmt numFmtId="34" formatCode="_-&quot;£&quot;* #,##0.00_-;\-&quot;£&quot;* #,##0.00_-;_-&quot;£&quot;* &quot;-&quot;??_-;_-@_-"/>
    </dxf>
    <dxf>
      <numFmt numFmtId="14" formatCode="0.00%"/>
    </dxf>
    <dxf>
      <numFmt numFmtId="14" formatCode="0.00%"/>
    </dxf>
    <dxf>
      <numFmt numFmtId="14" formatCode="0.00%"/>
    </dxf>
    <dxf>
      <numFmt numFmtId="2" formatCode="0.00"/>
    </dxf>
    <dxf>
      <numFmt numFmtId="0" formatCode="General"/>
    </dxf>
    <dxf>
      <numFmt numFmtId="0" formatCode="General"/>
    </dxf>
    <dxf>
      <numFmt numFmtId="14" formatCode="0.00%"/>
    </dxf>
    <dxf>
      <numFmt numFmtId="14" formatCode="0.00%"/>
    </dxf>
    <dxf>
      <numFmt numFmtId="14" formatCode="0.00%"/>
    </dxf>
    <dxf>
      <numFmt numFmtId="165" formatCode="_-* #,##0_-;\-* #,##0_-;_-* &quot;-&quot;??_-;_-@_-"/>
    </dxf>
    <dxf>
      <numFmt numFmtId="14" formatCode="0.00%"/>
    </dxf>
    <dxf>
      <numFmt numFmtId="14" formatCode="0.00%"/>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2" formatCode="0.00"/>
    </dxf>
    <dxf>
      <numFmt numFmtId="1" formatCode="0"/>
    </dxf>
    <dxf>
      <numFmt numFmtId="34" formatCode="_-&quot;£&quot;* #,##0.00_-;\-&quot;£&quot;* #,##0.00_-;_-&quot;£&quot;* &quot;-&quot;??_-;_-@_-"/>
    </dxf>
    <dxf>
      <numFmt numFmtId="14" formatCode="0.00%"/>
    </dxf>
    <dxf>
      <numFmt numFmtId="14" formatCode="0.00%"/>
    </dxf>
    <dxf>
      <numFmt numFmtId="14" formatCode="0.00%"/>
    </dxf>
    <dxf>
      <numFmt numFmtId="2" formatCode="0.00"/>
    </dxf>
    <dxf>
      <numFmt numFmtId="0" formatCode="General"/>
    </dxf>
    <dxf>
      <numFmt numFmtId="0" formatCode="General"/>
    </dxf>
    <dxf>
      <numFmt numFmtId="14" formatCode="0.00%"/>
    </dxf>
    <dxf>
      <numFmt numFmtId="14" formatCode="0.00%"/>
    </dxf>
    <dxf>
      <numFmt numFmtId="14" formatCode="0.00%"/>
    </dxf>
    <dxf>
      <numFmt numFmtId="165" formatCode="_-* #,##0_-;\-* #,##0_-;_-* &quot;-&quot;??_-;_-@_-"/>
    </dxf>
    <dxf>
      <numFmt numFmtId="14" formatCode="0.00%"/>
    </dxf>
    <dxf>
      <numFmt numFmtId="14" formatCode="0.00%"/>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2" formatCode="0.00"/>
    </dxf>
    <dxf>
      <numFmt numFmtId="1" formatCode="0"/>
    </dxf>
    <dxf>
      <numFmt numFmtId="34" formatCode="_-&quot;£&quot;* #,##0.00_-;\-&quot;£&quot;* #,##0.00_-;_-&quot;£&quot;* &quot;-&quot;??_-;_-@_-"/>
    </dxf>
    <dxf>
      <numFmt numFmtId="14" formatCode="0.00%"/>
    </dxf>
    <dxf>
      <numFmt numFmtId="14" formatCode="0.00%"/>
    </dxf>
    <dxf>
      <numFmt numFmtId="14" formatCode="0.00%"/>
    </dxf>
    <dxf>
      <numFmt numFmtId="2" formatCode="0.00"/>
    </dxf>
    <dxf>
      <numFmt numFmtId="0" formatCode="General"/>
    </dxf>
    <dxf>
      <numFmt numFmtId="0" formatCode="General"/>
    </dxf>
    <dxf>
      <numFmt numFmtId="14" formatCode="0.00%"/>
    </dxf>
    <dxf>
      <numFmt numFmtId="14" formatCode="0.00%"/>
    </dxf>
    <dxf>
      <numFmt numFmtId="14" formatCode="0.00%"/>
    </dxf>
    <dxf>
      <numFmt numFmtId="165" formatCode="_-* #,##0_-;\-* #,##0_-;_-* &quot;-&quot;??_-;_-@_-"/>
    </dxf>
    <dxf>
      <numFmt numFmtId="14" formatCode="0.00%"/>
    </dxf>
    <dxf>
      <numFmt numFmtId="14" formatCode="0.00%"/>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2" formatCode="0.00"/>
    </dxf>
    <dxf>
      <numFmt numFmtId="1" formatCode="0"/>
    </dxf>
    <dxf>
      <numFmt numFmtId="34" formatCode="_-&quot;£&quot;* #,##0.00_-;\-&quot;£&quot;* #,##0.00_-;_-&quot;£&quot;* &quot;-&quot;??_-;_-@_-"/>
    </dxf>
    <dxf>
      <numFmt numFmtId="14" formatCode="0.00%"/>
    </dxf>
    <dxf>
      <numFmt numFmtId="14" formatCode="0.00%"/>
    </dxf>
    <dxf>
      <numFmt numFmtId="14" formatCode="0.00%"/>
    </dxf>
    <dxf>
      <numFmt numFmtId="2" formatCode="0.00"/>
    </dxf>
    <dxf>
      <numFmt numFmtId="0" formatCode="General"/>
    </dxf>
    <dxf>
      <numFmt numFmtId="0" formatCode="General"/>
    </dxf>
    <dxf>
      <numFmt numFmtId="14" formatCode="0.00%"/>
    </dxf>
    <dxf>
      <numFmt numFmtId="14" formatCode="0.00%"/>
    </dxf>
    <dxf>
      <numFmt numFmtId="14" formatCode="0.00%"/>
    </dxf>
    <dxf>
      <numFmt numFmtId="165" formatCode="_-* #,##0_-;\-* #,##0_-;_-* &quot;-&quot;??_-;_-@_-"/>
    </dxf>
    <dxf>
      <numFmt numFmtId="14" formatCode="0.00%"/>
    </dxf>
    <dxf>
      <numFmt numFmtId="14" formatCode="0.00%"/>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2" formatCode="0.00"/>
    </dxf>
    <dxf>
      <numFmt numFmtId="1" formatCode="0"/>
    </dxf>
    <dxf>
      <numFmt numFmtId="34" formatCode="_-&quot;£&quot;* #,##0.00_-;\-&quot;£&quot;* #,##0.00_-;_-&quot;£&quot;* &quot;-&quot;??_-;_-@_-"/>
    </dxf>
    <dxf>
      <numFmt numFmtId="14" formatCode="0.00%"/>
    </dxf>
    <dxf>
      <numFmt numFmtId="14" formatCode="0.00%"/>
    </dxf>
    <dxf>
      <numFmt numFmtId="14" formatCode="0.00%"/>
    </dxf>
    <dxf>
      <numFmt numFmtId="2" formatCode="0.00"/>
    </dxf>
    <dxf>
      <numFmt numFmtId="0" formatCode="General"/>
    </dxf>
    <dxf>
      <numFmt numFmtId="0" formatCode="General"/>
    </dxf>
    <dxf>
      <numFmt numFmtId="14" formatCode="0.00%"/>
    </dxf>
    <dxf>
      <numFmt numFmtId="14" formatCode="0.00%"/>
    </dxf>
    <dxf>
      <numFmt numFmtId="14" formatCode="0.00%"/>
    </dxf>
    <dxf>
      <numFmt numFmtId="165" formatCode="_-* #,##0_-;\-* #,##0_-;_-* &quot;-&quot;??_-;_-@_-"/>
    </dxf>
    <dxf>
      <numFmt numFmtId="14" formatCode="0.00%"/>
    </dxf>
    <dxf>
      <numFmt numFmtId="14" formatCode="0.00%"/>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2" formatCode="0.00"/>
    </dxf>
    <dxf>
      <numFmt numFmtId="1" formatCode="0"/>
    </dxf>
    <dxf>
      <numFmt numFmtId="34" formatCode="_-&quot;£&quot;* #,##0.00_-;\-&quot;£&quot;* #,##0.00_-;_-&quot;£&quot;* &quot;-&quot;??_-;_-@_-"/>
    </dxf>
    <dxf>
      <numFmt numFmtId="14" formatCode="0.00%"/>
    </dxf>
    <dxf>
      <numFmt numFmtId="14" formatCode="0.00%"/>
    </dxf>
    <dxf>
      <numFmt numFmtId="14" formatCode="0.00%"/>
    </dxf>
    <dxf>
      <numFmt numFmtId="2" formatCode="0.00"/>
    </dxf>
    <dxf>
      <numFmt numFmtId="0" formatCode="General"/>
    </dxf>
    <dxf>
      <numFmt numFmtId="0" formatCode="General"/>
    </dxf>
    <dxf>
      <numFmt numFmtId="14" formatCode="0.00%"/>
    </dxf>
    <dxf>
      <numFmt numFmtId="14" formatCode="0.00%"/>
    </dxf>
    <dxf>
      <numFmt numFmtId="14" formatCode="0.00%"/>
    </dxf>
    <dxf>
      <numFmt numFmtId="165" formatCode="_-* #,##0_-;\-* #,##0_-;_-* &quot;-&quot;??_-;_-@_-"/>
    </dxf>
    <dxf>
      <numFmt numFmtId="14" formatCode="0.00%"/>
    </dxf>
    <dxf>
      <numFmt numFmtId="14" formatCode="0.00%"/>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4" formatCode="0.00%"/>
    </dxf>
    <dxf>
      <numFmt numFmtId="14" formatCode="0.00%"/>
    </dxf>
    <dxf>
      <numFmt numFmtId="14" formatCode="0.00%"/>
    </dxf>
    <dxf>
      <numFmt numFmtId="2" formatCode="0.00"/>
    </dxf>
    <dxf>
      <numFmt numFmtId="0" formatCode="General"/>
    </dxf>
    <dxf>
      <numFmt numFmtId="0" formatCode="General"/>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65" formatCode="_-* #,##0_-;\-* #,##0_-;_-* &quot;-&quot;??_-;_-@_-"/>
    </dxf>
    <dxf>
      <numFmt numFmtId="14" formatCode="0.00%"/>
    </dxf>
    <dxf>
      <numFmt numFmtId="14" formatCode="0.00%"/>
    </dxf>
    <dxf>
      <numFmt numFmtId="14" formatCode="0.00%"/>
    </dxf>
    <dxf>
      <numFmt numFmtId="14" formatCode="0.00%"/>
    </dxf>
    <dxf>
      <numFmt numFmtId="14" formatCode="0.00%"/>
    </dxf>
    <dxf>
      <numFmt numFmtId="2" formatCode="0.00"/>
    </dxf>
    <dxf>
      <numFmt numFmtId="0" formatCode="General"/>
    </dxf>
    <dxf>
      <numFmt numFmtId="0" formatCode="General"/>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65" formatCode="_-* #,##0_-;\-* #,##0_-;_-* &quot;-&quot;??_-;_-@_-"/>
    </dxf>
    <dxf>
      <numFmt numFmtId="14" formatCode="0.00%"/>
    </dxf>
    <dxf>
      <numFmt numFmtId="14" formatCode="0.00%"/>
    </dxf>
    <dxf>
      <numFmt numFmtId="14" formatCode="0.00%"/>
    </dxf>
    <dxf>
      <numFmt numFmtId="14" formatCode="0.00%"/>
    </dxf>
    <dxf>
      <numFmt numFmtId="14" formatCode="0.00%"/>
    </dxf>
    <dxf>
      <numFmt numFmtId="2" formatCode="0.00"/>
    </dxf>
    <dxf>
      <numFmt numFmtId="0" formatCode="General"/>
    </dxf>
    <dxf>
      <numFmt numFmtId="0" formatCode="General"/>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65" formatCode="_-* #,##0_-;\-* #,##0_-;_-* &quot;-&quot;??_-;_-@_-"/>
    </dxf>
    <dxf>
      <numFmt numFmtId="14" formatCode="0.00%"/>
    </dxf>
    <dxf>
      <numFmt numFmtId="14" formatCode="0.00%"/>
    </dxf>
    <dxf>
      <numFmt numFmtId="14" formatCode="0.00%"/>
    </dxf>
    <dxf>
      <numFmt numFmtId="14" formatCode="0.00%"/>
    </dxf>
    <dxf>
      <numFmt numFmtId="14" formatCode="0.00%"/>
    </dxf>
    <dxf>
      <numFmt numFmtId="2" formatCode="0.00"/>
    </dxf>
    <dxf>
      <numFmt numFmtId="0" formatCode="General"/>
    </dxf>
    <dxf>
      <numFmt numFmtId="0" formatCode="General"/>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65" formatCode="_-* #,##0_-;\-* #,##0_-;_-* &quot;-&quot;??_-;_-@_-"/>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2" formatCode="0.00"/>
    </dxf>
    <dxf>
      <numFmt numFmtId="1" formatCode="0"/>
    </dxf>
    <dxf>
      <font>
        <color rgb="FF9C0006"/>
      </font>
      <fill>
        <patternFill>
          <bgColor rgb="FFFFC7CE"/>
        </patternFill>
      </fill>
    </dxf>
    <dxf>
      <numFmt numFmtId="14" formatCode="0.00%"/>
    </dxf>
    <dxf>
      <numFmt numFmtId="1" formatCode="0"/>
    </dxf>
    <dxf>
      <numFmt numFmtId="2" formatCode="0.00"/>
    </dxf>
    <dxf>
      <numFmt numFmtId="1" formatCode="0"/>
    </dxf>
    <dxf>
      <numFmt numFmtId="165" formatCode="_-* #,##0_-;\-* #,##0_-;_-* &quot;-&quot;??_-;_-@_-"/>
    </dxf>
    <dxf>
      <numFmt numFmtId="14" formatCode="0.00%"/>
    </dxf>
    <dxf>
      <numFmt numFmtId="14" formatCode="0.00%"/>
    </dxf>
    <dxf>
      <numFmt numFmtId="0" formatCode="General"/>
    </dxf>
    <dxf>
      <numFmt numFmtId="0" formatCode="General"/>
    </dxf>
    <dxf>
      <numFmt numFmtId="2" formatCode="0.00"/>
    </dxf>
    <dxf>
      <numFmt numFmtId="14" formatCode="0.00%"/>
    </dxf>
    <dxf>
      <numFmt numFmtId="14" formatCode="0.00%"/>
    </dxf>
    <dxf>
      <numFmt numFmtId="14" formatCode="0.00%"/>
    </dxf>
    <dxf>
      <numFmt numFmtId="14" formatCode="0.00%"/>
    </dxf>
    <dxf>
      <numFmt numFmtId="14" formatCode="0.00%"/>
    </dxf>
    <dxf>
      <numFmt numFmtId="13" formatCode="0%"/>
    </dxf>
    <dxf>
      <numFmt numFmtId="165" formatCode="_-* #,##0_-;\-* #,##0_-;_-* &quot;-&quot;??_-;_-@_-"/>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font>
        <color theme="0"/>
      </font>
    </dxf>
    <dxf>
      <font>
        <b/>
      </font>
    </dxf>
    <dxf>
      <font>
        <color theme="0"/>
      </font>
    </dxf>
    <dxf>
      <font>
        <b/>
      </font>
    </dxf>
    <dxf>
      <font>
        <color theme="0"/>
      </font>
    </dxf>
    <dxf>
      <font>
        <b/>
      </font>
    </dxf>
    <dxf>
      <font>
        <color theme="0"/>
      </font>
    </dxf>
    <dxf>
      <font>
        <b/>
      </font>
    </dxf>
    <dxf>
      <font>
        <color theme="0"/>
      </font>
    </dxf>
    <dxf>
      <font>
        <b/>
      </font>
    </dxf>
    <dxf>
      <font>
        <color rgb="FFF62212"/>
      </font>
    </dxf>
    <dxf>
      <font>
        <b/>
      </font>
    </dxf>
    <dxf>
      <font>
        <b/>
      </font>
    </dxf>
    <dxf>
      <font>
        <b/>
      </font>
    </dxf>
    <dxf>
      <font>
        <b/>
      </font>
    </dxf>
    <dxf>
      <font>
        <color theme="0"/>
      </font>
    </dxf>
    <dxf>
      <font>
        <color theme="0"/>
      </font>
    </dxf>
    <dxf>
      <font>
        <color theme="0"/>
      </font>
    </dxf>
    <dxf>
      <fill>
        <patternFill>
          <bgColor auto="1"/>
        </patternFill>
      </fill>
    </dxf>
    <dxf>
      <font>
        <color theme="0"/>
      </font>
    </dxf>
    <dxf>
      <numFmt numFmtId="14" formatCode="0.00%"/>
    </dxf>
    <dxf>
      <numFmt numFmtId="165" formatCode="_-* #,##0_-;\-* #,##0_-;_-* &quot;-&quot;??_-;_-@_-"/>
    </dxf>
    <dxf>
      <numFmt numFmtId="14" formatCode="0.00%"/>
    </dxf>
    <dxf>
      <numFmt numFmtId="14" formatCode="0.00%"/>
    </dxf>
    <dxf>
      <numFmt numFmtId="14" formatCode="0.00%"/>
    </dxf>
    <dxf>
      <numFmt numFmtId="14" formatCode="0.00%"/>
    </dxf>
    <dxf>
      <numFmt numFmtId="164" formatCode="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fgColor theme="0"/>
          <bgColor rgb="FF01305A"/>
        </patternFill>
      </fill>
    </dxf>
    <dxf>
      <font>
        <b/>
        <i val="0"/>
        <sz val="11"/>
      </font>
    </dxf>
    <dxf>
      <font>
        <color theme="0"/>
      </font>
      <fill>
        <patternFill patternType="solid">
          <bgColor rgb="FF00142A"/>
        </patternFill>
      </fill>
      <border>
        <left style="thin">
          <color theme="0" tint="-0.24994659260841701"/>
        </left>
        <right style="thin">
          <color theme="0" tint="-0.24994659260841701"/>
        </right>
        <top style="thin">
          <color theme="0" tint="-0.24994659260841701"/>
        </top>
        <bottom style="thin">
          <color theme="0" tint="-0.24994659260841701"/>
        </bottom>
      </border>
    </dxf>
  </dxfs>
  <tableStyles count="2" defaultTableStyle="TableStyleMedium2" defaultPivotStyle="PivotStyleLight16">
    <tableStyle name="MyStyle" pivot="0" table="0" count="3" xr9:uid="{C83527C3-9FFE-4930-AA69-31C4568110E8}">
      <tableStyleElement type="wholeTable" dxfId="3212"/>
      <tableStyleElement type="headerRow" dxfId="3211"/>
    </tableStyle>
    <tableStyle name="PivotTable Style 1" table="0" count="1" xr9:uid="{5E19EC12-C783-4539-B840-F04C9DB8A7E2}">
      <tableStyleElement type="headerRow" dxfId="3210"/>
    </tableStyle>
  </tableStyles>
  <colors>
    <mruColors>
      <color rgb="FF00142A"/>
      <color rgb="FF01305A"/>
      <color rgb="FF036386"/>
      <color rgb="FFB51318"/>
      <color rgb="FFF62212"/>
      <color rgb="FF0F5B78"/>
      <color rgb="FF002F54"/>
      <color rgb="FFBFD7E3"/>
      <color rgb="FFC65A11"/>
      <color rgb="FFFBAF10"/>
    </mruColors>
  </colors>
  <extLst>
    <ext xmlns:x14="http://schemas.microsoft.com/office/spreadsheetml/2009/9/main" uri="{46F421CA-312F-682f-3DD2-61675219B42D}">
      <x14:dxfs count="1">
        <dxf>
          <fill>
            <patternFill>
              <bgColor rgb="FF036386"/>
            </patternFill>
          </fill>
        </dxf>
      </x14:dxfs>
    </ext>
    <ext xmlns:x14="http://schemas.microsoft.com/office/spreadsheetml/2009/9/main" uri="{EB79DEF2-80B8-43e5-95BD-54CBDDF9020C}">
      <x14:slicerStyles defaultSlicerStyle="MyStyle">
        <x14:slicerStyle name="MyStyle">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 Attrition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61502347417840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206572769953054"/>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Pivots!$C$11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1486-4ACA-AA91-E611C5BFB9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86-4ACA-AA91-E611C5BFB930}"/>
              </c:ext>
            </c:extLst>
          </c:dPt>
          <c:dLbls>
            <c:dLbl>
              <c:idx val="0"/>
              <c:layout>
                <c:manualLayout>
                  <c:x val="0.1361502347417840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486-4ACA-AA91-E611C5BFB930}"/>
                </c:ext>
              </c:extLst>
            </c:dLbl>
            <c:dLbl>
              <c:idx val="1"/>
              <c:layout>
                <c:manualLayout>
                  <c:x val="-0.12206572769953054"/>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486-4ACA-AA91-E611C5BFB9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Pivots!$B$12:$B$14</c:f>
              <c:strCache>
                <c:ptCount val="2"/>
                <c:pt idx="0">
                  <c:v>No</c:v>
                </c:pt>
                <c:pt idx="1">
                  <c:v>Yes</c:v>
                </c:pt>
              </c:strCache>
            </c:strRef>
          </c:cat>
          <c:val>
            <c:numRef>
              <c:f>Pivots!$C$12:$C$14</c:f>
              <c:numCache>
                <c:formatCode>General</c:formatCode>
                <c:ptCount val="2"/>
                <c:pt idx="0">
                  <c:v>1233</c:v>
                </c:pt>
                <c:pt idx="1">
                  <c:v>237</c:v>
                </c:pt>
              </c:numCache>
            </c:numRef>
          </c:val>
          <c:extLst>
            <c:ext xmlns:c16="http://schemas.microsoft.com/office/drawing/2014/chart" uri="{C3380CC4-5D6E-409C-BE32-E72D297353CC}">
              <c16:uniqueId val="{00000000-1486-4ACA-AA91-E611C5BFB93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[HR-Employee-Attrition.xlsx]Pivots!twoA</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Employees Left &amp; Attrition Rate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lumMod val="75000"/>
              </a:schemeClr>
            </a:solidFill>
            <a:round/>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75000"/>
              </a:schemeClr>
            </a:solidFill>
            <a:round/>
          </a:ln>
          <a:effectLst/>
        </c:spPr>
        <c:marker>
          <c:symbol val="none"/>
        </c:marker>
        <c:dLbl>
          <c:idx val="0"/>
          <c:layout>
            <c:manualLayout>
              <c:x val="-3.6703616736936347E-2"/>
              <c:y val="-4.3789690546481755E-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832745308013369E-2"/>
                  <c:h val="3.8230359152985151E-2"/>
                </c:manualLayout>
              </c15:layout>
            </c:ext>
          </c:extLst>
        </c:dLbl>
      </c:pivotFmt>
      <c:pivotFmt>
        <c:idx val="3"/>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lumMod val="75000"/>
              </a:schemeClr>
            </a:solidFill>
            <a:round/>
          </a:ln>
          <a:effectLst/>
        </c:spPr>
        <c:marker>
          <c:symbol val="none"/>
        </c:marker>
        <c:dLbl>
          <c:idx val="0"/>
          <c:layout>
            <c:manualLayout>
              <c:x val="-2.2949456118089597E-2"/>
              <c:y val="-7.0763332837754614E-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832745308013369E-2"/>
                  <c:h val="3.8230359152985151E-2"/>
                </c:manualLayout>
              </c15:layout>
            </c:ext>
          </c:extLst>
        </c:dLbl>
      </c:pivotFmt>
      <c:pivotFmt>
        <c:idx val="5"/>
        <c:spPr>
          <a:ln w="28575" cap="rnd">
            <a:solidFill>
              <a:schemeClr val="accent2">
                <a:lumMod val="75000"/>
              </a:schemeClr>
            </a:solidFill>
            <a:round/>
          </a:ln>
          <a:effectLst/>
        </c:spPr>
        <c:marker>
          <c:symbol val="none"/>
        </c:marker>
        <c:dLbl>
          <c:idx val="0"/>
          <c:layout>
            <c:manualLayout>
              <c:x val="4.1808659334630315E-2"/>
              <c:y val="3.263562927879135E-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832745308013369E-2"/>
                  <c:h val="3.8230359152985151E-2"/>
                </c:manualLayout>
              </c15:layout>
            </c:ext>
          </c:extLst>
        </c:dLbl>
      </c:pivotFmt>
      <c:pivotFmt>
        <c:idx val="6"/>
        <c:spPr>
          <a:solidFill>
            <a:schemeClr val="accent1"/>
          </a:solidFill>
          <a:ln>
            <a:noFill/>
          </a:ln>
          <a:effectLst/>
        </c:spPr>
        <c:dLbl>
          <c:idx val="0"/>
          <c:layout>
            <c:manualLayout>
              <c:x val="4.1045917334576972E-2"/>
              <c:y val="0"/>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Pivots!$J$13</c:f>
              <c:strCache>
                <c:ptCount val="1"/>
                <c:pt idx="0">
                  <c:v>Employees Left</c:v>
                </c:pt>
              </c:strCache>
            </c:strRef>
          </c:tx>
          <c:spPr>
            <a:solidFill>
              <a:schemeClr val="accent1"/>
            </a:solidFill>
            <a:ln>
              <a:noFill/>
            </a:ln>
            <a:effectLst/>
          </c:spPr>
          <c:invertIfNegative val="0"/>
          <c:dPt>
            <c:idx val="2"/>
            <c:invertIfNegative val="0"/>
            <c:bubble3D val="0"/>
            <c:spPr>
              <a:solidFill>
                <a:schemeClr val="accent1"/>
              </a:solidFill>
              <a:ln>
                <a:noFill/>
              </a:ln>
              <a:effectLst/>
            </c:spPr>
            <c:extLst>
              <c:ext xmlns:c16="http://schemas.microsoft.com/office/drawing/2014/chart" uri="{C3380CC4-5D6E-409C-BE32-E72D297353CC}">
                <c16:uniqueId val="{0000000A-CC93-47D2-85EB-5DF93B02AE90}"/>
              </c:ext>
            </c:extLst>
          </c:dPt>
          <c:dLbls>
            <c:dLbl>
              <c:idx val="2"/>
              <c:layout>
                <c:manualLayout>
                  <c:x val="4.104591733457697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C93-47D2-85EB-5DF93B02AE90}"/>
                </c:ext>
              </c:extLst>
            </c:dLbl>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Pivots!$I$14:$I$17</c:f>
              <c:strCache>
                <c:ptCount val="3"/>
                <c:pt idx="0">
                  <c:v>Research &amp; Development</c:v>
                </c:pt>
                <c:pt idx="1">
                  <c:v>Human Resources</c:v>
                </c:pt>
                <c:pt idx="2">
                  <c:v>Sales</c:v>
                </c:pt>
              </c:strCache>
            </c:strRef>
          </c:cat>
          <c:val>
            <c:numRef>
              <c:f>Pivots!$J$14:$J$17</c:f>
              <c:numCache>
                <c:formatCode>General</c:formatCode>
                <c:ptCount val="3"/>
                <c:pt idx="0">
                  <c:v>133</c:v>
                </c:pt>
                <c:pt idx="1">
                  <c:v>12</c:v>
                </c:pt>
                <c:pt idx="2">
                  <c:v>92</c:v>
                </c:pt>
              </c:numCache>
            </c:numRef>
          </c:val>
          <c:extLst>
            <c:ext xmlns:c16="http://schemas.microsoft.com/office/drawing/2014/chart" uri="{C3380CC4-5D6E-409C-BE32-E72D297353CC}">
              <c16:uniqueId val="{00000000-CC93-47D2-85EB-5DF93B02AE90}"/>
            </c:ext>
          </c:extLst>
        </c:ser>
        <c:dLbls>
          <c:showLegendKey val="0"/>
          <c:showVal val="0"/>
          <c:showCatName val="0"/>
          <c:showSerName val="0"/>
          <c:showPercent val="0"/>
          <c:showBubbleSize val="0"/>
        </c:dLbls>
        <c:gapWidth val="182"/>
        <c:axId val="2022032768"/>
        <c:axId val="2027623696"/>
      </c:barChart>
      <c:lineChart>
        <c:grouping val="standard"/>
        <c:varyColors val="0"/>
        <c:ser>
          <c:idx val="1"/>
          <c:order val="1"/>
          <c:tx>
            <c:strRef>
              <c:f>Pivots!$K$13</c:f>
              <c:strCache>
                <c:ptCount val="1"/>
                <c:pt idx="0">
                  <c:v>Attrition Rate</c:v>
                </c:pt>
              </c:strCache>
            </c:strRef>
          </c:tx>
          <c:spPr>
            <a:ln w="28575" cap="rnd">
              <a:solidFill>
                <a:schemeClr val="accent2">
                  <a:lumMod val="75000"/>
                </a:schemeClr>
              </a:solidFill>
              <a:round/>
            </a:ln>
            <a:effectLst/>
          </c:spPr>
          <c:marker>
            <c:symbol val="none"/>
          </c:marker>
          <c:dPt>
            <c:idx val="0"/>
            <c:marker>
              <c:symbol val="none"/>
            </c:marker>
            <c:bubble3D val="0"/>
            <c:spPr>
              <a:ln w="28575" cap="rnd">
                <a:solidFill>
                  <a:schemeClr val="accent2">
                    <a:lumMod val="75000"/>
                  </a:schemeClr>
                </a:solidFill>
                <a:round/>
              </a:ln>
              <a:effectLst/>
            </c:spPr>
            <c:extLst>
              <c:ext xmlns:c16="http://schemas.microsoft.com/office/drawing/2014/chart" uri="{C3380CC4-5D6E-409C-BE32-E72D297353CC}">
                <c16:uniqueId val="{00000009-CC93-47D2-85EB-5DF93B02AE90}"/>
              </c:ext>
            </c:extLst>
          </c:dPt>
          <c:dPt>
            <c:idx val="1"/>
            <c:marker>
              <c:symbol val="none"/>
            </c:marker>
            <c:bubble3D val="0"/>
            <c:spPr>
              <a:ln w="28575" cap="rnd">
                <a:solidFill>
                  <a:schemeClr val="accent2">
                    <a:lumMod val="75000"/>
                  </a:schemeClr>
                </a:solidFill>
                <a:round/>
              </a:ln>
              <a:effectLst/>
            </c:spPr>
            <c:extLst>
              <c:ext xmlns:c16="http://schemas.microsoft.com/office/drawing/2014/chart" uri="{C3380CC4-5D6E-409C-BE32-E72D297353CC}">
                <c16:uniqueId val="{00000007-CC93-47D2-85EB-5DF93B02AE90}"/>
              </c:ext>
            </c:extLst>
          </c:dPt>
          <c:dPt>
            <c:idx val="2"/>
            <c:marker>
              <c:symbol val="none"/>
            </c:marker>
            <c:bubble3D val="0"/>
            <c:spPr>
              <a:ln w="28575" cap="rnd">
                <a:solidFill>
                  <a:schemeClr val="accent2">
                    <a:lumMod val="75000"/>
                  </a:schemeClr>
                </a:solidFill>
                <a:round/>
              </a:ln>
              <a:effectLst/>
            </c:spPr>
            <c:extLst>
              <c:ext xmlns:c16="http://schemas.microsoft.com/office/drawing/2014/chart" uri="{C3380CC4-5D6E-409C-BE32-E72D297353CC}">
                <c16:uniqueId val="{00000008-CC93-47D2-85EB-5DF93B02AE90}"/>
              </c:ext>
            </c:extLst>
          </c:dPt>
          <c:dLbls>
            <c:dLbl>
              <c:idx val="0"/>
              <c:layout>
                <c:manualLayout>
                  <c:x val="4.1808659334630315E-2"/>
                  <c:y val="3.263562927879135E-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832745308013369E-2"/>
                      <c:h val="3.8230359152985151E-2"/>
                    </c:manualLayout>
                  </c15:layout>
                </c:ext>
                <c:ext xmlns:c16="http://schemas.microsoft.com/office/drawing/2014/chart" uri="{C3380CC4-5D6E-409C-BE32-E72D297353CC}">
                  <c16:uniqueId val="{00000009-CC93-47D2-85EB-5DF93B02AE90}"/>
                </c:ext>
              </c:extLst>
            </c:dLbl>
            <c:dLbl>
              <c:idx val="1"/>
              <c:layout>
                <c:manualLayout>
                  <c:x val="-3.6703616736936347E-2"/>
                  <c:y val="-4.3789690546481755E-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832745308013369E-2"/>
                      <c:h val="3.8230359152985151E-2"/>
                    </c:manualLayout>
                  </c15:layout>
                </c:ext>
                <c:ext xmlns:c16="http://schemas.microsoft.com/office/drawing/2014/chart" uri="{C3380CC4-5D6E-409C-BE32-E72D297353CC}">
                  <c16:uniqueId val="{00000007-CC93-47D2-85EB-5DF93B02AE90}"/>
                </c:ext>
              </c:extLst>
            </c:dLbl>
            <c:dLbl>
              <c:idx val="2"/>
              <c:layout>
                <c:manualLayout>
                  <c:x val="-2.2949456118089597E-2"/>
                  <c:y val="-7.0763332837754614E-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832745308013369E-2"/>
                      <c:h val="3.8230359152985151E-2"/>
                    </c:manualLayout>
                  </c15:layout>
                </c:ext>
                <c:ext xmlns:c16="http://schemas.microsoft.com/office/drawing/2014/chart" uri="{C3380CC4-5D6E-409C-BE32-E72D297353CC}">
                  <c16:uniqueId val="{00000008-CC93-47D2-85EB-5DF93B02AE90}"/>
                </c:ext>
              </c:extLst>
            </c:dLbl>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Pivots!$I$14:$I$17</c:f>
              <c:strCache>
                <c:ptCount val="3"/>
                <c:pt idx="0">
                  <c:v>Research &amp; Development</c:v>
                </c:pt>
                <c:pt idx="1">
                  <c:v>Human Resources</c:v>
                </c:pt>
                <c:pt idx="2">
                  <c:v>Sales</c:v>
                </c:pt>
              </c:strCache>
            </c:strRef>
          </c:cat>
          <c:val>
            <c:numRef>
              <c:f>Pivots!$K$14:$K$17</c:f>
              <c:numCache>
                <c:formatCode>0.00%</c:formatCode>
                <c:ptCount val="3"/>
                <c:pt idx="0">
                  <c:v>0.13839750260145681</c:v>
                </c:pt>
                <c:pt idx="1">
                  <c:v>0.19047619047619047</c:v>
                </c:pt>
                <c:pt idx="2">
                  <c:v>0.20627802690582961</c:v>
                </c:pt>
              </c:numCache>
            </c:numRef>
          </c:val>
          <c:smooth val="0"/>
          <c:extLst>
            <c:ext xmlns:c16="http://schemas.microsoft.com/office/drawing/2014/chart" uri="{C3380CC4-5D6E-409C-BE32-E72D297353CC}">
              <c16:uniqueId val="{00000006-CC93-47D2-85EB-5DF93B02AE90}"/>
            </c:ext>
          </c:extLst>
        </c:ser>
        <c:dLbls>
          <c:showLegendKey val="0"/>
          <c:showVal val="0"/>
          <c:showCatName val="0"/>
          <c:showSerName val="0"/>
          <c:showPercent val="0"/>
          <c:showBubbleSize val="0"/>
        </c:dLbls>
        <c:marker val="1"/>
        <c:smooth val="0"/>
        <c:axId val="1297990320"/>
        <c:axId val="2027484496"/>
      </c:lineChart>
      <c:catAx>
        <c:axId val="2022032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623696"/>
        <c:crosses val="autoZero"/>
        <c:auto val="1"/>
        <c:lblAlgn val="ctr"/>
        <c:lblOffset val="100"/>
        <c:noMultiLvlLbl val="0"/>
      </c:catAx>
      <c:valAx>
        <c:axId val="202762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t"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baseline="0"/>
                  <a:t>Employees Left</a:t>
                </a:r>
                <a:endParaRPr lang="en-GB"/>
              </a:p>
            </c:rich>
          </c:tx>
          <c:overlay val="0"/>
          <c:spPr>
            <a:noFill/>
            <a:ln>
              <a:noFill/>
            </a:ln>
            <a:effectLst/>
          </c:spPr>
          <c:txPr>
            <a:bodyPr rot="-5400000" spcFirstLastPara="1" vertOverflow="ellipsis" vert="horz" wrap="square" anchor="t"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032768"/>
        <c:crosses val="autoZero"/>
        <c:crossBetween val="between"/>
      </c:valAx>
      <c:valAx>
        <c:axId val="202748449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990320"/>
        <c:crosses val="max"/>
        <c:crossBetween val="between"/>
      </c:valAx>
      <c:catAx>
        <c:axId val="1297990320"/>
        <c:scaling>
          <c:orientation val="minMax"/>
        </c:scaling>
        <c:delete val="1"/>
        <c:axPos val="b"/>
        <c:numFmt formatCode="General" sourceLinked="1"/>
        <c:majorTickMark val="out"/>
        <c:minorTickMark val="none"/>
        <c:tickLblPos val="nextTo"/>
        <c:crossAx val="202748449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[HR-Employee-Attrition.xlsx]Pivots!twoB</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400" b="0" i="0" u="none" strike="noStrike" kern="1200" spc="0" baseline="0">
                <a:solidFill>
                  <a:sysClr val="windowText" lastClr="000000">
                    <a:lumMod val="65000"/>
                    <a:lumOff val="35000"/>
                  </a:sysClr>
                </a:solidFill>
              </a:rPr>
              <a:t>Attrition Rate by </a:t>
            </a:r>
            <a:r>
              <a:rPr lang="en-GB" sz="1400" b="0" i="0" u="none" strike="noStrike" baseline="0"/>
              <a:t>Job Role</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Pivots!$J$47</c:f>
              <c:strCache>
                <c:ptCount val="1"/>
                <c:pt idx="0">
                  <c:v>Total</c:v>
                </c:pt>
              </c:strCache>
            </c:strRef>
          </c:tx>
          <c:spPr>
            <a:solidFill>
              <a:schemeClr val="accent1"/>
            </a:solidFill>
            <a:ln>
              <a:noFill/>
            </a:ln>
            <a:effectLst/>
          </c:spPr>
          <c:invertIfNegative val="0"/>
          <c:cat>
            <c:strRef>
              <c:f>Pivots!$I$48:$I$57</c:f>
              <c:strCache>
                <c:ptCount val="9"/>
                <c:pt idx="0">
                  <c:v>Research Director</c:v>
                </c:pt>
                <c:pt idx="1">
                  <c:v>Manager</c:v>
                </c:pt>
                <c:pt idx="2">
                  <c:v>Healthcare Representative</c:v>
                </c:pt>
                <c:pt idx="3">
                  <c:v>Manufacturing Director</c:v>
                </c:pt>
                <c:pt idx="4">
                  <c:v>Research Scientist</c:v>
                </c:pt>
                <c:pt idx="5">
                  <c:v>Sales Executive</c:v>
                </c:pt>
                <c:pt idx="6">
                  <c:v>Human Resources</c:v>
                </c:pt>
                <c:pt idx="7">
                  <c:v>Laboratory Technician</c:v>
                </c:pt>
                <c:pt idx="8">
                  <c:v>Sales Representative</c:v>
                </c:pt>
              </c:strCache>
            </c:strRef>
          </c:cat>
          <c:val>
            <c:numRef>
              <c:f>Pivots!$J$48:$J$57</c:f>
              <c:numCache>
                <c:formatCode>0.00%</c:formatCode>
                <c:ptCount val="9"/>
                <c:pt idx="0">
                  <c:v>2.5000000000000001E-2</c:v>
                </c:pt>
                <c:pt idx="1">
                  <c:v>4.9019607843137254E-2</c:v>
                </c:pt>
                <c:pt idx="2">
                  <c:v>6.8702290076335881E-2</c:v>
                </c:pt>
                <c:pt idx="3">
                  <c:v>6.8965517241379309E-2</c:v>
                </c:pt>
                <c:pt idx="4">
                  <c:v>0.16095890410958905</c:v>
                </c:pt>
                <c:pt idx="5">
                  <c:v>0.17484662576687116</c:v>
                </c:pt>
                <c:pt idx="6">
                  <c:v>0.23076923076923078</c:v>
                </c:pt>
                <c:pt idx="7">
                  <c:v>0.23938223938223938</c:v>
                </c:pt>
                <c:pt idx="8">
                  <c:v>0.39759036144578314</c:v>
                </c:pt>
              </c:numCache>
            </c:numRef>
          </c:val>
          <c:extLst>
            <c:ext xmlns:c16="http://schemas.microsoft.com/office/drawing/2014/chart" uri="{C3380CC4-5D6E-409C-BE32-E72D297353CC}">
              <c16:uniqueId val="{00000000-A266-4F24-8B1D-CDBC8114B547}"/>
            </c:ext>
          </c:extLst>
        </c:ser>
        <c:dLbls>
          <c:showLegendKey val="0"/>
          <c:showVal val="0"/>
          <c:showCatName val="0"/>
          <c:showSerName val="0"/>
          <c:showPercent val="0"/>
          <c:showBubbleSize val="0"/>
        </c:dLbls>
        <c:gapWidth val="46"/>
        <c:axId val="1211223312"/>
        <c:axId val="2027583376"/>
      </c:barChart>
      <c:catAx>
        <c:axId val="1211223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583376"/>
        <c:crosses val="autoZero"/>
        <c:auto val="1"/>
        <c:lblAlgn val="ctr"/>
        <c:lblOffset val="100"/>
        <c:noMultiLvlLbl val="0"/>
      </c:catAx>
      <c:valAx>
        <c:axId val="202758337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22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[HR-Employee-Attrition.xlsx]Pivots!three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Attrition Rate by Overtime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Pivots!$W$12</c:f>
              <c:strCache>
                <c:ptCount val="1"/>
                <c:pt idx="0">
                  <c:v>Total</c:v>
                </c:pt>
              </c:strCache>
            </c:strRef>
          </c:tx>
          <c:spPr>
            <a:solidFill>
              <a:schemeClr val="accent1"/>
            </a:solidFill>
            <a:ln>
              <a:noFill/>
            </a:ln>
            <a:effectLst/>
          </c:spPr>
          <c:invertIfNegative val="0"/>
          <c:cat>
            <c:strRef>
              <c:f>Pivots!$V$13:$V$15</c:f>
              <c:strCache>
                <c:ptCount val="2"/>
                <c:pt idx="0">
                  <c:v>No</c:v>
                </c:pt>
                <c:pt idx="1">
                  <c:v>Yes</c:v>
                </c:pt>
              </c:strCache>
            </c:strRef>
          </c:cat>
          <c:val>
            <c:numRef>
              <c:f>Pivots!$W$13:$W$15</c:f>
              <c:numCache>
                <c:formatCode>0.00%</c:formatCode>
                <c:ptCount val="2"/>
                <c:pt idx="0">
                  <c:v>0.10436432637571158</c:v>
                </c:pt>
                <c:pt idx="1">
                  <c:v>0.30528846153846156</c:v>
                </c:pt>
              </c:numCache>
            </c:numRef>
          </c:val>
          <c:extLst>
            <c:ext xmlns:c16="http://schemas.microsoft.com/office/drawing/2014/chart" uri="{C3380CC4-5D6E-409C-BE32-E72D297353CC}">
              <c16:uniqueId val="{00000000-1B4C-4439-A1A1-EA9C8AAEC770}"/>
            </c:ext>
          </c:extLst>
        </c:ser>
        <c:dLbls>
          <c:showLegendKey val="0"/>
          <c:showVal val="0"/>
          <c:showCatName val="0"/>
          <c:showSerName val="0"/>
          <c:showPercent val="0"/>
          <c:showBubbleSize val="0"/>
        </c:dLbls>
        <c:gapWidth val="219"/>
        <c:overlap val="-27"/>
        <c:axId val="1282082768"/>
        <c:axId val="2027501296"/>
      </c:barChart>
      <c:catAx>
        <c:axId val="128208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501296"/>
        <c:crosses val="autoZero"/>
        <c:auto val="1"/>
        <c:lblAlgn val="ctr"/>
        <c:lblOffset val="100"/>
        <c:noMultiLvlLbl val="0"/>
      </c:catAx>
      <c:valAx>
        <c:axId val="20275012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08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[HR-Employee-Attrition.xlsx]Pivots!four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Attrition Rate by Income Band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Pivots!$AG$15</c:f>
              <c:strCache>
                <c:ptCount val="1"/>
                <c:pt idx="0">
                  <c:v>Total</c:v>
                </c:pt>
              </c:strCache>
            </c:strRef>
          </c:tx>
          <c:spPr>
            <a:solidFill>
              <a:schemeClr val="accent1"/>
            </a:solidFill>
            <a:ln>
              <a:noFill/>
            </a:ln>
            <a:effectLst/>
          </c:spPr>
          <c:invertIfNegative val="0"/>
          <c:cat>
            <c:strRef>
              <c:f>Pivots!$AF$16:$AF$21</c:f>
              <c:strCache>
                <c:ptCount val="5"/>
                <c:pt idx="0">
                  <c:v>Very High Income</c:v>
                </c:pt>
                <c:pt idx="1">
                  <c:v>High Income</c:v>
                </c:pt>
                <c:pt idx="2">
                  <c:v>Low Income</c:v>
                </c:pt>
                <c:pt idx="3">
                  <c:v>Moderate Income</c:v>
                </c:pt>
                <c:pt idx="4">
                  <c:v>Very Low Income</c:v>
                </c:pt>
              </c:strCache>
            </c:strRef>
          </c:cat>
          <c:val>
            <c:numRef>
              <c:f>Pivots!$AG$16:$AG$21</c:f>
              <c:numCache>
                <c:formatCode>0.00%</c:formatCode>
                <c:ptCount val="5"/>
                <c:pt idx="0">
                  <c:v>3.968253968253968E-2</c:v>
                </c:pt>
                <c:pt idx="1">
                  <c:v>8.6956521739130432E-2</c:v>
                </c:pt>
                <c:pt idx="2">
                  <c:v>0.10989010989010989</c:v>
                </c:pt>
                <c:pt idx="3">
                  <c:v>0.15591397849462366</c:v>
                </c:pt>
                <c:pt idx="4">
                  <c:v>0.25230202578268879</c:v>
                </c:pt>
              </c:numCache>
            </c:numRef>
          </c:val>
          <c:extLst>
            <c:ext xmlns:c16="http://schemas.microsoft.com/office/drawing/2014/chart" uri="{C3380CC4-5D6E-409C-BE32-E72D297353CC}">
              <c16:uniqueId val="{00000000-E3F6-4F97-984E-98AF3079B928}"/>
            </c:ext>
          </c:extLst>
        </c:ser>
        <c:dLbls>
          <c:showLegendKey val="0"/>
          <c:showVal val="0"/>
          <c:showCatName val="0"/>
          <c:showSerName val="0"/>
          <c:showPercent val="0"/>
          <c:showBubbleSize val="0"/>
        </c:dLbls>
        <c:gapWidth val="93"/>
        <c:overlap val="-27"/>
        <c:axId val="1211220064"/>
        <c:axId val="2027562736"/>
      </c:barChart>
      <c:catAx>
        <c:axId val="121122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562736"/>
        <c:crosses val="autoZero"/>
        <c:auto val="1"/>
        <c:lblAlgn val="ctr"/>
        <c:lblOffset val="100"/>
        <c:noMultiLvlLbl val="0"/>
      </c:catAx>
      <c:valAx>
        <c:axId val="20275627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22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[HR-Employee-Attrition.xlsx]Pivots!five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Attrition Rate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Pivots!$AQ$15</c:f>
              <c:strCache>
                <c:ptCount val="1"/>
                <c:pt idx="0">
                  <c:v>Total</c:v>
                </c:pt>
              </c:strCache>
            </c:strRef>
          </c:tx>
          <c:spPr>
            <a:solidFill>
              <a:schemeClr val="accent1"/>
            </a:solidFill>
            <a:ln>
              <a:noFill/>
            </a:ln>
            <a:effectLst/>
          </c:spPr>
          <c:invertIfNegative val="0"/>
          <c:cat>
            <c:strRef>
              <c:f>Pivots!$AP$16:$AP$21</c:f>
              <c:strCache>
                <c:ptCount val="5"/>
                <c:pt idx="0">
                  <c:v>18-24</c:v>
                </c:pt>
                <c:pt idx="1">
                  <c:v>25-34</c:v>
                </c:pt>
                <c:pt idx="2">
                  <c:v>35-44</c:v>
                </c:pt>
                <c:pt idx="3">
                  <c:v>45-54</c:v>
                </c:pt>
                <c:pt idx="4">
                  <c:v>55+</c:v>
                </c:pt>
              </c:strCache>
            </c:strRef>
          </c:cat>
          <c:val>
            <c:numRef>
              <c:f>Pivots!$AQ$16:$AQ$21</c:f>
              <c:numCache>
                <c:formatCode>0.00%</c:formatCode>
                <c:ptCount val="5"/>
                <c:pt idx="0">
                  <c:v>0.39175257731958762</c:v>
                </c:pt>
                <c:pt idx="1">
                  <c:v>0.20216606498194944</c:v>
                </c:pt>
                <c:pt idx="2">
                  <c:v>0.100990099009901</c:v>
                </c:pt>
                <c:pt idx="3">
                  <c:v>0.10204081632653061</c:v>
                </c:pt>
                <c:pt idx="4">
                  <c:v>0.15942028985507245</c:v>
                </c:pt>
              </c:numCache>
            </c:numRef>
          </c:val>
          <c:extLst>
            <c:ext xmlns:c16="http://schemas.microsoft.com/office/drawing/2014/chart" uri="{C3380CC4-5D6E-409C-BE32-E72D297353CC}">
              <c16:uniqueId val="{00000000-6D24-48AE-86BB-2F62594DC92F}"/>
            </c:ext>
          </c:extLst>
        </c:ser>
        <c:dLbls>
          <c:showLegendKey val="0"/>
          <c:showVal val="0"/>
          <c:showCatName val="0"/>
          <c:showSerName val="0"/>
          <c:showPercent val="0"/>
          <c:showBubbleSize val="0"/>
        </c:dLbls>
        <c:gapWidth val="93"/>
        <c:overlap val="-27"/>
        <c:axId val="1276986752"/>
        <c:axId val="2027612176"/>
      </c:barChart>
      <c:catAx>
        <c:axId val="127698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612176"/>
        <c:crosses val="autoZero"/>
        <c:auto val="1"/>
        <c:lblAlgn val="ctr"/>
        <c:lblOffset val="100"/>
        <c:noMultiLvlLbl val="0"/>
      </c:catAx>
      <c:valAx>
        <c:axId val="2027612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98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[HR-Employee-Attrition.xlsx]Pivots!six</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Attrition Rate by Job Satisfaction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Pivots!$BB$14</c:f>
              <c:strCache>
                <c:ptCount val="1"/>
                <c:pt idx="0">
                  <c:v>Total</c:v>
                </c:pt>
              </c:strCache>
            </c:strRef>
          </c:tx>
          <c:spPr>
            <a:solidFill>
              <a:schemeClr val="accent1"/>
            </a:solidFill>
            <a:ln>
              <a:noFill/>
            </a:ln>
            <a:effectLst/>
          </c:spPr>
          <c:invertIfNegative val="0"/>
          <c:cat>
            <c:strRef>
              <c:f>Pivots!$BA$15:$BA$19</c:f>
              <c:strCache>
                <c:ptCount val="4"/>
                <c:pt idx="0">
                  <c:v>Very Dissatisfied</c:v>
                </c:pt>
                <c:pt idx="1">
                  <c:v>Satisfied</c:v>
                </c:pt>
                <c:pt idx="2">
                  <c:v>Dissatisfied</c:v>
                </c:pt>
                <c:pt idx="3">
                  <c:v>Very Satisfied</c:v>
                </c:pt>
              </c:strCache>
            </c:strRef>
          </c:cat>
          <c:val>
            <c:numRef>
              <c:f>Pivots!$BB$15:$BB$19</c:f>
              <c:numCache>
                <c:formatCode>0.00%</c:formatCode>
                <c:ptCount val="4"/>
                <c:pt idx="0">
                  <c:v>0.22837370242214533</c:v>
                </c:pt>
                <c:pt idx="1">
                  <c:v>0.16515837104072398</c:v>
                </c:pt>
                <c:pt idx="2">
                  <c:v>0.16428571428571428</c:v>
                </c:pt>
                <c:pt idx="3">
                  <c:v>0.11328976034858387</c:v>
                </c:pt>
              </c:numCache>
            </c:numRef>
          </c:val>
          <c:extLst>
            <c:ext xmlns:c16="http://schemas.microsoft.com/office/drawing/2014/chart" uri="{C3380CC4-5D6E-409C-BE32-E72D297353CC}">
              <c16:uniqueId val="{00000000-3BF6-46CD-B7A4-98696CD88FDB}"/>
            </c:ext>
          </c:extLst>
        </c:ser>
        <c:dLbls>
          <c:showLegendKey val="0"/>
          <c:showVal val="0"/>
          <c:showCatName val="0"/>
          <c:showSerName val="0"/>
          <c:showPercent val="0"/>
          <c:showBubbleSize val="0"/>
        </c:dLbls>
        <c:gapWidth val="99"/>
        <c:overlap val="-27"/>
        <c:axId val="1281994144"/>
        <c:axId val="2058042000"/>
      </c:barChart>
      <c:catAx>
        <c:axId val="128199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042000"/>
        <c:crosses val="autoZero"/>
        <c:auto val="1"/>
        <c:lblAlgn val="ctr"/>
        <c:lblOffset val="100"/>
        <c:noMultiLvlLbl val="0"/>
      </c:catAx>
      <c:valAx>
        <c:axId val="20580420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99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a:t>
            </a:r>
            <a:r>
              <a:rPr lang="en-US" baseline="0"/>
              <a:t> Attrition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6401399825021871"/>
          <c:y val="0.1902314814814815"/>
          <c:w val="0.46363888888888888"/>
          <c:h val="0.77273148148148152"/>
        </c:manualLayout>
      </c:layout>
      <c:doughnutChart>
        <c:varyColors val="1"/>
        <c:ser>
          <c:idx val="0"/>
          <c:order val="0"/>
          <c:tx>
            <c:strRef>
              <c:f>Pivots!$C$35</c:f>
              <c:strCache>
                <c:ptCount val="1"/>
                <c:pt idx="0">
                  <c:v>Value</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0B-4CAE-BC9C-BCB6D1BA017C}"/>
              </c:ext>
            </c:extLst>
          </c:dPt>
          <c:dPt>
            <c:idx val="1"/>
            <c:bubble3D val="0"/>
            <c:spPr>
              <a:solidFill>
                <a:srgbClr val="B4B6B9"/>
              </a:solidFill>
              <a:ln w="19050">
                <a:solidFill>
                  <a:schemeClr val="lt1"/>
                </a:solidFill>
              </a:ln>
              <a:effectLst/>
            </c:spPr>
            <c:extLst>
              <c:ext xmlns:c16="http://schemas.microsoft.com/office/drawing/2014/chart" uri="{C3380CC4-5D6E-409C-BE32-E72D297353CC}">
                <c16:uniqueId val="{00000002-DA56-4939-AA12-A267BA1B1AD7}"/>
              </c:ext>
            </c:extLst>
          </c:dPt>
          <c:dPt>
            <c:idx val="2"/>
            <c:bubble3D val="0"/>
            <c:spPr>
              <a:noFill/>
              <a:ln w="19050">
                <a:noFill/>
              </a:ln>
              <a:effectLst/>
            </c:spPr>
            <c:extLst>
              <c:ext xmlns:c16="http://schemas.microsoft.com/office/drawing/2014/chart" uri="{C3380CC4-5D6E-409C-BE32-E72D297353CC}">
                <c16:uniqueId val="{00000001-DA56-4939-AA12-A267BA1B1AD7}"/>
              </c:ext>
            </c:extLst>
          </c:dPt>
          <c:cat>
            <c:strRef>
              <c:f>Pivots!$B$36:$B$38</c:f>
              <c:strCache>
                <c:ptCount val="3"/>
                <c:pt idx="0">
                  <c:v>Attrition</c:v>
                </c:pt>
                <c:pt idx="1">
                  <c:v>Remaining</c:v>
                </c:pt>
                <c:pt idx="2">
                  <c:v>Hidden</c:v>
                </c:pt>
              </c:strCache>
            </c:strRef>
          </c:cat>
          <c:val>
            <c:numRef>
              <c:f>Pivots!$C$36:$C$38</c:f>
              <c:numCache>
                <c:formatCode>0.00%</c:formatCode>
                <c:ptCount val="3"/>
                <c:pt idx="0">
                  <c:v>0.16122448979591836</c:v>
                </c:pt>
                <c:pt idx="1">
                  <c:v>0.23877551020408166</c:v>
                </c:pt>
                <c:pt idx="2" formatCode="0%">
                  <c:v>0.4</c:v>
                </c:pt>
              </c:numCache>
            </c:numRef>
          </c:val>
          <c:extLst>
            <c:ext xmlns:c16="http://schemas.microsoft.com/office/drawing/2014/chart" uri="{C3380CC4-5D6E-409C-BE32-E72D297353CC}">
              <c16:uniqueId val="{00000000-DA56-4939-AA12-A267BA1B1AD7}"/>
            </c:ext>
          </c:extLst>
        </c:ser>
        <c:dLbls>
          <c:showLegendKey val="0"/>
          <c:showVal val="0"/>
          <c:showCatName val="0"/>
          <c:showSerName val="0"/>
          <c:showPercent val="0"/>
          <c:showBubbleSize val="0"/>
          <c:showLeaderLines val="1"/>
        </c:dLbls>
        <c:firstSliceAng val="270"/>
        <c:holeSize val="8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C4-460E-948C-02BFC82C21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58C4-460E-948C-02BFC82C21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58C4-460E-948C-02BFC82C21AB}"/>
              </c:ext>
            </c:extLst>
          </c:dPt>
          <c:dLbls>
            <c:dLbl>
              <c:idx val="0"/>
              <c:tx>
                <c:rich>
                  <a:bodyPr/>
                  <a:lstStyle/>
                  <a:p>
                    <a:fld id="{9623AD5A-28EB-4077-BC2B-6DAFF901A8A6}"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8C4-460E-948C-02BFC82C21AB}"/>
                </c:ext>
              </c:extLst>
            </c:dLbl>
            <c:dLbl>
              <c:idx val="1"/>
              <c:tx>
                <c:rich>
                  <a:bodyPr/>
                  <a:lstStyle/>
                  <a:p>
                    <a:fld id="{446B55FF-AF43-4BB6-8DB4-E16FB34111AC}"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8C4-460E-948C-02BFC82C21AB}"/>
                </c:ext>
              </c:extLst>
            </c:dLbl>
            <c:dLbl>
              <c:idx val="2"/>
              <c:tx>
                <c:rich>
                  <a:bodyPr/>
                  <a:lstStyle/>
                  <a:p>
                    <a:fld id="{810B56EE-EAA5-4A71-8815-138AADEF0EBE}"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8C4-460E-948C-02BFC82C21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Pivots!$BO$9:$BO$11</c:f>
              <c:strCache>
                <c:ptCount val="3"/>
                <c:pt idx="0">
                  <c:v>Low</c:v>
                </c:pt>
                <c:pt idx="1">
                  <c:v>Medium</c:v>
                </c:pt>
                <c:pt idx="2">
                  <c:v>High</c:v>
                </c:pt>
              </c:strCache>
            </c:strRef>
          </c:cat>
          <c:val>
            <c:numRef>
              <c:f>Pivots!$BP$9:$BP$11</c:f>
              <c:numCache>
                <c:formatCode>General</c:formatCode>
                <c:ptCount val="3"/>
                <c:pt idx="0">
                  <c:v>612</c:v>
                </c:pt>
                <c:pt idx="1">
                  <c:v>553</c:v>
                </c:pt>
                <c:pt idx="2">
                  <c:v>68</c:v>
                </c:pt>
              </c:numCache>
            </c:numRef>
          </c:val>
          <c:extLst>
            <c:ext xmlns:c15="http://schemas.microsoft.com/office/drawing/2012/chart" uri="{02D57815-91ED-43cb-92C2-25804820EDAC}">
              <c15:datalabelsRange>
                <c15:f>Pivots!$BQ$9:$BQ$11</c15:f>
                <c15:dlblRangeCache>
                  <c:ptCount val="3"/>
                  <c:pt idx="0">
                    <c:v>Low 612 (49.6%)</c:v>
                  </c:pt>
                  <c:pt idx="1">
                    <c:v>Medium 553 (44.8%)</c:v>
                  </c:pt>
                  <c:pt idx="2">
                    <c:v>High 68 (5.5%)</c:v>
                  </c:pt>
                </c15:dlblRangeCache>
              </c15:datalabelsRange>
            </c:ext>
            <c:ext xmlns:c16="http://schemas.microsoft.com/office/drawing/2014/chart" uri="{C3380CC4-5D6E-409C-BE32-E72D297353CC}">
              <c16:uniqueId val="{00000000-58C4-460E-948C-02BFC82C21A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a:t>
            </a:r>
            <a:r>
              <a:rPr lang="en-US" baseline="0"/>
              <a:t> Attrition Rate</a:t>
            </a:r>
            <a:endParaRPr lang="en-US"/>
          </a:p>
        </c:rich>
      </c:tx>
      <c:layout>
        <c:manualLayout>
          <c:xMode val="edge"/>
          <c:yMode val="edge"/>
          <c:x val="0.3110101116998217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641040834119881"/>
          <c:y val="0.10356570782463556"/>
          <c:w val="0.65859918872182588"/>
          <c:h val="0.89202686149826449"/>
        </c:manualLayout>
      </c:layout>
      <c:doughnutChart>
        <c:varyColors val="1"/>
        <c:ser>
          <c:idx val="0"/>
          <c:order val="0"/>
          <c:tx>
            <c:strRef>
              <c:f>Pivots!$C$35</c:f>
              <c:strCache>
                <c:ptCount val="1"/>
                <c:pt idx="0">
                  <c:v>Value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81-482E-8235-56F040F053E9}"/>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8981-482E-8235-56F040F053E9}"/>
              </c:ext>
            </c:extLst>
          </c:dPt>
          <c:dPt>
            <c:idx val="2"/>
            <c:bubble3D val="0"/>
            <c:spPr>
              <a:noFill/>
              <a:ln w="19050">
                <a:noFill/>
              </a:ln>
              <a:effectLst/>
            </c:spPr>
            <c:extLst>
              <c:ext xmlns:c16="http://schemas.microsoft.com/office/drawing/2014/chart" uri="{C3380CC4-5D6E-409C-BE32-E72D297353CC}">
                <c16:uniqueId val="{00000005-8981-482E-8235-56F040F053E9}"/>
              </c:ext>
            </c:extLst>
          </c:dPt>
          <c:cat>
            <c:strRef>
              <c:f>Pivots!$B$36:$B$38</c:f>
              <c:strCache>
                <c:ptCount val="3"/>
                <c:pt idx="0">
                  <c:v>Attrition</c:v>
                </c:pt>
                <c:pt idx="1">
                  <c:v>Remaining</c:v>
                </c:pt>
                <c:pt idx="2">
                  <c:v>Hidden</c:v>
                </c:pt>
              </c:strCache>
            </c:strRef>
          </c:cat>
          <c:val>
            <c:numRef>
              <c:f>Pivots!$C$36:$C$38</c:f>
              <c:numCache>
                <c:formatCode>0.00%</c:formatCode>
                <c:ptCount val="3"/>
                <c:pt idx="0">
                  <c:v>0.16122448979591836</c:v>
                </c:pt>
                <c:pt idx="1">
                  <c:v>0.23877551020408166</c:v>
                </c:pt>
                <c:pt idx="2" formatCode="0%">
                  <c:v>0.4</c:v>
                </c:pt>
              </c:numCache>
            </c:numRef>
          </c:val>
          <c:extLst>
            <c:ext xmlns:c16="http://schemas.microsoft.com/office/drawing/2014/chart" uri="{C3380CC4-5D6E-409C-BE32-E72D297353CC}">
              <c16:uniqueId val="{00000006-8981-482E-8235-56F040F053E9}"/>
            </c:ext>
          </c:extLst>
        </c:ser>
        <c:dLbls>
          <c:showLegendKey val="0"/>
          <c:showVal val="0"/>
          <c:showCatName val="0"/>
          <c:showSerName val="0"/>
          <c:showPercent val="0"/>
          <c:showBubbleSize val="0"/>
          <c:showLeaderLines val="1"/>
        </c:dLbls>
        <c:firstSliceAng val="270"/>
        <c:holeSize val="8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[HR-Employee-Attrition.xlsx]Pivots!twoA</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b="0" i="0" u="none" strike="noStrike" baseline="0"/>
              <a:t>Employees Left &amp; Attrition Rate by Department</a:t>
            </a:r>
            <a:endParaRPr lang="en-GB" sz="1100"/>
          </a:p>
        </c:rich>
      </c:tx>
      <c:layout>
        <c:manualLayout>
          <c:xMode val="edge"/>
          <c:yMode val="edge"/>
          <c:x val="0.2197584934132030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2">
                <a:lumMod val="75000"/>
              </a:schemeClr>
            </a:solidFill>
            <a:round/>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lumMod val="75000"/>
              </a:schemeClr>
            </a:solidFill>
            <a:round/>
          </a:ln>
          <a:effectLst/>
        </c:spPr>
        <c:marker>
          <c:symbol val="none"/>
        </c:marker>
        <c:dLbl>
          <c:idx val="0"/>
          <c:layout>
            <c:manualLayout>
              <c:x val="-3.6703616736936347E-2"/>
              <c:y val="-4.3789690546481755E-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832745308013369E-2"/>
                  <c:h val="3.8230359152985151E-2"/>
                </c:manualLayout>
              </c15:layout>
            </c:ext>
          </c:extLst>
        </c:dLbl>
      </c:pivotFmt>
      <c:pivotFmt>
        <c:idx val="3"/>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lumMod val="75000"/>
              </a:schemeClr>
            </a:solidFill>
            <a:round/>
          </a:ln>
          <a:effectLst/>
        </c:spPr>
        <c:marker>
          <c:symbol val="none"/>
        </c:marker>
        <c:dLbl>
          <c:idx val="0"/>
          <c:layout>
            <c:manualLayout>
              <c:x val="-2.2949456118089597E-2"/>
              <c:y val="-7.0763332837754614E-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832745308013369E-2"/>
                  <c:h val="3.8230359152985151E-2"/>
                </c:manualLayout>
              </c15:layout>
            </c:ext>
          </c:extLst>
        </c:dLbl>
      </c:pivotFmt>
      <c:pivotFmt>
        <c:idx val="5"/>
        <c:spPr>
          <a:solidFill>
            <a:schemeClr val="accent1"/>
          </a:solidFill>
          <a:ln w="28575" cap="rnd">
            <a:solidFill>
              <a:schemeClr val="accent2">
                <a:lumMod val="75000"/>
              </a:schemeClr>
            </a:solidFill>
            <a:round/>
          </a:ln>
          <a:effectLst/>
        </c:spPr>
        <c:marker>
          <c:symbol val="none"/>
        </c:marker>
        <c:dLbl>
          <c:idx val="0"/>
          <c:layout>
            <c:manualLayout>
              <c:x val="4.1808659334630315E-2"/>
              <c:y val="3.263562927879135E-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832745308013369E-2"/>
                  <c:h val="3.8230359152985151E-2"/>
                </c:manualLayout>
              </c15:layout>
            </c:ext>
          </c:extLst>
        </c:dLbl>
      </c:pivotFmt>
      <c:pivotFmt>
        <c:idx val="6"/>
        <c:spPr>
          <a:solidFill>
            <a:schemeClr val="accent1"/>
          </a:solidFill>
          <a:ln>
            <a:noFill/>
          </a:ln>
          <a:effectLst/>
        </c:spPr>
        <c:dLbl>
          <c:idx val="0"/>
          <c:layout>
            <c:manualLayout>
              <c:x val="4.1045917334576972E-2"/>
              <c:y val="0"/>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4.1045917334576972E-2"/>
              <c:y val="0"/>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lumMod val="75000"/>
              </a:schemeClr>
            </a:solidFill>
            <a:round/>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2">
                <a:lumMod val="75000"/>
              </a:schemeClr>
            </a:solidFill>
            <a:round/>
          </a:ln>
          <a:effectLst/>
        </c:spPr>
        <c:marker>
          <c:symbol val="none"/>
        </c:marker>
        <c:dLbl>
          <c:idx val="0"/>
          <c:layout>
            <c:manualLayout>
              <c:x val="4.1808659334630315E-2"/>
              <c:y val="3.263562927879135E-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832745308013369E-2"/>
                  <c:h val="3.8230359152985151E-2"/>
                </c:manualLayout>
              </c15:layout>
            </c:ext>
          </c:extLst>
        </c:dLbl>
      </c:pivotFmt>
      <c:pivotFmt>
        <c:idx val="11"/>
        <c:spPr>
          <a:solidFill>
            <a:schemeClr val="accent1"/>
          </a:solidFill>
          <a:ln w="28575" cap="rnd">
            <a:solidFill>
              <a:schemeClr val="accent2">
                <a:lumMod val="75000"/>
              </a:schemeClr>
            </a:solidFill>
            <a:round/>
          </a:ln>
          <a:effectLst/>
        </c:spPr>
        <c:marker>
          <c:symbol val="none"/>
        </c:marker>
        <c:dLbl>
          <c:idx val="0"/>
          <c:layout>
            <c:manualLayout>
              <c:x val="-3.6703616736936347E-2"/>
              <c:y val="-4.3789690546481755E-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832745308013369E-2"/>
                  <c:h val="3.8230359152985151E-2"/>
                </c:manualLayout>
              </c15:layout>
            </c:ext>
          </c:extLst>
        </c:dLbl>
      </c:pivotFmt>
      <c:pivotFmt>
        <c:idx val="12"/>
        <c:spPr>
          <a:solidFill>
            <a:schemeClr val="accent1"/>
          </a:solidFill>
          <a:ln w="28575" cap="rnd">
            <a:solidFill>
              <a:schemeClr val="accent2">
                <a:lumMod val="75000"/>
              </a:schemeClr>
            </a:solidFill>
            <a:round/>
          </a:ln>
          <a:effectLst/>
        </c:spPr>
        <c:marker>
          <c:symbol val="none"/>
        </c:marker>
        <c:dLbl>
          <c:idx val="0"/>
          <c:layout>
            <c:manualLayout>
              <c:x val="-2.2949456118089597E-2"/>
              <c:y val="-7.0763332837754614E-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832745308013369E-2"/>
                  <c:h val="3.8230359152985151E-2"/>
                </c:manualLayout>
              </c15:layout>
            </c:ext>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1.0394700813491226E-16"/>
              <c:y val="2.41322255945054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2">
                <a:lumMod val="75000"/>
                <a:alpha val="92000"/>
              </a:schemeClr>
            </a:solidFill>
            <a:round/>
          </a:ln>
          <a:effectLst/>
        </c:spPr>
        <c:marker>
          <c:symbol val="none"/>
        </c:marker>
        <c:dLbl>
          <c:idx val="0"/>
          <c:spPr>
            <a:solidFill>
              <a:srgbClr val="FBAF1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F5B78"/>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2">
                <a:lumMod val="75000"/>
                <a:alpha val="92000"/>
              </a:schemeClr>
            </a:solidFill>
            <a:round/>
          </a:ln>
          <a:effectLst/>
        </c:spPr>
        <c:marker>
          <c:symbol val="none"/>
        </c:marker>
      </c:pivotFmt>
      <c:pivotFmt>
        <c:idx val="17"/>
        <c:spPr>
          <a:solidFill>
            <a:schemeClr val="accent1"/>
          </a:solidFill>
          <a:ln w="28575" cap="rnd">
            <a:solidFill>
              <a:schemeClr val="accent2">
                <a:lumMod val="75000"/>
                <a:alpha val="92000"/>
              </a:schemeClr>
            </a:solidFill>
            <a:round/>
          </a:ln>
          <a:effectLst/>
        </c:spPr>
        <c:marker>
          <c:symbol val="none"/>
        </c:marker>
        <c:dLbl>
          <c:idx val="0"/>
          <c:layout>
            <c:manualLayout>
              <c:x val="-1.133980461159495E-2"/>
              <c:y val="-0.10859501517527456"/>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0F5B78"/>
                    </a:solidFill>
                    <a:latin typeface="+mn-lt"/>
                    <a:ea typeface="+mn-ea"/>
                    <a:cs typeface="+mn-cs"/>
                  </a:defRPr>
                </a:pPr>
                <a:fld id="{F3448792-A873-4E4B-BF92-4DAEACC718B1}" type="VALUE">
                  <a:rPr lang="en-US">
                    <a:solidFill>
                      <a:srgbClr val="0F5B78"/>
                    </a:solidFill>
                  </a:rPr>
                  <a:pPr>
                    <a:defRPr sz="900" b="0" i="0" u="none" strike="noStrike" kern="1200" baseline="0">
                      <a:solidFill>
                        <a:srgbClr val="0F5B78"/>
                      </a:solidFill>
                      <a:latin typeface="+mn-lt"/>
                      <a:ea typeface="+mn-ea"/>
                      <a:cs typeface="+mn-cs"/>
                    </a:defRPr>
                  </a:pPr>
                  <a:t>[VALUE]</a:t>
                </a:fld>
                <a:endParaRPr lang="en-GB"/>
              </a:p>
            </c:rich>
          </c:tx>
          <c:spPr>
            <a:solidFill>
              <a:srgbClr val="FBAF1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F5B78"/>
                  </a:solidFill>
                  <a:latin typeface="+mn-lt"/>
                  <a:ea typeface="+mn-ea"/>
                  <a:cs typeface="+mn-cs"/>
                </a:defRPr>
              </a:pPr>
              <a:endParaRPr lang="en-GB"/>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chemeClr val="accent1"/>
          </a:solidFill>
          <a:ln w="28575" cap="rnd">
            <a:solidFill>
              <a:schemeClr val="accent2">
                <a:lumMod val="75000"/>
                <a:alpha val="92000"/>
              </a:schemeClr>
            </a:solidFill>
            <a:round/>
          </a:ln>
          <a:effectLst/>
        </c:spPr>
        <c:marker>
          <c:symbol val="none"/>
        </c:marker>
      </c:pivotFmt>
      <c:pivotFmt>
        <c:idx val="19"/>
        <c:spPr>
          <a:solidFill>
            <a:srgbClr val="BFD7E3"/>
          </a:solidFill>
          <a:ln>
            <a:noFill/>
          </a:ln>
          <a:effectLst/>
        </c:spPr>
      </c:pivotFmt>
      <c:pivotFmt>
        <c:idx val="20"/>
        <c:spPr>
          <a:solidFill>
            <a:schemeClr val="accent1"/>
          </a:solidFill>
          <a:ln>
            <a:noFill/>
          </a:ln>
          <a:effectLst/>
        </c:spPr>
        <c:dLbl>
          <c:idx val="0"/>
          <c:layout>
            <c:manualLayout>
              <c:x val="-5.6699023057974751E-3"/>
              <c:y val="1.20661127972527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5.6699023057974751E-3"/>
              <c:y val="1.20661127972527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BFD7E3"/>
          </a:solidFill>
          <a:ln>
            <a:noFill/>
          </a:ln>
          <a:effectLst/>
        </c:spPr>
      </c:pivotFmt>
      <c:pivotFmt>
        <c:idx val="24"/>
        <c:spPr>
          <a:solidFill>
            <a:schemeClr val="accent1"/>
          </a:solidFill>
          <a:ln>
            <a:noFill/>
          </a:ln>
          <a:effectLst/>
        </c:spPr>
        <c:dLbl>
          <c:idx val="0"/>
          <c:layout>
            <c:manualLayout>
              <c:x val="-1.0394700813491226E-16"/>
              <c:y val="2.41322255945054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2">
                <a:lumMod val="75000"/>
                <a:alpha val="92000"/>
              </a:schemeClr>
            </a:solidFill>
            <a:round/>
          </a:ln>
          <a:effectLst/>
        </c:spPr>
        <c:marker>
          <c:symbol val="none"/>
        </c:marker>
        <c:dLbl>
          <c:idx val="0"/>
          <c:spPr>
            <a:solidFill>
              <a:srgbClr val="FBAF1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2">
                <a:lumMod val="75000"/>
                <a:alpha val="92000"/>
              </a:schemeClr>
            </a:solidFill>
            <a:round/>
          </a:ln>
          <a:effectLst/>
        </c:spPr>
        <c:marker>
          <c:symbol val="none"/>
        </c:marker>
        <c:dLbl>
          <c:idx val="0"/>
          <c:layout>
            <c:manualLayout>
              <c:x val="-2.8349511528987376E-2"/>
              <c:y val="-1.8099169195879145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F3448792-A873-4E4B-BF92-4DAEACC718B1}" type="VALUE">
                  <a:rPr lang="en-US">
                    <a:solidFill>
                      <a:schemeClr val="tx1"/>
                    </a:solidFill>
                  </a:rPr>
                  <a:pPr>
                    <a:defRPr b="1">
                      <a:solidFill>
                        <a:schemeClr val="tx1"/>
                      </a:solidFill>
                    </a:defRPr>
                  </a:pPr>
                  <a:t>[VALUE]</a:t>
                </a:fld>
                <a:endParaRPr lang="en-GB"/>
              </a:p>
            </c:rich>
          </c:tx>
          <c:spPr>
            <a:solidFill>
              <a:srgbClr val="FBAF1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ln w="28575" cap="rnd">
            <a:solidFill>
              <a:schemeClr val="accent2">
                <a:lumMod val="75000"/>
                <a:alpha val="92000"/>
              </a:schemeClr>
            </a:solidFill>
            <a:round/>
          </a:ln>
          <a:effectLst/>
        </c:spPr>
        <c:marker>
          <c:symbol val="none"/>
        </c:marker>
        <c:dLbl>
          <c:idx val="0"/>
          <c:layout>
            <c:manualLayout>
              <c:x val="-7.6543681128265914E-2"/>
              <c:y val="-3.0165281993131787E-2"/>
            </c:manualLayout>
          </c:layout>
          <c:spPr>
            <a:solidFill>
              <a:srgbClr val="FBAF1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737378038183192E-3"/>
          <c:y val="0.18050466950925989"/>
          <c:w val="0.99016834959490907"/>
          <c:h val="0.73131975954834272"/>
        </c:manualLayout>
      </c:layout>
      <c:barChart>
        <c:barDir val="col"/>
        <c:grouping val="clustered"/>
        <c:varyColors val="0"/>
        <c:ser>
          <c:idx val="0"/>
          <c:order val="0"/>
          <c:tx>
            <c:strRef>
              <c:f>Pivots!$J$13</c:f>
              <c:strCache>
                <c:ptCount val="1"/>
                <c:pt idx="0">
                  <c:v>Employees Left</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6-DD40-46BE-98B6-493A0107F5FA}"/>
              </c:ext>
            </c:extLst>
          </c:dPt>
          <c:dPt>
            <c:idx val="1"/>
            <c:invertIfNegative val="0"/>
            <c:bubble3D val="0"/>
            <c:spPr>
              <a:solidFill>
                <a:srgbClr val="BFD7E3"/>
              </a:solidFill>
              <a:ln>
                <a:noFill/>
              </a:ln>
              <a:effectLst/>
            </c:spPr>
            <c:extLst>
              <c:ext xmlns:c16="http://schemas.microsoft.com/office/drawing/2014/chart" uri="{C3380CC4-5D6E-409C-BE32-E72D297353CC}">
                <c16:uniqueId val="{00000007-DD40-46BE-98B6-493A0107F5FA}"/>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0-DD40-46BE-98B6-493A0107F5FA}"/>
              </c:ext>
            </c:extLst>
          </c:dPt>
          <c:dLbls>
            <c:dLbl>
              <c:idx val="0"/>
              <c:layout>
                <c:manualLayout>
                  <c:x val="-5.6699023057974751E-3"/>
                  <c:y val="1.20661127972527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D40-46BE-98B6-493A0107F5FA}"/>
                </c:ext>
              </c:extLst>
            </c:dLbl>
            <c:dLbl>
              <c:idx val="2"/>
              <c:layout>
                <c:manualLayout>
                  <c:x val="-1.0394700813491226E-16"/>
                  <c:y val="2.41322255945054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40-46BE-98B6-493A0107F5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Pivots!$I$14:$I$17</c:f>
              <c:strCache>
                <c:ptCount val="3"/>
                <c:pt idx="0">
                  <c:v>Research &amp; Development</c:v>
                </c:pt>
                <c:pt idx="1">
                  <c:v>Human Resources</c:v>
                </c:pt>
                <c:pt idx="2">
                  <c:v>Sales</c:v>
                </c:pt>
              </c:strCache>
            </c:strRef>
          </c:cat>
          <c:val>
            <c:numRef>
              <c:f>Pivots!$J$14:$J$17</c:f>
              <c:numCache>
                <c:formatCode>General</c:formatCode>
                <c:ptCount val="3"/>
                <c:pt idx="0">
                  <c:v>133</c:v>
                </c:pt>
                <c:pt idx="1">
                  <c:v>12</c:v>
                </c:pt>
                <c:pt idx="2">
                  <c:v>92</c:v>
                </c:pt>
              </c:numCache>
            </c:numRef>
          </c:val>
          <c:extLst>
            <c:ext xmlns:c16="http://schemas.microsoft.com/office/drawing/2014/chart" uri="{C3380CC4-5D6E-409C-BE32-E72D297353CC}">
              <c16:uniqueId val="{00000001-DD40-46BE-98B6-493A0107F5FA}"/>
            </c:ext>
          </c:extLst>
        </c:ser>
        <c:dLbls>
          <c:showLegendKey val="0"/>
          <c:showVal val="1"/>
          <c:showCatName val="0"/>
          <c:showSerName val="0"/>
          <c:showPercent val="0"/>
          <c:showBubbleSize val="0"/>
        </c:dLbls>
        <c:gapWidth val="182"/>
        <c:axId val="2022032768"/>
        <c:axId val="2027623696"/>
      </c:barChart>
      <c:lineChart>
        <c:grouping val="standard"/>
        <c:varyColors val="0"/>
        <c:ser>
          <c:idx val="1"/>
          <c:order val="1"/>
          <c:tx>
            <c:strRef>
              <c:f>Pivots!$K$13</c:f>
              <c:strCache>
                <c:ptCount val="1"/>
                <c:pt idx="0">
                  <c:v>Attrition Rate</c:v>
                </c:pt>
              </c:strCache>
            </c:strRef>
          </c:tx>
          <c:spPr>
            <a:ln w="28575" cap="rnd">
              <a:solidFill>
                <a:schemeClr val="accent2">
                  <a:lumMod val="75000"/>
                  <a:alpha val="92000"/>
                </a:schemeClr>
              </a:solidFill>
              <a:round/>
            </a:ln>
            <a:effectLst/>
          </c:spPr>
          <c:marker>
            <c:symbol val="none"/>
          </c:marker>
          <c:dPt>
            <c:idx val="1"/>
            <c:marker>
              <c:symbol val="none"/>
            </c:marker>
            <c:bubble3D val="0"/>
            <c:spPr>
              <a:ln w="28575" cap="rnd">
                <a:solidFill>
                  <a:schemeClr val="accent2">
                    <a:lumMod val="75000"/>
                    <a:alpha val="92000"/>
                  </a:schemeClr>
                </a:solidFill>
                <a:round/>
              </a:ln>
              <a:effectLst/>
            </c:spPr>
            <c:extLst>
              <c:ext xmlns:c16="http://schemas.microsoft.com/office/drawing/2014/chart" uri="{C3380CC4-5D6E-409C-BE32-E72D297353CC}">
                <c16:uniqueId val="{00000003-DD40-46BE-98B6-493A0107F5FA}"/>
              </c:ext>
            </c:extLst>
          </c:dPt>
          <c:dPt>
            <c:idx val="2"/>
            <c:marker>
              <c:symbol val="none"/>
            </c:marker>
            <c:bubble3D val="0"/>
            <c:spPr>
              <a:ln w="28575" cap="rnd">
                <a:solidFill>
                  <a:schemeClr val="accent2">
                    <a:lumMod val="75000"/>
                    <a:alpha val="92000"/>
                  </a:schemeClr>
                </a:solidFill>
                <a:round/>
              </a:ln>
              <a:effectLst/>
            </c:spPr>
            <c:extLst>
              <c:ext xmlns:c16="http://schemas.microsoft.com/office/drawing/2014/chart" uri="{C3380CC4-5D6E-409C-BE32-E72D297353CC}">
                <c16:uniqueId val="{00000003-06E9-4F98-B969-82EF8F96C090}"/>
              </c:ext>
            </c:extLst>
          </c:dPt>
          <c:dLbls>
            <c:dLbl>
              <c:idx val="1"/>
              <c:layout>
                <c:manualLayout>
                  <c:x val="-2.8349511528987376E-2"/>
                  <c:y val="-1.8099169195879145E-2"/>
                </c:manualLayout>
              </c:layout>
              <c:tx>
                <c:rich>
                  <a:bodyPr/>
                  <a:lstStyle/>
                  <a:p>
                    <a:fld id="{F3448792-A873-4E4B-BF92-4DAEACC718B1}" type="VALUE">
                      <a:rPr lang="en-US">
                        <a:solidFill>
                          <a:schemeClr val="tx1"/>
                        </a:solidFill>
                      </a:rPr>
                      <a:pPr/>
                      <a:t>[VALUE]</a:t>
                    </a:fld>
                    <a:endParaRPr lang="en-GB"/>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D40-46BE-98B6-493A0107F5FA}"/>
                </c:ext>
              </c:extLst>
            </c:dLbl>
            <c:dLbl>
              <c:idx val="2"/>
              <c:layout>
                <c:manualLayout>
                  <c:x val="-7.6543681128265914E-2"/>
                  <c:y val="-3.01652819931317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6E9-4F98-B969-82EF8F96C090}"/>
                </c:ext>
              </c:extLst>
            </c:dLbl>
            <c:spPr>
              <a:solidFill>
                <a:srgbClr val="FBAF1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Pivots!$I$14:$I$17</c:f>
              <c:strCache>
                <c:ptCount val="3"/>
                <c:pt idx="0">
                  <c:v>Research &amp; Development</c:v>
                </c:pt>
                <c:pt idx="1">
                  <c:v>Human Resources</c:v>
                </c:pt>
                <c:pt idx="2">
                  <c:v>Sales</c:v>
                </c:pt>
              </c:strCache>
            </c:strRef>
          </c:cat>
          <c:val>
            <c:numRef>
              <c:f>Pivots!$K$14:$K$17</c:f>
              <c:numCache>
                <c:formatCode>0.00%</c:formatCode>
                <c:ptCount val="3"/>
                <c:pt idx="0">
                  <c:v>0.13839750260145681</c:v>
                </c:pt>
                <c:pt idx="1">
                  <c:v>0.19047619047619047</c:v>
                </c:pt>
                <c:pt idx="2">
                  <c:v>0.20627802690582961</c:v>
                </c:pt>
              </c:numCache>
            </c:numRef>
          </c:val>
          <c:smooth val="0"/>
          <c:extLst>
            <c:ext xmlns:c16="http://schemas.microsoft.com/office/drawing/2014/chart" uri="{C3380CC4-5D6E-409C-BE32-E72D297353CC}">
              <c16:uniqueId val="{00000005-DD40-46BE-98B6-493A0107F5FA}"/>
            </c:ext>
          </c:extLst>
        </c:ser>
        <c:dLbls>
          <c:showLegendKey val="0"/>
          <c:showVal val="1"/>
          <c:showCatName val="0"/>
          <c:showSerName val="0"/>
          <c:showPercent val="0"/>
          <c:showBubbleSize val="0"/>
        </c:dLbls>
        <c:marker val="1"/>
        <c:smooth val="0"/>
        <c:axId val="1297990320"/>
        <c:axId val="2027484496"/>
      </c:lineChart>
      <c:catAx>
        <c:axId val="2022032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623696"/>
        <c:crosses val="autoZero"/>
        <c:auto val="1"/>
        <c:lblAlgn val="ctr"/>
        <c:lblOffset val="100"/>
        <c:noMultiLvlLbl val="0"/>
      </c:catAx>
      <c:valAx>
        <c:axId val="2027623696"/>
        <c:scaling>
          <c:orientation val="minMax"/>
        </c:scaling>
        <c:delete val="0"/>
        <c:axPos val="l"/>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032768"/>
        <c:crosses val="autoZero"/>
        <c:crossBetween val="between"/>
      </c:valAx>
      <c:valAx>
        <c:axId val="2027484496"/>
        <c:scaling>
          <c:orientation val="minMax"/>
        </c:scaling>
        <c:delete val="0"/>
        <c:axPos val="r"/>
        <c:numFmt formatCode="0.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990320"/>
        <c:crosses val="max"/>
        <c:crossBetween val="between"/>
      </c:valAx>
      <c:catAx>
        <c:axId val="1297990320"/>
        <c:scaling>
          <c:orientation val="minMax"/>
        </c:scaling>
        <c:delete val="1"/>
        <c:axPos val="t"/>
        <c:numFmt formatCode="General" sourceLinked="1"/>
        <c:majorTickMark val="out"/>
        <c:minorTickMark val="none"/>
        <c:tickLblPos val="nextTo"/>
        <c:crossAx val="2027484496"/>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[HR-Employee-Attrition.xlsx]Pivots!twoB</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400" b="0" i="0" u="none" strike="noStrike" kern="1200" spc="0" baseline="0">
                <a:solidFill>
                  <a:sysClr val="windowText" lastClr="000000">
                    <a:lumMod val="65000"/>
                    <a:lumOff val="35000"/>
                  </a:sysClr>
                </a:solidFill>
              </a:rPr>
              <a:t>Attrition Rate by </a:t>
            </a:r>
            <a:r>
              <a:rPr lang="en-GB" sz="1400" b="0" i="0" u="none" strike="noStrike" baseline="0"/>
              <a:t>Job Role</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5B7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FD7E3"/>
          </a:solidFill>
          <a:ln>
            <a:noFill/>
          </a:ln>
          <a:effectLst/>
        </c:spPr>
      </c:pivotFmt>
      <c:pivotFmt>
        <c:idx val="4"/>
        <c:spPr>
          <a:solidFill>
            <a:srgbClr val="BFD7E3"/>
          </a:solidFill>
          <a:ln>
            <a:noFill/>
          </a:ln>
          <a:effectLst/>
        </c:spPr>
      </c:pivotFmt>
      <c:pivotFmt>
        <c:idx val="5"/>
        <c:spPr>
          <a:solidFill>
            <a:srgbClr val="BFD7E3"/>
          </a:solidFill>
          <a:ln>
            <a:noFill/>
          </a:ln>
          <a:effectLst/>
        </c:spPr>
      </c:pivotFmt>
      <c:pivotFmt>
        <c:idx val="6"/>
        <c:spPr>
          <a:solidFill>
            <a:srgbClr val="BFD7E3"/>
          </a:solidFill>
          <a:ln>
            <a:noFill/>
          </a:ln>
          <a:effectLst/>
        </c:spPr>
      </c:pivotFmt>
      <c:pivotFmt>
        <c:idx val="7"/>
        <c:spPr>
          <a:solidFill>
            <a:srgbClr val="BFD7E3"/>
          </a:solidFill>
          <a:ln>
            <a:noFill/>
          </a:ln>
          <a:effectLst/>
        </c:spPr>
      </c:pivotFmt>
    </c:pivotFmts>
    <c:plotArea>
      <c:layout/>
      <c:barChart>
        <c:barDir val="bar"/>
        <c:grouping val="clustered"/>
        <c:varyColors val="0"/>
        <c:ser>
          <c:idx val="0"/>
          <c:order val="0"/>
          <c:tx>
            <c:strRef>
              <c:f>Pivots!$J$47</c:f>
              <c:strCache>
                <c:ptCount val="1"/>
                <c:pt idx="0">
                  <c:v>Total</c:v>
                </c:pt>
              </c:strCache>
            </c:strRef>
          </c:tx>
          <c:spPr>
            <a:solidFill>
              <a:schemeClr val="accent1"/>
            </a:solidFill>
            <a:ln>
              <a:noFill/>
            </a:ln>
            <a:effectLst/>
          </c:spPr>
          <c:invertIfNegative val="0"/>
          <c:dPt>
            <c:idx val="0"/>
            <c:invertIfNegative val="0"/>
            <c:bubble3D val="0"/>
            <c:spPr>
              <a:solidFill>
                <a:srgbClr val="BFD7E3"/>
              </a:solidFill>
              <a:ln>
                <a:noFill/>
              </a:ln>
              <a:effectLst/>
            </c:spPr>
            <c:extLst>
              <c:ext xmlns:c16="http://schemas.microsoft.com/office/drawing/2014/chart" uri="{C3380CC4-5D6E-409C-BE32-E72D297353CC}">
                <c16:uniqueId val="{00000005-496D-4DE1-BB63-00148ED88B29}"/>
              </c:ext>
            </c:extLst>
          </c:dPt>
          <c:dPt>
            <c:idx val="1"/>
            <c:invertIfNegative val="0"/>
            <c:bubble3D val="0"/>
            <c:spPr>
              <a:solidFill>
                <a:srgbClr val="BFD7E3"/>
              </a:solidFill>
              <a:ln>
                <a:noFill/>
              </a:ln>
              <a:effectLst/>
            </c:spPr>
            <c:extLst>
              <c:ext xmlns:c16="http://schemas.microsoft.com/office/drawing/2014/chart" uri="{C3380CC4-5D6E-409C-BE32-E72D297353CC}">
                <c16:uniqueId val="{00000004-496D-4DE1-BB63-00148ED88B29}"/>
              </c:ext>
            </c:extLst>
          </c:dPt>
          <c:dPt>
            <c:idx val="2"/>
            <c:invertIfNegative val="0"/>
            <c:bubble3D val="0"/>
            <c:spPr>
              <a:solidFill>
                <a:srgbClr val="BFD7E3"/>
              </a:solidFill>
              <a:ln>
                <a:noFill/>
              </a:ln>
              <a:effectLst/>
            </c:spPr>
            <c:extLst>
              <c:ext xmlns:c16="http://schemas.microsoft.com/office/drawing/2014/chart" uri="{C3380CC4-5D6E-409C-BE32-E72D297353CC}">
                <c16:uniqueId val="{00000003-496D-4DE1-BB63-00148ED88B29}"/>
              </c:ext>
            </c:extLst>
          </c:dPt>
          <c:dPt>
            <c:idx val="3"/>
            <c:invertIfNegative val="0"/>
            <c:bubble3D val="0"/>
            <c:spPr>
              <a:solidFill>
                <a:srgbClr val="BFD7E3"/>
              </a:solidFill>
              <a:ln>
                <a:noFill/>
              </a:ln>
              <a:effectLst/>
            </c:spPr>
            <c:extLst>
              <c:ext xmlns:c16="http://schemas.microsoft.com/office/drawing/2014/chart" uri="{C3380CC4-5D6E-409C-BE32-E72D297353CC}">
                <c16:uniqueId val="{00000002-496D-4DE1-BB63-00148ED88B29}"/>
              </c:ext>
            </c:extLst>
          </c:dPt>
          <c:dPt>
            <c:idx val="4"/>
            <c:invertIfNegative val="0"/>
            <c:bubble3D val="0"/>
            <c:spPr>
              <a:solidFill>
                <a:srgbClr val="BFD7E3"/>
              </a:solidFill>
              <a:ln>
                <a:noFill/>
              </a:ln>
              <a:effectLst/>
            </c:spPr>
            <c:extLst>
              <c:ext xmlns:c16="http://schemas.microsoft.com/office/drawing/2014/chart" uri="{C3380CC4-5D6E-409C-BE32-E72D297353CC}">
                <c16:uniqueId val="{00000001-496D-4DE1-BB63-00148ED88B2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5B7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Pivots!$I$48:$I$57</c:f>
              <c:strCache>
                <c:ptCount val="9"/>
                <c:pt idx="0">
                  <c:v>Research Director</c:v>
                </c:pt>
                <c:pt idx="1">
                  <c:v>Manager</c:v>
                </c:pt>
                <c:pt idx="2">
                  <c:v>Healthcare Representative</c:v>
                </c:pt>
                <c:pt idx="3">
                  <c:v>Manufacturing Director</c:v>
                </c:pt>
                <c:pt idx="4">
                  <c:v>Research Scientist</c:v>
                </c:pt>
                <c:pt idx="5">
                  <c:v>Sales Executive</c:v>
                </c:pt>
                <c:pt idx="6">
                  <c:v>Human Resources</c:v>
                </c:pt>
                <c:pt idx="7">
                  <c:v>Laboratory Technician</c:v>
                </c:pt>
                <c:pt idx="8">
                  <c:v>Sales Representative</c:v>
                </c:pt>
              </c:strCache>
            </c:strRef>
          </c:cat>
          <c:val>
            <c:numRef>
              <c:f>Pivots!$J$48:$J$57</c:f>
              <c:numCache>
                <c:formatCode>0.00%</c:formatCode>
                <c:ptCount val="9"/>
                <c:pt idx="0">
                  <c:v>2.5000000000000001E-2</c:v>
                </c:pt>
                <c:pt idx="1">
                  <c:v>4.9019607843137254E-2</c:v>
                </c:pt>
                <c:pt idx="2">
                  <c:v>6.8702290076335881E-2</c:v>
                </c:pt>
                <c:pt idx="3">
                  <c:v>6.8965517241379309E-2</c:v>
                </c:pt>
                <c:pt idx="4">
                  <c:v>0.16095890410958905</c:v>
                </c:pt>
                <c:pt idx="5">
                  <c:v>0.17484662576687116</c:v>
                </c:pt>
                <c:pt idx="6">
                  <c:v>0.23076923076923078</c:v>
                </c:pt>
                <c:pt idx="7">
                  <c:v>0.23938223938223938</c:v>
                </c:pt>
                <c:pt idx="8">
                  <c:v>0.39759036144578314</c:v>
                </c:pt>
              </c:numCache>
            </c:numRef>
          </c:val>
          <c:extLst>
            <c:ext xmlns:c16="http://schemas.microsoft.com/office/drawing/2014/chart" uri="{C3380CC4-5D6E-409C-BE32-E72D297353CC}">
              <c16:uniqueId val="{00000000-496D-4DE1-BB63-00148ED88B29}"/>
            </c:ext>
          </c:extLst>
        </c:ser>
        <c:dLbls>
          <c:showLegendKey val="0"/>
          <c:showVal val="0"/>
          <c:showCatName val="0"/>
          <c:showSerName val="0"/>
          <c:showPercent val="0"/>
          <c:showBubbleSize val="0"/>
        </c:dLbls>
        <c:gapWidth val="42"/>
        <c:axId val="1211223312"/>
        <c:axId val="2027583376"/>
      </c:barChart>
      <c:catAx>
        <c:axId val="1211223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583376"/>
        <c:crosses val="autoZero"/>
        <c:auto val="1"/>
        <c:lblAlgn val="ctr"/>
        <c:lblOffset val="100"/>
        <c:noMultiLvlLbl val="0"/>
      </c:catAx>
      <c:valAx>
        <c:axId val="2027583376"/>
        <c:scaling>
          <c:orientation val="minMax"/>
        </c:scaling>
        <c:delete val="1"/>
        <c:axPos val="b"/>
        <c:numFmt formatCode="0.00%" sourceLinked="1"/>
        <c:majorTickMark val="none"/>
        <c:minorTickMark val="none"/>
        <c:tickLblPos val="nextTo"/>
        <c:crossAx val="121122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[HR-Employee-Attrition.xlsx]Pivots!five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Attrition Rate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5B7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FD7E3"/>
          </a:solidFill>
          <a:ln>
            <a:noFill/>
          </a:ln>
          <a:effectLst/>
        </c:spPr>
      </c:pivotFmt>
      <c:pivotFmt>
        <c:idx val="4"/>
        <c:spPr>
          <a:solidFill>
            <a:srgbClr val="BFD7E3"/>
          </a:solidFill>
          <a:ln>
            <a:noFill/>
          </a:ln>
          <a:effectLst/>
        </c:spPr>
      </c:pivotFmt>
      <c:pivotFmt>
        <c:idx val="5"/>
        <c:spPr>
          <a:solidFill>
            <a:srgbClr val="BFD7E3"/>
          </a:solidFill>
          <a:ln>
            <a:noFill/>
          </a:ln>
          <a:effectLst/>
        </c:spPr>
      </c:pivotFmt>
    </c:pivotFmts>
    <c:plotArea>
      <c:layout/>
      <c:barChart>
        <c:barDir val="col"/>
        <c:grouping val="clustered"/>
        <c:varyColors val="0"/>
        <c:ser>
          <c:idx val="0"/>
          <c:order val="0"/>
          <c:tx>
            <c:strRef>
              <c:f>Pivots!$AQ$15</c:f>
              <c:strCache>
                <c:ptCount val="1"/>
                <c:pt idx="0">
                  <c:v>Total</c:v>
                </c:pt>
              </c:strCache>
            </c:strRef>
          </c:tx>
          <c:spPr>
            <a:solidFill>
              <a:schemeClr val="accent1"/>
            </a:solidFill>
            <a:ln>
              <a:noFill/>
            </a:ln>
            <a:effectLst/>
          </c:spPr>
          <c:invertIfNegative val="0"/>
          <c:dPt>
            <c:idx val="2"/>
            <c:invertIfNegative val="0"/>
            <c:bubble3D val="0"/>
            <c:spPr>
              <a:solidFill>
                <a:srgbClr val="BFD7E3"/>
              </a:solidFill>
              <a:ln>
                <a:noFill/>
              </a:ln>
              <a:effectLst/>
            </c:spPr>
            <c:extLst>
              <c:ext xmlns:c16="http://schemas.microsoft.com/office/drawing/2014/chart" uri="{C3380CC4-5D6E-409C-BE32-E72D297353CC}">
                <c16:uniqueId val="{00000001-A9F5-44BB-A893-AB0D1215FD28}"/>
              </c:ext>
            </c:extLst>
          </c:dPt>
          <c:dPt>
            <c:idx val="3"/>
            <c:invertIfNegative val="0"/>
            <c:bubble3D val="0"/>
            <c:spPr>
              <a:solidFill>
                <a:srgbClr val="BFD7E3"/>
              </a:solidFill>
              <a:ln>
                <a:noFill/>
              </a:ln>
              <a:effectLst/>
            </c:spPr>
            <c:extLst>
              <c:ext xmlns:c16="http://schemas.microsoft.com/office/drawing/2014/chart" uri="{C3380CC4-5D6E-409C-BE32-E72D297353CC}">
                <c16:uniqueId val="{00000002-A9F5-44BB-A893-AB0D1215FD28}"/>
              </c:ext>
            </c:extLst>
          </c:dPt>
          <c:dPt>
            <c:idx val="4"/>
            <c:invertIfNegative val="0"/>
            <c:bubble3D val="0"/>
            <c:spPr>
              <a:solidFill>
                <a:srgbClr val="BFD7E3"/>
              </a:solidFill>
              <a:ln>
                <a:noFill/>
              </a:ln>
              <a:effectLst/>
            </c:spPr>
            <c:extLst>
              <c:ext xmlns:c16="http://schemas.microsoft.com/office/drawing/2014/chart" uri="{C3380CC4-5D6E-409C-BE32-E72D297353CC}">
                <c16:uniqueId val="{00000003-A9F5-44BB-A893-AB0D1215FD2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5B7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Pivots!$AP$16:$AP$21</c:f>
              <c:strCache>
                <c:ptCount val="5"/>
                <c:pt idx="0">
                  <c:v>18-24</c:v>
                </c:pt>
                <c:pt idx="1">
                  <c:v>25-34</c:v>
                </c:pt>
                <c:pt idx="2">
                  <c:v>35-44</c:v>
                </c:pt>
                <c:pt idx="3">
                  <c:v>45-54</c:v>
                </c:pt>
                <c:pt idx="4">
                  <c:v>55+</c:v>
                </c:pt>
              </c:strCache>
            </c:strRef>
          </c:cat>
          <c:val>
            <c:numRef>
              <c:f>Pivots!$AQ$16:$AQ$21</c:f>
              <c:numCache>
                <c:formatCode>0.00%</c:formatCode>
                <c:ptCount val="5"/>
                <c:pt idx="0">
                  <c:v>0.39175257731958762</c:v>
                </c:pt>
                <c:pt idx="1">
                  <c:v>0.20216606498194944</c:v>
                </c:pt>
                <c:pt idx="2">
                  <c:v>0.100990099009901</c:v>
                </c:pt>
                <c:pt idx="3">
                  <c:v>0.10204081632653061</c:v>
                </c:pt>
                <c:pt idx="4">
                  <c:v>0.15942028985507245</c:v>
                </c:pt>
              </c:numCache>
            </c:numRef>
          </c:val>
          <c:extLst>
            <c:ext xmlns:c16="http://schemas.microsoft.com/office/drawing/2014/chart" uri="{C3380CC4-5D6E-409C-BE32-E72D297353CC}">
              <c16:uniqueId val="{00000000-A9F5-44BB-A893-AB0D1215FD28}"/>
            </c:ext>
          </c:extLst>
        </c:ser>
        <c:dLbls>
          <c:dLblPos val="outEnd"/>
          <c:showLegendKey val="0"/>
          <c:showVal val="1"/>
          <c:showCatName val="0"/>
          <c:showSerName val="0"/>
          <c:showPercent val="0"/>
          <c:showBubbleSize val="0"/>
        </c:dLbls>
        <c:gapWidth val="93"/>
        <c:overlap val="-27"/>
        <c:axId val="1276986752"/>
        <c:axId val="2027612176"/>
      </c:barChart>
      <c:catAx>
        <c:axId val="127698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612176"/>
        <c:crosses val="autoZero"/>
        <c:auto val="1"/>
        <c:lblAlgn val="ctr"/>
        <c:lblOffset val="100"/>
        <c:noMultiLvlLbl val="0"/>
      </c:catAx>
      <c:valAx>
        <c:axId val="2027612176"/>
        <c:scaling>
          <c:orientation val="minMax"/>
        </c:scaling>
        <c:delete val="1"/>
        <c:axPos val="l"/>
        <c:numFmt formatCode="0.00%" sourceLinked="1"/>
        <c:majorTickMark val="none"/>
        <c:minorTickMark val="none"/>
        <c:tickLblPos val="nextTo"/>
        <c:crossAx val="127698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[HR-Employee-Attrition.xlsx]Pivots!three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Attrition Rate by Overtime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5B7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FD7E3"/>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0F5B78"/>
                    </a:solidFill>
                    <a:latin typeface="+mn-lt"/>
                    <a:ea typeface="+mn-ea"/>
                    <a:cs typeface="+mn-cs"/>
                  </a:defRPr>
                </a:pPr>
                <a:fld id="{7ED3AAD3-7908-4B5B-9EC0-D796354FE92B}" type="VALUE">
                  <a:rPr lang="en-US">
                    <a:solidFill>
                      <a:srgbClr val="0F5B78"/>
                    </a:solidFill>
                  </a:rPr>
                  <a:pPr>
                    <a:defRPr b="1">
                      <a:solidFill>
                        <a:srgbClr val="0F5B78"/>
                      </a:solidFill>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5B7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Pivots!$W$12</c:f>
              <c:strCache>
                <c:ptCount val="1"/>
                <c:pt idx="0">
                  <c:v>Total</c:v>
                </c:pt>
              </c:strCache>
            </c:strRef>
          </c:tx>
          <c:spPr>
            <a:solidFill>
              <a:schemeClr val="accent1"/>
            </a:solidFill>
            <a:ln>
              <a:noFill/>
            </a:ln>
            <a:effectLst/>
          </c:spPr>
          <c:invertIfNegative val="0"/>
          <c:dPt>
            <c:idx val="0"/>
            <c:invertIfNegative val="0"/>
            <c:bubble3D val="0"/>
            <c:spPr>
              <a:solidFill>
                <a:srgbClr val="BFD7E3"/>
              </a:solidFill>
              <a:ln>
                <a:noFill/>
              </a:ln>
              <a:effectLst/>
            </c:spPr>
            <c:extLst>
              <c:ext xmlns:c16="http://schemas.microsoft.com/office/drawing/2014/chart" uri="{C3380CC4-5D6E-409C-BE32-E72D297353CC}">
                <c16:uniqueId val="{00000001-9916-49E4-AAB5-E4BAE54ABFFF}"/>
              </c:ext>
            </c:extLst>
          </c:dPt>
          <c:dLbls>
            <c:dLbl>
              <c:idx val="0"/>
              <c:tx>
                <c:rich>
                  <a:bodyPr/>
                  <a:lstStyle/>
                  <a:p>
                    <a:fld id="{7ED3AAD3-7908-4B5B-9EC0-D796354FE92B}" type="VALUE">
                      <a:rPr lang="en-US">
                        <a:solidFill>
                          <a:srgbClr val="0F5B78"/>
                        </a:solidFill>
                      </a:rPr>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916-49E4-AAB5-E4BAE54ABFF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5B7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Pivots!$V$13:$V$15</c:f>
              <c:strCache>
                <c:ptCount val="2"/>
                <c:pt idx="0">
                  <c:v>No</c:v>
                </c:pt>
                <c:pt idx="1">
                  <c:v>Yes</c:v>
                </c:pt>
              </c:strCache>
            </c:strRef>
          </c:cat>
          <c:val>
            <c:numRef>
              <c:f>Pivots!$W$13:$W$15</c:f>
              <c:numCache>
                <c:formatCode>0.00%</c:formatCode>
                <c:ptCount val="2"/>
                <c:pt idx="0">
                  <c:v>0.10436432637571158</c:v>
                </c:pt>
                <c:pt idx="1">
                  <c:v>0.30528846153846156</c:v>
                </c:pt>
              </c:numCache>
            </c:numRef>
          </c:val>
          <c:extLst>
            <c:ext xmlns:c16="http://schemas.microsoft.com/office/drawing/2014/chart" uri="{C3380CC4-5D6E-409C-BE32-E72D297353CC}">
              <c16:uniqueId val="{00000000-9916-49E4-AAB5-E4BAE54ABFFF}"/>
            </c:ext>
          </c:extLst>
        </c:ser>
        <c:dLbls>
          <c:dLblPos val="outEnd"/>
          <c:showLegendKey val="0"/>
          <c:showVal val="1"/>
          <c:showCatName val="0"/>
          <c:showSerName val="0"/>
          <c:showPercent val="0"/>
          <c:showBubbleSize val="0"/>
        </c:dLbls>
        <c:gapWidth val="219"/>
        <c:overlap val="-27"/>
        <c:axId val="1282082768"/>
        <c:axId val="2027501296"/>
      </c:barChart>
      <c:catAx>
        <c:axId val="128208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501296"/>
        <c:crosses val="autoZero"/>
        <c:auto val="1"/>
        <c:lblAlgn val="ctr"/>
        <c:lblOffset val="100"/>
        <c:noMultiLvlLbl val="0"/>
      </c:catAx>
      <c:valAx>
        <c:axId val="2027501296"/>
        <c:scaling>
          <c:orientation val="minMax"/>
        </c:scaling>
        <c:delete val="1"/>
        <c:axPos val="l"/>
        <c:numFmt formatCode="0.00%" sourceLinked="1"/>
        <c:majorTickMark val="none"/>
        <c:minorTickMark val="none"/>
        <c:tickLblPos val="nextTo"/>
        <c:crossAx val="128208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[HR-Employee-Attrition.xlsx]Pivots!four</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Attrition Rate by Income Band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5B7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FD7E3"/>
          </a:solidFill>
          <a:ln>
            <a:noFill/>
          </a:ln>
          <a:effectLst/>
        </c:spPr>
      </c:pivotFmt>
      <c:pivotFmt>
        <c:idx val="4"/>
        <c:spPr>
          <a:solidFill>
            <a:srgbClr val="BFD7E3"/>
          </a:solidFill>
          <a:ln>
            <a:noFill/>
          </a:ln>
          <a:effectLst/>
        </c:spPr>
      </c:pivotFmt>
      <c:pivotFmt>
        <c:idx val="5"/>
        <c:spPr>
          <a:solidFill>
            <a:srgbClr val="BFD7E3"/>
          </a:solidFill>
          <a:ln>
            <a:noFill/>
          </a:ln>
          <a:effectLst/>
        </c:spPr>
      </c:pivotFmt>
    </c:pivotFmts>
    <c:plotArea>
      <c:layout/>
      <c:barChart>
        <c:barDir val="col"/>
        <c:grouping val="clustered"/>
        <c:varyColors val="0"/>
        <c:ser>
          <c:idx val="0"/>
          <c:order val="0"/>
          <c:tx>
            <c:strRef>
              <c:f>Pivots!$AG$15</c:f>
              <c:strCache>
                <c:ptCount val="1"/>
                <c:pt idx="0">
                  <c:v>Total</c:v>
                </c:pt>
              </c:strCache>
            </c:strRef>
          </c:tx>
          <c:spPr>
            <a:solidFill>
              <a:schemeClr val="accent1"/>
            </a:solidFill>
            <a:ln>
              <a:noFill/>
            </a:ln>
            <a:effectLst/>
          </c:spPr>
          <c:invertIfNegative val="0"/>
          <c:dPt>
            <c:idx val="0"/>
            <c:invertIfNegative val="0"/>
            <c:bubble3D val="0"/>
            <c:spPr>
              <a:solidFill>
                <a:srgbClr val="BFD7E3"/>
              </a:solidFill>
              <a:ln>
                <a:noFill/>
              </a:ln>
              <a:effectLst/>
            </c:spPr>
            <c:extLst>
              <c:ext xmlns:c16="http://schemas.microsoft.com/office/drawing/2014/chart" uri="{C3380CC4-5D6E-409C-BE32-E72D297353CC}">
                <c16:uniqueId val="{00000005-7AA0-42EB-946C-2E658A5501FD}"/>
              </c:ext>
            </c:extLst>
          </c:dPt>
          <c:dPt>
            <c:idx val="1"/>
            <c:invertIfNegative val="0"/>
            <c:bubble3D val="0"/>
            <c:spPr>
              <a:solidFill>
                <a:srgbClr val="BFD7E3"/>
              </a:solidFill>
              <a:ln>
                <a:noFill/>
              </a:ln>
              <a:effectLst/>
            </c:spPr>
            <c:extLst>
              <c:ext xmlns:c16="http://schemas.microsoft.com/office/drawing/2014/chart" uri="{C3380CC4-5D6E-409C-BE32-E72D297353CC}">
                <c16:uniqueId val="{00000004-7AA0-42EB-946C-2E658A5501FD}"/>
              </c:ext>
            </c:extLst>
          </c:dPt>
          <c:dPt>
            <c:idx val="2"/>
            <c:invertIfNegative val="0"/>
            <c:bubble3D val="0"/>
            <c:spPr>
              <a:solidFill>
                <a:srgbClr val="BFD7E3"/>
              </a:solidFill>
              <a:ln>
                <a:noFill/>
              </a:ln>
              <a:effectLst/>
            </c:spPr>
            <c:extLst>
              <c:ext xmlns:c16="http://schemas.microsoft.com/office/drawing/2014/chart" uri="{C3380CC4-5D6E-409C-BE32-E72D297353CC}">
                <c16:uniqueId val="{00000003-7AA0-42EB-946C-2E658A5501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5B7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Pivots!$AF$16:$AF$21</c:f>
              <c:strCache>
                <c:ptCount val="5"/>
                <c:pt idx="0">
                  <c:v>Very High Income</c:v>
                </c:pt>
                <c:pt idx="1">
                  <c:v>High Income</c:v>
                </c:pt>
                <c:pt idx="2">
                  <c:v>Low Income</c:v>
                </c:pt>
                <c:pt idx="3">
                  <c:v>Moderate Income</c:v>
                </c:pt>
                <c:pt idx="4">
                  <c:v>Very Low Income</c:v>
                </c:pt>
              </c:strCache>
            </c:strRef>
          </c:cat>
          <c:val>
            <c:numRef>
              <c:f>Pivots!$AG$16:$AG$21</c:f>
              <c:numCache>
                <c:formatCode>0.00%</c:formatCode>
                <c:ptCount val="5"/>
                <c:pt idx="0">
                  <c:v>3.968253968253968E-2</c:v>
                </c:pt>
                <c:pt idx="1">
                  <c:v>8.6956521739130432E-2</c:v>
                </c:pt>
                <c:pt idx="2">
                  <c:v>0.10989010989010989</c:v>
                </c:pt>
                <c:pt idx="3">
                  <c:v>0.15591397849462366</c:v>
                </c:pt>
                <c:pt idx="4">
                  <c:v>0.25230202578268879</c:v>
                </c:pt>
              </c:numCache>
            </c:numRef>
          </c:val>
          <c:extLst>
            <c:ext xmlns:c16="http://schemas.microsoft.com/office/drawing/2014/chart" uri="{C3380CC4-5D6E-409C-BE32-E72D297353CC}">
              <c16:uniqueId val="{00000000-7AA0-42EB-946C-2E658A5501FD}"/>
            </c:ext>
          </c:extLst>
        </c:ser>
        <c:dLbls>
          <c:dLblPos val="outEnd"/>
          <c:showLegendKey val="0"/>
          <c:showVal val="1"/>
          <c:showCatName val="0"/>
          <c:showSerName val="0"/>
          <c:showPercent val="0"/>
          <c:showBubbleSize val="0"/>
        </c:dLbls>
        <c:gapWidth val="93"/>
        <c:overlap val="-27"/>
        <c:axId val="1211220064"/>
        <c:axId val="2027562736"/>
      </c:barChart>
      <c:catAx>
        <c:axId val="121122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562736"/>
        <c:crosses val="autoZero"/>
        <c:auto val="1"/>
        <c:lblAlgn val="ctr"/>
        <c:lblOffset val="100"/>
        <c:noMultiLvlLbl val="0"/>
      </c:catAx>
      <c:valAx>
        <c:axId val="2027562736"/>
        <c:scaling>
          <c:orientation val="minMax"/>
        </c:scaling>
        <c:delete val="1"/>
        <c:axPos val="l"/>
        <c:numFmt formatCode="0.00%" sourceLinked="1"/>
        <c:majorTickMark val="none"/>
        <c:minorTickMark val="none"/>
        <c:tickLblPos val="nextTo"/>
        <c:crossAx val="121122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[HR-Employee-Attrition.xlsx]Pivots!six</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Attrition Rate by Job Satisfaction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5B7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FD7E3"/>
          </a:solidFill>
          <a:ln>
            <a:noFill/>
          </a:ln>
          <a:effectLst/>
        </c:spPr>
      </c:pivotFmt>
    </c:pivotFmts>
    <c:plotArea>
      <c:layout/>
      <c:barChart>
        <c:barDir val="col"/>
        <c:grouping val="clustered"/>
        <c:varyColors val="0"/>
        <c:ser>
          <c:idx val="0"/>
          <c:order val="0"/>
          <c:tx>
            <c:strRef>
              <c:f>Pivots!$BB$14</c:f>
              <c:strCache>
                <c:ptCount val="1"/>
                <c:pt idx="0">
                  <c:v>Total</c:v>
                </c:pt>
              </c:strCache>
            </c:strRef>
          </c:tx>
          <c:spPr>
            <a:solidFill>
              <a:schemeClr val="accent1"/>
            </a:solidFill>
            <a:ln>
              <a:noFill/>
            </a:ln>
            <a:effectLst/>
          </c:spPr>
          <c:invertIfNegative val="0"/>
          <c:dPt>
            <c:idx val="3"/>
            <c:invertIfNegative val="0"/>
            <c:bubble3D val="0"/>
            <c:spPr>
              <a:solidFill>
                <a:srgbClr val="BFD7E3"/>
              </a:solidFill>
              <a:ln>
                <a:noFill/>
              </a:ln>
              <a:effectLst/>
            </c:spPr>
            <c:extLst>
              <c:ext xmlns:c16="http://schemas.microsoft.com/office/drawing/2014/chart" uri="{C3380CC4-5D6E-409C-BE32-E72D297353CC}">
                <c16:uniqueId val="{00000002-5AAE-4C4C-8F73-8211AD9E9F5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5B7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Pivots!$BA$15:$BA$19</c:f>
              <c:strCache>
                <c:ptCount val="4"/>
                <c:pt idx="0">
                  <c:v>Very Dissatisfied</c:v>
                </c:pt>
                <c:pt idx="1">
                  <c:v>Satisfied</c:v>
                </c:pt>
                <c:pt idx="2">
                  <c:v>Dissatisfied</c:v>
                </c:pt>
                <c:pt idx="3">
                  <c:v>Very Satisfied</c:v>
                </c:pt>
              </c:strCache>
            </c:strRef>
          </c:cat>
          <c:val>
            <c:numRef>
              <c:f>Pivots!$BB$15:$BB$19</c:f>
              <c:numCache>
                <c:formatCode>0.00%</c:formatCode>
                <c:ptCount val="4"/>
                <c:pt idx="0">
                  <c:v>0.22837370242214533</c:v>
                </c:pt>
                <c:pt idx="1">
                  <c:v>0.16515837104072398</c:v>
                </c:pt>
                <c:pt idx="2">
                  <c:v>0.16428571428571428</c:v>
                </c:pt>
                <c:pt idx="3">
                  <c:v>0.11328976034858387</c:v>
                </c:pt>
              </c:numCache>
            </c:numRef>
          </c:val>
          <c:extLst>
            <c:ext xmlns:c16="http://schemas.microsoft.com/office/drawing/2014/chart" uri="{C3380CC4-5D6E-409C-BE32-E72D297353CC}">
              <c16:uniqueId val="{00000000-5AAE-4C4C-8F73-8211AD9E9F53}"/>
            </c:ext>
          </c:extLst>
        </c:ser>
        <c:dLbls>
          <c:dLblPos val="outEnd"/>
          <c:showLegendKey val="0"/>
          <c:showVal val="1"/>
          <c:showCatName val="0"/>
          <c:showSerName val="0"/>
          <c:showPercent val="0"/>
          <c:showBubbleSize val="0"/>
        </c:dLbls>
        <c:gapWidth val="99"/>
        <c:overlap val="-27"/>
        <c:axId val="1281994144"/>
        <c:axId val="2058042000"/>
      </c:barChart>
      <c:catAx>
        <c:axId val="128199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042000"/>
        <c:crosses val="autoZero"/>
        <c:auto val="1"/>
        <c:lblAlgn val="ctr"/>
        <c:lblOffset val="100"/>
        <c:noMultiLvlLbl val="0"/>
      </c:catAx>
      <c:valAx>
        <c:axId val="2058042000"/>
        <c:scaling>
          <c:orientation val="minMax"/>
        </c:scaling>
        <c:delete val="1"/>
        <c:axPos val="l"/>
        <c:numFmt formatCode="0.00%" sourceLinked="1"/>
        <c:majorTickMark val="none"/>
        <c:minorTickMark val="none"/>
        <c:tickLblPos val="nextTo"/>
        <c:crossAx val="128199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Current Workforce by Attrition Risk</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0806823662895461"/>
          <c:y val="0.33507601767739853"/>
          <c:w val="0.36518157530251905"/>
          <c:h val="0.55619958039391681"/>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93-4AE2-86DA-7110B47897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93-4AE2-86DA-7110B47897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93-4AE2-86DA-7110B4789712}"/>
              </c:ext>
            </c:extLst>
          </c:dPt>
          <c:dLbls>
            <c:dLbl>
              <c:idx val="0"/>
              <c:layout>
                <c:manualLayout>
                  <c:x val="0.1219627165481889"/>
                  <c:y val="7.8296494572736589E-2"/>
                </c:manualLayout>
              </c:layout>
              <c:tx>
                <c:rich>
                  <a:bodyPr/>
                  <a:lstStyle/>
                  <a:p>
                    <a:fld id="{0E45A58D-6BE5-4388-842D-6202A44F083F}"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C93-4AE2-86DA-7110B4789712}"/>
                </c:ext>
              </c:extLst>
            </c:dLbl>
            <c:dLbl>
              <c:idx val="1"/>
              <c:layout>
                <c:manualLayout>
                  <c:x val="-0.1361111111111111"/>
                  <c:y val="-4.6296296296296294E-3"/>
                </c:manualLayout>
              </c:layout>
              <c:tx>
                <c:rich>
                  <a:bodyPr/>
                  <a:lstStyle/>
                  <a:p>
                    <a:fld id="{C61134B2-9EA8-424A-8346-251C8112573C}"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C93-4AE2-86DA-7110B4789712}"/>
                </c:ext>
              </c:extLst>
            </c:dLbl>
            <c:dLbl>
              <c:idx val="2"/>
              <c:layout>
                <c:manualLayout>
                  <c:x val="-9.9228034514629776E-2"/>
                  <c:y val="-0.14965302213087475"/>
                </c:manualLayout>
              </c:layout>
              <c:tx>
                <c:rich>
                  <a:bodyPr/>
                  <a:lstStyle/>
                  <a:p>
                    <a:fld id="{4DABDD82-B205-4EA1-A6B8-6AE32342FB8F}"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5C93-4AE2-86DA-7110B478971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36386"/>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Pivots!$BO$9:$BO$11</c:f>
              <c:strCache>
                <c:ptCount val="3"/>
                <c:pt idx="0">
                  <c:v>Low</c:v>
                </c:pt>
                <c:pt idx="1">
                  <c:v>Medium</c:v>
                </c:pt>
                <c:pt idx="2">
                  <c:v>High</c:v>
                </c:pt>
              </c:strCache>
            </c:strRef>
          </c:cat>
          <c:val>
            <c:numRef>
              <c:f>Pivots!$BP$9:$BP$11</c:f>
              <c:numCache>
                <c:formatCode>General</c:formatCode>
                <c:ptCount val="3"/>
                <c:pt idx="0">
                  <c:v>612</c:v>
                </c:pt>
                <c:pt idx="1">
                  <c:v>553</c:v>
                </c:pt>
                <c:pt idx="2">
                  <c:v>68</c:v>
                </c:pt>
              </c:numCache>
            </c:numRef>
          </c:val>
          <c:extLst>
            <c:ext xmlns:c15="http://schemas.microsoft.com/office/drawing/2012/chart" uri="{02D57815-91ED-43cb-92C2-25804820EDAC}">
              <c15:datalabelsRange>
                <c15:f>Pivots!$BQ$9:$BQ$11</c15:f>
                <c15:dlblRangeCache>
                  <c:ptCount val="3"/>
                  <c:pt idx="0">
                    <c:v>Low 612 (49.6%)</c:v>
                  </c:pt>
                  <c:pt idx="1">
                    <c:v>Medium 553 (44.8%)</c:v>
                  </c:pt>
                  <c:pt idx="2">
                    <c:v>High 68 (5.5%)</c:v>
                  </c:pt>
                </c15:dlblRangeCache>
              </c15:datalabelsRange>
            </c:ext>
            <c:ext xmlns:c16="http://schemas.microsoft.com/office/drawing/2014/chart" uri="{C3380CC4-5D6E-409C-BE32-E72D297353CC}">
              <c16:uniqueId val="{00000006-5C93-4AE2-86DA-7110B478971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28657118164671741"/>
          <c:y val="0.90523977016728974"/>
          <c:w val="0.39736240945765605"/>
          <c:h val="9.476022983271027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[HR-Employee-Attrition.xlsx]Pivots!twoB</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400" b="0" i="0" u="none" strike="noStrike" kern="1200" spc="0" baseline="0">
                <a:solidFill>
                  <a:sysClr val="windowText" lastClr="000000">
                    <a:lumMod val="65000"/>
                    <a:lumOff val="35000"/>
                  </a:sysClr>
                </a:solidFill>
              </a:rPr>
              <a:t>Attrition Rate by </a:t>
            </a:r>
            <a:r>
              <a:rPr lang="en-GB" sz="1400" b="0" i="0" u="none" strike="noStrike" baseline="0"/>
              <a:t>Job Role</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5B7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FD7E3"/>
          </a:solidFill>
          <a:ln>
            <a:noFill/>
          </a:ln>
          <a:effectLst/>
        </c:spPr>
      </c:pivotFmt>
      <c:pivotFmt>
        <c:idx val="4"/>
        <c:spPr>
          <a:solidFill>
            <a:srgbClr val="BFD7E3"/>
          </a:solidFill>
          <a:ln>
            <a:noFill/>
          </a:ln>
          <a:effectLst/>
        </c:spPr>
      </c:pivotFmt>
      <c:pivotFmt>
        <c:idx val="5"/>
        <c:spPr>
          <a:solidFill>
            <a:srgbClr val="BFD7E3"/>
          </a:solidFill>
          <a:ln>
            <a:noFill/>
          </a:ln>
          <a:effectLst/>
        </c:spPr>
      </c:pivotFmt>
      <c:pivotFmt>
        <c:idx val="6"/>
        <c:spPr>
          <a:solidFill>
            <a:srgbClr val="BFD7E3"/>
          </a:solidFill>
          <a:ln>
            <a:noFill/>
          </a:ln>
          <a:effectLst/>
        </c:spPr>
      </c:pivotFmt>
      <c:pivotFmt>
        <c:idx val="7"/>
        <c:spPr>
          <a:solidFill>
            <a:srgbClr val="BFD7E3"/>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5B7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FD7E3"/>
          </a:solidFill>
          <a:ln>
            <a:noFill/>
          </a:ln>
          <a:effectLst/>
        </c:spPr>
      </c:pivotFmt>
      <c:pivotFmt>
        <c:idx val="10"/>
        <c:spPr>
          <a:solidFill>
            <a:srgbClr val="BFD7E3"/>
          </a:solidFill>
          <a:ln>
            <a:noFill/>
          </a:ln>
          <a:effectLst/>
        </c:spPr>
      </c:pivotFmt>
      <c:pivotFmt>
        <c:idx val="11"/>
        <c:spPr>
          <a:solidFill>
            <a:srgbClr val="BFD7E3"/>
          </a:solidFill>
          <a:ln>
            <a:noFill/>
          </a:ln>
          <a:effectLst/>
        </c:spPr>
      </c:pivotFmt>
      <c:pivotFmt>
        <c:idx val="12"/>
        <c:spPr>
          <a:solidFill>
            <a:srgbClr val="BFD7E3"/>
          </a:solidFill>
          <a:ln>
            <a:noFill/>
          </a:ln>
          <a:effectLst/>
        </c:spPr>
      </c:pivotFmt>
      <c:pivotFmt>
        <c:idx val="13"/>
        <c:spPr>
          <a:solidFill>
            <a:srgbClr val="BFD7E3"/>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5B7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BFD7E3"/>
          </a:solidFill>
          <a:ln>
            <a:noFill/>
          </a:ln>
          <a:effectLst/>
        </c:spPr>
      </c:pivotFmt>
      <c:pivotFmt>
        <c:idx val="16"/>
        <c:spPr>
          <a:solidFill>
            <a:srgbClr val="BFD7E3"/>
          </a:solidFill>
          <a:ln>
            <a:noFill/>
          </a:ln>
          <a:effectLst/>
        </c:spPr>
      </c:pivotFmt>
      <c:pivotFmt>
        <c:idx val="17"/>
        <c:spPr>
          <a:solidFill>
            <a:srgbClr val="BFD7E3"/>
          </a:solidFill>
          <a:ln>
            <a:noFill/>
          </a:ln>
          <a:effectLst/>
        </c:spPr>
      </c:pivotFmt>
      <c:pivotFmt>
        <c:idx val="18"/>
        <c:spPr>
          <a:solidFill>
            <a:srgbClr val="BFD7E3"/>
          </a:solidFill>
          <a:ln>
            <a:noFill/>
          </a:ln>
          <a:effectLst/>
        </c:spPr>
      </c:pivotFmt>
      <c:pivotFmt>
        <c:idx val="19"/>
        <c:spPr>
          <a:solidFill>
            <a:srgbClr val="BFD7E3"/>
          </a:solidFill>
          <a:ln>
            <a:noFill/>
          </a:ln>
          <a:effectLst/>
        </c:spPr>
      </c:pivotFmt>
    </c:pivotFmts>
    <c:plotArea>
      <c:layout/>
      <c:barChart>
        <c:barDir val="bar"/>
        <c:grouping val="clustered"/>
        <c:varyColors val="0"/>
        <c:ser>
          <c:idx val="0"/>
          <c:order val="0"/>
          <c:tx>
            <c:strRef>
              <c:f>Pivots!$J$47</c:f>
              <c:strCache>
                <c:ptCount val="1"/>
                <c:pt idx="0">
                  <c:v>Total</c:v>
                </c:pt>
              </c:strCache>
            </c:strRef>
          </c:tx>
          <c:spPr>
            <a:solidFill>
              <a:schemeClr val="accent1"/>
            </a:solidFill>
            <a:ln>
              <a:noFill/>
            </a:ln>
            <a:effectLst/>
          </c:spPr>
          <c:invertIfNegative val="0"/>
          <c:dPt>
            <c:idx val="0"/>
            <c:invertIfNegative val="0"/>
            <c:bubble3D val="0"/>
            <c:spPr>
              <a:solidFill>
                <a:srgbClr val="BFD7E3"/>
              </a:solidFill>
              <a:ln>
                <a:noFill/>
              </a:ln>
              <a:effectLst/>
            </c:spPr>
            <c:extLst>
              <c:ext xmlns:c16="http://schemas.microsoft.com/office/drawing/2014/chart" uri="{C3380CC4-5D6E-409C-BE32-E72D297353CC}">
                <c16:uniqueId val="{00000001-5507-43EB-9DE6-6D88A4E06DC8}"/>
              </c:ext>
            </c:extLst>
          </c:dPt>
          <c:dPt>
            <c:idx val="1"/>
            <c:invertIfNegative val="0"/>
            <c:bubble3D val="0"/>
            <c:spPr>
              <a:solidFill>
                <a:srgbClr val="BFD7E3"/>
              </a:solidFill>
              <a:ln>
                <a:noFill/>
              </a:ln>
              <a:effectLst/>
            </c:spPr>
            <c:extLst>
              <c:ext xmlns:c16="http://schemas.microsoft.com/office/drawing/2014/chart" uri="{C3380CC4-5D6E-409C-BE32-E72D297353CC}">
                <c16:uniqueId val="{00000003-5507-43EB-9DE6-6D88A4E06DC8}"/>
              </c:ext>
            </c:extLst>
          </c:dPt>
          <c:dPt>
            <c:idx val="2"/>
            <c:invertIfNegative val="0"/>
            <c:bubble3D val="0"/>
            <c:spPr>
              <a:solidFill>
                <a:srgbClr val="BFD7E3"/>
              </a:solidFill>
              <a:ln>
                <a:noFill/>
              </a:ln>
              <a:effectLst/>
            </c:spPr>
            <c:extLst>
              <c:ext xmlns:c16="http://schemas.microsoft.com/office/drawing/2014/chart" uri="{C3380CC4-5D6E-409C-BE32-E72D297353CC}">
                <c16:uniqueId val="{00000005-5507-43EB-9DE6-6D88A4E06DC8}"/>
              </c:ext>
            </c:extLst>
          </c:dPt>
          <c:dPt>
            <c:idx val="3"/>
            <c:invertIfNegative val="0"/>
            <c:bubble3D val="0"/>
            <c:spPr>
              <a:solidFill>
                <a:srgbClr val="BFD7E3"/>
              </a:solidFill>
              <a:ln>
                <a:noFill/>
              </a:ln>
              <a:effectLst/>
            </c:spPr>
            <c:extLst>
              <c:ext xmlns:c16="http://schemas.microsoft.com/office/drawing/2014/chart" uri="{C3380CC4-5D6E-409C-BE32-E72D297353CC}">
                <c16:uniqueId val="{00000007-5507-43EB-9DE6-6D88A4E06DC8}"/>
              </c:ext>
            </c:extLst>
          </c:dPt>
          <c:dPt>
            <c:idx val="4"/>
            <c:invertIfNegative val="0"/>
            <c:bubble3D val="0"/>
            <c:spPr>
              <a:solidFill>
                <a:srgbClr val="BFD7E3"/>
              </a:solidFill>
              <a:ln>
                <a:noFill/>
              </a:ln>
              <a:effectLst/>
            </c:spPr>
            <c:extLst>
              <c:ext xmlns:c16="http://schemas.microsoft.com/office/drawing/2014/chart" uri="{C3380CC4-5D6E-409C-BE32-E72D297353CC}">
                <c16:uniqueId val="{00000009-5507-43EB-9DE6-6D88A4E06DC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5B7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Pivots!$I$48:$I$57</c:f>
              <c:strCache>
                <c:ptCount val="9"/>
                <c:pt idx="0">
                  <c:v>Research Director</c:v>
                </c:pt>
                <c:pt idx="1">
                  <c:v>Manager</c:v>
                </c:pt>
                <c:pt idx="2">
                  <c:v>Healthcare Representative</c:v>
                </c:pt>
                <c:pt idx="3">
                  <c:v>Manufacturing Director</c:v>
                </c:pt>
                <c:pt idx="4">
                  <c:v>Research Scientist</c:v>
                </c:pt>
                <c:pt idx="5">
                  <c:v>Sales Executive</c:v>
                </c:pt>
                <c:pt idx="6">
                  <c:v>Human Resources</c:v>
                </c:pt>
                <c:pt idx="7">
                  <c:v>Laboratory Technician</c:v>
                </c:pt>
                <c:pt idx="8">
                  <c:v>Sales Representative</c:v>
                </c:pt>
              </c:strCache>
            </c:strRef>
          </c:cat>
          <c:val>
            <c:numRef>
              <c:f>Pivots!$J$48:$J$57</c:f>
              <c:numCache>
                <c:formatCode>0.00%</c:formatCode>
                <c:ptCount val="9"/>
                <c:pt idx="0">
                  <c:v>2.5000000000000001E-2</c:v>
                </c:pt>
                <c:pt idx="1">
                  <c:v>4.9019607843137254E-2</c:v>
                </c:pt>
                <c:pt idx="2">
                  <c:v>6.8702290076335881E-2</c:v>
                </c:pt>
                <c:pt idx="3">
                  <c:v>6.8965517241379309E-2</c:v>
                </c:pt>
                <c:pt idx="4">
                  <c:v>0.16095890410958905</c:v>
                </c:pt>
                <c:pt idx="5">
                  <c:v>0.17484662576687116</c:v>
                </c:pt>
                <c:pt idx="6">
                  <c:v>0.23076923076923078</c:v>
                </c:pt>
                <c:pt idx="7">
                  <c:v>0.23938223938223938</c:v>
                </c:pt>
                <c:pt idx="8">
                  <c:v>0.39759036144578314</c:v>
                </c:pt>
              </c:numCache>
            </c:numRef>
          </c:val>
          <c:extLst>
            <c:ext xmlns:c16="http://schemas.microsoft.com/office/drawing/2014/chart" uri="{C3380CC4-5D6E-409C-BE32-E72D297353CC}">
              <c16:uniqueId val="{0000000A-5507-43EB-9DE6-6D88A4E06DC8}"/>
            </c:ext>
          </c:extLst>
        </c:ser>
        <c:dLbls>
          <c:showLegendKey val="0"/>
          <c:showVal val="0"/>
          <c:showCatName val="0"/>
          <c:showSerName val="0"/>
          <c:showPercent val="0"/>
          <c:showBubbleSize val="0"/>
        </c:dLbls>
        <c:gapWidth val="42"/>
        <c:axId val="1211223312"/>
        <c:axId val="2027583376"/>
      </c:barChart>
      <c:catAx>
        <c:axId val="1211223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583376"/>
        <c:crosses val="autoZero"/>
        <c:auto val="1"/>
        <c:lblAlgn val="ctr"/>
        <c:lblOffset val="100"/>
        <c:noMultiLvlLbl val="0"/>
      </c:catAx>
      <c:valAx>
        <c:axId val="2027583376"/>
        <c:scaling>
          <c:orientation val="minMax"/>
        </c:scaling>
        <c:delete val="1"/>
        <c:axPos val="b"/>
        <c:numFmt formatCode="0.00%" sourceLinked="1"/>
        <c:majorTickMark val="none"/>
        <c:minorTickMark val="none"/>
        <c:tickLblPos val="nextTo"/>
        <c:crossAx val="121122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0.xml"/><Relationship Id="rId18" Type="http://schemas.openxmlformats.org/officeDocument/2006/relationships/chart" Target="../charts/chart15.xml"/><Relationship Id="rId26"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14.sv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4.xml"/><Relationship Id="rId25" Type="http://schemas.openxmlformats.org/officeDocument/2006/relationships/image" Target="../media/image17.svg"/><Relationship Id="rId2" Type="http://schemas.openxmlformats.org/officeDocument/2006/relationships/image" Target="../media/image2.svg"/><Relationship Id="rId16" Type="http://schemas.openxmlformats.org/officeDocument/2006/relationships/chart" Target="../charts/chart13.xml"/><Relationship Id="rId20" Type="http://schemas.openxmlformats.org/officeDocument/2006/relationships/image" Target="../media/image13.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16.png"/><Relationship Id="rId5" Type="http://schemas.openxmlformats.org/officeDocument/2006/relationships/image" Target="../media/image5.png"/><Relationship Id="rId15" Type="http://schemas.openxmlformats.org/officeDocument/2006/relationships/chart" Target="../charts/chart12.xml"/><Relationship Id="rId23" Type="http://schemas.openxmlformats.org/officeDocument/2006/relationships/image" Target="../media/image15.emf"/><Relationship Id="rId10" Type="http://schemas.openxmlformats.org/officeDocument/2006/relationships/image" Target="../media/image10.svg"/><Relationship Id="rId19" Type="http://schemas.openxmlformats.org/officeDocument/2006/relationships/chart" Target="../charts/chart16.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1.xml"/><Relationship Id="rId22" Type="http://schemas.openxmlformats.org/officeDocument/2006/relationships/chart" Target="../charts/chart17.xml"/><Relationship Id="rId27" Type="http://schemas.openxmlformats.org/officeDocument/2006/relationships/image" Target="../media/image19.svg"/></Relationships>
</file>

<file path=xl/drawings/_rels/drawing5.xml.rels><?xml version="1.0" encoding="UTF-8" standalone="yes"?>
<Relationships xmlns="http://schemas.openxmlformats.org/package/2006/relationships"><Relationship Id="rId1" Type="http://schemas.openxmlformats.org/officeDocument/2006/relationships/chart" Target="../charts/chart1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0.emf"/></Relationships>
</file>

<file path=xl/drawings/drawing1.xml><?xml version="1.0" encoding="utf-8"?>
<xdr:wsDr xmlns:xdr="http://schemas.openxmlformats.org/drawingml/2006/spreadsheetDrawing" xmlns:a="http://schemas.openxmlformats.org/drawingml/2006/main">
  <xdr:twoCellAnchor>
    <xdr:from>
      <xdr:col>3</xdr:col>
      <xdr:colOff>94856</xdr:colOff>
      <xdr:row>9</xdr:row>
      <xdr:rowOff>3720</xdr:rowOff>
    </xdr:from>
    <xdr:to>
      <xdr:col>4</xdr:col>
      <xdr:colOff>1280257</xdr:colOff>
      <xdr:row>20</xdr:row>
      <xdr:rowOff>34952</xdr:rowOff>
    </xdr:to>
    <xdr:graphicFrame macro="">
      <xdr:nvGraphicFramePr>
        <xdr:cNvPr id="6" name="Chart 5">
          <a:extLst>
            <a:ext uri="{FF2B5EF4-FFF2-40B4-BE49-F238E27FC236}">
              <a16:creationId xmlns:a16="http://schemas.microsoft.com/office/drawing/2014/main" id="{0DEBE0A2-BE19-6D4A-21A5-43052047BD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16878</xdr:colOff>
      <xdr:row>11</xdr:row>
      <xdr:rowOff>181916</xdr:rowOff>
    </xdr:from>
    <xdr:to>
      <xdr:col>18</xdr:col>
      <xdr:colOff>442089</xdr:colOff>
      <xdr:row>27</xdr:row>
      <xdr:rowOff>48922</xdr:rowOff>
    </xdr:to>
    <xdr:graphicFrame macro="">
      <xdr:nvGraphicFramePr>
        <xdr:cNvPr id="9" name="Chart 8">
          <a:extLst>
            <a:ext uri="{FF2B5EF4-FFF2-40B4-BE49-F238E27FC236}">
              <a16:creationId xmlns:a16="http://schemas.microsoft.com/office/drawing/2014/main" id="{2D9140D4-1B83-C5EE-F436-CDC2991221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6182</xdr:colOff>
      <xdr:row>45</xdr:row>
      <xdr:rowOff>163198</xdr:rowOff>
    </xdr:from>
    <xdr:to>
      <xdr:col>18</xdr:col>
      <xdr:colOff>241139</xdr:colOff>
      <xdr:row>64</xdr:row>
      <xdr:rowOff>24112</xdr:rowOff>
    </xdr:to>
    <xdr:graphicFrame macro="">
      <xdr:nvGraphicFramePr>
        <xdr:cNvPr id="10" name="Chart 9">
          <a:extLst>
            <a:ext uri="{FF2B5EF4-FFF2-40B4-BE49-F238E27FC236}">
              <a16:creationId xmlns:a16="http://schemas.microsoft.com/office/drawing/2014/main" id="{71AAA8B8-9445-73AB-142D-1AB9217454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24916</xdr:colOff>
      <xdr:row>10</xdr:row>
      <xdr:rowOff>175711</xdr:rowOff>
    </xdr:from>
    <xdr:to>
      <xdr:col>28</xdr:col>
      <xdr:colOff>466202</xdr:colOff>
      <xdr:row>23</xdr:row>
      <xdr:rowOff>136645</xdr:rowOff>
    </xdr:to>
    <xdr:graphicFrame macro="">
      <xdr:nvGraphicFramePr>
        <xdr:cNvPr id="11" name="Chart 10">
          <a:extLst>
            <a:ext uri="{FF2B5EF4-FFF2-40B4-BE49-F238E27FC236}">
              <a16:creationId xmlns:a16="http://schemas.microsoft.com/office/drawing/2014/main" id="{6A175C0F-14E1-B822-BF25-11B54F8DA5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33</xdr:col>
      <xdr:colOff>40992</xdr:colOff>
      <xdr:row>14</xdr:row>
      <xdr:rowOff>6912</xdr:rowOff>
    </xdr:from>
    <xdr:to>
      <xdr:col>38</xdr:col>
      <xdr:colOff>31346</xdr:colOff>
      <xdr:row>28</xdr:row>
      <xdr:rowOff>161884</xdr:rowOff>
    </xdr:to>
    <xdr:graphicFrame macro="">
      <xdr:nvGraphicFramePr>
        <xdr:cNvPr id="12" name="Chart 11">
          <a:extLst>
            <a:ext uri="{FF2B5EF4-FFF2-40B4-BE49-F238E27FC236}">
              <a16:creationId xmlns:a16="http://schemas.microsoft.com/office/drawing/2014/main" id="{54FDCD2F-6598-7814-9F19-A180F56CAE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40994</xdr:colOff>
      <xdr:row>14</xdr:row>
      <xdr:rowOff>31026</xdr:rowOff>
    </xdr:from>
    <xdr:to>
      <xdr:col>49</xdr:col>
      <xdr:colOff>376981</xdr:colOff>
      <xdr:row>29</xdr:row>
      <xdr:rowOff>1125</xdr:rowOff>
    </xdr:to>
    <xdr:graphicFrame macro="">
      <xdr:nvGraphicFramePr>
        <xdr:cNvPr id="13" name="Chart 12">
          <a:extLst>
            <a:ext uri="{FF2B5EF4-FFF2-40B4-BE49-F238E27FC236}">
              <a16:creationId xmlns:a16="http://schemas.microsoft.com/office/drawing/2014/main" id="{0C3FA577-7305-DED9-C0A9-6079D8AB9A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54</xdr:col>
      <xdr:colOff>40993</xdr:colOff>
      <xdr:row>12</xdr:row>
      <xdr:rowOff>167673</xdr:rowOff>
    </xdr:from>
    <xdr:to>
      <xdr:col>60</xdr:col>
      <xdr:colOff>376980</xdr:colOff>
      <xdr:row>27</xdr:row>
      <xdr:rowOff>137772</xdr:rowOff>
    </xdr:to>
    <xdr:graphicFrame macro="">
      <xdr:nvGraphicFramePr>
        <xdr:cNvPr id="15" name="Chart 14">
          <a:extLst>
            <a:ext uri="{FF2B5EF4-FFF2-40B4-BE49-F238E27FC236}">
              <a16:creationId xmlns:a16="http://schemas.microsoft.com/office/drawing/2014/main" id="{E2DFFEA6-B016-0A40-7673-50A06617CA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330815</xdr:colOff>
      <xdr:row>39</xdr:row>
      <xdr:rowOff>123721</xdr:rowOff>
    </xdr:from>
    <xdr:to>
      <xdr:col>3</xdr:col>
      <xdr:colOff>1021121</xdr:colOff>
      <xdr:row>54</xdr:row>
      <xdr:rowOff>101599</xdr:rowOff>
    </xdr:to>
    <xdr:graphicFrame macro="">
      <xdr:nvGraphicFramePr>
        <xdr:cNvPr id="20" name="Chart 19">
          <a:extLst>
            <a:ext uri="{FF2B5EF4-FFF2-40B4-BE49-F238E27FC236}">
              <a16:creationId xmlns:a16="http://schemas.microsoft.com/office/drawing/2014/main" id="{F6D5A68D-F669-EA87-8A9A-B741688AA5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69</xdr:col>
      <xdr:colOff>392266</xdr:colOff>
      <xdr:row>3</xdr:row>
      <xdr:rowOff>113482</xdr:rowOff>
    </xdr:from>
    <xdr:to>
      <xdr:col>74</xdr:col>
      <xdr:colOff>252975</xdr:colOff>
      <xdr:row>18</xdr:row>
      <xdr:rowOff>91360</xdr:rowOff>
    </xdr:to>
    <xdr:graphicFrame macro="">
      <xdr:nvGraphicFramePr>
        <xdr:cNvPr id="61" name="Chart 60">
          <a:extLst>
            <a:ext uri="{FF2B5EF4-FFF2-40B4-BE49-F238E27FC236}">
              <a16:creationId xmlns:a16="http://schemas.microsoft.com/office/drawing/2014/main" id="{D483FC43-E6FF-AAB4-1111-EC0F4DAA6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0.4272</cdr:x>
      <cdr:y>0.47013</cdr:y>
    </cdr:from>
    <cdr:to>
      <cdr:x>0.6272</cdr:x>
      <cdr:y>0.80346</cdr:y>
    </cdr:to>
    <cdr:sp macro="" textlink="">
      <cdr:nvSpPr>
        <cdr:cNvPr id="2" name="TextBox 1">
          <a:extLst xmlns:a="http://schemas.openxmlformats.org/drawingml/2006/main">
            <a:ext uri="{FF2B5EF4-FFF2-40B4-BE49-F238E27FC236}">
              <a16:creationId xmlns:a16="http://schemas.microsoft.com/office/drawing/2014/main" id="{47249F60-6E88-9D05-2893-51EA97F25B34}"/>
            </a:ext>
          </a:extLst>
        </cdr:cNvPr>
        <cdr:cNvSpPr txBox="1"/>
      </cdr:nvSpPr>
      <cdr:spPr>
        <a:xfrm xmlns:a="http://schemas.openxmlformats.org/drawingml/2006/main">
          <a:off x="1953137" y="128966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0.37343</cdr:x>
      <cdr:y>0.35439</cdr:y>
    </cdr:from>
    <cdr:to>
      <cdr:x>0.57343</cdr:x>
      <cdr:y>0.52614</cdr:y>
    </cdr:to>
    <cdr:sp macro="" textlink="Pivots!$E$8">
      <cdr:nvSpPr>
        <cdr:cNvPr id="3" name="TextBox 2">
          <a:extLst xmlns:a="http://schemas.openxmlformats.org/drawingml/2006/main">
            <a:ext uri="{FF2B5EF4-FFF2-40B4-BE49-F238E27FC236}">
              <a16:creationId xmlns:a16="http://schemas.microsoft.com/office/drawing/2014/main" id="{090ED950-D5F5-E3C5-5EA7-CCA4DA5F7356}"/>
            </a:ext>
          </a:extLst>
        </cdr:cNvPr>
        <cdr:cNvSpPr txBox="1"/>
      </cdr:nvSpPr>
      <cdr:spPr>
        <a:xfrm xmlns:a="http://schemas.openxmlformats.org/drawingml/2006/main">
          <a:off x="1707331" y="972166"/>
          <a:ext cx="914400" cy="47112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fld id="{47B7A413-ECBA-4D8A-9802-B2DF0EB3716A}" type="TxLink">
            <a:rPr lang="en-US" sz="2000" b="1" i="0" u="none" strike="noStrike" kern="1200">
              <a:solidFill>
                <a:srgbClr val="002F54"/>
              </a:solidFill>
              <a:latin typeface="Aptos Narrow"/>
            </a:rPr>
            <a:pPr/>
            <a:t>16.12%</a:t>
          </a:fld>
          <a:endParaRPr lang="en-GB" sz="2000" b="1" kern="1200">
            <a:solidFill>
              <a:srgbClr val="002F54"/>
            </a:solidFill>
          </a:endParaRPr>
        </a:p>
      </cdr:txBody>
    </cdr:sp>
  </cdr:relSizeAnchor>
  <cdr:relSizeAnchor xmlns:cdr="http://schemas.openxmlformats.org/drawingml/2006/chartDrawing">
    <cdr:from>
      <cdr:x>0.33535</cdr:x>
      <cdr:y>0.60081</cdr:y>
    </cdr:from>
    <cdr:to>
      <cdr:x>0.53535</cdr:x>
      <cdr:y>0.93414</cdr:y>
    </cdr:to>
    <cdr:sp macro="" textlink="">
      <cdr:nvSpPr>
        <cdr:cNvPr id="4" name="TextBox 3">
          <a:extLst xmlns:a="http://schemas.openxmlformats.org/drawingml/2006/main">
            <a:ext uri="{FF2B5EF4-FFF2-40B4-BE49-F238E27FC236}">
              <a16:creationId xmlns:a16="http://schemas.microsoft.com/office/drawing/2014/main" id="{870AEF43-743D-3336-11F7-7FB7F88E6360}"/>
            </a:ext>
          </a:extLst>
        </cdr:cNvPr>
        <cdr:cNvSpPr txBox="1"/>
      </cdr:nvSpPr>
      <cdr:spPr>
        <a:xfrm xmlns:a="http://schemas.openxmlformats.org/drawingml/2006/main">
          <a:off x="1533218" y="1648133"/>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0.33535</cdr:x>
      <cdr:y>0.47999</cdr:y>
    </cdr:from>
    <cdr:to>
      <cdr:x>0.53535</cdr:x>
      <cdr:y>0.61947</cdr:y>
    </cdr:to>
    <cdr:sp macro="" textlink="">
      <cdr:nvSpPr>
        <cdr:cNvPr id="5" name="TextBox 4">
          <a:extLst xmlns:a="http://schemas.openxmlformats.org/drawingml/2006/main">
            <a:ext uri="{FF2B5EF4-FFF2-40B4-BE49-F238E27FC236}">
              <a16:creationId xmlns:a16="http://schemas.microsoft.com/office/drawing/2014/main" id="{2CD0EAD1-739A-8645-DA97-EBEAA18FEE19}"/>
            </a:ext>
          </a:extLst>
        </cdr:cNvPr>
        <cdr:cNvSpPr txBox="1"/>
      </cdr:nvSpPr>
      <cdr:spPr>
        <a:xfrm xmlns:a="http://schemas.openxmlformats.org/drawingml/2006/main">
          <a:off x="1533217" y="1316703"/>
          <a:ext cx="914400" cy="38264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GB" sz="1600" b="1" kern="1200">
              <a:solidFill>
                <a:srgbClr val="002F54"/>
              </a:solidFill>
            </a:rPr>
            <a:t>Attrition Rate</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212073</xdr:colOff>
      <xdr:row>0</xdr:row>
      <xdr:rowOff>0</xdr:rowOff>
    </xdr:from>
    <xdr:to>
      <xdr:col>27</xdr:col>
      <xdr:colOff>401319</xdr:colOff>
      <xdr:row>2</xdr:row>
      <xdr:rowOff>171450</xdr:rowOff>
    </xdr:to>
    <xdr:sp macro="" textlink="">
      <xdr:nvSpPr>
        <xdr:cNvPr id="3" name="Rectangle 2">
          <a:extLst>
            <a:ext uri="{FF2B5EF4-FFF2-40B4-BE49-F238E27FC236}">
              <a16:creationId xmlns:a16="http://schemas.microsoft.com/office/drawing/2014/main" id="{4458EE33-90FF-81B7-BA38-6DA3BDD54A7C}"/>
            </a:ext>
          </a:extLst>
        </xdr:cNvPr>
        <xdr:cNvSpPr/>
      </xdr:nvSpPr>
      <xdr:spPr>
        <a:xfrm>
          <a:off x="212073" y="0"/>
          <a:ext cx="16629657" cy="536792"/>
        </a:xfrm>
        <a:prstGeom prst="rect">
          <a:avLst/>
        </a:prstGeom>
        <a:solidFill>
          <a:srgbClr val="0030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g</a:t>
          </a:r>
        </a:p>
      </xdr:txBody>
    </xdr:sp>
    <xdr:clientData/>
  </xdr:twoCellAnchor>
  <xdr:twoCellAnchor>
    <xdr:from>
      <xdr:col>0</xdr:col>
      <xdr:colOff>6351</xdr:colOff>
      <xdr:row>0</xdr:row>
      <xdr:rowOff>12701</xdr:rowOff>
    </xdr:from>
    <xdr:to>
      <xdr:col>2</xdr:col>
      <xdr:colOff>452329</xdr:colOff>
      <xdr:row>50</xdr:row>
      <xdr:rowOff>8698</xdr:rowOff>
    </xdr:to>
    <xdr:sp macro="" textlink="">
      <xdr:nvSpPr>
        <xdr:cNvPr id="5" name="Rectangle 4">
          <a:extLst>
            <a:ext uri="{FF2B5EF4-FFF2-40B4-BE49-F238E27FC236}">
              <a16:creationId xmlns:a16="http://schemas.microsoft.com/office/drawing/2014/main" id="{97CB505E-C026-41A2-7BB5-199CA23FCFF6}"/>
            </a:ext>
          </a:extLst>
        </xdr:cNvPr>
        <xdr:cNvSpPr/>
      </xdr:nvSpPr>
      <xdr:spPr>
        <a:xfrm>
          <a:off x="6351" y="12701"/>
          <a:ext cx="1663786" cy="9129559"/>
        </a:xfrm>
        <a:prstGeom prst="rect">
          <a:avLst/>
        </a:prstGeom>
        <a:solidFill>
          <a:srgbClr val="00132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5</xdr:col>
      <xdr:colOff>488950</xdr:colOff>
      <xdr:row>4</xdr:row>
      <xdr:rowOff>38100</xdr:rowOff>
    </xdr:from>
    <xdr:ext cx="184731" cy="264560"/>
    <xdr:sp macro="" textlink="">
      <xdr:nvSpPr>
        <xdr:cNvPr id="6" name="TextBox 5">
          <a:extLst>
            <a:ext uri="{FF2B5EF4-FFF2-40B4-BE49-F238E27FC236}">
              <a16:creationId xmlns:a16="http://schemas.microsoft.com/office/drawing/2014/main" id="{2575BDED-02FA-B02E-3289-3827D0D4FEF8}"/>
            </a:ext>
          </a:extLst>
        </xdr:cNvPr>
        <xdr:cNvSpPr txBox="1"/>
      </xdr:nvSpPr>
      <xdr:spPr>
        <a:xfrm>
          <a:off x="3536950" y="77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2</xdr:col>
      <xdr:colOff>482599</xdr:colOff>
      <xdr:row>0</xdr:row>
      <xdr:rowOff>25399</xdr:rowOff>
    </xdr:from>
    <xdr:ext cx="6241441" cy="322545"/>
    <xdr:sp macro="" textlink="">
      <xdr:nvSpPr>
        <xdr:cNvPr id="7" name="TextBox 6">
          <a:extLst>
            <a:ext uri="{FF2B5EF4-FFF2-40B4-BE49-F238E27FC236}">
              <a16:creationId xmlns:a16="http://schemas.microsoft.com/office/drawing/2014/main" id="{4AA1E3E7-7BC0-05D5-B48D-04456B4BCB40}"/>
            </a:ext>
          </a:extLst>
        </xdr:cNvPr>
        <xdr:cNvSpPr txBox="1"/>
      </xdr:nvSpPr>
      <xdr:spPr>
        <a:xfrm>
          <a:off x="1700407" y="25399"/>
          <a:ext cx="6241441" cy="3225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600" b="1">
              <a:solidFill>
                <a:schemeClr val="bg1"/>
              </a:solidFill>
              <a:latin typeface="+mj-lt"/>
            </a:rPr>
            <a:t>TALENT</a:t>
          </a:r>
          <a:r>
            <a:rPr lang="en-GB" sz="1600" b="1" baseline="0">
              <a:solidFill>
                <a:schemeClr val="bg1"/>
              </a:solidFill>
              <a:latin typeface="+mj-lt"/>
            </a:rPr>
            <a:t> SPHERE ATTRITION DASHBOARD ANALYTICS</a:t>
          </a:r>
        </a:p>
      </xdr:txBody>
    </xdr:sp>
    <xdr:clientData/>
  </xdr:oneCellAnchor>
  <xdr:oneCellAnchor>
    <xdr:from>
      <xdr:col>2</xdr:col>
      <xdr:colOff>520700</xdr:colOff>
      <xdr:row>1</xdr:row>
      <xdr:rowOff>114300</xdr:rowOff>
    </xdr:from>
    <xdr:ext cx="2453557" cy="248851"/>
    <xdr:sp macro="" textlink="">
      <xdr:nvSpPr>
        <xdr:cNvPr id="8" name="TextBox 7">
          <a:extLst>
            <a:ext uri="{FF2B5EF4-FFF2-40B4-BE49-F238E27FC236}">
              <a16:creationId xmlns:a16="http://schemas.microsoft.com/office/drawing/2014/main" id="{6B2FBEAB-F0F7-A422-72E8-F0802888D104}"/>
            </a:ext>
          </a:extLst>
        </xdr:cNvPr>
        <xdr:cNvSpPr txBox="1"/>
      </xdr:nvSpPr>
      <xdr:spPr>
        <a:xfrm>
          <a:off x="1738508" y="296971"/>
          <a:ext cx="2453557"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000">
              <a:solidFill>
                <a:schemeClr val="bg1"/>
              </a:solidFill>
            </a:rPr>
            <a:t>Key</a:t>
          </a:r>
          <a:r>
            <a:rPr lang="en-GB" sz="1000" baseline="0">
              <a:solidFill>
                <a:schemeClr val="bg1"/>
              </a:solidFill>
            </a:rPr>
            <a:t> Insights into Workforce Attrition and Risk</a:t>
          </a:r>
        </a:p>
      </xdr:txBody>
    </xdr:sp>
    <xdr:clientData/>
  </xdr:oneCellAnchor>
  <xdr:twoCellAnchor>
    <xdr:from>
      <xdr:col>3</xdr:col>
      <xdr:colOff>134370</xdr:colOff>
      <xdr:row>3</xdr:row>
      <xdr:rowOff>103089</xdr:rowOff>
    </xdr:from>
    <xdr:to>
      <xdr:col>6</xdr:col>
      <xdr:colOff>164630</xdr:colOff>
      <xdr:row>7</xdr:row>
      <xdr:rowOff>180308</xdr:rowOff>
    </xdr:to>
    <xdr:sp macro="" textlink="Pivots!C8">
      <xdr:nvSpPr>
        <xdr:cNvPr id="11" name="Rectangle: Rounded Corners 10">
          <a:extLst>
            <a:ext uri="{FF2B5EF4-FFF2-40B4-BE49-F238E27FC236}">
              <a16:creationId xmlns:a16="http://schemas.microsoft.com/office/drawing/2014/main" id="{0893B375-7A54-FADE-BFC7-39EEA8E11A1D}"/>
            </a:ext>
          </a:extLst>
        </xdr:cNvPr>
        <xdr:cNvSpPr/>
      </xdr:nvSpPr>
      <xdr:spPr>
        <a:xfrm>
          <a:off x="1968814" y="644015"/>
          <a:ext cx="1864705" cy="798453"/>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baseline="0">
              <a:solidFill>
                <a:srgbClr val="002F54"/>
              </a:solidFill>
            </a:rPr>
            <a:t> </a:t>
          </a:r>
          <a:endParaRPr lang="en-GB" sz="2800" b="1">
            <a:solidFill>
              <a:srgbClr val="002F54"/>
            </a:solidFill>
          </a:endParaRPr>
        </a:p>
      </xdr:txBody>
    </xdr:sp>
    <xdr:clientData/>
  </xdr:twoCellAnchor>
  <xdr:twoCellAnchor>
    <xdr:from>
      <xdr:col>6</xdr:col>
      <xdr:colOff>294608</xdr:colOff>
      <xdr:row>3</xdr:row>
      <xdr:rowOff>122217</xdr:rowOff>
    </xdr:from>
    <xdr:to>
      <xdr:col>9</xdr:col>
      <xdr:colOff>324869</xdr:colOff>
      <xdr:row>8</xdr:row>
      <xdr:rowOff>19127</xdr:rowOff>
    </xdr:to>
    <xdr:sp macro="" textlink="">
      <xdr:nvSpPr>
        <xdr:cNvPr id="17" name="Rectangle: Rounded Corners 16">
          <a:extLst>
            <a:ext uri="{FF2B5EF4-FFF2-40B4-BE49-F238E27FC236}">
              <a16:creationId xmlns:a16="http://schemas.microsoft.com/office/drawing/2014/main" id="{9B0B80F1-7D91-F44B-C753-04195753C969}"/>
            </a:ext>
          </a:extLst>
        </xdr:cNvPr>
        <xdr:cNvSpPr/>
      </xdr:nvSpPr>
      <xdr:spPr>
        <a:xfrm>
          <a:off x="3963497" y="663143"/>
          <a:ext cx="1864705" cy="798453"/>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462689</xdr:colOff>
      <xdr:row>3</xdr:row>
      <xdr:rowOff>109988</xdr:rowOff>
    </xdr:from>
    <xdr:to>
      <xdr:col>12</xdr:col>
      <xdr:colOff>492949</xdr:colOff>
      <xdr:row>8</xdr:row>
      <xdr:rowOff>6898</xdr:rowOff>
    </xdr:to>
    <xdr:sp macro="" textlink="">
      <xdr:nvSpPr>
        <xdr:cNvPr id="18" name="Rectangle: Rounded Corners 17">
          <a:extLst>
            <a:ext uri="{FF2B5EF4-FFF2-40B4-BE49-F238E27FC236}">
              <a16:creationId xmlns:a16="http://schemas.microsoft.com/office/drawing/2014/main" id="{E5C0F59B-1EE8-1236-E9BF-114D72991534}"/>
            </a:ext>
          </a:extLst>
        </xdr:cNvPr>
        <xdr:cNvSpPr/>
      </xdr:nvSpPr>
      <xdr:spPr>
        <a:xfrm>
          <a:off x="5966022" y="650914"/>
          <a:ext cx="1864705" cy="798453"/>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19286</xdr:colOff>
      <xdr:row>3</xdr:row>
      <xdr:rowOff>97757</xdr:rowOff>
    </xdr:from>
    <xdr:to>
      <xdr:col>16</xdr:col>
      <xdr:colOff>49546</xdr:colOff>
      <xdr:row>7</xdr:row>
      <xdr:rowOff>174976</xdr:rowOff>
    </xdr:to>
    <xdr:sp macro="" textlink="">
      <xdr:nvSpPr>
        <xdr:cNvPr id="19" name="Rectangle: Rounded Corners 18">
          <a:extLst>
            <a:ext uri="{FF2B5EF4-FFF2-40B4-BE49-F238E27FC236}">
              <a16:creationId xmlns:a16="http://schemas.microsoft.com/office/drawing/2014/main" id="{9C57E250-AA25-2CFF-519C-1FC7C5D524BB}"/>
            </a:ext>
          </a:extLst>
        </xdr:cNvPr>
        <xdr:cNvSpPr/>
      </xdr:nvSpPr>
      <xdr:spPr>
        <a:xfrm>
          <a:off x="7968545" y="638683"/>
          <a:ext cx="1864705" cy="798453"/>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163846</xdr:colOff>
      <xdr:row>3</xdr:row>
      <xdr:rowOff>85528</xdr:rowOff>
    </xdr:from>
    <xdr:to>
      <xdr:col>19</xdr:col>
      <xdr:colOff>194107</xdr:colOff>
      <xdr:row>7</xdr:row>
      <xdr:rowOff>162747</xdr:rowOff>
    </xdr:to>
    <xdr:sp macro="" textlink="">
      <xdr:nvSpPr>
        <xdr:cNvPr id="20" name="Rectangle: Rounded Corners 19">
          <a:extLst>
            <a:ext uri="{FF2B5EF4-FFF2-40B4-BE49-F238E27FC236}">
              <a16:creationId xmlns:a16="http://schemas.microsoft.com/office/drawing/2014/main" id="{1AE29E41-6849-15C8-BCCB-CEB7E4A5107F}"/>
            </a:ext>
          </a:extLst>
        </xdr:cNvPr>
        <xdr:cNvSpPr/>
      </xdr:nvSpPr>
      <xdr:spPr>
        <a:xfrm>
          <a:off x="9947550" y="626454"/>
          <a:ext cx="1864705" cy="798453"/>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423332</xdr:colOff>
      <xdr:row>0</xdr:row>
      <xdr:rowOff>78395</xdr:rowOff>
    </xdr:from>
    <xdr:to>
      <xdr:col>1</xdr:col>
      <xdr:colOff>462530</xdr:colOff>
      <xdr:row>3</xdr:row>
      <xdr:rowOff>148951</xdr:rowOff>
    </xdr:to>
    <xdr:sp macro="" textlink="">
      <xdr:nvSpPr>
        <xdr:cNvPr id="23" name="Oval 22">
          <a:extLst>
            <a:ext uri="{FF2B5EF4-FFF2-40B4-BE49-F238E27FC236}">
              <a16:creationId xmlns:a16="http://schemas.microsoft.com/office/drawing/2014/main" id="{CFB27712-D559-E2B0-C192-519773A2706C}"/>
            </a:ext>
          </a:extLst>
        </xdr:cNvPr>
        <xdr:cNvSpPr/>
      </xdr:nvSpPr>
      <xdr:spPr>
        <a:xfrm>
          <a:off x="423332" y="78395"/>
          <a:ext cx="650679" cy="611482"/>
        </a:xfrm>
        <a:prstGeom prst="ellipse">
          <a:avLst/>
        </a:prstGeom>
        <a:noFill/>
        <a:ln>
          <a:solidFill>
            <a:srgbClr val="0030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292728</xdr:colOff>
      <xdr:row>3</xdr:row>
      <xdr:rowOff>81139</xdr:rowOff>
    </xdr:from>
    <xdr:to>
      <xdr:col>22</xdr:col>
      <xdr:colOff>322988</xdr:colOff>
      <xdr:row>7</xdr:row>
      <xdr:rowOff>158358</xdr:rowOff>
    </xdr:to>
    <xdr:sp macro="" textlink="">
      <xdr:nvSpPr>
        <xdr:cNvPr id="21" name="Rectangle: Rounded Corners 20">
          <a:extLst>
            <a:ext uri="{FF2B5EF4-FFF2-40B4-BE49-F238E27FC236}">
              <a16:creationId xmlns:a16="http://schemas.microsoft.com/office/drawing/2014/main" id="{3822BAE6-BE40-0447-9EC7-52057C50593C}"/>
            </a:ext>
          </a:extLst>
        </xdr:cNvPr>
        <xdr:cNvSpPr/>
      </xdr:nvSpPr>
      <xdr:spPr>
        <a:xfrm>
          <a:off x="11910876" y="622065"/>
          <a:ext cx="1864705" cy="798453"/>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522190</xdr:colOff>
      <xdr:row>0</xdr:row>
      <xdr:rowOff>137036</xdr:rowOff>
    </xdr:from>
    <xdr:to>
      <xdr:col>1</xdr:col>
      <xdr:colOff>352778</xdr:colOff>
      <xdr:row>3</xdr:row>
      <xdr:rowOff>107414</xdr:rowOff>
    </xdr:to>
    <xdr:pic>
      <xdr:nvPicPr>
        <xdr:cNvPr id="10" name="Graphic 9" descr="Users with solid fill">
          <a:extLst>
            <a:ext uri="{FF2B5EF4-FFF2-40B4-BE49-F238E27FC236}">
              <a16:creationId xmlns:a16="http://schemas.microsoft.com/office/drawing/2014/main" id="{69E1B59A-DDB4-09A3-BF70-4976FA115D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2190" y="137036"/>
          <a:ext cx="442069" cy="511304"/>
        </a:xfrm>
        <a:prstGeom prst="rect">
          <a:avLst/>
        </a:prstGeom>
      </xdr:spPr>
    </xdr:pic>
    <xdr:clientData/>
  </xdr:twoCellAnchor>
  <xdr:twoCellAnchor>
    <xdr:from>
      <xdr:col>3</xdr:col>
      <xdr:colOff>195988</xdr:colOff>
      <xdr:row>4</xdr:row>
      <xdr:rowOff>47036</xdr:rowOff>
    </xdr:from>
    <xdr:to>
      <xdr:col>4</xdr:col>
      <xdr:colOff>141109</xdr:colOff>
      <xdr:row>7</xdr:row>
      <xdr:rowOff>39198</xdr:rowOff>
    </xdr:to>
    <xdr:sp macro="" textlink="">
      <xdr:nvSpPr>
        <xdr:cNvPr id="24" name="Oval 23">
          <a:extLst>
            <a:ext uri="{FF2B5EF4-FFF2-40B4-BE49-F238E27FC236}">
              <a16:creationId xmlns:a16="http://schemas.microsoft.com/office/drawing/2014/main" id="{8352ADFF-9EA9-57EC-C675-8DF3FE8B3591}"/>
            </a:ext>
          </a:extLst>
        </xdr:cNvPr>
        <xdr:cNvSpPr/>
      </xdr:nvSpPr>
      <xdr:spPr>
        <a:xfrm>
          <a:off x="2030432" y="768271"/>
          <a:ext cx="556603" cy="533087"/>
        </a:xfrm>
        <a:prstGeom prst="ellipse">
          <a:avLst/>
        </a:prstGeom>
        <a:solidFill>
          <a:srgbClr val="DEEF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3</xdr:col>
      <xdr:colOff>243417</xdr:colOff>
      <xdr:row>4</xdr:row>
      <xdr:rowOff>66354</xdr:rowOff>
    </xdr:from>
    <xdr:to>
      <xdr:col>4</xdr:col>
      <xdr:colOff>74004</xdr:colOff>
      <xdr:row>7</xdr:row>
      <xdr:rowOff>36733</xdr:rowOff>
    </xdr:to>
    <xdr:pic>
      <xdr:nvPicPr>
        <xdr:cNvPr id="25" name="Graphic 24" descr="Users with solid fill">
          <a:extLst>
            <a:ext uri="{FF2B5EF4-FFF2-40B4-BE49-F238E27FC236}">
              <a16:creationId xmlns:a16="http://schemas.microsoft.com/office/drawing/2014/main" id="{6B137FFD-04F0-3124-DD75-BC643C88C21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77861" y="787589"/>
          <a:ext cx="442069" cy="511304"/>
        </a:xfrm>
        <a:prstGeom prst="rect">
          <a:avLst/>
        </a:prstGeom>
      </xdr:spPr>
    </xdr:pic>
    <xdr:clientData/>
  </xdr:twoCellAnchor>
  <xdr:twoCellAnchor>
    <xdr:from>
      <xdr:col>9</xdr:col>
      <xdr:colOff>528696</xdr:colOff>
      <xdr:row>4</xdr:row>
      <xdr:rowOff>34806</xdr:rowOff>
    </xdr:from>
    <xdr:to>
      <xdr:col>10</xdr:col>
      <xdr:colOff>473817</xdr:colOff>
      <xdr:row>7</xdr:row>
      <xdr:rowOff>26968</xdr:rowOff>
    </xdr:to>
    <xdr:sp macro="" textlink="">
      <xdr:nvSpPr>
        <xdr:cNvPr id="26" name="Oval 25">
          <a:extLst>
            <a:ext uri="{FF2B5EF4-FFF2-40B4-BE49-F238E27FC236}">
              <a16:creationId xmlns:a16="http://schemas.microsoft.com/office/drawing/2014/main" id="{BB6E693C-D686-B792-3417-FAC51A9EFFCE}"/>
            </a:ext>
          </a:extLst>
        </xdr:cNvPr>
        <xdr:cNvSpPr/>
      </xdr:nvSpPr>
      <xdr:spPr>
        <a:xfrm>
          <a:off x="6032029" y="756041"/>
          <a:ext cx="556603" cy="533087"/>
        </a:xfrm>
        <a:prstGeom prst="ellipse">
          <a:avLst/>
        </a:prstGeom>
        <a:solidFill>
          <a:srgbClr val="D9EFE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9</xdr:col>
      <xdr:colOff>576125</xdr:colOff>
      <xdr:row>4</xdr:row>
      <xdr:rowOff>49860</xdr:rowOff>
    </xdr:from>
    <xdr:to>
      <xdr:col>10</xdr:col>
      <xdr:colOff>406712</xdr:colOff>
      <xdr:row>7</xdr:row>
      <xdr:rowOff>20239</xdr:rowOff>
    </xdr:to>
    <xdr:pic>
      <xdr:nvPicPr>
        <xdr:cNvPr id="27" name="Graphic 26" descr="Users with solid fill">
          <a:extLst>
            <a:ext uri="{FF2B5EF4-FFF2-40B4-BE49-F238E27FC236}">
              <a16:creationId xmlns:a16="http://schemas.microsoft.com/office/drawing/2014/main" id="{4498B9F9-1D80-3C6C-6383-1C5AAE5A0BA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079458" y="771095"/>
          <a:ext cx="442069" cy="511304"/>
        </a:xfrm>
        <a:prstGeom prst="rect">
          <a:avLst/>
        </a:prstGeom>
      </xdr:spPr>
    </xdr:pic>
    <xdr:clientData/>
  </xdr:twoCellAnchor>
  <xdr:twoCellAnchor>
    <xdr:from>
      <xdr:col>6</xdr:col>
      <xdr:colOff>343996</xdr:colOff>
      <xdr:row>4</xdr:row>
      <xdr:rowOff>85292</xdr:rowOff>
    </xdr:from>
    <xdr:to>
      <xdr:col>7</xdr:col>
      <xdr:colOff>289118</xdr:colOff>
      <xdr:row>7</xdr:row>
      <xdr:rowOff>77454</xdr:rowOff>
    </xdr:to>
    <xdr:sp macro="" textlink="">
      <xdr:nvSpPr>
        <xdr:cNvPr id="30" name="Oval 29">
          <a:extLst>
            <a:ext uri="{FF2B5EF4-FFF2-40B4-BE49-F238E27FC236}">
              <a16:creationId xmlns:a16="http://schemas.microsoft.com/office/drawing/2014/main" id="{96378AC9-BEE5-EE9A-D5D3-CCEB8FE8FA0C}"/>
            </a:ext>
          </a:extLst>
        </xdr:cNvPr>
        <xdr:cNvSpPr/>
      </xdr:nvSpPr>
      <xdr:spPr>
        <a:xfrm>
          <a:off x="4012885" y="806527"/>
          <a:ext cx="556603" cy="533087"/>
        </a:xfrm>
        <a:prstGeom prst="ellipse">
          <a:avLst/>
        </a:prstGeom>
        <a:solidFill>
          <a:srgbClr val="FEE3D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73064</xdr:colOff>
      <xdr:row>4</xdr:row>
      <xdr:rowOff>49545</xdr:rowOff>
    </xdr:from>
    <xdr:to>
      <xdr:col>14</xdr:col>
      <xdr:colOff>18185</xdr:colOff>
      <xdr:row>7</xdr:row>
      <xdr:rowOff>41707</xdr:rowOff>
    </xdr:to>
    <xdr:sp macro="" textlink="">
      <xdr:nvSpPr>
        <xdr:cNvPr id="31" name="Oval 30">
          <a:extLst>
            <a:ext uri="{FF2B5EF4-FFF2-40B4-BE49-F238E27FC236}">
              <a16:creationId xmlns:a16="http://schemas.microsoft.com/office/drawing/2014/main" id="{1871F40F-514C-184A-A6CC-BE2BABE3264B}"/>
            </a:ext>
          </a:extLst>
        </xdr:cNvPr>
        <xdr:cNvSpPr/>
      </xdr:nvSpPr>
      <xdr:spPr>
        <a:xfrm>
          <a:off x="8022323" y="770780"/>
          <a:ext cx="556603" cy="533087"/>
        </a:xfrm>
        <a:prstGeom prst="ellipse">
          <a:avLst/>
        </a:prstGeom>
        <a:solidFill>
          <a:srgbClr val="FDF1D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233303</xdr:colOff>
      <xdr:row>4</xdr:row>
      <xdr:rowOff>68672</xdr:rowOff>
    </xdr:from>
    <xdr:to>
      <xdr:col>17</xdr:col>
      <xdr:colOff>178425</xdr:colOff>
      <xdr:row>7</xdr:row>
      <xdr:rowOff>60834</xdr:rowOff>
    </xdr:to>
    <xdr:sp macro="" textlink="">
      <xdr:nvSpPr>
        <xdr:cNvPr id="32" name="Oval 31">
          <a:extLst>
            <a:ext uri="{FF2B5EF4-FFF2-40B4-BE49-F238E27FC236}">
              <a16:creationId xmlns:a16="http://schemas.microsoft.com/office/drawing/2014/main" id="{97DA4EEA-905F-492E-1AC2-EDE02FC92711}"/>
            </a:ext>
          </a:extLst>
        </xdr:cNvPr>
        <xdr:cNvSpPr/>
      </xdr:nvSpPr>
      <xdr:spPr>
        <a:xfrm>
          <a:off x="10017007" y="789907"/>
          <a:ext cx="556603" cy="533087"/>
        </a:xfrm>
        <a:prstGeom prst="ellipse">
          <a:avLst/>
        </a:prstGeom>
        <a:solidFill>
          <a:srgbClr val="FDE7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354345</xdr:colOff>
      <xdr:row>4</xdr:row>
      <xdr:rowOff>56443</xdr:rowOff>
    </xdr:from>
    <xdr:to>
      <xdr:col>20</xdr:col>
      <xdr:colOff>299466</xdr:colOff>
      <xdr:row>7</xdr:row>
      <xdr:rowOff>48605</xdr:rowOff>
    </xdr:to>
    <xdr:sp macro="" textlink="">
      <xdr:nvSpPr>
        <xdr:cNvPr id="33" name="Oval 32">
          <a:extLst>
            <a:ext uri="{FF2B5EF4-FFF2-40B4-BE49-F238E27FC236}">
              <a16:creationId xmlns:a16="http://schemas.microsoft.com/office/drawing/2014/main" id="{7DAE1080-1C14-0DE4-DCE3-C5796CE073FC}"/>
            </a:ext>
          </a:extLst>
        </xdr:cNvPr>
        <xdr:cNvSpPr/>
      </xdr:nvSpPr>
      <xdr:spPr>
        <a:xfrm>
          <a:off x="11972493" y="777678"/>
          <a:ext cx="556603" cy="533087"/>
        </a:xfrm>
        <a:prstGeom prst="ellipse">
          <a:avLst/>
        </a:prstGeom>
        <a:solidFill>
          <a:srgbClr val="D9EFE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6</xdr:col>
      <xdr:colOff>384137</xdr:colOff>
      <xdr:row>4</xdr:row>
      <xdr:rowOff>156789</xdr:rowOff>
    </xdr:from>
    <xdr:to>
      <xdr:col>7</xdr:col>
      <xdr:colOff>283468</xdr:colOff>
      <xdr:row>7</xdr:row>
      <xdr:rowOff>23519</xdr:rowOff>
    </xdr:to>
    <xdr:pic>
      <xdr:nvPicPr>
        <xdr:cNvPr id="29" name="Graphic 28" descr="Exit with solid fill">
          <a:extLst>
            <a:ext uri="{FF2B5EF4-FFF2-40B4-BE49-F238E27FC236}">
              <a16:creationId xmlns:a16="http://schemas.microsoft.com/office/drawing/2014/main" id="{172994BB-0FF0-3FB1-79F2-0371EEDA0EE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53026" y="878024"/>
          <a:ext cx="510812" cy="407655"/>
        </a:xfrm>
        <a:prstGeom prst="rect">
          <a:avLst/>
        </a:prstGeom>
      </xdr:spPr>
    </xdr:pic>
    <xdr:clientData/>
  </xdr:twoCellAnchor>
  <xdr:twoCellAnchor editAs="oneCell">
    <xdr:from>
      <xdr:col>13</xdr:col>
      <xdr:colOff>133274</xdr:colOff>
      <xdr:row>4</xdr:row>
      <xdr:rowOff>78395</xdr:rowOff>
    </xdr:from>
    <xdr:to>
      <xdr:col>13</xdr:col>
      <xdr:colOff>556605</xdr:colOff>
      <xdr:row>6</xdr:row>
      <xdr:rowOff>148950</xdr:rowOff>
    </xdr:to>
    <xdr:pic>
      <xdr:nvPicPr>
        <xdr:cNvPr id="35" name="Graphic 34" descr="Employee badge with solid fill">
          <a:extLst>
            <a:ext uri="{FF2B5EF4-FFF2-40B4-BE49-F238E27FC236}">
              <a16:creationId xmlns:a16="http://schemas.microsoft.com/office/drawing/2014/main" id="{B26779C1-E223-1BD9-4ABC-1689951B82D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082533" y="799630"/>
          <a:ext cx="423331" cy="431172"/>
        </a:xfrm>
        <a:prstGeom prst="rect">
          <a:avLst/>
        </a:prstGeom>
      </xdr:spPr>
    </xdr:pic>
    <xdr:clientData/>
  </xdr:twoCellAnchor>
  <xdr:twoCellAnchor editAs="oneCell">
    <xdr:from>
      <xdr:col>16</xdr:col>
      <xdr:colOff>329259</xdr:colOff>
      <xdr:row>4</xdr:row>
      <xdr:rowOff>141109</xdr:rowOff>
    </xdr:from>
    <xdr:to>
      <xdr:col>17</xdr:col>
      <xdr:colOff>94074</xdr:colOff>
      <xdr:row>6</xdr:row>
      <xdr:rowOff>109751</xdr:rowOff>
    </xdr:to>
    <xdr:pic>
      <xdr:nvPicPr>
        <xdr:cNvPr id="37" name="Graphic 36" descr="Warning with solid fill">
          <a:extLst>
            <a:ext uri="{FF2B5EF4-FFF2-40B4-BE49-F238E27FC236}">
              <a16:creationId xmlns:a16="http://schemas.microsoft.com/office/drawing/2014/main" id="{48CBDA55-48E2-CD46-779C-02CE8B6D583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112963" y="862344"/>
          <a:ext cx="376296" cy="329259"/>
        </a:xfrm>
        <a:prstGeom prst="rect">
          <a:avLst/>
        </a:prstGeom>
      </xdr:spPr>
    </xdr:pic>
    <xdr:clientData/>
  </xdr:twoCellAnchor>
  <xdr:twoCellAnchor>
    <xdr:from>
      <xdr:col>4</xdr:col>
      <xdr:colOff>227345</xdr:colOff>
      <xdr:row>4</xdr:row>
      <xdr:rowOff>125431</xdr:rowOff>
    </xdr:from>
    <xdr:to>
      <xdr:col>5</xdr:col>
      <xdr:colOff>501727</xdr:colOff>
      <xdr:row>6</xdr:row>
      <xdr:rowOff>133271</xdr:rowOff>
    </xdr:to>
    <xdr:sp macro="" textlink="Pivots!C8">
      <xdr:nvSpPr>
        <xdr:cNvPr id="38" name="TextBox 37">
          <a:extLst>
            <a:ext uri="{FF2B5EF4-FFF2-40B4-BE49-F238E27FC236}">
              <a16:creationId xmlns:a16="http://schemas.microsoft.com/office/drawing/2014/main" id="{0CCE5629-2160-6B74-22D6-B774F56A360E}"/>
            </a:ext>
          </a:extLst>
        </xdr:cNvPr>
        <xdr:cNvSpPr txBox="1"/>
      </xdr:nvSpPr>
      <xdr:spPr>
        <a:xfrm>
          <a:off x="2673271" y="846666"/>
          <a:ext cx="885863" cy="3684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17AEEC-FB0F-4B6B-85CF-69F0A3BB69DE}" type="TxLink">
            <a:rPr lang="en-US" sz="2000" b="1" i="0" u="none" strike="noStrike">
              <a:solidFill>
                <a:srgbClr val="002F54"/>
              </a:solidFill>
              <a:latin typeface="Aptos Narrow"/>
            </a:rPr>
            <a:pPr/>
            <a:t> 1,470 </a:t>
          </a:fld>
          <a:endParaRPr lang="en-GB" sz="2000" b="1">
            <a:solidFill>
              <a:srgbClr val="002F54"/>
            </a:solidFill>
          </a:endParaRPr>
        </a:p>
      </xdr:txBody>
    </xdr:sp>
    <xdr:clientData/>
  </xdr:twoCellAnchor>
  <xdr:oneCellAnchor>
    <xdr:from>
      <xdr:col>4</xdr:col>
      <xdr:colOff>227346</xdr:colOff>
      <xdr:row>4</xdr:row>
      <xdr:rowOff>156790</xdr:rowOff>
    </xdr:from>
    <xdr:ext cx="184731" cy="264560"/>
    <xdr:sp macro="" textlink="">
      <xdr:nvSpPr>
        <xdr:cNvPr id="39" name="TextBox 38">
          <a:extLst>
            <a:ext uri="{FF2B5EF4-FFF2-40B4-BE49-F238E27FC236}">
              <a16:creationId xmlns:a16="http://schemas.microsoft.com/office/drawing/2014/main" id="{8C823510-11DD-8B51-17FE-E0C0E466C8DB}"/>
            </a:ext>
          </a:extLst>
        </xdr:cNvPr>
        <xdr:cNvSpPr txBox="1"/>
      </xdr:nvSpPr>
      <xdr:spPr>
        <a:xfrm>
          <a:off x="2673272" y="878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125433</xdr:colOff>
      <xdr:row>3</xdr:row>
      <xdr:rowOff>117592</xdr:rowOff>
    </xdr:from>
    <xdr:ext cx="1142942" cy="217560"/>
    <xdr:sp macro="" textlink="">
      <xdr:nvSpPr>
        <xdr:cNvPr id="40" name="TextBox 39">
          <a:extLst>
            <a:ext uri="{FF2B5EF4-FFF2-40B4-BE49-F238E27FC236}">
              <a16:creationId xmlns:a16="http://schemas.microsoft.com/office/drawing/2014/main" id="{51840D38-F454-D0DA-E34F-8A328183E141}"/>
            </a:ext>
          </a:extLst>
        </xdr:cNvPr>
        <xdr:cNvSpPr txBox="1"/>
      </xdr:nvSpPr>
      <xdr:spPr>
        <a:xfrm>
          <a:off x="2571359" y="658518"/>
          <a:ext cx="1142942"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800" b="1">
              <a:solidFill>
                <a:srgbClr val="002F54"/>
              </a:solidFill>
            </a:rPr>
            <a:t>Total Employees</a:t>
          </a:r>
        </a:p>
      </xdr:txBody>
    </xdr:sp>
    <xdr:clientData/>
  </xdr:oneCellAnchor>
  <xdr:oneCellAnchor>
    <xdr:from>
      <xdr:col>7</xdr:col>
      <xdr:colOff>262154</xdr:colOff>
      <xdr:row>3</xdr:row>
      <xdr:rowOff>128881</xdr:rowOff>
    </xdr:from>
    <xdr:ext cx="1142942" cy="217560"/>
    <xdr:sp macro="" textlink="">
      <xdr:nvSpPr>
        <xdr:cNvPr id="41" name="TextBox 40">
          <a:extLst>
            <a:ext uri="{FF2B5EF4-FFF2-40B4-BE49-F238E27FC236}">
              <a16:creationId xmlns:a16="http://schemas.microsoft.com/office/drawing/2014/main" id="{D5861F2C-12A4-1000-6099-FF018BDB9C90}"/>
            </a:ext>
          </a:extLst>
        </xdr:cNvPr>
        <xdr:cNvSpPr txBox="1"/>
      </xdr:nvSpPr>
      <xdr:spPr>
        <a:xfrm>
          <a:off x="4542524" y="669807"/>
          <a:ext cx="1142942"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800" b="1">
              <a:solidFill>
                <a:srgbClr val="002F54"/>
              </a:solidFill>
            </a:rPr>
            <a:t> Employees Left</a:t>
          </a:r>
        </a:p>
      </xdr:txBody>
    </xdr:sp>
    <xdr:clientData/>
  </xdr:oneCellAnchor>
  <xdr:oneCellAnchor>
    <xdr:from>
      <xdr:col>10</xdr:col>
      <xdr:colOff>461591</xdr:colOff>
      <xdr:row>3</xdr:row>
      <xdr:rowOff>132330</xdr:rowOff>
    </xdr:from>
    <xdr:ext cx="1239582" cy="291003"/>
    <xdr:sp macro="" textlink="">
      <xdr:nvSpPr>
        <xdr:cNvPr id="42" name="TextBox 41">
          <a:extLst>
            <a:ext uri="{FF2B5EF4-FFF2-40B4-BE49-F238E27FC236}">
              <a16:creationId xmlns:a16="http://schemas.microsoft.com/office/drawing/2014/main" id="{69B23151-7093-698B-E4E0-FF0DAD7F4386}"/>
            </a:ext>
          </a:extLst>
        </xdr:cNvPr>
        <xdr:cNvSpPr txBox="1"/>
      </xdr:nvSpPr>
      <xdr:spPr>
        <a:xfrm>
          <a:off x="6576406" y="673256"/>
          <a:ext cx="1239582" cy="2910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800" b="1">
              <a:solidFill>
                <a:srgbClr val="002F54"/>
              </a:solidFill>
            </a:rPr>
            <a:t>Attrition</a:t>
          </a:r>
          <a:r>
            <a:rPr lang="en-GB" sz="800" b="1" baseline="0">
              <a:solidFill>
                <a:srgbClr val="002F54"/>
              </a:solidFill>
            </a:rPr>
            <a:t> Rate (Overall)</a:t>
          </a:r>
          <a:endParaRPr lang="en-GB" sz="800" b="1">
            <a:solidFill>
              <a:srgbClr val="002F54"/>
            </a:solidFill>
          </a:endParaRPr>
        </a:p>
      </xdr:txBody>
    </xdr:sp>
    <xdr:clientData/>
  </xdr:oneCellAnchor>
  <xdr:oneCellAnchor>
    <xdr:from>
      <xdr:col>13</xdr:col>
      <xdr:colOff>598312</xdr:colOff>
      <xdr:row>3</xdr:row>
      <xdr:rowOff>135779</xdr:rowOff>
    </xdr:from>
    <xdr:ext cx="1142942" cy="217560"/>
    <xdr:sp macro="" textlink="">
      <xdr:nvSpPr>
        <xdr:cNvPr id="43" name="TextBox 42">
          <a:extLst>
            <a:ext uri="{FF2B5EF4-FFF2-40B4-BE49-F238E27FC236}">
              <a16:creationId xmlns:a16="http://schemas.microsoft.com/office/drawing/2014/main" id="{A5D08C38-30AE-241F-A806-A0A6BD36A214}"/>
            </a:ext>
          </a:extLst>
        </xdr:cNvPr>
        <xdr:cNvSpPr txBox="1"/>
      </xdr:nvSpPr>
      <xdr:spPr>
        <a:xfrm>
          <a:off x="8547571" y="676705"/>
          <a:ext cx="1142942"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800" b="1">
              <a:solidFill>
                <a:srgbClr val="002F54"/>
              </a:solidFill>
            </a:rPr>
            <a:t>Current Employees</a:t>
          </a:r>
        </a:p>
      </xdr:txBody>
    </xdr:sp>
    <xdr:clientData/>
  </xdr:oneCellAnchor>
  <xdr:oneCellAnchor>
    <xdr:from>
      <xdr:col>17</xdr:col>
      <xdr:colOff>178429</xdr:colOff>
      <xdr:row>3</xdr:row>
      <xdr:rowOff>123550</xdr:rowOff>
    </xdr:from>
    <xdr:ext cx="1142942" cy="217560"/>
    <xdr:sp macro="" textlink="">
      <xdr:nvSpPr>
        <xdr:cNvPr id="44" name="TextBox 43">
          <a:extLst>
            <a:ext uri="{FF2B5EF4-FFF2-40B4-BE49-F238E27FC236}">
              <a16:creationId xmlns:a16="http://schemas.microsoft.com/office/drawing/2014/main" id="{6E613D12-4B4C-8D49-2F6E-CB28346F6F9B}"/>
            </a:ext>
          </a:extLst>
        </xdr:cNvPr>
        <xdr:cNvSpPr txBox="1"/>
      </xdr:nvSpPr>
      <xdr:spPr>
        <a:xfrm>
          <a:off x="10573614" y="664476"/>
          <a:ext cx="1142942"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800" b="1">
              <a:solidFill>
                <a:srgbClr val="002F54"/>
              </a:solidFill>
            </a:rPr>
            <a:t>High Risk Employees</a:t>
          </a:r>
        </a:p>
      </xdr:txBody>
    </xdr:sp>
    <xdr:clientData/>
  </xdr:oneCellAnchor>
  <xdr:twoCellAnchor>
    <xdr:from>
      <xdr:col>7</xdr:col>
      <xdr:colOff>415494</xdr:colOff>
      <xdr:row>4</xdr:row>
      <xdr:rowOff>133270</xdr:rowOff>
    </xdr:from>
    <xdr:to>
      <xdr:col>8</xdr:col>
      <xdr:colOff>533085</xdr:colOff>
      <xdr:row>6</xdr:row>
      <xdr:rowOff>148950</xdr:rowOff>
    </xdr:to>
    <xdr:sp macro="" textlink="Pivots!D8">
      <xdr:nvSpPr>
        <xdr:cNvPr id="45" name="TextBox 44">
          <a:extLst>
            <a:ext uri="{FF2B5EF4-FFF2-40B4-BE49-F238E27FC236}">
              <a16:creationId xmlns:a16="http://schemas.microsoft.com/office/drawing/2014/main" id="{2E5C85A2-89BA-8163-0EF0-F923AAFF0566}"/>
            </a:ext>
          </a:extLst>
        </xdr:cNvPr>
        <xdr:cNvSpPr txBox="1"/>
      </xdr:nvSpPr>
      <xdr:spPr>
        <a:xfrm>
          <a:off x="4695864" y="854505"/>
          <a:ext cx="729073" cy="3762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34A871-1044-492C-B536-2914DD07865D}" type="TxLink">
            <a:rPr lang="en-US" sz="2000" b="1" i="0" u="none" strike="noStrike">
              <a:solidFill>
                <a:srgbClr val="002F54"/>
              </a:solidFill>
              <a:latin typeface="Aptos Narrow"/>
            </a:rPr>
            <a:pPr/>
            <a:t>237</a:t>
          </a:fld>
          <a:endParaRPr lang="en-GB" sz="2000" b="1">
            <a:solidFill>
              <a:srgbClr val="002F54"/>
            </a:solidFill>
          </a:endParaRPr>
        </a:p>
      </xdr:txBody>
    </xdr:sp>
    <xdr:clientData/>
  </xdr:twoCellAnchor>
  <xdr:twoCellAnchor>
    <xdr:from>
      <xdr:col>10</xdr:col>
      <xdr:colOff>564442</xdr:colOff>
      <xdr:row>4</xdr:row>
      <xdr:rowOff>125432</xdr:rowOff>
    </xdr:from>
    <xdr:to>
      <xdr:col>12</xdr:col>
      <xdr:colOff>360617</xdr:colOff>
      <xdr:row>6</xdr:row>
      <xdr:rowOff>125432</xdr:rowOff>
    </xdr:to>
    <xdr:sp macro="" textlink="Pivots!E8">
      <xdr:nvSpPr>
        <xdr:cNvPr id="46" name="TextBox 45">
          <a:extLst>
            <a:ext uri="{FF2B5EF4-FFF2-40B4-BE49-F238E27FC236}">
              <a16:creationId xmlns:a16="http://schemas.microsoft.com/office/drawing/2014/main" id="{1B62B337-19F6-B287-F26D-39647331280B}"/>
            </a:ext>
          </a:extLst>
        </xdr:cNvPr>
        <xdr:cNvSpPr txBox="1"/>
      </xdr:nvSpPr>
      <xdr:spPr>
        <a:xfrm>
          <a:off x="6679257" y="846667"/>
          <a:ext cx="1019138" cy="3606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465311-B0E5-4274-99C7-DAE7D4E42127}" type="TxLink">
            <a:rPr lang="en-US" sz="2000" b="1" i="0" u="none" strike="noStrike">
              <a:solidFill>
                <a:srgbClr val="159D70"/>
              </a:solidFill>
              <a:latin typeface="Aptos Narrow"/>
            </a:rPr>
            <a:pPr/>
            <a:t>16.12%</a:t>
          </a:fld>
          <a:endParaRPr lang="en-GB" sz="2000" b="1">
            <a:solidFill>
              <a:srgbClr val="159D70"/>
            </a:solidFill>
          </a:endParaRPr>
        </a:p>
      </xdr:txBody>
    </xdr:sp>
    <xdr:clientData/>
  </xdr:twoCellAnchor>
  <xdr:twoCellAnchor>
    <xdr:from>
      <xdr:col>14</xdr:col>
      <xdr:colOff>62715</xdr:colOff>
      <xdr:row>4</xdr:row>
      <xdr:rowOff>156790</xdr:rowOff>
    </xdr:from>
    <xdr:to>
      <xdr:col>15</xdr:col>
      <xdr:colOff>446852</xdr:colOff>
      <xdr:row>6</xdr:row>
      <xdr:rowOff>156790</xdr:rowOff>
    </xdr:to>
    <xdr:sp macro="" textlink="Pivots!C6">
      <xdr:nvSpPr>
        <xdr:cNvPr id="47" name="TextBox 46">
          <a:extLst>
            <a:ext uri="{FF2B5EF4-FFF2-40B4-BE49-F238E27FC236}">
              <a16:creationId xmlns:a16="http://schemas.microsoft.com/office/drawing/2014/main" id="{1412EAC4-231D-F995-5D34-32959A96832F}"/>
            </a:ext>
          </a:extLst>
        </xdr:cNvPr>
        <xdr:cNvSpPr txBox="1"/>
      </xdr:nvSpPr>
      <xdr:spPr>
        <a:xfrm>
          <a:off x="8623456" y="878025"/>
          <a:ext cx="995618" cy="3606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9D5542-7E43-421F-9EDE-EE97BE83E981}" type="TxLink">
            <a:rPr lang="en-US" sz="1800" b="1" i="0" u="none" strike="noStrike">
              <a:solidFill>
                <a:srgbClr val="036386"/>
              </a:solidFill>
              <a:latin typeface="Aptos Narrow"/>
            </a:rPr>
            <a:pPr/>
            <a:t> 1,233 </a:t>
          </a:fld>
          <a:endParaRPr lang="en-GB" sz="3600" b="1">
            <a:solidFill>
              <a:srgbClr val="036386"/>
            </a:solidFill>
          </a:endParaRPr>
        </a:p>
      </xdr:txBody>
    </xdr:sp>
    <xdr:clientData/>
  </xdr:twoCellAnchor>
  <xdr:twoCellAnchor>
    <xdr:from>
      <xdr:col>17</xdr:col>
      <xdr:colOff>407654</xdr:colOff>
      <xdr:row>4</xdr:row>
      <xdr:rowOff>125432</xdr:rowOff>
    </xdr:from>
    <xdr:to>
      <xdr:col>18</xdr:col>
      <xdr:colOff>470370</xdr:colOff>
      <xdr:row>6</xdr:row>
      <xdr:rowOff>86234</xdr:rowOff>
    </xdr:to>
    <xdr:sp macro="" textlink="Pivots!BM11">
      <xdr:nvSpPr>
        <xdr:cNvPr id="48" name="TextBox 47">
          <a:extLst>
            <a:ext uri="{FF2B5EF4-FFF2-40B4-BE49-F238E27FC236}">
              <a16:creationId xmlns:a16="http://schemas.microsoft.com/office/drawing/2014/main" id="{80BB33B2-E770-014D-3C5C-2689D6FC9906}"/>
            </a:ext>
          </a:extLst>
        </xdr:cNvPr>
        <xdr:cNvSpPr txBox="1"/>
      </xdr:nvSpPr>
      <xdr:spPr>
        <a:xfrm>
          <a:off x="10802839" y="846667"/>
          <a:ext cx="674198" cy="321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FA3615-AA07-4C31-BA93-A8905537D941}" type="TxLink">
            <a:rPr lang="en-US" sz="1800" b="1" i="0" u="none" strike="noStrike">
              <a:solidFill>
                <a:srgbClr val="B30F17"/>
              </a:solidFill>
              <a:latin typeface="Aptos Narrow"/>
            </a:rPr>
            <a:pPr/>
            <a:t>68</a:t>
          </a:fld>
          <a:endParaRPr lang="en-GB" sz="1050" b="1">
            <a:solidFill>
              <a:srgbClr val="B30F17"/>
            </a:solidFill>
          </a:endParaRPr>
        </a:p>
      </xdr:txBody>
    </xdr:sp>
    <xdr:clientData/>
  </xdr:twoCellAnchor>
  <xdr:twoCellAnchor>
    <xdr:from>
      <xdr:col>17</xdr:col>
      <xdr:colOff>235186</xdr:colOff>
      <xdr:row>6</xdr:row>
      <xdr:rowOff>62714</xdr:rowOff>
    </xdr:from>
    <xdr:to>
      <xdr:col>19</xdr:col>
      <xdr:colOff>86235</xdr:colOff>
      <xdr:row>7</xdr:row>
      <xdr:rowOff>78395</xdr:rowOff>
    </xdr:to>
    <xdr:sp macro="" textlink="Pivots!BO17">
      <xdr:nvSpPr>
        <xdr:cNvPr id="49" name="TextBox 48">
          <a:extLst>
            <a:ext uri="{FF2B5EF4-FFF2-40B4-BE49-F238E27FC236}">
              <a16:creationId xmlns:a16="http://schemas.microsoft.com/office/drawing/2014/main" id="{182C2ACD-49ED-280B-B8C2-5EFEB6B14B57}"/>
            </a:ext>
          </a:extLst>
        </xdr:cNvPr>
        <xdr:cNvSpPr txBox="1"/>
      </xdr:nvSpPr>
      <xdr:spPr>
        <a:xfrm>
          <a:off x="10630371" y="1144566"/>
          <a:ext cx="1074012" cy="1959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29C7C5-3ADA-41A1-B1EA-01AA541C6727}" type="TxLink">
            <a:rPr lang="en-US" sz="800" b="1" i="0" u="none" strike="noStrike">
              <a:solidFill>
                <a:srgbClr val="B51318"/>
              </a:solidFill>
              <a:latin typeface="Aptos Narrow"/>
            </a:rPr>
            <a:pPr/>
            <a:t>(5.5% of current)</a:t>
          </a:fld>
          <a:endParaRPr lang="en-GB" sz="500" b="1">
            <a:solidFill>
              <a:srgbClr val="B51318"/>
            </a:solidFill>
          </a:endParaRPr>
        </a:p>
      </xdr:txBody>
    </xdr:sp>
    <xdr:clientData/>
  </xdr:twoCellAnchor>
  <xdr:twoCellAnchor>
    <xdr:from>
      <xdr:col>3</xdr:col>
      <xdr:colOff>122141</xdr:colOff>
      <xdr:row>9</xdr:row>
      <xdr:rowOff>104383</xdr:rowOff>
    </xdr:from>
    <xdr:to>
      <xdr:col>11</xdr:col>
      <xdr:colOff>26096</xdr:colOff>
      <xdr:row>21</xdr:row>
      <xdr:rowOff>165273</xdr:rowOff>
    </xdr:to>
    <xdr:sp macro="" textlink="Pivots!C8">
      <xdr:nvSpPr>
        <xdr:cNvPr id="50" name="Rectangle: Rounded Corners 49">
          <a:extLst>
            <a:ext uri="{FF2B5EF4-FFF2-40B4-BE49-F238E27FC236}">
              <a16:creationId xmlns:a16="http://schemas.microsoft.com/office/drawing/2014/main" id="{7623C79D-E039-A065-1090-6B6A0EECE85D}"/>
            </a:ext>
          </a:extLst>
        </xdr:cNvPr>
        <xdr:cNvSpPr/>
      </xdr:nvSpPr>
      <xdr:spPr>
        <a:xfrm>
          <a:off x="1948853" y="1748424"/>
          <a:ext cx="4775188" cy="2252945"/>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baseline="0">
              <a:solidFill>
                <a:srgbClr val="002F54"/>
              </a:solidFill>
            </a:rPr>
            <a:t> </a:t>
          </a:r>
          <a:endParaRPr lang="en-GB" sz="2800" b="1">
            <a:solidFill>
              <a:srgbClr val="002F54"/>
            </a:solidFill>
          </a:endParaRPr>
        </a:p>
      </xdr:txBody>
    </xdr:sp>
    <xdr:clientData/>
  </xdr:twoCellAnchor>
  <xdr:twoCellAnchor>
    <xdr:from>
      <xdr:col>11</xdr:col>
      <xdr:colOff>165274</xdr:colOff>
      <xdr:row>9</xdr:row>
      <xdr:rowOff>130479</xdr:rowOff>
    </xdr:from>
    <xdr:to>
      <xdr:col>20</xdr:col>
      <xdr:colOff>200070</xdr:colOff>
      <xdr:row>21</xdr:row>
      <xdr:rowOff>121781</xdr:rowOff>
    </xdr:to>
    <xdr:sp macro="" textlink="Pivots!C8">
      <xdr:nvSpPr>
        <xdr:cNvPr id="59" name="Rectangle: Rounded Corners 58">
          <a:extLst>
            <a:ext uri="{FF2B5EF4-FFF2-40B4-BE49-F238E27FC236}">
              <a16:creationId xmlns:a16="http://schemas.microsoft.com/office/drawing/2014/main" id="{18552416-25A5-4B10-B35E-E7A575F7111F}"/>
            </a:ext>
          </a:extLst>
        </xdr:cNvPr>
        <xdr:cNvSpPr/>
      </xdr:nvSpPr>
      <xdr:spPr>
        <a:xfrm>
          <a:off x="6863219" y="1774520"/>
          <a:ext cx="5514933" cy="2183357"/>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baseline="0">
              <a:solidFill>
                <a:srgbClr val="002F54"/>
              </a:solidFill>
            </a:rPr>
            <a:t> </a:t>
          </a:r>
          <a:endParaRPr lang="en-GB" sz="2800" b="1">
            <a:solidFill>
              <a:srgbClr val="002F54"/>
            </a:solidFill>
          </a:endParaRPr>
        </a:p>
      </xdr:txBody>
    </xdr:sp>
    <xdr:clientData/>
  </xdr:twoCellAnchor>
  <xdr:twoCellAnchor>
    <xdr:from>
      <xdr:col>20</xdr:col>
      <xdr:colOff>356645</xdr:colOff>
      <xdr:row>9</xdr:row>
      <xdr:rowOff>69588</xdr:rowOff>
    </xdr:from>
    <xdr:to>
      <xdr:col>26</xdr:col>
      <xdr:colOff>173973</xdr:colOff>
      <xdr:row>21</xdr:row>
      <xdr:rowOff>139178</xdr:rowOff>
    </xdr:to>
    <xdr:sp macro="" textlink="Pivots!C8">
      <xdr:nvSpPr>
        <xdr:cNvPr id="60" name="Rectangle: Rounded Corners 59">
          <a:extLst>
            <a:ext uri="{FF2B5EF4-FFF2-40B4-BE49-F238E27FC236}">
              <a16:creationId xmlns:a16="http://schemas.microsoft.com/office/drawing/2014/main" id="{11D5717F-5C9A-B88D-957C-29B44A9075FA}"/>
            </a:ext>
          </a:extLst>
        </xdr:cNvPr>
        <xdr:cNvSpPr/>
      </xdr:nvSpPr>
      <xdr:spPr>
        <a:xfrm>
          <a:off x="12534727" y="1713629"/>
          <a:ext cx="3470753" cy="2261645"/>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baseline="0">
              <a:solidFill>
                <a:srgbClr val="002F54"/>
              </a:solidFill>
            </a:rPr>
            <a:t> </a:t>
          </a:r>
          <a:endParaRPr lang="en-GB" sz="2800" b="1">
            <a:solidFill>
              <a:srgbClr val="002F54"/>
            </a:solidFill>
          </a:endParaRPr>
        </a:p>
      </xdr:txBody>
    </xdr:sp>
    <xdr:clientData/>
  </xdr:twoCellAnchor>
  <xdr:twoCellAnchor>
    <xdr:from>
      <xdr:col>3</xdr:col>
      <xdr:colOff>226164</xdr:colOff>
      <xdr:row>10</xdr:row>
      <xdr:rowOff>26095</xdr:rowOff>
    </xdr:from>
    <xdr:to>
      <xdr:col>11</xdr:col>
      <xdr:colOff>8699</xdr:colOff>
      <xdr:row>23</xdr:row>
      <xdr:rowOff>104384</xdr:rowOff>
    </xdr:to>
    <xdr:graphicFrame macro="">
      <xdr:nvGraphicFramePr>
        <xdr:cNvPr id="63" name="Chart 62">
          <a:extLst>
            <a:ext uri="{FF2B5EF4-FFF2-40B4-BE49-F238E27FC236}">
              <a16:creationId xmlns:a16="http://schemas.microsoft.com/office/drawing/2014/main" id="{A2C6A8F7-28D0-49B5-BEB3-A81FEA277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147877</xdr:colOff>
      <xdr:row>9</xdr:row>
      <xdr:rowOff>182670</xdr:rowOff>
    </xdr:from>
    <xdr:to>
      <xdr:col>19</xdr:col>
      <xdr:colOff>365343</xdr:colOff>
      <xdr:row>21</xdr:row>
      <xdr:rowOff>95684</xdr:rowOff>
    </xdr:to>
    <xdr:graphicFrame macro="">
      <xdr:nvGraphicFramePr>
        <xdr:cNvPr id="16" name="Chart 68">
          <a:extLst>
            <a:ext uri="{FF2B5EF4-FFF2-40B4-BE49-F238E27FC236}">
              <a16:creationId xmlns:a16="http://schemas.microsoft.com/office/drawing/2014/main" id="{B02137F5-EF75-49AB-9E31-B1A5EEE7A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20</xdr:col>
      <xdr:colOff>443630</xdr:colOff>
      <xdr:row>10</xdr:row>
      <xdr:rowOff>0</xdr:rowOff>
    </xdr:from>
    <xdr:to>
      <xdr:col>26</xdr:col>
      <xdr:colOff>95684</xdr:colOff>
      <xdr:row>21</xdr:row>
      <xdr:rowOff>8700</xdr:rowOff>
    </xdr:to>
    <xdr:graphicFrame macro="">
      <xdr:nvGraphicFramePr>
        <xdr:cNvPr id="70" name="Chart 69">
          <a:extLst>
            <a:ext uri="{FF2B5EF4-FFF2-40B4-BE49-F238E27FC236}">
              <a16:creationId xmlns:a16="http://schemas.microsoft.com/office/drawing/2014/main" id="{390BF80B-3CA0-4EA8-9D36-35EA3EFD4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488622</xdr:colOff>
      <xdr:row>3</xdr:row>
      <xdr:rowOff>76964</xdr:rowOff>
    </xdr:from>
    <xdr:to>
      <xdr:col>25</xdr:col>
      <xdr:colOff>518881</xdr:colOff>
      <xdr:row>7</xdr:row>
      <xdr:rowOff>154183</xdr:rowOff>
    </xdr:to>
    <xdr:sp macro="" textlink="">
      <xdr:nvSpPr>
        <xdr:cNvPr id="72" name="Rectangle: Rounded Corners 71">
          <a:extLst>
            <a:ext uri="{FF2B5EF4-FFF2-40B4-BE49-F238E27FC236}">
              <a16:creationId xmlns:a16="http://schemas.microsoft.com/office/drawing/2014/main" id="{79D04666-3FD1-4DF0-DE30-21A114D57739}"/>
            </a:ext>
          </a:extLst>
        </xdr:cNvPr>
        <xdr:cNvSpPr/>
      </xdr:nvSpPr>
      <xdr:spPr>
        <a:xfrm>
          <a:off x="13884512" y="624978"/>
          <a:ext cx="1856972" cy="807904"/>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558937</xdr:colOff>
      <xdr:row>4</xdr:row>
      <xdr:rowOff>52268</xdr:rowOff>
    </xdr:from>
    <xdr:to>
      <xdr:col>23</xdr:col>
      <xdr:colOff>504057</xdr:colOff>
      <xdr:row>7</xdr:row>
      <xdr:rowOff>44430</xdr:rowOff>
    </xdr:to>
    <xdr:sp macro="" textlink="">
      <xdr:nvSpPr>
        <xdr:cNvPr id="73" name="Oval 72">
          <a:extLst>
            <a:ext uri="{FF2B5EF4-FFF2-40B4-BE49-F238E27FC236}">
              <a16:creationId xmlns:a16="http://schemas.microsoft.com/office/drawing/2014/main" id="{AF97F6B5-524F-FF97-DBD4-4BB539DEFBF9}"/>
            </a:ext>
          </a:extLst>
        </xdr:cNvPr>
        <xdr:cNvSpPr/>
      </xdr:nvSpPr>
      <xdr:spPr>
        <a:xfrm>
          <a:off x="13954827" y="782953"/>
          <a:ext cx="554025" cy="540176"/>
        </a:xfrm>
        <a:prstGeom prst="ellipse">
          <a:avLst/>
        </a:prstGeom>
        <a:solidFill>
          <a:srgbClr val="D9EFE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95684</xdr:colOff>
      <xdr:row>23</xdr:row>
      <xdr:rowOff>26096</xdr:rowOff>
    </xdr:from>
    <xdr:to>
      <xdr:col>20</xdr:col>
      <xdr:colOff>417534</xdr:colOff>
      <xdr:row>35</xdr:row>
      <xdr:rowOff>8698</xdr:rowOff>
    </xdr:to>
    <xdr:sp macro="" textlink="Pivots!C8">
      <xdr:nvSpPr>
        <xdr:cNvPr id="74" name="Rectangle: Rounded Corners 73">
          <a:extLst>
            <a:ext uri="{FF2B5EF4-FFF2-40B4-BE49-F238E27FC236}">
              <a16:creationId xmlns:a16="http://schemas.microsoft.com/office/drawing/2014/main" id="{64322679-46CF-F1C9-B01E-76C09AB087B9}"/>
            </a:ext>
          </a:extLst>
        </xdr:cNvPr>
        <xdr:cNvSpPr/>
      </xdr:nvSpPr>
      <xdr:spPr>
        <a:xfrm>
          <a:off x="9229246" y="4227534"/>
          <a:ext cx="3366370" cy="2174657"/>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baseline="0">
              <a:solidFill>
                <a:srgbClr val="002F54"/>
              </a:solidFill>
            </a:rPr>
            <a:t> </a:t>
          </a:r>
          <a:endParaRPr lang="en-GB" sz="2800" b="1">
            <a:solidFill>
              <a:srgbClr val="002F54"/>
            </a:solidFill>
          </a:endParaRPr>
        </a:p>
      </xdr:txBody>
    </xdr:sp>
    <xdr:clientData/>
  </xdr:twoCellAnchor>
  <xdr:twoCellAnchor>
    <xdr:from>
      <xdr:col>15</xdr:col>
      <xdr:colOff>217465</xdr:colOff>
      <xdr:row>24</xdr:row>
      <xdr:rowOff>86987</xdr:rowOff>
    </xdr:from>
    <xdr:to>
      <xdr:col>20</xdr:col>
      <xdr:colOff>347946</xdr:colOff>
      <xdr:row>34</xdr:row>
      <xdr:rowOff>17398</xdr:rowOff>
    </xdr:to>
    <xdr:graphicFrame macro="">
      <xdr:nvGraphicFramePr>
        <xdr:cNvPr id="75" name="Chart 74">
          <a:extLst>
            <a:ext uri="{FF2B5EF4-FFF2-40B4-BE49-F238E27FC236}">
              <a16:creationId xmlns:a16="http://schemas.microsoft.com/office/drawing/2014/main" id="{35A61DAC-43D9-45A1-AFB5-9D034FC87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20</xdr:col>
      <xdr:colOff>574111</xdr:colOff>
      <xdr:row>22</xdr:row>
      <xdr:rowOff>156577</xdr:rowOff>
    </xdr:from>
    <xdr:to>
      <xdr:col>26</xdr:col>
      <xdr:colOff>191372</xdr:colOff>
      <xdr:row>34</xdr:row>
      <xdr:rowOff>130480</xdr:rowOff>
    </xdr:to>
    <xdr:sp macro="" textlink="Pivots!C8">
      <xdr:nvSpPr>
        <xdr:cNvPr id="77" name="Rectangle: Rounded Corners 76">
          <a:extLst>
            <a:ext uri="{FF2B5EF4-FFF2-40B4-BE49-F238E27FC236}">
              <a16:creationId xmlns:a16="http://schemas.microsoft.com/office/drawing/2014/main" id="{C07492FE-51C7-CE5B-1414-CBAD7818FBE8}"/>
            </a:ext>
          </a:extLst>
        </xdr:cNvPr>
        <xdr:cNvSpPr/>
      </xdr:nvSpPr>
      <xdr:spPr>
        <a:xfrm>
          <a:off x="12752193" y="4175344"/>
          <a:ext cx="3270686" cy="2165958"/>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baseline="0">
              <a:solidFill>
                <a:srgbClr val="002F54"/>
              </a:solidFill>
            </a:rPr>
            <a:t> </a:t>
          </a:r>
          <a:endParaRPr lang="en-GB" sz="2800" b="1">
            <a:solidFill>
              <a:srgbClr val="002F54"/>
            </a:solidFill>
          </a:endParaRPr>
        </a:p>
      </xdr:txBody>
    </xdr:sp>
    <xdr:clientData/>
  </xdr:twoCellAnchor>
  <xdr:twoCellAnchor>
    <xdr:from>
      <xdr:col>19</xdr:col>
      <xdr:colOff>200070</xdr:colOff>
      <xdr:row>37</xdr:row>
      <xdr:rowOff>173972</xdr:rowOff>
    </xdr:from>
    <xdr:to>
      <xdr:col>26</xdr:col>
      <xdr:colOff>200069</xdr:colOff>
      <xdr:row>51</xdr:row>
      <xdr:rowOff>34794</xdr:rowOff>
    </xdr:to>
    <xdr:sp macro="" textlink="Pivots!C8">
      <xdr:nvSpPr>
        <xdr:cNvPr id="78" name="Rectangle: Rounded Corners 77">
          <a:extLst>
            <a:ext uri="{FF2B5EF4-FFF2-40B4-BE49-F238E27FC236}">
              <a16:creationId xmlns:a16="http://schemas.microsoft.com/office/drawing/2014/main" id="{467FF42D-F8BE-C5B5-64A0-0A68AFC8DFC7}"/>
            </a:ext>
          </a:extLst>
        </xdr:cNvPr>
        <xdr:cNvSpPr/>
      </xdr:nvSpPr>
      <xdr:spPr>
        <a:xfrm>
          <a:off x="11769248" y="6932808"/>
          <a:ext cx="4262328" cy="2418219"/>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baseline="0">
              <a:solidFill>
                <a:srgbClr val="002F54"/>
              </a:solidFill>
            </a:rPr>
            <a:t> </a:t>
          </a:r>
          <a:endParaRPr lang="en-GB" sz="2800" b="1">
            <a:solidFill>
              <a:srgbClr val="002F54"/>
            </a:solidFill>
          </a:endParaRPr>
        </a:p>
      </xdr:txBody>
    </xdr:sp>
    <xdr:clientData/>
  </xdr:twoCellAnchor>
  <xdr:twoCellAnchor>
    <xdr:from>
      <xdr:col>9</xdr:col>
      <xdr:colOff>39666</xdr:colOff>
      <xdr:row>23</xdr:row>
      <xdr:rowOff>48366</xdr:rowOff>
    </xdr:from>
    <xdr:to>
      <xdr:col>14</xdr:col>
      <xdr:colOff>548012</xdr:colOff>
      <xdr:row>35</xdr:row>
      <xdr:rowOff>0</xdr:rowOff>
    </xdr:to>
    <xdr:sp macro="" textlink="Pivots!C8">
      <xdr:nvSpPr>
        <xdr:cNvPr id="80" name="Rectangle: Rounded Corners 79">
          <a:extLst>
            <a:ext uri="{FF2B5EF4-FFF2-40B4-BE49-F238E27FC236}">
              <a16:creationId xmlns:a16="http://schemas.microsoft.com/office/drawing/2014/main" id="{47780A82-5E58-3335-0529-B90B68DF262B}"/>
            </a:ext>
          </a:extLst>
        </xdr:cNvPr>
        <xdr:cNvSpPr/>
      </xdr:nvSpPr>
      <xdr:spPr>
        <a:xfrm>
          <a:off x="5519803" y="4249804"/>
          <a:ext cx="3552867" cy="2143689"/>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baseline="0">
              <a:solidFill>
                <a:srgbClr val="002F54"/>
              </a:solidFill>
            </a:rPr>
            <a:t> </a:t>
          </a:r>
          <a:endParaRPr lang="en-GB" sz="2800" b="1">
            <a:solidFill>
              <a:srgbClr val="002F54"/>
            </a:solidFill>
          </a:endParaRPr>
        </a:p>
      </xdr:txBody>
    </xdr:sp>
    <xdr:clientData/>
  </xdr:twoCellAnchor>
  <xdr:twoCellAnchor>
    <xdr:from>
      <xdr:col>21</xdr:col>
      <xdr:colOff>173974</xdr:colOff>
      <xdr:row>23</xdr:row>
      <xdr:rowOff>69590</xdr:rowOff>
    </xdr:from>
    <xdr:to>
      <xdr:col>26</xdr:col>
      <xdr:colOff>8699</xdr:colOff>
      <xdr:row>33</xdr:row>
      <xdr:rowOff>34795</xdr:rowOff>
    </xdr:to>
    <xdr:graphicFrame macro="">
      <xdr:nvGraphicFramePr>
        <xdr:cNvPr id="82" name="Chart 81">
          <a:extLst>
            <a:ext uri="{FF2B5EF4-FFF2-40B4-BE49-F238E27FC236}">
              <a16:creationId xmlns:a16="http://schemas.microsoft.com/office/drawing/2014/main" id="{30B4F666-8E35-43F1-A7CF-F7FD12620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217465</xdr:colOff>
      <xdr:row>24</xdr:row>
      <xdr:rowOff>34794</xdr:rowOff>
    </xdr:from>
    <xdr:to>
      <xdr:col>14</xdr:col>
      <xdr:colOff>408836</xdr:colOff>
      <xdr:row>34</xdr:row>
      <xdr:rowOff>60890</xdr:rowOff>
    </xdr:to>
    <xdr:graphicFrame macro="">
      <xdr:nvGraphicFramePr>
        <xdr:cNvPr id="83" name="Chart 82">
          <a:extLst>
            <a:ext uri="{FF2B5EF4-FFF2-40B4-BE49-F238E27FC236}">
              <a16:creationId xmlns:a16="http://schemas.microsoft.com/office/drawing/2014/main" id="{F030726C-B391-41EA-90C5-F68DB9DC3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86987</xdr:colOff>
      <xdr:row>23</xdr:row>
      <xdr:rowOff>86987</xdr:rowOff>
    </xdr:from>
    <xdr:to>
      <xdr:col>8</xdr:col>
      <xdr:colOff>535138</xdr:colOff>
      <xdr:row>35</xdr:row>
      <xdr:rowOff>4524</xdr:rowOff>
    </xdr:to>
    <xdr:sp macro="" textlink="Pivots!C8">
      <xdr:nvSpPr>
        <xdr:cNvPr id="89" name="Rectangle: Rounded Corners 88">
          <a:extLst>
            <a:ext uri="{FF2B5EF4-FFF2-40B4-BE49-F238E27FC236}">
              <a16:creationId xmlns:a16="http://schemas.microsoft.com/office/drawing/2014/main" id="{04E0F9B5-CD31-5248-76BD-46B5598B0BB1}"/>
            </a:ext>
          </a:extLst>
        </xdr:cNvPr>
        <xdr:cNvSpPr/>
      </xdr:nvSpPr>
      <xdr:spPr>
        <a:xfrm>
          <a:off x="1913699" y="4288425"/>
          <a:ext cx="3492672" cy="2109592"/>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baseline="0">
              <a:solidFill>
                <a:srgbClr val="002F54"/>
              </a:solidFill>
            </a:rPr>
            <a:t> </a:t>
          </a:r>
          <a:endParaRPr lang="en-GB" sz="2800" b="1">
            <a:solidFill>
              <a:srgbClr val="002F54"/>
            </a:solidFill>
          </a:endParaRPr>
        </a:p>
      </xdr:txBody>
    </xdr:sp>
    <xdr:clientData/>
  </xdr:twoCellAnchor>
  <xdr:twoCellAnchor>
    <xdr:from>
      <xdr:col>3</xdr:col>
      <xdr:colOff>208767</xdr:colOff>
      <xdr:row>24</xdr:row>
      <xdr:rowOff>0</xdr:rowOff>
    </xdr:from>
    <xdr:to>
      <xdr:col>8</xdr:col>
      <xdr:colOff>400135</xdr:colOff>
      <xdr:row>34</xdr:row>
      <xdr:rowOff>60890</xdr:rowOff>
    </xdr:to>
    <xdr:graphicFrame macro="">
      <xdr:nvGraphicFramePr>
        <xdr:cNvPr id="90" name="Chart 89">
          <a:extLst>
            <a:ext uri="{FF2B5EF4-FFF2-40B4-BE49-F238E27FC236}">
              <a16:creationId xmlns:a16="http://schemas.microsoft.com/office/drawing/2014/main" id="{297F50B1-3B9C-4C0D-B5F1-17075DC3D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oneCellAnchor>
    <xdr:from>
      <xdr:col>3</xdr:col>
      <xdr:colOff>330548</xdr:colOff>
      <xdr:row>36</xdr:row>
      <xdr:rowOff>8699</xdr:rowOff>
    </xdr:from>
    <xdr:ext cx="2865080" cy="311496"/>
    <xdr:sp macro="" textlink="">
      <xdr:nvSpPr>
        <xdr:cNvPr id="93" name="TextBox 92">
          <a:extLst>
            <a:ext uri="{FF2B5EF4-FFF2-40B4-BE49-F238E27FC236}">
              <a16:creationId xmlns:a16="http://schemas.microsoft.com/office/drawing/2014/main" id="{7222EB87-AB09-9893-6AB9-E6B961E01ED4}"/>
            </a:ext>
          </a:extLst>
        </xdr:cNvPr>
        <xdr:cNvSpPr txBox="1"/>
      </xdr:nvSpPr>
      <xdr:spPr>
        <a:xfrm>
          <a:off x="2157260" y="6584863"/>
          <a:ext cx="286508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400" b="1">
              <a:solidFill>
                <a:srgbClr val="0F5B78"/>
              </a:solidFill>
            </a:rPr>
            <a:t>Top 10 High-Risk Current Employees</a:t>
          </a:r>
        </a:p>
      </xdr:txBody>
    </xdr:sp>
    <xdr:clientData/>
  </xdr:oneCellAnchor>
  <xdr:twoCellAnchor>
    <xdr:from>
      <xdr:col>3</xdr:col>
      <xdr:colOff>295754</xdr:colOff>
      <xdr:row>38</xdr:row>
      <xdr:rowOff>17398</xdr:rowOff>
    </xdr:from>
    <xdr:to>
      <xdr:col>19</xdr:col>
      <xdr:colOff>113082</xdr:colOff>
      <xdr:row>50</xdr:row>
      <xdr:rowOff>173973</xdr:rowOff>
    </xdr:to>
    <xdr:sp macro="" textlink="Pivots!C8">
      <xdr:nvSpPr>
        <xdr:cNvPr id="96" name="Rectangle: Rounded Corners 95">
          <a:extLst>
            <a:ext uri="{FF2B5EF4-FFF2-40B4-BE49-F238E27FC236}">
              <a16:creationId xmlns:a16="http://schemas.microsoft.com/office/drawing/2014/main" id="{095F365B-3BA9-F0D3-5EC2-2EFCE848841A}"/>
            </a:ext>
          </a:extLst>
        </xdr:cNvPr>
        <xdr:cNvSpPr/>
      </xdr:nvSpPr>
      <xdr:spPr>
        <a:xfrm>
          <a:off x="2122466" y="6958905"/>
          <a:ext cx="9559794" cy="2348630"/>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baseline="0">
              <a:solidFill>
                <a:srgbClr val="002F54"/>
              </a:solidFill>
            </a:rPr>
            <a:t> </a:t>
          </a:r>
          <a:endParaRPr lang="en-GB" sz="2800" b="1">
            <a:solidFill>
              <a:srgbClr val="002F54"/>
            </a:solidFill>
          </a:endParaRPr>
        </a:p>
      </xdr:txBody>
    </xdr:sp>
    <xdr:clientData/>
  </xdr:twoCellAnchor>
  <xdr:twoCellAnchor editAs="oneCell">
    <xdr:from>
      <xdr:col>0</xdr:col>
      <xdr:colOff>0</xdr:colOff>
      <xdr:row>6</xdr:row>
      <xdr:rowOff>90989</xdr:rowOff>
    </xdr:from>
    <xdr:to>
      <xdr:col>2</xdr:col>
      <xdr:colOff>408835</xdr:colOff>
      <xdr:row>13</xdr:row>
      <xdr:rowOff>52192</xdr:rowOff>
    </xdr:to>
    <mc:AlternateContent xmlns:mc="http://schemas.openxmlformats.org/markup-compatibility/2006" xmlns:a14="http://schemas.microsoft.com/office/drawing/2010/main">
      <mc:Choice Requires="a14">
        <xdr:graphicFrame macro="">
          <xdr:nvGraphicFramePr>
            <xdr:cNvPr id="36" name="Age_Group">
              <a:extLst>
                <a:ext uri="{FF2B5EF4-FFF2-40B4-BE49-F238E27FC236}">
                  <a16:creationId xmlns:a16="http://schemas.microsoft.com/office/drawing/2014/main" id="{EDFFAAC3-47F9-4BC3-A46E-1EBBDCF2480B}"/>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0" y="1187016"/>
              <a:ext cx="1626643" cy="12399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8699</xdr:colOff>
      <xdr:row>13</xdr:row>
      <xdr:rowOff>99685</xdr:rowOff>
    </xdr:from>
    <xdr:to>
      <xdr:col>2</xdr:col>
      <xdr:colOff>408836</xdr:colOff>
      <xdr:row>17</xdr:row>
      <xdr:rowOff>34793</xdr:rowOff>
    </xdr:to>
    <mc:AlternateContent xmlns:mc="http://schemas.openxmlformats.org/markup-compatibility/2006" xmlns:a14="http://schemas.microsoft.com/office/drawing/2010/main">
      <mc:Choice Requires="a14">
        <xdr:graphicFrame macro="">
          <xdr:nvGraphicFramePr>
            <xdr:cNvPr id="51" name="Gender">
              <a:extLst>
                <a:ext uri="{FF2B5EF4-FFF2-40B4-BE49-F238E27FC236}">
                  <a16:creationId xmlns:a16="http://schemas.microsoft.com/office/drawing/2014/main" id="{149286F8-B791-4938-9A0D-6D4158D63B6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699" y="2474411"/>
              <a:ext cx="1617945" cy="66579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24</xdr:col>
      <xdr:colOff>0</xdr:colOff>
      <xdr:row>0</xdr:row>
      <xdr:rowOff>78287</xdr:rowOff>
    </xdr:from>
    <xdr:ext cx="2487808" cy="217560"/>
    <xdr:sp macro="" textlink="Pivots!CC3">
      <xdr:nvSpPr>
        <xdr:cNvPr id="52" name="TextBox 51">
          <a:extLst>
            <a:ext uri="{FF2B5EF4-FFF2-40B4-BE49-F238E27FC236}">
              <a16:creationId xmlns:a16="http://schemas.microsoft.com/office/drawing/2014/main" id="{75FA0553-F4F8-B198-EC00-0EA725C9AB7C}"/>
            </a:ext>
          </a:extLst>
        </xdr:cNvPr>
        <xdr:cNvSpPr txBox="1"/>
      </xdr:nvSpPr>
      <xdr:spPr>
        <a:xfrm>
          <a:off x="14613699" y="78287"/>
          <a:ext cx="2487808"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3B87DAA-0E81-4D2C-ABDA-85809D766486}" type="TxLink">
            <a:rPr lang="en-US" sz="800" b="0" i="0" u="none" strike="noStrike">
              <a:solidFill>
                <a:schemeClr val="bg1"/>
              </a:solidFill>
              <a:latin typeface="Aptos Narrow"/>
            </a:rPr>
            <a:pPr/>
            <a:t>Data Snapshot Date: </a:t>
          </a:fld>
          <a:endParaRPr lang="en-GB" sz="800" b="0">
            <a:solidFill>
              <a:schemeClr val="bg1"/>
            </a:solidFill>
          </a:endParaRPr>
        </a:p>
      </xdr:txBody>
    </xdr:sp>
    <xdr:clientData/>
  </xdr:oneCellAnchor>
  <xdr:oneCellAnchor>
    <xdr:from>
      <xdr:col>24</xdr:col>
      <xdr:colOff>26096</xdr:colOff>
      <xdr:row>1</xdr:row>
      <xdr:rowOff>60892</xdr:rowOff>
    </xdr:from>
    <xdr:ext cx="1348288" cy="264560"/>
    <xdr:sp macro="" textlink="Pivots!CC4">
      <xdr:nvSpPr>
        <xdr:cNvPr id="53" name="TextBox 52">
          <a:extLst>
            <a:ext uri="{FF2B5EF4-FFF2-40B4-BE49-F238E27FC236}">
              <a16:creationId xmlns:a16="http://schemas.microsoft.com/office/drawing/2014/main" id="{2D2E79AB-8784-3FE8-050E-8A609E29196F}"/>
            </a:ext>
          </a:extLst>
        </xdr:cNvPr>
        <xdr:cNvSpPr txBox="1"/>
      </xdr:nvSpPr>
      <xdr:spPr>
        <a:xfrm>
          <a:off x="14639795" y="243563"/>
          <a:ext cx="1348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3023022-1376-471F-B715-0662DF74C27E}" type="TxLink">
            <a:rPr lang="en-US" sz="1100" b="1" i="0" u="none" strike="noStrike">
              <a:solidFill>
                <a:schemeClr val="bg1"/>
              </a:solidFill>
              <a:latin typeface="Aptos Narrow"/>
            </a:rPr>
            <a:pPr/>
            <a:t>22 Aug 2026</a:t>
          </a:fld>
          <a:endParaRPr lang="en-GB" sz="1100" b="1">
            <a:solidFill>
              <a:schemeClr val="bg1"/>
            </a:solidFill>
          </a:endParaRPr>
        </a:p>
      </xdr:txBody>
    </xdr:sp>
    <xdr:clientData/>
  </xdr:oneCellAnchor>
  <xdr:twoCellAnchor editAs="oneCell">
    <xdr:from>
      <xdr:col>23</xdr:col>
      <xdr:colOff>200069</xdr:colOff>
      <xdr:row>0</xdr:row>
      <xdr:rowOff>78288</xdr:rowOff>
    </xdr:from>
    <xdr:to>
      <xdr:col>24</xdr:col>
      <xdr:colOff>8699</xdr:colOff>
      <xdr:row>2</xdr:row>
      <xdr:rowOff>130480</xdr:rowOff>
    </xdr:to>
    <xdr:pic>
      <xdr:nvPicPr>
        <xdr:cNvPr id="55" name="Graphic 54" descr="Daily calendar with solid fill">
          <a:extLst>
            <a:ext uri="{FF2B5EF4-FFF2-40B4-BE49-F238E27FC236}">
              <a16:creationId xmlns:a16="http://schemas.microsoft.com/office/drawing/2014/main" id="{D352011A-787C-EEE3-C2B0-745D0664F8F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4204864" y="78288"/>
          <a:ext cx="417534" cy="417534"/>
        </a:xfrm>
        <a:prstGeom prst="rect">
          <a:avLst/>
        </a:prstGeom>
      </xdr:spPr>
    </xdr:pic>
    <xdr:clientData/>
  </xdr:twoCellAnchor>
  <xdr:twoCellAnchor>
    <xdr:from>
      <xdr:col>20</xdr:col>
      <xdr:colOff>43492</xdr:colOff>
      <xdr:row>38</xdr:row>
      <xdr:rowOff>17397</xdr:rowOff>
    </xdr:from>
    <xdr:to>
      <xdr:col>25</xdr:col>
      <xdr:colOff>443630</xdr:colOff>
      <xdr:row>50</xdr:row>
      <xdr:rowOff>86987</xdr:rowOff>
    </xdr:to>
    <xdr:graphicFrame macro="">
      <xdr:nvGraphicFramePr>
        <xdr:cNvPr id="58" name="Chart 57">
          <a:extLst>
            <a:ext uri="{FF2B5EF4-FFF2-40B4-BE49-F238E27FC236}">
              <a16:creationId xmlns:a16="http://schemas.microsoft.com/office/drawing/2014/main" id="{0BB7DAE1-E840-4A5D-9045-6038A3BA8D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mc:AlternateContent xmlns:mc="http://schemas.openxmlformats.org/markup-compatibility/2006">
    <mc:Choice xmlns:a14="http://schemas.microsoft.com/office/drawing/2010/main" Requires="a14">
      <xdr:twoCellAnchor editAs="oneCell">
        <xdr:from>
          <xdr:col>3</xdr:col>
          <xdr:colOff>478424</xdr:colOff>
          <xdr:row>39</xdr:row>
          <xdr:rowOff>43996</xdr:rowOff>
        </xdr:from>
        <xdr:to>
          <xdr:col>18</xdr:col>
          <xdr:colOff>530615</xdr:colOff>
          <xdr:row>50</xdr:row>
          <xdr:rowOff>15050</xdr:rowOff>
        </xdr:to>
        <xdr:pic>
          <xdr:nvPicPr>
            <xdr:cNvPr id="62" name="Picture 61">
              <a:extLst>
                <a:ext uri="{FF2B5EF4-FFF2-40B4-BE49-F238E27FC236}">
                  <a16:creationId xmlns:a16="http://schemas.microsoft.com/office/drawing/2014/main" id="{9148AC75-724A-45F6-AC14-AA432744568C}"/>
                </a:ext>
              </a:extLst>
            </xdr:cNvPr>
            <xdr:cNvPicPr>
              <a:picLocks noChangeAspect="1" noChangeArrowheads="1"/>
              <a:extLst>
                <a:ext uri="{84589F7E-364E-4C9E-8A38-B11213B215E9}">
                  <a14:cameraTool cellRange="Pivots!$BN$65:$BU$75" spid="_x0000_s3407"/>
                </a:ext>
              </a:extLst>
            </xdr:cNvPicPr>
          </xdr:nvPicPr>
          <xdr:blipFill>
            <a:blip xmlns:r="http://schemas.openxmlformats.org/officeDocument/2006/relationships" r:embed="rId23"/>
            <a:srcRect/>
            <a:stretch>
              <a:fillRect/>
            </a:stretch>
          </xdr:blipFill>
          <xdr:spPr bwMode="auto">
            <a:xfrm>
              <a:off x="2305136" y="7168174"/>
              <a:ext cx="9185753" cy="198043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0</xdr:col>
      <xdr:colOff>1</xdr:colOff>
      <xdr:row>17</xdr:row>
      <xdr:rowOff>121781</xdr:rowOff>
    </xdr:from>
    <xdr:to>
      <xdr:col>2</xdr:col>
      <xdr:colOff>434932</xdr:colOff>
      <xdr:row>26</xdr:row>
      <xdr:rowOff>26096</xdr:rowOff>
    </xdr:to>
    <mc:AlternateContent xmlns:mc="http://schemas.openxmlformats.org/markup-compatibility/2006" xmlns:a14="http://schemas.microsoft.com/office/drawing/2010/main">
      <mc:Choice Requires="a14">
        <xdr:graphicFrame macro="">
          <xdr:nvGraphicFramePr>
            <xdr:cNvPr id="65" name="EnvironmentSatisfactionLabel">
              <a:extLst>
                <a:ext uri="{FF2B5EF4-FFF2-40B4-BE49-F238E27FC236}">
                  <a16:creationId xmlns:a16="http://schemas.microsoft.com/office/drawing/2014/main" id="{DB34FB4E-F559-401C-AAAE-155790985660}"/>
                </a:ext>
              </a:extLst>
            </xdr:cNvPr>
            <xdr:cNvGraphicFramePr/>
          </xdr:nvGraphicFramePr>
          <xdr:xfrm>
            <a:off x="0" y="0"/>
            <a:ext cx="0" cy="0"/>
          </xdr:xfrm>
          <a:graphic>
            <a:graphicData uri="http://schemas.microsoft.com/office/drawing/2010/slicer">
              <sle:slicer xmlns:sle="http://schemas.microsoft.com/office/drawing/2010/slicer" name="EnvironmentSatisfactionLabel"/>
            </a:graphicData>
          </a:graphic>
        </xdr:graphicFrame>
      </mc:Choice>
      <mc:Fallback xmlns="">
        <xdr:sp macro="" textlink="">
          <xdr:nvSpPr>
            <xdr:cNvPr id="0" name=""/>
            <xdr:cNvSpPr>
              <a:spLocks noTextEdit="1"/>
            </xdr:cNvSpPr>
          </xdr:nvSpPr>
          <xdr:spPr>
            <a:xfrm>
              <a:off x="1" y="3227192"/>
              <a:ext cx="1652739" cy="154835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26</xdr:row>
      <xdr:rowOff>73592</xdr:rowOff>
    </xdr:from>
    <xdr:to>
      <xdr:col>2</xdr:col>
      <xdr:colOff>443631</xdr:colOff>
      <xdr:row>30</xdr:row>
      <xdr:rowOff>26097</xdr:rowOff>
    </xdr:to>
    <mc:AlternateContent xmlns:mc="http://schemas.openxmlformats.org/markup-compatibility/2006" xmlns:a14="http://schemas.microsoft.com/office/drawing/2010/main">
      <mc:Choice Requires="a14">
        <xdr:graphicFrame macro="">
          <xdr:nvGraphicFramePr>
            <xdr:cNvPr id="66" name="PerformanceRating">
              <a:extLst>
                <a:ext uri="{FF2B5EF4-FFF2-40B4-BE49-F238E27FC236}">
                  <a16:creationId xmlns:a16="http://schemas.microsoft.com/office/drawing/2014/main" id="{38D7D8B3-4722-491F-A211-A7B80BCEC06A}"/>
                </a:ext>
              </a:extLst>
            </xdr:cNvPr>
            <xdr:cNvGraphicFramePr/>
          </xdr:nvGraphicFramePr>
          <xdr:xfrm>
            <a:off x="0" y="0"/>
            <a:ext cx="0" cy="0"/>
          </xdr:xfrm>
          <a:graphic>
            <a:graphicData uri="http://schemas.microsoft.com/office/drawing/2010/slicer">
              <sle:slicer xmlns:sle="http://schemas.microsoft.com/office/drawing/2010/slicer" name="PerformanceRating"/>
            </a:graphicData>
          </a:graphic>
        </xdr:graphicFrame>
      </mc:Choice>
      <mc:Fallback xmlns="">
        <xdr:sp macro="" textlink="">
          <xdr:nvSpPr>
            <xdr:cNvPr id="0" name=""/>
            <xdr:cNvSpPr>
              <a:spLocks noTextEdit="1"/>
            </xdr:cNvSpPr>
          </xdr:nvSpPr>
          <xdr:spPr>
            <a:xfrm>
              <a:off x="1" y="4823044"/>
              <a:ext cx="1661438" cy="6831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8698</xdr:colOff>
      <xdr:row>30</xdr:row>
      <xdr:rowOff>47495</xdr:rowOff>
    </xdr:from>
    <xdr:to>
      <xdr:col>2</xdr:col>
      <xdr:colOff>443630</xdr:colOff>
      <xdr:row>37</xdr:row>
      <xdr:rowOff>108031</xdr:rowOff>
    </xdr:to>
    <mc:AlternateContent xmlns:mc="http://schemas.openxmlformats.org/markup-compatibility/2006" xmlns:a14="http://schemas.microsoft.com/office/drawing/2010/main">
      <mc:Choice Requires="a14">
        <xdr:graphicFrame macro="">
          <xdr:nvGraphicFramePr>
            <xdr:cNvPr id="67" name="PercentSalaryHikeGroup">
              <a:extLst>
                <a:ext uri="{FF2B5EF4-FFF2-40B4-BE49-F238E27FC236}">
                  <a16:creationId xmlns:a16="http://schemas.microsoft.com/office/drawing/2014/main" id="{C6B0F7AC-E5E5-43BC-89AF-5A973D37C707}"/>
                </a:ext>
              </a:extLst>
            </xdr:cNvPr>
            <xdr:cNvGraphicFramePr/>
          </xdr:nvGraphicFramePr>
          <xdr:xfrm>
            <a:off x="0" y="0"/>
            <a:ext cx="0" cy="0"/>
          </xdr:xfrm>
          <a:graphic>
            <a:graphicData uri="http://schemas.microsoft.com/office/drawing/2010/slicer">
              <sle:slicer xmlns:sle="http://schemas.microsoft.com/office/drawing/2010/slicer" name="PercentSalaryHikeGroup"/>
            </a:graphicData>
          </a:graphic>
        </xdr:graphicFrame>
      </mc:Choice>
      <mc:Fallback xmlns="">
        <xdr:sp macro="" textlink="">
          <xdr:nvSpPr>
            <xdr:cNvPr id="0" name=""/>
            <xdr:cNvSpPr>
              <a:spLocks noTextEdit="1"/>
            </xdr:cNvSpPr>
          </xdr:nvSpPr>
          <xdr:spPr>
            <a:xfrm>
              <a:off x="8698" y="5527632"/>
              <a:ext cx="1652740" cy="133923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20</xdr:col>
      <xdr:colOff>365624</xdr:colOff>
      <xdr:row>3</xdr:row>
      <xdr:rowOff>101977</xdr:rowOff>
    </xdr:from>
    <xdr:ext cx="1142942" cy="217560"/>
    <xdr:sp macro="" textlink="">
      <xdr:nvSpPr>
        <xdr:cNvPr id="68" name="TextBox 67">
          <a:extLst>
            <a:ext uri="{FF2B5EF4-FFF2-40B4-BE49-F238E27FC236}">
              <a16:creationId xmlns:a16="http://schemas.microsoft.com/office/drawing/2014/main" id="{F5E6CAC7-5BF1-FB42-6A5E-C14DA6D20146}"/>
            </a:ext>
          </a:extLst>
        </xdr:cNvPr>
        <xdr:cNvSpPr txBox="1"/>
      </xdr:nvSpPr>
      <xdr:spPr>
        <a:xfrm>
          <a:off x="12543706" y="649991"/>
          <a:ext cx="1142942"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800" b="1">
              <a:solidFill>
                <a:srgbClr val="002F54"/>
              </a:solidFill>
            </a:rPr>
            <a:t>Average</a:t>
          </a:r>
          <a:r>
            <a:rPr lang="en-GB" sz="800" b="1" baseline="0">
              <a:solidFill>
                <a:srgbClr val="002F54"/>
              </a:solidFill>
            </a:rPr>
            <a:t> Age</a:t>
          </a:r>
          <a:endParaRPr lang="en-GB" sz="800" b="1">
            <a:solidFill>
              <a:srgbClr val="002F54"/>
            </a:solidFill>
          </a:endParaRPr>
        </a:p>
      </xdr:txBody>
    </xdr:sp>
    <xdr:clientData/>
  </xdr:oneCellAnchor>
  <xdr:oneCellAnchor>
    <xdr:from>
      <xdr:col>19</xdr:col>
      <xdr:colOff>200069</xdr:colOff>
      <xdr:row>13</xdr:row>
      <xdr:rowOff>104384</xdr:rowOff>
    </xdr:from>
    <xdr:ext cx="184731" cy="264560"/>
    <xdr:sp macro="" textlink="">
      <xdr:nvSpPr>
        <xdr:cNvPr id="71" name="TextBox 70">
          <a:extLst>
            <a:ext uri="{FF2B5EF4-FFF2-40B4-BE49-F238E27FC236}">
              <a16:creationId xmlns:a16="http://schemas.microsoft.com/office/drawing/2014/main" id="{4DCEFF30-92C6-ADE3-6539-161B52A13CFC}"/>
            </a:ext>
          </a:extLst>
        </xdr:cNvPr>
        <xdr:cNvSpPr txBox="1"/>
      </xdr:nvSpPr>
      <xdr:spPr>
        <a:xfrm>
          <a:off x="11769247" y="247911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20</xdr:col>
      <xdr:colOff>530616</xdr:colOff>
      <xdr:row>4</xdr:row>
      <xdr:rowOff>95684</xdr:rowOff>
    </xdr:from>
    <xdr:ext cx="496674" cy="468013"/>
    <xdr:sp macro="" textlink="Pivots!B30">
      <xdr:nvSpPr>
        <xdr:cNvPr id="76" name="TextBox 75">
          <a:extLst>
            <a:ext uri="{FF2B5EF4-FFF2-40B4-BE49-F238E27FC236}">
              <a16:creationId xmlns:a16="http://schemas.microsoft.com/office/drawing/2014/main" id="{AC45E205-055A-3F05-EAB3-32BFD30F10AB}"/>
            </a:ext>
          </a:extLst>
        </xdr:cNvPr>
        <xdr:cNvSpPr txBox="1"/>
      </xdr:nvSpPr>
      <xdr:spPr>
        <a:xfrm>
          <a:off x="12708698" y="826369"/>
          <a:ext cx="496674"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B8736F5-D834-4163-AD29-CDBAE32D14E1}" type="TxLink">
            <a:rPr lang="en-US" sz="2400" b="1" i="0" u="none" strike="noStrike">
              <a:solidFill>
                <a:schemeClr val="accent3">
                  <a:lumMod val="75000"/>
                </a:schemeClr>
              </a:solidFill>
              <a:latin typeface="Aptos Narrow"/>
            </a:rPr>
            <a:pPr/>
            <a:t>37</a:t>
          </a:fld>
          <a:endParaRPr lang="en-GB" sz="2400" b="1">
            <a:solidFill>
              <a:schemeClr val="accent3">
                <a:lumMod val="75000"/>
              </a:schemeClr>
            </a:solidFill>
          </a:endParaRPr>
        </a:p>
      </xdr:txBody>
    </xdr:sp>
    <xdr:clientData/>
  </xdr:oneCellAnchor>
  <xdr:oneCellAnchor>
    <xdr:from>
      <xdr:col>23</xdr:col>
      <xdr:colOff>500626</xdr:colOff>
      <xdr:row>3</xdr:row>
      <xdr:rowOff>132595</xdr:rowOff>
    </xdr:from>
    <xdr:ext cx="1142942" cy="217560"/>
    <xdr:sp macro="" textlink="">
      <xdr:nvSpPr>
        <xdr:cNvPr id="81" name="TextBox 80">
          <a:extLst>
            <a:ext uri="{FF2B5EF4-FFF2-40B4-BE49-F238E27FC236}">
              <a16:creationId xmlns:a16="http://schemas.microsoft.com/office/drawing/2014/main" id="{B8C9F2CC-F278-F067-8045-F54C1533040C}"/>
            </a:ext>
          </a:extLst>
        </xdr:cNvPr>
        <xdr:cNvSpPr txBox="1"/>
      </xdr:nvSpPr>
      <xdr:spPr>
        <a:xfrm>
          <a:off x="14505421" y="680609"/>
          <a:ext cx="1142942"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800" b="1">
              <a:solidFill>
                <a:srgbClr val="002F54"/>
              </a:solidFill>
            </a:rPr>
            <a:t>Ave.</a:t>
          </a:r>
          <a:r>
            <a:rPr lang="en-GB" sz="800" b="1" baseline="0">
              <a:solidFill>
                <a:srgbClr val="002F54"/>
              </a:solidFill>
            </a:rPr>
            <a:t> Monthly Income</a:t>
          </a:r>
          <a:endParaRPr lang="en-GB" sz="800" b="1">
            <a:solidFill>
              <a:srgbClr val="002F54"/>
            </a:solidFill>
          </a:endParaRPr>
        </a:p>
      </xdr:txBody>
    </xdr:sp>
    <xdr:clientData/>
  </xdr:oneCellAnchor>
  <xdr:oneCellAnchor>
    <xdr:from>
      <xdr:col>24</xdr:col>
      <xdr:colOff>52192</xdr:colOff>
      <xdr:row>5</xdr:row>
      <xdr:rowOff>26096</xdr:rowOff>
    </xdr:from>
    <xdr:ext cx="835068" cy="748081"/>
    <xdr:sp macro="" textlink="Pivots!C30">
      <xdr:nvSpPr>
        <xdr:cNvPr id="84" name="TextBox 83">
          <a:extLst>
            <a:ext uri="{FF2B5EF4-FFF2-40B4-BE49-F238E27FC236}">
              <a16:creationId xmlns:a16="http://schemas.microsoft.com/office/drawing/2014/main" id="{3FD9D286-EDB9-B358-A74D-00368453380B}"/>
            </a:ext>
          </a:extLst>
        </xdr:cNvPr>
        <xdr:cNvSpPr txBox="1"/>
      </xdr:nvSpPr>
      <xdr:spPr>
        <a:xfrm>
          <a:off x="14665891" y="939452"/>
          <a:ext cx="835068" cy="7480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BC491C6-F3AD-49BC-91FC-8E60FC993C52}" type="TxLink">
            <a:rPr lang="en-US" sz="1100" b="1" i="0" u="none" strike="noStrike">
              <a:solidFill>
                <a:srgbClr val="036386"/>
              </a:solidFill>
              <a:latin typeface="Aptos Narrow"/>
            </a:rPr>
            <a:pPr/>
            <a:t> £6,502.93 </a:t>
          </a:fld>
          <a:endParaRPr lang="en-GB" sz="1100" b="1">
            <a:solidFill>
              <a:srgbClr val="036386"/>
            </a:solidFill>
          </a:endParaRPr>
        </a:p>
      </xdr:txBody>
    </xdr:sp>
    <xdr:clientData/>
  </xdr:oneCellAnchor>
  <xdr:twoCellAnchor editAs="oneCell">
    <xdr:from>
      <xdr:col>23</xdr:col>
      <xdr:colOff>8696</xdr:colOff>
      <xdr:row>4</xdr:row>
      <xdr:rowOff>95685</xdr:rowOff>
    </xdr:from>
    <xdr:to>
      <xdr:col>23</xdr:col>
      <xdr:colOff>417531</xdr:colOff>
      <xdr:row>6</xdr:row>
      <xdr:rowOff>139178</xdr:rowOff>
    </xdr:to>
    <xdr:pic>
      <xdr:nvPicPr>
        <xdr:cNvPr id="86" name="Graphic 85" descr="Money with solid fill">
          <a:extLst>
            <a:ext uri="{FF2B5EF4-FFF2-40B4-BE49-F238E27FC236}">
              <a16:creationId xmlns:a16="http://schemas.microsoft.com/office/drawing/2014/main" id="{DD46EBFC-24A9-8954-BCD8-E245D09BA5AB}"/>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4013491" y="826370"/>
          <a:ext cx="408835" cy="408835"/>
        </a:xfrm>
        <a:prstGeom prst="rect">
          <a:avLst/>
        </a:prstGeom>
      </xdr:spPr>
    </xdr:pic>
    <xdr:clientData/>
  </xdr:twoCellAnchor>
  <xdr:twoCellAnchor editAs="oneCell">
    <xdr:from>
      <xdr:col>19</xdr:col>
      <xdr:colOff>382739</xdr:colOff>
      <xdr:row>4</xdr:row>
      <xdr:rowOff>52191</xdr:rowOff>
    </xdr:from>
    <xdr:to>
      <xdr:col>20</xdr:col>
      <xdr:colOff>252260</xdr:colOff>
      <xdr:row>6</xdr:row>
      <xdr:rowOff>165274</xdr:rowOff>
    </xdr:to>
    <xdr:pic>
      <xdr:nvPicPr>
        <xdr:cNvPr id="88" name="Graphic 87" descr="User with solid fill">
          <a:extLst>
            <a:ext uri="{FF2B5EF4-FFF2-40B4-BE49-F238E27FC236}">
              <a16:creationId xmlns:a16="http://schemas.microsoft.com/office/drawing/2014/main" id="{24ACA19E-3FB4-D8F2-49D8-4FA8C70A2607}"/>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1951917" y="782876"/>
          <a:ext cx="478425" cy="47842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476250</xdr:colOff>
          <xdr:row>39</xdr:row>
          <xdr:rowOff>44450</xdr:rowOff>
        </xdr:from>
        <xdr:to>
          <xdr:col>18</xdr:col>
          <xdr:colOff>533400</xdr:colOff>
          <xdr:row>50</xdr:row>
          <xdr:rowOff>12700</xdr:rowOff>
        </xdr:to>
        <xdr:pic>
          <xdr:nvPicPr>
            <xdr:cNvPr id="3313" name="Picture 61">
              <a:extLst>
                <a:ext uri="{FF2B5EF4-FFF2-40B4-BE49-F238E27FC236}">
                  <a16:creationId xmlns:a16="http://schemas.microsoft.com/office/drawing/2014/main" id="{9D88D803-00AC-5C89-717A-C5D161497AF8}"/>
                </a:ext>
              </a:extLst>
            </xdr:cNvPr>
            <xdr:cNvPicPr>
              <a:picLocks noChangeAspect="1" noChangeArrowheads="1"/>
              <a:extLst>
                <a:ext uri="{84589F7E-364E-4C9E-8A38-B11213B215E9}">
                  <a14:cameraTool cellRange="Pivots!$BN$65:$BU$75" spid="_x0000_s3408"/>
                </a:ext>
              </a:extLst>
            </xdr:cNvPicPr>
          </xdr:nvPicPr>
          <xdr:blipFill>
            <a:blip xmlns:r="http://schemas.openxmlformats.org/officeDocument/2006/relationships" r:embed="rId23"/>
            <a:srcRect/>
            <a:stretch>
              <a:fillRect/>
            </a:stretch>
          </xdr:blipFill>
          <xdr:spPr bwMode="auto">
            <a:xfrm>
              <a:off x="2305050" y="7226300"/>
              <a:ext cx="9201150" cy="19939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c:userShapes xmlns:c="http://schemas.openxmlformats.org/drawingml/2006/chart">
  <cdr:relSizeAnchor xmlns:cdr="http://schemas.openxmlformats.org/drawingml/2006/chartDrawing">
    <cdr:from>
      <cdr:x>0.4272</cdr:x>
      <cdr:y>0.47013</cdr:y>
    </cdr:from>
    <cdr:to>
      <cdr:x>0.6272</cdr:x>
      <cdr:y>0.80346</cdr:y>
    </cdr:to>
    <cdr:sp macro="" textlink="">
      <cdr:nvSpPr>
        <cdr:cNvPr id="2" name="TextBox 1">
          <a:extLst xmlns:a="http://schemas.openxmlformats.org/drawingml/2006/main">
            <a:ext uri="{FF2B5EF4-FFF2-40B4-BE49-F238E27FC236}">
              <a16:creationId xmlns:a16="http://schemas.microsoft.com/office/drawing/2014/main" id="{47249F60-6E88-9D05-2893-51EA97F25B34}"/>
            </a:ext>
          </a:extLst>
        </cdr:cNvPr>
        <cdr:cNvSpPr txBox="1"/>
      </cdr:nvSpPr>
      <cdr:spPr>
        <a:xfrm xmlns:a="http://schemas.openxmlformats.org/drawingml/2006/main">
          <a:off x="1953137" y="128966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0.37343</cdr:x>
      <cdr:y>0.35439</cdr:y>
    </cdr:from>
    <cdr:to>
      <cdr:x>0.57343</cdr:x>
      <cdr:y>0.52614</cdr:y>
    </cdr:to>
    <cdr:sp macro="" textlink="Pivots!$E$8">
      <cdr:nvSpPr>
        <cdr:cNvPr id="3" name="TextBox 2">
          <a:extLst xmlns:a="http://schemas.openxmlformats.org/drawingml/2006/main">
            <a:ext uri="{FF2B5EF4-FFF2-40B4-BE49-F238E27FC236}">
              <a16:creationId xmlns:a16="http://schemas.microsoft.com/office/drawing/2014/main" id="{090ED950-D5F5-E3C5-5EA7-CCA4DA5F7356}"/>
            </a:ext>
          </a:extLst>
        </cdr:cNvPr>
        <cdr:cNvSpPr txBox="1"/>
      </cdr:nvSpPr>
      <cdr:spPr>
        <a:xfrm xmlns:a="http://schemas.openxmlformats.org/drawingml/2006/main">
          <a:off x="1707331" y="972166"/>
          <a:ext cx="914400" cy="47112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fld id="{47B7A413-ECBA-4D8A-9802-B2DF0EB3716A}" type="TxLink">
            <a:rPr lang="en-US" sz="2000" b="1" i="0" u="none" strike="noStrike" kern="1200">
              <a:solidFill>
                <a:srgbClr val="002F54"/>
              </a:solidFill>
              <a:latin typeface="Aptos Narrow"/>
            </a:rPr>
            <a:pPr/>
            <a:t>16.12%</a:t>
          </a:fld>
          <a:endParaRPr lang="en-GB" sz="2000" b="1" kern="1200">
            <a:solidFill>
              <a:srgbClr val="002F54"/>
            </a:solidFill>
          </a:endParaRPr>
        </a:p>
      </cdr:txBody>
    </cdr:sp>
  </cdr:relSizeAnchor>
  <cdr:relSizeAnchor xmlns:cdr="http://schemas.openxmlformats.org/drawingml/2006/chartDrawing">
    <cdr:from>
      <cdr:x>0.33535</cdr:x>
      <cdr:y>0.60081</cdr:y>
    </cdr:from>
    <cdr:to>
      <cdr:x>0.53535</cdr:x>
      <cdr:y>0.93414</cdr:y>
    </cdr:to>
    <cdr:sp macro="" textlink="">
      <cdr:nvSpPr>
        <cdr:cNvPr id="4" name="TextBox 3">
          <a:extLst xmlns:a="http://schemas.openxmlformats.org/drawingml/2006/main">
            <a:ext uri="{FF2B5EF4-FFF2-40B4-BE49-F238E27FC236}">
              <a16:creationId xmlns:a16="http://schemas.microsoft.com/office/drawing/2014/main" id="{870AEF43-743D-3336-11F7-7FB7F88E6360}"/>
            </a:ext>
          </a:extLst>
        </cdr:cNvPr>
        <cdr:cNvSpPr txBox="1"/>
      </cdr:nvSpPr>
      <cdr:spPr>
        <a:xfrm xmlns:a="http://schemas.openxmlformats.org/drawingml/2006/main">
          <a:off x="1533218" y="1648133"/>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0.33535</cdr:x>
      <cdr:y>0.47999</cdr:y>
    </cdr:from>
    <cdr:to>
      <cdr:x>0.53535</cdr:x>
      <cdr:y>0.61947</cdr:y>
    </cdr:to>
    <cdr:sp macro="" textlink="">
      <cdr:nvSpPr>
        <cdr:cNvPr id="5" name="TextBox 4">
          <a:extLst xmlns:a="http://schemas.openxmlformats.org/drawingml/2006/main">
            <a:ext uri="{FF2B5EF4-FFF2-40B4-BE49-F238E27FC236}">
              <a16:creationId xmlns:a16="http://schemas.microsoft.com/office/drawing/2014/main" id="{2CD0EAD1-739A-8645-DA97-EBEAA18FEE19}"/>
            </a:ext>
          </a:extLst>
        </cdr:cNvPr>
        <cdr:cNvSpPr txBox="1"/>
      </cdr:nvSpPr>
      <cdr:spPr>
        <a:xfrm xmlns:a="http://schemas.openxmlformats.org/drawingml/2006/main">
          <a:off x="1533217" y="1316703"/>
          <a:ext cx="914400" cy="38264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GB" sz="1600" b="1" kern="1200">
              <a:solidFill>
                <a:srgbClr val="002F54"/>
              </a:solidFill>
            </a:rPr>
            <a:t>Attrition Rate</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158750</xdr:colOff>
      <xdr:row>2</xdr:row>
      <xdr:rowOff>114300</xdr:rowOff>
    </xdr:to>
    <xdr:sp macro="" textlink="">
      <xdr:nvSpPr>
        <xdr:cNvPr id="2" name="Rectangle 1">
          <a:extLst>
            <a:ext uri="{FF2B5EF4-FFF2-40B4-BE49-F238E27FC236}">
              <a16:creationId xmlns:a16="http://schemas.microsoft.com/office/drawing/2014/main" id="{FBB29796-F252-EE0A-8E63-F94AAC533046}"/>
            </a:ext>
          </a:extLst>
        </xdr:cNvPr>
        <xdr:cNvSpPr/>
      </xdr:nvSpPr>
      <xdr:spPr>
        <a:xfrm>
          <a:off x="0" y="0"/>
          <a:ext cx="13569950" cy="482600"/>
        </a:xfrm>
        <a:prstGeom prst="rect">
          <a:avLst/>
        </a:prstGeom>
        <a:solidFill>
          <a:srgbClr val="01305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31750</xdr:rowOff>
    </xdr:from>
    <xdr:to>
      <xdr:col>1</xdr:col>
      <xdr:colOff>501650</xdr:colOff>
      <xdr:row>22</xdr:row>
      <xdr:rowOff>177800</xdr:rowOff>
    </xdr:to>
    <xdr:sp macro="" textlink="">
      <xdr:nvSpPr>
        <xdr:cNvPr id="3" name="Rectangle 2">
          <a:extLst>
            <a:ext uri="{FF2B5EF4-FFF2-40B4-BE49-F238E27FC236}">
              <a16:creationId xmlns:a16="http://schemas.microsoft.com/office/drawing/2014/main" id="{4CF86138-7B5F-34B7-5CCA-04E46FE355EC}"/>
            </a:ext>
          </a:extLst>
        </xdr:cNvPr>
        <xdr:cNvSpPr/>
      </xdr:nvSpPr>
      <xdr:spPr>
        <a:xfrm>
          <a:off x="0" y="31750"/>
          <a:ext cx="1111250" cy="4197350"/>
        </a:xfrm>
        <a:prstGeom prst="rect">
          <a:avLst/>
        </a:prstGeom>
        <a:solidFill>
          <a:srgbClr val="0014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1</xdr:col>
      <xdr:colOff>539750</xdr:colOff>
      <xdr:row>0</xdr:row>
      <xdr:rowOff>44450</xdr:rowOff>
    </xdr:from>
    <xdr:ext cx="2895600" cy="311496"/>
    <xdr:sp macro="" textlink="">
      <xdr:nvSpPr>
        <xdr:cNvPr id="4" name="TextBox 3">
          <a:extLst>
            <a:ext uri="{FF2B5EF4-FFF2-40B4-BE49-F238E27FC236}">
              <a16:creationId xmlns:a16="http://schemas.microsoft.com/office/drawing/2014/main" id="{C320D2D5-204F-EF94-F509-75E2BB3D3B38}"/>
            </a:ext>
          </a:extLst>
        </xdr:cNvPr>
        <xdr:cNvSpPr txBox="1"/>
      </xdr:nvSpPr>
      <xdr:spPr>
        <a:xfrm>
          <a:off x="1149350" y="44450"/>
          <a:ext cx="28956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400">
              <a:solidFill>
                <a:schemeClr val="bg1"/>
              </a:solidFill>
            </a:rPr>
            <a:t>Data</a:t>
          </a:r>
          <a:r>
            <a:rPr lang="en-GB" sz="1400" baseline="0">
              <a:solidFill>
                <a:schemeClr val="bg1"/>
              </a:solidFill>
            </a:rPr>
            <a:t> Analytics</a:t>
          </a:r>
          <a:endParaRPr lang="en-GB" sz="1400">
            <a:solidFill>
              <a:schemeClr val="bg1"/>
            </a:solidFill>
          </a:endParaRPr>
        </a:p>
      </xdr:txBody>
    </xdr:sp>
    <xdr:clientData/>
  </xdr:oneCellAnchor>
  <xdr:twoCellAnchor editAs="oneCell">
    <xdr:from>
      <xdr:col>0</xdr:col>
      <xdr:colOff>0</xdr:colOff>
      <xdr:row>5</xdr:row>
      <xdr:rowOff>57150</xdr:rowOff>
    </xdr:from>
    <xdr:to>
      <xdr:col>1</xdr:col>
      <xdr:colOff>514349</xdr:colOff>
      <xdr:row>16</xdr:row>
      <xdr:rowOff>120650</xdr:rowOff>
    </xdr:to>
    <mc:AlternateContent xmlns:mc="http://schemas.openxmlformats.org/markup-compatibility/2006">
      <mc:Choice xmlns:a14="http://schemas.microsoft.com/office/drawing/2010/main" Requires="a14">
        <xdr:graphicFrame macro="">
          <xdr:nvGraphicFramePr>
            <xdr:cNvPr id="5" name="Age_Group 1">
              <a:extLst>
                <a:ext uri="{FF2B5EF4-FFF2-40B4-BE49-F238E27FC236}">
                  <a16:creationId xmlns:a16="http://schemas.microsoft.com/office/drawing/2014/main" id="{19657335-8F22-43CD-9A6E-7774814A611F}"/>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dr:sp macro="" textlink="">
          <xdr:nvSpPr>
            <xdr:cNvPr id="0" name=""/>
            <xdr:cNvSpPr>
              <a:spLocks noTextEdit="1"/>
            </xdr:cNvSpPr>
          </xdr:nvSpPr>
          <xdr:spPr>
            <a:xfrm>
              <a:off x="0" y="977900"/>
              <a:ext cx="1123949" cy="20891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273050</xdr:colOff>
      <xdr:row>3</xdr:row>
      <xdr:rowOff>107950</xdr:rowOff>
    </xdr:from>
    <xdr:to>
      <xdr:col>6</xdr:col>
      <xdr:colOff>552450</xdr:colOff>
      <xdr:row>12</xdr:row>
      <xdr:rowOff>133350</xdr:rowOff>
    </xdr:to>
    <xdr:sp macro="" textlink="">
      <xdr:nvSpPr>
        <xdr:cNvPr id="6" name="Rectangle: Rounded Corners 5">
          <a:extLst>
            <a:ext uri="{FF2B5EF4-FFF2-40B4-BE49-F238E27FC236}">
              <a16:creationId xmlns:a16="http://schemas.microsoft.com/office/drawing/2014/main" id="{007A2CA5-1055-1D49-27B0-80BB845E6277}"/>
            </a:ext>
          </a:extLst>
        </xdr:cNvPr>
        <xdr:cNvSpPr/>
      </xdr:nvSpPr>
      <xdr:spPr>
        <a:xfrm>
          <a:off x="1492250" y="660400"/>
          <a:ext cx="2717800" cy="1682750"/>
        </a:xfrm>
        <a:prstGeom prst="roundRect">
          <a:avLst/>
        </a:prstGeom>
        <a:no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419100</xdr:colOff>
      <xdr:row>4</xdr:row>
      <xdr:rowOff>0</xdr:rowOff>
    </xdr:from>
    <xdr:to>
      <xdr:col>6</xdr:col>
      <xdr:colOff>387350</xdr:colOff>
      <xdr:row>12</xdr:row>
      <xdr:rowOff>38100</xdr:rowOff>
    </xdr:to>
    <xdr:graphicFrame macro="">
      <xdr:nvGraphicFramePr>
        <xdr:cNvPr id="7" name="Chart 6">
          <a:extLst>
            <a:ext uri="{FF2B5EF4-FFF2-40B4-BE49-F238E27FC236}">
              <a16:creationId xmlns:a16="http://schemas.microsoft.com/office/drawing/2014/main" id="{1A8214DA-C5F7-4A3C-B43D-B4E80BAFC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9</xdr:col>
      <xdr:colOff>463550</xdr:colOff>
      <xdr:row>6</xdr:row>
      <xdr:rowOff>120650</xdr:rowOff>
    </xdr:from>
    <xdr:ext cx="1028700" cy="264560"/>
    <xdr:sp macro="" textlink="Pivots!C30">
      <xdr:nvSpPr>
        <xdr:cNvPr id="8" name="TextBox 7">
          <a:extLst>
            <a:ext uri="{FF2B5EF4-FFF2-40B4-BE49-F238E27FC236}">
              <a16:creationId xmlns:a16="http://schemas.microsoft.com/office/drawing/2014/main" id="{1A28A697-EECE-AE32-8779-6DD5018E40E6}"/>
            </a:ext>
          </a:extLst>
        </xdr:cNvPr>
        <xdr:cNvSpPr txBox="1"/>
      </xdr:nvSpPr>
      <xdr:spPr>
        <a:xfrm>
          <a:off x="5949950" y="1225550"/>
          <a:ext cx="10287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1F7EF94-F829-4CA1-BCFA-A1EA942113BA}" type="TxLink">
            <a:rPr lang="en-US" sz="1100" b="0" i="0" u="none" strike="noStrike">
              <a:solidFill>
                <a:srgbClr val="000000"/>
              </a:solidFill>
              <a:latin typeface="Aptos Narrow"/>
            </a:rPr>
            <a:t> £6,502.93 </a:t>
          </a:fld>
          <a:endParaRPr lang="en-GB" sz="1100"/>
        </a:p>
      </xdr:txBody>
    </xdr:sp>
    <xdr:clientData/>
  </xdr:oneCellAnchor>
  <xdr:oneCellAnchor>
    <xdr:from>
      <xdr:col>12</xdr:col>
      <xdr:colOff>527050</xdr:colOff>
      <xdr:row>4</xdr:row>
      <xdr:rowOff>177800</xdr:rowOff>
    </xdr:from>
    <xdr:ext cx="635000" cy="264560"/>
    <xdr:sp macro="" textlink="Pivots!C14">
      <xdr:nvSpPr>
        <xdr:cNvPr id="9" name="TextBox 8">
          <a:extLst>
            <a:ext uri="{FF2B5EF4-FFF2-40B4-BE49-F238E27FC236}">
              <a16:creationId xmlns:a16="http://schemas.microsoft.com/office/drawing/2014/main" id="{B5BC1700-F354-8322-1AC4-5E3E58074132}"/>
            </a:ext>
          </a:extLst>
        </xdr:cNvPr>
        <xdr:cNvSpPr txBox="1"/>
      </xdr:nvSpPr>
      <xdr:spPr>
        <a:xfrm>
          <a:off x="7842250" y="914400"/>
          <a:ext cx="635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FA74EC3-FFED-4360-9F71-24F278551B4F}" type="TxLink">
            <a:rPr lang="en-US" sz="1100" b="0" i="0" u="none" strike="noStrike">
              <a:solidFill>
                <a:srgbClr val="000000"/>
              </a:solidFill>
              <a:latin typeface="Aptos Narrow"/>
            </a:rPr>
            <a:t>1470</a:t>
          </a:fld>
          <a:endParaRPr lang="en-GB"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55.796704629633" createdVersion="8" refreshedVersion="8" minRefreshableVersion="3" recordCount="1470" xr:uid="{D274117E-B9B8-42CF-AA32-C84CF866CE21}">
  <cacheSource type="worksheet">
    <worksheetSource name="HRData"/>
  </cacheSource>
  <cacheFields count="46">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ge_Group" numFmtId="0">
      <sharedItems count="5">
        <s v="35-44"/>
        <s v="45-54"/>
        <s v="25-34"/>
        <s v="55+"/>
        <s v="18-24"/>
      </sharedItems>
    </cacheField>
    <cacheField name="Attrition" numFmtId="0">
      <sharedItems count="2">
        <s v="Yes"/>
        <s v="No"/>
      </sharedItems>
    </cacheField>
    <cacheField name="Attrition_Flag" numFmtId="0">
      <sharedItems containsSemiMixedTypes="0" containsString="0" containsNumber="1" containsInteger="1" minValue="0" maxValue="1"/>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ontainsSemiMixedTypes="0" containsString="0" containsNumber="1" containsInteger="1" minValue="1" maxValue="4"/>
    </cacheField>
    <cacheField name="EnvironmentSatisfactionLabel" numFmtId="0">
      <sharedItems count="4">
        <s v="Dissatisfied"/>
        <s v="Satisfied"/>
        <s v="Very Satisfied"/>
        <s v="Very Dissatisfied"/>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Job_Satisfaction_Label" numFmtId="0">
      <sharedItems count="8">
        <s v="Very Satisfied"/>
        <s v="Dissatisfied"/>
        <s v="Satisfied"/>
        <s v="Very Dissatisfied"/>
        <s v="High" u="1"/>
        <s v="Medium-Low" u="1"/>
        <s v="Medium-High" u="1"/>
        <s v="Low" u="1"/>
      </sharedItems>
    </cacheField>
    <cacheField name="MaritalStatus" numFmtId="0">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cacheField>
    <cacheField name="IncomeBand" numFmtId="0">
      <sharedItems count="9">
        <s v="Low Income"/>
        <s v="Very Low Income"/>
        <s v="Moderate Income"/>
        <s v="High Income"/>
        <s v="Very High Income"/>
        <s v="Upper-Mid" u="1"/>
        <s v="Low" u="1"/>
        <s v="Lower-Mid" u="1"/>
        <s v="High" u="1"/>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centSalaryHikeGroup" numFmtId="0">
      <sharedItems count="3">
        <s v="11-15"/>
        <s v="21+"/>
        <s v="16-20"/>
      </sharedItems>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_Risk_Score" numFmtId="0">
      <sharedItems containsMixedTypes="1" containsNumber="1" containsInteger="1" minValue="0" maxValue="10"/>
    </cacheField>
    <cacheField name="Attrition_Risk_Level" numFmtId="0">
      <sharedItems count="4">
        <s v="Left"/>
        <s v="Low"/>
        <s v="Medium"/>
        <s v="High"/>
      </sharedItems>
    </cacheField>
    <cacheField name="Risk_Rank" numFmtId="0">
      <sharedItems containsMixedTypes="1" containsNumber="1" containsInteger="1" minValue="1" maxValue="68"/>
    </cacheField>
    <cacheField name="Top10_Flag" numFmtId="0">
      <sharedItems/>
    </cacheField>
    <cacheField name="Risk_Sort_Key" numFmtId="0">
      <sharedItems containsMixedTypes="1" containsNumber="1" containsInteger="1" minValue="58008" maxValue="97979"/>
    </cacheField>
  </cacheFields>
  <extLst>
    <ext xmlns:x14="http://schemas.microsoft.com/office/spreadsheetml/2009/9/main" uri="{725AE2AE-9491-48be-B2B4-4EB974FC3084}">
      <x14:pivotCacheDefinition pivotCacheId="7297577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n v="1"/>
    <s v="Travel_Rarely"/>
    <n v="1102"/>
    <x v="0"/>
    <n v="1"/>
    <n v="2"/>
    <s v="Life Sciences"/>
    <n v="1"/>
    <x v="0"/>
    <n v="2"/>
    <x v="0"/>
    <x v="0"/>
    <n v="94"/>
    <n v="3"/>
    <n v="2"/>
    <x v="0"/>
    <n v="4"/>
    <x v="0"/>
    <s v="Single"/>
    <x v="0"/>
    <x v="0"/>
    <n v="19479"/>
    <n v="8"/>
    <s v="Y"/>
    <x v="0"/>
    <n v="11"/>
    <x v="0"/>
    <x v="0"/>
    <n v="1"/>
    <n v="80"/>
    <n v="0"/>
    <n v="8"/>
    <n v="0"/>
    <n v="1"/>
    <x v="0"/>
    <n v="4"/>
    <n v="0"/>
    <n v="5"/>
    <s v=""/>
    <x v="0"/>
    <s v=""/>
    <s v=""/>
    <s v=""/>
  </r>
  <r>
    <x v="1"/>
    <x v="1"/>
    <x v="1"/>
    <n v="0"/>
    <s v="Travel_Frequently"/>
    <n v="279"/>
    <x v="1"/>
    <n v="8"/>
    <n v="1"/>
    <s v="Life Sciences"/>
    <n v="1"/>
    <x v="1"/>
    <n v="3"/>
    <x v="1"/>
    <x v="1"/>
    <n v="61"/>
    <n v="2"/>
    <n v="2"/>
    <x v="1"/>
    <n v="2"/>
    <x v="1"/>
    <s v="Married"/>
    <x v="1"/>
    <x v="0"/>
    <n v="24907"/>
    <n v="1"/>
    <s v="Y"/>
    <x v="1"/>
    <n v="23"/>
    <x v="1"/>
    <x v="1"/>
    <n v="4"/>
    <n v="80"/>
    <n v="1"/>
    <n v="10"/>
    <n v="3"/>
    <n v="3"/>
    <x v="1"/>
    <n v="7"/>
    <n v="1"/>
    <n v="7"/>
    <n v="1"/>
    <x v="1"/>
    <s v=""/>
    <s v=""/>
    <s v=""/>
  </r>
  <r>
    <x v="2"/>
    <x v="0"/>
    <x v="0"/>
    <n v="1"/>
    <s v="Travel_Rarely"/>
    <n v="1373"/>
    <x v="1"/>
    <n v="2"/>
    <n v="2"/>
    <s v="Other"/>
    <n v="1"/>
    <x v="2"/>
    <n v="4"/>
    <x v="2"/>
    <x v="1"/>
    <n v="92"/>
    <n v="2"/>
    <n v="1"/>
    <x v="2"/>
    <n v="3"/>
    <x v="2"/>
    <s v="Single"/>
    <x v="2"/>
    <x v="1"/>
    <n v="2396"/>
    <n v="6"/>
    <s v="Y"/>
    <x v="0"/>
    <n v="15"/>
    <x v="0"/>
    <x v="0"/>
    <n v="2"/>
    <n v="80"/>
    <n v="0"/>
    <n v="7"/>
    <n v="3"/>
    <n v="3"/>
    <x v="2"/>
    <n v="0"/>
    <n v="0"/>
    <n v="0"/>
    <s v=""/>
    <x v="0"/>
    <s v=""/>
    <s v=""/>
    <s v=""/>
  </r>
  <r>
    <x v="3"/>
    <x v="2"/>
    <x v="1"/>
    <n v="0"/>
    <s v="Travel_Frequently"/>
    <n v="1392"/>
    <x v="1"/>
    <n v="3"/>
    <n v="4"/>
    <s v="Life Sciences"/>
    <n v="1"/>
    <x v="3"/>
    <n v="4"/>
    <x v="2"/>
    <x v="0"/>
    <n v="56"/>
    <n v="3"/>
    <n v="1"/>
    <x v="1"/>
    <n v="3"/>
    <x v="2"/>
    <s v="Married"/>
    <x v="3"/>
    <x v="1"/>
    <n v="23159"/>
    <n v="1"/>
    <s v="Y"/>
    <x v="0"/>
    <n v="11"/>
    <x v="0"/>
    <x v="0"/>
    <n v="3"/>
    <n v="80"/>
    <n v="0"/>
    <n v="8"/>
    <n v="3"/>
    <n v="3"/>
    <x v="3"/>
    <n v="7"/>
    <n v="3"/>
    <n v="0"/>
    <n v="5"/>
    <x v="2"/>
    <s v=""/>
    <s v=""/>
    <s v=""/>
  </r>
  <r>
    <x v="4"/>
    <x v="2"/>
    <x v="1"/>
    <n v="0"/>
    <s v="Travel_Rarely"/>
    <n v="591"/>
    <x v="1"/>
    <n v="2"/>
    <n v="1"/>
    <s v="Medical"/>
    <n v="1"/>
    <x v="4"/>
    <n v="1"/>
    <x v="3"/>
    <x v="1"/>
    <n v="40"/>
    <n v="3"/>
    <n v="1"/>
    <x v="2"/>
    <n v="2"/>
    <x v="1"/>
    <s v="Married"/>
    <x v="4"/>
    <x v="1"/>
    <n v="16632"/>
    <n v="9"/>
    <s v="Y"/>
    <x v="1"/>
    <n v="12"/>
    <x v="0"/>
    <x v="0"/>
    <n v="4"/>
    <n v="80"/>
    <n v="1"/>
    <n v="6"/>
    <n v="3"/>
    <n v="3"/>
    <x v="4"/>
    <n v="2"/>
    <n v="2"/>
    <n v="2"/>
    <n v="4"/>
    <x v="2"/>
    <s v=""/>
    <s v=""/>
    <s v=""/>
  </r>
  <r>
    <x v="5"/>
    <x v="2"/>
    <x v="1"/>
    <n v="0"/>
    <s v="Travel_Frequently"/>
    <n v="1005"/>
    <x v="1"/>
    <n v="2"/>
    <n v="2"/>
    <s v="Life Sciences"/>
    <n v="1"/>
    <x v="5"/>
    <n v="4"/>
    <x v="2"/>
    <x v="1"/>
    <n v="79"/>
    <n v="3"/>
    <n v="1"/>
    <x v="2"/>
    <n v="4"/>
    <x v="0"/>
    <s v="Single"/>
    <x v="5"/>
    <x v="1"/>
    <n v="11864"/>
    <n v="0"/>
    <s v="Y"/>
    <x v="1"/>
    <n v="13"/>
    <x v="0"/>
    <x v="0"/>
    <n v="3"/>
    <n v="80"/>
    <n v="0"/>
    <n v="8"/>
    <n v="2"/>
    <n v="2"/>
    <x v="5"/>
    <n v="7"/>
    <n v="3"/>
    <n v="6"/>
    <n v="4"/>
    <x v="2"/>
    <s v=""/>
    <s v=""/>
    <s v=""/>
  </r>
  <r>
    <x v="6"/>
    <x v="3"/>
    <x v="1"/>
    <n v="0"/>
    <s v="Travel_Rarely"/>
    <n v="1324"/>
    <x v="1"/>
    <n v="3"/>
    <n v="3"/>
    <s v="Medical"/>
    <n v="1"/>
    <x v="6"/>
    <n v="3"/>
    <x v="1"/>
    <x v="0"/>
    <n v="81"/>
    <n v="4"/>
    <n v="1"/>
    <x v="2"/>
    <n v="1"/>
    <x v="3"/>
    <s v="Married"/>
    <x v="6"/>
    <x v="1"/>
    <n v="9964"/>
    <n v="4"/>
    <s v="Y"/>
    <x v="0"/>
    <n v="20"/>
    <x v="2"/>
    <x v="1"/>
    <n v="1"/>
    <n v="80"/>
    <n v="3"/>
    <n v="12"/>
    <n v="3"/>
    <n v="2"/>
    <x v="6"/>
    <n v="0"/>
    <n v="0"/>
    <n v="0"/>
    <n v="7"/>
    <x v="3"/>
    <n v="4"/>
    <s v="Top 10"/>
    <n v="69990"/>
  </r>
  <r>
    <x v="7"/>
    <x v="2"/>
    <x v="1"/>
    <n v="0"/>
    <s v="Travel_Rarely"/>
    <n v="1358"/>
    <x v="1"/>
    <n v="24"/>
    <n v="1"/>
    <s v="Life Sciences"/>
    <n v="1"/>
    <x v="7"/>
    <n v="4"/>
    <x v="2"/>
    <x v="1"/>
    <n v="67"/>
    <n v="3"/>
    <n v="1"/>
    <x v="2"/>
    <n v="3"/>
    <x v="2"/>
    <s v="Divorced"/>
    <x v="7"/>
    <x v="1"/>
    <n v="13335"/>
    <n v="1"/>
    <s v="Y"/>
    <x v="1"/>
    <n v="22"/>
    <x v="1"/>
    <x v="1"/>
    <n v="2"/>
    <n v="80"/>
    <n v="1"/>
    <n v="1"/>
    <n v="2"/>
    <n v="3"/>
    <x v="6"/>
    <n v="0"/>
    <n v="0"/>
    <n v="0"/>
    <n v="4"/>
    <x v="2"/>
    <s v=""/>
    <s v=""/>
    <s v=""/>
  </r>
  <r>
    <x v="8"/>
    <x v="0"/>
    <x v="1"/>
    <n v="0"/>
    <s v="Travel_Frequently"/>
    <n v="216"/>
    <x v="1"/>
    <n v="23"/>
    <n v="3"/>
    <s v="Life Sciences"/>
    <n v="1"/>
    <x v="8"/>
    <n v="4"/>
    <x v="2"/>
    <x v="1"/>
    <n v="44"/>
    <n v="2"/>
    <n v="3"/>
    <x v="3"/>
    <n v="3"/>
    <x v="2"/>
    <s v="Single"/>
    <x v="8"/>
    <x v="2"/>
    <n v="8787"/>
    <n v="0"/>
    <s v="Y"/>
    <x v="1"/>
    <n v="21"/>
    <x v="1"/>
    <x v="1"/>
    <n v="2"/>
    <n v="80"/>
    <n v="0"/>
    <n v="10"/>
    <n v="2"/>
    <n v="3"/>
    <x v="7"/>
    <n v="7"/>
    <n v="1"/>
    <n v="8"/>
    <n v="0"/>
    <x v="1"/>
    <s v=""/>
    <s v=""/>
    <s v=""/>
  </r>
  <r>
    <x v="9"/>
    <x v="0"/>
    <x v="1"/>
    <n v="0"/>
    <s v="Travel_Rarely"/>
    <n v="1299"/>
    <x v="1"/>
    <n v="27"/>
    <n v="3"/>
    <s v="Medical"/>
    <n v="1"/>
    <x v="9"/>
    <n v="3"/>
    <x v="1"/>
    <x v="1"/>
    <n v="94"/>
    <n v="3"/>
    <n v="2"/>
    <x v="4"/>
    <n v="3"/>
    <x v="2"/>
    <s v="Married"/>
    <x v="9"/>
    <x v="0"/>
    <n v="16577"/>
    <n v="6"/>
    <s v="Y"/>
    <x v="1"/>
    <n v="13"/>
    <x v="0"/>
    <x v="0"/>
    <n v="2"/>
    <n v="80"/>
    <n v="2"/>
    <n v="17"/>
    <n v="3"/>
    <n v="2"/>
    <x v="5"/>
    <n v="7"/>
    <n v="7"/>
    <n v="7"/>
    <n v="1"/>
    <x v="1"/>
    <s v=""/>
    <s v=""/>
    <s v=""/>
  </r>
  <r>
    <x v="10"/>
    <x v="0"/>
    <x v="1"/>
    <n v="0"/>
    <s v="Travel_Rarely"/>
    <n v="809"/>
    <x v="1"/>
    <n v="16"/>
    <n v="3"/>
    <s v="Medical"/>
    <n v="1"/>
    <x v="10"/>
    <n v="1"/>
    <x v="3"/>
    <x v="1"/>
    <n v="84"/>
    <n v="4"/>
    <n v="1"/>
    <x v="2"/>
    <n v="2"/>
    <x v="1"/>
    <s v="Married"/>
    <x v="10"/>
    <x v="1"/>
    <n v="16479"/>
    <n v="0"/>
    <s v="Y"/>
    <x v="1"/>
    <n v="13"/>
    <x v="0"/>
    <x v="0"/>
    <n v="3"/>
    <n v="80"/>
    <n v="1"/>
    <n v="6"/>
    <n v="5"/>
    <n v="3"/>
    <x v="8"/>
    <n v="4"/>
    <n v="0"/>
    <n v="3"/>
    <n v="3"/>
    <x v="2"/>
    <s v=""/>
    <s v=""/>
    <s v=""/>
  </r>
  <r>
    <x v="11"/>
    <x v="2"/>
    <x v="1"/>
    <n v="0"/>
    <s v="Travel_Rarely"/>
    <n v="153"/>
    <x v="1"/>
    <n v="15"/>
    <n v="2"/>
    <s v="Life Sciences"/>
    <n v="1"/>
    <x v="11"/>
    <n v="4"/>
    <x v="2"/>
    <x v="0"/>
    <n v="49"/>
    <n v="2"/>
    <n v="2"/>
    <x v="2"/>
    <n v="3"/>
    <x v="2"/>
    <s v="Single"/>
    <x v="11"/>
    <x v="0"/>
    <n v="12682"/>
    <n v="0"/>
    <s v="Y"/>
    <x v="0"/>
    <n v="12"/>
    <x v="0"/>
    <x v="0"/>
    <n v="4"/>
    <n v="80"/>
    <n v="0"/>
    <n v="10"/>
    <n v="3"/>
    <n v="3"/>
    <x v="7"/>
    <n v="5"/>
    <n v="0"/>
    <n v="8"/>
    <n v="5"/>
    <x v="2"/>
    <s v=""/>
    <s v=""/>
    <s v=""/>
  </r>
  <r>
    <x v="12"/>
    <x v="2"/>
    <x v="1"/>
    <n v="0"/>
    <s v="Travel_Rarely"/>
    <n v="670"/>
    <x v="1"/>
    <n v="26"/>
    <n v="1"/>
    <s v="Life Sciences"/>
    <n v="1"/>
    <x v="12"/>
    <n v="1"/>
    <x v="3"/>
    <x v="1"/>
    <n v="31"/>
    <n v="3"/>
    <n v="1"/>
    <x v="1"/>
    <n v="3"/>
    <x v="2"/>
    <s v="Divorced"/>
    <x v="12"/>
    <x v="1"/>
    <n v="15170"/>
    <n v="1"/>
    <s v="Y"/>
    <x v="1"/>
    <n v="17"/>
    <x v="2"/>
    <x v="0"/>
    <n v="4"/>
    <n v="80"/>
    <n v="1"/>
    <n v="5"/>
    <n v="1"/>
    <n v="2"/>
    <x v="8"/>
    <n v="2"/>
    <n v="4"/>
    <n v="3"/>
    <n v="3"/>
    <x v="2"/>
    <s v=""/>
    <s v=""/>
    <s v=""/>
  </r>
  <r>
    <x v="13"/>
    <x v="2"/>
    <x v="1"/>
    <n v="0"/>
    <s v="Travel_Rarely"/>
    <n v="1346"/>
    <x v="1"/>
    <n v="19"/>
    <n v="2"/>
    <s v="Medical"/>
    <n v="1"/>
    <x v="13"/>
    <n v="2"/>
    <x v="0"/>
    <x v="1"/>
    <n v="93"/>
    <n v="3"/>
    <n v="1"/>
    <x v="2"/>
    <n v="4"/>
    <x v="0"/>
    <s v="Divorced"/>
    <x v="13"/>
    <x v="1"/>
    <n v="8758"/>
    <n v="0"/>
    <s v="Y"/>
    <x v="1"/>
    <n v="11"/>
    <x v="0"/>
    <x v="0"/>
    <n v="3"/>
    <n v="80"/>
    <n v="1"/>
    <n v="3"/>
    <n v="2"/>
    <n v="3"/>
    <x v="4"/>
    <n v="2"/>
    <n v="1"/>
    <n v="2"/>
    <n v="4"/>
    <x v="2"/>
    <s v=""/>
    <s v=""/>
    <s v=""/>
  </r>
  <r>
    <x v="14"/>
    <x v="2"/>
    <x v="0"/>
    <n v="1"/>
    <s v="Travel_Rarely"/>
    <n v="103"/>
    <x v="1"/>
    <n v="24"/>
    <n v="3"/>
    <s v="Life Sciences"/>
    <n v="1"/>
    <x v="14"/>
    <n v="3"/>
    <x v="1"/>
    <x v="1"/>
    <n v="50"/>
    <n v="2"/>
    <n v="1"/>
    <x v="2"/>
    <n v="3"/>
    <x v="2"/>
    <s v="Single"/>
    <x v="14"/>
    <x v="1"/>
    <n v="12947"/>
    <n v="5"/>
    <s v="Y"/>
    <x v="0"/>
    <n v="14"/>
    <x v="0"/>
    <x v="0"/>
    <n v="2"/>
    <n v="80"/>
    <n v="0"/>
    <n v="6"/>
    <n v="4"/>
    <n v="3"/>
    <x v="9"/>
    <n v="2"/>
    <n v="0"/>
    <n v="3"/>
    <s v=""/>
    <x v="0"/>
    <s v=""/>
    <s v=""/>
    <s v=""/>
  </r>
  <r>
    <x v="11"/>
    <x v="2"/>
    <x v="1"/>
    <n v="0"/>
    <s v="Travel_Rarely"/>
    <n v="1389"/>
    <x v="1"/>
    <n v="21"/>
    <n v="4"/>
    <s v="Life Sciences"/>
    <n v="1"/>
    <x v="15"/>
    <n v="2"/>
    <x v="0"/>
    <x v="0"/>
    <n v="51"/>
    <n v="4"/>
    <n v="3"/>
    <x v="3"/>
    <n v="1"/>
    <x v="3"/>
    <s v="Divorced"/>
    <x v="15"/>
    <x v="2"/>
    <n v="10195"/>
    <n v="1"/>
    <s v="Y"/>
    <x v="1"/>
    <n v="11"/>
    <x v="0"/>
    <x v="0"/>
    <n v="3"/>
    <n v="80"/>
    <n v="1"/>
    <n v="10"/>
    <n v="1"/>
    <n v="3"/>
    <x v="1"/>
    <n v="9"/>
    <n v="8"/>
    <n v="8"/>
    <n v="3"/>
    <x v="2"/>
    <s v=""/>
    <s v=""/>
    <s v=""/>
  </r>
  <r>
    <x v="5"/>
    <x v="2"/>
    <x v="1"/>
    <n v="0"/>
    <s v="Travel_Rarely"/>
    <n v="334"/>
    <x v="1"/>
    <n v="5"/>
    <n v="2"/>
    <s v="Life Sciences"/>
    <n v="1"/>
    <x v="16"/>
    <n v="1"/>
    <x v="3"/>
    <x v="1"/>
    <n v="80"/>
    <n v="4"/>
    <n v="1"/>
    <x v="1"/>
    <n v="2"/>
    <x v="1"/>
    <s v="Divorced"/>
    <x v="16"/>
    <x v="1"/>
    <n v="15053"/>
    <n v="0"/>
    <s v="Y"/>
    <x v="0"/>
    <n v="12"/>
    <x v="0"/>
    <x v="0"/>
    <n v="4"/>
    <n v="80"/>
    <n v="2"/>
    <n v="7"/>
    <n v="5"/>
    <n v="2"/>
    <x v="0"/>
    <n v="2"/>
    <n v="0"/>
    <n v="5"/>
    <n v="5"/>
    <x v="2"/>
    <s v=""/>
    <s v=""/>
    <s v=""/>
  </r>
  <r>
    <x v="15"/>
    <x v="4"/>
    <x v="1"/>
    <n v="0"/>
    <s v="Non-Travel"/>
    <n v="1123"/>
    <x v="1"/>
    <n v="16"/>
    <n v="2"/>
    <s v="Medical"/>
    <n v="1"/>
    <x v="17"/>
    <n v="4"/>
    <x v="2"/>
    <x v="1"/>
    <n v="96"/>
    <n v="4"/>
    <n v="1"/>
    <x v="2"/>
    <n v="4"/>
    <x v="0"/>
    <s v="Divorced"/>
    <x v="17"/>
    <x v="1"/>
    <n v="7324"/>
    <n v="1"/>
    <s v="Y"/>
    <x v="0"/>
    <n v="13"/>
    <x v="0"/>
    <x v="0"/>
    <n v="2"/>
    <n v="80"/>
    <n v="2"/>
    <n v="1"/>
    <n v="2"/>
    <n v="2"/>
    <x v="6"/>
    <n v="0"/>
    <n v="0"/>
    <n v="0"/>
    <n v="7"/>
    <x v="3"/>
    <n v="5"/>
    <s v="Top 10"/>
    <n v="69978"/>
  </r>
  <r>
    <x v="16"/>
    <x v="1"/>
    <x v="1"/>
    <n v="0"/>
    <s v="Travel_Rarely"/>
    <n v="1219"/>
    <x v="0"/>
    <n v="2"/>
    <n v="4"/>
    <s v="Life Sciences"/>
    <n v="1"/>
    <x v="18"/>
    <n v="1"/>
    <x v="3"/>
    <x v="0"/>
    <n v="78"/>
    <n v="2"/>
    <n v="4"/>
    <x v="5"/>
    <n v="4"/>
    <x v="0"/>
    <s v="Married"/>
    <x v="18"/>
    <x v="3"/>
    <n v="22021"/>
    <n v="2"/>
    <s v="Y"/>
    <x v="1"/>
    <n v="16"/>
    <x v="2"/>
    <x v="0"/>
    <n v="3"/>
    <n v="80"/>
    <n v="0"/>
    <n v="31"/>
    <n v="3"/>
    <n v="3"/>
    <x v="10"/>
    <n v="8"/>
    <n v="3"/>
    <n v="7"/>
    <n v="0"/>
    <x v="1"/>
    <s v=""/>
    <s v=""/>
    <s v=""/>
  </r>
  <r>
    <x v="8"/>
    <x v="0"/>
    <x v="1"/>
    <n v="0"/>
    <s v="Travel_Rarely"/>
    <n v="371"/>
    <x v="1"/>
    <n v="2"/>
    <n v="3"/>
    <s v="Life Sciences"/>
    <n v="1"/>
    <x v="19"/>
    <n v="4"/>
    <x v="2"/>
    <x v="1"/>
    <n v="45"/>
    <n v="3"/>
    <n v="1"/>
    <x v="1"/>
    <n v="4"/>
    <x v="0"/>
    <s v="Single"/>
    <x v="19"/>
    <x v="1"/>
    <n v="4306"/>
    <n v="5"/>
    <s v="Y"/>
    <x v="0"/>
    <n v="11"/>
    <x v="0"/>
    <x v="0"/>
    <n v="3"/>
    <n v="80"/>
    <n v="0"/>
    <n v="6"/>
    <n v="3"/>
    <n v="3"/>
    <x v="11"/>
    <n v="2"/>
    <n v="1"/>
    <n v="2"/>
    <n v="4"/>
    <x v="2"/>
    <s v=""/>
    <s v=""/>
    <s v=""/>
  </r>
  <r>
    <x v="17"/>
    <x v="4"/>
    <x v="1"/>
    <n v="0"/>
    <s v="Non-Travel"/>
    <n v="673"/>
    <x v="1"/>
    <n v="11"/>
    <n v="2"/>
    <s v="Other"/>
    <n v="1"/>
    <x v="20"/>
    <n v="1"/>
    <x v="3"/>
    <x v="0"/>
    <n v="96"/>
    <n v="4"/>
    <n v="2"/>
    <x v="3"/>
    <n v="3"/>
    <x v="2"/>
    <s v="Divorced"/>
    <x v="20"/>
    <x v="0"/>
    <n v="8232"/>
    <n v="0"/>
    <s v="Y"/>
    <x v="1"/>
    <n v="18"/>
    <x v="2"/>
    <x v="0"/>
    <n v="4"/>
    <n v="80"/>
    <n v="1"/>
    <n v="5"/>
    <n v="5"/>
    <n v="2"/>
    <x v="9"/>
    <n v="2"/>
    <n v="1"/>
    <n v="3"/>
    <n v="3"/>
    <x v="2"/>
    <s v=""/>
    <s v=""/>
    <s v=""/>
  </r>
  <r>
    <x v="9"/>
    <x v="0"/>
    <x v="0"/>
    <n v="1"/>
    <s v="Travel_Rarely"/>
    <n v="1218"/>
    <x v="0"/>
    <n v="9"/>
    <n v="4"/>
    <s v="Life Sciences"/>
    <n v="1"/>
    <x v="21"/>
    <n v="3"/>
    <x v="1"/>
    <x v="1"/>
    <n v="82"/>
    <n v="2"/>
    <n v="1"/>
    <x v="6"/>
    <n v="1"/>
    <x v="3"/>
    <s v="Single"/>
    <x v="21"/>
    <x v="1"/>
    <n v="6986"/>
    <n v="7"/>
    <s v="Y"/>
    <x v="1"/>
    <n v="23"/>
    <x v="1"/>
    <x v="1"/>
    <n v="2"/>
    <n v="80"/>
    <n v="0"/>
    <n v="10"/>
    <n v="4"/>
    <n v="3"/>
    <x v="8"/>
    <n v="3"/>
    <n v="0"/>
    <n v="3"/>
    <s v=""/>
    <x v="0"/>
    <s v=""/>
    <s v=""/>
    <s v=""/>
  </r>
  <r>
    <x v="13"/>
    <x v="2"/>
    <x v="1"/>
    <n v="0"/>
    <s v="Travel_Rarely"/>
    <n v="419"/>
    <x v="1"/>
    <n v="7"/>
    <n v="4"/>
    <s v="Life Sciences"/>
    <n v="1"/>
    <x v="22"/>
    <n v="1"/>
    <x v="3"/>
    <x v="0"/>
    <n v="53"/>
    <n v="3"/>
    <n v="3"/>
    <x v="7"/>
    <n v="2"/>
    <x v="1"/>
    <s v="Single"/>
    <x v="22"/>
    <x v="2"/>
    <n v="21293"/>
    <n v="0"/>
    <s v="Y"/>
    <x v="1"/>
    <n v="11"/>
    <x v="0"/>
    <x v="0"/>
    <n v="3"/>
    <n v="80"/>
    <n v="0"/>
    <n v="13"/>
    <n v="4"/>
    <n v="3"/>
    <x v="12"/>
    <n v="6"/>
    <n v="2"/>
    <n v="11"/>
    <n v="1"/>
    <x v="1"/>
    <s v=""/>
    <s v=""/>
    <s v=""/>
  </r>
  <r>
    <x v="18"/>
    <x v="4"/>
    <x v="1"/>
    <n v="0"/>
    <s v="Travel_Rarely"/>
    <n v="391"/>
    <x v="1"/>
    <n v="15"/>
    <n v="2"/>
    <s v="Life Sciences"/>
    <n v="1"/>
    <x v="23"/>
    <n v="3"/>
    <x v="1"/>
    <x v="1"/>
    <n v="96"/>
    <n v="3"/>
    <n v="1"/>
    <x v="1"/>
    <n v="4"/>
    <x v="0"/>
    <s v="Single"/>
    <x v="23"/>
    <x v="1"/>
    <n v="19281"/>
    <n v="1"/>
    <s v="Y"/>
    <x v="1"/>
    <n v="14"/>
    <x v="0"/>
    <x v="0"/>
    <n v="4"/>
    <n v="80"/>
    <n v="0"/>
    <n v="0"/>
    <n v="6"/>
    <n v="3"/>
    <x v="2"/>
    <n v="0"/>
    <n v="0"/>
    <n v="0"/>
    <n v="4"/>
    <x v="2"/>
    <s v=""/>
    <s v=""/>
    <s v=""/>
  </r>
  <r>
    <x v="13"/>
    <x v="2"/>
    <x v="0"/>
    <n v="1"/>
    <s v="Travel_Rarely"/>
    <n v="699"/>
    <x v="1"/>
    <n v="6"/>
    <n v="1"/>
    <s v="Medical"/>
    <n v="1"/>
    <x v="24"/>
    <n v="2"/>
    <x v="0"/>
    <x v="1"/>
    <n v="83"/>
    <n v="3"/>
    <n v="1"/>
    <x v="1"/>
    <n v="1"/>
    <x v="3"/>
    <s v="Single"/>
    <x v="24"/>
    <x v="1"/>
    <n v="17102"/>
    <n v="2"/>
    <s v="Y"/>
    <x v="1"/>
    <n v="11"/>
    <x v="0"/>
    <x v="0"/>
    <n v="3"/>
    <n v="80"/>
    <n v="0"/>
    <n v="8"/>
    <n v="2"/>
    <n v="3"/>
    <x v="9"/>
    <n v="2"/>
    <n v="1"/>
    <n v="3"/>
    <s v=""/>
    <x v="0"/>
    <s v=""/>
    <s v=""/>
    <s v=""/>
  </r>
  <r>
    <x v="16"/>
    <x v="1"/>
    <x v="1"/>
    <n v="0"/>
    <s v="Travel_Rarely"/>
    <n v="1282"/>
    <x v="1"/>
    <n v="5"/>
    <n v="3"/>
    <s v="Other"/>
    <n v="1"/>
    <x v="25"/>
    <n v="3"/>
    <x v="1"/>
    <x v="0"/>
    <n v="58"/>
    <n v="3"/>
    <n v="5"/>
    <x v="5"/>
    <n v="3"/>
    <x v="2"/>
    <s v="Divorced"/>
    <x v="25"/>
    <x v="4"/>
    <n v="10735"/>
    <n v="4"/>
    <s v="Y"/>
    <x v="1"/>
    <n v="11"/>
    <x v="0"/>
    <x v="0"/>
    <n v="4"/>
    <n v="80"/>
    <n v="1"/>
    <n v="26"/>
    <n v="3"/>
    <n v="2"/>
    <x v="13"/>
    <n v="13"/>
    <n v="4"/>
    <n v="8"/>
    <n v="0"/>
    <x v="1"/>
    <s v=""/>
    <s v=""/>
    <s v=""/>
  </r>
  <r>
    <x v="5"/>
    <x v="2"/>
    <x v="0"/>
    <n v="1"/>
    <s v="Travel_Frequently"/>
    <n v="1125"/>
    <x v="1"/>
    <n v="16"/>
    <n v="1"/>
    <s v="Life Sciences"/>
    <n v="1"/>
    <x v="26"/>
    <n v="2"/>
    <x v="0"/>
    <x v="0"/>
    <n v="72"/>
    <n v="1"/>
    <n v="1"/>
    <x v="1"/>
    <n v="1"/>
    <x v="3"/>
    <s v="Single"/>
    <x v="26"/>
    <x v="1"/>
    <n v="4681"/>
    <n v="1"/>
    <s v="Y"/>
    <x v="0"/>
    <n v="22"/>
    <x v="1"/>
    <x v="1"/>
    <n v="2"/>
    <n v="80"/>
    <n v="0"/>
    <n v="10"/>
    <n v="5"/>
    <n v="3"/>
    <x v="1"/>
    <n v="2"/>
    <n v="6"/>
    <n v="7"/>
    <s v=""/>
    <x v="0"/>
    <s v=""/>
    <s v=""/>
    <s v=""/>
  </r>
  <r>
    <x v="19"/>
    <x v="0"/>
    <x v="1"/>
    <n v="0"/>
    <s v="Travel_Rarely"/>
    <n v="691"/>
    <x v="0"/>
    <n v="8"/>
    <n v="4"/>
    <s v="Marketing"/>
    <n v="1"/>
    <x v="27"/>
    <n v="3"/>
    <x v="1"/>
    <x v="1"/>
    <n v="48"/>
    <n v="3"/>
    <n v="2"/>
    <x v="0"/>
    <n v="2"/>
    <x v="1"/>
    <s v="Married"/>
    <x v="27"/>
    <x v="0"/>
    <n v="21173"/>
    <n v="0"/>
    <s v="Y"/>
    <x v="1"/>
    <n v="11"/>
    <x v="0"/>
    <x v="0"/>
    <n v="4"/>
    <n v="80"/>
    <n v="1"/>
    <n v="10"/>
    <n v="2"/>
    <n v="3"/>
    <x v="7"/>
    <n v="7"/>
    <n v="4"/>
    <n v="2"/>
    <n v="1"/>
    <x v="1"/>
    <s v=""/>
    <s v=""/>
    <s v=""/>
  </r>
  <r>
    <x v="20"/>
    <x v="0"/>
    <x v="1"/>
    <n v="0"/>
    <s v="Travel_Rarely"/>
    <n v="477"/>
    <x v="1"/>
    <n v="7"/>
    <n v="4"/>
    <s v="Medical"/>
    <n v="1"/>
    <x v="28"/>
    <n v="1"/>
    <x v="3"/>
    <x v="0"/>
    <n v="42"/>
    <n v="2"/>
    <n v="3"/>
    <x v="4"/>
    <n v="4"/>
    <x v="0"/>
    <s v="Married"/>
    <x v="28"/>
    <x v="2"/>
    <n v="2094"/>
    <n v="3"/>
    <s v="Y"/>
    <x v="1"/>
    <n v="14"/>
    <x v="0"/>
    <x v="0"/>
    <n v="4"/>
    <n v="80"/>
    <n v="1"/>
    <n v="24"/>
    <n v="4"/>
    <n v="3"/>
    <x v="14"/>
    <n v="6"/>
    <n v="5"/>
    <n v="17"/>
    <n v="0"/>
    <x v="1"/>
    <s v=""/>
    <s v=""/>
    <s v=""/>
  </r>
  <r>
    <x v="21"/>
    <x v="1"/>
    <x v="1"/>
    <n v="0"/>
    <s v="Travel_Rarely"/>
    <n v="705"/>
    <x v="0"/>
    <n v="2"/>
    <n v="4"/>
    <s v="Marketing"/>
    <n v="1"/>
    <x v="29"/>
    <n v="2"/>
    <x v="0"/>
    <x v="0"/>
    <n v="83"/>
    <n v="3"/>
    <n v="5"/>
    <x v="5"/>
    <n v="1"/>
    <x v="3"/>
    <s v="Single"/>
    <x v="29"/>
    <x v="4"/>
    <n v="22822"/>
    <n v="3"/>
    <s v="Y"/>
    <x v="1"/>
    <n v="12"/>
    <x v="0"/>
    <x v="0"/>
    <n v="4"/>
    <n v="80"/>
    <n v="0"/>
    <n v="22"/>
    <n v="2"/>
    <n v="2"/>
    <x v="4"/>
    <n v="2"/>
    <n v="2"/>
    <n v="1"/>
    <n v="2"/>
    <x v="1"/>
    <s v=""/>
    <s v=""/>
    <s v=""/>
  </r>
  <r>
    <x v="3"/>
    <x v="2"/>
    <x v="1"/>
    <n v="0"/>
    <s v="Travel_Rarely"/>
    <n v="924"/>
    <x v="1"/>
    <n v="2"/>
    <n v="3"/>
    <s v="Medical"/>
    <n v="1"/>
    <x v="30"/>
    <n v="3"/>
    <x v="1"/>
    <x v="1"/>
    <n v="78"/>
    <n v="3"/>
    <n v="1"/>
    <x v="2"/>
    <n v="4"/>
    <x v="0"/>
    <s v="Single"/>
    <x v="30"/>
    <x v="1"/>
    <n v="6670"/>
    <n v="4"/>
    <s v="Y"/>
    <x v="1"/>
    <n v="11"/>
    <x v="0"/>
    <x v="0"/>
    <n v="4"/>
    <n v="80"/>
    <n v="0"/>
    <n v="7"/>
    <n v="3"/>
    <n v="3"/>
    <x v="6"/>
    <n v="1"/>
    <n v="0"/>
    <n v="0"/>
    <n v="4"/>
    <x v="2"/>
    <s v=""/>
    <s v=""/>
    <s v=""/>
  </r>
  <r>
    <x v="20"/>
    <x v="0"/>
    <x v="1"/>
    <n v="0"/>
    <s v="Travel_Rarely"/>
    <n v="1459"/>
    <x v="1"/>
    <n v="10"/>
    <n v="4"/>
    <s v="Other"/>
    <n v="1"/>
    <x v="31"/>
    <n v="4"/>
    <x v="2"/>
    <x v="1"/>
    <n v="41"/>
    <n v="3"/>
    <n v="2"/>
    <x v="4"/>
    <n v="4"/>
    <x v="0"/>
    <s v="Married"/>
    <x v="31"/>
    <x v="0"/>
    <n v="19121"/>
    <n v="2"/>
    <s v="Y"/>
    <x v="0"/>
    <n v="13"/>
    <x v="0"/>
    <x v="0"/>
    <n v="4"/>
    <n v="80"/>
    <n v="0"/>
    <n v="9"/>
    <n v="5"/>
    <n v="4"/>
    <x v="9"/>
    <n v="2"/>
    <n v="1"/>
    <n v="3"/>
    <n v="3"/>
    <x v="2"/>
    <s v=""/>
    <s v=""/>
    <s v=""/>
  </r>
  <r>
    <x v="7"/>
    <x v="2"/>
    <x v="1"/>
    <n v="0"/>
    <s v="Travel_Rarely"/>
    <n v="125"/>
    <x v="1"/>
    <n v="9"/>
    <n v="2"/>
    <s v="Medical"/>
    <n v="1"/>
    <x v="32"/>
    <n v="4"/>
    <x v="2"/>
    <x v="1"/>
    <n v="83"/>
    <n v="2"/>
    <n v="1"/>
    <x v="2"/>
    <n v="3"/>
    <x v="2"/>
    <s v="Single"/>
    <x v="32"/>
    <x v="1"/>
    <n v="16117"/>
    <n v="1"/>
    <s v="Y"/>
    <x v="1"/>
    <n v="13"/>
    <x v="0"/>
    <x v="0"/>
    <n v="1"/>
    <n v="80"/>
    <n v="0"/>
    <n v="10"/>
    <n v="5"/>
    <n v="3"/>
    <x v="1"/>
    <n v="0"/>
    <n v="1"/>
    <n v="8"/>
    <n v="4"/>
    <x v="2"/>
    <s v=""/>
    <s v=""/>
    <s v=""/>
  </r>
  <r>
    <x v="22"/>
    <x v="0"/>
    <x v="0"/>
    <n v="1"/>
    <s v="Travel_Rarely"/>
    <n v="895"/>
    <x v="0"/>
    <n v="5"/>
    <n v="3"/>
    <s v="Technical Degree"/>
    <n v="1"/>
    <x v="33"/>
    <n v="4"/>
    <x v="2"/>
    <x v="1"/>
    <n v="56"/>
    <n v="3"/>
    <n v="2"/>
    <x v="6"/>
    <n v="4"/>
    <x v="0"/>
    <s v="Married"/>
    <x v="33"/>
    <x v="1"/>
    <n v="3335"/>
    <n v="3"/>
    <s v="Y"/>
    <x v="1"/>
    <n v="14"/>
    <x v="0"/>
    <x v="0"/>
    <n v="3"/>
    <n v="80"/>
    <n v="1"/>
    <n v="19"/>
    <n v="6"/>
    <n v="4"/>
    <x v="6"/>
    <n v="0"/>
    <n v="0"/>
    <n v="0"/>
    <s v=""/>
    <x v="0"/>
    <s v=""/>
    <s v=""/>
    <s v=""/>
  </r>
  <r>
    <x v="17"/>
    <x v="4"/>
    <x v="0"/>
    <n v="1"/>
    <s v="Travel_Rarely"/>
    <n v="813"/>
    <x v="1"/>
    <n v="1"/>
    <n v="3"/>
    <s v="Medical"/>
    <n v="1"/>
    <x v="34"/>
    <n v="2"/>
    <x v="0"/>
    <x v="1"/>
    <n v="61"/>
    <n v="3"/>
    <n v="1"/>
    <x v="1"/>
    <n v="4"/>
    <x v="0"/>
    <s v="Married"/>
    <x v="34"/>
    <x v="1"/>
    <n v="3020"/>
    <n v="2"/>
    <s v="Y"/>
    <x v="0"/>
    <n v="16"/>
    <x v="2"/>
    <x v="0"/>
    <n v="1"/>
    <n v="80"/>
    <n v="1"/>
    <n v="6"/>
    <n v="2"/>
    <n v="2"/>
    <x v="4"/>
    <n v="0"/>
    <n v="2"/>
    <n v="0"/>
    <s v=""/>
    <x v="0"/>
    <s v=""/>
    <s v=""/>
    <s v=""/>
  </r>
  <r>
    <x v="23"/>
    <x v="0"/>
    <x v="1"/>
    <n v="0"/>
    <s v="Travel_Rarely"/>
    <n v="1273"/>
    <x v="1"/>
    <n v="2"/>
    <n v="2"/>
    <s v="Medical"/>
    <n v="1"/>
    <x v="35"/>
    <n v="4"/>
    <x v="2"/>
    <x v="0"/>
    <n v="72"/>
    <n v="4"/>
    <n v="1"/>
    <x v="1"/>
    <n v="3"/>
    <x v="2"/>
    <s v="Divorced"/>
    <x v="35"/>
    <x v="1"/>
    <n v="21923"/>
    <n v="1"/>
    <s v="Y"/>
    <x v="1"/>
    <n v="12"/>
    <x v="0"/>
    <x v="0"/>
    <n v="4"/>
    <n v="80"/>
    <n v="2"/>
    <n v="6"/>
    <n v="3"/>
    <n v="2"/>
    <x v="8"/>
    <n v="3"/>
    <n v="1"/>
    <n v="4"/>
    <n v="2"/>
    <x v="1"/>
    <s v=""/>
    <s v=""/>
    <s v=""/>
  </r>
  <r>
    <x v="24"/>
    <x v="1"/>
    <x v="0"/>
    <n v="1"/>
    <s v="Travel_Rarely"/>
    <n v="869"/>
    <x v="0"/>
    <n v="3"/>
    <n v="2"/>
    <s v="Marketing"/>
    <n v="1"/>
    <x v="36"/>
    <n v="1"/>
    <x v="3"/>
    <x v="1"/>
    <n v="86"/>
    <n v="2"/>
    <n v="1"/>
    <x v="6"/>
    <n v="3"/>
    <x v="2"/>
    <s v="Married"/>
    <x v="36"/>
    <x v="1"/>
    <n v="3810"/>
    <n v="1"/>
    <s v="Y"/>
    <x v="0"/>
    <n v="14"/>
    <x v="0"/>
    <x v="0"/>
    <n v="3"/>
    <n v="80"/>
    <n v="0"/>
    <n v="3"/>
    <n v="2"/>
    <n v="3"/>
    <x v="11"/>
    <n v="2"/>
    <n v="0"/>
    <n v="2"/>
    <s v=""/>
    <x v="0"/>
    <s v=""/>
    <s v=""/>
    <s v=""/>
  </r>
  <r>
    <x v="10"/>
    <x v="0"/>
    <x v="1"/>
    <n v="0"/>
    <s v="Travel_Rarely"/>
    <n v="890"/>
    <x v="0"/>
    <n v="2"/>
    <n v="3"/>
    <s v="Marketing"/>
    <n v="1"/>
    <x v="37"/>
    <n v="4"/>
    <x v="2"/>
    <x v="0"/>
    <n v="97"/>
    <n v="3"/>
    <n v="1"/>
    <x v="6"/>
    <n v="4"/>
    <x v="0"/>
    <s v="Married"/>
    <x v="37"/>
    <x v="1"/>
    <n v="9687"/>
    <n v="1"/>
    <s v="Y"/>
    <x v="1"/>
    <n v="13"/>
    <x v="0"/>
    <x v="0"/>
    <n v="1"/>
    <n v="80"/>
    <n v="0"/>
    <n v="2"/>
    <n v="3"/>
    <n v="3"/>
    <x v="4"/>
    <n v="2"/>
    <n v="2"/>
    <n v="2"/>
    <n v="4"/>
    <x v="2"/>
    <s v=""/>
    <s v=""/>
    <s v=""/>
  </r>
  <r>
    <x v="9"/>
    <x v="0"/>
    <x v="1"/>
    <n v="0"/>
    <s v="Travel_Rarely"/>
    <n v="852"/>
    <x v="1"/>
    <n v="5"/>
    <n v="4"/>
    <s v="Life Sciences"/>
    <n v="1"/>
    <x v="38"/>
    <n v="2"/>
    <x v="0"/>
    <x v="0"/>
    <n v="82"/>
    <n v="2"/>
    <n v="1"/>
    <x v="1"/>
    <n v="1"/>
    <x v="3"/>
    <s v="Married"/>
    <x v="38"/>
    <x v="1"/>
    <n v="13072"/>
    <n v="9"/>
    <s v="Y"/>
    <x v="0"/>
    <n v="14"/>
    <x v="0"/>
    <x v="0"/>
    <n v="4"/>
    <n v="80"/>
    <n v="1"/>
    <n v="6"/>
    <n v="3"/>
    <n v="4"/>
    <x v="6"/>
    <n v="1"/>
    <n v="0"/>
    <n v="0"/>
    <n v="6"/>
    <x v="3"/>
    <n v="21"/>
    <s v=""/>
    <n v="59949"/>
  </r>
  <r>
    <x v="3"/>
    <x v="2"/>
    <x v="1"/>
    <n v="0"/>
    <s v="Travel_Frequently"/>
    <n v="1141"/>
    <x v="0"/>
    <n v="1"/>
    <n v="3"/>
    <s v="Life Sciences"/>
    <n v="1"/>
    <x v="39"/>
    <n v="3"/>
    <x v="1"/>
    <x v="0"/>
    <n v="42"/>
    <n v="4"/>
    <n v="2"/>
    <x v="0"/>
    <n v="1"/>
    <x v="3"/>
    <s v="Married"/>
    <x v="39"/>
    <x v="0"/>
    <n v="3193"/>
    <n v="2"/>
    <s v="Y"/>
    <x v="1"/>
    <n v="19"/>
    <x v="2"/>
    <x v="0"/>
    <n v="1"/>
    <n v="80"/>
    <n v="2"/>
    <n v="10"/>
    <n v="3"/>
    <n v="3"/>
    <x v="8"/>
    <n v="3"/>
    <n v="1"/>
    <n v="3"/>
    <n v="4"/>
    <x v="2"/>
    <s v=""/>
    <s v=""/>
    <s v=""/>
  </r>
  <r>
    <x v="10"/>
    <x v="0"/>
    <x v="1"/>
    <n v="0"/>
    <s v="Travel_Rarely"/>
    <n v="464"/>
    <x v="1"/>
    <n v="4"/>
    <n v="2"/>
    <s v="Other"/>
    <n v="1"/>
    <x v="40"/>
    <n v="3"/>
    <x v="1"/>
    <x v="1"/>
    <n v="75"/>
    <n v="3"/>
    <n v="1"/>
    <x v="2"/>
    <n v="4"/>
    <x v="0"/>
    <s v="Divorced"/>
    <x v="40"/>
    <x v="1"/>
    <n v="10910"/>
    <n v="1"/>
    <s v="Y"/>
    <x v="1"/>
    <n v="12"/>
    <x v="0"/>
    <x v="0"/>
    <n v="3"/>
    <n v="80"/>
    <n v="1"/>
    <n v="1"/>
    <n v="3"/>
    <n v="3"/>
    <x v="6"/>
    <n v="0"/>
    <n v="0"/>
    <n v="0"/>
    <n v="3"/>
    <x v="2"/>
    <s v=""/>
    <s v=""/>
    <s v=""/>
  </r>
  <r>
    <x v="4"/>
    <x v="2"/>
    <x v="1"/>
    <n v="0"/>
    <s v="Travel_Rarely"/>
    <n v="1240"/>
    <x v="1"/>
    <n v="2"/>
    <n v="4"/>
    <s v="Life Sciences"/>
    <n v="1"/>
    <x v="41"/>
    <n v="4"/>
    <x v="2"/>
    <x v="0"/>
    <n v="33"/>
    <n v="3"/>
    <n v="1"/>
    <x v="2"/>
    <n v="1"/>
    <x v="3"/>
    <s v="Divorced"/>
    <x v="41"/>
    <x v="1"/>
    <n v="19715"/>
    <n v="1"/>
    <s v="Y"/>
    <x v="1"/>
    <n v="13"/>
    <x v="0"/>
    <x v="0"/>
    <n v="4"/>
    <n v="80"/>
    <n v="1"/>
    <n v="1"/>
    <n v="6"/>
    <n v="3"/>
    <x v="6"/>
    <n v="0"/>
    <n v="0"/>
    <n v="0"/>
    <n v="6"/>
    <x v="3"/>
    <n v="22"/>
    <s v=""/>
    <n v="59946"/>
  </r>
  <r>
    <x v="25"/>
    <x v="2"/>
    <x v="0"/>
    <n v="1"/>
    <s v="Travel_Rarely"/>
    <n v="1357"/>
    <x v="1"/>
    <n v="25"/>
    <n v="3"/>
    <s v="Life Sciences"/>
    <n v="1"/>
    <x v="42"/>
    <n v="1"/>
    <x v="3"/>
    <x v="1"/>
    <n v="48"/>
    <n v="1"/>
    <n v="1"/>
    <x v="2"/>
    <n v="3"/>
    <x v="2"/>
    <s v="Single"/>
    <x v="34"/>
    <x v="1"/>
    <n v="10558"/>
    <n v="1"/>
    <s v="Y"/>
    <x v="1"/>
    <n v="12"/>
    <x v="0"/>
    <x v="0"/>
    <n v="3"/>
    <n v="80"/>
    <n v="0"/>
    <n v="1"/>
    <n v="2"/>
    <n v="2"/>
    <x v="6"/>
    <n v="0"/>
    <n v="0"/>
    <n v="1"/>
    <s v=""/>
    <x v="0"/>
    <s v=""/>
    <s v=""/>
    <s v=""/>
  </r>
  <r>
    <x v="4"/>
    <x v="2"/>
    <x v="1"/>
    <n v="0"/>
    <s v="Travel_Frequently"/>
    <n v="994"/>
    <x v="0"/>
    <n v="8"/>
    <n v="3"/>
    <s v="Life Sciences"/>
    <n v="1"/>
    <x v="43"/>
    <n v="4"/>
    <x v="2"/>
    <x v="1"/>
    <n v="37"/>
    <n v="3"/>
    <n v="3"/>
    <x v="0"/>
    <n v="3"/>
    <x v="2"/>
    <s v="Single"/>
    <x v="42"/>
    <x v="2"/>
    <n v="2975"/>
    <n v="1"/>
    <s v="Y"/>
    <x v="1"/>
    <n v="15"/>
    <x v="0"/>
    <x v="0"/>
    <n v="4"/>
    <n v="80"/>
    <n v="0"/>
    <n v="9"/>
    <n v="0"/>
    <n v="3"/>
    <x v="7"/>
    <n v="8"/>
    <n v="1"/>
    <n v="7"/>
    <n v="1"/>
    <x v="1"/>
    <s v=""/>
    <s v=""/>
    <s v=""/>
  </r>
  <r>
    <x v="7"/>
    <x v="2"/>
    <x v="1"/>
    <n v="0"/>
    <s v="Travel_Frequently"/>
    <n v="721"/>
    <x v="1"/>
    <n v="1"/>
    <n v="2"/>
    <s v="Medical"/>
    <n v="1"/>
    <x v="44"/>
    <n v="3"/>
    <x v="1"/>
    <x v="0"/>
    <n v="58"/>
    <n v="3"/>
    <n v="2"/>
    <x v="2"/>
    <n v="4"/>
    <x v="0"/>
    <s v="Single"/>
    <x v="20"/>
    <x v="0"/>
    <n v="10781"/>
    <n v="1"/>
    <s v="Y"/>
    <x v="1"/>
    <n v="23"/>
    <x v="1"/>
    <x v="1"/>
    <n v="4"/>
    <n v="80"/>
    <n v="0"/>
    <n v="12"/>
    <n v="2"/>
    <n v="3"/>
    <x v="12"/>
    <n v="8"/>
    <n v="3"/>
    <n v="7"/>
    <n v="3"/>
    <x v="2"/>
    <s v=""/>
    <s v=""/>
    <s v=""/>
  </r>
  <r>
    <x v="0"/>
    <x v="0"/>
    <x v="0"/>
    <n v="1"/>
    <s v="Travel_Rarely"/>
    <n v="1360"/>
    <x v="1"/>
    <n v="12"/>
    <n v="3"/>
    <s v="Technical Degree"/>
    <n v="1"/>
    <x v="45"/>
    <n v="2"/>
    <x v="0"/>
    <x v="0"/>
    <n v="49"/>
    <n v="3"/>
    <n v="5"/>
    <x v="7"/>
    <n v="3"/>
    <x v="2"/>
    <s v="Married"/>
    <x v="43"/>
    <x v="4"/>
    <n v="16280"/>
    <n v="1"/>
    <s v="Y"/>
    <x v="1"/>
    <n v="12"/>
    <x v="0"/>
    <x v="0"/>
    <n v="4"/>
    <n v="80"/>
    <n v="0"/>
    <n v="23"/>
    <n v="0"/>
    <n v="3"/>
    <x v="14"/>
    <n v="15"/>
    <n v="15"/>
    <n v="8"/>
    <s v=""/>
    <x v="0"/>
    <s v=""/>
    <s v=""/>
    <s v=""/>
  </r>
  <r>
    <x v="13"/>
    <x v="2"/>
    <x v="1"/>
    <n v="0"/>
    <s v="Non-Travel"/>
    <n v="1065"/>
    <x v="0"/>
    <n v="23"/>
    <n v="4"/>
    <s v="Marketing"/>
    <n v="1"/>
    <x v="46"/>
    <n v="2"/>
    <x v="0"/>
    <x v="1"/>
    <n v="72"/>
    <n v="3"/>
    <n v="2"/>
    <x v="0"/>
    <n v="3"/>
    <x v="2"/>
    <s v="Single"/>
    <x v="44"/>
    <x v="0"/>
    <n v="10034"/>
    <n v="0"/>
    <s v="Y"/>
    <x v="1"/>
    <n v="20"/>
    <x v="2"/>
    <x v="1"/>
    <n v="3"/>
    <n v="80"/>
    <n v="0"/>
    <n v="10"/>
    <n v="2"/>
    <n v="3"/>
    <x v="7"/>
    <n v="5"/>
    <n v="8"/>
    <n v="7"/>
    <n v="2"/>
    <x v="1"/>
    <s v=""/>
    <s v=""/>
    <s v=""/>
  </r>
  <r>
    <x v="2"/>
    <x v="0"/>
    <x v="1"/>
    <n v="0"/>
    <s v="Travel_Rarely"/>
    <n v="408"/>
    <x v="1"/>
    <n v="19"/>
    <n v="2"/>
    <s v="Life Sciences"/>
    <n v="1"/>
    <x v="47"/>
    <n v="2"/>
    <x v="0"/>
    <x v="1"/>
    <n v="73"/>
    <n v="3"/>
    <n v="1"/>
    <x v="1"/>
    <n v="2"/>
    <x v="1"/>
    <s v="Married"/>
    <x v="45"/>
    <x v="1"/>
    <n v="10227"/>
    <n v="4"/>
    <s v="Y"/>
    <x v="1"/>
    <n v="21"/>
    <x v="1"/>
    <x v="1"/>
    <n v="1"/>
    <n v="80"/>
    <n v="0"/>
    <n v="8"/>
    <n v="1"/>
    <n v="3"/>
    <x v="6"/>
    <n v="0"/>
    <n v="0"/>
    <n v="0"/>
    <n v="2"/>
    <x v="1"/>
    <s v=""/>
    <s v=""/>
    <s v=""/>
  </r>
  <r>
    <x v="21"/>
    <x v="1"/>
    <x v="1"/>
    <n v="0"/>
    <s v="Travel_Frequently"/>
    <n v="1211"/>
    <x v="0"/>
    <n v="5"/>
    <n v="4"/>
    <s v="Marketing"/>
    <n v="1"/>
    <x v="48"/>
    <n v="1"/>
    <x v="3"/>
    <x v="1"/>
    <n v="98"/>
    <n v="3"/>
    <n v="2"/>
    <x v="0"/>
    <n v="4"/>
    <x v="0"/>
    <s v="Single"/>
    <x v="46"/>
    <x v="0"/>
    <n v="20445"/>
    <n v="4"/>
    <s v="Y"/>
    <x v="0"/>
    <n v="21"/>
    <x v="1"/>
    <x v="1"/>
    <n v="3"/>
    <n v="80"/>
    <n v="0"/>
    <n v="14"/>
    <n v="4"/>
    <n v="3"/>
    <x v="7"/>
    <n v="6"/>
    <n v="0"/>
    <n v="8"/>
    <n v="3"/>
    <x v="2"/>
    <s v=""/>
    <s v=""/>
    <s v=""/>
  </r>
  <r>
    <x v="10"/>
    <x v="0"/>
    <x v="1"/>
    <n v="0"/>
    <s v="Travel_Rarely"/>
    <n v="1229"/>
    <x v="1"/>
    <n v="8"/>
    <n v="1"/>
    <s v="Life Sciences"/>
    <n v="1"/>
    <x v="49"/>
    <n v="4"/>
    <x v="2"/>
    <x v="1"/>
    <n v="36"/>
    <n v="4"/>
    <n v="1"/>
    <x v="2"/>
    <n v="4"/>
    <x v="0"/>
    <s v="Married"/>
    <x v="47"/>
    <x v="1"/>
    <n v="4892"/>
    <n v="1"/>
    <s v="Y"/>
    <x v="1"/>
    <n v="19"/>
    <x v="2"/>
    <x v="0"/>
    <n v="4"/>
    <n v="80"/>
    <n v="0"/>
    <n v="1"/>
    <n v="2"/>
    <n v="3"/>
    <x v="6"/>
    <n v="0"/>
    <n v="0"/>
    <n v="1"/>
    <n v="3"/>
    <x v="2"/>
    <s v=""/>
    <s v=""/>
    <s v=""/>
  </r>
  <r>
    <x v="26"/>
    <x v="1"/>
    <x v="0"/>
    <n v="1"/>
    <s v="Travel_Rarely"/>
    <n v="626"/>
    <x v="1"/>
    <n v="1"/>
    <n v="2"/>
    <s v="Life Sciences"/>
    <n v="1"/>
    <x v="50"/>
    <n v="1"/>
    <x v="3"/>
    <x v="1"/>
    <n v="98"/>
    <n v="2"/>
    <n v="3"/>
    <x v="2"/>
    <n v="3"/>
    <x v="2"/>
    <s v="Single"/>
    <x v="48"/>
    <x v="0"/>
    <n v="19294"/>
    <n v="9"/>
    <s v="Y"/>
    <x v="0"/>
    <n v="13"/>
    <x v="0"/>
    <x v="0"/>
    <n v="4"/>
    <n v="80"/>
    <n v="0"/>
    <n v="23"/>
    <n v="2"/>
    <n v="3"/>
    <x v="6"/>
    <n v="0"/>
    <n v="0"/>
    <n v="0"/>
    <s v=""/>
    <x v="0"/>
    <s v=""/>
    <s v=""/>
    <s v=""/>
  </r>
  <r>
    <x v="14"/>
    <x v="2"/>
    <x v="0"/>
    <n v="1"/>
    <s v="Travel_Rarely"/>
    <n v="1434"/>
    <x v="1"/>
    <n v="5"/>
    <n v="4"/>
    <s v="Technical Degree"/>
    <n v="1"/>
    <x v="51"/>
    <n v="3"/>
    <x v="1"/>
    <x v="1"/>
    <n v="50"/>
    <n v="3"/>
    <n v="1"/>
    <x v="2"/>
    <n v="3"/>
    <x v="2"/>
    <s v="Single"/>
    <x v="49"/>
    <x v="1"/>
    <n v="11179"/>
    <n v="1"/>
    <s v="Y"/>
    <x v="0"/>
    <n v="13"/>
    <x v="0"/>
    <x v="0"/>
    <n v="3"/>
    <n v="80"/>
    <n v="0"/>
    <n v="2"/>
    <n v="3"/>
    <n v="2"/>
    <x v="4"/>
    <n v="2"/>
    <n v="2"/>
    <n v="2"/>
    <s v=""/>
    <x v="0"/>
    <s v=""/>
    <s v=""/>
    <s v=""/>
  </r>
  <r>
    <x v="20"/>
    <x v="0"/>
    <x v="1"/>
    <n v="0"/>
    <s v="Travel_Rarely"/>
    <n v="1488"/>
    <x v="0"/>
    <n v="1"/>
    <n v="5"/>
    <s v="Marketing"/>
    <n v="1"/>
    <x v="52"/>
    <n v="2"/>
    <x v="0"/>
    <x v="0"/>
    <n v="75"/>
    <n v="3"/>
    <n v="2"/>
    <x v="0"/>
    <n v="1"/>
    <x v="3"/>
    <s v="Divorced"/>
    <x v="50"/>
    <x v="0"/>
    <n v="4009"/>
    <n v="5"/>
    <s v="Y"/>
    <x v="0"/>
    <n v="21"/>
    <x v="1"/>
    <x v="1"/>
    <n v="3"/>
    <n v="80"/>
    <n v="1"/>
    <n v="9"/>
    <n v="2"/>
    <n v="2"/>
    <x v="9"/>
    <n v="3"/>
    <n v="1"/>
    <n v="3"/>
    <n v="5"/>
    <x v="2"/>
    <s v=""/>
    <s v=""/>
    <s v=""/>
  </r>
  <r>
    <x v="10"/>
    <x v="0"/>
    <x v="1"/>
    <n v="0"/>
    <s v="Non-Travel"/>
    <n v="1097"/>
    <x v="1"/>
    <n v="11"/>
    <n v="2"/>
    <s v="Medical"/>
    <n v="1"/>
    <x v="53"/>
    <n v="3"/>
    <x v="1"/>
    <x v="1"/>
    <n v="79"/>
    <n v="2"/>
    <n v="3"/>
    <x v="4"/>
    <n v="1"/>
    <x v="3"/>
    <s v="Married"/>
    <x v="51"/>
    <x v="2"/>
    <n v="8302"/>
    <n v="2"/>
    <s v="Y"/>
    <x v="0"/>
    <n v="13"/>
    <x v="0"/>
    <x v="0"/>
    <n v="3"/>
    <n v="80"/>
    <n v="1"/>
    <n v="10"/>
    <n v="3"/>
    <n v="3"/>
    <x v="9"/>
    <n v="0"/>
    <n v="2"/>
    <n v="3"/>
    <n v="4"/>
    <x v="2"/>
    <s v=""/>
    <s v=""/>
    <s v=""/>
  </r>
  <r>
    <x v="25"/>
    <x v="2"/>
    <x v="1"/>
    <n v="0"/>
    <s v="Travel_Rarely"/>
    <n v="1443"/>
    <x v="0"/>
    <n v="23"/>
    <n v="3"/>
    <s v="Marketing"/>
    <n v="1"/>
    <x v="54"/>
    <n v="3"/>
    <x v="1"/>
    <x v="0"/>
    <n v="47"/>
    <n v="2"/>
    <n v="2"/>
    <x v="0"/>
    <n v="4"/>
    <x v="0"/>
    <s v="Married"/>
    <x v="52"/>
    <x v="0"/>
    <n v="21436"/>
    <n v="7"/>
    <s v="Y"/>
    <x v="0"/>
    <n v="19"/>
    <x v="2"/>
    <x v="0"/>
    <n v="3"/>
    <n v="80"/>
    <n v="1"/>
    <n v="5"/>
    <n v="2"/>
    <n v="2"/>
    <x v="4"/>
    <n v="2"/>
    <n v="0"/>
    <n v="0"/>
    <n v="4"/>
    <x v="2"/>
    <s v=""/>
    <s v=""/>
    <s v=""/>
  </r>
  <r>
    <x v="3"/>
    <x v="2"/>
    <x v="1"/>
    <n v="0"/>
    <s v="Travel_Frequently"/>
    <n v="515"/>
    <x v="1"/>
    <n v="1"/>
    <n v="2"/>
    <s v="Life Sciences"/>
    <n v="1"/>
    <x v="55"/>
    <n v="1"/>
    <x v="3"/>
    <x v="0"/>
    <n v="98"/>
    <n v="3"/>
    <n v="3"/>
    <x v="7"/>
    <n v="4"/>
    <x v="0"/>
    <s v="Single"/>
    <x v="53"/>
    <x v="3"/>
    <n v="15146"/>
    <n v="1"/>
    <s v="Y"/>
    <x v="0"/>
    <n v="12"/>
    <x v="0"/>
    <x v="0"/>
    <n v="3"/>
    <n v="80"/>
    <n v="0"/>
    <n v="15"/>
    <n v="1"/>
    <n v="3"/>
    <x v="15"/>
    <n v="14"/>
    <n v="8"/>
    <n v="12"/>
    <n v="3"/>
    <x v="2"/>
    <s v=""/>
    <s v=""/>
    <s v=""/>
  </r>
  <r>
    <x v="10"/>
    <x v="0"/>
    <x v="1"/>
    <n v="0"/>
    <s v="Travel_Frequently"/>
    <n v="853"/>
    <x v="0"/>
    <n v="18"/>
    <n v="5"/>
    <s v="Life Sciences"/>
    <n v="1"/>
    <x v="56"/>
    <n v="2"/>
    <x v="0"/>
    <x v="1"/>
    <n v="71"/>
    <n v="3"/>
    <n v="3"/>
    <x v="0"/>
    <n v="1"/>
    <x v="3"/>
    <s v="Married"/>
    <x v="54"/>
    <x v="2"/>
    <n v="11031"/>
    <n v="1"/>
    <s v="Y"/>
    <x v="1"/>
    <n v="22"/>
    <x v="1"/>
    <x v="1"/>
    <n v="4"/>
    <n v="80"/>
    <n v="1"/>
    <n v="9"/>
    <n v="3"/>
    <n v="2"/>
    <x v="7"/>
    <n v="8"/>
    <n v="1"/>
    <n v="8"/>
    <n v="2"/>
    <x v="1"/>
    <s v=""/>
    <s v=""/>
    <s v=""/>
  </r>
  <r>
    <x v="10"/>
    <x v="0"/>
    <x v="1"/>
    <n v="0"/>
    <s v="Travel_Rarely"/>
    <n v="1142"/>
    <x v="1"/>
    <n v="23"/>
    <n v="4"/>
    <s v="Medical"/>
    <n v="1"/>
    <x v="57"/>
    <n v="3"/>
    <x v="1"/>
    <x v="0"/>
    <n v="30"/>
    <n v="3"/>
    <n v="1"/>
    <x v="2"/>
    <n v="1"/>
    <x v="3"/>
    <s v="Married"/>
    <x v="55"/>
    <x v="0"/>
    <n v="16002"/>
    <n v="3"/>
    <s v="Y"/>
    <x v="0"/>
    <n v="15"/>
    <x v="0"/>
    <x v="0"/>
    <n v="3"/>
    <n v="80"/>
    <n v="1"/>
    <n v="4"/>
    <n v="3"/>
    <n v="3"/>
    <x v="4"/>
    <n v="2"/>
    <n v="2"/>
    <n v="2"/>
    <n v="6"/>
    <x v="3"/>
    <n v="23"/>
    <s v=""/>
    <n v="59925"/>
  </r>
  <r>
    <x v="12"/>
    <x v="2"/>
    <x v="1"/>
    <n v="0"/>
    <s v="Travel_Rarely"/>
    <n v="655"/>
    <x v="1"/>
    <n v="7"/>
    <n v="4"/>
    <s v="Life Sciences"/>
    <n v="1"/>
    <x v="58"/>
    <n v="4"/>
    <x v="2"/>
    <x v="1"/>
    <n v="48"/>
    <n v="3"/>
    <n v="2"/>
    <x v="2"/>
    <n v="4"/>
    <x v="0"/>
    <s v="Divorced"/>
    <x v="56"/>
    <x v="0"/>
    <n v="9528"/>
    <n v="3"/>
    <s v="Y"/>
    <x v="1"/>
    <n v="22"/>
    <x v="1"/>
    <x v="1"/>
    <n v="4"/>
    <n v="80"/>
    <n v="1"/>
    <n v="10"/>
    <n v="3"/>
    <n v="2"/>
    <x v="5"/>
    <n v="7"/>
    <n v="1"/>
    <n v="7"/>
    <n v="3"/>
    <x v="2"/>
    <s v=""/>
    <s v=""/>
    <s v=""/>
  </r>
  <r>
    <x v="2"/>
    <x v="0"/>
    <x v="1"/>
    <n v="0"/>
    <s v="Travel_Rarely"/>
    <n v="1115"/>
    <x v="1"/>
    <n v="1"/>
    <n v="4"/>
    <s v="Life Sciences"/>
    <n v="1"/>
    <x v="59"/>
    <n v="1"/>
    <x v="3"/>
    <x v="1"/>
    <n v="51"/>
    <n v="2"/>
    <n v="2"/>
    <x v="3"/>
    <n v="3"/>
    <x v="2"/>
    <s v="Divorced"/>
    <x v="0"/>
    <x v="0"/>
    <n v="2689"/>
    <n v="1"/>
    <s v="Y"/>
    <x v="1"/>
    <n v="18"/>
    <x v="2"/>
    <x v="0"/>
    <n v="3"/>
    <n v="80"/>
    <n v="1"/>
    <n v="7"/>
    <n v="2"/>
    <n v="4"/>
    <x v="5"/>
    <n v="5"/>
    <n v="0"/>
    <n v="7"/>
    <n v="1"/>
    <x v="1"/>
    <s v=""/>
    <s v=""/>
    <s v=""/>
  </r>
  <r>
    <x v="5"/>
    <x v="2"/>
    <x v="1"/>
    <n v="0"/>
    <s v="Travel_Rarely"/>
    <n v="427"/>
    <x v="1"/>
    <n v="1"/>
    <n v="3"/>
    <s v="Medical"/>
    <n v="1"/>
    <x v="60"/>
    <n v="1"/>
    <x v="3"/>
    <x v="1"/>
    <n v="33"/>
    <n v="3"/>
    <n v="2"/>
    <x v="3"/>
    <n v="4"/>
    <x v="0"/>
    <s v="Married"/>
    <x v="57"/>
    <x v="0"/>
    <n v="10877"/>
    <n v="1"/>
    <s v="Y"/>
    <x v="0"/>
    <n v="22"/>
    <x v="1"/>
    <x v="1"/>
    <n v="2"/>
    <n v="80"/>
    <n v="1"/>
    <n v="9"/>
    <n v="3"/>
    <n v="3"/>
    <x v="7"/>
    <n v="8"/>
    <n v="7"/>
    <n v="8"/>
    <n v="4"/>
    <x v="2"/>
    <s v=""/>
    <s v=""/>
    <s v=""/>
  </r>
  <r>
    <x v="8"/>
    <x v="0"/>
    <x v="1"/>
    <n v="0"/>
    <s v="Travel_Frequently"/>
    <n v="653"/>
    <x v="1"/>
    <n v="29"/>
    <n v="5"/>
    <s v="Life Sciences"/>
    <n v="1"/>
    <x v="61"/>
    <n v="4"/>
    <x v="2"/>
    <x v="0"/>
    <n v="50"/>
    <n v="3"/>
    <n v="2"/>
    <x v="2"/>
    <n v="4"/>
    <x v="0"/>
    <s v="Single"/>
    <x v="58"/>
    <x v="1"/>
    <n v="5456"/>
    <n v="1"/>
    <s v="Y"/>
    <x v="1"/>
    <n v="11"/>
    <x v="0"/>
    <x v="0"/>
    <n v="4"/>
    <n v="80"/>
    <n v="0"/>
    <n v="10"/>
    <n v="2"/>
    <n v="3"/>
    <x v="1"/>
    <n v="3"/>
    <n v="9"/>
    <n v="9"/>
    <n v="3"/>
    <x v="2"/>
    <s v=""/>
    <s v=""/>
    <s v=""/>
  </r>
  <r>
    <x v="24"/>
    <x v="1"/>
    <x v="1"/>
    <n v="0"/>
    <s v="Travel_Rarely"/>
    <n v="989"/>
    <x v="1"/>
    <n v="7"/>
    <n v="2"/>
    <s v="Medical"/>
    <n v="1"/>
    <x v="62"/>
    <n v="2"/>
    <x v="0"/>
    <x v="0"/>
    <n v="43"/>
    <n v="2"/>
    <n v="5"/>
    <x v="7"/>
    <n v="3"/>
    <x v="2"/>
    <s v="Divorced"/>
    <x v="59"/>
    <x v="4"/>
    <n v="16701"/>
    <n v="5"/>
    <s v="Y"/>
    <x v="0"/>
    <n v="12"/>
    <x v="0"/>
    <x v="0"/>
    <n v="4"/>
    <n v="80"/>
    <n v="1"/>
    <n v="29"/>
    <n v="2"/>
    <n v="2"/>
    <x v="16"/>
    <n v="3"/>
    <n v="13"/>
    <n v="8"/>
    <n v="2"/>
    <x v="1"/>
    <s v=""/>
    <s v=""/>
    <s v=""/>
  </r>
  <r>
    <x v="6"/>
    <x v="3"/>
    <x v="1"/>
    <n v="0"/>
    <s v="Travel_Rarely"/>
    <n v="1435"/>
    <x v="0"/>
    <n v="25"/>
    <n v="3"/>
    <s v="Life Sciences"/>
    <n v="1"/>
    <x v="63"/>
    <n v="1"/>
    <x v="3"/>
    <x v="0"/>
    <n v="99"/>
    <n v="3"/>
    <n v="3"/>
    <x v="0"/>
    <n v="1"/>
    <x v="3"/>
    <s v="Single"/>
    <x v="60"/>
    <x v="0"/>
    <n v="2354"/>
    <n v="7"/>
    <s v="Y"/>
    <x v="1"/>
    <n v="11"/>
    <x v="0"/>
    <x v="0"/>
    <n v="4"/>
    <n v="80"/>
    <n v="0"/>
    <n v="28"/>
    <n v="3"/>
    <n v="2"/>
    <x v="17"/>
    <n v="16"/>
    <n v="7"/>
    <n v="9"/>
    <n v="3"/>
    <x v="2"/>
    <s v=""/>
    <s v=""/>
    <s v=""/>
  </r>
  <r>
    <x v="9"/>
    <x v="0"/>
    <x v="1"/>
    <n v="0"/>
    <s v="Travel_Rarely"/>
    <n v="1223"/>
    <x v="1"/>
    <n v="8"/>
    <n v="3"/>
    <s v="Technical Degree"/>
    <n v="1"/>
    <x v="64"/>
    <n v="3"/>
    <x v="1"/>
    <x v="0"/>
    <n v="59"/>
    <n v="3"/>
    <n v="3"/>
    <x v="4"/>
    <n v="3"/>
    <x v="2"/>
    <s v="Divorced"/>
    <x v="61"/>
    <x v="2"/>
    <n v="8202"/>
    <n v="1"/>
    <s v="Y"/>
    <x v="1"/>
    <n v="13"/>
    <x v="0"/>
    <x v="0"/>
    <n v="2"/>
    <n v="80"/>
    <n v="3"/>
    <n v="17"/>
    <n v="2"/>
    <n v="3"/>
    <x v="18"/>
    <n v="14"/>
    <n v="12"/>
    <n v="8"/>
    <n v="0"/>
    <x v="1"/>
    <s v=""/>
    <s v=""/>
    <s v=""/>
  </r>
  <r>
    <x v="27"/>
    <x v="3"/>
    <x v="1"/>
    <n v="0"/>
    <s v="Travel_Rarely"/>
    <n v="836"/>
    <x v="1"/>
    <n v="8"/>
    <n v="3"/>
    <s v="Medical"/>
    <n v="1"/>
    <x v="65"/>
    <n v="4"/>
    <x v="2"/>
    <x v="0"/>
    <n v="33"/>
    <n v="3"/>
    <n v="4"/>
    <x v="5"/>
    <n v="3"/>
    <x v="2"/>
    <s v="Divorced"/>
    <x v="62"/>
    <x v="3"/>
    <n v="19730"/>
    <n v="2"/>
    <s v="Y"/>
    <x v="0"/>
    <n v="14"/>
    <x v="0"/>
    <x v="0"/>
    <n v="3"/>
    <n v="80"/>
    <n v="3"/>
    <n v="21"/>
    <n v="2"/>
    <n v="3"/>
    <x v="8"/>
    <n v="0"/>
    <n v="0"/>
    <n v="2"/>
    <n v="2"/>
    <x v="1"/>
    <s v=""/>
    <s v=""/>
    <s v=""/>
  </r>
  <r>
    <x v="9"/>
    <x v="0"/>
    <x v="1"/>
    <n v="0"/>
    <s v="Travel_Frequently"/>
    <n v="1195"/>
    <x v="1"/>
    <n v="11"/>
    <n v="3"/>
    <s v="Life Sciences"/>
    <n v="1"/>
    <x v="66"/>
    <n v="2"/>
    <x v="0"/>
    <x v="1"/>
    <n v="95"/>
    <n v="2"/>
    <n v="2"/>
    <x v="3"/>
    <n v="2"/>
    <x v="1"/>
    <s v="Single"/>
    <x v="63"/>
    <x v="0"/>
    <n v="22656"/>
    <n v="1"/>
    <s v="Y"/>
    <x v="1"/>
    <n v="13"/>
    <x v="0"/>
    <x v="0"/>
    <n v="3"/>
    <n v="80"/>
    <n v="0"/>
    <n v="6"/>
    <n v="3"/>
    <n v="3"/>
    <x v="0"/>
    <n v="5"/>
    <n v="0"/>
    <n v="3"/>
    <n v="1"/>
    <x v="1"/>
    <s v=""/>
    <s v=""/>
    <s v=""/>
  </r>
  <r>
    <x v="28"/>
    <x v="1"/>
    <x v="1"/>
    <n v="0"/>
    <s v="Travel_Rarely"/>
    <n v="1339"/>
    <x v="1"/>
    <n v="7"/>
    <n v="3"/>
    <s v="Life Sciences"/>
    <n v="1"/>
    <x v="67"/>
    <n v="2"/>
    <x v="0"/>
    <x v="1"/>
    <n v="59"/>
    <n v="3"/>
    <n v="3"/>
    <x v="1"/>
    <n v="1"/>
    <x v="3"/>
    <s v="Divorced"/>
    <x v="64"/>
    <x v="2"/>
    <n v="18787"/>
    <n v="2"/>
    <s v="Y"/>
    <x v="1"/>
    <n v="17"/>
    <x v="2"/>
    <x v="0"/>
    <n v="3"/>
    <n v="80"/>
    <n v="1"/>
    <n v="25"/>
    <n v="2"/>
    <n v="3"/>
    <x v="6"/>
    <n v="0"/>
    <n v="0"/>
    <n v="0"/>
    <n v="2"/>
    <x v="1"/>
    <s v=""/>
    <s v=""/>
    <s v=""/>
  </r>
  <r>
    <x v="10"/>
    <x v="0"/>
    <x v="1"/>
    <n v="0"/>
    <s v="Travel_Frequently"/>
    <n v="664"/>
    <x v="1"/>
    <n v="1"/>
    <n v="3"/>
    <s v="Medical"/>
    <n v="1"/>
    <x v="68"/>
    <n v="2"/>
    <x v="0"/>
    <x v="1"/>
    <n v="79"/>
    <n v="3"/>
    <n v="1"/>
    <x v="1"/>
    <n v="1"/>
    <x v="3"/>
    <s v="Married"/>
    <x v="65"/>
    <x v="1"/>
    <n v="5868"/>
    <n v="4"/>
    <s v="Y"/>
    <x v="1"/>
    <n v="13"/>
    <x v="0"/>
    <x v="0"/>
    <n v="4"/>
    <n v="80"/>
    <n v="1"/>
    <n v="5"/>
    <n v="2"/>
    <n v="2"/>
    <x v="11"/>
    <n v="2"/>
    <n v="1"/>
    <n v="2"/>
    <n v="4"/>
    <x v="2"/>
    <s v=""/>
    <s v=""/>
    <s v=""/>
  </r>
  <r>
    <x v="9"/>
    <x v="0"/>
    <x v="0"/>
    <n v="1"/>
    <s v="Travel_Rarely"/>
    <n v="318"/>
    <x v="1"/>
    <n v="9"/>
    <n v="3"/>
    <s v="Medical"/>
    <n v="1"/>
    <x v="69"/>
    <n v="4"/>
    <x v="2"/>
    <x v="1"/>
    <n v="79"/>
    <n v="2"/>
    <n v="1"/>
    <x v="1"/>
    <n v="3"/>
    <x v="2"/>
    <s v="Married"/>
    <x v="66"/>
    <x v="1"/>
    <n v="21777"/>
    <n v="0"/>
    <s v="Y"/>
    <x v="0"/>
    <n v="17"/>
    <x v="2"/>
    <x v="0"/>
    <n v="1"/>
    <n v="80"/>
    <n v="1"/>
    <n v="2"/>
    <n v="0"/>
    <n v="2"/>
    <x v="6"/>
    <n v="0"/>
    <n v="0"/>
    <n v="0"/>
    <s v=""/>
    <x v="0"/>
    <s v=""/>
    <s v=""/>
    <s v=""/>
  </r>
  <r>
    <x v="6"/>
    <x v="3"/>
    <x v="1"/>
    <n v="0"/>
    <s v="Travel_Frequently"/>
    <n v="1225"/>
    <x v="0"/>
    <n v="1"/>
    <n v="1"/>
    <s v="Life Sciences"/>
    <n v="1"/>
    <x v="70"/>
    <n v="1"/>
    <x v="3"/>
    <x v="0"/>
    <n v="57"/>
    <n v="2"/>
    <n v="2"/>
    <x v="0"/>
    <n v="3"/>
    <x v="2"/>
    <s v="Single"/>
    <x v="67"/>
    <x v="0"/>
    <n v="24668"/>
    <n v="7"/>
    <s v="Y"/>
    <x v="1"/>
    <n v="11"/>
    <x v="0"/>
    <x v="0"/>
    <n v="4"/>
    <n v="80"/>
    <n v="0"/>
    <n v="20"/>
    <n v="2"/>
    <n v="2"/>
    <x v="9"/>
    <n v="3"/>
    <n v="1"/>
    <n v="3"/>
    <n v="1"/>
    <x v="1"/>
    <s v=""/>
    <s v=""/>
    <s v=""/>
  </r>
  <r>
    <x v="11"/>
    <x v="2"/>
    <x v="1"/>
    <n v="0"/>
    <s v="Travel_Rarely"/>
    <n v="1328"/>
    <x v="1"/>
    <n v="2"/>
    <n v="3"/>
    <s v="Life Sciences"/>
    <n v="1"/>
    <x v="71"/>
    <n v="3"/>
    <x v="1"/>
    <x v="1"/>
    <n v="76"/>
    <n v="3"/>
    <n v="1"/>
    <x v="1"/>
    <n v="2"/>
    <x v="1"/>
    <s v="Married"/>
    <x v="68"/>
    <x v="1"/>
    <n v="4956"/>
    <n v="0"/>
    <s v="Y"/>
    <x v="1"/>
    <n v="23"/>
    <x v="1"/>
    <x v="1"/>
    <n v="4"/>
    <n v="80"/>
    <n v="1"/>
    <n v="6"/>
    <n v="3"/>
    <n v="3"/>
    <x v="8"/>
    <n v="4"/>
    <n v="0"/>
    <n v="4"/>
    <n v="3"/>
    <x v="2"/>
    <s v=""/>
    <s v=""/>
    <s v=""/>
  </r>
  <r>
    <x v="12"/>
    <x v="2"/>
    <x v="1"/>
    <n v="0"/>
    <s v="Travel_Rarely"/>
    <n v="1082"/>
    <x v="1"/>
    <n v="1"/>
    <n v="4"/>
    <s v="Medical"/>
    <n v="1"/>
    <x v="72"/>
    <n v="3"/>
    <x v="1"/>
    <x v="1"/>
    <n v="87"/>
    <n v="3"/>
    <n v="1"/>
    <x v="1"/>
    <n v="2"/>
    <x v="1"/>
    <s v="Single"/>
    <x v="69"/>
    <x v="1"/>
    <n v="18775"/>
    <n v="1"/>
    <s v="Y"/>
    <x v="1"/>
    <n v="17"/>
    <x v="2"/>
    <x v="0"/>
    <n v="2"/>
    <n v="80"/>
    <n v="0"/>
    <n v="1"/>
    <n v="4"/>
    <n v="3"/>
    <x v="6"/>
    <n v="1"/>
    <n v="1"/>
    <n v="0"/>
    <n v="3"/>
    <x v="2"/>
    <s v=""/>
    <s v=""/>
    <s v=""/>
  </r>
  <r>
    <x v="5"/>
    <x v="2"/>
    <x v="1"/>
    <n v="0"/>
    <s v="Travel_Rarely"/>
    <n v="548"/>
    <x v="1"/>
    <n v="1"/>
    <n v="3"/>
    <s v="Life Sciences"/>
    <n v="1"/>
    <x v="73"/>
    <n v="2"/>
    <x v="0"/>
    <x v="1"/>
    <n v="66"/>
    <n v="3"/>
    <n v="2"/>
    <x v="1"/>
    <n v="2"/>
    <x v="1"/>
    <s v="Married"/>
    <x v="70"/>
    <x v="0"/>
    <n v="7346"/>
    <n v="1"/>
    <s v="Y"/>
    <x v="1"/>
    <n v="17"/>
    <x v="2"/>
    <x v="0"/>
    <n v="2"/>
    <n v="80"/>
    <n v="2"/>
    <n v="10"/>
    <n v="3"/>
    <n v="3"/>
    <x v="1"/>
    <n v="4"/>
    <n v="0"/>
    <n v="9"/>
    <n v="2"/>
    <x v="1"/>
    <s v=""/>
    <s v=""/>
    <s v=""/>
  </r>
  <r>
    <x v="9"/>
    <x v="0"/>
    <x v="1"/>
    <n v="0"/>
    <s v="Travel_Rarely"/>
    <n v="132"/>
    <x v="1"/>
    <n v="6"/>
    <n v="3"/>
    <s v="Life Sciences"/>
    <n v="1"/>
    <x v="74"/>
    <n v="2"/>
    <x v="0"/>
    <x v="0"/>
    <n v="55"/>
    <n v="4"/>
    <n v="1"/>
    <x v="2"/>
    <n v="4"/>
    <x v="0"/>
    <s v="Married"/>
    <x v="71"/>
    <x v="1"/>
    <n v="22002"/>
    <n v="3"/>
    <s v="Y"/>
    <x v="1"/>
    <n v="12"/>
    <x v="0"/>
    <x v="0"/>
    <n v="2"/>
    <n v="80"/>
    <n v="0"/>
    <n v="5"/>
    <n v="3"/>
    <n v="3"/>
    <x v="6"/>
    <n v="0"/>
    <n v="0"/>
    <n v="0"/>
    <n v="3"/>
    <x v="2"/>
    <s v=""/>
    <s v=""/>
    <s v=""/>
  </r>
  <r>
    <x v="12"/>
    <x v="2"/>
    <x v="1"/>
    <n v="0"/>
    <s v="Travel_Rarely"/>
    <n v="746"/>
    <x v="1"/>
    <n v="8"/>
    <n v="4"/>
    <s v="Life Sciences"/>
    <n v="1"/>
    <x v="75"/>
    <n v="3"/>
    <x v="1"/>
    <x v="0"/>
    <n v="61"/>
    <n v="3"/>
    <n v="2"/>
    <x v="3"/>
    <n v="4"/>
    <x v="0"/>
    <s v="Single"/>
    <x v="72"/>
    <x v="0"/>
    <n v="20682"/>
    <n v="1"/>
    <s v="Y"/>
    <x v="1"/>
    <n v="23"/>
    <x v="1"/>
    <x v="1"/>
    <n v="4"/>
    <n v="80"/>
    <n v="0"/>
    <n v="11"/>
    <n v="2"/>
    <n v="3"/>
    <x v="19"/>
    <n v="7"/>
    <n v="1"/>
    <n v="8"/>
    <n v="2"/>
    <x v="1"/>
    <s v=""/>
    <s v=""/>
    <s v=""/>
  </r>
  <r>
    <x v="10"/>
    <x v="0"/>
    <x v="1"/>
    <n v="0"/>
    <s v="Travel_Rarely"/>
    <n v="776"/>
    <x v="0"/>
    <n v="1"/>
    <n v="4"/>
    <s v="Marketing"/>
    <n v="1"/>
    <x v="76"/>
    <n v="3"/>
    <x v="1"/>
    <x v="1"/>
    <n v="32"/>
    <n v="2"/>
    <n v="2"/>
    <x v="0"/>
    <n v="1"/>
    <x v="3"/>
    <s v="Single"/>
    <x v="73"/>
    <x v="0"/>
    <n v="23016"/>
    <n v="0"/>
    <s v="Y"/>
    <x v="1"/>
    <n v="14"/>
    <x v="0"/>
    <x v="0"/>
    <n v="2"/>
    <n v="80"/>
    <n v="0"/>
    <n v="16"/>
    <n v="2"/>
    <n v="3"/>
    <x v="15"/>
    <n v="13"/>
    <n v="2"/>
    <n v="8"/>
    <n v="3"/>
    <x v="2"/>
    <s v=""/>
    <s v=""/>
    <s v=""/>
  </r>
  <r>
    <x v="28"/>
    <x v="1"/>
    <x v="1"/>
    <n v="0"/>
    <s v="Travel_Rarely"/>
    <n v="193"/>
    <x v="1"/>
    <n v="6"/>
    <n v="4"/>
    <s v="Other"/>
    <n v="1"/>
    <x v="77"/>
    <n v="4"/>
    <x v="2"/>
    <x v="1"/>
    <n v="52"/>
    <n v="3"/>
    <n v="3"/>
    <x v="7"/>
    <n v="1"/>
    <x v="3"/>
    <s v="Married"/>
    <x v="74"/>
    <x v="3"/>
    <n v="15067"/>
    <n v="4"/>
    <s v="Y"/>
    <x v="0"/>
    <n v="14"/>
    <x v="0"/>
    <x v="0"/>
    <n v="2"/>
    <n v="80"/>
    <n v="0"/>
    <n v="17"/>
    <n v="3"/>
    <n v="4"/>
    <x v="2"/>
    <n v="0"/>
    <n v="0"/>
    <n v="0"/>
    <n v="4"/>
    <x v="2"/>
    <s v=""/>
    <s v=""/>
    <s v=""/>
  </r>
  <r>
    <x v="2"/>
    <x v="0"/>
    <x v="1"/>
    <n v="0"/>
    <s v="Travel_Rarely"/>
    <n v="397"/>
    <x v="1"/>
    <n v="7"/>
    <n v="4"/>
    <s v="Medical"/>
    <n v="1"/>
    <x v="78"/>
    <n v="1"/>
    <x v="3"/>
    <x v="1"/>
    <n v="30"/>
    <n v="3"/>
    <n v="3"/>
    <x v="7"/>
    <n v="3"/>
    <x v="2"/>
    <s v="Single"/>
    <x v="75"/>
    <x v="3"/>
    <n v="25258"/>
    <n v="4"/>
    <s v="Y"/>
    <x v="1"/>
    <n v="13"/>
    <x v="0"/>
    <x v="0"/>
    <n v="1"/>
    <n v="80"/>
    <n v="0"/>
    <n v="16"/>
    <n v="3"/>
    <n v="4"/>
    <x v="8"/>
    <n v="2"/>
    <n v="0"/>
    <n v="2"/>
    <n v="0"/>
    <x v="1"/>
    <s v=""/>
    <s v=""/>
    <s v=""/>
  </r>
  <r>
    <x v="21"/>
    <x v="1"/>
    <x v="1"/>
    <n v="0"/>
    <s v="Travel_Rarely"/>
    <n v="945"/>
    <x v="2"/>
    <n v="5"/>
    <n v="2"/>
    <s v="Medical"/>
    <n v="1"/>
    <x v="79"/>
    <n v="2"/>
    <x v="0"/>
    <x v="1"/>
    <n v="80"/>
    <n v="3"/>
    <n v="2"/>
    <x v="8"/>
    <n v="2"/>
    <x v="1"/>
    <s v="Divorced"/>
    <x v="76"/>
    <x v="0"/>
    <n v="10425"/>
    <n v="8"/>
    <s v="Y"/>
    <x v="0"/>
    <n v="22"/>
    <x v="1"/>
    <x v="1"/>
    <n v="4"/>
    <n v="80"/>
    <n v="1"/>
    <n v="16"/>
    <n v="2"/>
    <n v="3"/>
    <x v="9"/>
    <n v="2"/>
    <n v="0"/>
    <n v="2"/>
    <n v="4"/>
    <x v="2"/>
    <s v=""/>
    <s v=""/>
    <s v=""/>
  </r>
  <r>
    <x v="7"/>
    <x v="2"/>
    <x v="1"/>
    <n v="0"/>
    <s v="Travel_Rarely"/>
    <n v="852"/>
    <x v="1"/>
    <n v="1"/>
    <n v="1"/>
    <s v="Life Sciences"/>
    <n v="1"/>
    <x v="80"/>
    <n v="4"/>
    <x v="2"/>
    <x v="1"/>
    <n v="55"/>
    <n v="2"/>
    <n v="2"/>
    <x v="2"/>
    <n v="4"/>
    <x v="0"/>
    <s v="Married"/>
    <x v="77"/>
    <x v="0"/>
    <n v="15998"/>
    <n v="1"/>
    <s v="Y"/>
    <x v="0"/>
    <n v="12"/>
    <x v="0"/>
    <x v="0"/>
    <n v="3"/>
    <n v="80"/>
    <n v="2"/>
    <n v="10"/>
    <n v="1"/>
    <n v="2"/>
    <x v="1"/>
    <n v="8"/>
    <n v="3"/>
    <n v="0"/>
    <n v="5"/>
    <x v="2"/>
    <s v=""/>
    <s v=""/>
    <s v=""/>
  </r>
  <r>
    <x v="10"/>
    <x v="0"/>
    <x v="1"/>
    <n v="0"/>
    <s v="Travel_Rarely"/>
    <n v="1214"/>
    <x v="1"/>
    <n v="1"/>
    <n v="3"/>
    <s v="Medical"/>
    <n v="1"/>
    <x v="81"/>
    <n v="2"/>
    <x v="0"/>
    <x v="1"/>
    <n v="30"/>
    <n v="2"/>
    <n v="1"/>
    <x v="1"/>
    <n v="3"/>
    <x v="2"/>
    <s v="Single"/>
    <x v="78"/>
    <x v="1"/>
    <n v="26278"/>
    <n v="1"/>
    <s v="Y"/>
    <x v="1"/>
    <n v="18"/>
    <x v="2"/>
    <x v="0"/>
    <n v="1"/>
    <n v="80"/>
    <n v="0"/>
    <n v="6"/>
    <n v="3"/>
    <n v="3"/>
    <x v="0"/>
    <n v="4"/>
    <n v="0"/>
    <n v="4"/>
    <n v="2"/>
    <x v="1"/>
    <s v=""/>
    <s v=""/>
    <s v=""/>
  </r>
  <r>
    <x v="27"/>
    <x v="3"/>
    <x v="1"/>
    <n v="0"/>
    <s v="Travel_Rarely"/>
    <n v="111"/>
    <x v="0"/>
    <n v="1"/>
    <n v="2"/>
    <s v="Life Sciences"/>
    <n v="1"/>
    <x v="82"/>
    <n v="1"/>
    <x v="3"/>
    <x v="1"/>
    <n v="70"/>
    <n v="3"/>
    <n v="3"/>
    <x v="0"/>
    <n v="4"/>
    <x v="0"/>
    <s v="Married"/>
    <x v="79"/>
    <x v="2"/>
    <n v="18092"/>
    <n v="3"/>
    <s v="Y"/>
    <x v="1"/>
    <n v="14"/>
    <x v="0"/>
    <x v="0"/>
    <n v="4"/>
    <n v="80"/>
    <n v="1"/>
    <n v="24"/>
    <n v="4"/>
    <n v="3"/>
    <x v="6"/>
    <n v="0"/>
    <n v="1"/>
    <n v="0"/>
    <n v="0"/>
    <x v="1"/>
    <s v=""/>
    <s v=""/>
    <s v=""/>
  </r>
  <r>
    <x v="8"/>
    <x v="0"/>
    <x v="1"/>
    <n v="0"/>
    <s v="Non-Travel"/>
    <n v="573"/>
    <x v="1"/>
    <n v="6"/>
    <n v="3"/>
    <s v="Medical"/>
    <n v="1"/>
    <x v="83"/>
    <n v="2"/>
    <x v="0"/>
    <x v="0"/>
    <n v="79"/>
    <n v="1"/>
    <n v="2"/>
    <x v="1"/>
    <n v="4"/>
    <x v="0"/>
    <s v="Divorced"/>
    <x v="80"/>
    <x v="0"/>
    <n v="15717"/>
    <n v="7"/>
    <s v="Y"/>
    <x v="0"/>
    <n v="12"/>
    <x v="0"/>
    <x v="0"/>
    <n v="4"/>
    <n v="80"/>
    <n v="3"/>
    <n v="17"/>
    <n v="3"/>
    <n v="3"/>
    <x v="20"/>
    <n v="11"/>
    <n v="1"/>
    <n v="9"/>
    <n v="3"/>
    <x v="2"/>
    <s v=""/>
    <s v=""/>
    <s v=""/>
  </r>
  <r>
    <x v="13"/>
    <x v="2"/>
    <x v="1"/>
    <n v="0"/>
    <s v="Travel_Rarely"/>
    <n v="1153"/>
    <x v="1"/>
    <n v="1"/>
    <n v="2"/>
    <s v="Medical"/>
    <n v="1"/>
    <x v="84"/>
    <n v="1"/>
    <x v="3"/>
    <x v="1"/>
    <n v="94"/>
    <n v="3"/>
    <n v="2"/>
    <x v="3"/>
    <n v="2"/>
    <x v="1"/>
    <s v="Married"/>
    <x v="81"/>
    <x v="0"/>
    <n v="17736"/>
    <n v="1"/>
    <s v="Y"/>
    <x v="1"/>
    <n v="15"/>
    <x v="0"/>
    <x v="0"/>
    <n v="3"/>
    <n v="80"/>
    <n v="0"/>
    <n v="5"/>
    <n v="2"/>
    <n v="3"/>
    <x v="8"/>
    <n v="2"/>
    <n v="1"/>
    <n v="3"/>
    <n v="2"/>
    <x v="1"/>
    <s v=""/>
    <s v=""/>
    <s v=""/>
  </r>
  <r>
    <x v="29"/>
    <x v="3"/>
    <x v="1"/>
    <n v="0"/>
    <s v="Travel_Rarely"/>
    <n v="1400"/>
    <x v="1"/>
    <n v="7"/>
    <n v="3"/>
    <s v="Life Sciences"/>
    <n v="1"/>
    <x v="85"/>
    <n v="4"/>
    <x v="2"/>
    <x v="1"/>
    <n v="49"/>
    <n v="1"/>
    <n v="3"/>
    <x v="3"/>
    <n v="4"/>
    <x v="0"/>
    <s v="Single"/>
    <x v="82"/>
    <x v="0"/>
    <n v="21698"/>
    <n v="4"/>
    <s v="Y"/>
    <x v="1"/>
    <n v="11"/>
    <x v="0"/>
    <x v="0"/>
    <n v="1"/>
    <n v="80"/>
    <n v="0"/>
    <n v="37"/>
    <n v="3"/>
    <n v="2"/>
    <x v="0"/>
    <n v="4"/>
    <n v="0"/>
    <n v="2"/>
    <n v="1"/>
    <x v="1"/>
    <s v=""/>
    <s v=""/>
    <s v=""/>
  </r>
  <r>
    <x v="30"/>
    <x v="4"/>
    <x v="1"/>
    <n v="0"/>
    <s v="Travel_Rarely"/>
    <n v="541"/>
    <x v="0"/>
    <n v="2"/>
    <n v="1"/>
    <s v="Technical Degree"/>
    <n v="1"/>
    <x v="86"/>
    <n v="3"/>
    <x v="1"/>
    <x v="1"/>
    <n v="62"/>
    <n v="3"/>
    <n v="1"/>
    <x v="6"/>
    <n v="1"/>
    <x v="3"/>
    <s v="Divorced"/>
    <x v="83"/>
    <x v="1"/>
    <n v="9518"/>
    <n v="3"/>
    <s v="Y"/>
    <x v="1"/>
    <n v="13"/>
    <x v="0"/>
    <x v="0"/>
    <n v="3"/>
    <n v="80"/>
    <n v="1"/>
    <n v="3"/>
    <n v="3"/>
    <n v="3"/>
    <x v="2"/>
    <n v="0"/>
    <n v="0"/>
    <n v="0"/>
    <n v="8"/>
    <x v="3"/>
    <n v="2"/>
    <s v="Top 10"/>
    <n v="79887"/>
  </r>
  <r>
    <x v="31"/>
    <x v="1"/>
    <x v="1"/>
    <n v="0"/>
    <s v="Travel_Rarely"/>
    <n v="432"/>
    <x v="1"/>
    <n v="9"/>
    <n v="4"/>
    <s v="Life Sciences"/>
    <n v="1"/>
    <x v="87"/>
    <n v="4"/>
    <x v="2"/>
    <x v="1"/>
    <n v="96"/>
    <n v="3"/>
    <n v="1"/>
    <x v="2"/>
    <n v="4"/>
    <x v="0"/>
    <s v="Married"/>
    <x v="84"/>
    <x v="1"/>
    <n v="18725"/>
    <n v="3"/>
    <s v="Y"/>
    <x v="1"/>
    <n v="23"/>
    <x v="1"/>
    <x v="1"/>
    <n v="2"/>
    <n v="80"/>
    <n v="2"/>
    <n v="10"/>
    <n v="4"/>
    <n v="3"/>
    <x v="9"/>
    <n v="2"/>
    <n v="0"/>
    <n v="3"/>
    <n v="3"/>
    <x v="2"/>
    <s v=""/>
    <s v=""/>
    <s v=""/>
  </r>
  <r>
    <x v="7"/>
    <x v="2"/>
    <x v="1"/>
    <n v="0"/>
    <s v="Travel_Rarely"/>
    <n v="288"/>
    <x v="1"/>
    <n v="2"/>
    <n v="3"/>
    <s v="Life Sciences"/>
    <n v="1"/>
    <x v="88"/>
    <n v="3"/>
    <x v="1"/>
    <x v="1"/>
    <n v="99"/>
    <n v="2"/>
    <n v="2"/>
    <x v="4"/>
    <n v="4"/>
    <x v="0"/>
    <s v="Married"/>
    <x v="85"/>
    <x v="0"/>
    <n v="15830"/>
    <n v="1"/>
    <s v="Y"/>
    <x v="1"/>
    <n v="19"/>
    <x v="2"/>
    <x v="0"/>
    <n v="1"/>
    <n v="80"/>
    <n v="3"/>
    <n v="11"/>
    <n v="3"/>
    <n v="3"/>
    <x v="19"/>
    <n v="10"/>
    <n v="10"/>
    <n v="8"/>
    <n v="2"/>
    <x v="1"/>
    <s v=""/>
    <s v=""/>
    <s v=""/>
  </r>
  <r>
    <x v="21"/>
    <x v="1"/>
    <x v="0"/>
    <n v="1"/>
    <s v="Travel_Rarely"/>
    <n v="669"/>
    <x v="0"/>
    <n v="9"/>
    <n v="2"/>
    <s v="Medical"/>
    <n v="1"/>
    <x v="89"/>
    <n v="3"/>
    <x v="1"/>
    <x v="1"/>
    <n v="64"/>
    <n v="2"/>
    <n v="3"/>
    <x v="0"/>
    <n v="4"/>
    <x v="0"/>
    <s v="Single"/>
    <x v="86"/>
    <x v="2"/>
    <n v="13596"/>
    <n v="1"/>
    <s v="Y"/>
    <x v="1"/>
    <n v="16"/>
    <x v="2"/>
    <x v="0"/>
    <n v="4"/>
    <n v="80"/>
    <n v="0"/>
    <n v="9"/>
    <n v="3"/>
    <n v="3"/>
    <x v="7"/>
    <n v="8"/>
    <n v="4"/>
    <n v="7"/>
    <s v=""/>
    <x v="0"/>
    <s v=""/>
    <s v=""/>
    <s v=""/>
  </r>
  <r>
    <x v="32"/>
    <x v="0"/>
    <x v="1"/>
    <n v="0"/>
    <s v="Travel_Frequently"/>
    <n v="530"/>
    <x v="1"/>
    <n v="1"/>
    <n v="4"/>
    <s v="Life Sciences"/>
    <n v="1"/>
    <x v="90"/>
    <n v="3"/>
    <x v="1"/>
    <x v="1"/>
    <n v="78"/>
    <n v="2"/>
    <n v="4"/>
    <x v="4"/>
    <n v="2"/>
    <x v="1"/>
    <s v="Married"/>
    <x v="87"/>
    <x v="3"/>
    <n v="14115"/>
    <n v="1"/>
    <s v="Y"/>
    <x v="1"/>
    <n v="22"/>
    <x v="1"/>
    <x v="1"/>
    <n v="4"/>
    <n v="80"/>
    <n v="1"/>
    <n v="22"/>
    <n v="3"/>
    <n v="2"/>
    <x v="14"/>
    <n v="3"/>
    <n v="11"/>
    <n v="11"/>
    <n v="0"/>
    <x v="1"/>
    <s v=""/>
    <s v=""/>
    <s v=""/>
  </r>
  <r>
    <x v="31"/>
    <x v="1"/>
    <x v="1"/>
    <n v="0"/>
    <s v="Travel_Rarely"/>
    <n v="632"/>
    <x v="0"/>
    <n v="21"/>
    <n v="4"/>
    <s v="Marketing"/>
    <n v="1"/>
    <x v="91"/>
    <n v="3"/>
    <x v="1"/>
    <x v="1"/>
    <n v="71"/>
    <n v="3"/>
    <n v="2"/>
    <x v="0"/>
    <n v="4"/>
    <x v="0"/>
    <s v="Single"/>
    <x v="88"/>
    <x v="0"/>
    <n v="8423"/>
    <n v="0"/>
    <s v="Y"/>
    <x v="0"/>
    <n v="22"/>
    <x v="1"/>
    <x v="1"/>
    <n v="4"/>
    <n v="80"/>
    <n v="0"/>
    <n v="11"/>
    <n v="2"/>
    <n v="1"/>
    <x v="1"/>
    <n v="7"/>
    <n v="1"/>
    <n v="0"/>
    <n v="3"/>
    <x v="2"/>
    <s v=""/>
    <s v=""/>
    <s v=""/>
  </r>
  <r>
    <x v="7"/>
    <x v="2"/>
    <x v="1"/>
    <n v="0"/>
    <s v="Travel_Rarely"/>
    <n v="1334"/>
    <x v="0"/>
    <n v="4"/>
    <n v="2"/>
    <s v="Medical"/>
    <n v="1"/>
    <x v="92"/>
    <n v="3"/>
    <x v="1"/>
    <x v="0"/>
    <n v="63"/>
    <n v="2"/>
    <n v="2"/>
    <x v="0"/>
    <n v="2"/>
    <x v="1"/>
    <s v="Divorced"/>
    <x v="89"/>
    <x v="0"/>
    <n v="19760"/>
    <n v="1"/>
    <s v="Y"/>
    <x v="0"/>
    <n v="12"/>
    <x v="0"/>
    <x v="0"/>
    <n v="2"/>
    <n v="80"/>
    <n v="3"/>
    <n v="11"/>
    <n v="4"/>
    <n v="2"/>
    <x v="19"/>
    <n v="8"/>
    <n v="2"/>
    <n v="7"/>
    <n v="4"/>
    <x v="2"/>
    <s v=""/>
    <s v=""/>
    <s v=""/>
  </r>
  <r>
    <x v="21"/>
    <x v="1"/>
    <x v="1"/>
    <n v="0"/>
    <s v="Travel_Frequently"/>
    <n v="638"/>
    <x v="1"/>
    <n v="1"/>
    <n v="3"/>
    <s v="Medical"/>
    <n v="1"/>
    <x v="93"/>
    <n v="3"/>
    <x v="1"/>
    <x v="1"/>
    <n v="40"/>
    <n v="2"/>
    <n v="3"/>
    <x v="4"/>
    <n v="1"/>
    <x v="3"/>
    <s v="Married"/>
    <x v="90"/>
    <x v="2"/>
    <n v="3142"/>
    <n v="2"/>
    <s v="Y"/>
    <x v="0"/>
    <n v="13"/>
    <x v="0"/>
    <x v="0"/>
    <n v="3"/>
    <n v="80"/>
    <n v="1"/>
    <n v="21"/>
    <n v="5"/>
    <n v="2"/>
    <x v="1"/>
    <n v="9"/>
    <n v="9"/>
    <n v="5"/>
    <n v="4"/>
    <x v="2"/>
    <s v=""/>
    <s v=""/>
    <s v=""/>
  </r>
  <r>
    <x v="5"/>
    <x v="2"/>
    <x v="1"/>
    <n v="0"/>
    <s v="Travel_Rarely"/>
    <n v="1093"/>
    <x v="0"/>
    <n v="6"/>
    <n v="4"/>
    <s v="Medical"/>
    <n v="1"/>
    <x v="94"/>
    <n v="2"/>
    <x v="0"/>
    <x v="1"/>
    <n v="87"/>
    <n v="3"/>
    <n v="2"/>
    <x v="0"/>
    <n v="3"/>
    <x v="2"/>
    <s v="Single"/>
    <x v="91"/>
    <x v="0"/>
    <n v="24301"/>
    <n v="1"/>
    <s v="Y"/>
    <x v="1"/>
    <n v="16"/>
    <x v="2"/>
    <x v="0"/>
    <n v="1"/>
    <n v="80"/>
    <n v="0"/>
    <n v="12"/>
    <n v="0"/>
    <n v="3"/>
    <x v="19"/>
    <n v="8"/>
    <n v="5"/>
    <n v="7"/>
    <n v="2"/>
    <x v="1"/>
    <s v=""/>
    <s v=""/>
    <s v=""/>
  </r>
  <r>
    <x v="33"/>
    <x v="1"/>
    <x v="1"/>
    <n v="0"/>
    <s v="Travel_Rarely"/>
    <n v="1217"/>
    <x v="1"/>
    <n v="2"/>
    <n v="4"/>
    <s v="Technical Degree"/>
    <n v="1"/>
    <x v="95"/>
    <n v="1"/>
    <x v="3"/>
    <x v="0"/>
    <n v="60"/>
    <n v="3"/>
    <n v="3"/>
    <x v="7"/>
    <n v="3"/>
    <x v="2"/>
    <s v="Married"/>
    <x v="92"/>
    <x v="3"/>
    <n v="24001"/>
    <n v="9"/>
    <s v="Y"/>
    <x v="1"/>
    <n v="12"/>
    <x v="0"/>
    <x v="0"/>
    <n v="1"/>
    <n v="80"/>
    <n v="1"/>
    <n v="16"/>
    <n v="5"/>
    <n v="1"/>
    <x v="9"/>
    <n v="3"/>
    <n v="0"/>
    <n v="3"/>
    <n v="0"/>
    <x v="1"/>
    <s v=""/>
    <s v=""/>
    <s v=""/>
  </r>
  <r>
    <x v="17"/>
    <x v="4"/>
    <x v="1"/>
    <n v="0"/>
    <s v="Travel_Rarely"/>
    <n v="1353"/>
    <x v="0"/>
    <n v="3"/>
    <n v="2"/>
    <s v="Other"/>
    <n v="1"/>
    <x v="96"/>
    <n v="1"/>
    <x v="3"/>
    <x v="0"/>
    <n v="33"/>
    <n v="3"/>
    <n v="2"/>
    <x v="0"/>
    <n v="3"/>
    <x v="2"/>
    <s v="Married"/>
    <x v="93"/>
    <x v="0"/>
    <n v="17519"/>
    <n v="0"/>
    <s v="Y"/>
    <x v="1"/>
    <n v="21"/>
    <x v="1"/>
    <x v="1"/>
    <n v="1"/>
    <n v="80"/>
    <n v="1"/>
    <n v="4"/>
    <n v="2"/>
    <n v="2"/>
    <x v="11"/>
    <n v="2"/>
    <n v="0"/>
    <n v="2"/>
    <n v="3"/>
    <x v="2"/>
    <s v=""/>
    <s v=""/>
    <s v=""/>
  </r>
  <r>
    <x v="14"/>
    <x v="2"/>
    <x v="1"/>
    <n v="0"/>
    <s v="Non-Travel"/>
    <n v="120"/>
    <x v="0"/>
    <n v="4"/>
    <n v="3"/>
    <s v="Medical"/>
    <n v="1"/>
    <x v="97"/>
    <n v="2"/>
    <x v="0"/>
    <x v="1"/>
    <n v="43"/>
    <n v="3"/>
    <n v="2"/>
    <x v="0"/>
    <n v="3"/>
    <x v="2"/>
    <s v="Married"/>
    <x v="94"/>
    <x v="0"/>
    <n v="8863"/>
    <n v="1"/>
    <s v="Y"/>
    <x v="1"/>
    <n v="15"/>
    <x v="0"/>
    <x v="0"/>
    <n v="2"/>
    <n v="80"/>
    <n v="0"/>
    <n v="5"/>
    <n v="3"/>
    <n v="4"/>
    <x v="8"/>
    <n v="4"/>
    <n v="0"/>
    <n v="4"/>
    <n v="2"/>
    <x v="1"/>
    <s v=""/>
    <s v=""/>
    <s v=""/>
  </r>
  <r>
    <x v="34"/>
    <x v="3"/>
    <x v="1"/>
    <n v="0"/>
    <s v="Travel_Rarely"/>
    <n v="682"/>
    <x v="0"/>
    <n v="10"/>
    <n v="4"/>
    <s v="Medical"/>
    <n v="1"/>
    <x v="98"/>
    <n v="4"/>
    <x v="2"/>
    <x v="1"/>
    <n v="37"/>
    <n v="3"/>
    <n v="4"/>
    <x v="0"/>
    <n v="3"/>
    <x v="2"/>
    <s v="Single"/>
    <x v="95"/>
    <x v="3"/>
    <n v="24409"/>
    <n v="0"/>
    <s v="Y"/>
    <x v="1"/>
    <n v="13"/>
    <x v="0"/>
    <x v="0"/>
    <n v="3"/>
    <n v="80"/>
    <n v="0"/>
    <n v="38"/>
    <n v="1"/>
    <n v="2"/>
    <x v="21"/>
    <n v="10"/>
    <n v="1"/>
    <n v="8"/>
    <n v="0"/>
    <x v="1"/>
    <s v=""/>
    <s v=""/>
    <s v=""/>
  </r>
  <r>
    <x v="20"/>
    <x v="0"/>
    <x v="1"/>
    <n v="0"/>
    <s v="Non-Travel"/>
    <n v="489"/>
    <x v="1"/>
    <n v="23"/>
    <n v="3"/>
    <s v="Medical"/>
    <n v="1"/>
    <x v="99"/>
    <n v="2"/>
    <x v="0"/>
    <x v="1"/>
    <n v="67"/>
    <n v="3"/>
    <n v="2"/>
    <x v="2"/>
    <n v="2"/>
    <x v="1"/>
    <s v="Married"/>
    <x v="96"/>
    <x v="1"/>
    <n v="25043"/>
    <n v="4"/>
    <s v="Y"/>
    <x v="1"/>
    <n v="12"/>
    <x v="0"/>
    <x v="0"/>
    <n v="3"/>
    <n v="80"/>
    <n v="1"/>
    <n v="17"/>
    <n v="3"/>
    <n v="4"/>
    <x v="11"/>
    <n v="2"/>
    <n v="1"/>
    <n v="2"/>
    <n v="3"/>
    <x v="2"/>
    <s v=""/>
    <s v=""/>
    <s v=""/>
  </r>
  <r>
    <x v="2"/>
    <x v="0"/>
    <x v="0"/>
    <n v="1"/>
    <s v="Travel_Rarely"/>
    <n v="807"/>
    <x v="2"/>
    <n v="6"/>
    <n v="4"/>
    <s v="Human Resources"/>
    <n v="1"/>
    <x v="100"/>
    <n v="3"/>
    <x v="1"/>
    <x v="1"/>
    <n v="63"/>
    <n v="3"/>
    <n v="1"/>
    <x v="8"/>
    <n v="1"/>
    <x v="3"/>
    <s v="Divorced"/>
    <x v="97"/>
    <x v="1"/>
    <n v="23648"/>
    <n v="4"/>
    <s v="Y"/>
    <x v="0"/>
    <n v="22"/>
    <x v="1"/>
    <x v="1"/>
    <n v="4"/>
    <n v="80"/>
    <n v="0"/>
    <n v="7"/>
    <n v="3"/>
    <n v="3"/>
    <x v="11"/>
    <n v="2"/>
    <n v="0"/>
    <n v="2"/>
    <s v=""/>
    <x v="0"/>
    <s v=""/>
    <s v=""/>
    <s v=""/>
  </r>
  <r>
    <x v="5"/>
    <x v="2"/>
    <x v="1"/>
    <n v="0"/>
    <s v="Travel_Rarely"/>
    <n v="827"/>
    <x v="1"/>
    <n v="1"/>
    <n v="1"/>
    <s v="Life Sciences"/>
    <n v="1"/>
    <x v="101"/>
    <n v="4"/>
    <x v="2"/>
    <x v="1"/>
    <n v="71"/>
    <n v="3"/>
    <n v="1"/>
    <x v="1"/>
    <n v="1"/>
    <x v="3"/>
    <s v="Single"/>
    <x v="98"/>
    <x v="1"/>
    <n v="15178"/>
    <n v="1"/>
    <s v="Y"/>
    <x v="1"/>
    <n v="13"/>
    <x v="0"/>
    <x v="0"/>
    <n v="4"/>
    <n v="80"/>
    <n v="0"/>
    <n v="1"/>
    <n v="2"/>
    <n v="3"/>
    <x v="6"/>
    <n v="0"/>
    <n v="0"/>
    <n v="0"/>
    <n v="5"/>
    <x v="2"/>
    <s v=""/>
    <s v=""/>
    <s v=""/>
  </r>
  <r>
    <x v="35"/>
    <x v="4"/>
    <x v="0"/>
    <n v="1"/>
    <s v="Travel_Frequently"/>
    <n v="871"/>
    <x v="1"/>
    <n v="6"/>
    <n v="3"/>
    <s v="Life Sciences"/>
    <n v="1"/>
    <x v="102"/>
    <n v="4"/>
    <x v="2"/>
    <x v="0"/>
    <n v="66"/>
    <n v="2"/>
    <n v="1"/>
    <x v="2"/>
    <n v="4"/>
    <x v="0"/>
    <s v="Single"/>
    <x v="99"/>
    <x v="1"/>
    <n v="19783"/>
    <n v="1"/>
    <s v="Y"/>
    <x v="0"/>
    <n v="18"/>
    <x v="2"/>
    <x v="0"/>
    <n v="2"/>
    <n v="80"/>
    <n v="0"/>
    <n v="1"/>
    <n v="5"/>
    <n v="3"/>
    <x v="6"/>
    <n v="0"/>
    <n v="1"/>
    <n v="0"/>
    <s v=""/>
    <x v="0"/>
    <s v=""/>
    <s v=""/>
    <s v=""/>
  </r>
  <r>
    <x v="13"/>
    <x v="2"/>
    <x v="1"/>
    <n v="0"/>
    <s v="Travel_Rarely"/>
    <n v="665"/>
    <x v="1"/>
    <n v="6"/>
    <n v="4"/>
    <s v="Other"/>
    <n v="1"/>
    <x v="103"/>
    <n v="1"/>
    <x v="3"/>
    <x v="0"/>
    <n v="41"/>
    <n v="3"/>
    <n v="2"/>
    <x v="1"/>
    <n v="3"/>
    <x v="2"/>
    <s v="Single"/>
    <x v="100"/>
    <x v="0"/>
    <n v="12482"/>
    <n v="1"/>
    <s v="Y"/>
    <x v="1"/>
    <n v="14"/>
    <x v="0"/>
    <x v="0"/>
    <n v="3"/>
    <n v="80"/>
    <n v="0"/>
    <n v="16"/>
    <n v="3"/>
    <n v="3"/>
    <x v="22"/>
    <n v="13"/>
    <n v="2"/>
    <n v="10"/>
    <n v="2"/>
    <x v="1"/>
    <s v=""/>
    <s v=""/>
    <s v=""/>
  </r>
  <r>
    <x v="2"/>
    <x v="0"/>
    <x v="1"/>
    <n v="0"/>
    <s v="Non-Travel"/>
    <n v="1040"/>
    <x v="1"/>
    <n v="2"/>
    <n v="2"/>
    <s v="Life Sciences"/>
    <n v="1"/>
    <x v="104"/>
    <n v="3"/>
    <x v="1"/>
    <x v="1"/>
    <n v="100"/>
    <n v="2"/>
    <n v="2"/>
    <x v="4"/>
    <n v="4"/>
    <x v="0"/>
    <s v="Divorced"/>
    <x v="101"/>
    <x v="0"/>
    <n v="15850"/>
    <n v="5"/>
    <s v="Y"/>
    <x v="1"/>
    <n v="14"/>
    <x v="0"/>
    <x v="0"/>
    <n v="4"/>
    <n v="80"/>
    <n v="1"/>
    <n v="17"/>
    <n v="2"/>
    <n v="4"/>
    <x v="6"/>
    <n v="0"/>
    <n v="0"/>
    <n v="0"/>
    <n v="1"/>
    <x v="1"/>
    <s v=""/>
    <s v=""/>
    <s v=""/>
  </r>
  <r>
    <x v="6"/>
    <x v="3"/>
    <x v="1"/>
    <n v="0"/>
    <s v="Non-Travel"/>
    <n v="1420"/>
    <x v="2"/>
    <n v="2"/>
    <n v="4"/>
    <s v="Human Resources"/>
    <n v="1"/>
    <x v="105"/>
    <n v="3"/>
    <x v="1"/>
    <x v="0"/>
    <n v="32"/>
    <n v="2"/>
    <n v="5"/>
    <x v="5"/>
    <n v="4"/>
    <x v="0"/>
    <s v="Married"/>
    <x v="102"/>
    <x v="4"/>
    <n v="21922"/>
    <n v="9"/>
    <s v="Y"/>
    <x v="1"/>
    <n v="21"/>
    <x v="1"/>
    <x v="1"/>
    <n v="4"/>
    <n v="80"/>
    <n v="1"/>
    <n v="30"/>
    <n v="3"/>
    <n v="3"/>
    <x v="11"/>
    <n v="2"/>
    <n v="2"/>
    <n v="2"/>
    <n v="0"/>
    <x v="1"/>
    <s v=""/>
    <s v=""/>
    <s v=""/>
  </r>
  <r>
    <x v="24"/>
    <x v="1"/>
    <x v="1"/>
    <n v="0"/>
    <s v="Travel_Frequently"/>
    <n v="1115"/>
    <x v="1"/>
    <n v="1"/>
    <n v="3"/>
    <s v="Life Sciences"/>
    <n v="1"/>
    <x v="106"/>
    <n v="1"/>
    <x v="3"/>
    <x v="0"/>
    <n v="73"/>
    <n v="3"/>
    <n v="5"/>
    <x v="7"/>
    <n v="2"/>
    <x v="1"/>
    <s v="Married"/>
    <x v="103"/>
    <x v="4"/>
    <n v="9755"/>
    <n v="3"/>
    <s v="Y"/>
    <x v="0"/>
    <n v="19"/>
    <x v="2"/>
    <x v="0"/>
    <n v="1"/>
    <n v="80"/>
    <n v="0"/>
    <n v="28"/>
    <n v="1"/>
    <n v="2"/>
    <x v="3"/>
    <n v="3"/>
    <n v="0"/>
    <n v="7"/>
    <n v="2"/>
    <x v="1"/>
    <s v=""/>
    <s v=""/>
    <s v=""/>
  </r>
  <r>
    <x v="36"/>
    <x v="2"/>
    <x v="0"/>
    <n v="1"/>
    <s v="Travel_Rarely"/>
    <n v="240"/>
    <x v="0"/>
    <n v="5"/>
    <n v="3"/>
    <s v="Marketing"/>
    <n v="1"/>
    <x v="107"/>
    <n v="3"/>
    <x v="1"/>
    <x v="1"/>
    <n v="46"/>
    <n v="2"/>
    <n v="2"/>
    <x v="0"/>
    <n v="3"/>
    <x v="2"/>
    <s v="Single"/>
    <x v="104"/>
    <x v="0"/>
    <n v="26959"/>
    <n v="1"/>
    <s v="Y"/>
    <x v="0"/>
    <n v="11"/>
    <x v="0"/>
    <x v="0"/>
    <n v="4"/>
    <n v="80"/>
    <n v="0"/>
    <n v="6"/>
    <n v="1"/>
    <n v="3"/>
    <x v="0"/>
    <n v="4"/>
    <n v="0"/>
    <n v="3"/>
    <s v=""/>
    <x v="0"/>
    <s v=""/>
    <s v=""/>
    <s v=""/>
  </r>
  <r>
    <x v="36"/>
    <x v="2"/>
    <x v="1"/>
    <n v="0"/>
    <s v="Travel_Rarely"/>
    <n v="1280"/>
    <x v="1"/>
    <n v="7"/>
    <n v="1"/>
    <s v="Medical"/>
    <n v="1"/>
    <x v="108"/>
    <n v="4"/>
    <x v="2"/>
    <x v="1"/>
    <n v="64"/>
    <n v="2"/>
    <n v="1"/>
    <x v="1"/>
    <n v="4"/>
    <x v="0"/>
    <s v="Married"/>
    <x v="105"/>
    <x v="1"/>
    <n v="26897"/>
    <n v="1"/>
    <s v="Y"/>
    <x v="1"/>
    <n v="11"/>
    <x v="0"/>
    <x v="0"/>
    <n v="3"/>
    <n v="80"/>
    <n v="2"/>
    <n v="2"/>
    <n v="2"/>
    <n v="3"/>
    <x v="4"/>
    <n v="2"/>
    <n v="2"/>
    <n v="1"/>
    <n v="3"/>
    <x v="2"/>
    <s v=""/>
    <s v=""/>
    <s v=""/>
  </r>
  <r>
    <x v="15"/>
    <x v="4"/>
    <x v="1"/>
    <n v="0"/>
    <s v="Travel_Rarely"/>
    <n v="534"/>
    <x v="1"/>
    <n v="15"/>
    <n v="3"/>
    <s v="Medical"/>
    <n v="1"/>
    <x v="109"/>
    <n v="2"/>
    <x v="0"/>
    <x v="0"/>
    <n v="59"/>
    <n v="3"/>
    <n v="1"/>
    <x v="2"/>
    <n v="4"/>
    <x v="0"/>
    <s v="Single"/>
    <x v="106"/>
    <x v="1"/>
    <n v="23785"/>
    <n v="1"/>
    <s v="Y"/>
    <x v="1"/>
    <n v="15"/>
    <x v="0"/>
    <x v="0"/>
    <n v="3"/>
    <n v="80"/>
    <n v="0"/>
    <n v="1"/>
    <n v="5"/>
    <n v="3"/>
    <x v="2"/>
    <n v="0"/>
    <n v="0"/>
    <n v="0"/>
    <n v="5"/>
    <x v="2"/>
    <s v=""/>
    <s v=""/>
    <s v=""/>
  </r>
  <r>
    <x v="31"/>
    <x v="1"/>
    <x v="1"/>
    <n v="0"/>
    <s v="Travel_Frequently"/>
    <n v="1456"/>
    <x v="1"/>
    <n v="1"/>
    <n v="4"/>
    <s v="Medical"/>
    <n v="1"/>
    <x v="110"/>
    <n v="1"/>
    <x v="3"/>
    <x v="0"/>
    <n v="30"/>
    <n v="2"/>
    <n v="3"/>
    <x v="4"/>
    <n v="1"/>
    <x v="3"/>
    <s v="Single"/>
    <x v="107"/>
    <x v="0"/>
    <n v="25796"/>
    <n v="3"/>
    <s v="Y"/>
    <x v="1"/>
    <n v="20"/>
    <x v="2"/>
    <x v="1"/>
    <n v="3"/>
    <n v="80"/>
    <n v="0"/>
    <n v="23"/>
    <n v="1"/>
    <n v="2"/>
    <x v="20"/>
    <n v="12"/>
    <n v="12"/>
    <n v="8"/>
    <n v="3"/>
    <x v="2"/>
    <s v=""/>
    <s v=""/>
    <s v=""/>
  </r>
  <r>
    <x v="13"/>
    <x v="2"/>
    <x v="0"/>
    <n v="1"/>
    <s v="Travel_Frequently"/>
    <n v="658"/>
    <x v="1"/>
    <n v="7"/>
    <n v="3"/>
    <s v="Life Sciences"/>
    <n v="1"/>
    <x v="111"/>
    <n v="1"/>
    <x v="3"/>
    <x v="1"/>
    <n v="66"/>
    <n v="1"/>
    <n v="2"/>
    <x v="2"/>
    <n v="3"/>
    <x v="2"/>
    <s v="Single"/>
    <x v="108"/>
    <x v="0"/>
    <n v="22887"/>
    <n v="1"/>
    <s v="Y"/>
    <x v="0"/>
    <n v="24"/>
    <x v="1"/>
    <x v="1"/>
    <n v="4"/>
    <n v="80"/>
    <n v="0"/>
    <n v="9"/>
    <n v="3"/>
    <n v="3"/>
    <x v="7"/>
    <n v="7"/>
    <n v="0"/>
    <n v="6"/>
    <s v=""/>
    <x v="0"/>
    <s v=""/>
    <s v=""/>
    <s v=""/>
  </r>
  <r>
    <x v="33"/>
    <x v="1"/>
    <x v="1"/>
    <n v="0"/>
    <s v="Non-Travel"/>
    <n v="142"/>
    <x v="2"/>
    <n v="26"/>
    <n v="3"/>
    <s v="Human Resources"/>
    <n v="1"/>
    <x v="112"/>
    <n v="4"/>
    <x v="2"/>
    <x v="0"/>
    <n v="30"/>
    <n v="4"/>
    <n v="4"/>
    <x v="5"/>
    <n v="4"/>
    <x v="0"/>
    <s v="Single"/>
    <x v="109"/>
    <x v="4"/>
    <n v="13871"/>
    <n v="2"/>
    <s v="Y"/>
    <x v="0"/>
    <n v="12"/>
    <x v="0"/>
    <x v="0"/>
    <n v="3"/>
    <n v="80"/>
    <n v="0"/>
    <n v="23"/>
    <n v="3"/>
    <n v="3"/>
    <x v="8"/>
    <n v="3"/>
    <n v="4"/>
    <n v="4"/>
    <n v="2"/>
    <x v="1"/>
    <s v=""/>
    <s v=""/>
    <s v=""/>
  </r>
  <r>
    <x v="17"/>
    <x v="4"/>
    <x v="1"/>
    <n v="0"/>
    <s v="Travel_Rarely"/>
    <n v="1127"/>
    <x v="1"/>
    <n v="18"/>
    <n v="1"/>
    <s v="Life Sciences"/>
    <n v="1"/>
    <x v="113"/>
    <n v="2"/>
    <x v="0"/>
    <x v="1"/>
    <n v="52"/>
    <n v="3"/>
    <n v="1"/>
    <x v="2"/>
    <n v="3"/>
    <x v="2"/>
    <s v="Married"/>
    <x v="110"/>
    <x v="1"/>
    <n v="13257"/>
    <n v="0"/>
    <s v="Y"/>
    <x v="1"/>
    <n v="12"/>
    <x v="0"/>
    <x v="0"/>
    <n v="3"/>
    <n v="80"/>
    <n v="1"/>
    <n v="6"/>
    <n v="2"/>
    <n v="3"/>
    <x v="8"/>
    <n v="3"/>
    <n v="1"/>
    <n v="2"/>
    <n v="5"/>
    <x v="2"/>
    <s v=""/>
    <s v=""/>
    <s v=""/>
  </r>
  <r>
    <x v="13"/>
    <x v="2"/>
    <x v="1"/>
    <n v="0"/>
    <s v="Travel_Rarely"/>
    <n v="1031"/>
    <x v="1"/>
    <n v="6"/>
    <n v="4"/>
    <s v="Life Sciences"/>
    <n v="1"/>
    <x v="114"/>
    <n v="3"/>
    <x v="1"/>
    <x v="0"/>
    <n v="45"/>
    <n v="2"/>
    <n v="2"/>
    <x v="1"/>
    <n v="2"/>
    <x v="1"/>
    <s v="Divorced"/>
    <x v="111"/>
    <x v="0"/>
    <n v="15000"/>
    <n v="6"/>
    <s v="Y"/>
    <x v="1"/>
    <n v="15"/>
    <x v="0"/>
    <x v="0"/>
    <n v="3"/>
    <n v="80"/>
    <n v="1"/>
    <n v="12"/>
    <n v="3"/>
    <n v="3"/>
    <x v="6"/>
    <n v="0"/>
    <n v="0"/>
    <n v="0"/>
    <n v="2"/>
    <x v="1"/>
    <s v=""/>
    <s v=""/>
    <s v=""/>
  </r>
  <r>
    <x v="2"/>
    <x v="0"/>
    <x v="1"/>
    <n v="0"/>
    <s v="Travel_Rarely"/>
    <n v="1189"/>
    <x v="0"/>
    <n v="3"/>
    <n v="3"/>
    <s v="Life Sciences"/>
    <n v="1"/>
    <x v="115"/>
    <n v="3"/>
    <x v="1"/>
    <x v="1"/>
    <n v="87"/>
    <n v="3"/>
    <n v="3"/>
    <x v="0"/>
    <n v="4"/>
    <x v="0"/>
    <s v="Single"/>
    <x v="112"/>
    <x v="0"/>
    <n v="14506"/>
    <n v="2"/>
    <s v="Y"/>
    <x v="1"/>
    <n v="12"/>
    <x v="0"/>
    <x v="0"/>
    <n v="1"/>
    <n v="80"/>
    <n v="0"/>
    <n v="12"/>
    <n v="3"/>
    <n v="3"/>
    <x v="8"/>
    <n v="3"/>
    <n v="1"/>
    <n v="3"/>
    <n v="1"/>
    <x v="1"/>
    <s v=""/>
    <s v=""/>
    <s v=""/>
  </r>
  <r>
    <x v="13"/>
    <x v="2"/>
    <x v="1"/>
    <n v="0"/>
    <s v="Travel_Rarely"/>
    <n v="1354"/>
    <x v="1"/>
    <n v="5"/>
    <n v="3"/>
    <s v="Medical"/>
    <n v="1"/>
    <x v="116"/>
    <n v="3"/>
    <x v="1"/>
    <x v="0"/>
    <n v="45"/>
    <n v="2"/>
    <n v="3"/>
    <x v="5"/>
    <n v="1"/>
    <x v="3"/>
    <s v="Single"/>
    <x v="113"/>
    <x v="2"/>
    <n v="5615"/>
    <n v="2"/>
    <s v="Y"/>
    <x v="1"/>
    <n v="12"/>
    <x v="0"/>
    <x v="0"/>
    <n v="4"/>
    <n v="80"/>
    <n v="0"/>
    <n v="14"/>
    <n v="6"/>
    <n v="3"/>
    <x v="19"/>
    <n v="10"/>
    <n v="5"/>
    <n v="8"/>
    <n v="3"/>
    <x v="2"/>
    <s v=""/>
    <s v=""/>
    <s v=""/>
  </r>
  <r>
    <x v="9"/>
    <x v="0"/>
    <x v="1"/>
    <n v="0"/>
    <s v="Travel_Frequently"/>
    <n v="1467"/>
    <x v="0"/>
    <n v="11"/>
    <n v="2"/>
    <s v="Technical Degree"/>
    <n v="1"/>
    <x v="117"/>
    <n v="2"/>
    <x v="0"/>
    <x v="0"/>
    <n v="92"/>
    <n v="3"/>
    <n v="3"/>
    <x v="0"/>
    <n v="4"/>
    <x v="0"/>
    <s v="Married"/>
    <x v="114"/>
    <x v="2"/>
    <n v="22952"/>
    <n v="0"/>
    <s v="Y"/>
    <x v="1"/>
    <n v="14"/>
    <x v="0"/>
    <x v="0"/>
    <n v="3"/>
    <n v="80"/>
    <n v="1"/>
    <n v="10"/>
    <n v="6"/>
    <n v="3"/>
    <x v="7"/>
    <n v="7"/>
    <n v="2"/>
    <n v="8"/>
    <n v="0"/>
    <x v="1"/>
    <s v=""/>
    <s v=""/>
    <s v=""/>
  </r>
  <r>
    <x v="9"/>
    <x v="0"/>
    <x v="1"/>
    <n v="0"/>
    <s v="Travel_Rarely"/>
    <n v="922"/>
    <x v="1"/>
    <n v="3"/>
    <n v="2"/>
    <s v="Life Sciences"/>
    <n v="1"/>
    <x v="118"/>
    <n v="1"/>
    <x v="3"/>
    <x v="0"/>
    <n v="39"/>
    <n v="3"/>
    <n v="1"/>
    <x v="2"/>
    <n v="4"/>
    <x v="0"/>
    <s v="Divorced"/>
    <x v="115"/>
    <x v="1"/>
    <n v="2561"/>
    <n v="5"/>
    <s v="Y"/>
    <x v="1"/>
    <n v="22"/>
    <x v="1"/>
    <x v="1"/>
    <n v="1"/>
    <n v="80"/>
    <n v="1"/>
    <n v="7"/>
    <n v="2"/>
    <n v="3"/>
    <x v="6"/>
    <n v="0"/>
    <n v="0"/>
    <n v="0"/>
    <n v="3"/>
    <x v="2"/>
    <s v=""/>
    <s v=""/>
    <s v=""/>
  </r>
  <r>
    <x v="23"/>
    <x v="0"/>
    <x v="1"/>
    <n v="0"/>
    <s v="Travel_Frequently"/>
    <n v="394"/>
    <x v="0"/>
    <n v="26"/>
    <n v="2"/>
    <s v="Life Sciences"/>
    <n v="1"/>
    <x v="119"/>
    <n v="3"/>
    <x v="1"/>
    <x v="1"/>
    <n v="92"/>
    <n v="3"/>
    <n v="4"/>
    <x v="5"/>
    <n v="4"/>
    <x v="0"/>
    <s v="Married"/>
    <x v="116"/>
    <x v="4"/>
    <n v="19494"/>
    <n v="1"/>
    <s v="Y"/>
    <x v="0"/>
    <n v="12"/>
    <x v="0"/>
    <x v="0"/>
    <n v="4"/>
    <n v="80"/>
    <n v="2"/>
    <n v="25"/>
    <n v="3"/>
    <n v="4"/>
    <x v="10"/>
    <n v="12"/>
    <n v="4"/>
    <n v="12"/>
    <n v="2"/>
    <x v="1"/>
    <s v=""/>
    <s v=""/>
    <s v=""/>
  </r>
  <r>
    <x v="7"/>
    <x v="2"/>
    <x v="1"/>
    <n v="0"/>
    <s v="Travel_Frequently"/>
    <n v="1312"/>
    <x v="1"/>
    <n v="23"/>
    <n v="3"/>
    <s v="Life Sciences"/>
    <n v="1"/>
    <x v="120"/>
    <n v="1"/>
    <x v="3"/>
    <x v="1"/>
    <n v="96"/>
    <n v="1"/>
    <n v="1"/>
    <x v="1"/>
    <n v="3"/>
    <x v="2"/>
    <s v="Divorced"/>
    <x v="117"/>
    <x v="1"/>
    <n v="22310"/>
    <n v="1"/>
    <s v="Y"/>
    <x v="1"/>
    <n v="25"/>
    <x v="1"/>
    <x v="1"/>
    <n v="3"/>
    <n v="80"/>
    <n v="3"/>
    <n v="10"/>
    <n v="2"/>
    <n v="2"/>
    <x v="1"/>
    <n v="7"/>
    <n v="0"/>
    <n v="9"/>
    <n v="3"/>
    <x v="2"/>
    <s v=""/>
    <s v=""/>
    <s v=""/>
  </r>
  <r>
    <x v="3"/>
    <x v="2"/>
    <x v="1"/>
    <n v="0"/>
    <s v="Non-Travel"/>
    <n v="750"/>
    <x v="0"/>
    <n v="22"/>
    <n v="2"/>
    <s v="Marketing"/>
    <n v="1"/>
    <x v="121"/>
    <n v="3"/>
    <x v="1"/>
    <x v="1"/>
    <n v="95"/>
    <n v="3"/>
    <n v="2"/>
    <x v="0"/>
    <n v="2"/>
    <x v="1"/>
    <s v="Married"/>
    <x v="118"/>
    <x v="0"/>
    <n v="15480"/>
    <n v="0"/>
    <s v="Y"/>
    <x v="1"/>
    <n v="13"/>
    <x v="0"/>
    <x v="0"/>
    <n v="1"/>
    <n v="80"/>
    <n v="1"/>
    <n v="8"/>
    <n v="2"/>
    <n v="4"/>
    <x v="5"/>
    <n v="7"/>
    <n v="0"/>
    <n v="7"/>
    <n v="2"/>
    <x v="1"/>
    <s v=""/>
    <s v=""/>
    <s v=""/>
  </r>
  <r>
    <x v="29"/>
    <x v="3"/>
    <x v="0"/>
    <n v="1"/>
    <s v="Travel_Rarely"/>
    <n v="441"/>
    <x v="1"/>
    <n v="14"/>
    <n v="4"/>
    <s v="Life Sciences"/>
    <n v="1"/>
    <x v="122"/>
    <n v="2"/>
    <x v="0"/>
    <x v="0"/>
    <n v="72"/>
    <n v="3"/>
    <n v="1"/>
    <x v="1"/>
    <n v="2"/>
    <x v="1"/>
    <s v="Married"/>
    <x v="119"/>
    <x v="0"/>
    <n v="4510"/>
    <n v="9"/>
    <s v="Y"/>
    <x v="0"/>
    <n v="18"/>
    <x v="2"/>
    <x v="0"/>
    <n v="1"/>
    <n v="80"/>
    <n v="3"/>
    <n v="7"/>
    <n v="2"/>
    <n v="3"/>
    <x v="8"/>
    <n v="4"/>
    <n v="4"/>
    <n v="3"/>
    <s v=""/>
    <x v="0"/>
    <s v=""/>
    <s v=""/>
    <s v=""/>
  </r>
  <r>
    <x v="31"/>
    <x v="1"/>
    <x v="1"/>
    <n v="0"/>
    <s v="Travel_Rarely"/>
    <n v="684"/>
    <x v="1"/>
    <n v="6"/>
    <n v="3"/>
    <s v="Life Sciences"/>
    <n v="1"/>
    <x v="123"/>
    <n v="1"/>
    <x v="3"/>
    <x v="1"/>
    <n v="51"/>
    <n v="3"/>
    <n v="5"/>
    <x v="7"/>
    <n v="3"/>
    <x v="2"/>
    <s v="Single"/>
    <x v="120"/>
    <x v="4"/>
    <n v="6462"/>
    <n v="7"/>
    <s v="Y"/>
    <x v="1"/>
    <n v="13"/>
    <x v="0"/>
    <x v="0"/>
    <n v="3"/>
    <n v="80"/>
    <n v="0"/>
    <n v="23"/>
    <n v="5"/>
    <n v="3"/>
    <x v="23"/>
    <n v="18"/>
    <n v="15"/>
    <n v="15"/>
    <n v="0"/>
    <x v="1"/>
    <s v=""/>
    <s v=""/>
    <s v=""/>
  </r>
  <r>
    <x v="12"/>
    <x v="2"/>
    <x v="0"/>
    <n v="1"/>
    <s v="Travel_Rarely"/>
    <n v="249"/>
    <x v="0"/>
    <n v="6"/>
    <n v="4"/>
    <s v="Life Sciences"/>
    <n v="1"/>
    <x v="124"/>
    <n v="2"/>
    <x v="0"/>
    <x v="1"/>
    <n v="76"/>
    <n v="1"/>
    <n v="2"/>
    <x v="0"/>
    <n v="3"/>
    <x v="2"/>
    <s v="Married"/>
    <x v="121"/>
    <x v="0"/>
    <n v="20739"/>
    <n v="4"/>
    <s v="Y"/>
    <x v="0"/>
    <n v="18"/>
    <x v="2"/>
    <x v="0"/>
    <n v="2"/>
    <n v="80"/>
    <n v="0"/>
    <n v="12"/>
    <n v="3"/>
    <n v="2"/>
    <x v="5"/>
    <n v="7"/>
    <n v="7"/>
    <n v="7"/>
    <s v=""/>
    <x v="0"/>
    <s v=""/>
    <s v=""/>
    <s v=""/>
  </r>
  <r>
    <x v="25"/>
    <x v="2"/>
    <x v="1"/>
    <n v="0"/>
    <s v="Travel_Rarely"/>
    <n v="841"/>
    <x v="1"/>
    <n v="6"/>
    <n v="3"/>
    <s v="Other"/>
    <n v="1"/>
    <x v="125"/>
    <n v="3"/>
    <x v="1"/>
    <x v="0"/>
    <n v="46"/>
    <n v="2"/>
    <n v="1"/>
    <x v="1"/>
    <n v="2"/>
    <x v="1"/>
    <s v="Married"/>
    <x v="122"/>
    <x v="1"/>
    <n v="23300"/>
    <n v="1"/>
    <s v="Y"/>
    <x v="1"/>
    <n v="19"/>
    <x v="2"/>
    <x v="0"/>
    <n v="3"/>
    <n v="80"/>
    <n v="0"/>
    <n v="5"/>
    <n v="3"/>
    <n v="2"/>
    <x v="8"/>
    <n v="4"/>
    <n v="4"/>
    <n v="3"/>
    <n v="3"/>
    <x v="2"/>
    <s v=""/>
    <s v=""/>
    <s v=""/>
  </r>
  <r>
    <x v="34"/>
    <x v="3"/>
    <x v="0"/>
    <n v="1"/>
    <s v="Travel_Rarely"/>
    <n v="147"/>
    <x v="1"/>
    <n v="23"/>
    <n v="4"/>
    <s v="Medical"/>
    <n v="1"/>
    <x v="126"/>
    <n v="4"/>
    <x v="2"/>
    <x v="0"/>
    <n v="94"/>
    <n v="3"/>
    <n v="3"/>
    <x v="4"/>
    <n v="4"/>
    <x v="0"/>
    <s v="Married"/>
    <x v="123"/>
    <x v="2"/>
    <n v="3465"/>
    <n v="1"/>
    <s v="Y"/>
    <x v="1"/>
    <n v="12"/>
    <x v="0"/>
    <x v="0"/>
    <n v="4"/>
    <n v="80"/>
    <n v="1"/>
    <n v="40"/>
    <n v="3"/>
    <n v="2"/>
    <x v="24"/>
    <n v="10"/>
    <n v="15"/>
    <n v="6"/>
    <s v=""/>
    <x v="0"/>
    <s v=""/>
    <s v=""/>
    <s v=""/>
  </r>
  <r>
    <x v="37"/>
    <x v="4"/>
    <x v="0"/>
    <n v="1"/>
    <s v="Travel_Rarely"/>
    <n v="528"/>
    <x v="0"/>
    <n v="22"/>
    <n v="1"/>
    <s v="Marketing"/>
    <n v="1"/>
    <x v="127"/>
    <n v="4"/>
    <x v="2"/>
    <x v="1"/>
    <n v="50"/>
    <n v="3"/>
    <n v="1"/>
    <x v="6"/>
    <n v="3"/>
    <x v="2"/>
    <s v="Single"/>
    <x v="124"/>
    <x v="1"/>
    <n v="26820"/>
    <n v="1"/>
    <s v="Y"/>
    <x v="0"/>
    <n v="19"/>
    <x v="2"/>
    <x v="0"/>
    <n v="4"/>
    <n v="80"/>
    <n v="0"/>
    <n v="0"/>
    <n v="2"/>
    <n v="2"/>
    <x v="2"/>
    <n v="0"/>
    <n v="0"/>
    <n v="0"/>
    <s v=""/>
    <x v="0"/>
    <s v=""/>
    <s v=""/>
    <s v=""/>
  </r>
  <r>
    <x v="15"/>
    <x v="4"/>
    <x v="1"/>
    <n v="0"/>
    <s v="Travel_Rarely"/>
    <n v="594"/>
    <x v="1"/>
    <n v="2"/>
    <n v="1"/>
    <s v="Technical Degree"/>
    <n v="1"/>
    <x v="128"/>
    <n v="3"/>
    <x v="1"/>
    <x v="1"/>
    <n v="100"/>
    <n v="3"/>
    <n v="1"/>
    <x v="2"/>
    <n v="4"/>
    <x v="0"/>
    <s v="Married"/>
    <x v="125"/>
    <x v="1"/>
    <n v="19299"/>
    <n v="0"/>
    <s v="Y"/>
    <x v="1"/>
    <n v="14"/>
    <x v="0"/>
    <x v="0"/>
    <n v="3"/>
    <n v="80"/>
    <n v="1"/>
    <n v="3"/>
    <n v="2"/>
    <n v="3"/>
    <x v="4"/>
    <n v="1"/>
    <n v="2"/>
    <n v="1"/>
    <n v="5"/>
    <x v="2"/>
    <s v=""/>
    <s v=""/>
    <s v=""/>
  </r>
  <r>
    <x v="1"/>
    <x v="1"/>
    <x v="1"/>
    <n v="0"/>
    <s v="Travel_Rarely"/>
    <n v="470"/>
    <x v="1"/>
    <n v="20"/>
    <n v="4"/>
    <s v="Medical"/>
    <n v="1"/>
    <x v="129"/>
    <n v="3"/>
    <x v="1"/>
    <x v="0"/>
    <n v="96"/>
    <n v="3"/>
    <n v="2"/>
    <x v="3"/>
    <n v="1"/>
    <x v="3"/>
    <s v="Married"/>
    <x v="126"/>
    <x v="0"/>
    <n v="5549"/>
    <n v="1"/>
    <s v="Y"/>
    <x v="1"/>
    <n v="14"/>
    <x v="0"/>
    <x v="0"/>
    <n v="3"/>
    <n v="80"/>
    <n v="0"/>
    <n v="16"/>
    <n v="2"/>
    <n v="2"/>
    <x v="15"/>
    <n v="11"/>
    <n v="5"/>
    <n v="11"/>
    <n v="3"/>
    <x v="2"/>
    <s v=""/>
    <s v=""/>
    <s v=""/>
  </r>
  <r>
    <x v="23"/>
    <x v="0"/>
    <x v="1"/>
    <n v="0"/>
    <s v="Travel_Frequently"/>
    <n v="957"/>
    <x v="1"/>
    <n v="28"/>
    <n v="3"/>
    <s v="Medical"/>
    <n v="1"/>
    <x v="130"/>
    <n v="2"/>
    <x v="0"/>
    <x v="0"/>
    <n v="72"/>
    <n v="4"/>
    <n v="1"/>
    <x v="1"/>
    <n v="3"/>
    <x v="2"/>
    <s v="Single"/>
    <x v="127"/>
    <x v="0"/>
    <n v="16090"/>
    <n v="4"/>
    <s v="Y"/>
    <x v="1"/>
    <n v="12"/>
    <x v="0"/>
    <x v="0"/>
    <n v="4"/>
    <n v="80"/>
    <n v="0"/>
    <n v="18"/>
    <n v="2"/>
    <n v="3"/>
    <x v="11"/>
    <n v="2"/>
    <n v="1"/>
    <n v="2"/>
    <n v="1"/>
    <x v="1"/>
    <s v=""/>
    <s v=""/>
    <s v=""/>
  </r>
  <r>
    <x v="24"/>
    <x v="1"/>
    <x v="1"/>
    <n v="0"/>
    <s v="Travel_Frequently"/>
    <n v="809"/>
    <x v="0"/>
    <n v="12"/>
    <n v="3"/>
    <s v="Marketing"/>
    <n v="1"/>
    <x v="131"/>
    <n v="3"/>
    <x v="1"/>
    <x v="0"/>
    <n v="77"/>
    <n v="3"/>
    <n v="3"/>
    <x v="0"/>
    <n v="4"/>
    <x v="0"/>
    <s v="Single"/>
    <x v="128"/>
    <x v="2"/>
    <n v="6645"/>
    <n v="4"/>
    <s v="Y"/>
    <x v="1"/>
    <n v="11"/>
    <x v="0"/>
    <x v="0"/>
    <n v="4"/>
    <n v="80"/>
    <n v="0"/>
    <n v="16"/>
    <n v="3"/>
    <n v="3"/>
    <x v="4"/>
    <n v="2"/>
    <n v="2"/>
    <n v="1"/>
    <n v="0"/>
    <x v="1"/>
    <s v=""/>
    <s v=""/>
    <s v=""/>
  </r>
  <r>
    <x v="12"/>
    <x v="2"/>
    <x v="0"/>
    <n v="1"/>
    <s v="Travel_Rarely"/>
    <n v="542"/>
    <x v="0"/>
    <n v="20"/>
    <n v="3"/>
    <s v="Life Sciences"/>
    <n v="1"/>
    <x v="132"/>
    <n v="2"/>
    <x v="0"/>
    <x v="0"/>
    <n v="71"/>
    <n v="1"/>
    <n v="2"/>
    <x v="0"/>
    <n v="3"/>
    <x v="2"/>
    <s v="Married"/>
    <x v="129"/>
    <x v="0"/>
    <n v="24788"/>
    <n v="3"/>
    <s v="Y"/>
    <x v="0"/>
    <n v="11"/>
    <x v="0"/>
    <x v="0"/>
    <n v="3"/>
    <n v="80"/>
    <n v="1"/>
    <n v="4"/>
    <n v="2"/>
    <n v="3"/>
    <x v="4"/>
    <n v="2"/>
    <n v="2"/>
    <n v="2"/>
    <s v=""/>
    <x v="0"/>
    <s v=""/>
    <s v=""/>
    <s v=""/>
  </r>
  <r>
    <x v="0"/>
    <x v="0"/>
    <x v="1"/>
    <n v="0"/>
    <s v="Travel_Rarely"/>
    <n v="802"/>
    <x v="0"/>
    <n v="9"/>
    <n v="1"/>
    <s v="Life Sciences"/>
    <n v="1"/>
    <x v="133"/>
    <n v="3"/>
    <x v="1"/>
    <x v="1"/>
    <n v="96"/>
    <n v="3"/>
    <n v="3"/>
    <x v="0"/>
    <n v="3"/>
    <x v="2"/>
    <s v="Divorced"/>
    <x v="130"/>
    <x v="2"/>
    <n v="21196"/>
    <n v="3"/>
    <s v="Y"/>
    <x v="0"/>
    <n v="13"/>
    <x v="0"/>
    <x v="0"/>
    <n v="3"/>
    <n v="80"/>
    <n v="1"/>
    <n v="12"/>
    <n v="2"/>
    <n v="3"/>
    <x v="7"/>
    <n v="7"/>
    <n v="0"/>
    <n v="7"/>
    <n v="2"/>
    <x v="1"/>
    <s v=""/>
    <s v=""/>
    <s v=""/>
  </r>
  <r>
    <x v="25"/>
    <x v="2"/>
    <x v="1"/>
    <n v="0"/>
    <s v="Travel_Rarely"/>
    <n v="1355"/>
    <x v="2"/>
    <n v="25"/>
    <n v="1"/>
    <s v="Life Sciences"/>
    <n v="1"/>
    <x v="134"/>
    <n v="3"/>
    <x v="1"/>
    <x v="0"/>
    <n v="61"/>
    <n v="3"/>
    <n v="1"/>
    <x v="8"/>
    <n v="3"/>
    <x v="2"/>
    <s v="Married"/>
    <x v="131"/>
    <x v="1"/>
    <n v="8916"/>
    <n v="1"/>
    <s v="Y"/>
    <x v="1"/>
    <n v="23"/>
    <x v="1"/>
    <x v="1"/>
    <n v="4"/>
    <n v="80"/>
    <n v="1"/>
    <n v="8"/>
    <n v="3"/>
    <n v="3"/>
    <x v="3"/>
    <n v="7"/>
    <n v="5"/>
    <n v="7"/>
    <n v="4"/>
    <x v="2"/>
    <s v=""/>
    <s v=""/>
    <s v=""/>
  </r>
  <r>
    <x v="9"/>
    <x v="0"/>
    <x v="1"/>
    <n v="0"/>
    <s v="Travel_Rarely"/>
    <n v="216"/>
    <x v="1"/>
    <n v="6"/>
    <n v="2"/>
    <s v="Medical"/>
    <n v="1"/>
    <x v="135"/>
    <n v="2"/>
    <x v="0"/>
    <x v="1"/>
    <n v="84"/>
    <n v="3"/>
    <n v="2"/>
    <x v="3"/>
    <n v="2"/>
    <x v="1"/>
    <s v="Divorced"/>
    <x v="132"/>
    <x v="0"/>
    <n v="2819"/>
    <n v="6"/>
    <s v="Y"/>
    <x v="1"/>
    <n v="20"/>
    <x v="2"/>
    <x v="1"/>
    <n v="4"/>
    <n v="80"/>
    <n v="2"/>
    <n v="7"/>
    <n v="0"/>
    <n v="3"/>
    <x v="11"/>
    <n v="2"/>
    <n v="0"/>
    <n v="1"/>
    <n v="1"/>
    <x v="1"/>
    <s v=""/>
    <s v=""/>
    <s v=""/>
  </r>
  <r>
    <x v="31"/>
    <x v="1"/>
    <x v="0"/>
    <n v="1"/>
    <s v="Travel_Frequently"/>
    <n v="1150"/>
    <x v="1"/>
    <n v="8"/>
    <n v="4"/>
    <s v="Life Sciences"/>
    <n v="1"/>
    <x v="136"/>
    <n v="1"/>
    <x v="3"/>
    <x v="1"/>
    <n v="53"/>
    <n v="1"/>
    <n v="3"/>
    <x v="3"/>
    <n v="4"/>
    <x v="0"/>
    <s v="Single"/>
    <x v="133"/>
    <x v="2"/>
    <n v="25150"/>
    <n v="2"/>
    <s v="Y"/>
    <x v="1"/>
    <n v="15"/>
    <x v="0"/>
    <x v="0"/>
    <n v="4"/>
    <n v="80"/>
    <n v="0"/>
    <n v="18"/>
    <n v="2"/>
    <n v="3"/>
    <x v="9"/>
    <n v="2"/>
    <n v="0"/>
    <n v="3"/>
    <s v=""/>
    <x v="0"/>
    <s v=""/>
    <s v=""/>
    <s v=""/>
  </r>
  <r>
    <x v="22"/>
    <x v="0"/>
    <x v="1"/>
    <n v="0"/>
    <s v="Travel_Rarely"/>
    <n v="1329"/>
    <x v="0"/>
    <n v="4"/>
    <n v="4"/>
    <s v="Life Sciences"/>
    <n v="1"/>
    <x v="137"/>
    <n v="4"/>
    <x v="2"/>
    <x v="0"/>
    <n v="47"/>
    <n v="2"/>
    <n v="2"/>
    <x v="0"/>
    <n v="3"/>
    <x v="2"/>
    <s v="Married"/>
    <x v="134"/>
    <x v="0"/>
    <n v="14590"/>
    <n v="4"/>
    <s v="Y"/>
    <x v="1"/>
    <n v="14"/>
    <x v="0"/>
    <x v="0"/>
    <n v="3"/>
    <n v="80"/>
    <n v="1"/>
    <n v="17"/>
    <n v="1"/>
    <n v="4"/>
    <x v="15"/>
    <n v="11"/>
    <n v="5"/>
    <n v="9"/>
    <n v="1"/>
    <x v="1"/>
    <s v=""/>
    <s v=""/>
    <s v=""/>
  </r>
  <r>
    <x v="36"/>
    <x v="2"/>
    <x v="1"/>
    <n v="0"/>
    <s v="Travel_Rarely"/>
    <n v="959"/>
    <x v="0"/>
    <n v="28"/>
    <n v="3"/>
    <s v="Life Sciences"/>
    <n v="1"/>
    <x v="138"/>
    <n v="1"/>
    <x v="3"/>
    <x v="1"/>
    <n v="41"/>
    <n v="2"/>
    <n v="2"/>
    <x v="0"/>
    <n v="3"/>
    <x v="2"/>
    <s v="Married"/>
    <x v="135"/>
    <x v="2"/>
    <n v="24835"/>
    <n v="2"/>
    <s v="Y"/>
    <x v="1"/>
    <n v="18"/>
    <x v="2"/>
    <x v="0"/>
    <n v="4"/>
    <n v="80"/>
    <n v="0"/>
    <n v="6"/>
    <n v="3"/>
    <n v="3"/>
    <x v="4"/>
    <n v="2"/>
    <n v="2"/>
    <n v="2"/>
    <n v="1"/>
    <x v="1"/>
    <s v=""/>
    <s v=""/>
    <s v=""/>
  </r>
  <r>
    <x v="7"/>
    <x v="2"/>
    <x v="1"/>
    <n v="0"/>
    <s v="Travel_Rarely"/>
    <n v="1240"/>
    <x v="2"/>
    <n v="9"/>
    <n v="3"/>
    <s v="Human Resources"/>
    <n v="1"/>
    <x v="139"/>
    <n v="3"/>
    <x v="1"/>
    <x v="1"/>
    <n v="48"/>
    <n v="3"/>
    <n v="2"/>
    <x v="8"/>
    <n v="4"/>
    <x v="0"/>
    <s v="Married"/>
    <x v="136"/>
    <x v="0"/>
    <n v="13982"/>
    <n v="0"/>
    <s v="Y"/>
    <x v="0"/>
    <n v="19"/>
    <x v="2"/>
    <x v="0"/>
    <n v="4"/>
    <n v="80"/>
    <n v="0"/>
    <n v="12"/>
    <n v="2"/>
    <n v="1"/>
    <x v="19"/>
    <n v="9"/>
    <n v="4"/>
    <n v="7"/>
    <n v="5"/>
    <x v="2"/>
    <s v=""/>
    <s v=""/>
    <s v=""/>
  </r>
  <r>
    <x v="5"/>
    <x v="2"/>
    <x v="0"/>
    <n v="1"/>
    <s v="Travel_Rarely"/>
    <n v="1033"/>
    <x v="1"/>
    <n v="9"/>
    <n v="3"/>
    <s v="Medical"/>
    <n v="1"/>
    <x v="140"/>
    <n v="1"/>
    <x v="3"/>
    <x v="0"/>
    <n v="41"/>
    <n v="3"/>
    <n v="1"/>
    <x v="2"/>
    <n v="1"/>
    <x v="3"/>
    <s v="Single"/>
    <x v="137"/>
    <x v="0"/>
    <n v="10224"/>
    <n v="7"/>
    <s v="Y"/>
    <x v="1"/>
    <n v="22"/>
    <x v="1"/>
    <x v="1"/>
    <n v="1"/>
    <n v="80"/>
    <n v="0"/>
    <n v="10"/>
    <n v="2"/>
    <n v="4"/>
    <x v="8"/>
    <n v="4"/>
    <n v="0"/>
    <n v="4"/>
    <s v=""/>
    <x v="0"/>
    <s v=""/>
    <s v=""/>
    <s v=""/>
  </r>
  <r>
    <x v="28"/>
    <x v="1"/>
    <x v="1"/>
    <n v="0"/>
    <s v="Travel_Rarely"/>
    <n v="1316"/>
    <x v="1"/>
    <n v="29"/>
    <n v="3"/>
    <s v="Medical"/>
    <n v="1"/>
    <x v="141"/>
    <n v="3"/>
    <x v="1"/>
    <x v="1"/>
    <n v="83"/>
    <n v="3"/>
    <n v="1"/>
    <x v="1"/>
    <n v="4"/>
    <x v="0"/>
    <s v="Single"/>
    <x v="138"/>
    <x v="1"/>
    <n v="9752"/>
    <n v="5"/>
    <s v="Y"/>
    <x v="1"/>
    <n v="13"/>
    <x v="0"/>
    <x v="0"/>
    <n v="2"/>
    <n v="80"/>
    <n v="0"/>
    <n v="9"/>
    <n v="2"/>
    <n v="2"/>
    <x v="0"/>
    <n v="5"/>
    <n v="0"/>
    <n v="3"/>
    <n v="2"/>
    <x v="1"/>
    <s v=""/>
    <s v=""/>
    <s v=""/>
  </r>
  <r>
    <x v="8"/>
    <x v="0"/>
    <x v="1"/>
    <n v="0"/>
    <s v="Travel_Rarely"/>
    <n v="364"/>
    <x v="1"/>
    <n v="3"/>
    <n v="5"/>
    <s v="Technical Degree"/>
    <n v="1"/>
    <x v="142"/>
    <n v="4"/>
    <x v="2"/>
    <x v="0"/>
    <n v="32"/>
    <n v="3"/>
    <n v="2"/>
    <x v="1"/>
    <n v="3"/>
    <x v="2"/>
    <s v="Single"/>
    <x v="139"/>
    <x v="0"/>
    <n v="2302"/>
    <n v="3"/>
    <s v="Y"/>
    <x v="0"/>
    <n v="20"/>
    <x v="2"/>
    <x v="1"/>
    <n v="2"/>
    <n v="80"/>
    <n v="0"/>
    <n v="19"/>
    <n v="2"/>
    <n v="3"/>
    <x v="11"/>
    <n v="2"/>
    <n v="2"/>
    <n v="2"/>
    <n v="3"/>
    <x v="2"/>
    <s v=""/>
    <s v=""/>
    <s v=""/>
  </r>
  <r>
    <x v="7"/>
    <x v="2"/>
    <x v="1"/>
    <n v="0"/>
    <s v="Travel_Rarely"/>
    <n v="438"/>
    <x v="1"/>
    <n v="18"/>
    <n v="3"/>
    <s v="Life Sciences"/>
    <n v="1"/>
    <x v="143"/>
    <n v="1"/>
    <x v="3"/>
    <x v="0"/>
    <n v="75"/>
    <n v="3"/>
    <n v="1"/>
    <x v="1"/>
    <n v="3"/>
    <x v="2"/>
    <s v="Single"/>
    <x v="140"/>
    <x v="1"/>
    <n v="23910"/>
    <n v="1"/>
    <s v="Y"/>
    <x v="1"/>
    <n v="14"/>
    <x v="0"/>
    <x v="0"/>
    <n v="3"/>
    <n v="80"/>
    <n v="0"/>
    <n v="5"/>
    <n v="4"/>
    <n v="2"/>
    <x v="8"/>
    <n v="4"/>
    <n v="0"/>
    <n v="4"/>
    <n v="3"/>
    <x v="2"/>
    <s v=""/>
    <s v=""/>
    <s v=""/>
  </r>
  <r>
    <x v="5"/>
    <x v="2"/>
    <x v="1"/>
    <n v="0"/>
    <s v="Travel_Frequently"/>
    <n v="689"/>
    <x v="0"/>
    <n v="9"/>
    <n v="2"/>
    <s v="Medical"/>
    <n v="1"/>
    <x v="144"/>
    <n v="4"/>
    <x v="2"/>
    <x v="1"/>
    <n v="35"/>
    <n v="1"/>
    <n v="2"/>
    <x v="0"/>
    <n v="4"/>
    <x v="0"/>
    <s v="Divorced"/>
    <x v="141"/>
    <x v="0"/>
    <n v="22812"/>
    <n v="0"/>
    <s v="Y"/>
    <x v="1"/>
    <n v="17"/>
    <x v="2"/>
    <x v="0"/>
    <n v="4"/>
    <n v="80"/>
    <n v="3"/>
    <n v="9"/>
    <n v="2"/>
    <n v="4"/>
    <x v="3"/>
    <n v="7"/>
    <n v="0"/>
    <n v="7"/>
    <n v="2"/>
    <x v="1"/>
    <s v=""/>
    <s v=""/>
    <s v=""/>
  </r>
  <r>
    <x v="7"/>
    <x v="2"/>
    <x v="1"/>
    <n v="0"/>
    <s v="Travel_Rarely"/>
    <n v="201"/>
    <x v="1"/>
    <n v="5"/>
    <n v="3"/>
    <s v="Technical Degree"/>
    <n v="1"/>
    <x v="145"/>
    <n v="4"/>
    <x v="2"/>
    <x v="0"/>
    <n v="84"/>
    <n v="3"/>
    <n v="1"/>
    <x v="1"/>
    <n v="1"/>
    <x v="3"/>
    <s v="Divorced"/>
    <x v="142"/>
    <x v="1"/>
    <n v="10415"/>
    <n v="5"/>
    <s v="Y"/>
    <x v="1"/>
    <n v="14"/>
    <x v="0"/>
    <x v="0"/>
    <n v="4"/>
    <n v="80"/>
    <n v="1"/>
    <n v="8"/>
    <n v="3"/>
    <n v="3"/>
    <x v="11"/>
    <n v="2"/>
    <n v="2"/>
    <n v="2"/>
    <n v="5"/>
    <x v="2"/>
    <s v=""/>
    <s v=""/>
    <s v=""/>
  </r>
  <r>
    <x v="7"/>
    <x v="2"/>
    <x v="1"/>
    <n v="0"/>
    <s v="Travel_Rarely"/>
    <n v="1427"/>
    <x v="1"/>
    <n v="2"/>
    <n v="1"/>
    <s v="Medical"/>
    <n v="1"/>
    <x v="146"/>
    <n v="2"/>
    <x v="0"/>
    <x v="1"/>
    <n v="35"/>
    <n v="2"/>
    <n v="1"/>
    <x v="2"/>
    <n v="4"/>
    <x v="0"/>
    <s v="Single"/>
    <x v="143"/>
    <x v="1"/>
    <n v="11162"/>
    <n v="0"/>
    <s v="Y"/>
    <x v="1"/>
    <n v="13"/>
    <x v="0"/>
    <x v="0"/>
    <n v="4"/>
    <n v="80"/>
    <n v="0"/>
    <n v="6"/>
    <n v="3"/>
    <n v="3"/>
    <x v="8"/>
    <n v="3"/>
    <n v="1"/>
    <n v="2"/>
    <n v="4"/>
    <x v="2"/>
    <s v=""/>
    <s v=""/>
    <s v=""/>
  </r>
  <r>
    <x v="0"/>
    <x v="0"/>
    <x v="1"/>
    <n v="0"/>
    <s v="Travel_Frequently"/>
    <n v="857"/>
    <x v="1"/>
    <n v="10"/>
    <n v="3"/>
    <s v="Life Sciences"/>
    <n v="1"/>
    <x v="147"/>
    <n v="4"/>
    <x v="2"/>
    <x v="1"/>
    <n v="91"/>
    <n v="2"/>
    <n v="4"/>
    <x v="5"/>
    <n v="1"/>
    <x v="3"/>
    <s v="Divorced"/>
    <x v="144"/>
    <x v="4"/>
    <n v="12888"/>
    <n v="4"/>
    <s v="Y"/>
    <x v="1"/>
    <n v="13"/>
    <x v="0"/>
    <x v="0"/>
    <n v="2"/>
    <n v="80"/>
    <n v="1"/>
    <n v="21"/>
    <n v="2"/>
    <n v="2"/>
    <x v="5"/>
    <n v="6"/>
    <n v="7"/>
    <n v="7"/>
    <n v="2"/>
    <x v="1"/>
    <s v=""/>
    <s v=""/>
    <s v=""/>
  </r>
  <r>
    <x v="0"/>
    <x v="0"/>
    <x v="1"/>
    <n v="0"/>
    <s v="Travel_Rarely"/>
    <n v="933"/>
    <x v="1"/>
    <n v="9"/>
    <n v="4"/>
    <s v="Life Sciences"/>
    <n v="1"/>
    <x v="148"/>
    <n v="3"/>
    <x v="1"/>
    <x v="1"/>
    <n v="94"/>
    <n v="3"/>
    <n v="1"/>
    <x v="2"/>
    <n v="1"/>
    <x v="3"/>
    <s v="Married"/>
    <x v="145"/>
    <x v="1"/>
    <n v="6961"/>
    <n v="2"/>
    <s v="Y"/>
    <x v="1"/>
    <n v="21"/>
    <x v="1"/>
    <x v="1"/>
    <n v="4"/>
    <n v="80"/>
    <n v="1"/>
    <n v="7"/>
    <n v="2"/>
    <n v="3"/>
    <x v="8"/>
    <n v="0"/>
    <n v="1"/>
    <n v="4"/>
    <n v="5"/>
    <x v="2"/>
    <s v=""/>
    <s v=""/>
    <s v=""/>
  </r>
  <r>
    <x v="37"/>
    <x v="4"/>
    <x v="1"/>
    <n v="0"/>
    <s v="Travel_Rarely"/>
    <n v="1181"/>
    <x v="1"/>
    <n v="3"/>
    <n v="1"/>
    <s v="Medical"/>
    <n v="1"/>
    <x v="149"/>
    <n v="2"/>
    <x v="0"/>
    <x v="0"/>
    <n v="79"/>
    <n v="3"/>
    <n v="1"/>
    <x v="2"/>
    <n v="2"/>
    <x v="1"/>
    <s v="Single"/>
    <x v="146"/>
    <x v="1"/>
    <n v="16102"/>
    <n v="1"/>
    <s v="Y"/>
    <x v="1"/>
    <n v="14"/>
    <x v="0"/>
    <x v="0"/>
    <n v="4"/>
    <n v="80"/>
    <n v="0"/>
    <n v="1"/>
    <n v="3"/>
    <n v="3"/>
    <x v="6"/>
    <n v="0"/>
    <n v="0"/>
    <n v="0"/>
    <n v="5"/>
    <x v="2"/>
    <s v=""/>
    <s v=""/>
    <s v=""/>
  </r>
  <r>
    <x v="32"/>
    <x v="0"/>
    <x v="1"/>
    <n v="0"/>
    <s v="Travel_Frequently"/>
    <n v="1395"/>
    <x v="1"/>
    <n v="26"/>
    <n v="3"/>
    <s v="Medical"/>
    <n v="1"/>
    <x v="150"/>
    <n v="2"/>
    <x v="0"/>
    <x v="0"/>
    <n v="54"/>
    <n v="3"/>
    <n v="2"/>
    <x v="1"/>
    <n v="2"/>
    <x v="1"/>
    <s v="Divorced"/>
    <x v="147"/>
    <x v="0"/>
    <n v="8504"/>
    <n v="1"/>
    <s v="Y"/>
    <x v="1"/>
    <n v="11"/>
    <x v="0"/>
    <x v="0"/>
    <n v="1"/>
    <n v="80"/>
    <n v="1"/>
    <n v="20"/>
    <n v="2"/>
    <n v="3"/>
    <x v="23"/>
    <n v="7"/>
    <n v="2"/>
    <n v="13"/>
    <n v="1"/>
    <x v="1"/>
    <s v=""/>
    <s v=""/>
    <s v=""/>
  </r>
  <r>
    <x v="10"/>
    <x v="0"/>
    <x v="1"/>
    <n v="0"/>
    <s v="Travel_Rarely"/>
    <n v="662"/>
    <x v="0"/>
    <n v="1"/>
    <n v="5"/>
    <s v="Marketing"/>
    <n v="1"/>
    <x v="151"/>
    <n v="3"/>
    <x v="1"/>
    <x v="1"/>
    <n v="94"/>
    <n v="3"/>
    <n v="3"/>
    <x v="0"/>
    <n v="2"/>
    <x v="1"/>
    <s v="Married"/>
    <x v="148"/>
    <x v="0"/>
    <n v="11439"/>
    <n v="1"/>
    <s v="Y"/>
    <x v="1"/>
    <n v="13"/>
    <x v="0"/>
    <x v="0"/>
    <n v="1"/>
    <n v="80"/>
    <n v="2"/>
    <n v="10"/>
    <n v="3"/>
    <n v="3"/>
    <x v="1"/>
    <n v="8"/>
    <n v="0"/>
    <n v="6"/>
    <n v="1"/>
    <x v="1"/>
    <s v=""/>
    <s v=""/>
    <s v=""/>
  </r>
  <r>
    <x v="16"/>
    <x v="1"/>
    <x v="1"/>
    <n v="0"/>
    <s v="Travel_Rarely"/>
    <n v="1436"/>
    <x v="0"/>
    <n v="6"/>
    <n v="2"/>
    <s v="Marketing"/>
    <n v="1"/>
    <x v="152"/>
    <n v="2"/>
    <x v="0"/>
    <x v="1"/>
    <n v="34"/>
    <n v="3"/>
    <n v="2"/>
    <x v="6"/>
    <n v="3"/>
    <x v="2"/>
    <s v="Married"/>
    <x v="149"/>
    <x v="1"/>
    <n v="16047"/>
    <n v="2"/>
    <s v="Y"/>
    <x v="0"/>
    <n v="20"/>
    <x v="2"/>
    <x v="1"/>
    <n v="4"/>
    <n v="80"/>
    <n v="1"/>
    <n v="13"/>
    <n v="3"/>
    <n v="1"/>
    <x v="5"/>
    <n v="7"/>
    <n v="4"/>
    <n v="5"/>
    <n v="6"/>
    <x v="3"/>
    <n v="24"/>
    <s v=""/>
    <n v="59795"/>
  </r>
  <r>
    <x v="28"/>
    <x v="1"/>
    <x v="1"/>
    <n v="0"/>
    <s v="Travel_Rarely"/>
    <n v="194"/>
    <x v="1"/>
    <n v="9"/>
    <n v="3"/>
    <s v="Life Sciences"/>
    <n v="1"/>
    <x v="153"/>
    <n v="2"/>
    <x v="0"/>
    <x v="1"/>
    <n v="60"/>
    <n v="3"/>
    <n v="2"/>
    <x v="2"/>
    <n v="2"/>
    <x v="1"/>
    <s v="Divorced"/>
    <x v="150"/>
    <x v="1"/>
    <n v="10901"/>
    <n v="8"/>
    <s v="Y"/>
    <x v="1"/>
    <n v="18"/>
    <x v="2"/>
    <x v="0"/>
    <n v="3"/>
    <n v="80"/>
    <n v="1"/>
    <n v="20"/>
    <n v="2"/>
    <n v="1"/>
    <x v="18"/>
    <n v="9"/>
    <n v="0"/>
    <n v="15"/>
    <n v="3"/>
    <x v="2"/>
    <s v=""/>
    <s v=""/>
    <s v=""/>
  </r>
  <r>
    <x v="5"/>
    <x v="2"/>
    <x v="1"/>
    <n v="0"/>
    <s v="Travel_Frequently"/>
    <n v="967"/>
    <x v="0"/>
    <n v="8"/>
    <n v="3"/>
    <s v="Marketing"/>
    <n v="1"/>
    <x v="154"/>
    <n v="2"/>
    <x v="0"/>
    <x v="0"/>
    <n v="43"/>
    <n v="3"/>
    <n v="3"/>
    <x v="0"/>
    <n v="4"/>
    <x v="0"/>
    <s v="Single"/>
    <x v="151"/>
    <x v="2"/>
    <n v="15589"/>
    <n v="1"/>
    <s v="Y"/>
    <x v="1"/>
    <n v="14"/>
    <x v="0"/>
    <x v="0"/>
    <n v="4"/>
    <n v="80"/>
    <n v="0"/>
    <n v="9"/>
    <n v="2"/>
    <n v="3"/>
    <x v="7"/>
    <n v="8"/>
    <n v="3"/>
    <n v="7"/>
    <n v="1"/>
    <x v="1"/>
    <s v=""/>
    <s v=""/>
    <s v=""/>
  </r>
  <r>
    <x v="11"/>
    <x v="2"/>
    <x v="1"/>
    <n v="0"/>
    <s v="Non-Travel"/>
    <n v="1496"/>
    <x v="1"/>
    <n v="1"/>
    <n v="1"/>
    <s v="Technical Degree"/>
    <n v="1"/>
    <x v="155"/>
    <n v="4"/>
    <x v="2"/>
    <x v="1"/>
    <n v="41"/>
    <n v="3"/>
    <n v="2"/>
    <x v="3"/>
    <n v="3"/>
    <x v="2"/>
    <s v="Married"/>
    <x v="152"/>
    <x v="0"/>
    <n v="26283"/>
    <n v="1"/>
    <s v="Y"/>
    <x v="1"/>
    <n v="13"/>
    <x v="0"/>
    <x v="0"/>
    <n v="1"/>
    <n v="80"/>
    <n v="1"/>
    <n v="10"/>
    <n v="1"/>
    <n v="3"/>
    <x v="1"/>
    <n v="7"/>
    <n v="0"/>
    <n v="9"/>
    <n v="2"/>
    <x v="1"/>
    <s v=""/>
    <s v=""/>
    <s v=""/>
  </r>
  <r>
    <x v="31"/>
    <x v="1"/>
    <x v="1"/>
    <n v="0"/>
    <s v="Travel_Rarely"/>
    <n v="1169"/>
    <x v="1"/>
    <n v="7"/>
    <n v="4"/>
    <s v="Medical"/>
    <n v="1"/>
    <x v="156"/>
    <n v="2"/>
    <x v="0"/>
    <x v="1"/>
    <n v="34"/>
    <n v="2"/>
    <n v="2"/>
    <x v="3"/>
    <n v="3"/>
    <x v="2"/>
    <s v="Married"/>
    <x v="153"/>
    <x v="0"/>
    <n v="13983"/>
    <n v="2"/>
    <s v="Y"/>
    <x v="1"/>
    <n v="17"/>
    <x v="2"/>
    <x v="0"/>
    <n v="3"/>
    <n v="80"/>
    <n v="0"/>
    <n v="10"/>
    <n v="2"/>
    <n v="3"/>
    <x v="6"/>
    <n v="0"/>
    <n v="0"/>
    <n v="0"/>
    <n v="1"/>
    <x v="1"/>
    <s v=""/>
    <s v=""/>
    <s v=""/>
  </r>
  <r>
    <x v="34"/>
    <x v="3"/>
    <x v="1"/>
    <n v="0"/>
    <s v="Travel_Rarely"/>
    <n v="1145"/>
    <x v="1"/>
    <n v="9"/>
    <n v="3"/>
    <s v="Medical"/>
    <n v="1"/>
    <x v="157"/>
    <n v="2"/>
    <x v="0"/>
    <x v="0"/>
    <n v="75"/>
    <n v="2"/>
    <n v="1"/>
    <x v="1"/>
    <n v="2"/>
    <x v="1"/>
    <s v="Married"/>
    <x v="154"/>
    <x v="1"/>
    <n v="11873"/>
    <n v="4"/>
    <s v="Y"/>
    <x v="0"/>
    <n v="20"/>
    <x v="2"/>
    <x v="1"/>
    <n v="2"/>
    <n v="80"/>
    <n v="1"/>
    <n v="9"/>
    <n v="3"/>
    <n v="2"/>
    <x v="6"/>
    <n v="0"/>
    <n v="0"/>
    <n v="0"/>
    <n v="4"/>
    <x v="2"/>
    <s v=""/>
    <s v=""/>
    <s v=""/>
  </r>
  <r>
    <x v="32"/>
    <x v="0"/>
    <x v="1"/>
    <n v="0"/>
    <s v="Travel_Rarely"/>
    <n v="630"/>
    <x v="0"/>
    <n v="4"/>
    <n v="4"/>
    <s v="Marketing"/>
    <n v="1"/>
    <x v="158"/>
    <n v="3"/>
    <x v="1"/>
    <x v="1"/>
    <n v="67"/>
    <n v="2"/>
    <n v="3"/>
    <x v="0"/>
    <n v="4"/>
    <x v="0"/>
    <s v="Married"/>
    <x v="155"/>
    <x v="2"/>
    <n v="8552"/>
    <n v="7"/>
    <s v="Y"/>
    <x v="1"/>
    <n v="11"/>
    <x v="0"/>
    <x v="0"/>
    <n v="1"/>
    <n v="80"/>
    <n v="1"/>
    <n v="15"/>
    <n v="2"/>
    <n v="2"/>
    <x v="12"/>
    <n v="11"/>
    <n v="2"/>
    <n v="11"/>
    <n v="0"/>
    <x v="1"/>
    <s v=""/>
    <s v=""/>
    <s v=""/>
  </r>
  <r>
    <x v="13"/>
    <x v="2"/>
    <x v="1"/>
    <n v="0"/>
    <s v="Travel_Frequently"/>
    <n v="303"/>
    <x v="0"/>
    <n v="2"/>
    <n v="4"/>
    <s v="Marketing"/>
    <n v="1"/>
    <x v="159"/>
    <n v="3"/>
    <x v="1"/>
    <x v="0"/>
    <n v="75"/>
    <n v="3"/>
    <n v="1"/>
    <x v="6"/>
    <n v="3"/>
    <x v="2"/>
    <s v="Married"/>
    <x v="156"/>
    <x v="1"/>
    <n v="11314"/>
    <n v="6"/>
    <s v="Y"/>
    <x v="1"/>
    <n v="18"/>
    <x v="2"/>
    <x v="0"/>
    <n v="4"/>
    <n v="80"/>
    <n v="1"/>
    <n v="6"/>
    <n v="3"/>
    <n v="3"/>
    <x v="9"/>
    <n v="3"/>
    <n v="1"/>
    <n v="2"/>
    <n v="5"/>
    <x v="2"/>
    <s v=""/>
    <s v=""/>
    <s v=""/>
  </r>
  <r>
    <x v="15"/>
    <x v="4"/>
    <x v="1"/>
    <n v="0"/>
    <s v="Travel_Rarely"/>
    <n v="1256"/>
    <x v="1"/>
    <n v="19"/>
    <n v="1"/>
    <s v="Medical"/>
    <n v="1"/>
    <x v="160"/>
    <n v="3"/>
    <x v="1"/>
    <x v="1"/>
    <n v="80"/>
    <n v="3"/>
    <n v="1"/>
    <x v="1"/>
    <n v="4"/>
    <x v="0"/>
    <s v="Married"/>
    <x v="157"/>
    <x v="1"/>
    <n v="11992"/>
    <n v="1"/>
    <s v="Y"/>
    <x v="1"/>
    <n v="24"/>
    <x v="1"/>
    <x v="1"/>
    <n v="1"/>
    <n v="80"/>
    <n v="2"/>
    <n v="2"/>
    <n v="6"/>
    <n v="3"/>
    <x v="4"/>
    <n v="2"/>
    <n v="2"/>
    <n v="2"/>
    <n v="4"/>
    <x v="2"/>
    <s v=""/>
    <s v=""/>
    <s v=""/>
  </r>
  <r>
    <x v="4"/>
    <x v="2"/>
    <x v="1"/>
    <n v="0"/>
    <s v="Non-Travel"/>
    <n v="691"/>
    <x v="1"/>
    <n v="9"/>
    <n v="3"/>
    <s v="Medical"/>
    <n v="1"/>
    <x v="161"/>
    <n v="4"/>
    <x v="2"/>
    <x v="1"/>
    <n v="57"/>
    <n v="3"/>
    <n v="1"/>
    <x v="1"/>
    <n v="2"/>
    <x v="1"/>
    <s v="Divorced"/>
    <x v="158"/>
    <x v="1"/>
    <n v="5970"/>
    <n v="6"/>
    <s v="Y"/>
    <x v="1"/>
    <n v="18"/>
    <x v="2"/>
    <x v="0"/>
    <n v="4"/>
    <n v="80"/>
    <n v="1"/>
    <n v="6"/>
    <n v="1"/>
    <n v="1"/>
    <x v="4"/>
    <n v="2"/>
    <n v="2"/>
    <n v="2"/>
    <n v="3"/>
    <x v="2"/>
    <s v=""/>
    <s v=""/>
    <s v=""/>
  </r>
  <r>
    <x v="14"/>
    <x v="2"/>
    <x v="1"/>
    <n v="0"/>
    <s v="Travel_Rarely"/>
    <n v="440"/>
    <x v="1"/>
    <n v="21"/>
    <n v="3"/>
    <s v="Medical"/>
    <n v="1"/>
    <x v="162"/>
    <n v="3"/>
    <x v="1"/>
    <x v="1"/>
    <n v="42"/>
    <n v="3"/>
    <n v="1"/>
    <x v="1"/>
    <n v="4"/>
    <x v="0"/>
    <s v="Married"/>
    <x v="159"/>
    <x v="1"/>
    <n v="6672"/>
    <n v="1"/>
    <s v="Y"/>
    <x v="1"/>
    <n v="11"/>
    <x v="0"/>
    <x v="0"/>
    <n v="3"/>
    <n v="80"/>
    <n v="1"/>
    <n v="5"/>
    <n v="2"/>
    <n v="1"/>
    <x v="8"/>
    <n v="2"/>
    <n v="0"/>
    <n v="2"/>
    <n v="3"/>
    <x v="2"/>
    <s v=""/>
    <s v=""/>
    <s v=""/>
  </r>
  <r>
    <x v="38"/>
    <x v="3"/>
    <x v="1"/>
    <n v="0"/>
    <s v="Travel_Rarely"/>
    <n v="334"/>
    <x v="1"/>
    <n v="24"/>
    <n v="2"/>
    <s v="Life Sciences"/>
    <n v="1"/>
    <x v="163"/>
    <n v="3"/>
    <x v="1"/>
    <x v="1"/>
    <n v="83"/>
    <n v="4"/>
    <n v="3"/>
    <x v="4"/>
    <n v="4"/>
    <x v="0"/>
    <s v="Divorced"/>
    <x v="160"/>
    <x v="2"/>
    <n v="23402"/>
    <n v="3"/>
    <s v="Y"/>
    <x v="0"/>
    <n v="16"/>
    <x v="2"/>
    <x v="0"/>
    <n v="2"/>
    <n v="80"/>
    <n v="1"/>
    <n v="12"/>
    <n v="2"/>
    <n v="1"/>
    <x v="8"/>
    <n v="3"/>
    <n v="1"/>
    <n v="4"/>
    <n v="2"/>
    <x v="1"/>
    <s v=""/>
    <s v=""/>
    <s v=""/>
  </r>
  <r>
    <x v="4"/>
    <x v="2"/>
    <x v="1"/>
    <n v="0"/>
    <s v="Non-Travel"/>
    <n v="1450"/>
    <x v="1"/>
    <n v="3"/>
    <n v="3"/>
    <s v="Medical"/>
    <n v="1"/>
    <x v="164"/>
    <n v="3"/>
    <x v="1"/>
    <x v="1"/>
    <n v="79"/>
    <n v="2"/>
    <n v="1"/>
    <x v="1"/>
    <n v="3"/>
    <x v="2"/>
    <s v="Divorced"/>
    <x v="161"/>
    <x v="1"/>
    <n v="25326"/>
    <n v="1"/>
    <s v="Y"/>
    <x v="0"/>
    <n v="15"/>
    <x v="0"/>
    <x v="0"/>
    <n v="4"/>
    <n v="80"/>
    <n v="1"/>
    <n v="1"/>
    <n v="2"/>
    <n v="2"/>
    <x v="6"/>
    <n v="1"/>
    <n v="0"/>
    <n v="1"/>
    <n v="5"/>
    <x v="2"/>
    <s v=""/>
    <s v=""/>
    <s v=""/>
  </r>
  <r>
    <x v="24"/>
    <x v="1"/>
    <x v="1"/>
    <n v="0"/>
    <s v="Travel_Rarely"/>
    <n v="1452"/>
    <x v="1"/>
    <n v="11"/>
    <n v="3"/>
    <s v="Life Sciences"/>
    <n v="1"/>
    <x v="165"/>
    <n v="3"/>
    <x v="1"/>
    <x v="0"/>
    <n v="53"/>
    <n v="3"/>
    <n v="5"/>
    <x v="5"/>
    <n v="2"/>
    <x v="1"/>
    <s v="Single"/>
    <x v="162"/>
    <x v="4"/>
    <n v="17053"/>
    <n v="3"/>
    <s v="Y"/>
    <x v="1"/>
    <n v="15"/>
    <x v="0"/>
    <x v="0"/>
    <n v="2"/>
    <n v="80"/>
    <n v="0"/>
    <n v="21"/>
    <n v="5"/>
    <n v="3"/>
    <x v="8"/>
    <n v="4"/>
    <n v="4"/>
    <n v="4"/>
    <n v="0"/>
    <x v="1"/>
    <s v=""/>
    <s v=""/>
    <s v=""/>
  </r>
  <r>
    <x v="0"/>
    <x v="0"/>
    <x v="1"/>
    <n v="0"/>
    <s v="Travel_Rarely"/>
    <n v="465"/>
    <x v="1"/>
    <n v="14"/>
    <n v="3"/>
    <s v="Life Sciences"/>
    <n v="1"/>
    <x v="166"/>
    <n v="1"/>
    <x v="3"/>
    <x v="1"/>
    <n v="56"/>
    <n v="3"/>
    <n v="1"/>
    <x v="1"/>
    <n v="3"/>
    <x v="2"/>
    <s v="Divorced"/>
    <x v="163"/>
    <x v="1"/>
    <n v="4609"/>
    <n v="4"/>
    <s v="Y"/>
    <x v="1"/>
    <n v="12"/>
    <x v="0"/>
    <x v="0"/>
    <n v="1"/>
    <n v="80"/>
    <n v="1"/>
    <n v="13"/>
    <n v="2"/>
    <n v="3"/>
    <x v="7"/>
    <n v="8"/>
    <n v="1"/>
    <n v="8"/>
    <n v="2"/>
    <x v="1"/>
    <s v=""/>
    <s v=""/>
    <s v=""/>
  </r>
  <r>
    <x v="7"/>
    <x v="2"/>
    <x v="1"/>
    <n v="0"/>
    <s v="Travel_Rarely"/>
    <n v="1339"/>
    <x v="0"/>
    <n v="5"/>
    <n v="3"/>
    <s v="Life Sciences"/>
    <n v="1"/>
    <x v="167"/>
    <n v="2"/>
    <x v="0"/>
    <x v="0"/>
    <n v="41"/>
    <n v="3"/>
    <n v="3"/>
    <x v="0"/>
    <n v="4"/>
    <x v="0"/>
    <s v="Married"/>
    <x v="164"/>
    <x v="2"/>
    <n v="8053"/>
    <n v="2"/>
    <s v="Y"/>
    <x v="1"/>
    <n v="12"/>
    <x v="0"/>
    <x v="0"/>
    <n v="3"/>
    <n v="80"/>
    <n v="1"/>
    <n v="12"/>
    <n v="2"/>
    <n v="3"/>
    <x v="1"/>
    <n v="9"/>
    <n v="7"/>
    <n v="4"/>
    <n v="1"/>
    <x v="1"/>
    <s v=""/>
    <s v=""/>
    <s v=""/>
  </r>
  <r>
    <x v="8"/>
    <x v="0"/>
    <x v="1"/>
    <n v="0"/>
    <s v="Travel_Rarely"/>
    <n v="702"/>
    <x v="0"/>
    <n v="1"/>
    <n v="4"/>
    <s v="Life Sciences"/>
    <n v="1"/>
    <x v="168"/>
    <n v="1"/>
    <x v="3"/>
    <x v="0"/>
    <n v="59"/>
    <n v="2"/>
    <n v="2"/>
    <x v="0"/>
    <n v="4"/>
    <x v="0"/>
    <s v="Single"/>
    <x v="165"/>
    <x v="2"/>
    <n v="12930"/>
    <n v="4"/>
    <s v="Y"/>
    <x v="1"/>
    <n v="22"/>
    <x v="1"/>
    <x v="1"/>
    <n v="3"/>
    <n v="80"/>
    <n v="0"/>
    <n v="12"/>
    <n v="2"/>
    <n v="4"/>
    <x v="3"/>
    <n v="3"/>
    <n v="0"/>
    <n v="7"/>
    <n v="0"/>
    <x v="1"/>
    <s v=""/>
    <s v=""/>
    <s v=""/>
  </r>
  <r>
    <x v="5"/>
    <x v="2"/>
    <x v="1"/>
    <n v="0"/>
    <s v="Travel_Rarely"/>
    <n v="120"/>
    <x v="1"/>
    <n v="6"/>
    <n v="5"/>
    <s v="Life Sciences"/>
    <n v="1"/>
    <x v="169"/>
    <n v="3"/>
    <x v="1"/>
    <x v="1"/>
    <n v="43"/>
    <n v="3"/>
    <n v="1"/>
    <x v="1"/>
    <n v="3"/>
    <x v="2"/>
    <s v="Single"/>
    <x v="71"/>
    <x v="1"/>
    <n v="12430"/>
    <n v="3"/>
    <s v="Y"/>
    <x v="1"/>
    <n v="20"/>
    <x v="2"/>
    <x v="1"/>
    <n v="1"/>
    <n v="80"/>
    <n v="0"/>
    <n v="8"/>
    <n v="2"/>
    <n v="3"/>
    <x v="8"/>
    <n v="4"/>
    <n v="1"/>
    <n v="4"/>
    <n v="3"/>
    <x v="2"/>
    <s v=""/>
    <s v=""/>
    <s v=""/>
  </r>
  <r>
    <x v="4"/>
    <x v="2"/>
    <x v="1"/>
    <n v="0"/>
    <s v="Travel_Rarely"/>
    <n v="1157"/>
    <x v="1"/>
    <n v="17"/>
    <n v="3"/>
    <s v="Technical Degree"/>
    <n v="1"/>
    <x v="170"/>
    <n v="3"/>
    <x v="1"/>
    <x v="1"/>
    <n v="51"/>
    <n v="3"/>
    <n v="1"/>
    <x v="1"/>
    <n v="2"/>
    <x v="1"/>
    <s v="Married"/>
    <x v="166"/>
    <x v="1"/>
    <n v="13364"/>
    <n v="0"/>
    <s v="Y"/>
    <x v="0"/>
    <n v="16"/>
    <x v="2"/>
    <x v="0"/>
    <n v="4"/>
    <n v="80"/>
    <n v="1"/>
    <n v="6"/>
    <n v="3"/>
    <n v="2"/>
    <x v="8"/>
    <n v="2"/>
    <n v="1"/>
    <n v="1"/>
    <n v="5"/>
    <x v="2"/>
    <s v=""/>
    <s v=""/>
    <s v=""/>
  </r>
  <r>
    <x v="37"/>
    <x v="4"/>
    <x v="0"/>
    <n v="1"/>
    <s v="Travel_Frequently"/>
    <n v="602"/>
    <x v="0"/>
    <n v="1"/>
    <n v="1"/>
    <s v="Technical Degree"/>
    <n v="1"/>
    <x v="171"/>
    <n v="3"/>
    <x v="1"/>
    <x v="0"/>
    <n v="100"/>
    <n v="1"/>
    <n v="1"/>
    <x v="6"/>
    <n v="1"/>
    <x v="3"/>
    <s v="Single"/>
    <x v="167"/>
    <x v="1"/>
    <n v="20989"/>
    <n v="0"/>
    <s v="Y"/>
    <x v="1"/>
    <n v="21"/>
    <x v="1"/>
    <x v="1"/>
    <n v="1"/>
    <n v="80"/>
    <n v="0"/>
    <n v="1"/>
    <n v="5"/>
    <n v="4"/>
    <x v="2"/>
    <n v="0"/>
    <n v="0"/>
    <n v="0"/>
    <s v=""/>
    <x v="0"/>
    <s v=""/>
    <s v=""/>
    <s v=""/>
  </r>
  <r>
    <x v="9"/>
    <x v="0"/>
    <x v="1"/>
    <n v="0"/>
    <s v="Travel_Frequently"/>
    <n v="1480"/>
    <x v="1"/>
    <n v="3"/>
    <n v="2"/>
    <s v="Medical"/>
    <n v="1"/>
    <x v="172"/>
    <n v="4"/>
    <x v="2"/>
    <x v="1"/>
    <n v="30"/>
    <n v="3"/>
    <n v="1"/>
    <x v="2"/>
    <n v="2"/>
    <x v="1"/>
    <s v="Single"/>
    <x v="168"/>
    <x v="1"/>
    <n v="15062"/>
    <n v="4"/>
    <s v="Y"/>
    <x v="1"/>
    <n v="12"/>
    <x v="0"/>
    <x v="0"/>
    <n v="3"/>
    <n v="80"/>
    <n v="0"/>
    <n v="13"/>
    <n v="3"/>
    <n v="2"/>
    <x v="3"/>
    <n v="7"/>
    <n v="7"/>
    <n v="2"/>
    <n v="3"/>
    <x v="2"/>
    <s v=""/>
    <s v=""/>
    <s v=""/>
  </r>
  <r>
    <x v="7"/>
    <x v="2"/>
    <x v="1"/>
    <n v="0"/>
    <s v="Non-Travel"/>
    <n v="111"/>
    <x v="1"/>
    <n v="9"/>
    <n v="3"/>
    <s v="Medical"/>
    <n v="1"/>
    <x v="173"/>
    <n v="3"/>
    <x v="1"/>
    <x v="1"/>
    <n v="66"/>
    <n v="3"/>
    <n v="2"/>
    <x v="2"/>
    <n v="1"/>
    <x v="3"/>
    <s v="Divorced"/>
    <x v="169"/>
    <x v="1"/>
    <n v="11012"/>
    <n v="1"/>
    <s v="Y"/>
    <x v="1"/>
    <n v="11"/>
    <x v="0"/>
    <x v="0"/>
    <n v="3"/>
    <n v="80"/>
    <n v="2"/>
    <n v="12"/>
    <n v="4"/>
    <n v="3"/>
    <x v="12"/>
    <n v="9"/>
    <n v="6"/>
    <n v="10"/>
    <n v="6"/>
    <x v="3"/>
    <n v="25"/>
    <s v=""/>
    <n v="59761"/>
  </r>
  <r>
    <x v="28"/>
    <x v="1"/>
    <x v="1"/>
    <n v="0"/>
    <s v="Travel_Rarely"/>
    <n v="1268"/>
    <x v="0"/>
    <n v="4"/>
    <n v="2"/>
    <s v="Life Sciences"/>
    <n v="1"/>
    <x v="174"/>
    <n v="3"/>
    <x v="1"/>
    <x v="0"/>
    <n v="30"/>
    <n v="3"/>
    <n v="2"/>
    <x v="0"/>
    <n v="1"/>
    <x v="3"/>
    <s v="Divorced"/>
    <x v="170"/>
    <x v="0"/>
    <n v="6319"/>
    <n v="4"/>
    <s v="Y"/>
    <x v="0"/>
    <n v="11"/>
    <x v="0"/>
    <x v="0"/>
    <n v="1"/>
    <n v="80"/>
    <n v="1"/>
    <n v="9"/>
    <n v="3"/>
    <n v="4"/>
    <x v="8"/>
    <n v="4"/>
    <n v="0"/>
    <n v="3"/>
    <n v="5"/>
    <x v="2"/>
    <s v=""/>
    <s v=""/>
    <s v=""/>
  </r>
  <r>
    <x v="29"/>
    <x v="3"/>
    <x v="1"/>
    <n v="0"/>
    <s v="Travel_Rarely"/>
    <n v="713"/>
    <x v="1"/>
    <n v="8"/>
    <n v="3"/>
    <s v="Life Sciences"/>
    <n v="1"/>
    <x v="175"/>
    <n v="3"/>
    <x v="1"/>
    <x v="0"/>
    <n v="67"/>
    <n v="3"/>
    <n v="1"/>
    <x v="1"/>
    <n v="1"/>
    <x v="3"/>
    <s v="Divorced"/>
    <x v="171"/>
    <x v="0"/>
    <n v="13939"/>
    <n v="4"/>
    <s v="Y"/>
    <x v="0"/>
    <n v="18"/>
    <x v="2"/>
    <x v="0"/>
    <n v="3"/>
    <n v="80"/>
    <n v="1"/>
    <n v="19"/>
    <n v="3"/>
    <n v="3"/>
    <x v="4"/>
    <n v="2"/>
    <n v="2"/>
    <n v="2"/>
    <n v="5"/>
    <x v="2"/>
    <s v=""/>
    <s v=""/>
    <s v=""/>
  </r>
  <r>
    <x v="3"/>
    <x v="2"/>
    <x v="1"/>
    <n v="0"/>
    <s v="Travel_Rarely"/>
    <n v="134"/>
    <x v="1"/>
    <n v="2"/>
    <n v="3"/>
    <s v="Life Sciences"/>
    <n v="1"/>
    <x v="176"/>
    <n v="3"/>
    <x v="1"/>
    <x v="1"/>
    <n v="90"/>
    <n v="3"/>
    <n v="1"/>
    <x v="1"/>
    <n v="4"/>
    <x v="0"/>
    <s v="Single"/>
    <x v="172"/>
    <x v="1"/>
    <n v="10515"/>
    <n v="0"/>
    <s v="Y"/>
    <x v="1"/>
    <n v="14"/>
    <x v="0"/>
    <x v="0"/>
    <n v="1"/>
    <n v="80"/>
    <n v="0"/>
    <n v="4"/>
    <n v="2"/>
    <n v="4"/>
    <x v="11"/>
    <n v="1"/>
    <n v="0"/>
    <n v="2"/>
    <n v="3"/>
    <x v="2"/>
    <s v=""/>
    <s v=""/>
    <s v=""/>
  </r>
  <r>
    <x v="37"/>
    <x v="4"/>
    <x v="0"/>
    <n v="1"/>
    <s v="Travel_Rarely"/>
    <n v="303"/>
    <x v="1"/>
    <n v="2"/>
    <n v="3"/>
    <s v="Life Sciences"/>
    <n v="1"/>
    <x v="177"/>
    <n v="2"/>
    <x v="0"/>
    <x v="1"/>
    <n v="47"/>
    <n v="2"/>
    <n v="1"/>
    <x v="2"/>
    <n v="4"/>
    <x v="0"/>
    <s v="Single"/>
    <x v="173"/>
    <x v="1"/>
    <n v="9241"/>
    <n v="1"/>
    <s v="Y"/>
    <x v="1"/>
    <n v="22"/>
    <x v="1"/>
    <x v="1"/>
    <n v="3"/>
    <n v="80"/>
    <n v="0"/>
    <n v="1"/>
    <n v="3"/>
    <n v="2"/>
    <x v="6"/>
    <n v="0"/>
    <n v="1"/>
    <n v="0"/>
    <s v=""/>
    <x v="0"/>
    <s v=""/>
    <s v=""/>
    <s v=""/>
  </r>
  <r>
    <x v="21"/>
    <x v="1"/>
    <x v="1"/>
    <n v="0"/>
    <s v="Travel_Rarely"/>
    <n v="526"/>
    <x v="0"/>
    <n v="1"/>
    <n v="2"/>
    <s v="Marketing"/>
    <n v="1"/>
    <x v="178"/>
    <n v="2"/>
    <x v="0"/>
    <x v="0"/>
    <n v="92"/>
    <n v="3"/>
    <n v="3"/>
    <x v="0"/>
    <n v="1"/>
    <x v="3"/>
    <s v="Divorced"/>
    <x v="174"/>
    <x v="2"/>
    <n v="2137"/>
    <n v="1"/>
    <s v="Y"/>
    <x v="1"/>
    <n v="25"/>
    <x v="1"/>
    <x v="1"/>
    <n v="3"/>
    <n v="80"/>
    <n v="3"/>
    <n v="24"/>
    <n v="2"/>
    <n v="3"/>
    <x v="25"/>
    <n v="13"/>
    <n v="15"/>
    <n v="7"/>
    <n v="2"/>
    <x v="1"/>
    <s v=""/>
    <s v=""/>
    <s v=""/>
  </r>
  <r>
    <x v="8"/>
    <x v="0"/>
    <x v="1"/>
    <n v="0"/>
    <s v="Travel_Rarely"/>
    <n v="1380"/>
    <x v="1"/>
    <n v="9"/>
    <n v="2"/>
    <s v="Life Sciences"/>
    <n v="1"/>
    <x v="179"/>
    <n v="3"/>
    <x v="1"/>
    <x v="0"/>
    <n v="75"/>
    <n v="3"/>
    <n v="1"/>
    <x v="2"/>
    <n v="4"/>
    <x v="0"/>
    <s v="Single"/>
    <x v="175"/>
    <x v="1"/>
    <n v="6319"/>
    <n v="1"/>
    <s v="Y"/>
    <x v="1"/>
    <n v="12"/>
    <x v="0"/>
    <x v="0"/>
    <n v="3"/>
    <n v="80"/>
    <n v="0"/>
    <n v="2"/>
    <n v="3"/>
    <n v="3"/>
    <x v="4"/>
    <n v="2"/>
    <n v="2"/>
    <n v="1"/>
    <n v="3"/>
    <x v="2"/>
    <s v=""/>
    <s v=""/>
    <s v=""/>
  </r>
  <r>
    <x v="12"/>
    <x v="2"/>
    <x v="1"/>
    <n v="0"/>
    <s v="Travel_Rarely"/>
    <n v="140"/>
    <x v="1"/>
    <n v="12"/>
    <n v="1"/>
    <s v="Medical"/>
    <n v="1"/>
    <x v="180"/>
    <n v="3"/>
    <x v="1"/>
    <x v="0"/>
    <n v="95"/>
    <n v="3"/>
    <n v="1"/>
    <x v="1"/>
    <n v="4"/>
    <x v="0"/>
    <s v="Married"/>
    <x v="176"/>
    <x v="1"/>
    <n v="6984"/>
    <n v="8"/>
    <s v="Y"/>
    <x v="0"/>
    <n v="23"/>
    <x v="1"/>
    <x v="1"/>
    <n v="3"/>
    <n v="80"/>
    <n v="1"/>
    <n v="7"/>
    <n v="0"/>
    <n v="3"/>
    <x v="9"/>
    <n v="2"/>
    <n v="0"/>
    <n v="2"/>
    <n v="5"/>
    <x v="2"/>
    <s v=""/>
    <s v=""/>
    <s v=""/>
  </r>
  <r>
    <x v="13"/>
    <x v="2"/>
    <x v="1"/>
    <n v="0"/>
    <s v="Travel_Rarely"/>
    <n v="629"/>
    <x v="1"/>
    <n v="27"/>
    <n v="2"/>
    <s v="Medical"/>
    <n v="1"/>
    <x v="181"/>
    <n v="4"/>
    <x v="2"/>
    <x v="0"/>
    <n v="95"/>
    <n v="3"/>
    <n v="1"/>
    <x v="1"/>
    <n v="2"/>
    <x v="1"/>
    <s v="Single"/>
    <x v="177"/>
    <x v="1"/>
    <n v="5711"/>
    <n v="2"/>
    <s v="Y"/>
    <x v="1"/>
    <n v="15"/>
    <x v="0"/>
    <x v="0"/>
    <n v="4"/>
    <n v="80"/>
    <n v="0"/>
    <n v="9"/>
    <n v="3"/>
    <n v="3"/>
    <x v="11"/>
    <n v="2"/>
    <n v="1"/>
    <n v="2"/>
    <n v="3"/>
    <x v="2"/>
    <s v=""/>
    <s v=""/>
    <s v=""/>
  </r>
  <r>
    <x v="0"/>
    <x v="0"/>
    <x v="0"/>
    <n v="1"/>
    <s v="Travel_Rarely"/>
    <n v="1356"/>
    <x v="0"/>
    <n v="20"/>
    <n v="2"/>
    <s v="Marketing"/>
    <n v="1"/>
    <x v="182"/>
    <n v="2"/>
    <x v="0"/>
    <x v="0"/>
    <n v="70"/>
    <n v="3"/>
    <n v="1"/>
    <x v="6"/>
    <n v="2"/>
    <x v="1"/>
    <s v="Single"/>
    <x v="178"/>
    <x v="1"/>
    <n v="21728"/>
    <n v="1"/>
    <s v="Y"/>
    <x v="0"/>
    <n v="22"/>
    <x v="1"/>
    <x v="1"/>
    <n v="4"/>
    <n v="80"/>
    <n v="0"/>
    <n v="4"/>
    <n v="5"/>
    <n v="2"/>
    <x v="9"/>
    <n v="3"/>
    <n v="0"/>
    <n v="2"/>
    <s v=""/>
    <x v="0"/>
    <s v=""/>
    <s v=""/>
    <s v=""/>
  </r>
  <r>
    <x v="24"/>
    <x v="1"/>
    <x v="1"/>
    <n v="0"/>
    <s v="Travel_Rarely"/>
    <n v="328"/>
    <x v="1"/>
    <n v="1"/>
    <n v="3"/>
    <s v="Medical"/>
    <n v="1"/>
    <x v="183"/>
    <n v="3"/>
    <x v="1"/>
    <x v="1"/>
    <n v="86"/>
    <n v="2"/>
    <n v="1"/>
    <x v="2"/>
    <n v="3"/>
    <x v="2"/>
    <s v="Married"/>
    <x v="179"/>
    <x v="1"/>
    <n v="3425"/>
    <n v="2"/>
    <s v="Y"/>
    <x v="1"/>
    <n v="15"/>
    <x v="0"/>
    <x v="0"/>
    <n v="4"/>
    <n v="80"/>
    <n v="1"/>
    <n v="5"/>
    <n v="2"/>
    <n v="2"/>
    <x v="11"/>
    <n v="2"/>
    <n v="0"/>
    <n v="2"/>
    <n v="3"/>
    <x v="2"/>
    <s v=""/>
    <s v=""/>
    <s v=""/>
  </r>
  <r>
    <x v="16"/>
    <x v="1"/>
    <x v="1"/>
    <n v="0"/>
    <s v="Travel_Rarely"/>
    <n v="1084"/>
    <x v="1"/>
    <n v="13"/>
    <n v="2"/>
    <s v="Medical"/>
    <n v="1"/>
    <x v="184"/>
    <n v="4"/>
    <x v="2"/>
    <x v="0"/>
    <n v="57"/>
    <n v="4"/>
    <n v="2"/>
    <x v="3"/>
    <n v="1"/>
    <x v="3"/>
    <s v="Divorced"/>
    <x v="180"/>
    <x v="0"/>
    <n v="26250"/>
    <n v="1"/>
    <s v="Y"/>
    <x v="1"/>
    <n v="11"/>
    <x v="0"/>
    <x v="0"/>
    <n v="3"/>
    <n v="80"/>
    <n v="2"/>
    <n v="5"/>
    <n v="3"/>
    <n v="3"/>
    <x v="9"/>
    <n v="2"/>
    <n v="1"/>
    <n v="3"/>
    <n v="3"/>
    <x v="2"/>
    <s v=""/>
    <s v=""/>
    <s v=""/>
  </r>
  <r>
    <x v="3"/>
    <x v="2"/>
    <x v="1"/>
    <n v="0"/>
    <s v="Travel_Rarely"/>
    <n v="931"/>
    <x v="1"/>
    <n v="14"/>
    <n v="3"/>
    <s v="Medical"/>
    <n v="1"/>
    <x v="185"/>
    <n v="4"/>
    <x v="2"/>
    <x v="0"/>
    <n v="72"/>
    <n v="3"/>
    <n v="1"/>
    <x v="1"/>
    <n v="2"/>
    <x v="1"/>
    <s v="Married"/>
    <x v="181"/>
    <x v="1"/>
    <n v="4673"/>
    <n v="1"/>
    <s v="Y"/>
    <x v="1"/>
    <n v="13"/>
    <x v="0"/>
    <x v="0"/>
    <n v="4"/>
    <n v="80"/>
    <n v="1"/>
    <n v="8"/>
    <n v="5"/>
    <n v="3"/>
    <x v="3"/>
    <n v="7"/>
    <n v="1"/>
    <n v="6"/>
    <n v="3"/>
    <x v="2"/>
    <s v=""/>
    <s v=""/>
    <s v=""/>
  </r>
  <r>
    <x v="32"/>
    <x v="0"/>
    <x v="1"/>
    <n v="0"/>
    <s v="Travel_Rarely"/>
    <n v="989"/>
    <x v="1"/>
    <n v="4"/>
    <n v="1"/>
    <s v="Medical"/>
    <n v="1"/>
    <x v="186"/>
    <n v="4"/>
    <x v="2"/>
    <x v="0"/>
    <n v="46"/>
    <n v="3"/>
    <n v="5"/>
    <x v="5"/>
    <n v="3"/>
    <x v="2"/>
    <s v="Married"/>
    <x v="182"/>
    <x v="4"/>
    <n v="6499"/>
    <n v="1"/>
    <s v="Y"/>
    <x v="1"/>
    <n v="14"/>
    <x v="0"/>
    <x v="0"/>
    <n v="2"/>
    <n v="80"/>
    <n v="1"/>
    <n v="21"/>
    <n v="2"/>
    <n v="3"/>
    <x v="23"/>
    <n v="8"/>
    <n v="9"/>
    <n v="9"/>
    <n v="0"/>
    <x v="1"/>
    <s v=""/>
    <s v=""/>
    <s v=""/>
  </r>
  <r>
    <x v="27"/>
    <x v="3"/>
    <x v="1"/>
    <n v="0"/>
    <s v="Travel_Rarely"/>
    <n v="692"/>
    <x v="1"/>
    <n v="14"/>
    <n v="4"/>
    <s v="Medical"/>
    <n v="1"/>
    <x v="187"/>
    <n v="3"/>
    <x v="1"/>
    <x v="1"/>
    <n v="61"/>
    <n v="4"/>
    <n v="5"/>
    <x v="7"/>
    <n v="2"/>
    <x v="1"/>
    <s v="Single"/>
    <x v="183"/>
    <x v="4"/>
    <n v="13339"/>
    <n v="8"/>
    <s v="Y"/>
    <x v="1"/>
    <n v="11"/>
    <x v="0"/>
    <x v="0"/>
    <n v="4"/>
    <n v="80"/>
    <n v="0"/>
    <n v="36"/>
    <n v="3"/>
    <n v="3"/>
    <x v="25"/>
    <n v="15"/>
    <n v="2"/>
    <n v="15"/>
    <n v="0"/>
    <x v="1"/>
    <s v=""/>
    <s v=""/>
    <s v=""/>
  </r>
  <r>
    <x v="13"/>
    <x v="2"/>
    <x v="1"/>
    <n v="0"/>
    <s v="Travel_Frequently"/>
    <n v="1069"/>
    <x v="1"/>
    <n v="2"/>
    <n v="1"/>
    <s v="Life Sciences"/>
    <n v="1"/>
    <x v="188"/>
    <n v="4"/>
    <x v="2"/>
    <x v="1"/>
    <n v="45"/>
    <n v="2"/>
    <n v="2"/>
    <x v="3"/>
    <n v="3"/>
    <x v="2"/>
    <s v="Married"/>
    <x v="184"/>
    <x v="2"/>
    <n v="14074"/>
    <n v="1"/>
    <s v="Y"/>
    <x v="1"/>
    <n v="17"/>
    <x v="2"/>
    <x v="0"/>
    <n v="3"/>
    <n v="80"/>
    <n v="0"/>
    <n v="10"/>
    <n v="2"/>
    <n v="2"/>
    <x v="1"/>
    <n v="9"/>
    <n v="1"/>
    <n v="9"/>
    <n v="1"/>
    <x v="1"/>
    <s v=""/>
    <s v=""/>
    <s v=""/>
  </r>
  <r>
    <x v="31"/>
    <x v="1"/>
    <x v="1"/>
    <n v="0"/>
    <s v="Travel_Rarely"/>
    <n v="313"/>
    <x v="1"/>
    <n v="3"/>
    <n v="3"/>
    <s v="Medical"/>
    <n v="1"/>
    <x v="189"/>
    <n v="4"/>
    <x v="2"/>
    <x v="0"/>
    <n v="98"/>
    <n v="3"/>
    <n v="4"/>
    <x v="4"/>
    <n v="2"/>
    <x v="1"/>
    <s v="Single"/>
    <x v="185"/>
    <x v="3"/>
    <n v="7192"/>
    <n v="3"/>
    <s v="Y"/>
    <x v="1"/>
    <n v="18"/>
    <x v="2"/>
    <x v="0"/>
    <n v="3"/>
    <n v="80"/>
    <n v="0"/>
    <n v="21"/>
    <n v="6"/>
    <n v="3"/>
    <x v="5"/>
    <n v="7"/>
    <n v="1"/>
    <n v="0"/>
    <n v="0"/>
    <x v="1"/>
    <s v=""/>
    <s v=""/>
    <s v=""/>
  </r>
  <r>
    <x v="39"/>
    <x v="1"/>
    <x v="1"/>
    <n v="0"/>
    <s v="Travel_Rarely"/>
    <n v="699"/>
    <x v="1"/>
    <n v="1"/>
    <n v="4"/>
    <s v="Life Sciences"/>
    <n v="1"/>
    <x v="190"/>
    <n v="3"/>
    <x v="1"/>
    <x v="1"/>
    <n v="65"/>
    <n v="2"/>
    <n v="5"/>
    <x v="5"/>
    <n v="3"/>
    <x v="2"/>
    <s v="Married"/>
    <x v="186"/>
    <x v="4"/>
    <n v="5678"/>
    <n v="0"/>
    <s v="Y"/>
    <x v="1"/>
    <n v="14"/>
    <x v="0"/>
    <x v="0"/>
    <n v="1"/>
    <n v="80"/>
    <n v="1"/>
    <n v="34"/>
    <n v="5"/>
    <n v="3"/>
    <x v="26"/>
    <n v="18"/>
    <n v="11"/>
    <n v="9"/>
    <n v="0"/>
    <x v="1"/>
    <s v=""/>
    <s v=""/>
    <s v=""/>
  </r>
  <r>
    <x v="4"/>
    <x v="2"/>
    <x v="1"/>
    <n v="0"/>
    <s v="Travel_Rarely"/>
    <n v="894"/>
    <x v="1"/>
    <n v="9"/>
    <n v="3"/>
    <s v="Medical"/>
    <n v="1"/>
    <x v="191"/>
    <n v="4"/>
    <x v="2"/>
    <x v="0"/>
    <n v="99"/>
    <n v="3"/>
    <n v="1"/>
    <x v="1"/>
    <n v="2"/>
    <x v="1"/>
    <s v="Single"/>
    <x v="187"/>
    <x v="1"/>
    <n v="11781"/>
    <n v="1"/>
    <s v="Y"/>
    <x v="1"/>
    <n v="16"/>
    <x v="2"/>
    <x v="0"/>
    <n v="4"/>
    <n v="80"/>
    <n v="0"/>
    <n v="7"/>
    <n v="2"/>
    <n v="2"/>
    <x v="5"/>
    <n v="7"/>
    <n v="0"/>
    <n v="3"/>
    <n v="3"/>
    <x v="2"/>
    <s v=""/>
    <s v=""/>
    <s v=""/>
  </r>
  <r>
    <x v="10"/>
    <x v="0"/>
    <x v="0"/>
    <n v="1"/>
    <s v="Travel_Rarely"/>
    <n v="556"/>
    <x v="1"/>
    <n v="23"/>
    <n v="2"/>
    <s v="Life Sciences"/>
    <n v="1"/>
    <x v="192"/>
    <n v="2"/>
    <x v="0"/>
    <x v="1"/>
    <n v="50"/>
    <n v="2"/>
    <n v="2"/>
    <x v="3"/>
    <n v="3"/>
    <x v="2"/>
    <s v="Married"/>
    <x v="188"/>
    <x v="0"/>
    <n v="15497"/>
    <n v="3"/>
    <s v="Y"/>
    <x v="0"/>
    <n v="13"/>
    <x v="0"/>
    <x v="0"/>
    <n v="1"/>
    <n v="80"/>
    <n v="0"/>
    <n v="8"/>
    <n v="1"/>
    <n v="3"/>
    <x v="6"/>
    <n v="0"/>
    <n v="0"/>
    <n v="1"/>
    <s v=""/>
    <x v="0"/>
    <s v=""/>
    <s v=""/>
    <s v=""/>
  </r>
  <r>
    <x v="23"/>
    <x v="0"/>
    <x v="1"/>
    <n v="0"/>
    <s v="Non-Travel"/>
    <n v="1344"/>
    <x v="1"/>
    <n v="7"/>
    <n v="3"/>
    <s v="Medical"/>
    <n v="1"/>
    <x v="193"/>
    <n v="4"/>
    <x v="2"/>
    <x v="1"/>
    <n v="37"/>
    <n v="4"/>
    <n v="1"/>
    <x v="1"/>
    <n v="4"/>
    <x v="0"/>
    <s v="Divorced"/>
    <x v="189"/>
    <x v="1"/>
    <n v="5228"/>
    <n v="4"/>
    <s v="Y"/>
    <x v="1"/>
    <n v="14"/>
    <x v="0"/>
    <x v="0"/>
    <n v="4"/>
    <n v="80"/>
    <n v="3"/>
    <n v="7"/>
    <n v="3"/>
    <n v="4"/>
    <x v="8"/>
    <n v="4"/>
    <n v="2"/>
    <n v="2"/>
    <n v="2"/>
    <x v="1"/>
    <s v=""/>
    <s v=""/>
    <s v=""/>
  </r>
  <r>
    <x v="28"/>
    <x v="1"/>
    <x v="1"/>
    <n v="0"/>
    <s v="Non-Travel"/>
    <n v="1195"/>
    <x v="1"/>
    <n v="2"/>
    <n v="2"/>
    <s v="Medical"/>
    <n v="1"/>
    <x v="194"/>
    <n v="1"/>
    <x v="3"/>
    <x v="1"/>
    <n v="65"/>
    <n v="2"/>
    <n v="4"/>
    <x v="5"/>
    <n v="4"/>
    <x v="0"/>
    <s v="Married"/>
    <x v="190"/>
    <x v="4"/>
    <n v="20462"/>
    <n v="9"/>
    <s v="Y"/>
    <x v="1"/>
    <n v="23"/>
    <x v="1"/>
    <x v="1"/>
    <n v="4"/>
    <n v="80"/>
    <n v="1"/>
    <n v="22"/>
    <n v="1"/>
    <n v="3"/>
    <x v="23"/>
    <n v="8"/>
    <n v="11"/>
    <n v="8"/>
    <n v="0"/>
    <x v="1"/>
    <s v=""/>
    <s v=""/>
    <s v=""/>
  </r>
  <r>
    <x v="2"/>
    <x v="0"/>
    <x v="1"/>
    <n v="0"/>
    <s v="Travel_Rarely"/>
    <n v="290"/>
    <x v="1"/>
    <n v="21"/>
    <n v="3"/>
    <s v="Life Sciences"/>
    <n v="1"/>
    <x v="195"/>
    <n v="2"/>
    <x v="0"/>
    <x v="1"/>
    <n v="65"/>
    <n v="4"/>
    <n v="1"/>
    <x v="1"/>
    <n v="1"/>
    <x v="3"/>
    <s v="Married"/>
    <x v="191"/>
    <x v="1"/>
    <n v="22977"/>
    <n v="1"/>
    <s v="Y"/>
    <x v="0"/>
    <n v="12"/>
    <x v="0"/>
    <x v="0"/>
    <n v="1"/>
    <n v="80"/>
    <n v="1"/>
    <n v="8"/>
    <n v="3"/>
    <n v="2"/>
    <x v="3"/>
    <n v="7"/>
    <n v="1"/>
    <n v="7"/>
    <n v="6"/>
    <x v="3"/>
    <n v="26"/>
    <s v=""/>
    <n v="59733"/>
  </r>
  <r>
    <x v="10"/>
    <x v="0"/>
    <x v="1"/>
    <n v="0"/>
    <s v="Travel_Frequently"/>
    <n v="138"/>
    <x v="1"/>
    <n v="2"/>
    <n v="3"/>
    <s v="Medical"/>
    <n v="1"/>
    <x v="196"/>
    <n v="2"/>
    <x v="0"/>
    <x v="0"/>
    <n v="37"/>
    <n v="3"/>
    <n v="2"/>
    <x v="2"/>
    <n v="2"/>
    <x v="1"/>
    <s v="Single"/>
    <x v="192"/>
    <x v="0"/>
    <n v="15986"/>
    <n v="5"/>
    <s v="Y"/>
    <x v="1"/>
    <n v="11"/>
    <x v="0"/>
    <x v="0"/>
    <n v="4"/>
    <n v="80"/>
    <n v="0"/>
    <n v="10"/>
    <n v="5"/>
    <n v="3"/>
    <x v="0"/>
    <n v="2"/>
    <n v="1"/>
    <n v="2"/>
    <n v="2"/>
    <x v="1"/>
    <s v=""/>
    <s v=""/>
    <s v=""/>
  </r>
  <r>
    <x v="19"/>
    <x v="0"/>
    <x v="1"/>
    <n v="0"/>
    <s v="Non-Travel"/>
    <n v="926"/>
    <x v="1"/>
    <n v="21"/>
    <n v="2"/>
    <s v="Medical"/>
    <n v="1"/>
    <x v="197"/>
    <n v="3"/>
    <x v="1"/>
    <x v="0"/>
    <n v="36"/>
    <n v="3"/>
    <n v="2"/>
    <x v="3"/>
    <n v="3"/>
    <x v="2"/>
    <s v="Divorced"/>
    <x v="193"/>
    <x v="0"/>
    <n v="16439"/>
    <n v="2"/>
    <s v="Y"/>
    <x v="1"/>
    <n v="16"/>
    <x v="2"/>
    <x v="0"/>
    <n v="2"/>
    <n v="80"/>
    <n v="1"/>
    <n v="11"/>
    <n v="5"/>
    <n v="3"/>
    <x v="8"/>
    <n v="3"/>
    <n v="0"/>
    <n v="2"/>
    <n v="1"/>
    <x v="1"/>
    <s v=""/>
    <s v=""/>
    <s v=""/>
  </r>
  <r>
    <x v="8"/>
    <x v="0"/>
    <x v="1"/>
    <n v="0"/>
    <s v="Travel_Rarely"/>
    <n v="1261"/>
    <x v="1"/>
    <n v="2"/>
    <n v="4"/>
    <s v="Life Sciences"/>
    <n v="1"/>
    <x v="198"/>
    <n v="4"/>
    <x v="2"/>
    <x v="1"/>
    <n v="88"/>
    <n v="3"/>
    <n v="2"/>
    <x v="3"/>
    <n v="3"/>
    <x v="2"/>
    <s v="Married"/>
    <x v="194"/>
    <x v="0"/>
    <n v="7259"/>
    <n v="9"/>
    <s v="Y"/>
    <x v="1"/>
    <n v="14"/>
    <x v="0"/>
    <x v="0"/>
    <n v="2"/>
    <n v="80"/>
    <n v="0"/>
    <n v="14"/>
    <n v="3"/>
    <n v="3"/>
    <x v="6"/>
    <n v="0"/>
    <n v="0"/>
    <n v="0"/>
    <n v="1"/>
    <x v="1"/>
    <s v=""/>
    <s v=""/>
    <s v=""/>
  </r>
  <r>
    <x v="8"/>
    <x v="0"/>
    <x v="1"/>
    <n v="0"/>
    <s v="Travel_Rarely"/>
    <n v="1084"/>
    <x v="1"/>
    <n v="29"/>
    <n v="3"/>
    <s v="Technical Degree"/>
    <n v="1"/>
    <x v="199"/>
    <n v="4"/>
    <x v="2"/>
    <x v="1"/>
    <n v="54"/>
    <n v="3"/>
    <n v="2"/>
    <x v="3"/>
    <n v="4"/>
    <x v="0"/>
    <s v="Married"/>
    <x v="195"/>
    <x v="0"/>
    <n v="4185"/>
    <n v="3"/>
    <s v="Y"/>
    <x v="1"/>
    <n v="18"/>
    <x v="2"/>
    <x v="0"/>
    <n v="1"/>
    <n v="80"/>
    <n v="1"/>
    <n v="9"/>
    <n v="3"/>
    <n v="1"/>
    <x v="5"/>
    <n v="7"/>
    <n v="1"/>
    <n v="7"/>
    <n v="1"/>
    <x v="1"/>
    <s v=""/>
    <s v=""/>
    <s v=""/>
  </r>
  <r>
    <x v="4"/>
    <x v="2"/>
    <x v="1"/>
    <n v="0"/>
    <s v="Travel_Frequently"/>
    <n v="472"/>
    <x v="1"/>
    <n v="1"/>
    <n v="1"/>
    <s v="Technical Degree"/>
    <n v="1"/>
    <x v="200"/>
    <n v="3"/>
    <x v="1"/>
    <x v="1"/>
    <n v="60"/>
    <n v="2"/>
    <n v="2"/>
    <x v="3"/>
    <n v="1"/>
    <x v="3"/>
    <s v="Married"/>
    <x v="196"/>
    <x v="0"/>
    <n v="9679"/>
    <n v="5"/>
    <s v="Y"/>
    <x v="1"/>
    <n v="19"/>
    <x v="2"/>
    <x v="0"/>
    <n v="3"/>
    <n v="80"/>
    <n v="1"/>
    <n v="6"/>
    <n v="1"/>
    <n v="3"/>
    <x v="4"/>
    <n v="2"/>
    <n v="2"/>
    <n v="0"/>
    <n v="4"/>
    <x v="2"/>
    <s v=""/>
    <s v=""/>
    <s v=""/>
  </r>
  <r>
    <x v="1"/>
    <x v="1"/>
    <x v="1"/>
    <n v="0"/>
    <s v="Non-Travel"/>
    <n v="1002"/>
    <x v="1"/>
    <n v="18"/>
    <n v="4"/>
    <s v="Life Sciences"/>
    <n v="1"/>
    <x v="201"/>
    <n v="4"/>
    <x v="2"/>
    <x v="1"/>
    <n v="92"/>
    <n v="3"/>
    <n v="2"/>
    <x v="3"/>
    <n v="4"/>
    <x v="0"/>
    <s v="Divorced"/>
    <x v="197"/>
    <x v="0"/>
    <n v="23793"/>
    <n v="1"/>
    <s v="Y"/>
    <x v="0"/>
    <n v="15"/>
    <x v="0"/>
    <x v="0"/>
    <n v="1"/>
    <n v="80"/>
    <n v="2"/>
    <n v="7"/>
    <n v="0"/>
    <n v="3"/>
    <x v="5"/>
    <n v="7"/>
    <n v="1"/>
    <n v="7"/>
    <n v="3"/>
    <x v="2"/>
    <s v=""/>
    <s v=""/>
    <s v=""/>
  </r>
  <r>
    <x v="13"/>
    <x v="2"/>
    <x v="1"/>
    <n v="0"/>
    <s v="Travel_Frequently"/>
    <n v="878"/>
    <x v="1"/>
    <n v="10"/>
    <n v="4"/>
    <s v="Medical"/>
    <n v="1"/>
    <x v="202"/>
    <n v="4"/>
    <x v="2"/>
    <x v="1"/>
    <n v="43"/>
    <n v="3"/>
    <n v="1"/>
    <x v="1"/>
    <n v="3"/>
    <x v="2"/>
    <s v="Divorced"/>
    <x v="198"/>
    <x v="1"/>
    <n v="5972"/>
    <n v="1"/>
    <s v="Y"/>
    <x v="0"/>
    <n v="17"/>
    <x v="2"/>
    <x v="0"/>
    <n v="4"/>
    <n v="80"/>
    <n v="1"/>
    <n v="5"/>
    <n v="4"/>
    <n v="4"/>
    <x v="8"/>
    <n v="3"/>
    <n v="2"/>
    <n v="0"/>
    <n v="5"/>
    <x v="2"/>
    <s v=""/>
    <s v=""/>
    <s v=""/>
  </r>
  <r>
    <x v="32"/>
    <x v="0"/>
    <x v="1"/>
    <n v="0"/>
    <s v="Travel_Rarely"/>
    <n v="905"/>
    <x v="1"/>
    <n v="19"/>
    <n v="2"/>
    <s v="Medical"/>
    <n v="1"/>
    <x v="203"/>
    <n v="3"/>
    <x v="1"/>
    <x v="1"/>
    <n v="99"/>
    <n v="3"/>
    <n v="2"/>
    <x v="2"/>
    <n v="4"/>
    <x v="0"/>
    <s v="Married"/>
    <x v="199"/>
    <x v="1"/>
    <n v="16523"/>
    <n v="8"/>
    <s v="Y"/>
    <x v="0"/>
    <n v="15"/>
    <x v="0"/>
    <x v="0"/>
    <n v="3"/>
    <n v="80"/>
    <n v="1"/>
    <n v="15"/>
    <n v="2"/>
    <n v="4"/>
    <x v="5"/>
    <n v="2"/>
    <n v="3"/>
    <n v="7"/>
    <n v="5"/>
    <x v="2"/>
    <s v=""/>
    <s v=""/>
    <s v=""/>
  </r>
  <r>
    <x v="8"/>
    <x v="0"/>
    <x v="0"/>
    <n v="1"/>
    <s v="Travel_Rarely"/>
    <n v="1180"/>
    <x v="1"/>
    <n v="29"/>
    <n v="1"/>
    <s v="Medical"/>
    <n v="1"/>
    <x v="204"/>
    <n v="2"/>
    <x v="0"/>
    <x v="1"/>
    <n v="70"/>
    <n v="3"/>
    <n v="2"/>
    <x v="4"/>
    <n v="1"/>
    <x v="3"/>
    <s v="Married"/>
    <x v="200"/>
    <x v="0"/>
    <n v="11354"/>
    <n v="7"/>
    <s v="Y"/>
    <x v="0"/>
    <n v="19"/>
    <x v="2"/>
    <x v="0"/>
    <n v="2"/>
    <n v="80"/>
    <n v="0"/>
    <n v="17"/>
    <n v="2"/>
    <n v="3"/>
    <x v="6"/>
    <n v="0"/>
    <n v="0"/>
    <n v="0"/>
    <s v=""/>
    <x v="0"/>
    <s v=""/>
    <s v=""/>
    <s v=""/>
  </r>
  <r>
    <x v="11"/>
    <x v="2"/>
    <x v="0"/>
    <n v="1"/>
    <s v="Travel_Rarely"/>
    <n v="121"/>
    <x v="0"/>
    <n v="27"/>
    <n v="3"/>
    <s v="Marketing"/>
    <n v="1"/>
    <x v="205"/>
    <n v="2"/>
    <x v="0"/>
    <x v="0"/>
    <n v="35"/>
    <n v="3"/>
    <n v="3"/>
    <x v="0"/>
    <n v="4"/>
    <x v="0"/>
    <s v="Married"/>
    <x v="201"/>
    <x v="0"/>
    <n v="24525"/>
    <n v="1"/>
    <s v="Y"/>
    <x v="1"/>
    <n v="22"/>
    <x v="1"/>
    <x v="1"/>
    <n v="4"/>
    <n v="80"/>
    <n v="3"/>
    <n v="10"/>
    <n v="3"/>
    <n v="2"/>
    <x v="1"/>
    <n v="4"/>
    <n v="1"/>
    <n v="9"/>
    <s v=""/>
    <x v="0"/>
    <s v=""/>
    <s v=""/>
    <s v=""/>
  </r>
  <r>
    <x v="15"/>
    <x v="4"/>
    <x v="1"/>
    <n v="0"/>
    <s v="Travel_Rarely"/>
    <n v="1136"/>
    <x v="1"/>
    <n v="5"/>
    <n v="3"/>
    <s v="Life Sciences"/>
    <n v="1"/>
    <x v="206"/>
    <n v="4"/>
    <x v="2"/>
    <x v="1"/>
    <n v="60"/>
    <n v="4"/>
    <n v="1"/>
    <x v="1"/>
    <n v="2"/>
    <x v="1"/>
    <s v="Divorced"/>
    <x v="202"/>
    <x v="1"/>
    <n v="12392"/>
    <n v="1"/>
    <s v="Y"/>
    <x v="0"/>
    <n v="16"/>
    <x v="2"/>
    <x v="0"/>
    <n v="1"/>
    <n v="80"/>
    <n v="1"/>
    <n v="4"/>
    <n v="2"/>
    <n v="2"/>
    <x v="9"/>
    <n v="2"/>
    <n v="2"/>
    <n v="2"/>
    <n v="6"/>
    <x v="3"/>
    <n v="27"/>
    <s v=""/>
    <n v="59716"/>
  </r>
  <r>
    <x v="9"/>
    <x v="0"/>
    <x v="1"/>
    <n v="0"/>
    <s v="Travel_Frequently"/>
    <n v="635"/>
    <x v="1"/>
    <n v="18"/>
    <n v="1"/>
    <s v="Medical"/>
    <n v="1"/>
    <x v="207"/>
    <n v="2"/>
    <x v="0"/>
    <x v="0"/>
    <n v="73"/>
    <n v="3"/>
    <n v="1"/>
    <x v="2"/>
    <n v="4"/>
    <x v="0"/>
    <s v="Single"/>
    <x v="203"/>
    <x v="1"/>
    <n v="7703"/>
    <n v="1"/>
    <s v="Y"/>
    <x v="1"/>
    <n v="13"/>
    <x v="0"/>
    <x v="0"/>
    <n v="1"/>
    <n v="80"/>
    <n v="0"/>
    <n v="8"/>
    <n v="2"/>
    <n v="3"/>
    <x v="3"/>
    <n v="1"/>
    <n v="1"/>
    <n v="7"/>
    <n v="3"/>
    <x v="2"/>
    <s v=""/>
    <s v=""/>
    <s v=""/>
  </r>
  <r>
    <x v="32"/>
    <x v="0"/>
    <x v="1"/>
    <n v="0"/>
    <s v="Non-Travel"/>
    <n v="1151"/>
    <x v="1"/>
    <n v="9"/>
    <n v="5"/>
    <s v="Life Sciences"/>
    <n v="1"/>
    <x v="208"/>
    <n v="4"/>
    <x v="2"/>
    <x v="1"/>
    <n v="63"/>
    <n v="2"/>
    <n v="2"/>
    <x v="4"/>
    <n v="4"/>
    <x v="0"/>
    <s v="Married"/>
    <x v="204"/>
    <x v="0"/>
    <n v="14242"/>
    <n v="9"/>
    <s v="Y"/>
    <x v="1"/>
    <n v="14"/>
    <x v="0"/>
    <x v="0"/>
    <n v="4"/>
    <n v="80"/>
    <n v="1"/>
    <n v="5"/>
    <n v="5"/>
    <n v="1"/>
    <x v="11"/>
    <n v="2"/>
    <n v="0"/>
    <n v="2"/>
    <n v="1"/>
    <x v="1"/>
    <s v=""/>
    <s v=""/>
    <s v=""/>
  </r>
  <r>
    <x v="21"/>
    <x v="1"/>
    <x v="1"/>
    <n v="0"/>
    <s v="Travel_Rarely"/>
    <n v="644"/>
    <x v="1"/>
    <n v="1"/>
    <n v="4"/>
    <s v="Medical"/>
    <n v="1"/>
    <x v="209"/>
    <n v="4"/>
    <x v="2"/>
    <x v="1"/>
    <n v="97"/>
    <n v="3"/>
    <n v="3"/>
    <x v="4"/>
    <n v="1"/>
    <x v="3"/>
    <s v="Divorced"/>
    <x v="205"/>
    <x v="2"/>
    <n v="12368"/>
    <n v="7"/>
    <s v="Y"/>
    <x v="1"/>
    <n v="16"/>
    <x v="2"/>
    <x v="0"/>
    <n v="3"/>
    <n v="80"/>
    <n v="1"/>
    <n v="17"/>
    <n v="3"/>
    <n v="3"/>
    <x v="9"/>
    <n v="2"/>
    <n v="0"/>
    <n v="3"/>
    <n v="2"/>
    <x v="1"/>
    <s v=""/>
    <s v=""/>
    <s v=""/>
  </r>
  <r>
    <x v="5"/>
    <x v="2"/>
    <x v="0"/>
    <n v="1"/>
    <s v="Travel_Rarely"/>
    <n v="1045"/>
    <x v="0"/>
    <n v="4"/>
    <n v="4"/>
    <s v="Medical"/>
    <n v="1"/>
    <x v="210"/>
    <n v="4"/>
    <x v="2"/>
    <x v="1"/>
    <n v="32"/>
    <n v="1"/>
    <n v="3"/>
    <x v="0"/>
    <n v="4"/>
    <x v="0"/>
    <s v="Married"/>
    <x v="206"/>
    <x v="2"/>
    <n v="25812"/>
    <n v="1"/>
    <s v="Y"/>
    <x v="1"/>
    <n v="11"/>
    <x v="0"/>
    <x v="0"/>
    <n v="3"/>
    <n v="80"/>
    <n v="0"/>
    <n v="14"/>
    <n v="2"/>
    <n v="2"/>
    <x v="13"/>
    <n v="8"/>
    <n v="9"/>
    <n v="8"/>
    <s v=""/>
    <x v="0"/>
    <s v=""/>
    <s v=""/>
    <s v=""/>
  </r>
  <r>
    <x v="7"/>
    <x v="2"/>
    <x v="1"/>
    <n v="0"/>
    <s v="Non-Travel"/>
    <n v="829"/>
    <x v="1"/>
    <n v="1"/>
    <n v="1"/>
    <s v="Life Sciences"/>
    <n v="1"/>
    <x v="211"/>
    <n v="3"/>
    <x v="1"/>
    <x v="1"/>
    <n v="88"/>
    <n v="2"/>
    <n v="3"/>
    <x v="3"/>
    <n v="3"/>
    <x v="2"/>
    <s v="Single"/>
    <x v="207"/>
    <x v="2"/>
    <n v="20925"/>
    <n v="1"/>
    <s v="Y"/>
    <x v="1"/>
    <n v="22"/>
    <x v="1"/>
    <x v="1"/>
    <n v="3"/>
    <n v="80"/>
    <n v="0"/>
    <n v="12"/>
    <n v="2"/>
    <n v="3"/>
    <x v="19"/>
    <n v="8"/>
    <n v="5"/>
    <n v="8"/>
    <n v="1"/>
    <x v="1"/>
    <s v=""/>
    <s v=""/>
    <s v=""/>
  </r>
  <r>
    <x v="4"/>
    <x v="2"/>
    <x v="1"/>
    <n v="0"/>
    <s v="Travel_Frequently"/>
    <n v="1242"/>
    <x v="0"/>
    <n v="20"/>
    <n v="3"/>
    <s v="Life Sciences"/>
    <n v="1"/>
    <x v="212"/>
    <n v="4"/>
    <x v="2"/>
    <x v="0"/>
    <n v="90"/>
    <n v="3"/>
    <n v="2"/>
    <x v="0"/>
    <n v="3"/>
    <x v="2"/>
    <s v="Single"/>
    <x v="208"/>
    <x v="2"/>
    <n v="12916"/>
    <n v="1"/>
    <s v="Y"/>
    <x v="1"/>
    <n v="14"/>
    <x v="0"/>
    <x v="0"/>
    <n v="4"/>
    <n v="80"/>
    <n v="0"/>
    <n v="7"/>
    <n v="2"/>
    <n v="3"/>
    <x v="5"/>
    <n v="7"/>
    <n v="0"/>
    <n v="7"/>
    <n v="1"/>
    <x v="1"/>
    <s v=""/>
    <s v=""/>
    <s v=""/>
  </r>
  <r>
    <x v="31"/>
    <x v="1"/>
    <x v="1"/>
    <n v="0"/>
    <s v="Travel_Rarely"/>
    <n v="1469"/>
    <x v="1"/>
    <n v="8"/>
    <n v="4"/>
    <s v="Life Sciences"/>
    <n v="1"/>
    <x v="213"/>
    <n v="2"/>
    <x v="0"/>
    <x v="1"/>
    <n v="81"/>
    <n v="2"/>
    <n v="3"/>
    <x v="7"/>
    <n v="2"/>
    <x v="1"/>
    <s v="Married"/>
    <x v="209"/>
    <x v="3"/>
    <n v="15736"/>
    <n v="5"/>
    <s v="Y"/>
    <x v="1"/>
    <n v="16"/>
    <x v="2"/>
    <x v="0"/>
    <n v="4"/>
    <n v="80"/>
    <n v="2"/>
    <n v="16"/>
    <n v="5"/>
    <n v="1"/>
    <x v="1"/>
    <n v="9"/>
    <n v="4"/>
    <n v="7"/>
    <n v="0"/>
    <x v="1"/>
    <s v=""/>
    <s v=""/>
    <s v=""/>
  </r>
  <r>
    <x v="7"/>
    <x v="2"/>
    <x v="0"/>
    <n v="1"/>
    <s v="Travel_Rarely"/>
    <n v="1005"/>
    <x v="1"/>
    <n v="3"/>
    <n v="3"/>
    <s v="Technical Degree"/>
    <n v="1"/>
    <x v="214"/>
    <n v="4"/>
    <x v="2"/>
    <x v="0"/>
    <n v="88"/>
    <n v="3"/>
    <n v="1"/>
    <x v="1"/>
    <n v="1"/>
    <x v="3"/>
    <s v="Single"/>
    <x v="210"/>
    <x v="1"/>
    <n v="8556"/>
    <n v="5"/>
    <s v="Y"/>
    <x v="0"/>
    <n v="11"/>
    <x v="0"/>
    <x v="0"/>
    <n v="3"/>
    <n v="80"/>
    <n v="0"/>
    <n v="8"/>
    <n v="5"/>
    <n v="3"/>
    <x v="8"/>
    <n v="2"/>
    <n v="0"/>
    <n v="4"/>
    <s v=""/>
    <x v="0"/>
    <s v=""/>
    <s v=""/>
    <s v=""/>
  </r>
  <r>
    <x v="0"/>
    <x v="0"/>
    <x v="1"/>
    <n v="0"/>
    <s v="Travel_Rarely"/>
    <n v="896"/>
    <x v="0"/>
    <n v="6"/>
    <n v="3"/>
    <s v="Life Sciences"/>
    <n v="1"/>
    <x v="215"/>
    <n v="4"/>
    <x v="2"/>
    <x v="0"/>
    <n v="75"/>
    <n v="3"/>
    <n v="3"/>
    <x v="5"/>
    <n v="4"/>
    <x v="0"/>
    <s v="Single"/>
    <x v="211"/>
    <x v="3"/>
    <n v="14674"/>
    <n v="3"/>
    <s v="Y"/>
    <x v="0"/>
    <n v="18"/>
    <x v="2"/>
    <x v="0"/>
    <n v="3"/>
    <n v="80"/>
    <n v="0"/>
    <n v="16"/>
    <n v="3"/>
    <n v="3"/>
    <x v="6"/>
    <n v="0"/>
    <n v="0"/>
    <n v="0"/>
    <n v="2"/>
    <x v="1"/>
    <s v=""/>
    <s v=""/>
    <s v=""/>
  </r>
  <r>
    <x v="7"/>
    <x v="2"/>
    <x v="0"/>
    <n v="1"/>
    <s v="Travel_Frequently"/>
    <n v="334"/>
    <x v="0"/>
    <n v="26"/>
    <n v="4"/>
    <s v="Marketing"/>
    <n v="1"/>
    <x v="216"/>
    <n v="3"/>
    <x v="1"/>
    <x v="0"/>
    <n v="52"/>
    <n v="2"/>
    <n v="2"/>
    <x v="0"/>
    <n v="1"/>
    <x v="3"/>
    <s v="Single"/>
    <x v="212"/>
    <x v="0"/>
    <n v="22967"/>
    <n v="5"/>
    <s v="Y"/>
    <x v="1"/>
    <n v="15"/>
    <x v="0"/>
    <x v="0"/>
    <n v="3"/>
    <n v="80"/>
    <n v="0"/>
    <n v="9"/>
    <n v="5"/>
    <n v="2"/>
    <x v="0"/>
    <n v="3"/>
    <n v="0"/>
    <n v="1"/>
    <s v=""/>
    <x v="0"/>
    <s v=""/>
    <s v=""/>
    <s v=""/>
  </r>
  <r>
    <x v="11"/>
    <x v="2"/>
    <x v="0"/>
    <n v="1"/>
    <s v="Travel_Rarely"/>
    <n v="992"/>
    <x v="1"/>
    <n v="1"/>
    <n v="3"/>
    <s v="Technical Degree"/>
    <n v="1"/>
    <x v="217"/>
    <n v="3"/>
    <x v="1"/>
    <x v="1"/>
    <n v="85"/>
    <n v="3"/>
    <n v="1"/>
    <x v="1"/>
    <n v="3"/>
    <x v="2"/>
    <s v="Single"/>
    <x v="213"/>
    <x v="1"/>
    <n v="19757"/>
    <n v="0"/>
    <s v="Y"/>
    <x v="1"/>
    <n v="14"/>
    <x v="0"/>
    <x v="0"/>
    <n v="4"/>
    <n v="80"/>
    <n v="0"/>
    <n v="7"/>
    <n v="1"/>
    <n v="2"/>
    <x v="0"/>
    <n v="2"/>
    <n v="1"/>
    <n v="5"/>
    <s v=""/>
    <x v="0"/>
    <s v=""/>
    <s v=""/>
    <s v=""/>
  </r>
  <r>
    <x v="28"/>
    <x v="1"/>
    <x v="1"/>
    <n v="0"/>
    <s v="Non-Travel"/>
    <n v="1052"/>
    <x v="0"/>
    <n v="6"/>
    <n v="3"/>
    <s v="Medical"/>
    <n v="1"/>
    <x v="218"/>
    <n v="4"/>
    <x v="2"/>
    <x v="0"/>
    <n v="57"/>
    <n v="2"/>
    <n v="3"/>
    <x v="0"/>
    <n v="4"/>
    <x v="0"/>
    <s v="Single"/>
    <x v="214"/>
    <x v="2"/>
    <n v="16840"/>
    <n v="6"/>
    <s v="Y"/>
    <x v="1"/>
    <n v="12"/>
    <x v="0"/>
    <x v="0"/>
    <n v="4"/>
    <n v="80"/>
    <n v="0"/>
    <n v="23"/>
    <n v="2"/>
    <n v="3"/>
    <x v="27"/>
    <n v="7"/>
    <n v="12"/>
    <n v="8"/>
    <n v="0"/>
    <x v="1"/>
    <s v=""/>
    <s v=""/>
    <s v=""/>
  </r>
  <r>
    <x v="33"/>
    <x v="1"/>
    <x v="1"/>
    <n v="0"/>
    <s v="Travel_Rarely"/>
    <n v="1147"/>
    <x v="0"/>
    <n v="3"/>
    <n v="3"/>
    <s v="Marketing"/>
    <n v="1"/>
    <x v="219"/>
    <n v="4"/>
    <x v="2"/>
    <x v="0"/>
    <n v="52"/>
    <n v="3"/>
    <n v="2"/>
    <x v="0"/>
    <n v="1"/>
    <x v="3"/>
    <s v="Married"/>
    <x v="215"/>
    <x v="0"/>
    <n v="17011"/>
    <n v="2"/>
    <s v="Y"/>
    <x v="1"/>
    <n v="14"/>
    <x v="0"/>
    <x v="0"/>
    <n v="4"/>
    <n v="80"/>
    <n v="1"/>
    <n v="16"/>
    <n v="4"/>
    <n v="3"/>
    <x v="0"/>
    <n v="2"/>
    <n v="0"/>
    <n v="5"/>
    <n v="3"/>
    <x v="2"/>
    <s v=""/>
    <s v=""/>
    <s v=""/>
  </r>
  <r>
    <x v="9"/>
    <x v="0"/>
    <x v="1"/>
    <n v="0"/>
    <s v="Travel_Rarely"/>
    <n v="1396"/>
    <x v="1"/>
    <n v="5"/>
    <n v="2"/>
    <s v="Life Sciences"/>
    <n v="1"/>
    <x v="220"/>
    <n v="4"/>
    <x v="2"/>
    <x v="1"/>
    <n v="62"/>
    <n v="3"/>
    <n v="2"/>
    <x v="2"/>
    <n v="2"/>
    <x v="1"/>
    <s v="Single"/>
    <x v="216"/>
    <x v="0"/>
    <n v="9945"/>
    <n v="8"/>
    <s v="Y"/>
    <x v="1"/>
    <n v="16"/>
    <x v="2"/>
    <x v="0"/>
    <n v="4"/>
    <n v="80"/>
    <n v="0"/>
    <n v="16"/>
    <n v="3"/>
    <n v="4"/>
    <x v="20"/>
    <n v="11"/>
    <n v="3"/>
    <n v="7"/>
    <n v="2"/>
    <x v="1"/>
    <s v=""/>
    <s v=""/>
    <s v=""/>
  </r>
  <r>
    <x v="3"/>
    <x v="2"/>
    <x v="1"/>
    <n v="0"/>
    <s v="Travel_Rarely"/>
    <n v="147"/>
    <x v="1"/>
    <n v="4"/>
    <n v="4"/>
    <s v="Medical"/>
    <n v="1"/>
    <x v="221"/>
    <n v="3"/>
    <x v="1"/>
    <x v="0"/>
    <n v="47"/>
    <n v="2"/>
    <n v="1"/>
    <x v="1"/>
    <n v="2"/>
    <x v="1"/>
    <s v="Married"/>
    <x v="217"/>
    <x v="1"/>
    <n v="13248"/>
    <n v="6"/>
    <s v="Y"/>
    <x v="1"/>
    <n v="21"/>
    <x v="1"/>
    <x v="1"/>
    <n v="4"/>
    <n v="80"/>
    <n v="0"/>
    <n v="7"/>
    <n v="3"/>
    <n v="3"/>
    <x v="11"/>
    <n v="2"/>
    <n v="1"/>
    <n v="1"/>
    <n v="3"/>
    <x v="2"/>
    <s v=""/>
    <s v=""/>
    <s v=""/>
  </r>
  <r>
    <x v="2"/>
    <x v="0"/>
    <x v="1"/>
    <n v="0"/>
    <s v="Travel_Frequently"/>
    <n v="663"/>
    <x v="1"/>
    <n v="11"/>
    <n v="3"/>
    <s v="Other"/>
    <n v="1"/>
    <x v="222"/>
    <n v="2"/>
    <x v="0"/>
    <x v="1"/>
    <n v="47"/>
    <n v="3"/>
    <n v="3"/>
    <x v="7"/>
    <n v="4"/>
    <x v="0"/>
    <s v="Divorced"/>
    <x v="218"/>
    <x v="3"/>
    <n v="10056"/>
    <n v="1"/>
    <s v="Y"/>
    <x v="0"/>
    <n v="14"/>
    <x v="0"/>
    <x v="0"/>
    <n v="3"/>
    <n v="80"/>
    <n v="3"/>
    <n v="10"/>
    <n v="1"/>
    <n v="3"/>
    <x v="1"/>
    <n v="8"/>
    <n v="0"/>
    <n v="7"/>
    <n v="2"/>
    <x v="1"/>
    <s v=""/>
    <s v=""/>
    <s v=""/>
  </r>
  <r>
    <x v="8"/>
    <x v="0"/>
    <x v="1"/>
    <n v="0"/>
    <s v="Travel_Rarely"/>
    <n v="119"/>
    <x v="0"/>
    <n v="3"/>
    <n v="3"/>
    <s v="Life Sciences"/>
    <n v="1"/>
    <x v="223"/>
    <n v="1"/>
    <x v="3"/>
    <x v="1"/>
    <n v="76"/>
    <n v="3"/>
    <n v="3"/>
    <x v="0"/>
    <n v="3"/>
    <x v="2"/>
    <s v="Divorced"/>
    <x v="219"/>
    <x v="2"/>
    <n v="9647"/>
    <n v="0"/>
    <s v="Y"/>
    <x v="1"/>
    <n v="12"/>
    <x v="0"/>
    <x v="0"/>
    <n v="3"/>
    <n v="80"/>
    <n v="2"/>
    <n v="17"/>
    <n v="6"/>
    <n v="2"/>
    <x v="22"/>
    <n v="10"/>
    <n v="5"/>
    <n v="13"/>
    <n v="0"/>
    <x v="1"/>
    <s v=""/>
    <s v=""/>
    <s v=""/>
  </r>
  <r>
    <x v="12"/>
    <x v="2"/>
    <x v="1"/>
    <n v="0"/>
    <s v="Non-Travel"/>
    <n v="979"/>
    <x v="1"/>
    <n v="1"/>
    <n v="4"/>
    <s v="Medical"/>
    <n v="1"/>
    <x v="224"/>
    <n v="3"/>
    <x v="1"/>
    <x v="1"/>
    <n v="90"/>
    <n v="1"/>
    <n v="2"/>
    <x v="3"/>
    <n v="3"/>
    <x v="2"/>
    <s v="Married"/>
    <x v="220"/>
    <x v="0"/>
    <n v="4381"/>
    <n v="0"/>
    <s v="Y"/>
    <x v="1"/>
    <n v="12"/>
    <x v="0"/>
    <x v="0"/>
    <n v="4"/>
    <n v="80"/>
    <n v="1"/>
    <n v="6"/>
    <n v="2"/>
    <n v="3"/>
    <x v="8"/>
    <n v="4"/>
    <n v="1"/>
    <n v="4"/>
    <n v="2"/>
    <x v="1"/>
    <s v=""/>
    <s v=""/>
    <s v=""/>
  </r>
  <r>
    <x v="6"/>
    <x v="3"/>
    <x v="1"/>
    <n v="0"/>
    <s v="Travel_Rarely"/>
    <n v="142"/>
    <x v="1"/>
    <n v="3"/>
    <n v="3"/>
    <s v="Life Sciences"/>
    <n v="1"/>
    <x v="225"/>
    <n v="3"/>
    <x v="1"/>
    <x v="1"/>
    <n v="70"/>
    <n v="2"/>
    <n v="1"/>
    <x v="1"/>
    <n v="4"/>
    <x v="0"/>
    <s v="Married"/>
    <x v="221"/>
    <x v="1"/>
    <n v="8456"/>
    <n v="3"/>
    <s v="Y"/>
    <x v="1"/>
    <n v="17"/>
    <x v="2"/>
    <x v="0"/>
    <n v="1"/>
    <n v="80"/>
    <n v="1"/>
    <n v="7"/>
    <n v="6"/>
    <n v="3"/>
    <x v="6"/>
    <n v="0"/>
    <n v="0"/>
    <n v="0"/>
    <n v="2"/>
    <x v="1"/>
    <s v=""/>
    <s v=""/>
    <s v=""/>
  </r>
  <r>
    <x v="2"/>
    <x v="0"/>
    <x v="1"/>
    <n v="0"/>
    <s v="Travel_Frequently"/>
    <n v="319"/>
    <x v="0"/>
    <n v="4"/>
    <n v="4"/>
    <s v="Marketing"/>
    <n v="1"/>
    <x v="226"/>
    <n v="1"/>
    <x v="3"/>
    <x v="1"/>
    <n v="41"/>
    <n v="3"/>
    <n v="1"/>
    <x v="6"/>
    <n v="4"/>
    <x v="0"/>
    <s v="Divorced"/>
    <x v="222"/>
    <x v="1"/>
    <n v="2539"/>
    <n v="4"/>
    <s v="Y"/>
    <x v="1"/>
    <n v="17"/>
    <x v="2"/>
    <x v="0"/>
    <n v="3"/>
    <n v="80"/>
    <n v="1"/>
    <n v="13"/>
    <n v="2"/>
    <n v="3"/>
    <x v="7"/>
    <n v="8"/>
    <n v="5"/>
    <n v="8"/>
    <n v="4"/>
    <x v="2"/>
    <s v=""/>
    <s v=""/>
    <s v=""/>
  </r>
  <r>
    <x v="11"/>
    <x v="2"/>
    <x v="1"/>
    <n v="0"/>
    <s v="Travel_Frequently"/>
    <n v="1413"/>
    <x v="0"/>
    <n v="1"/>
    <n v="1"/>
    <s v="Medical"/>
    <n v="1"/>
    <x v="227"/>
    <n v="2"/>
    <x v="0"/>
    <x v="0"/>
    <n v="42"/>
    <n v="3"/>
    <n v="3"/>
    <x v="0"/>
    <n v="4"/>
    <x v="0"/>
    <s v="Married"/>
    <x v="223"/>
    <x v="0"/>
    <n v="6599"/>
    <n v="1"/>
    <s v="Y"/>
    <x v="1"/>
    <n v="14"/>
    <x v="0"/>
    <x v="0"/>
    <n v="4"/>
    <n v="80"/>
    <n v="1"/>
    <n v="11"/>
    <n v="5"/>
    <n v="3"/>
    <x v="19"/>
    <n v="10"/>
    <n v="4"/>
    <n v="1"/>
    <n v="2"/>
    <x v="1"/>
    <s v=""/>
    <s v=""/>
    <s v=""/>
  </r>
  <r>
    <x v="10"/>
    <x v="0"/>
    <x v="1"/>
    <n v="0"/>
    <s v="Travel_Frequently"/>
    <n v="944"/>
    <x v="0"/>
    <n v="1"/>
    <n v="3"/>
    <s v="Marketing"/>
    <n v="1"/>
    <x v="228"/>
    <n v="3"/>
    <x v="1"/>
    <x v="0"/>
    <n v="92"/>
    <n v="3"/>
    <n v="3"/>
    <x v="0"/>
    <n v="3"/>
    <x v="2"/>
    <s v="Single"/>
    <x v="224"/>
    <x v="2"/>
    <n v="9096"/>
    <n v="1"/>
    <s v="Y"/>
    <x v="1"/>
    <n v="14"/>
    <x v="0"/>
    <x v="0"/>
    <n v="1"/>
    <n v="80"/>
    <n v="0"/>
    <n v="10"/>
    <n v="3"/>
    <n v="4"/>
    <x v="1"/>
    <n v="7"/>
    <n v="0"/>
    <n v="8"/>
    <n v="0"/>
    <x v="1"/>
    <s v=""/>
    <s v=""/>
    <s v=""/>
  </r>
  <r>
    <x v="11"/>
    <x v="2"/>
    <x v="0"/>
    <n v="1"/>
    <s v="Travel_Rarely"/>
    <n v="896"/>
    <x v="1"/>
    <n v="18"/>
    <n v="1"/>
    <s v="Medical"/>
    <n v="1"/>
    <x v="229"/>
    <n v="3"/>
    <x v="1"/>
    <x v="1"/>
    <n v="86"/>
    <n v="2"/>
    <n v="1"/>
    <x v="1"/>
    <n v="4"/>
    <x v="0"/>
    <s v="Single"/>
    <x v="225"/>
    <x v="1"/>
    <n v="14961"/>
    <n v="1"/>
    <s v="Y"/>
    <x v="0"/>
    <n v="13"/>
    <x v="0"/>
    <x v="0"/>
    <n v="3"/>
    <n v="80"/>
    <n v="0"/>
    <n v="4"/>
    <n v="3"/>
    <n v="2"/>
    <x v="9"/>
    <n v="3"/>
    <n v="0"/>
    <n v="1"/>
    <s v=""/>
    <x v="0"/>
    <s v=""/>
    <s v=""/>
    <s v=""/>
  </r>
  <r>
    <x v="39"/>
    <x v="1"/>
    <x v="1"/>
    <n v="0"/>
    <s v="Travel_Rarely"/>
    <n v="1323"/>
    <x v="1"/>
    <n v="2"/>
    <n v="3"/>
    <s v="Life Sciences"/>
    <n v="1"/>
    <x v="230"/>
    <n v="3"/>
    <x v="1"/>
    <x v="0"/>
    <n v="89"/>
    <n v="2"/>
    <n v="1"/>
    <x v="2"/>
    <n v="4"/>
    <x v="0"/>
    <s v="Single"/>
    <x v="226"/>
    <x v="1"/>
    <n v="3300"/>
    <n v="7"/>
    <s v="Y"/>
    <x v="1"/>
    <n v="15"/>
    <x v="0"/>
    <x v="0"/>
    <n v="2"/>
    <n v="80"/>
    <n v="0"/>
    <n v="6"/>
    <n v="3"/>
    <n v="2"/>
    <x v="4"/>
    <n v="2"/>
    <n v="2"/>
    <n v="2"/>
    <n v="3"/>
    <x v="2"/>
    <s v=""/>
    <s v=""/>
    <s v=""/>
  </r>
  <r>
    <x v="19"/>
    <x v="0"/>
    <x v="1"/>
    <n v="0"/>
    <s v="Travel_Rarely"/>
    <n v="532"/>
    <x v="1"/>
    <n v="4"/>
    <n v="2"/>
    <s v="Technical Degree"/>
    <n v="1"/>
    <x v="231"/>
    <n v="3"/>
    <x v="1"/>
    <x v="1"/>
    <n v="58"/>
    <n v="3"/>
    <n v="5"/>
    <x v="5"/>
    <n v="4"/>
    <x v="0"/>
    <s v="Married"/>
    <x v="227"/>
    <x v="4"/>
    <n v="4933"/>
    <n v="1"/>
    <s v="Y"/>
    <x v="1"/>
    <n v="11"/>
    <x v="0"/>
    <x v="0"/>
    <n v="4"/>
    <n v="80"/>
    <n v="0"/>
    <n v="22"/>
    <n v="3"/>
    <n v="3"/>
    <x v="14"/>
    <n v="17"/>
    <n v="11"/>
    <n v="15"/>
    <n v="0"/>
    <x v="1"/>
    <s v=""/>
    <s v=""/>
    <s v=""/>
  </r>
  <r>
    <x v="6"/>
    <x v="3"/>
    <x v="1"/>
    <n v="0"/>
    <s v="Travel_Rarely"/>
    <n v="818"/>
    <x v="2"/>
    <n v="6"/>
    <n v="2"/>
    <s v="Medical"/>
    <n v="1"/>
    <x v="232"/>
    <n v="2"/>
    <x v="0"/>
    <x v="1"/>
    <n v="52"/>
    <n v="3"/>
    <n v="1"/>
    <x v="8"/>
    <n v="3"/>
    <x v="2"/>
    <s v="Married"/>
    <x v="228"/>
    <x v="1"/>
    <n v="25657"/>
    <n v="8"/>
    <s v="Y"/>
    <x v="1"/>
    <n v="17"/>
    <x v="2"/>
    <x v="0"/>
    <n v="4"/>
    <n v="80"/>
    <n v="0"/>
    <n v="7"/>
    <n v="2"/>
    <n v="2"/>
    <x v="4"/>
    <n v="2"/>
    <n v="2"/>
    <n v="2"/>
    <n v="3"/>
    <x v="2"/>
    <s v=""/>
    <s v=""/>
    <s v=""/>
  </r>
  <r>
    <x v="24"/>
    <x v="1"/>
    <x v="1"/>
    <n v="0"/>
    <s v="Travel_Rarely"/>
    <n v="854"/>
    <x v="0"/>
    <n v="1"/>
    <n v="4"/>
    <s v="Medical"/>
    <n v="1"/>
    <x v="233"/>
    <n v="4"/>
    <x v="2"/>
    <x v="0"/>
    <n v="68"/>
    <n v="3"/>
    <n v="5"/>
    <x v="5"/>
    <n v="4"/>
    <x v="0"/>
    <s v="Divorced"/>
    <x v="229"/>
    <x v="4"/>
    <n v="24118"/>
    <n v="3"/>
    <s v="Y"/>
    <x v="1"/>
    <n v="11"/>
    <x v="0"/>
    <x v="0"/>
    <n v="3"/>
    <n v="80"/>
    <n v="1"/>
    <n v="32"/>
    <n v="3"/>
    <n v="2"/>
    <x v="5"/>
    <n v="0"/>
    <n v="0"/>
    <n v="6"/>
    <n v="0"/>
    <x v="1"/>
    <s v=""/>
    <s v=""/>
    <s v=""/>
  </r>
  <r>
    <x v="3"/>
    <x v="2"/>
    <x v="0"/>
    <n v="1"/>
    <s v="Travel_Rarely"/>
    <n v="813"/>
    <x v="1"/>
    <n v="14"/>
    <n v="3"/>
    <s v="Medical"/>
    <n v="1"/>
    <x v="234"/>
    <n v="3"/>
    <x v="1"/>
    <x v="1"/>
    <n v="58"/>
    <n v="3"/>
    <n v="1"/>
    <x v="2"/>
    <n v="4"/>
    <x v="0"/>
    <s v="Married"/>
    <x v="230"/>
    <x v="1"/>
    <n v="22149"/>
    <n v="5"/>
    <s v="Y"/>
    <x v="0"/>
    <n v="13"/>
    <x v="0"/>
    <x v="0"/>
    <n v="3"/>
    <n v="80"/>
    <n v="1"/>
    <n v="8"/>
    <n v="2"/>
    <n v="1"/>
    <x v="8"/>
    <n v="4"/>
    <n v="0"/>
    <n v="4"/>
    <s v=""/>
    <x v="0"/>
    <s v=""/>
    <s v=""/>
    <s v=""/>
  </r>
  <r>
    <x v="23"/>
    <x v="0"/>
    <x v="1"/>
    <n v="0"/>
    <s v="Travel_Rarely"/>
    <n v="1034"/>
    <x v="0"/>
    <n v="16"/>
    <n v="3"/>
    <s v="Marketing"/>
    <n v="1"/>
    <x v="235"/>
    <n v="4"/>
    <x v="2"/>
    <x v="0"/>
    <n v="80"/>
    <n v="3"/>
    <n v="4"/>
    <x v="5"/>
    <n v="4"/>
    <x v="0"/>
    <s v="Married"/>
    <x v="231"/>
    <x v="4"/>
    <n v="7744"/>
    <n v="5"/>
    <s v="Y"/>
    <x v="0"/>
    <n v="22"/>
    <x v="1"/>
    <x v="1"/>
    <n v="3"/>
    <n v="80"/>
    <n v="1"/>
    <n v="22"/>
    <n v="3"/>
    <n v="3"/>
    <x v="18"/>
    <n v="13"/>
    <n v="1"/>
    <n v="9"/>
    <n v="2"/>
    <x v="1"/>
    <s v=""/>
    <s v=""/>
    <s v=""/>
  </r>
  <r>
    <x v="3"/>
    <x v="2"/>
    <x v="0"/>
    <n v="1"/>
    <s v="Travel_Rarely"/>
    <n v="465"/>
    <x v="1"/>
    <n v="2"/>
    <n v="2"/>
    <s v="Life Sciences"/>
    <n v="1"/>
    <x v="236"/>
    <n v="1"/>
    <x v="3"/>
    <x v="0"/>
    <n v="39"/>
    <n v="3"/>
    <n v="1"/>
    <x v="2"/>
    <n v="1"/>
    <x v="3"/>
    <s v="Married"/>
    <x v="232"/>
    <x v="1"/>
    <n v="21509"/>
    <n v="7"/>
    <s v="Y"/>
    <x v="1"/>
    <n v="20"/>
    <x v="2"/>
    <x v="1"/>
    <n v="1"/>
    <n v="80"/>
    <n v="0"/>
    <n v="13"/>
    <n v="3"/>
    <n v="4"/>
    <x v="7"/>
    <n v="7"/>
    <n v="1"/>
    <n v="7"/>
    <s v=""/>
    <x v="0"/>
    <s v=""/>
    <s v=""/>
    <s v=""/>
  </r>
  <r>
    <x v="39"/>
    <x v="1"/>
    <x v="1"/>
    <n v="0"/>
    <s v="Non-Travel"/>
    <n v="771"/>
    <x v="0"/>
    <n v="2"/>
    <n v="4"/>
    <s v="Life Sciences"/>
    <n v="1"/>
    <x v="237"/>
    <n v="1"/>
    <x v="3"/>
    <x v="1"/>
    <n v="79"/>
    <n v="2"/>
    <n v="5"/>
    <x v="5"/>
    <n v="3"/>
    <x v="2"/>
    <s v="Single"/>
    <x v="233"/>
    <x v="4"/>
    <n v="21030"/>
    <n v="1"/>
    <s v="Y"/>
    <x v="0"/>
    <n v="18"/>
    <x v="2"/>
    <x v="0"/>
    <n v="4"/>
    <n v="80"/>
    <n v="0"/>
    <n v="33"/>
    <n v="2"/>
    <n v="4"/>
    <x v="26"/>
    <n v="7"/>
    <n v="15"/>
    <n v="12"/>
    <n v="2"/>
    <x v="1"/>
    <s v=""/>
    <s v=""/>
    <s v=""/>
  </r>
  <r>
    <x v="5"/>
    <x v="2"/>
    <x v="1"/>
    <n v="0"/>
    <s v="Travel_Rarely"/>
    <n v="1401"/>
    <x v="0"/>
    <n v="4"/>
    <n v="2"/>
    <s v="Life Sciences"/>
    <n v="1"/>
    <x v="238"/>
    <n v="3"/>
    <x v="1"/>
    <x v="0"/>
    <n v="56"/>
    <n v="3"/>
    <n v="1"/>
    <x v="6"/>
    <n v="2"/>
    <x v="1"/>
    <s v="Married"/>
    <x v="234"/>
    <x v="1"/>
    <n v="20990"/>
    <n v="2"/>
    <s v="Y"/>
    <x v="1"/>
    <n v="11"/>
    <x v="0"/>
    <x v="0"/>
    <n v="1"/>
    <n v="80"/>
    <n v="1"/>
    <n v="6"/>
    <n v="5"/>
    <n v="3"/>
    <x v="9"/>
    <n v="3"/>
    <n v="1"/>
    <n v="2"/>
    <n v="5"/>
    <x v="2"/>
    <s v=""/>
    <s v=""/>
    <s v=""/>
  </r>
  <r>
    <x v="5"/>
    <x v="2"/>
    <x v="0"/>
    <n v="1"/>
    <s v="Travel_Rarely"/>
    <n v="515"/>
    <x v="1"/>
    <n v="1"/>
    <n v="3"/>
    <s v="Life Sciences"/>
    <n v="1"/>
    <x v="239"/>
    <n v="4"/>
    <x v="2"/>
    <x v="1"/>
    <n v="62"/>
    <n v="2"/>
    <n v="1"/>
    <x v="2"/>
    <n v="3"/>
    <x v="2"/>
    <s v="Single"/>
    <x v="235"/>
    <x v="1"/>
    <n v="9571"/>
    <n v="0"/>
    <s v="Y"/>
    <x v="0"/>
    <n v="14"/>
    <x v="0"/>
    <x v="0"/>
    <n v="4"/>
    <n v="80"/>
    <n v="0"/>
    <n v="4"/>
    <n v="2"/>
    <n v="1"/>
    <x v="11"/>
    <n v="2"/>
    <n v="1"/>
    <n v="2"/>
    <s v=""/>
    <x v="0"/>
    <s v=""/>
    <s v=""/>
    <s v=""/>
  </r>
  <r>
    <x v="22"/>
    <x v="0"/>
    <x v="1"/>
    <n v="0"/>
    <s v="Travel_Rarely"/>
    <n v="1431"/>
    <x v="1"/>
    <n v="1"/>
    <n v="4"/>
    <s v="Medical"/>
    <n v="1"/>
    <x v="240"/>
    <n v="3"/>
    <x v="1"/>
    <x v="0"/>
    <n v="96"/>
    <n v="3"/>
    <n v="1"/>
    <x v="2"/>
    <n v="3"/>
    <x v="2"/>
    <s v="Divorced"/>
    <x v="236"/>
    <x v="1"/>
    <n v="15417"/>
    <n v="7"/>
    <s v="Y"/>
    <x v="1"/>
    <n v="14"/>
    <x v="0"/>
    <x v="0"/>
    <n v="3"/>
    <n v="80"/>
    <n v="3"/>
    <n v="7"/>
    <n v="1"/>
    <n v="3"/>
    <x v="11"/>
    <n v="2"/>
    <n v="1"/>
    <n v="2"/>
    <n v="3"/>
    <x v="2"/>
    <s v=""/>
    <s v=""/>
    <s v=""/>
  </r>
  <r>
    <x v="5"/>
    <x v="2"/>
    <x v="1"/>
    <n v="0"/>
    <s v="Non-Travel"/>
    <n v="976"/>
    <x v="0"/>
    <n v="26"/>
    <n v="4"/>
    <s v="Marketing"/>
    <n v="1"/>
    <x v="241"/>
    <n v="3"/>
    <x v="1"/>
    <x v="1"/>
    <n v="100"/>
    <n v="3"/>
    <n v="2"/>
    <x v="0"/>
    <n v="4"/>
    <x v="0"/>
    <s v="Married"/>
    <x v="237"/>
    <x v="0"/>
    <n v="12069"/>
    <n v="0"/>
    <s v="Y"/>
    <x v="1"/>
    <n v="18"/>
    <x v="2"/>
    <x v="0"/>
    <n v="1"/>
    <n v="80"/>
    <n v="0"/>
    <n v="4"/>
    <n v="2"/>
    <n v="3"/>
    <x v="11"/>
    <n v="2"/>
    <n v="2"/>
    <n v="2"/>
    <n v="2"/>
    <x v="1"/>
    <s v=""/>
    <s v=""/>
    <s v=""/>
  </r>
  <r>
    <x v="0"/>
    <x v="0"/>
    <x v="1"/>
    <n v="0"/>
    <s v="Travel_Rarely"/>
    <n v="1411"/>
    <x v="1"/>
    <n v="19"/>
    <n v="2"/>
    <s v="Life Sciences"/>
    <n v="1"/>
    <x v="242"/>
    <n v="3"/>
    <x v="1"/>
    <x v="1"/>
    <n v="36"/>
    <n v="3"/>
    <n v="2"/>
    <x v="1"/>
    <n v="1"/>
    <x v="3"/>
    <s v="Divorced"/>
    <x v="169"/>
    <x v="1"/>
    <n v="19877"/>
    <n v="2"/>
    <s v="Y"/>
    <x v="1"/>
    <n v="16"/>
    <x v="2"/>
    <x v="0"/>
    <n v="1"/>
    <n v="80"/>
    <n v="2"/>
    <n v="17"/>
    <n v="2"/>
    <n v="2"/>
    <x v="6"/>
    <n v="0"/>
    <n v="0"/>
    <n v="0"/>
    <n v="4"/>
    <x v="2"/>
    <s v=""/>
    <s v=""/>
    <s v=""/>
  </r>
  <r>
    <x v="32"/>
    <x v="0"/>
    <x v="1"/>
    <n v="0"/>
    <s v="Travel_Rarely"/>
    <n v="1300"/>
    <x v="1"/>
    <n v="24"/>
    <n v="2"/>
    <s v="Technical Degree"/>
    <n v="1"/>
    <x v="243"/>
    <n v="1"/>
    <x v="3"/>
    <x v="1"/>
    <n v="62"/>
    <n v="3"/>
    <n v="2"/>
    <x v="1"/>
    <n v="4"/>
    <x v="0"/>
    <s v="Divorced"/>
    <x v="238"/>
    <x v="1"/>
    <n v="24447"/>
    <n v="1"/>
    <s v="Y"/>
    <x v="1"/>
    <n v="17"/>
    <x v="2"/>
    <x v="0"/>
    <n v="1"/>
    <n v="80"/>
    <n v="2"/>
    <n v="9"/>
    <n v="3"/>
    <n v="3"/>
    <x v="7"/>
    <n v="8"/>
    <n v="4"/>
    <n v="7"/>
    <n v="2"/>
    <x v="1"/>
    <s v=""/>
    <s v=""/>
    <s v=""/>
  </r>
  <r>
    <x v="28"/>
    <x v="1"/>
    <x v="1"/>
    <n v="0"/>
    <s v="Travel_Rarely"/>
    <n v="252"/>
    <x v="1"/>
    <n v="1"/>
    <n v="3"/>
    <s v="Other"/>
    <n v="1"/>
    <x v="244"/>
    <n v="3"/>
    <x v="1"/>
    <x v="1"/>
    <n v="70"/>
    <n v="4"/>
    <n v="5"/>
    <x v="5"/>
    <n v="4"/>
    <x v="0"/>
    <s v="Married"/>
    <x v="239"/>
    <x v="4"/>
    <n v="15970"/>
    <n v="0"/>
    <s v="Y"/>
    <x v="1"/>
    <n v="11"/>
    <x v="0"/>
    <x v="0"/>
    <n v="3"/>
    <n v="80"/>
    <n v="1"/>
    <n v="25"/>
    <n v="2"/>
    <n v="3"/>
    <x v="25"/>
    <n v="0"/>
    <n v="1"/>
    <n v="7"/>
    <n v="0"/>
    <x v="1"/>
    <s v=""/>
    <s v=""/>
    <s v=""/>
  </r>
  <r>
    <x v="12"/>
    <x v="2"/>
    <x v="1"/>
    <n v="0"/>
    <s v="Travel_Frequently"/>
    <n v="1327"/>
    <x v="1"/>
    <n v="3"/>
    <n v="4"/>
    <s v="Medical"/>
    <n v="1"/>
    <x v="245"/>
    <n v="2"/>
    <x v="0"/>
    <x v="1"/>
    <n v="73"/>
    <n v="3"/>
    <n v="3"/>
    <x v="7"/>
    <n v="3"/>
    <x v="2"/>
    <s v="Divorced"/>
    <x v="240"/>
    <x v="3"/>
    <n v="13523"/>
    <n v="9"/>
    <s v="Y"/>
    <x v="1"/>
    <n v="12"/>
    <x v="0"/>
    <x v="0"/>
    <n v="1"/>
    <n v="80"/>
    <n v="1"/>
    <n v="9"/>
    <n v="3"/>
    <n v="3"/>
    <x v="4"/>
    <n v="2"/>
    <n v="2"/>
    <n v="2"/>
    <n v="1"/>
    <x v="1"/>
    <s v=""/>
    <s v=""/>
    <s v=""/>
  </r>
  <r>
    <x v="3"/>
    <x v="2"/>
    <x v="1"/>
    <n v="0"/>
    <s v="Travel_Rarely"/>
    <n v="832"/>
    <x v="1"/>
    <n v="5"/>
    <n v="4"/>
    <s v="Life Sciences"/>
    <n v="1"/>
    <x v="246"/>
    <n v="3"/>
    <x v="1"/>
    <x v="0"/>
    <n v="63"/>
    <n v="2"/>
    <n v="1"/>
    <x v="1"/>
    <n v="4"/>
    <x v="0"/>
    <s v="Married"/>
    <x v="12"/>
    <x v="1"/>
    <n v="14776"/>
    <n v="1"/>
    <s v="Y"/>
    <x v="1"/>
    <n v="13"/>
    <x v="0"/>
    <x v="0"/>
    <n v="3"/>
    <n v="80"/>
    <n v="1"/>
    <n v="2"/>
    <n v="2"/>
    <n v="2"/>
    <x v="4"/>
    <n v="2"/>
    <n v="0"/>
    <n v="2"/>
    <n v="3"/>
    <x v="2"/>
    <s v=""/>
    <s v=""/>
    <s v=""/>
  </r>
  <r>
    <x v="13"/>
    <x v="2"/>
    <x v="1"/>
    <n v="0"/>
    <s v="Travel_Rarely"/>
    <n v="470"/>
    <x v="1"/>
    <n v="2"/>
    <n v="4"/>
    <s v="Life Sciences"/>
    <n v="1"/>
    <x v="247"/>
    <n v="4"/>
    <x v="2"/>
    <x v="1"/>
    <n v="84"/>
    <n v="2"/>
    <n v="2"/>
    <x v="3"/>
    <n v="1"/>
    <x v="3"/>
    <s v="Married"/>
    <x v="241"/>
    <x v="0"/>
    <n v="23687"/>
    <n v="6"/>
    <s v="Y"/>
    <x v="1"/>
    <n v="13"/>
    <x v="0"/>
    <x v="0"/>
    <n v="2"/>
    <n v="80"/>
    <n v="1"/>
    <n v="13"/>
    <n v="3"/>
    <n v="3"/>
    <x v="19"/>
    <n v="9"/>
    <n v="5"/>
    <n v="9"/>
    <n v="4"/>
    <x v="2"/>
    <s v=""/>
    <s v=""/>
    <s v=""/>
  </r>
  <r>
    <x v="2"/>
    <x v="0"/>
    <x v="1"/>
    <n v="0"/>
    <s v="Travel_Rarely"/>
    <n v="1017"/>
    <x v="1"/>
    <n v="1"/>
    <n v="2"/>
    <s v="Medical"/>
    <n v="1"/>
    <x v="248"/>
    <n v="3"/>
    <x v="1"/>
    <x v="0"/>
    <n v="83"/>
    <n v="2"/>
    <n v="1"/>
    <x v="1"/>
    <n v="1"/>
    <x v="3"/>
    <s v="Married"/>
    <x v="242"/>
    <x v="1"/>
    <n v="18697"/>
    <n v="2"/>
    <s v="Y"/>
    <x v="1"/>
    <n v="14"/>
    <x v="0"/>
    <x v="0"/>
    <n v="1"/>
    <n v="80"/>
    <n v="1"/>
    <n v="17"/>
    <n v="2"/>
    <n v="2"/>
    <x v="11"/>
    <n v="1"/>
    <n v="0"/>
    <n v="2"/>
    <n v="4"/>
    <x v="2"/>
    <s v=""/>
    <s v=""/>
    <s v=""/>
  </r>
  <r>
    <x v="28"/>
    <x v="1"/>
    <x v="1"/>
    <n v="0"/>
    <s v="Travel_Frequently"/>
    <n v="1199"/>
    <x v="1"/>
    <n v="7"/>
    <n v="4"/>
    <s v="Life Sciences"/>
    <n v="1"/>
    <x v="249"/>
    <n v="1"/>
    <x v="3"/>
    <x v="1"/>
    <n v="77"/>
    <n v="4"/>
    <n v="2"/>
    <x v="3"/>
    <n v="3"/>
    <x v="2"/>
    <s v="Married"/>
    <x v="243"/>
    <x v="0"/>
    <n v="5118"/>
    <n v="4"/>
    <s v="Y"/>
    <x v="1"/>
    <n v="17"/>
    <x v="2"/>
    <x v="0"/>
    <n v="4"/>
    <n v="80"/>
    <n v="1"/>
    <n v="9"/>
    <n v="1"/>
    <n v="3"/>
    <x v="11"/>
    <n v="2"/>
    <n v="0"/>
    <n v="2"/>
    <n v="1"/>
    <x v="1"/>
    <s v=""/>
    <s v=""/>
    <s v=""/>
  </r>
  <r>
    <x v="2"/>
    <x v="0"/>
    <x v="0"/>
    <n v="1"/>
    <s v="Travel_Frequently"/>
    <n v="504"/>
    <x v="1"/>
    <n v="10"/>
    <n v="3"/>
    <s v="Medical"/>
    <n v="1"/>
    <x v="250"/>
    <n v="1"/>
    <x v="3"/>
    <x v="1"/>
    <n v="61"/>
    <n v="3"/>
    <n v="3"/>
    <x v="3"/>
    <n v="3"/>
    <x v="2"/>
    <s v="Divorced"/>
    <x v="244"/>
    <x v="2"/>
    <n v="22573"/>
    <n v="6"/>
    <s v="Y"/>
    <x v="1"/>
    <n v="11"/>
    <x v="0"/>
    <x v="0"/>
    <n v="2"/>
    <n v="80"/>
    <n v="2"/>
    <n v="17"/>
    <n v="5"/>
    <n v="3"/>
    <x v="6"/>
    <n v="0"/>
    <n v="0"/>
    <n v="0"/>
    <s v=""/>
    <x v="0"/>
    <s v=""/>
    <s v=""/>
    <s v=""/>
  </r>
  <r>
    <x v="22"/>
    <x v="0"/>
    <x v="1"/>
    <n v="0"/>
    <s v="Travel_Frequently"/>
    <n v="505"/>
    <x v="1"/>
    <n v="2"/>
    <n v="4"/>
    <s v="Technical Degree"/>
    <n v="1"/>
    <x v="251"/>
    <n v="3"/>
    <x v="1"/>
    <x v="0"/>
    <n v="64"/>
    <n v="3"/>
    <n v="3"/>
    <x v="4"/>
    <n v="3"/>
    <x v="2"/>
    <s v="Single"/>
    <x v="245"/>
    <x v="2"/>
    <n v="6420"/>
    <n v="0"/>
    <s v="Y"/>
    <x v="1"/>
    <n v="25"/>
    <x v="1"/>
    <x v="1"/>
    <n v="4"/>
    <n v="80"/>
    <n v="0"/>
    <n v="20"/>
    <n v="1"/>
    <n v="3"/>
    <x v="27"/>
    <n v="6"/>
    <n v="11"/>
    <n v="8"/>
    <n v="0"/>
    <x v="1"/>
    <s v=""/>
    <s v=""/>
    <s v=""/>
  </r>
  <r>
    <x v="11"/>
    <x v="2"/>
    <x v="1"/>
    <n v="0"/>
    <s v="Travel_Rarely"/>
    <n v="665"/>
    <x v="1"/>
    <n v="15"/>
    <n v="3"/>
    <s v="Life Sciences"/>
    <n v="1"/>
    <x v="252"/>
    <n v="3"/>
    <x v="1"/>
    <x v="1"/>
    <n v="60"/>
    <n v="3"/>
    <n v="1"/>
    <x v="1"/>
    <n v="4"/>
    <x v="0"/>
    <s v="Single"/>
    <x v="246"/>
    <x v="1"/>
    <n v="22673"/>
    <n v="1"/>
    <s v="Y"/>
    <x v="1"/>
    <n v="19"/>
    <x v="2"/>
    <x v="0"/>
    <n v="1"/>
    <n v="80"/>
    <n v="0"/>
    <n v="6"/>
    <n v="1"/>
    <n v="3"/>
    <x v="0"/>
    <n v="5"/>
    <n v="1"/>
    <n v="5"/>
    <n v="3"/>
    <x v="2"/>
    <s v=""/>
    <s v=""/>
    <s v=""/>
  </r>
  <r>
    <x v="19"/>
    <x v="0"/>
    <x v="1"/>
    <n v="0"/>
    <s v="Travel_Rarely"/>
    <n v="916"/>
    <x v="1"/>
    <n v="17"/>
    <n v="2"/>
    <s v="Life Sciences"/>
    <n v="1"/>
    <x v="253"/>
    <n v="4"/>
    <x v="2"/>
    <x v="0"/>
    <n v="82"/>
    <n v="4"/>
    <n v="2"/>
    <x v="1"/>
    <n v="1"/>
    <x v="3"/>
    <s v="Single"/>
    <x v="247"/>
    <x v="0"/>
    <n v="23016"/>
    <n v="3"/>
    <s v="Y"/>
    <x v="0"/>
    <n v="13"/>
    <x v="0"/>
    <x v="0"/>
    <n v="3"/>
    <n v="80"/>
    <n v="0"/>
    <n v="10"/>
    <n v="1"/>
    <n v="3"/>
    <x v="11"/>
    <n v="2"/>
    <n v="0"/>
    <n v="2"/>
    <n v="5"/>
    <x v="2"/>
    <s v=""/>
    <s v=""/>
    <s v=""/>
  </r>
  <r>
    <x v="11"/>
    <x v="2"/>
    <x v="1"/>
    <n v="0"/>
    <s v="Travel_Rarely"/>
    <n v="1247"/>
    <x v="0"/>
    <n v="20"/>
    <n v="2"/>
    <s v="Marketing"/>
    <n v="1"/>
    <x v="254"/>
    <n v="4"/>
    <x v="2"/>
    <x v="1"/>
    <n v="45"/>
    <n v="3"/>
    <n v="2"/>
    <x v="0"/>
    <n v="4"/>
    <x v="0"/>
    <s v="Divorced"/>
    <x v="248"/>
    <x v="0"/>
    <n v="10732"/>
    <n v="2"/>
    <s v="Y"/>
    <x v="1"/>
    <n v="14"/>
    <x v="0"/>
    <x v="0"/>
    <n v="4"/>
    <n v="80"/>
    <n v="1"/>
    <n v="10"/>
    <n v="2"/>
    <n v="3"/>
    <x v="11"/>
    <n v="2"/>
    <n v="0"/>
    <n v="2"/>
    <n v="2"/>
    <x v="1"/>
    <s v=""/>
    <s v=""/>
    <s v=""/>
  </r>
  <r>
    <x v="36"/>
    <x v="2"/>
    <x v="1"/>
    <n v="0"/>
    <s v="Travel_Rarely"/>
    <n v="685"/>
    <x v="1"/>
    <n v="1"/>
    <n v="3"/>
    <s v="Life Sciences"/>
    <n v="1"/>
    <x v="255"/>
    <n v="1"/>
    <x v="3"/>
    <x v="0"/>
    <n v="62"/>
    <n v="3"/>
    <n v="2"/>
    <x v="3"/>
    <n v="3"/>
    <x v="2"/>
    <s v="Married"/>
    <x v="249"/>
    <x v="0"/>
    <n v="7505"/>
    <n v="0"/>
    <s v="Y"/>
    <x v="1"/>
    <n v="12"/>
    <x v="0"/>
    <x v="0"/>
    <n v="4"/>
    <n v="80"/>
    <n v="2"/>
    <n v="5"/>
    <n v="3"/>
    <n v="3"/>
    <x v="9"/>
    <n v="2"/>
    <n v="1"/>
    <n v="2"/>
    <n v="2"/>
    <x v="1"/>
    <s v=""/>
    <s v=""/>
    <s v=""/>
  </r>
  <r>
    <x v="19"/>
    <x v="0"/>
    <x v="1"/>
    <n v="0"/>
    <s v="Travel_Rarely"/>
    <n v="269"/>
    <x v="1"/>
    <n v="2"/>
    <n v="3"/>
    <s v="Medical"/>
    <n v="1"/>
    <x v="256"/>
    <n v="4"/>
    <x v="2"/>
    <x v="0"/>
    <n v="56"/>
    <n v="2"/>
    <n v="1"/>
    <x v="2"/>
    <n v="1"/>
    <x v="3"/>
    <s v="Divorced"/>
    <x v="250"/>
    <x v="1"/>
    <n v="8007"/>
    <n v="0"/>
    <s v="Y"/>
    <x v="0"/>
    <n v="11"/>
    <x v="0"/>
    <x v="0"/>
    <n v="3"/>
    <n v="80"/>
    <n v="1"/>
    <n v="10"/>
    <n v="4"/>
    <n v="3"/>
    <x v="7"/>
    <n v="6"/>
    <n v="7"/>
    <n v="8"/>
    <n v="7"/>
    <x v="3"/>
    <n v="6"/>
    <s v="Top 10"/>
    <n v="69649"/>
  </r>
  <r>
    <x v="32"/>
    <x v="0"/>
    <x v="1"/>
    <n v="0"/>
    <s v="Travel_Rarely"/>
    <n v="1416"/>
    <x v="1"/>
    <n v="2"/>
    <n v="2"/>
    <s v="Medical"/>
    <n v="1"/>
    <x v="257"/>
    <n v="1"/>
    <x v="3"/>
    <x v="1"/>
    <n v="49"/>
    <n v="3"/>
    <n v="5"/>
    <x v="7"/>
    <n v="3"/>
    <x v="2"/>
    <s v="Divorced"/>
    <x v="251"/>
    <x v="4"/>
    <n v="5949"/>
    <n v="0"/>
    <s v="Y"/>
    <x v="1"/>
    <n v="19"/>
    <x v="2"/>
    <x v="0"/>
    <n v="4"/>
    <n v="80"/>
    <n v="1"/>
    <n v="22"/>
    <n v="5"/>
    <n v="3"/>
    <x v="17"/>
    <n v="7"/>
    <n v="3"/>
    <n v="9"/>
    <n v="0"/>
    <x v="1"/>
    <s v=""/>
    <s v=""/>
    <s v=""/>
  </r>
  <r>
    <x v="31"/>
    <x v="1"/>
    <x v="1"/>
    <n v="0"/>
    <s v="Travel_Rarely"/>
    <n v="833"/>
    <x v="1"/>
    <n v="1"/>
    <n v="3"/>
    <s v="Life Sciences"/>
    <n v="1"/>
    <x v="258"/>
    <n v="3"/>
    <x v="1"/>
    <x v="1"/>
    <n v="96"/>
    <n v="3"/>
    <n v="1"/>
    <x v="1"/>
    <n v="4"/>
    <x v="0"/>
    <s v="Married"/>
    <x v="252"/>
    <x v="1"/>
    <n v="23231"/>
    <n v="1"/>
    <s v="Y"/>
    <x v="1"/>
    <n v="11"/>
    <x v="0"/>
    <x v="0"/>
    <n v="2"/>
    <n v="80"/>
    <n v="0"/>
    <n v="1"/>
    <n v="0"/>
    <n v="2"/>
    <x v="6"/>
    <n v="0"/>
    <n v="0"/>
    <n v="0"/>
    <n v="2"/>
    <x v="1"/>
    <s v=""/>
    <s v=""/>
    <s v=""/>
  </r>
  <r>
    <x v="12"/>
    <x v="2"/>
    <x v="0"/>
    <n v="1"/>
    <s v="Travel_Frequently"/>
    <n v="307"/>
    <x v="1"/>
    <n v="29"/>
    <n v="2"/>
    <s v="Medical"/>
    <n v="1"/>
    <x v="259"/>
    <n v="3"/>
    <x v="1"/>
    <x v="1"/>
    <n v="71"/>
    <n v="2"/>
    <n v="1"/>
    <x v="2"/>
    <n v="2"/>
    <x v="1"/>
    <s v="Single"/>
    <x v="253"/>
    <x v="1"/>
    <n v="11652"/>
    <n v="0"/>
    <s v="Y"/>
    <x v="1"/>
    <n v="11"/>
    <x v="0"/>
    <x v="0"/>
    <n v="2"/>
    <n v="80"/>
    <n v="0"/>
    <n v="6"/>
    <n v="2"/>
    <n v="4"/>
    <x v="8"/>
    <n v="4"/>
    <n v="1"/>
    <n v="4"/>
    <s v=""/>
    <x v="0"/>
    <s v=""/>
    <s v=""/>
    <s v=""/>
  </r>
  <r>
    <x v="5"/>
    <x v="2"/>
    <x v="1"/>
    <n v="0"/>
    <s v="Travel_Frequently"/>
    <n v="1311"/>
    <x v="1"/>
    <n v="7"/>
    <n v="3"/>
    <s v="Life Sciences"/>
    <n v="1"/>
    <x v="260"/>
    <n v="2"/>
    <x v="0"/>
    <x v="1"/>
    <n v="100"/>
    <n v="4"/>
    <n v="1"/>
    <x v="2"/>
    <n v="2"/>
    <x v="1"/>
    <s v="Married"/>
    <x v="254"/>
    <x v="1"/>
    <n v="26062"/>
    <n v="1"/>
    <s v="Y"/>
    <x v="1"/>
    <n v="20"/>
    <x v="2"/>
    <x v="1"/>
    <n v="3"/>
    <n v="80"/>
    <n v="0"/>
    <n v="5"/>
    <n v="3"/>
    <n v="1"/>
    <x v="8"/>
    <n v="1"/>
    <n v="0"/>
    <n v="3"/>
    <n v="4"/>
    <x v="2"/>
    <s v=""/>
    <s v=""/>
    <s v=""/>
  </r>
  <r>
    <x v="8"/>
    <x v="0"/>
    <x v="1"/>
    <n v="0"/>
    <s v="Non-Travel"/>
    <n v="1327"/>
    <x v="0"/>
    <n v="2"/>
    <n v="2"/>
    <s v="Life Sciences"/>
    <n v="1"/>
    <x v="261"/>
    <n v="4"/>
    <x v="2"/>
    <x v="1"/>
    <n v="39"/>
    <n v="2"/>
    <n v="2"/>
    <x v="0"/>
    <n v="4"/>
    <x v="0"/>
    <s v="Married"/>
    <x v="255"/>
    <x v="0"/>
    <n v="19682"/>
    <n v="3"/>
    <s v="Y"/>
    <x v="1"/>
    <n v="18"/>
    <x v="2"/>
    <x v="0"/>
    <n v="4"/>
    <n v="80"/>
    <n v="1"/>
    <n v="13"/>
    <n v="0"/>
    <n v="3"/>
    <x v="3"/>
    <n v="7"/>
    <n v="7"/>
    <n v="5"/>
    <n v="1"/>
    <x v="1"/>
    <s v=""/>
    <s v=""/>
    <s v=""/>
  </r>
  <r>
    <x v="5"/>
    <x v="2"/>
    <x v="1"/>
    <n v="0"/>
    <s v="Travel_Rarely"/>
    <n v="128"/>
    <x v="1"/>
    <n v="2"/>
    <n v="1"/>
    <s v="Technical Degree"/>
    <n v="1"/>
    <x v="262"/>
    <n v="4"/>
    <x v="2"/>
    <x v="1"/>
    <n v="84"/>
    <n v="2"/>
    <n v="2"/>
    <x v="2"/>
    <n v="1"/>
    <x v="3"/>
    <s v="Single"/>
    <x v="256"/>
    <x v="1"/>
    <n v="19737"/>
    <n v="4"/>
    <s v="Y"/>
    <x v="1"/>
    <n v="13"/>
    <x v="0"/>
    <x v="0"/>
    <n v="4"/>
    <n v="80"/>
    <n v="0"/>
    <n v="9"/>
    <n v="5"/>
    <n v="3"/>
    <x v="0"/>
    <n v="2"/>
    <n v="0"/>
    <n v="4"/>
    <n v="6"/>
    <x v="3"/>
    <n v="28"/>
    <s v=""/>
    <n v="59638"/>
  </r>
  <r>
    <x v="21"/>
    <x v="1"/>
    <x v="1"/>
    <n v="0"/>
    <s v="Travel_Rarely"/>
    <n v="488"/>
    <x v="0"/>
    <n v="2"/>
    <n v="3"/>
    <s v="Technical Degree"/>
    <n v="1"/>
    <x v="263"/>
    <n v="3"/>
    <x v="1"/>
    <x v="0"/>
    <n v="75"/>
    <n v="1"/>
    <n v="4"/>
    <x v="5"/>
    <n v="2"/>
    <x v="1"/>
    <s v="Married"/>
    <x v="257"/>
    <x v="4"/>
    <n v="14977"/>
    <n v="3"/>
    <s v="Y"/>
    <x v="0"/>
    <n v="12"/>
    <x v="0"/>
    <x v="0"/>
    <n v="2"/>
    <n v="80"/>
    <n v="1"/>
    <n v="28"/>
    <n v="2"/>
    <n v="2"/>
    <x v="5"/>
    <n v="7"/>
    <n v="7"/>
    <n v="7"/>
    <n v="2"/>
    <x v="1"/>
    <s v=""/>
    <s v=""/>
    <s v=""/>
  </r>
  <r>
    <x v="14"/>
    <x v="2"/>
    <x v="0"/>
    <n v="1"/>
    <s v="Travel_Rarely"/>
    <n v="529"/>
    <x v="1"/>
    <n v="2"/>
    <n v="4"/>
    <s v="Life Sciences"/>
    <n v="1"/>
    <x v="264"/>
    <n v="1"/>
    <x v="3"/>
    <x v="1"/>
    <n v="79"/>
    <n v="3"/>
    <n v="1"/>
    <x v="2"/>
    <n v="3"/>
    <x v="2"/>
    <s v="Single"/>
    <x v="258"/>
    <x v="1"/>
    <n v="14935"/>
    <n v="2"/>
    <s v="Y"/>
    <x v="1"/>
    <n v="11"/>
    <x v="0"/>
    <x v="0"/>
    <n v="3"/>
    <n v="80"/>
    <n v="0"/>
    <n v="5"/>
    <n v="5"/>
    <n v="1"/>
    <x v="2"/>
    <n v="0"/>
    <n v="0"/>
    <n v="0"/>
    <s v=""/>
    <x v="0"/>
    <s v=""/>
    <s v=""/>
    <s v=""/>
  </r>
  <r>
    <x v="11"/>
    <x v="2"/>
    <x v="1"/>
    <n v="0"/>
    <s v="Travel_Rarely"/>
    <n v="1210"/>
    <x v="0"/>
    <n v="2"/>
    <n v="3"/>
    <s v="Medical"/>
    <n v="1"/>
    <x v="265"/>
    <n v="1"/>
    <x v="3"/>
    <x v="1"/>
    <n v="78"/>
    <n v="2"/>
    <n v="2"/>
    <x v="0"/>
    <n v="2"/>
    <x v="1"/>
    <s v="Married"/>
    <x v="259"/>
    <x v="0"/>
    <n v="3687"/>
    <n v="2"/>
    <s v="Y"/>
    <x v="1"/>
    <n v="19"/>
    <x v="2"/>
    <x v="0"/>
    <n v="2"/>
    <n v="80"/>
    <n v="2"/>
    <n v="10"/>
    <n v="2"/>
    <n v="3"/>
    <x v="2"/>
    <n v="0"/>
    <n v="0"/>
    <n v="0"/>
    <n v="2"/>
    <x v="1"/>
    <s v=""/>
    <s v=""/>
    <s v=""/>
  </r>
  <r>
    <x v="12"/>
    <x v="2"/>
    <x v="1"/>
    <n v="0"/>
    <s v="Travel_Rarely"/>
    <n v="1463"/>
    <x v="1"/>
    <n v="23"/>
    <n v="3"/>
    <s v="Medical"/>
    <n v="1"/>
    <x v="266"/>
    <n v="2"/>
    <x v="0"/>
    <x v="1"/>
    <n v="64"/>
    <n v="2"/>
    <n v="2"/>
    <x v="4"/>
    <n v="4"/>
    <x v="0"/>
    <s v="Married"/>
    <x v="260"/>
    <x v="0"/>
    <n v="14408"/>
    <n v="0"/>
    <s v="Y"/>
    <x v="1"/>
    <n v="21"/>
    <x v="1"/>
    <x v="1"/>
    <n v="2"/>
    <n v="80"/>
    <n v="1"/>
    <n v="10"/>
    <n v="2"/>
    <n v="3"/>
    <x v="7"/>
    <n v="0"/>
    <n v="7"/>
    <n v="8"/>
    <n v="2"/>
    <x v="1"/>
    <s v=""/>
    <s v=""/>
    <s v=""/>
  </r>
  <r>
    <x v="36"/>
    <x v="2"/>
    <x v="1"/>
    <n v="0"/>
    <s v="Non-Travel"/>
    <n v="675"/>
    <x v="1"/>
    <n v="5"/>
    <n v="2"/>
    <s v="Life Sciences"/>
    <n v="1"/>
    <x v="267"/>
    <n v="2"/>
    <x v="0"/>
    <x v="1"/>
    <n v="85"/>
    <n v="4"/>
    <n v="2"/>
    <x v="4"/>
    <n v="1"/>
    <x v="3"/>
    <s v="Divorced"/>
    <x v="261"/>
    <x v="1"/>
    <n v="18384"/>
    <n v="1"/>
    <s v="Y"/>
    <x v="1"/>
    <n v="12"/>
    <x v="0"/>
    <x v="0"/>
    <n v="4"/>
    <n v="80"/>
    <n v="2"/>
    <n v="6"/>
    <n v="2"/>
    <n v="3"/>
    <x v="0"/>
    <n v="3"/>
    <n v="1"/>
    <n v="5"/>
    <n v="5"/>
    <x v="2"/>
    <s v=""/>
    <s v=""/>
    <s v=""/>
  </r>
  <r>
    <x v="28"/>
    <x v="1"/>
    <x v="1"/>
    <n v="0"/>
    <s v="Travel_Rarely"/>
    <n v="1385"/>
    <x v="1"/>
    <n v="20"/>
    <n v="2"/>
    <s v="Medical"/>
    <n v="1"/>
    <x v="268"/>
    <n v="3"/>
    <x v="1"/>
    <x v="1"/>
    <n v="79"/>
    <n v="3"/>
    <n v="4"/>
    <x v="4"/>
    <n v="4"/>
    <x v="0"/>
    <s v="Married"/>
    <x v="262"/>
    <x v="3"/>
    <n v="7501"/>
    <n v="0"/>
    <s v="Y"/>
    <x v="0"/>
    <n v="14"/>
    <x v="0"/>
    <x v="0"/>
    <n v="2"/>
    <n v="80"/>
    <n v="0"/>
    <n v="21"/>
    <n v="2"/>
    <n v="3"/>
    <x v="23"/>
    <n v="7"/>
    <n v="4"/>
    <n v="10"/>
    <n v="2"/>
    <x v="1"/>
    <s v=""/>
    <s v=""/>
    <s v=""/>
  </r>
  <r>
    <x v="9"/>
    <x v="0"/>
    <x v="1"/>
    <n v="0"/>
    <s v="Travel_Rarely"/>
    <n v="1403"/>
    <x v="1"/>
    <n v="6"/>
    <n v="3"/>
    <s v="Life Sciences"/>
    <n v="1"/>
    <x v="269"/>
    <n v="4"/>
    <x v="2"/>
    <x v="1"/>
    <n v="47"/>
    <n v="3"/>
    <n v="1"/>
    <x v="2"/>
    <n v="4"/>
    <x v="0"/>
    <s v="Married"/>
    <x v="263"/>
    <x v="1"/>
    <n v="20251"/>
    <n v="0"/>
    <s v="Y"/>
    <x v="1"/>
    <n v="11"/>
    <x v="0"/>
    <x v="0"/>
    <n v="3"/>
    <n v="80"/>
    <n v="1"/>
    <n v="16"/>
    <n v="4"/>
    <n v="3"/>
    <x v="15"/>
    <n v="13"/>
    <n v="10"/>
    <n v="11"/>
    <n v="3"/>
    <x v="2"/>
    <s v=""/>
    <s v=""/>
    <s v=""/>
  </r>
  <r>
    <x v="27"/>
    <x v="3"/>
    <x v="1"/>
    <n v="0"/>
    <s v="Travel_Rarely"/>
    <n v="452"/>
    <x v="1"/>
    <n v="1"/>
    <n v="3"/>
    <s v="Medical"/>
    <n v="1"/>
    <x v="270"/>
    <n v="4"/>
    <x v="2"/>
    <x v="1"/>
    <n v="81"/>
    <n v="3"/>
    <n v="5"/>
    <x v="5"/>
    <n v="1"/>
    <x v="3"/>
    <s v="Single"/>
    <x v="264"/>
    <x v="4"/>
    <n v="18938"/>
    <n v="0"/>
    <s v="Y"/>
    <x v="0"/>
    <n v="14"/>
    <x v="0"/>
    <x v="0"/>
    <n v="3"/>
    <n v="80"/>
    <n v="0"/>
    <n v="37"/>
    <n v="2"/>
    <n v="3"/>
    <x v="28"/>
    <n v="10"/>
    <n v="4"/>
    <n v="13"/>
    <n v="4"/>
    <x v="2"/>
    <s v=""/>
    <s v=""/>
    <s v=""/>
  </r>
  <r>
    <x v="40"/>
    <x v="1"/>
    <x v="0"/>
    <n v="1"/>
    <s v="Non-Travel"/>
    <n v="666"/>
    <x v="1"/>
    <n v="29"/>
    <n v="4"/>
    <s v="Life Sciences"/>
    <n v="1"/>
    <x v="271"/>
    <n v="1"/>
    <x v="3"/>
    <x v="1"/>
    <n v="88"/>
    <n v="3"/>
    <n v="3"/>
    <x v="5"/>
    <n v="2"/>
    <x v="1"/>
    <s v="Married"/>
    <x v="265"/>
    <x v="2"/>
    <n v="10268"/>
    <n v="1"/>
    <s v="Y"/>
    <x v="0"/>
    <n v="12"/>
    <x v="0"/>
    <x v="0"/>
    <n v="4"/>
    <n v="80"/>
    <n v="1"/>
    <n v="10"/>
    <n v="2"/>
    <n v="2"/>
    <x v="1"/>
    <n v="7"/>
    <n v="9"/>
    <n v="9"/>
    <s v=""/>
    <x v="0"/>
    <s v=""/>
    <s v=""/>
    <s v=""/>
  </r>
  <r>
    <x v="14"/>
    <x v="2"/>
    <x v="1"/>
    <n v="0"/>
    <s v="Travel_Rarely"/>
    <n v="1158"/>
    <x v="1"/>
    <n v="9"/>
    <n v="3"/>
    <s v="Medical"/>
    <n v="1"/>
    <x v="272"/>
    <n v="4"/>
    <x v="2"/>
    <x v="1"/>
    <n v="94"/>
    <n v="3"/>
    <n v="1"/>
    <x v="1"/>
    <n v="4"/>
    <x v="0"/>
    <s v="Married"/>
    <x v="266"/>
    <x v="1"/>
    <n v="2613"/>
    <n v="1"/>
    <s v="Y"/>
    <x v="1"/>
    <n v="23"/>
    <x v="1"/>
    <x v="1"/>
    <n v="4"/>
    <n v="80"/>
    <n v="1"/>
    <n v="5"/>
    <n v="3"/>
    <n v="2"/>
    <x v="8"/>
    <n v="2"/>
    <n v="0"/>
    <n v="4"/>
    <n v="3"/>
    <x v="2"/>
    <s v=""/>
    <s v=""/>
    <s v=""/>
  </r>
  <r>
    <x v="2"/>
    <x v="0"/>
    <x v="1"/>
    <n v="0"/>
    <s v="Travel_Rarely"/>
    <n v="228"/>
    <x v="0"/>
    <n v="6"/>
    <n v="4"/>
    <s v="Medical"/>
    <n v="1"/>
    <x v="273"/>
    <n v="3"/>
    <x v="1"/>
    <x v="1"/>
    <n v="98"/>
    <n v="3"/>
    <n v="2"/>
    <x v="0"/>
    <n v="4"/>
    <x v="0"/>
    <s v="Married"/>
    <x v="267"/>
    <x v="0"/>
    <n v="22825"/>
    <n v="4"/>
    <s v="Y"/>
    <x v="1"/>
    <n v="14"/>
    <x v="0"/>
    <x v="0"/>
    <n v="2"/>
    <n v="80"/>
    <n v="1"/>
    <n v="7"/>
    <n v="5"/>
    <n v="4"/>
    <x v="8"/>
    <n v="4"/>
    <n v="0"/>
    <n v="1"/>
    <n v="1"/>
    <x v="1"/>
    <s v=""/>
    <s v=""/>
    <s v=""/>
  </r>
  <r>
    <x v="18"/>
    <x v="4"/>
    <x v="1"/>
    <n v="0"/>
    <s v="Travel_Rarely"/>
    <n v="996"/>
    <x v="1"/>
    <n v="3"/>
    <n v="2"/>
    <s v="Medical"/>
    <n v="1"/>
    <x v="274"/>
    <n v="4"/>
    <x v="2"/>
    <x v="1"/>
    <n v="100"/>
    <n v="2"/>
    <n v="1"/>
    <x v="1"/>
    <n v="3"/>
    <x v="2"/>
    <s v="Single"/>
    <x v="268"/>
    <x v="1"/>
    <n v="10531"/>
    <n v="1"/>
    <s v="Y"/>
    <x v="1"/>
    <n v="17"/>
    <x v="2"/>
    <x v="0"/>
    <n v="1"/>
    <n v="80"/>
    <n v="0"/>
    <n v="3"/>
    <n v="4"/>
    <n v="4"/>
    <x v="11"/>
    <n v="2"/>
    <n v="1"/>
    <n v="0"/>
    <n v="4"/>
    <x v="2"/>
    <s v=""/>
    <s v=""/>
    <s v=""/>
  </r>
  <r>
    <x v="2"/>
    <x v="0"/>
    <x v="1"/>
    <n v="0"/>
    <s v="Non-Travel"/>
    <n v="728"/>
    <x v="1"/>
    <n v="1"/>
    <n v="4"/>
    <s v="Medical"/>
    <n v="1"/>
    <x v="275"/>
    <n v="1"/>
    <x v="3"/>
    <x v="0"/>
    <n v="80"/>
    <n v="3"/>
    <n v="3"/>
    <x v="7"/>
    <n v="4"/>
    <x v="0"/>
    <s v="Divorced"/>
    <x v="269"/>
    <x v="3"/>
    <n v="11677"/>
    <n v="2"/>
    <s v="Y"/>
    <x v="0"/>
    <n v="18"/>
    <x v="2"/>
    <x v="0"/>
    <n v="1"/>
    <n v="80"/>
    <n v="2"/>
    <n v="15"/>
    <n v="2"/>
    <n v="3"/>
    <x v="8"/>
    <n v="2"/>
    <n v="0"/>
    <n v="2"/>
    <n v="2"/>
    <x v="1"/>
    <s v=""/>
    <s v=""/>
    <s v=""/>
  </r>
  <r>
    <x v="10"/>
    <x v="0"/>
    <x v="1"/>
    <n v="0"/>
    <s v="Travel_Rarely"/>
    <n v="1315"/>
    <x v="1"/>
    <n v="22"/>
    <n v="3"/>
    <s v="Life Sciences"/>
    <n v="1"/>
    <x v="276"/>
    <n v="2"/>
    <x v="0"/>
    <x v="0"/>
    <n v="71"/>
    <n v="4"/>
    <n v="3"/>
    <x v="5"/>
    <n v="2"/>
    <x v="1"/>
    <s v="Divorced"/>
    <x v="270"/>
    <x v="2"/>
    <n v="19100"/>
    <n v="7"/>
    <s v="Y"/>
    <x v="1"/>
    <n v="18"/>
    <x v="2"/>
    <x v="0"/>
    <n v="2"/>
    <n v="80"/>
    <n v="1"/>
    <n v="10"/>
    <n v="6"/>
    <n v="2"/>
    <x v="5"/>
    <n v="7"/>
    <n v="6"/>
    <n v="2"/>
    <n v="0"/>
    <x v="1"/>
    <s v=""/>
    <s v=""/>
    <s v=""/>
  </r>
  <r>
    <x v="8"/>
    <x v="0"/>
    <x v="1"/>
    <n v="0"/>
    <s v="Travel_Rarely"/>
    <n v="322"/>
    <x v="0"/>
    <n v="7"/>
    <n v="2"/>
    <s v="Medical"/>
    <n v="1"/>
    <x v="277"/>
    <n v="1"/>
    <x v="3"/>
    <x v="0"/>
    <n v="44"/>
    <n v="4"/>
    <n v="2"/>
    <x v="0"/>
    <n v="1"/>
    <x v="3"/>
    <s v="Divorced"/>
    <x v="147"/>
    <x v="0"/>
    <n v="19191"/>
    <n v="1"/>
    <s v="Y"/>
    <x v="0"/>
    <n v="24"/>
    <x v="1"/>
    <x v="1"/>
    <n v="3"/>
    <n v="80"/>
    <n v="1"/>
    <n v="8"/>
    <n v="3"/>
    <n v="3"/>
    <x v="3"/>
    <n v="0"/>
    <n v="7"/>
    <n v="7"/>
    <n v="5"/>
    <x v="2"/>
    <s v=""/>
    <s v=""/>
    <s v=""/>
  </r>
  <r>
    <x v="25"/>
    <x v="2"/>
    <x v="1"/>
    <n v="0"/>
    <s v="Travel_Frequently"/>
    <n v="1479"/>
    <x v="1"/>
    <n v="1"/>
    <n v="3"/>
    <s v="Life Sciences"/>
    <n v="1"/>
    <x v="278"/>
    <n v="3"/>
    <x v="1"/>
    <x v="0"/>
    <n v="84"/>
    <n v="3"/>
    <n v="2"/>
    <x v="3"/>
    <n v="2"/>
    <x v="1"/>
    <s v="Divorced"/>
    <x v="271"/>
    <x v="0"/>
    <n v="26767"/>
    <n v="1"/>
    <s v="Y"/>
    <x v="1"/>
    <n v="20"/>
    <x v="2"/>
    <x v="1"/>
    <n v="1"/>
    <n v="80"/>
    <n v="1"/>
    <n v="6"/>
    <n v="6"/>
    <n v="1"/>
    <x v="0"/>
    <n v="5"/>
    <n v="1"/>
    <n v="4"/>
    <n v="2"/>
    <x v="1"/>
    <s v=""/>
    <s v=""/>
    <s v=""/>
  </r>
  <r>
    <x v="24"/>
    <x v="1"/>
    <x v="1"/>
    <n v="0"/>
    <s v="Travel_Rarely"/>
    <n v="797"/>
    <x v="1"/>
    <n v="4"/>
    <n v="1"/>
    <s v="Life Sciences"/>
    <n v="1"/>
    <x v="279"/>
    <n v="1"/>
    <x v="3"/>
    <x v="1"/>
    <n v="96"/>
    <n v="3"/>
    <n v="5"/>
    <x v="7"/>
    <n v="2"/>
    <x v="1"/>
    <s v="Divorced"/>
    <x v="272"/>
    <x v="4"/>
    <n v="15815"/>
    <n v="3"/>
    <s v="Y"/>
    <x v="1"/>
    <n v="14"/>
    <x v="0"/>
    <x v="0"/>
    <n v="1"/>
    <n v="80"/>
    <n v="2"/>
    <n v="28"/>
    <n v="4"/>
    <n v="2"/>
    <x v="1"/>
    <n v="4"/>
    <n v="1"/>
    <n v="6"/>
    <n v="0"/>
    <x v="1"/>
    <s v=""/>
    <s v=""/>
    <s v=""/>
  </r>
  <r>
    <x v="16"/>
    <x v="1"/>
    <x v="1"/>
    <n v="0"/>
    <s v="Travel_Rarely"/>
    <n v="1070"/>
    <x v="1"/>
    <n v="3"/>
    <n v="4"/>
    <s v="Medical"/>
    <n v="1"/>
    <x v="280"/>
    <n v="3"/>
    <x v="1"/>
    <x v="1"/>
    <n v="45"/>
    <n v="3"/>
    <n v="4"/>
    <x v="7"/>
    <n v="3"/>
    <x v="2"/>
    <s v="Married"/>
    <x v="273"/>
    <x v="4"/>
    <n v="21016"/>
    <n v="3"/>
    <s v="Y"/>
    <x v="0"/>
    <n v="16"/>
    <x v="2"/>
    <x v="0"/>
    <n v="4"/>
    <n v="80"/>
    <n v="3"/>
    <n v="21"/>
    <n v="5"/>
    <n v="2"/>
    <x v="8"/>
    <n v="3"/>
    <n v="1"/>
    <n v="3"/>
    <n v="2"/>
    <x v="1"/>
    <s v=""/>
    <s v=""/>
    <s v=""/>
  </r>
  <r>
    <x v="19"/>
    <x v="0"/>
    <x v="1"/>
    <n v="0"/>
    <s v="Travel_Rarely"/>
    <n v="635"/>
    <x v="0"/>
    <n v="1"/>
    <n v="1"/>
    <s v="Life Sciences"/>
    <n v="1"/>
    <x v="281"/>
    <n v="2"/>
    <x v="0"/>
    <x v="1"/>
    <n v="99"/>
    <n v="3"/>
    <n v="2"/>
    <x v="0"/>
    <n v="3"/>
    <x v="2"/>
    <s v="Married"/>
    <x v="274"/>
    <x v="0"/>
    <n v="24532"/>
    <n v="1"/>
    <s v="Y"/>
    <x v="1"/>
    <n v="25"/>
    <x v="1"/>
    <x v="1"/>
    <n v="3"/>
    <n v="80"/>
    <n v="0"/>
    <n v="20"/>
    <n v="3"/>
    <n v="3"/>
    <x v="23"/>
    <n v="16"/>
    <n v="11"/>
    <n v="6"/>
    <n v="1"/>
    <x v="1"/>
    <s v=""/>
    <s v=""/>
    <s v=""/>
  </r>
  <r>
    <x v="11"/>
    <x v="2"/>
    <x v="1"/>
    <n v="0"/>
    <s v="Travel_Frequently"/>
    <n v="442"/>
    <x v="0"/>
    <n v="2"/>
    <n v="2"/>
    <s v="Life Sciences"/>
    <n v="1"/>
    <x v="282"/>
    <n v="2"/>
    <x v="0"/>
    <x v="1"/>
    <n v="44"/>
    <n v="3"/>
    <n v="2"/>
    <x v="0"/>
    <n v="4"/>
    <x v="0"/>
    <s v="Single"/>
    <x v="275"/>
    <x v="0"/>
    <n v="20260"/>
    <n v="1"/>
    <s v="Y"/>
    <x v="1"/>
    <n v="18"/>
    <x v="2"/>
    <x v="0"/>
    <n v="1"/>
    <n v="80"/>
    <n v="0"/>
    <n v="10"/>
    <n v="3"/>
    <n v="2"/>
    <x v="1"/>
    <n v="7"/>
    <n v="0"/>
    <n v="9"/>
    <n v="2"/>
    <x v="1"/>
    <s v=""/>
    <s v=""/>
    <s v=""/>
  </r>
  <r>
    <x v="27"/>
    <x v="3"/>
    <x v="1"/>
    <n v="0"/>
    <s v="Travel_Rarely"/>
    <n v="147"/>
    <x v="1"/>
    <n v="20"/>
    <n v="2"/>
    <s v="Technical Degree"/>
    <n v="1"/>
    <x v="283"/>
    <n v="2"/>
    <x v="0"/>
    <x v="1"/>
    <n v="37"/>
    <n v="3"/>
    <n v="2"/>
    <x v="2"/>
    <n v="4"/>
    <x v="0"/>
    <s v="Married"/>
    <x v="276"/>
    <x v="0"/>
    <n v="15972"/>
    <n v="3"/>
    <s v="Y"/>
    <x v="0"/>
    <n v="19"/>
    <x v="2"/>
    <x v="0"/>
    <n v="4"/>
    <n v="80"/>
    <n v="1"/>
    <n v="12"/>
    <n v="4"/>
    <n v="3"/>
    <x v="1"/>
    <n v="7"/>
    <n v="0"/>
    <n v="8"/>
    <n v="4"/>
    <x v="2"/>
    <s v=""/>
    <s v=""/>
    <s v=""/>
  </r>
  <r>
    <x v="25"/>
    <x v="2"/>
    <x v="1"/>
    <n v="0"/>
    <s v="Travel_Frequently"/>
    <n v="496"/>
    <x v="1"/>
    <n v="11"/>
    <n v="2"/>
    <s v="Medical"/>
    <n v="1"/>
    <x v="284"/>
    <n v="1"/>
    <x v="3"/>
    <x v="1"/>
    <n v="60"/>
    <n v="3"/>
    <n v="2"/>
    <x v="4"/>
    <n v="1"/>
    <x v="3"/>
    <s v="Married"/>
    <x v="277"/>
    <x v="0"/>
    <n v="22722"/>
    <n v="1"/>
    <s v="Y"/>
    <x v="0"/>
    <n v="13"/>
    <x v="0"/>
    <x v="0"/>
    <n v="3"/>
    <n v="80"/>
    <n v="1"/>
    <n v="5"/>
    <n v="3"/>
    <n v="3"/>
    <x v="8"/>
    <n v="3"/>
    <n v="3"/>
    <n v="3"/>
    <n v="6"/>
    <x v="3"/>
    <n v="29"/>
    <s v=""/>
    <n v="59610"/>
  </r>
  <r>
    <x v="2"/>
    <x v="0"/>
    <x v="1"/>
    <n v="0"/>
    <s v="Travel_Rarely"/>
    <n v="1372"/>
    <x v="1"/>
    <n v="1"/>
    <n v="3"/>
    <s v="Life Sciences"/>
    <n v="1"/>
    <x v="285"/>
    <n v="4"/>
    <x v="2"/>
    <x v="0"/>
    <n v="42"/>
    <n v="3"/>
    <n v="1"/>
    <x v="1"/>
    <n v="4"/>
    <x v="0"/>
    <s v="Single"/>
    <x v="278"/>
    <x v="1"/>
    <n v="15881"/>
    <n v="1"/>
    <s v="Y"/>
    <x v="1"/>
    <n v="12"/>
    <x v="0"/>
    <x v="0"/>
    <n v="2"/>
    <n v="80"/>
    <n v="0"/>
    <n v="17"/>
    <n v="3"/>
    <n v="3"/>
    <x v="18"/>
    <n v="12"/>
    <n v="5"/>
    <n v="7"/>
    <n v="2"/>
    <x v="1"/>
    <s v=""/>
    <s v=""/>
    <s v=""/>
  </r>
  <r>
    <x v="20"/>
    <x v="0"/>
    <x v="0"/>
    <n v="1"/>
    <s v="Travel_Frequently"/>
    <n v="920"/>
    <x v="1"/>
    <n v="24"/>
    <n v="3"/>
    <s v="Life Sciences"/>
    <n v="1"/>
    <x v="286"/>
    <n v="4"/>
    <x v="2"/>
    <x v="1"/>
    <n v="43"/>
    <n v="3"/>
    <n v="1"/>
    <x v="2"/>
    <n v="3"/>
    <x v="2"/>
    <s v="Divorced"/>
    <x v="279"/>
    <x v="1"/>
    <n v="19920"/>
    <n v="3"/>
    <s v="Y"/>
    <x v="0"/>
    <n v="22"/>
    <x v="1"/>
    <x v="1"/>
    <n v="4"/>
    <n v="80"/>
    <n v="1"/>
    <n v="19"/>
    <n v="0"/>
    <n v="1"/>
    <x v="6"/>
    <n v="0"/>
    <n v="0"/>
    <n v="0"/>
    <s v=""/>
    <x v="0"/>
    <s v=""/>
    <s v=""/>
    <s v=""/>
  </r>
  <r>
    <x v="8"/>
    <x v="0"/>
    <x v="1"/>
    <n v="0"/>
    <s v="Travel_Rarely"/>
    <n v="688"/>
    <x v="1"/>
    <n v="23"/>
    <n v="4"/>
    <s v="Life Sciences"/>
    <n v="1"/>
    <x v="287"/>
    <n v="4"/>
    <x v="2"/>
    <x v="1"/>
    <n v="82"/>
    <n v="3"/>
    <n v="2"/>
    <x v="4"/>
    <n v="4"/>
    <x v="0"/>
    <s v="Divorced"/>
    <x v="280"/>
    <x v="0"/>
    <n v="18899"/>
    <n v="9"/>
    <s v="Y"/>
    <x v="1"/>
    <n v="14"/>
    <x v="0"/>
    <x v="0"/>
    <n v="2"/>
    <n v="80"/>
    <n v="1"/>
    <n v="10"/>
    <n v="2"/>
    <n v="3"/>
    <x v="4"/>
    <n v="2"/>
    <n v="1"/>
    <n v="2"/>
    <n v="1"/>
    <x v="1"/>
    <s v=""/>
    <s v=""/>
    <s v=""/>
  </r>
  <r>
    <x v="25"/>
    <x v="2"/>
    <x v="0"/>
    <n v="1"/>
    <s v="Travel_Rarely"/>
    <n v="1449"/>
    <x v="1"/>
    <n v="16"/>
    <n v="4"/>
    <s v="Medical"/>
    <n v="1"/>
    <x v="288"/>
    <n v="1"/>
    <x v="3"/>
    <x v="1"/>
    <n v="45"/>
    <n v="3"/>
    <n v="1"/>
    <x v="2"/>
    <n v="2"/>
    <x v="1"/>
    <s v="Divorced"/>
    <x v="281"/>
    <x v="1"/>
    <n v="14180"/>
    <n v="2"/>
    <s v="Y"/>
    <x v="0"/>
    <n v="13"/>
    <x v="0"/>
    <x v="0"/>
    <n v="4"/>
    <n v="80"/>
    <n v="1"/>
    <n v="5"/>
    <n v="2"/>
    <n v="3"/>
    <x v="11"/>
    <n v="2"/>
    <n v="0"/>
    <n v="2"/>
    <s v=""/>
    <x v="0"/>
    <s v=""/>
    <s v=""/>
    <s v=""/>
  </r>
  <r>
    <x v="14"/>
    <x v="2"/>
    <x v="1"/>
    <n v="0"/>
    <s v="Travel_Rarely"/>
    <n v="1117"/>
    <x v="1"/>
    <n v="8"/>
    <n v="2"/>
    <s v="Life Sciences"/>
    <n v="1"/>
    <x v="289"/>
    <n v="4"/>
    <x v="2"/>
    <x v="0"/>
    <n v="66"/>
    <n v="3"/>
    <n v="1"/>
    <x v="1"/>
    <n v="4"/>
    <x v="0"/>
    <s v="Single"/>
    <x v="282"/>
    <x v="1"/>
    <n v="4488"/>
    <n v="1"/>
    <s v="Y"/>
    <x v="1"/>
    <n v="21"/>
    <x v="1"/>
    <x v="1"/>
    <n v="4"/>
    <n v="80"/>
    <n v="0"/>
    <n v="5"/>
    <n v="3"/>
    <n v="3"/>
    <x v="8"/>
    <n v="3"/>
    <n v="0"/>
    <n v="2"/>
    <n v="3"/>
    <x v="2"/>
    <s v=""/>
    <s v=""/>
    <s v=""/>
  </r>
  <r>
    <x v="1"/>
    <x v="1"/>
    <x v="1"/>
    <n v="0"/>
    <s v="Travel_Frequently"/>
    <n v="636"/>
    <x v="1"/>
    <n v="10"/>
    <n v="4"/>
    <s v="Life Sciences"/>
    <n v="1"/>
    <x v="290"/>
    <n v="3"/>
    <x v="1"/>
    <x v="0"/>
    <n v="35"/>
    <n v="3"/>
    <n v="5"/>
    <x v="7"/>
    <n v="1"/>
    <x v="3"/>
    <s v="Single"/>
    <x v="283"/>
    <x v="4"/>
    <n v="25594"/>
    <n v="9"/>
    <s v="Y"/>
    <x v="0"/>
    <n v="11"/>
    <x v="0"/>
    <x v="0"/>
    <n v="4"/>
    <n v="80"/>
    <n v="0"/>
    <n v="22"/>
    <n v="4"/>
    <n v="3"/>
    <x v="11"/>
    <n v="2"/>
    <n v="1"/>
    <n v="2"/>
    <n v="4"/>
    <x v="2"/>
    <s v=""/>
    <s v=""/>
    <s v=""/>
  </r>
  <r>
    <x v="9"/>
    <x v="0"/>
    <x v="1"/>
    <n v="0"/>
    <s v="Travel_Rarely"/>
    <n v="506"/>
    <x v="1"/>
    <n v="3"/>
    <n v="3"/>
    <s v="Technical Degree"/>
    <n v="1"/>
    <x v="291"/>
    <n v="3"/>
    <x v="1"/>
    <x v="1"/>
    <n v="30"/>
    <n v="3"/>
    <n v="2"/>
    <x v="1"/>
    <n v="2"/>
    <x v="1"/>
    <s v="Single"/>
    <x v="284"/>
    <x v="0"/>
    <n v="26285"/>
    <n v="4"/>
    <s v="Y"/>
    <x v="1"/>
    <n v="12"/>
    <x v="0"/>
    <x v="0"/>
    <n v="4"/>
    <n v="80"/>
    <n v="0"/>
    <n v="10"/>
    <n v="2"/>
    <n v="3"/>
    <x v="3"/>
    <n v="0"/>
    <n v="7"/>
    <n v="7"/>
    <n v="1"/>
    <x v="1"/>
    <s v=""/>
    <s v=""/>
    <s v=""/>
  </r>
  <r>
    <x v="12"/>
    <x v="2"/>
    <x v="1"/>
    <n v="0"/>
    <s v="Travel_Frequently"/>
    <n v="444"/>
    <x v="0"/>
    <n v="5"/>
    <n v="3"/>
    <s v="Marketing"/>
    <n v="1"/>
    <x v="292"/>
    <n v="4"/>
    <x v="2"/>
    <x v="0"/>
    <n v="84"/>
    <n v="3"/>
    <n v="1"/>
    <x v="6"/>
    <n v="2"/>
    <x v="1"/>
    <s v="Divorced"/>
    <x v="285"/>
    <x v="1"/>
    <n v="3909"/>
    <n v="1"/>
    <s v="Y"/>
    <x v="1"/>
    <n v="11"/>
    <x v="0"/>
    <x v="0"/>
    <n v="3"/>
    <n v="80"/>
    <n v="1"/>
    <n v="2"/>
    <n v="5"/>
    <n v="2"/>
    <x v="4"/>
    <n v="2"/>
    <n v="2"/>
    <n v="2"/>
    <n v="5"/>
    <x v="2"/>
    <s v=""/>
    <s v=""/>
    <s v=""/>
  </r>
  <r>
    <x v="25"/>
    <x v="2"/>
    <x v="0"/>
    <n v="1"/>
    <s v="Travel_Rarely"/>
    <n v="950"/>
    <x v="0"/>
    <n v="4"/>
    <n v="4"/>
    <s v="Marketing"/>
    <n v="1"/>
    <x v="293"/>
    <n v="4"/>
    <x v="2"/>
    <x v="1"/>
    <n v="48"/>
    <n v="2"/>
    <n v="2"/>
    <x v="0"/>
    <n v="4"/>
    <x v="0"/>
    <s v="Single"/>
    <x v="286"/>
    <x v="0"/>
    <n v="8450"/>
    <n v="1"/>
    <s v="Y"/>
    <x v="0"/>
    <n v="12"/>
    <x v="0"/>
    <x v="0"/>
    <n v="2"/>
    <n v="80"/>
    <n v="0"/>
    <n v="8"/>
    <n v="0"/>
    <n v="3"/>
    <x v="3"/>
    <n v="7"/>
    <n v="7"/>
    <n v="4"/>
    <s v=""/>
    <x v="0"/>
    <s v=""/>
    <s v=""/>
    <s v=""/>
  </r>
  <r>
    <x v="2"/>
    <x v="0"/>
    <x v="1"/>
    <n v="0"/>
    <s v="Travel_Frequently"/>
    <n v="889"/>
    <x v="1"/>
    <n v="9"/>
    <n v="3"/>
    <s v="Medical"/>
    <n v="1"/>
    <x v="294"/>
    <n v="2"/>
    <x v="0"/>
    <x v="1"/>
    <n v="53"/>
    <n v="3"/>
    <n v="1"/>
    <x v="1"/>
    <n v="4"/>
    <x v="0"/>
    <s v="Married"/>
    <x v="287"/>
    <x v="1"/>
    <n v="11411"/>
    <n v="1"/>
    <s v="Y"/>
    <x v="0"/>
    <n v="12"/>
    <x v="0"/>
    <x v="0"/>
    <n v="3"/>
    <n v="80"/>
    <n v="3"/>
    <n v="4"/>
    <n v="3"/>
    <n v="2"/>
    <x v="9"/>
    <n v="2"/>
    <n v="1"/>
    <n v="2"/>
    <n v="4"/>
    <x v="2"/>
    <s v=""/>
    <s v=""/>
    <s v=""/>
  </r>
  <r>
    <x v="19"/>
    <x v="0"/>
    <x v="1"/>
    <n v="0"/>
    <s v="Travel_Frequently"/>
    <n v="555"/>
    <x v="0"/>
    <n v="26"/>
    <n v="3"/>
    <s v="Marketing"/>
    <n v="1"/>
    <x v="295"/>
    <n v="3"/>
    <x v="1"/>
    <x v="0"/>
    <n v="77"/>
    <n v="3"/>
    <n v="4"/>
    <x v="0"/>
    <n v="2"/>
    <x v="1"/>
    <s v="Married"/>
    <x v="288"/>
    <x v="3"/>
    <n v="14864"/>
    <n v="5"/>
    <s v="Y"/>
    <x v="1"/>
    <n v="14"/>
    <x v="0"/>
    <x v="0"/>
    <n v="4"/>
    <n v="80"/>
    <n v="1"/>
    <n v="23"/>
    <n v="2"/>
    <n v="4"/>
    <x v="23"/>
    <n v="4"/>
    <n v="4"/>
    <n v="8"/>
    <n v="0"/>
    <x v="1"/>
    <s v=""/>
    <s v=""/>
    <s v=""/>
  </r>
  <r>
    <x v="41"/>
    <x v="4"/>
    <x v="0"/>
    <n v="1"/>
    <s v="Travel_Rarely"/>
    <n v="230"/>
    <x v="1"/>
    <n v="3"/>
    <n v="3"/>
    <s v="Life Sciences"/>
    <n v="1"/>
    <x v="296"/>
    <n v="3"/>
    <x v="1"/>
    <x v="1"/>
    <n v="54"/>
    <n v="3"/>
    <n v="1"/>
    <x v="2"/>
    <n v="3"/>
    <x v="2"/>
    <s v="Single"/>
    <x v="289"/>
    <x v="1"/>
    <n v="25233"/>
    <n v="1"/>
    <s v="Y"/>
    <x v="1"/>
    <n v="13"/>
    <x v="0"/>
    <x v="0"/>
    <n v="3"/>
    <n v="80"/>
    <n v="0"/>
    <n v="0"/>
    <n v="2"/>
    <n v="3"/>
    <x v="2"/>
    <n v="0"/>
    <n v="0"/>
    <n v="0"/>
    <s v=""/>
    <x v="0"/>
    <s v=""/>
    <s v=""/>
    <s v=""/>
  </r>
  <r>
    <x v="10"/>
    <x v="0"/>
    <x v="1"/>
    <n v="0"/>
    <s v="Travel_Rarely"/>
    <n v="1232"/>
    <x v="0"/>
    <n v="16"/>
    <n v="3"/>
    <s v="Marketing"/>
    <n v="1"/>
    <x v="297"/>
    <n v="3"/>
    <x v="1"/>
    <x v="1"/>
    <n v="96"/>
    <n v="3"/>
    <n v="3"/>
    <x v="0"/>
    <n v="2"/>
    <x v="1"/>
    <s v="Married"/>
    <x v="290"/>
    <x v="2"/>
    <n v="5100"/>
    <n v="0"/>
    <s v="Y"/>
    <x v="1"/>
    <n v="15"/>
    <x v="0"/>
    <x v="0"/>
    <n v="3"/>
    <n v="80"/>
    <n v="2"/>
    <n v="12"/>
    <n v="3"/>
    <n v="2"/>
    <x v="19"/>
    <n v="9"/>
    <n v="6"/>
    <n v="9"/>
    <n v="0"/>
    <x v="1"/>
    <s v=""/>
    <s v=""/>
    <s v=""/>
  </r>
  <r>
    <x v="9"/>
    <x v="0"/>
    <x v="1"/>
    <n v="0"/>
    <s v="Travel_Frequently"/>
    <n v="566"/>
    <x v="1"/>
    <n v="18"/>
    <n v="4"/>
    <s v="Life Sciences"/>
    <n v="1"/>
    <x v="298"/>
    <n v="3"/>
    <x v="1"/>
    <x v="1"/>
    <n v="81"/>
    <n v="4"/>
    <n v="1"/>
    <x v="2"/>
    <n v="4"/>
    <x v="0"/>
    <s v="Married"/>
    <x v="291"/>
    <x v="1"/>
    <n v="7122"/>
    <n v="4"/>
    <s v="Y"/>
    <x v="1"/>
    <n v="18"/>
    <x v="2"/>
    <x v="0"/>
    <n v="4"/>
    <n v="80"/>
    <n v="2"/>
    <n v="4"/>
    <n v="2"/>
    <n v="3"/>
    <x v="6"/>
    <n v="0"/>
    <n v="0"/>
    <n v="0"/>
    <n v="3"/>
    <x v="2"/>
    <s v=""/>
    <s v=""/>
    <s v=""/>
  </r>
  <r>
    <x v="31"/>
    <x v="1"/>
    <x v="1"/>
    <n v="0"/>
    <s v="Travel_Rarely"/>
    <n v="1302"/>
    <x v="1"/>
    <n v="2"/>
    <n v="3"/>
    <s v="Medical"/>
    <n v="1"/>
    <x v="299"/>
    <n v="4"/>
    <x v="2"/>
    <x v="1"/>
    <n v="84"/>
    <n v="1"/>
    <n v="2"/>
    <x v="3"/>
    <n v="2"/>
    <x v="1"/>
    <s v="Divorced"/>
    <x v="292"/>
    <x v="0"/>
    <n v="16321"/>
    <n v="5"/>
    <s v="Y"/>
    <x v="1"/>
    <n v="18"/>
    <x v="2"/>
    <x v="0"/>
    <n v="4"/>
    <n v="80"/>
    <n v="1"/>
    <n v="13"/>
    <n v="3"/>
    <n v="3"/>
    <x v="9"/>
    <n v="1"/>
    <n v="1"/>
    <n v="2"/>
    <n v="1"/>
    <x v="1"/>
    <s v=""/>
    <s v=""/>
    <s v=""/>
  </r>
  <r>
    <x v="0"/>
    <x v="0"/>
    <x v="1"/>
    <n v="0"/>
    <s v="Travel_Rarely"/>
    <n v="334"/>
    <x v="0"/>
    <n v="2"/>
    <n v="4"/>
    <s v="Life Sciences"/>
    <n v="1"/>
    <x v="300"/>
    <n v="4"/>
    <x v="2"/>
    <x v="1"/>
    <n v="88"/>
    <n v="3"/>
    <n v="4"/>
    <x v="5"/>
    <n v="2"/>
    <x v="1"/>
    <s v="Single"/>
    <x v="293"/>
    <x v="4"/>
    <n v="15896"/>
    <n v="1"/>
    <s v="Y"/>
    <x v="1"/>
    <n v="19"/>
    <x v="2"/>
    <x v="0"/>
    <n v="2"/>
    <n v="80"/>
    <n v="0"/>
    <n v="22"/>
    <n v="2"/>
    <n v="3"/>
    <x v="14"/>
    <n v="10"/>
    <n v="0"/>
    <n v="4"/>
    <n v="0"/>
    <x v="1"/>
    <s v=""/>
    <s v=""/>
    <s v=""/>
  </r>
  <r>
    <x v="41"/>
    <x v="4"/>
    <x v="1"/>
    <n v="0"/>
    <s v="Travel_Rarely"/>
    <n v="812"/>
    <x v="0"/>
    <n v="10"/>
    <n v="3"/>
    <s v="Medical"/>
    <n v="1"/>
    <x v="301"/>
    <n v="4"/>
    <x v="2"/>
    <x v="0"/>
    <n v="69"/>
    <n v="2"/>
    <n v="1"/>
    <x v="6"/>
    <n v="3"/>
    <x v="2"/>
    <s v="Single"/>
    <x v="294"/>
    <x v="1"/>
    <n v="9724"/>
    <n v="1"/>
    <s v="Y"/>
    <x v="1"/>
    <n v="12"/>
    <x v="0"/>
    <x v="0"/>
    <n v="1"/>
    <n v="80"/>
    <n v="0"/>
    <n v="0"/>
    <n v="2"/>
    <n v="3"/>
    <x v="2"/>
    <n v="0"/>
    <n v="0"/>
    <n v="0"/>
    <n v="6"/>
    <x v="3"/>
    <n v="30"/>
    <s v=""/>
    <n v="59589"/>
  </r>
  <r>
    <x v="14"/>
    <x v="2"/>
    <x v="1"/>
    <n v="0"/>
    <s v="Travel_Rarely"/>
    <n v="1476"/>
    <x v="1"/>
    <n v="16"/>
    <n v="2"/>
    <s v="Medical"/>
    <n v="1"/>
    <x v="302"/>
    <n v="2"/>
    <x v="0"/>
    <x v="1"/>
    <n v="68"/>
    <n v="4"/>
    <n v="2"/>
    <x v="4"/>
    <n v="1"/>
    <x v="3"/>
    <s v="Single"/>
    <x v="295"/>
    <x v="0"/>
    <n v="4824"/>
    <n v="0"/>
    <s v="Y"/>
    <x v="1"/>
    <n v="19"/>
    <x v="2"/>
    <x v="0"/>
    <n v="3"/>
    <n v="80"/>
    <n v="0"/>
    <n v="9"/>
    <n v="2"/>
    <n v="3"/>
    <x v="3"/>
    <n v="3"/>
    <n v="0"/>
    <n v="7"/>
    <n v="4"/>
    <x v="2"/>
    <s v=""/>
    <s v=""/>
    <s v=""/>
  </r>
  <r>
    <x v="12"/>
    <x v="2"/>
    <x v="1"/>
    <n v="0"/>
    <s v="Travel_Rarely"/>
    <n v="218"/>
    <x v="0"/>
    <n v="7"/>
    <n v="3"/>
    <s v="Technical Degree"/>
    <n v="1"/>
    <x v="303"/>
    <n v="2"/>
    <x v="0"/>
    <x v="1"/>
    <n v="100"/>
    <n v="4"/>
    <n v="2"/>
    <x v="0"/>
    <n v="4"/>
    <x v="0"/>
    <s v="Married"/>
    <x v="296"/>
    <x v="0"/>
    <n v="12241"/>
    <n v="4"/>
    <s v="Y"/>
    <x v="1"/>
    <n v="11"/>
    <x v="0"/>
    <x v="0"/>
    <n v="2"/>
    <n v="80"/>
    <n v="1"/>
    <n v="10"/>
    <n v="3"/>
    <n v="2"/>
    <x v="3"/>
    <n v="7"/>
    <n v="7"/>
    <n v="7"/>
    <n v="2"/>
    <x v="1"/>
    <s v=""/>
    <s v=""/>
    <s v=""/>
  </r>
  <r>
    <x v="22"/>
    <x v="0"/>
    <x v="1"/>
    <n v="0"/>
    <s v="Travel_Rarely"/>
    <n v="1132"/>
    <x v="1"/>
    <n v="1"/>
    <n v="3"/>
    <s v="Medical"/>
    <n v="1"/>
    <x v="304"/>
    <n v="3"/>
    <x v="1"/>
    <x v="1"/>
    <n v="48"/>
    <n v="4"/>
    <n v="3"/>
    <x v="4"/>
    <n v="4"/>
    <x v="0"/>
    <s v="Divorced"/>
    <x v="297"/>
    <x v="2"/>
    <n v="10942"/>
    <n v="0"/>
    <s v="Y"/>
    <x v="1"/>
    <n v="17"/>
    <x v="2"/>
    <x v="0"/>
    <n v="1"/>
    <n v="80"/>
    <n v="3"/>
    <n v="19"/>
    <n v="5"/>
    <n v="2"/>
    <x v="29"/>
    <n v="10"/>
    <n v="3"/>
    <n v="7"/>
    <n v="0"/>
    <x v="1"/>
    <s v=""/>
    <s v=""/>
    <s v=""/>
  </r>
  <r>
    <x v="9"/>
    <x v="0"/>
    <x v="1"/>
    <n v="0"/>
    <s v="Non-Travel"/>
    <n v="1105"/>
    <x v="1"/>
    <n v="24"/>
    <n v="4"/>
    <s v="Life Sciences"/>
    <n v="1"/>
    <x v="305"/>
    <n v="2"/>
    <x v="0"/>
    <x v="0"/>
    <n v="47"/>
    <n v="3"/>
    <n v="2"/>
    <x v="2"/>
    <n v="2"/>
    <x v="1"/>
    <s v="Married"/>
    <x v="298"/>
    <x v="0"/>
    <n v="6927"/>
    <n v="7"/>
    <s v="Y"/>
    <x v="1"/>
    <n v="15"/>
    <x v="0"/>
    <x v="0"/>
    <n v="3"/>
    <n v="80"/>
    <n v="1"/>
    <n v="11"/>
    <n v="3"/>
    <n v="3"/>
    <x v="7"/>
    <n v="8"/>
    <n v="0"/>
    <n v="8"/>
    <n v="2"/>
    <x v="1"/>
    <s v=""/>
    <s v=""/>
    <s v=""/>
  </r>
  <r>
    <x v="5"/>
    <x v="2"/>
    <x v="1"/>
    <n v="0"/>
    <s v="Travel_Rarely"/>
    <n v="906"/>
    <x v="0"/>
    <n v="7"/>
    <n v="3"/>
    <s v="Life Sciences"/>
    <n v="1"/>
    <x v="306"/>
    <n v="4"/>
    <x v="2"/>
    <x v="1"/>
    <n v="91"/>
    <n v="2"/>
    <n v="2"/>
    <x v="0"/>
    <n v="3"/>
    <x v="2"/>
    <s v="Married"/>
    <x v="299"/>
    <x v="0"/>
    <n v="16985"/>
    <n v="1"/>
    <s v="Y"/>
    <x v="1"/>
    <n v="14"/>
    <x v="0"/>
    <x v="0"/>
    <n v="3"/>
    <n v="80"/>
    <n v="1"/>
    <n v="13"/>
    <n v="3"/>
    <n v="2"/>
    <x v="20"/>
    <n v="8"/>
    <n v="4"/>
    <n v="8"/>
    <n v="2"/>
    <x v="1"/>
    <s v=""/>
    <s v=""/>
    <s v=""/>
  </r>
  <r>
    <x v="8"/>
    <x v="0"/>
    <x v="1"/>
    <n v="0"/>
    <s v="Travel_Rarely"/>
    <n v="849"/>
    <x v="1"/>
    <n v="25"/>
    <n v="2"/>
    <s v="Life Sciences"/>
    <n v="1"/>
    <x v="307"/>
    <n v="1"/>
    <x v="3"/>
    <x v="0"/>
    <n v="81"/>
    <n v="2"/>
    <n v="3"/>
    <x v="7"/>
    <n v="2"/>
    <x v="1"/>
    <s v="Married"/>
    <x v="300"/>
    <x v="3"/>
    <n v="26707"/>
    <n v="3"/>
    <s v="Y"/>
    <x v="1"/>
    <n v="17"/>
    <x v="2"/>
    <x v="0"/>
    <n v="3"/>
    <n v="80"/>
    <n v="1"/>
    <n v="19"/>
    <n v="2"/>
    <n v="3"/>
    <x v="1"/>
    <n v="8"/>
    <n v="0"/>
    <n v="1"/>
    <n v="0"/>
    <x v="1"/>
    <s v=""/>
    <s v=""/>
    <s v=""/>
  </r>
  <r>
    <x v="34"/>
    <x v="3"/>
    <x v="1"/>
    <n v="0"/>
    <s v="Non-Travel"/>
    <n v="390"/>
    <x v="1"/>
    <n v="1"/>
    <n v="4"/>
    <s v="Life Sciences"/>
    <n v="1"/>
    <x v="308"/>
    <n v="4"/>
    <x v="2"/>
    <x v="1"/>
    <n v="32"/>
    <n v="1"/>
    <n v="2"/>
    <x v="4"/>
    <n v="3"/>
    <x v="2"/>
    <s v="Divorced"/>
    <x v="301"/>
    <x v="0"/>
    <n v="17056"/>
    <n v="2"/>
    <s v="Y"/>
    <x v="0"/>
    <n v="13"/>
    <x v="0"/>
    <x v="0"/>
    <n v="4"/>
    <n v="80"/>
    <n v="1"/>
    <n v="12"/>
    <n v="2"/>
    <n v="3"/>
    <x v="8"/>
    <n v="3"/>
    <n v="1"/>
    <n v="2"/>
    <n v="3"/>
    <x v="2"/>
    <s v=""/>
    <s v=""/>
    <s v=""/>
  </r>
  <r>
    <x v="12"/>
    <x v="2"/>
    <x v="1"/>
    <n v="0"/>
    <s v="Travel_Rarely"/>
    <n v="691"/>
    <x v="1"/>
    <n v="5"/>
    <n v="4"/>
    <s v="Technical Degree"/>
    <n v="1"/>
    <x v="309"/>
    <n v="3"/>
    <x v="1"/>
    <x v="1"/>
    <n v="86"/>
    <n v="3"/>
    <n v="1"/>
    <x v="1"/>
    <n v="4"/>
    <x v="0"/>
    <s v="Married"/>
    <x v="302"/>
    <x v="0"/>
    <n v="10077"/>
    <n v="0"/>
    <s v="Y"/>
    <x v="0"/>
    <n v="12"/>
    <x v="0"/>
    <x v="0"/>
    <n v="3"/>
    <n v="80"/>
    <n v="1"/>
    <n v="6"/>
    <n v="4"/>
    <n v="3"/>
    <x v="8"/>
    <n v="2"/>
    <n v="0"/>
    <n v="3"/>
    <n v="4"/>
    <x v="2"/>
    <s v=""/>
    <s v=""/>
    <s v=""/>
  </r>
  <r>
    <x v="12"/>
    <x v="2"/>
    <x v="1"/>
    <n v="0"/>
    <s v="Travel_Rarely"/>
    <n v="106"/>
    <x v="2"/>
    <n v="2"/>
    <n v="3"/>
    <s v="Human Resources"/>
    <n v="1"/>
    <x v="310"/>
    <n v="1"/>
    <x v="3"/>
    <x v="1"/>
    <n v="62"/>
    <n v="2"/>
    <n v="2"/>
    <x v="8"/>
    <n v="1"/>
    <x v="3"/>
    <s v="Married"/>
    <x v="303"/>
    <x v="0"/>
    <n v="17822"/>
    <n v="3"/>
    <s v="Y"/>
    <x v="1"/>
    <n v="12"/>
    <x v="0"/>
    <x v="0"/>
    <n v="4"/>
    <n v="80"/>
    <n v="0"/>
    <n v="9"/>
    <n v="1"/>
    <n v="3"/>
    <x v="4"/>
    <n v="2"/>
    <n v="1"/>
    <n v="0"/>
    <n v="5"/>
    <x v="2"/>
    <s v=""/>
    <s v=""/>
    <s v=""/>
  </r>
  <r>
    <x v="28"/>
    <x v="1"/>
    <x v="1"/>
    <n v="0"/>
    <s v="Travel_Frequently"/>
    <n v="1249"/>
    <x v="1"/>
    <n v="7"/>
    <n v="3"/>
    <s v="Life Sciences"/>
    <n v="1"/>
    <x v="311"/>
    <n v="1"/>
    <x v="3"/>
    <x v="1"/>
    <n v="97"/>
    <n v="3"/>
    <n v="3"/>
    <x v="2"/>
    <n v="1"/>
    <x v="3"/>
    <s v="Divorced"/>
    <x v="304"/>
    <x v="0"/>
    <n v="20308"/>
    <n v="1"/>
    <s v="Y"/>
    <x v="1"/>
    <n v="18"/>
    <x v="2"/>
    <x v="0"/>
    <n v="1"/>
    <n v="80"/>
    <n v="1"/>
    <n v="24"/>
    <n v="2"/>
    <n v="3"/>
    <x v="25"/>
    <n v="9"/>
    <n v="9"/>
    <n v="11"/>
    <n v="4"/>
    <x v="2"/>
    <s v=""/>
    <s v=""/>
    <s v=""/>
  </r>
  <r>
    <x v="12"/>
    <x v="2"/>
    <x v="1"/>
    <n v="0"/>
    <s v="Travel_Rarely"/>
    <n v="192"/>
    <x v="1"/>
    <n v="2"/>
    <n v="4"/>
    <s v="Life Sciences"/>
    <n v="1"/>
    <x v="312"/>
    <n v="3"/>
    <x v="1"/>
    <x v="1"/>
    <n v="32"/>
    <n v="3"/>
    <n v="1"/>
    <x v="1"/>
    <n v="4"/>
    <x v="0"/>
    <s v="Divorced"/>
    <x v="305"/>
    <x v="1"/>
    <n v="7747"/>
    <n v="0"/>
    <s v="Y"/>
    <x v="0"/>
    <n v="18"/>
    <x v="2"/>
    <x v="0"/>
    <n v="2"/>
    <n v="80"/>
    <n v="1"/>
    <n v="3"/>
    <n v="2"/>
    <n v="1"/>
    <x v="4"/>
    <n v="2"/>
    <n v="2"/>
    <n v="2"/>
    <n v="5"/>
    <x v="2"/>
    <s v=""/>
    <s v=""/>
    <s v=""/>
  </r>
  <r>
    <x v="3"/>
    <x v="2"/>
    <x v="1"/>
    <n v="0"/>
    <s v="Travel_Frequently"/>
    <n v="553"/>
    <x v="1"/>
    <n v="5"/>
    <n v="4"/>
    <s v="Life Sciences"/>
    <n v="1"/>
    <x v="313"/>
    <n v="4"/>
    <x v="2"/>
    <x v="0"/>
    <n v="74"/>
    <n v="3"/>
    <n v="3"/>
    <x v="5"/>
    <n v="2"/>
    <x v="1"/>
    <s v="Married"/>
    <x v="306"/>
    <x v="2"/>
    <n v="23364"/>
    <n v="6"/>
    <s v="Y"/>
    <x v="1"/>
    <n v="11"/>
    <x v="0"/>
    <x v="0"/>
    <n v="2"/>
    <n v="80"/>
    <n v="2"/>
    <n v="12"/>
    <n v="2"/>
    <n v="3"/>
    <x v="1"/>
    <n v="6"/>
    <n v="8"/>
    <n v="8"/>
    <n v="1"/>
    <x v="1"/>
    <s v=""/>
    <s v=""/>
    <s v=""/>
  </r>
  <r>
    <x v="22"/>
    <x v="0"/>
    <x v="1"/>
    <n v="0"/>
    <s v="Travel_Rarely"/>
    <n v="117"/>
    <x v="1"/>
    <n v="10"/>
    <n v="1"/>
    <s v="Medical"/>
    <n v="1"/>
    <x v="314"/>
    <n v="3"/>
    <x v="1"/>
    <x v="1"/>
    <n v="99"/>
    <n v="3"/>
    <n v="4"/>
    <x v="5"/>
    <n v="1"/>
    <x v="3"/>
    <s v="Married"/>
    <x v="307"/>
    <x v="4"/>
    <n v="5355"/>
    <n v="1"/>
    <s v="Y"/>
    <x v="0"/>
    <n v="14"/>
    <x v="0"/>
    <x v="0"/>
    <n v="4"/>
    <n v="80"/>
    <n v="0"/>
    <n v="21"/>
    <n v="3"/>
    <n v="3"/>
    <x v="17"/>
    <n v="9"/>
    <n v="11"/>
    <n v="10"/>
    <n v="4"/>
    <x v="2"/>
    <s v=""/>
    <s v=""/>
    <s v=""/>
  </r>
  <r>
    <x v="23"/>
    <x v="0"/>
    <x v="1"/>
    <n v="0"/>
    <s v="Travel_Frequently"/>
    <n v="185"/>
    <x v="1"/>
    <n v="10"/>
    <n v="4"/>
    <s v="Life Sciences"/>
    <n v="1"/>
    <x v="315"/>
    <n v="3"/>
    <x v="1"/>
    <x v="0"/>
    <n v="33"/>
    <n v="3"/>
    <n v="1"/>
    <x v="2"/>
    <n v="4"/>
    <x v="0"/>
    <s v="Single"/>
    <x v="308"/>
    <x v="1"/>
    <n v="10675"/>
    <n v="0"/>
    <s v="Y"/>
    <x v="1"/>
    <n v="19"/>
    <x v="2"/>
    <x v="0"/>
    <n v="1"/>
    <n v="80"/>
    <n v="0"/>
    <n v="9"/>
    <n v="5"/>
    <n v="3"/>
    <x v="3"/>
    <n v="7"/>
    <n v="1"/>
    <n v="7"/>
    <n v="3"/>
    <x v="2"/>
    <s v=""/>
    <s v=""/>
    <s v=""/>
  </r>
  <r>
    <x v="1"/>
    <x v="1"/>
    <x v="1"/>
    <n v="0"/>
    <s v="Travel_Rarely"/>
    <n v="1091"/>
    <x v="1"/>
    <n v="1"/>
    <n v="2"/>
    <s v="Technical Degree"/>
    <n v="1"/>
    <x v="316"/>
    <n v="3"/>
    <x v="1"/>
    <x v="0"/>
    <n v="90"/>
    <n v="2"/>
    <n v="4"/>
    <x v="4"/>
    <n v="3"/>
    <x v="2"/>
    <s v="Single"/>
    <x v="309"/>
    <x v="3"/>
    <n v="17810"/>
    <n v="7"/>
    <s v="Y"/>
    <x v="0"/>
    <n v="12"/>
    <x v="0"/>
    <x v="0"/>
    <n v="4"/>
    <n v="80"/>
    <n v="0"/>
    <n v="25"/>
    <n v="2"/>
    <n v="3"/>
    <x v="5"/>
    <n v="1"/>
    <n v="0"/>
    <n v="7"/>
    <n v="2"/>
    <x v="1"/>
    <s v=""/>
    <s v=""/>
    <s v=""/>
  </r>
  <r>
    <x v="39"/>
    <x v="1"/>
    <x v="0"/>
    <n v="1"/>
    <s v="Travel_Rarely"/>
    <n v="723"/>
    <x v="1"/>
    <n v="8"/>
    <n v="4"/>
    <s v="Medical"/>
    <n v="1"/>
    <x v="317"/>
    <n v="3"/>
    <x v="1"/>
    <x v="1"/>
    <n v="85"/>
    <n v="2"/>
    <n v="2"/>
    <x v="1"/>
    <n v="2"/>
    <x v="1"/>
    <s v="Married"/>
    <x v="132"/>
    <x v="0"/>
    <n v="17747"/>
    <n v="2"/>
    <s v="Y"/>
    <x v="1"/>
    <n v="15"/>
    <x v="0"/>
    <x v="0"/>
    <n v="1"/>
    <n v="80"/>
    <n v="0"/>
    <n v="11"/>
    <n v="3"/>
    <n v="2"/>
    <x v="3"/>
    <n v="2"/>
    <n v="7"/>
    <n v="7"/>
    <s v=""/>
    <x v="0"/>
    <s v=""/>
    <s v=""/>
    <s v=""/>
  </r>
  <r>
    <x v="4"/>
    <x v="2"/>
    <x v="1"/>
    <n v="0"/>
    <s v="Travel_Rarely"/>
    <n v="1220"/>
    <x v="1"/>
    <n v="5"/>
    <n v="3"/>
    <s v="Life Sciences"/>
    <n v="1"/>
    <x v="318"/>
    <n v="3"/>
    <x v="1"/>
    <x v="0"/>
    <n v="85"/>
    <n v="3"/>
    <n v="1"/>
    <x v="1"/>
    <n v="2"/>
    <x v="1"/>
    <s v="Single"/>
    <x v="310"/>
    <x v="1"/>
    <n v="20938"/>
    <n v="1"/>
    <s v="Y"/>
    <x v="0"/>
    <n v="12"/>
    <x v="0"/>
    <x v="0"/>
    <n v="2"/>
    <n v="80"/>
    <n v="0"/>
    <n v="4"/>
    <n v="2"/>
    <n v="2"/>
    <x v="9"/>
    <n v="3"/>
    <n v="1"/>
    <n v="2"/>
    <n v="5"/>
    <x v="2"/>
    <s v=""/>
    <s v=""/>
    <s v=""/>
  </r>
  <r>
    <x v="5"/>
    <x v="2"/>
    <x v="1"/>
    <n v="0"/>
    <s v="Travel_Rarely"/>
    <n v="588"/>
    <x v="0"/>
    <n v="8"/>
    <n v="2"/>
    <s v="Technical Degree"/>
    <n v="1"/>
    <x v="319"/>
    <n v="3"/>
    <x v="1"/>
    <x v="0"/>
    <n v="65"/>
    <n v="2"/>
    <n v="2"/>
    <x v="0"/>
    <n v="2"/>
    <x v="1"/>
    <s v="Married"/>
    <x v="311"/>
    <x v="0"/>
    <n v="24624"/>
    <n v="1"/>
    <s v="Y"/>
    <x v="0"/>
    <n v="11"/>
    <x v="0"/>
    <x v="0"/>
    <n v="4"/>
    <n v="80"/>
    <n v="0"/>
    <n v="13"/>
    <n v="2"/>
    <n v="3"/>
    <x v="20"/>
    <n v="12"/>
    <n v="11"/>
    <n v="9"/>
    <n v="4"/>
    <x v="2"/>
    <s v=""/>
    <s v=""/>
    <s v=""/>
  </r>
  <r>
    <x v="4"/>
    <x v="2"/>
    <x v="1"/>
    <n v="0"/>
    <s v="Travel_Rarely"/>
    <n v="1377"/>
    <x v="0"/>
    <n v="2"/>
    <n v="3"/>
    <s v="Life Sciences"/>
    <n v="1"/>
    <x v="320"/>
    <n v="4"/>
    <x v="2"/>
    <x v="1"/>
    <n v="74"/>
    <n v="3"/>
    <n v="2"/>
    <x v="0"/>
    <n v="3"/>
    <x v="2"/>
    <s v="Single"/>
    <x v="312"/>
    <x v="0"/>
    <n v="5242"/>
    <n v="1"/>
    <s v="Y"/>
    <x v="0"/>
    <n v="11"/>
    <x v="0"/>
    <x v="0"/>
    <n v="1"/>
    <n v="80"/>
    <n v="0"/>
    <n v="5"/>
    <n v="3"/>
    <n v="3"/>
    <x v="8"/>
    <n v="4"/>
    <n v="0"/>
    <n v="4"/>
    <n v="4"/>
    <x v="2"/>
    <s v=""/>
    <s v=""/>
    <s v=""/>
  </r>
  <r>
    <x v="12"/>
    <x v="2"/>
    <x v="1"/>
    <n v="0"/>
    <s v="Travel_Rarely"/>
    <n v="691"/>
    <x v="0"/>
    <n v="7"/>
    <n v="3"/>
    <s v="Marketing"/>
    <n v="1"/>
    <x v="321"/>
    <n v="4"/>
    <x v="2"/>
    <x v="1"/>
    <n v="73"/>
    <n v="3"/>
    <n v="2"/>
    <x v="0"/>
    <n v="4"/>
    <x v="0"/>
    <s v="Divorced"/>
    <x v="313"/>
    <x v="0"/>
    <n v="7143"/>
    <n v="4"/>
    <s v="Y"/>
    <x v="1"/>
    <n v="12"/>
    <x v="0"/>
    <x v="0"/>
    <n v="4"/>
    <n v="80"/>
    <n v="3"/>
    <n v="13"/>
    <n v="3"/>
    <n v="3"/>
    <x v="5"/>
    <n v="7"/>
    <n v="1"/>
    <n v="7"/>
    <n v="2"/>
    <x v="1"/>
    <s v=""/>
    <s v=""/>
    <s v=""/>
  </r>
  <r>
    <x v="5"/>
    <x v="2"/>
    <x v="1"/>
    <n v="0"/>
    <s v="Travel_Rarely"/>
    <n v="1018"/>
    <x v="1"/>
    <n v="2"/>
    <n v="4"/>
    <s v="Medical"/>
    <n v="1"/>
    <x v="322"/>
    <n v="1"/>
    <x v="3"/>
    <x v="0"/>
    <n v="74"/>
    <n v="4"/>
    <n v="2"/>
    <x v="1"/>
    <n v="4"/>
    <x v="0"/>
    <s v="Single"/>
    <x v="314"/>
    <x v="0"/>
    <n v="10557"/>
    <n v="7"/>
    <s v="Y"/>
    <x v="1"/>
    <n v="16"/>
    <x v="2"/>
    <x v="0"/>
    <n v="3"/>
    <n v="80"/>
    <n v="0"/>
    <n v="10"/>
    <n v="0"/>
    <n v="2"/>
    <x v="5"/>
    <n v="7"/>
    <n v="0"/>
    <n v="7"/>
    <n v="2"/>
    <x v="1"/>
    <s v=""/>
    <s v=""/>
    <s v=""/>
  </r>
  <r>
    <x v="14"/>
    <x v="2"/>
    <x v="0"/>
    <n v="1"/>
    <s v="Travel_Rarely"/>
    <n v="1157"/>
    <x v="1"/>
    <n v="2"/>
    <n v="4"/>
    <s v="Medical"/>
    <n v="1"/>
    <x v="323"/>
    <n v="1"/>
    <x v="3"/>
    <x v="1"/>
    <n v="84"/>
    <n v="1"/>
    <n v="1"/>
    <x v="1"/>
    <n v="4"/>
    <x v="0"/>
    <s v="Married"/>
    <x v="315"/>
    <x v="1"/>
    <n v="24737"/>
    <n v="5"/>
    <s v="Y"/>
    <x v="0"/>
    <n v="13"/>
    <x v="0"/>
    <x v="0"/>
    <n v="4"/>
    <n v="80"/>
    <n v="0"/>
    <n v="5"/>
    <n v="4"/>
    <n v="2"/>
    <x v="11"/>
    <n v="2"/>
    <n v="2"/>
    <n v="2"/>
    <s v=""/>
    <x v="0"/>
    <s v=""/>
    <s v=""/>
    <s v=""/>
  </r>
  <r>
    <x v="7"/>
    <x v="2"/>
    <x v="1"/>
    <n v="0"/>
    <s v="Travel_Rarely"/>
    <n v="1275"/>
    <x v="1"/>
    <n v="28"/>
    <n v="2"/>
    <s v="Medical"/>
    <n v="1"/>
    <x v="324"/>
    <n v="4"/>
    <x v="2"/>
    <x v="0"/>
    <n v="64"/>
    <n v="3"/>
    <n v="2"/>
    <x v="1"/>
    <n v="4"/>
    <x v="0"/>
    <s v="Married"/>
    <x v="316"/>
    <x v="0"/>
    <n v="11934"/>
    <n v="1"/>
    <s v="Y"/>
    <x v="1"/>
    <n v="13"/>
    <x v="0"/>
    <x v="0"/>
    <n v="4"/>
    <n v="80"/>
    <n v="2"/>
    <n v="11"/>
    <n v="2"/>
    <n v="3"/>
    <x v="1"/>
    <n v="8"/>
    <n v="1"/>
    <n v="9"/>
    <n v="2"/>
    <x v="1"/>
    <s v=""/>
    <s v=""/>
    <s v=""/>
  </r>
  <r>
    <x v="12"/>
    <x v="2"/>
    <x v="1"/>
    <n v="0"/>
    <s v="Travel_Frequently"/>
    <n v="798"/>
    <x v="1"/>
    <n v="7"/>
    <n v="2"/>
    <s v="Life Sciences"/>
    <n v="1"/>
    <x v="325"/>
    <n v="3"/>
    <x v="1"/>
    <x v="0"/>
    <n v="48"/>
    <n v="2"/>
    <n v="3"/>
    <x v="3"/>
    <n v="3"/>
    <x v="2"/>
    <s v="Married"/>
    <x v="317"/>
    <x v="2"/>
    <n v="14034"/>
    <n v="1"/>
    <s v="Y"/>
    <x v="1"/>
    <n v="24"/>
    <x v="1"/>
    <x v="1"/>
    <n v="1"/>
    <n v="80"/>
    <n v="1"/>
    <n v="10"/>
    <n v="2"/>
    <n v="3"/>
    <x v="1"/>
    <n v="9"/>
    <n v="8"/>
    <n v="9"/>
    <n v="1"/>
    <x v="1"/>
    <s v=""/>
    <s v=""/>
    <s v=""/>
  </r>
  <r>
    <x v="22"/>
    <x v="0"/>
    <x v="1"/>
    <n v="0"/>
    <s v="Travel_Frequently"/>
    <n v="672"/>
    <x v="1"/>
    <n v="7"/>
    <n v="2"/>
    <s v="Medical"/>
    <n v="1"/>
    <x v="326"/>
    <n v="3"/>
    <x v="1"/>
    <x v="1"/>
    <n v="54"/>
    <n v="2"/>
    <n v="5"/>
    <x v="5"/>
    <n v="4"/>
    <x v="0"/>
    <s v="Married"/>
    <x v="318"/>
    <x v="4"/>
    <n v="21141"/>
    <n v="1"/>
    <s v="Y"/>
    <x v="1"/>
    <n v="15"/>
    <x v="0"/>
    <x v="0"/>
    <n v="1"/>
    <n v="80"/>
    <n v="1"/>
    <n v="21"/>
    <n v="2"/>
    <n v="3"/>
    <x v="17"/>
    <n v="9"/>
    <n v="13"/>
    <n v="3"/>
    <n v="0"/>
    <x v="1"/>
    <s v=""/>
    <s v=""/>
    <s v=""/>
  </r>
  <r>
    <x v="22"/>
    <x v="0"/>
    <x v="0"/>
    <n v="1"/>
    <s v="Travel_Rarely"/>
    <n v="1162"/>
    <x v="0"/>
    <n v="3"/>
    <n v="2"/>
    <s v="Medical"/>
    <n v="1"/>
    <x v="327"/>
    <n v="4"/>
    <x v="2"/>
    <x v="0"/>
    <n v="41"/>
    <n v="3"/>
    <n v="2"/>
    <x v="0"/>
    <n v="3"/>
    <x v="2"/>
    <s v="Married"/>
    <x v="319"/>
    <x v="0"/>
    <n v="17778"/>
    <n v="4"/>
    <s v="Y"/>
    <x v="0"/>
    <n v="18"/>
    <x v="2"/>
    <x v="0"/>
    <n v="1"/>
    <n v="80"/>
    <n v="0"/>
    <n v="12"/>
    <n v="3"/>
    <n v="2"/>
    <x v="6"/>
    <n v="0"/>
    <n v="0"/>
    <n v="0"/>
    <s v=""/>
    <x v="0"/>
    <s v=""/>
    <s v=""/>
    <s v=""/>
  </r>
  <r>
    <x v="3"/>
    <x v="2"/>
    <x v="1"/>
    <n v="0"/>
    <s v="Travel_Frequently"/>
    <n v="508"/>
    <x v="0"/>
    <n v="10"/>
    <n v="3"/>
    <s v="Marketing"/>
    <n v="1"/>
    <x v="328"/>
    <n v="2"/>
    <x v="0"/>
    <x v="1"/>
    <n v="46"/>
    <n v="2"/>
    <n v="2"/>
    <x v="0"/>
    <n v="4"/>
    <x v="0"/>
    <s v="Single"/>
    <x v="320"/>
    <x v="0"/>
    <n v="4317"/>
    <n v="3"/>
    <s v="Y"/>
    <x v="1"/>
    <n v="14"/>
    <x v="0"/>
    <x v="0"/>
    <n v="3"/>
    <n v="80"/>
    <n v="0"/>
    <n v="9"/>
    <n v="6"/>
    <n v="2"/>
    <x v="5"/>
    <n v="7"/>
    <n v="0"/>
    <n v="1"/>
    <n v="2"/>
    <x v="1"/>
    <s v=""/>
    <s v=""/>
    <s v=""/>
  </r>
  <r>
    <x v="40"/>
    <x v="1"/>
    <x v="1"/>
    <n v="0"/>
    <s v="Travel_Rarely"/>
    <n v="1482"/>
    <x v="1"/>
    <n v="5"/>
    <n v="5"/>
    <s v="Life Sciences"/>
    <n v="1"/>
    <x v="329"/>
    <n v="4"/>
    <x v="2"/>
    <x v="1"/>
    <n v="42"/>
    <n v="3"/>
    <n v="5"/>
    <x v="7"/>
    <n v="3"/>
    <x v="2"/>
    <s v="Married"/>
    <x v="321"/>
    <x v="4"/>
    <n v="16375"/>
    <n v="4"/>
    <s v="Y"/>
    <x v="1"/>
    <n v="11"/>
    <x v="0"/>
    <x v="0"/>
    <n v="2"/>
    <n v="80"/>
    <n v="1"/>
    <n v="21"/>
    <n v="2"/>
    <n v="3"/>
    <x v="11"/>
    <n v="2"/>
    <n v="1"/>
    <n v="1"/>
    <n v="0"/>
    <x v="1"/>
    <s v=""/>
    <s v=""/>
    <s v=""/>
  </r>
  <r>
    <x v="23"/>
    <x v="0"/>
    <x v="1"/>
    <n v="0"/>
    <s v="Travel_Frequently"/>
    <n v="559"/>
    <x v="1"/>
    <n v="10"/>
    <n v="4"/>
    <s v="Life Sciences"/>
    <n v="1"/>
    <x v="330"/>
    <n v="3"/>
    <x v="1"/>
    <x v="0"/>
    <n v="82"/>
    <n v="2"/>
    <n v="2"/>
    <x v="2"/>
    <n v="3"/>
    <x v="2"/>
    <s v="Divorced"/>
    <x v="322"/>
    <x v="0"/>
    <n v="6227"/>
    <n v="1"/>
    <s v="Y"/>
    <x v="1"/>
    <n v="11"/>
    <x v="0"/>
    <x v="0"/>
    <n v="2"/>
    <n v="80"/>
    <n v="1"/>
    <n v="9"/>
    <n v="3"/>
    <n v="4"/>
    <x v="7"/>
    <n v="7"/>
    <n v="0"/>
    <n v="0"/>
    <n v="2"/>
    <x v="1"/>
    <s v=""/>
    <s v=""/>
    <s v=""/>
  </r>
  <r>
    <x v="4"/>
    <x v="2"/>
    <x v="1"/>
    <n v="0"/>
    <s v="Non-Travel"/>
    <n v="210"/>
    <x v="0"/>
    <n v="1"/>
    <n v="1"/>
    <s v="Marketing"/>
    <n v="1"/>
    <x v="331"/>
    <n v="3"/>
    <x v="1"/>
    <x v="1"/>
    <n v="73"/>
    <n v="3"/>
    <n v="2"/>
    <x v="0"/>
    <n v="2"/>
    <x v="1"/>
    <s v="Married"/>
    <x v="323"/>
    <x v="0"/>
    <n v="22107"/>
    <n v="0"/>
    <s v="Y"/>
    <x v="0"/>
    <n v="13"/>
    <x v="0"/>
    <x v="0"/>
    <n v="4"/>
    <n v="80"/>
    <n v="1"/>
    <n v="6"/>
    <n v="0"/>
    <n v="3"/>
    <x v="8"/>
    <n v="4"/>
    <n v="1"/>
    <n v="4"/>
    <n v="4"/>
    <x v="2"/>
    <s v=""/>
    <s v=""/>
    <s v=""/>
  </r>
  <r>
    <x v="33"/>
    <x v="1"/>
    <x v="1"/>
    <n v="0"/>
    <s v="Travel_Frequently"/>
    <n v="928"/>
    <x v="1"/>
    <n v="20"/>
    <n v="4"/>
    <s v="Life Sciences"/>
    <n v="1"/>
    <x v="332"/>
    <n v="4"/>
    <x v="2"/>
    <x v="0"/>
    <n v="31"/>
    <n v="3"/>
    <n v="2"/>
    <x v="1"/>
    <n v="3"/>
    <x v="2"/>
    <s v="Single"/>
    <x v="324"/>
    <x v="0"/>
    <n v="16885"/>
    <n v="3"/>
    <s v="Y"/>
    <x v="1"/>
    <n v="12"/>
    <x v="0"/>
    <x v="0"/>
    <n v="4"/>
    <n v="80"/>
    <n v="0"/>
    <n v="20"/>
    <n v="4"/>
    <n v="2"/>
    <x v="9"/>
    <n v="3"/>
    <n v="0"/>
    <n v="3"/>
    <n v="1"/>
    <x v="1"/>
    <s v=""/>
    <s v=""/>
    <s v=""/>
  </r>
  <r>
    <x v="23"/>
    <x v="0"/>
    <x v="1"/>
    <n v="0"/>
    <s v="Travel_Rarely"/>
    <n v="1001"/>
    <x v="1"/>
    <n v="7"/>
    <n v="3"/>
    <s v="Life Sciences"/>
    <n v="1"/>
    <x v="333"/>
    <n v="3"/>
    <x v="1"/>
    <x v="0"/>
    <n v="43"/>
    <n v="3"/>
    <n v="3"/>
    <x v="4"/>
    <n v="1"/>
    <x v="3"/>
    <s v="Married"/>
    <x v="325"/>
    <x v="2"/>
    <n v="9262"/>
    <n v="8"/>
    <s v="Y"/>
    <x v="1"/>
    <n v="16"/>
    <x v="2"/>
    <x v="0"/>
    <n v="1"/>
    <n v="80"/>
    <n v="1"/>
    <n v="10"/>
    <n v="1"/>
    <n v="2"/>
    <x v="6"/>
    <n v="0"/>
    <n v="0"/>
    <n v="0"/>
    <n v="2"/>
    <x v="1"/>
    <s v=""/>
    <s v=""/>
    <s v=""/>
  </r>
  <r>
    <x v="28"/>
    <x v="1"/>
    <x v="1"/>
    <n v="0"/>
    <s v="Travel_Rarely"/>
    <n v="549"/>
    <x v="1"/>
    <n v="8"/>
    <n v="4"/>
    <s v="Other"/>
    <n v="1"/>
    <x v="334"/>
    <n v="4"/>
    <x v="2"/>
    <x v="1"/>
    <n v="75"/>
    <n v="3"/>
    <n v="2"/>
    <x v="1"/>
    <n v="4"/>
    <x v="0"/>
    <s v="Married"/>
    <x v="326"/>
    <x v="1"/>
    <n v="9278"/>
    <n v="9"/>
    <s v="Y"/>
    <x v="1"/>
    <n v="14"/>
    <x v="0"/>
    <x v="0"/>
    <n v="1"/>
    <n v="80"/>
    <n v="2"/>
    <n v="12"/>
    <n v="3"/>
    <n v="3"/>
    <x v="1"/>
    <n v="9"/>
    <n v="9"/>
    <n v="8"/>
    <n v="2"/>
    <x v="1"/>
    <s v=""/>
    <s v=""/>
    <s v=""/>
  </r>
  <r>
    <x v="32"/>
    <x v="0"/>
    <x v="1"/>
    <n v="0"/>
    <s v="Travel_Rarely"/>
    <n v="1124"/>
    <x v="0"/>
    <n v="1"/>
    <n v="2"/>
    <s v="Medical"/>
    <n v="1"/>
    <x v="335"/>
    <n v="2"/>
    <x v="0"/>
    <x v="1"/>
    <n v="57"/>
    <n v="1"/>
    <n v="2"/>
    <x v="0"/>
    <n v="4"/>
    <x v="0"/>
    <s v="Married"/>
    <x v="327"/>
    <x v="0"/>
    <n v="13273"/>
    <n v="2"/>
    <s v="Y"/>
    <x v="0"/>
    <n v="22"/>
    <x v="1"/>
    <x v="1"/>
    <n v="3"/>
    <n v="80"/>
    <n v="3"/>
    <n v="6"/>
    <n v="2"/>
    <n v="2"/>
    <x v="9"/>
    <n v="3"/>
    <n v="0"/>
    <n v="2"/>
    <n v="3"/>
    <x v="2"/>
    <s v=""/>
    <s v=""/>
    <s v=""/>
  </r>
  <r>
    <x v="11"/>
    <x v="2"/>
    <x v="0"/>
    <n v="1"/>
    <s v="Travel_Rarely"/>
    <n v="318"/>
    <x v="1"/>
    <n v="8"/>
    <n v="4"/>
    <s v="Other"/>
    <n v="1"/>
    <x v="336"/>
    <n v="2"/>
    <x v="0"/>
    <x v="1"/>
    <n v="77"/>
    <n v="1"/>
    <n v="1"/>
    <x v="2"/>
    <n v="1"/>
    <x v="3"/>
    <s v="Married"/>
    <x v="328"/>
    <x v="1"/>
    <n v="4759"/>
    <n v="1"/>
    <s v="Y"/>
    <x v="0"/>
    <n v="11"/>
    <x v="0"/>
    <x v="0"/>
    <n v="4"/>
    <n v="80"/>
    <n v="0"/>
    <n v="7"/>
    <n v="4"/>
    <n v="2"/>
    <x v="5"/>
    <n v="7"/>
    <n v="0"/>
    <n v="7"/>
    <s v=""/>
    <x v="0"/>
    <s v=""/>
    <s v=""/>
    <s v=""/>
  </r>
  <r>
    <x v="11"/>
    <x v="2"/>
    <x v="1"/>
    <n v="0"/>
    <s v="Travel_Rarely"/>
    <n v="738"/>
    <x v="1"/>
    <n v="9"/>
    <n v="5"/>
    <s v="Other"/>
    <n v="1"/>
    <x v="337"/>
    <n v="2"/>
    <x v="0"/>
    <x v="1"/>
    <n v="30"/>
    <n v="2"/>
    <n v="1"/>
    <x v="2"/>
    <n v="4"/>
    <x v="0"/>
    <s v="Single"/>
    <x v="329"/>
    <x v="1"/>
    <n v="7621"/>
    <n v="0"/>
    <s v="Y"/>
    <x v="1"/>
    <n v="17"/>
    <x v="2"/>
    <x v="0"/>
    <n v="3"/>
    <n v="80"/>
    <n v="0"/>
    <n v="4"/>
    <n v="2"/>
    <n v="3"/>
    <x v="11"/>
    <n v="2"/>
    <n v="2"/>
    <n v="2"/>
    <n v="4"/>
    <x v="2"/>
    <s v=""/>
    <s v=""/>
    <s v=""/>
  </r>
  <r>
    <x v="7"/>
    <x v="2"/>
    <x v="1"/>
    <n v="0"/>
    <s v="Travel_Rarely"/>
    <n v="570"/>
    <x v="0"/>
    <n v="5"/>
    <n v="3"/>
    <s v="Marketing"/>
    <n v="1"/>
    <x v="338"/>
    <n v="4"/>
    <x v="2"/>
    <x v="0"/>
    <n v="30"/>
    <n v="2"/>
    <n v="2"/>
    <x v="0"/>
    <n v="3"/>
    <x v="2"/>
    <s v="Divorced"/>
    <x v="330"/>
    <x v="0"/>
    <n v="5431"/>
    <n v="1"/>
    <s v="Y"/>
    <x v="1"/>
    <n v="13"/>
    <x v="0"/>
    <x v="0"/>
    <n v="3"/>
    <n v="80"/>
    <n v="3"/>
    <n v="10"/>
    <n v="2"/>
    <n v="3"/>
    <x v="1"/>
    <n v="9"/>
    <n v="1"/>
    <n v="2"/>
    <n v="2"/>
    <x v="1"/>
    <s v=""/>
    <s v=""/>
    <s v=""/>
  </r>
  <r>
    <x v="4"/>
    <x v="2"/>
    <x v="1"/>
    <n v="0"/>
    <s v="Travel_Rarely"/>
    <n v="1130"/>
    <x v="0"/>
    <n v="8"/>
    <n v="4"/>
    <s v="Marketing"/>
    <n v="1"/>
    <x v="339"/>
    <n v="2"/>
    <x v="0"/>
    <x v="0"/>
    <n v="56"/>
    <n v="3"/>
    <n v="2"/>
    <x v="0"/>
    <n v="2"/>
    <x v="1"/>
    <s v="Married"/>
    <x v="331"/>
    <x v="0"/>
    <n v="3415"/>
    <n v="1"/>
    <s v="Y"/>
    <x v="1"/>
    <n v="18"/>
    <x v="2"/>
    <x v="0"/>
    <n v="1"/>
    <n v="80"/>
    <n v="1"/>
    <n v="8"/>
    <n v="3"/>
    <n v="3"/>
    <x v="3"/>
    <n v="7"/>
    <n v="0"/>
    <n v="7"/>
    <n v="2"/>
    <x v="1"/>
    <s v=""/>
    <s v=""/>
    <s v=""/>
  </r>
  <r>
    <x v="2"/>
    <x v="0"/>
    <x v="1"/>
    <n v="0"/>
    <s v="Travel_Rarely"/>
    <n v="1192"/>
    <x v="1"/>
    <n v="5"/>
    <n v="2"/>
    <s v="Medical"/>
    <n v="1"/>
    <x v="340"/>
    <n v="4"/>
    <x v="2"/>
    <x v="1"/>
    <n v="61"/>
    <n v="3"/>
    <n v="2"/>
    <x v="3"/>
    <n v="4"/>
    <x v="0"/>
    <s v="Divorced"/>
    <x v="136"/>
    <x v="0"/>
    <n v="23177"/>
    <n v="7"/>
    <s v="Y"/>
    <x v="1"/>
    <n v="16"/>
    <x v="2"/>
    <x v="0"/>
    <n v="3"/>
    <n v="80"/>
    <n v="2"/>
    <n v="8"/>
    <n v="2"/>
    <n v="2"/>
    <x v="0"/>
    <n v="2"/>
    <n v="0"/>
    <n v="4"/>
    <n v="1"/>
    <x v="1"/>
    <s v=""/>
    <s v=""/>
    <s v=""/>
  </r>
  <r>
    <x v="8"/>
    <x v="0"/>
    <x v="1"/>
    <n v="0"/>
    <s v="Travel_Rarely"/>
    <n v="343"/>
    <x v="1"/>
    <n v="15"/>
    <n v="2"/>
    <s v="Life Sciences"/>
    <n v="1"/>
    <x v="341"/>
    <n v="3"/>
    <x v="1"/>
    <x v="1"/>
    <n v="92"/>
    <n v="2"/>
    <n v="3"/>
    <x v="7"/>
    <n v="4"/>
    <x v="0"/>
    <s v="Divorced"/>
    <x v="332"/>
    <x v="2"/>
    <n v="15682"/>
    <n v="0"/>
    <s v="Y"/>
    <x v="0"/>
    <n v="14"/>
    <x v="0"/>
    <x v="0"/>
    <n v="2"/>
    <n v="80"/>
    <n v="1"/>
    <n v="12"/>
    <n v="3"/>
    <n v="3"/>
    <x v="19"/>
    <n v="10"/>
    <n v="2"/>
    <n v="9"/>
    <n v="2"/>
    <x v="1"/>
    <s v=""/>
    <s v=""/>
    <s v=""/>
  </r>
  <r>
    <x v="12"/>
    <x v="2"/>
    <x v="1"/>
    <n v="0"/>
    <s v="Travel_Rarely"/>
    <n v="1232"/>
    <x v="1"/>
    <n v="7"/>
    <n v="4"/>
    <s v="Medical"/>
    <n v="1"/>
    <x v="342"/>
    <n v="3"/>
    <x v="1"/>
    <x v="0"/>
    <n v="39"/>
    <n v="3"/>
    <n v="3"/>
    <x v="3"/>
    <n v="4"/>
    <x v="0"/>
    <s v="Single"/>
    <x v="333"/>
    <x v="0"/>
    <n v="25713"/>
    <n v="1"/>
    <s v="Y"/>
    <x v="0"/>
    <n v="14"/>
    <x v="0"/>
    <x v="0"/>
    <n v="3"/>
    <n v="80"/>
    <n v="0"/>
    <n v="11"/>
    <n v="2"/>
    <n v="2"/>
    <x v="19"/>
    <n v="9"/>
    <n v="4"/>
    <n v="10"/>
    <n v="4"/>
    <x v="2"/>
    <s v=""/>
    <s v=""/>
    <s v=""/>
  </r>
  <r>
    <x v="11"/>
    <x v="2"/>
    <x v="1"/>
    <n v="0"/>
    <s v="Travel_Rarely"/>
    <n v="144"/>
    <x v="0"/>
    <n v="10"/>
    <n v="1"/>
    <s v="Marketing"/>
    <n v="1"/>
    <x v="343"/>
    <n v="4"/>
    <x v="2"/>
    <x v="0"/>
    <n v="39"/>
    <n v="2"/>
    <n v="2"/>
    <x v="0"/>
    <n v="2"/>
    <x v="1"/>
    <s v="Divorced"/>
    <x v="334"/>
    <x v="2"/>
    <n v="11866"/>
    <n v="1"/>
    <s v="Y"/>
    <x v="0"/>
    <n v="14"/>
    <x v="0"/>
    <x v="0"/>
    <n v="1"/>
    <n v="80"/>
    <n v="2"/>
    <n v="7"/>
    <n v="2"/>
    <n v="3"/>
    <x v="5"/>
    <n v="7"/>
    <n v="1"/>
    <n v="7"/>
    <n v="3"/>
    <x v="2"/>
    <s v=""/>
    <s v=""/>
    <s v=""/>
  </r>
  <r>
    <x v="10"/>
    <x v="0"/>
    <x v="1"/>
    <n v="0"/>
    <s v="Travel_Rarely"/>
    <n v="1296"/>
    <x v="1"/>
    <n v="5"/>
    <n v="4"/>
    <s v="Technical Degree"/>
    <n v="1"/>
    <x v="344"/>
    <n v="3"/>
    <x v="1"/>
    <x v="1"/>
    <n v="62"/>
    <n v="3"/>
    <n v="3"/>
    <x v="3"/>
    <n v="2"/>
    <x v="1"/>
    <s v="Single"/>
    <x v="335"/>
    <x v="2"/>
    <n v="18264"/>
    <n v="0"/>
    <s v="Y"/>
    <x v="1"/>
    <n v="13"/>
    <x v="0"/>
    <x v="0"/>
    <n v="4"/>
    <n v="80"/>
    <n v="0"/>
    <n v="17"/>
    <n v="5"/>
    <n v="3"/>
    <x v="22"/>
    <n v="6"/>
    <n v="0"/>
    <n v="13"/>
    <n v="0"/>
    <x v="1"/>
    <s v=""/>
    <s v=""/>
    <s v=""/>
  </r>
  <r>
    <x v="30"/>
    <x v="4"/>
    <x v="1"/>
    <n v="0"/>
    <s v="Travel_Rarely"/>
    <n v="1309"/>
    <x v="1"/>
    <n v="26"/>
    <n v="1"/>
    <s v="Life Sciences"/>
    <n v="1"/>
    <x v="345"/>
    <n v="3"/>
    <x v="1"/>
    <x v="1"/>
    <n v="83"/>
    <n v="3"/>
    <n v="1"/>
    <x v="1"/>
    <n v="4"/>
    <x v="0"/>
    <s v="Divorced"/>
    <x v="336"/>
    <x v="1"/>
    <n v="16092"/>
    <n v="1"/>
    <s v="Y"/>
    <x v="1"/>
    <n v="12"/>
    <x v="0"/>
    <x v="0"/>
    <n v="3"/>
    <n v="80"/>
    <n v="2"/>
    <n v="4"/>
    <n v="2"/>
    <n v="2"/>
    <x v="9"/>
    <n v="2"/>
    <n v="0"/>
    <n v="2"/>
    <n v="4"/>
    <x v="2"/>
    <s v=""/>
    <s v=""/>
    <s v=""/>
  </r>
  <r>
    <x v="0"/>
    <x v="0"/>
    <x v="1"/>
    <n v="0"/>
    <s v="Travel_Rarely"/>
    <n v="483"/>
    <x v="1"/>
    <n v="6"/>
    <n v="3"/>
    <s v="Medical"/>
    <n v="1"/>
    <x v="346"/>
    <n v="4"/>
    <x v="2"/>
    <x v="1"/>
    <n v="95"/>
    <n v="2"/>
    <n v="2"/>
    <x v="3"/>
    <n v="2"/>
    <x v="1"/>
    <s v="Single"/>
    <x v="337"/>
    <x v="0"/>
    <n v="10110"/>
    <n v="6"/>
    <s v="Y"/>
    <x v="0"/>
    <n v="15"/>
    <x v="0"/>
    <x v="0"/>
    <n v="4"/>
    <n v="80"/>
    <n v="0"/>
    <n v="8"/>
    <n v="3"/>
    <n v="3"/>
    <x v="8"/>
    <n v="4"/>
    <n v="1"/>
    <n v="2"/>
    <n v="3"/>
    <x v="2"/>
    <s v=""/>
    <s v=""/>
    <s v=""/>
  </r>
  <r>
    <x v="40"/>
    <x v="1"/>
    <x v="1"/>
    <n v="0"/>
    <s v="Travel_Frequently"/>
    <n v="1309"/>
    <x v="0"/>
    <n v="4"/>
    <n v="1"/>
    <s v="Medical"/>
    <n v="1"/>
    <x v="347"/>
    <n v="2"/>
    <x v="0"/>
    <x v="1"/>
    <n v="99"/>
    <n v="3"/>
    <n v="2"/>
    <x v="6"/>
    <n v="3"/>
    <x v="2"/>
    <s v="Single"/>
    <x v="338"/>
    <x v="1"/>
    <n v="25751"/>
    <n v="3"/>
    <s v="Y"/>
    <x v="1"/>
    <n v="19"/>
    <x v="2"/>
    <x v="0"/>
    <n v="1"/>
    <n v="80"/>
    <n v="0"/>
    <n v="5"/>
    <n v="3"/>
    <n v="3"/>
    <x v="2"/>
    <n v="0"/>
    <n v="0"/>
    <n v="0"/>
    <n v="4"/>
    <x v="2"/>
    <s v=""/>
    <s v=""/>
    <s v=""/>
  </r>
  <r>
    <x v="19"/>
    <x v="0"/>
    <x v="1"/>
    <n v="0"/>
    <s v="Travel_Rarely"/>
    <n v="810"/>
    <x v="1"/>
    <n v="23"/>
    <n v="5"/>
    <s v="Life Sciences"/>
    <n v="1"/>
    <x v="348"/>
    <n v="1"/>
    <x v="3"/>
    <x v="0"/>
    <n v="44"/>
    <n v="3"/>
    <n v="4"/>
    <x v="7"/>
    <n v="4"/>
    <x v="0"/>
    <s v="Single"/>
    <x v="339"/>
    <x v="3"/>
    <n v="15901"/>
    <n v="2"/>
    <s v="Y"/>
    <x v="1"/>
    <n v="14"/>
    <x v="0"/>
    <x v="0"/>
    <n v="2"/>
    <n v="80"/>
    <n v="0"/>
    <n v="16"/>
    <n v="2"/>
    <n v="3"/>
    <x v="6"/>
    <n v="0"/>
    <n v="0"/>
    <n v="0"/>
    <n v="0"/>
    <x v="1"/>
    <s v=""/>
    <s v=""/>
    <s v=""/>
  </r>
  <r>
    <x v="11"/>
    <x v="2"/>
    <x v="1"/>
    <n v="0"/>
    <s v="Non-Travel"/>
    <n v="746"/>
    <x v="0"/>
    <n v="2"/>
    <n v="3"/>
    <s v="Life Sciences"/>
    <n v="1"/>
    <x v="349"/>
    <n v="4"/>
    <x v="2"/>
    <x v="1"/>
    <n v="61"/>
    <n v="3"/>
    <n v="2"/>
    <x v="0"/>
    <n v="3"/>
    <x v="2"/>
    <s v="Married"/>
    <x v="340"/>
    <x v="0"/>
    <n v="16928"/>
    <n v="1"/>
    <s v="Y"/>
    <x v="1"/>
    <n v="14"/>
    <x v="0"/>
    <x v="0"/>
    <n v="1"/>
    <n v="80"/>
    <n v="1"/>
    <n v="4"/>
    <n v="3"/>
    <n v="2"/>
    <x v="9"/>
    <n v="3"/>
    <n v="0"/>
    <n v="2"/>
    <n v="2"/>
    <x v="1"/>
    <s v=""/>
    <s v=""/>
    <s v=""/>
  </r>
  <r>
    <x v="19"/>
    <x v="0"/>
    <x v="1"/>
    <n v="0"/>
    <s v="Travel_Rarely"/>
    <n v="544"/>
    <x v="2"/>
    <n v="2"/>
    <n v="1"/>
    <s v="Technical Degree"/>
    <n v="1"/>
    <x v="350"/>
    <n v="3"/>
    <x v="1"/>
    <x v="1"/>
    <n v="52"/>
    <n v="3"/>
    <n v="1"/>
    <x v="8"/>
    <n v="3"/>
    <x v="2"/>
    <s v="Divorced"/>
    <x v="341"/>
    <x v="1"/>
    <n v="24017"/>
    <n v="0"/>
    <s v="Y"/>
    <x v="0"/>
    <n v="11"/>
    <x v="0"/>
    <x v="0"/>
    <n v="3"/>
    <n v="80"/>
    <n v="1"/>
    <n v="4"/>
    <n v="5"/>
    <n v="3"/>
    <x v="11"/>
    <n v="2"/>
    <n v="1"/>
    <n v="0"/>
    <n v="5"/>
    <x v="2"/>
    <s v=""/>
    <s v=""/>
    <s v=""/>
  </r>
  <r>
    <x v="5"/>
    <x v="2"/>
    <x v="1"/>
    <n v="0"/>
    <s v="Travel_Rarely"/>
    <n v="1062"/>
    <x v="1"/>
    <n v="2"/>
    <n v="3"/>
    <s v="Medical"/>
    <n v="1"/>
    <x v="351"/>
    <n v="3"/>
    <x v="1"/>
    <x v="0"/>
    <n v="75"/>
    <n v="3"/>
    <n v="1"/>
    <x v="2"/>
    <n v="2"/>
    <x v="1"/>
    <s v="Married"/>
    <x v="342"/>
    <x v="1"/>
    <n v="3956"/>
    <n v="1"/>
    <s v="Y"/>
    <x v="1"/>
    <n v="13"/>
    <x v="0"/>
    <x v="0"/>
    <n v="3"/>
    <n v="80"/>
    <n v="1"/>
    <n v="8"/>
    <n v="4"/>
    <n v="3"/>
    <x v="3"/>
    <n v="0"/>
    <n v="0"/>
    <n v="7"/>
    <n v="4"/>
    <x v="2"/>
    <s v=""/>
    <s v=""/>
    <s v=""/>
  </r>
  <r>
    <x v="26"/>
    <x v="1"/>
    <x v="1"/>
    <n v="0"/>
    <s v="Travel_Rarely"/>
    <n v="530"/>
    <x v="0"/>
    <n v="29"/>
    <n v="1"/>
    <s v="Medical"/>
    <n v="1"/>
    <x v="352"/>
    <n v="1"/>
    <x v="3"/>
    <x v="0"/>
    <n v="91"/>
    <n v="3"/>
    <n v="3"/>
    <x v="5"/>
    <n v="3"/>
    <x v="2"/>
    <s v="Married"/>
    <x v="343"/>
    <x v="3"/>
    <n v="23978"/>
    <n v="3"/>
    <s v="Y"/>
    <x v="1"/>
    <n v="21"/>
    <x v="1"/>
    <x v="1"/>
    <n v="2"/>
    <n v="80"/>
    <n v="1"/>
    <n v="15"/>
    <n v="3"/>
    <n v="1"/>
    <x v="2"/>
    <n v="0"/>
    <n v="0"/>
    <n v="0"/>
    <n v="0"/>
    <x v="1"/>
    <s v=""/>
    <s v=""/>
    <s v=""/>
  </r>
  <r>
    <x v="2"/>
    <x v="0"/>
    <x v="1"/>
    <n v="0"/>
    <s v="Travel_Rarely"/>
    <n v="1319"/>
    <x v="1"/>
    <n v="6"/>
    <n v="3"/>
    <s v="Medical"/>
    <n v="1"/>
    <x v="353"/>
    <n v="3"/>
    <x v="1"/>
    <x v="1"/>
    <n v="51"/>
    <n v="4"/>
    <n v="2"/>
    <x v="1"/>
    <n v="1"/>
    <x v="3"/>
    <s v="Divorced"/>
    <x v="344"/>
    <x v="0"/>
    <n v="17001"/>
    <n v="4"/>
    <s v="Y"/>
    <x v="0"/>
    <n v="13"/>
    <x v="0"/>
    <x v="0"/>
    <n v="1"/>
    <n v="80"/>
    <n v="2"/>
    <n v="13"/>
    <n v="2"/>
    <n v="3"/>
    <x v="5"/>
    <n v="7"/>
    <n v="6"/>
    <n v="7"/>
    <n v="5"/>
    <x v="2"/>
    <s v=""/>
    <s v=""/>
    <s v=""/>
  </r>
  <r>
    <x v="7"/>
    <x v="2"/>
    <x v="1"/>
    <n v="0"/>
    <s v="Non-Travel"/>
    <n v="641"/>
    <x v="0"/>
    <n v="25"/>
    <n v="2"/>
    <s v="Technical Degree"/>
    <n v="1"/>
    <x v="354"/>
    <n v="4"/>
    <x v="2"/>
    <x v="0"/>
    <n v="85"/>
    <n v="3"/>
    <n v="2"/>
    <x v="0"/>
    <n v="3"/>
    <x v="2"/>
    <s v="Married"/>
    <x v="345"/>
    <x v="0"/>
    <n v="6069"/>
    <n v="7"/>
    <s v="Y"/>
    <x v="0"/>
    <n v="12"/>
    <x v="0"/>
    <x v="0"/>
    <n v="2"/>
    <n v="80"/>
    <n v="1"/>
    <n v="4"/>
    <n v="2"/>
    <n v="4"/>
    <x v="4"/>
    <n v="2"/>
    <n v="2"/>
    <n v="2"/>
    <n v="4"/>
    <x v="2"/>
    <s v=""/>
    <s v=""/>
    <s v=""/>
  </r>
  <r>
    <x v="25"/>
    <x v="2"/>
    <x v="1"/>
    <n v="0"/>
    <s v="Travel_Rarely"/>
    <n v="933"/>
    <x v="0"/>
    <n v="1"/>
    <n v="3"/>
    <s v="Life Sciences"/>
    <n v="1"/>
    <x v="355"/>
    <n v="3"/>
    <x v="1"/>
    <x v="1"/>
    <n v="57"/>
    <n v="3"/>
    <n v="2"/>
    <x v="0"/>
    <n v="3"/>
    <x v="2"/>
    <s v="Married"/>
    <x v="346"/>
    <x v="0"/>
    <n v="20156"/>
    <n v="1"/>
    <s v="Y"/>
    <x v="1"/>
    <n v="17"/>
    <x v="2"/>
    <x v="0"/>
    <n v="2"/>
    <n v="80"/>
    <n v="1"/>
    <n v="8"/>
    <n v="3"/>
    <n v="3"/>
    <x v="3"/>
    <n v="7"/>
    <n v="7"/>
    <n v="7"/>
    <n v="2"/>
    <x v="1"/>
    <s v=""/>
    <s v=""/>
    <s v=""/>
  </r>
  <r>
    <x v="19"/>
    <x v="0"/>
    <x v="1"/>
    <n v="0"/>
    <s v="Travel_Rarely"/>
    <n v="1332"/>
    <x v="1"/>
    <n v="2"/>
    <n v="4"/>
    <s v="Other"/>
    <n v="1"/>
    <x v="356"/>
    <n v="1"/>
    <x v="3"/>
    <x v="1"/>
    <n v="98"/>
    <n v="2"/>
    <n v="2"/>
    <x v="4"/>
    <n v="4"/>
    <x v="0"/>
    <s v="Single"/>
    <x v="347"/>
    <x v="0"/>
    <n v="17078"/>
    <n v="3"/>
    <s v="Y"/>
    <x v="1"/>
    <n v="23"/>
    <x v="1"/>
    <x v="1"/>
    <n v="2"/>
    <n v="80"/>
    <n v="0"/>
    <n v="14"/>
    <n v="6"/>
    <n v="3"/>
    <x v="6"/>
    <n v="0"/>
    <n v="0"/>
    <n v="0"/>
    <n v="1"/>
    <x v="1"/>
    <s v=""/>
    <s v=""/>
    <s v=""/>
  </r>
  <r>
    <x v="18"/>
    <x v="4"/>
    <x v="0"/>
    <n v="1"/>
    <s v="Travel_Frequently"/>
    <n v="756"/>
    <x v="0"/>
    <n v="1"/>
    <n v="1"/>
    <s v="Technical Degree"/>
    <n v="1"/>
    <x v="357"/>
    <n v="1"/>
    <x v="3"/>
    <x v="0"/>
    <n v="99"/>
    <n v="2"/>
    <n v="1"/>
    <x v="6"/>
    <n v="2"/>
    <x v="1"/>
    <s v="Single"/>
    <x v="348"/>
    <x v="1"/>
    <n v="9150"/>
    <n v="1"/>
    <s v="Y"/>
    <x v="0"/>
    <n v="11"/>
    <x v="0"/>
    <x v="0"/>
    <n v="3"/>
    <n v="80"/>
    <n v="0"/>
    <n v="3"/>
    <n v="3"/>
    <n v="3"/>
    <x v="11"/>
    <n v="2"/>
    <n v="1"/>
    <n v="2"/>
    <s v=""/>
    <x v="0"/>
    <s v=""/>
    <s v=""/>
    <s v=""/>
  </r>
  <r>
    <x v="9"/>
    <x v="0"/>
    <x v="1"/>
    <n v="0"/>
    <s v="Non-Travel"/>
    <n v="845"/>
    <x v="0"/>
    <n v="1"/>
    <n v="5"/>
    <s v="Medical"/>
    <n v="1"/>
    <x v="358"/>
    <n v="4"/>
    <x v="2"/>
    <x v="0"/>
    <n v="45"/>
    <n v="3"/>
    <n v="2"/>
    <x v="0"/>
    <n v="4"/>
    <x v="0"/>
    <s v="Single"/>
    <x v="349"/>
    <x v="0"/>
    <n v="15276"/>
    <n v="4"/>
    <s v="Y"/>
    <x v="1"/>
    <n v="15"/>
    <x v="0"/>
    <x v="0"/>
    <n v="2"/>
    <n v="80"/>
    <n v="0"/>
    <n v="7"/>
    <n v="6"/>
    <n v="3"/>
    <x v="6"/>
    <n v="0"/>
    <n v="0"/>
    <n v="0"/>
    <n v="1"/>
    <x v="1"/>
    <s v=""/>
    <s v=""/>
    <s v=""/>
  </r>
  <r>
    <x v="9"/>
    <x v="0"/>
    <x v="1"/>
    <n v="0"/>
    <s v="Travel_Frequently"/>
    <n v="541"/>
    <x v="0"/>
    <n v="3"/>
    <n v="4"/>
    <s v="Medical"/>
    <n v="1"/>
    <x v="359"/>
    <n v="1"/>
    <x v="3"/>
    <x v="1"/>
    <n v="48"/>
    <n v="2"/>
    <n v="3"/>
    <x v="0"/>
    <n v="4"/>
    <x v="0"/>
    <s v="Married"/>
    <x v="350"/>
    <x v="2"/>
    <n v="7246"/>
    <n v="4"/>
    <s v="Y"/>
    <x v="1"/>
    <n v="11"/>
    <x v="0"/>
    <x v="0"/>
    <n v="1"/>
    <n v="80"/>
    <n v="1"/>
    <n v="16"/>
    <n v="2"/>
    <n v="3"/>
    <x v="20"/>
    <n v="9"/>
    <n v="1"/>
    <n v="12"/>
    <n v="0"/>
    <x v="1"/>
    <s v=""/>
    <s v=""/>
    <s v=""/>
  </r>
  <r>
    <x v="38"/>
    <x v="3"/>
    <x v="1"/>
    <n v="0"/>
    <s v="Travel_Rarely"/>
    <n v="593"/>
    <x v="1"/>
    <n v="1"/>
    <n v="4"/>
    <s v="Medical"/>
    <n v="1"/>
    <x v="360"/>
    <n v="4"/>
    <x v="2"/>
    <x v="1"/>
    <n v="88"/>
    <n v="3"/>
    <n v="2"/>
    <x v="4"/>
    <n v="3"/>
    <x v="2"/>
    <s v="Married"/>
    <x v="351"/>
    <x v="0"/>
    <n v="2967"/>
    <n v="2"/>
    <s v="Y"/>
    <x v="1"/>
    <n v="11"/>
    <x v="0"/>
    <x v="0"/>
    <n v="3"/>
    <n v="80"/>
    <n v="0"/>
    <n v="15"/>
    <n v="2"/>
    <n v="3"/>
    <x v="11"/>
    <n v="2"/>
    <n v="1"/>
    <n v="2"/>
    <n v="1"/>
    <x v="1"/>
    <s v=""/>
    <s v=""/>
    <s v=""/>
  </r>
  <r>
    <x v="32"/>
    <x v="0"/>
    <x v="1"/>
    <n v="0"/>
    <s v="Travel_Rarely"/>
    <n v="1171"/>
    <x v="1"/>
    <n v="10"/>
    <n v="4"/>
    <s v="Life Sciences"/>
    <n v="1"/>
    <x v="361"/>
    <n v="4"/>
    <x v="2"/>
    <x v="0"/>
    <n v="46"/>
    <n v="4"/>
    <n v="1"/>
    <x v="2"/>
    <n v="3"/>
    <x v="2"/>
    <s v="Married"/>
    <x v="352"/>
    <x v="1"/>
    <n v="22495"/>
    <n v="3"/>
    <s v="Y"/>
    <x v="0"/>
    <n v="13"/>
    <x v="0"/>
    <x v="0"/>
    <n v="3"/>
    <n v="80"/>
    <n v="1"/>
    <n v="10"/>
    <n v="3"/>
    <n v="3"/>
    <x v="5"/>
    <n v="7"/>
    <n v="1"/>
    <n v="7"/>
    <n v="5"/>
    <x v="2"/>
    <s v=""/>
    <s v=""/>
    <s v=""/>
  </r>
  <r>
    <x v="18"/>
    <x v="4"/>
    <x v="1"/>
    <n v="0"/>
    <s v="Non-Travel"/>
    <n v="895"/>
    <x v="0"/>
    <n v="9"/>
    <n v="2"/>
    <s v="Medical"/>
    <n v="1"/>
    <x v="362"/>
    <n v="1"/>
    <x v="3"/>
    <x v="1"/>
    <n v="39"/>
    <n v="3"/>
    <n v="1"/>
    <x v="6"/>
    <n v="4"/>
    <x v="0"/>
    <s v="Single"/>
    <x v="353"/>
    <x v="1"/>
    <n v="2851"/>
    <n v="1"/>
    <s v="Y"/>
    <x v="1"/>
    <n v="24"/>
    <x v="1"/>
    <x v="1"/>
    <n v="3"/>
    <n v="80"/>
    <n v="0"/>
    <n v="3"/>
    <n v="3"/>
    <n v="2"/>
    <x v="11"/>
    <n v="2"/>
    <n v="2"/>
    <n v="2"/>
    <n v="6"/>
    <x v="3"/>
    <n v="31"/>
    <s v=""/>
    <n v="59516"/>
  </r>
  <r>
    <x v="3"/>
    <x v="2"/>
    <x v="0"/>
    <n v="1"/>
    <s v="Travel_Rarely"/>
    <n v="350"/>
    <x v="0"/>
    <n v="5"/>
    <n v="3"/>
    <s v="Marketing"/>
    <n v="1"/>
    <x v="363"/>
    <n v="4"/>
    <x v="2"/>
    <x v="0"/>
    <n v="34"/>
    <n v="3"/>
    <n v="1"/>
    <x v="6"/>
    <n v="3"/>
    <x v="2"/>
    <s v="Single"/>
    <x v="354"/>
    <x v="1"/>
    <n v="9150"/>
    <n v="1"/>
    <s v="Y"/>
    <x v="0"/>
    <n v="13"/>
    <x v="0"/>
    <x v="0"/>
    <n v="2"/>
    <n v="80"/>
    <n v="0"/>
    <n v="1"/>
    <n v="2"/>
    <n v="3"/>
    <x v="6"/>
    <n v="0"/>
    <n v="0"/>
    <n v="0"/>
    <s v=""/>
    <x v="0"/>
    <s v=""/>
    <s v=""/>
    <s v=""/>
  </r>
  <r>
    <x v="2"/>
    <x v="0"/>
    <x v="1"/>
    <n v="0"/>
    <s v="Travel_Rarely"/>
    <n v="921"/>
    <x v="1"/>
    <n v="10"/>
    <n v="3"/>
    <s v="Medical"/>
    <n v="1"/>
    <x v="364"/>
    <n v="3"/>
    <x v="1"/>
    <x v="0"/>
    <n v="98"/>
    <n v="3"/>
    <n v="1"/>
    <x v="2"/>
    <n v="1"/>
    <x v="3"/>
    <s v="Married"/>
    <x v="138"/>
    <x v="1"/>
    <n v="17663"/>
    <n v="6"/>
    <s v="Y"/>
    <x v="1"/>
    <n v="20"/>
    <x v="2"/>
    <x v="1"/>
    <n v="2"/>
    <n v="80"/>
    <n v="1"/>
    <n v="17"/>
    <n v="3"/>
    <n v="3"/>
    <x v="8"/>
    <n v="4"/>
    <n v="0"/>
    <n v="3"/>
    <n v="5"/>
    <x v="2"/>
    <s v=""/>
    <s v=""/>
    <s v=""/>
  </r>
  <r>
    <x v="21"/>
    <x v="1"/>
    <x v="1"/>
    <n v="0"/>
    <s v="Non-Travel"/>
    <n v="1144"/>
    <x v="1"/>
    <n v="7"/>
    <n v="4"/>
    <s v="Medical"/>
    <n v="1"/>
    <x v="365"/>
    <n v="3"/>
    <x v="1"/>
    <x v="0"/>
    <n v="30"/>
    <n v="3"/>
    <n v="2"/>
    <x v="3"/>
    <n v="3"/>
    <x v="2"/>
    <s v="Married"/>
    <x v="355"/>
    <x v="0"/>
    <n v="16044"/>
    <n v="2"/>
    <s v="Y"/>
    <x v="1"/>
    <n v="14"/>
    <x v="0"/>
    <x v="0"/>
    <n v="3"/>
    <n v="80"/>
    <n v="0"/>
    <n v="7"/>
    <n v="2"/>
    <n v="4"/>
    <x v="6"/>
    <n v="0"/>
    <n v="0"/>
    <n v="0"/>
    <n v="1"/>
    <x v="1"/>
    <s v=""/>
    <s v=""/>
    <s v=""/>
  </r>
  <r>
    <x v="0"/>
    <x v="0"/>
    <x v="0"/>
    <n v="1"/>
    <s v="Travel_Frequently"/>
    <n v="143"/>
    <x v="0"/>
    <n v="4"/>
    <n v="3"/>
    <s v="Marketing"/>
    <n v="1"/>
    <x v="366"/>
    <n v="1"/>
    <x v="3"/>
    <x v="1"/>
    <n v="56"/>
    <n v="3"/>
    <n v="2"/>
    <x v="0"/>
    <n v="2"/>
    <x v="1"/>
    <s v="Single"/>
    <x v="356"/>
    <x v="2"/>
    <n v="9558"/>
    <n v="1"/>
    <s v="Y"/>
    <x v="1"/>
    <n v="18"/>
    <x v="2"/>
    <x v="0"/>
    <n v="3"/>
    <n v="80"/>
    <n v="0"/>
    <n v="8"/>
    <n v="5"/>
    <n v="3"/>
    <x v="3"/>
    <n v="7"/>
    <n v="7"/>
    <n v="7"/>
    <s v=""/>
    <x v="0"/>
    <s v=""/>
    <s v=""/>
    <s v=""/>
  </r>
  <r>
    <x v="24"/>
    <x v="1"/>
    <x v="1"/>
    <n v="0"/>
    <s v="Travel_Rarely"/>
    <n v="1046"/>
    <x v="1"/>
    <n v="10"/>
    <n v="3"/>
    <s v="Technical Degree"/>
    <n v="1"/>
    <x v="367"/>
    <n v="4"/>
    <x v="2"/>
    <x v="1"/>
    <n v="100"/>
    <n v="2"/>
    <n v="3"/>
    <x v="4"/>
    <n v="4"/>
    <x v="0"/>
    <s v="Single"/>
    <x v="357"/>
    <x v="2"/>
    <n v="2755"/>
    <n v="6"/>
    <s v="Y"/>
    <x v="1"/>
    <n v="15"/>
    <x v="0"/>
    <x v="0"/>
    <n v="4"/>
    <n v="80"/>
    <n v="0"/>
    <n v="20"/>
    <n v="2"/>
    <n v="3"/>
    <x v="9"/>
    <n v="3"/>
    <n v="1"/>
    <n v="3"/>
    <n v="0"/>
    <x v="1"/>
    <s v=""/>
    <s v=""/>
    <s v=""/>
  </r>
  <r>
    <x v="32"/>
    <x v="0"/>
    <x v="0"/>
    <n v="1"/>
    <s v="Travel_Rarely"/>
    <n v="575"/>
    <x v="0"/>
    <n v="22"/>
    <n v="2"/>
    <s v="Marketing"/>
    <n v="1"/>
    <x v="368"/>
    <n v="3"/>
    <x v="1"/>
    <x v="1"/>
    <n v="68"/>
    <n v="2"/>
    <n v="2"/>
    <x v="0"/>
    <n v="3"/>
    <x v="2"/>
    <s v="Married"/>
    <x v="358"/>
    <x v="0"/>
    <n v="6110"/>
    <n v="2"/>
    <s v="Y"/>
    <x v="0"/>
    <n v="12"/>
    <x v="0"/>
    <x v="0"/>
    <n v="1"/>
    <n v="80"/>
    <n v="2"/>
    <n v="8"/>
    <n v="6"/>
    <n v="3"/>
    <x v="0"/>
    <n v="4"/>
    <n v="1"/>
    <n v="0"/>
    <s v=""/>
    <x v="0"/>
    <s v=""/>
    <s v=""/>
    <s v=""/>
  </r>
  <r>
    <x v="12"/>
    <x v="2"/>
    <x v="1"/>
    <n v="0"/>
    <s v="Travel_Rarely"/>
    <n v="408"/>
    <x v="1"/>
    <n v="9"/>
    <n v="4"/>
    <s v="Life Sciences"/>
    <n v="1"/>
    <x v="369"/>
    <n v="3"/>
    <x v="1"/>
    <x v="1"/>
    <n v="42"/>
    <n v="2"/>
    <n v="1"/>
    <x v="1"/>
    <n v="2"/>
    <x v="1"/>
    <s v="Single"/>
    <x v="210"/>
    <x v="1"/>
    <n v="7551"/>
    <n v="0"/>
    <s v="Y"/>
    <x v="0"/>
    <n v="16"/>
    <x v="2"/>
    <x v="0"/>
    <n v="4"/>
    <n v="80"/>
    <n v="0"/>
    <n v="3"/>
    <n v="5"/>
    <n v="3"/>
    <x v="4"/>
    <n v="2"/>
    <n v="2"/>
    <n v="2"/>
    <n v="5"/>
    <x v="2"/>
    <s v=""/>
    <s v=""/>
    <s v=""/>
  </r>
  <r>
    <x v="18"/>
    <x v="4"/>
    <x v="0"/>
    <n v="1"/>
    <s v="Travel_Rarely"/>
    <n v="156"/>
    <x v="0"/>
    <n v="12"/>
    <n v="3"/>
    <s v="Life Sciences"/>
    <n v="1"/>
    <x v="370"/>
    <n v="3"/>
    <x v="1"/>
    <x v="0"/>
    <n v="90"/>
    <n v="4"/>
    <n v="1"/>
    <x v="6"/>
    <n v="2"/>
    <x v="1"/>
    <s v="Single"/>
    <x v="359"/>
    <x v="1"/>
    <n v="25422"/>
    <n v="1"/>
    <s v="Y"/>
    <x v="1"/>
    <n v="15"/>
    <x v="0"/>
    <x v="0"/>
    <n v="4"/>
    <n v="80"/>
    <n v="0"/>
    <n v="1"/>
    <n v="0"/>
    <n v="3"/>
    <x v="6"/>
    <n v="0"/>
    <n v="0"/>
    <n v="0"/>
    <s v=""/>
    <x v="0"/>
    <s v=""/>
    <s v=""/>
    <s v=""/>
  </r>
  <r>
    <x v="11"/>
    <x v="2"/>
    <x v="1"/>
    <n v="0"/>
    <s v="Travel_Rarely"/>
    <n v="1283"/>
    <x v="1"/>
    <n v="23"/>
    <n v="3"/>
    <s v="Life Sciences"/>
    <n v="1"/>
    <x v="371"/>
    <n v="4"/>
    <x v="2"/>
    <x v="1"/>
    <n v="54"/>
    <n v="3"/>
    <n v="1"/>
    <x v="1"/>
    <n v="4"/>
    <x v="0"/>
    <s v="Single"/>
    <x v="360"/>
    <x v="1"/>
    <n v="18168"/>
    <n v="9"/>
    <s v="Y"/>
    <x v="1"/>
    <n v="16"/>
    <x v="2"/>
    <x v="0"/>
    <n v="4"/>
    <n v="80"/>
    <n v="0"/>
    <n v="6"/>
    <n v="4"/>
    <n v="3"/>
    <x v="11"/>
    <n v="2"/>
    <n v="1"/>
    <n v="2"/>
    <n v="3"/>
    <x v="2"/>
    <s v=""/>
    <s v=""/>
    <s v=""/>
  </r>
  <r>
    <x v="10"/>
    <x v="0"/>
    <x v="1"/>
    <n v="0"/>
    <s v="Travel_Rarely"/>
    <n v="755"/>
    <x v="1"/>
    <n v="9"/>
    <n v="4"/>
    <s v="Life Sciences"/>
    <n v="1"/>
    <x v="372"/>
    <n v="3"/>
    <x v="1"/>
    <x v="1"/>
    <n v="97"/>
    <n v="2"/>
    <n v="2"/>
    <x v="4"/>
    <n v="2"/>
    <x v="1"/>
    <s v="Single"/>
    <x v="361"/>
    <x v="0"/>
    <n v="19394"/>
    <n v="9"/>
    <s v="Y"/>
    <x v="1"/>
    <n v="19"/>
    <x v="2"/>
    <x v="0"/>
    <n v="3"/>
    <n v="80"/>
    <n v="0"/>
    <n v="10"/>
    <n v="5"/>
    <n v="3"/>
    <x v="6"/>
    <n v="1"/>
    <n v="0"/>
    <n v="0"/>
    <n v="1"/>
    <x v="1"/>
    <s v=""/>
    <s v=""/>
    <s v=""/>
  </r>
  <r>
    <x v="4"/>
    <x v="2"/>
    <x v="1"/>
    <n v="0"/>
    <s v="Travel_Rarely"/>
    <n v="1469"/>
    <x v="1"/>
    <n v="1"/>
    <n v="2"/>
    <s v="Medical"/>
    <n v="1"/>
    <x v="373"/>
    <n v="4"/>
    <x v="2"/>
    <x v="1"/>
    <n v="82"/>
    <n v="3"/>
    <n v="1"/>
    <x v="2"/>
    <n v="2"/>
    <x v="1"/>
    <s v="Divorced"/>
    <x v="362"/>
    <x v="1"/>
    <n v="17881"/>
    <n v="1"/>
    <s v="Y"/>
    <x v="1"/>
    <n v="11"/>
    <x v="0"/>
    <x v="0"/>
    <n v="2"/>
    <n v="80"/>
    <n v="1"/>
    <n v="5"/>
    <n v="2"/>
    <n v="3"/>
    <x v="8"/>
    <n v="2"/>
    <n v="0"/>
    <n v="4"/>
    <n v="4"/>
    <x v="2"/>
    <s v=""/>
    <s v=""/>
    <s v=""/>
  </r>
  <r>
    <x v="14"/>
    <x v="2"/>
    <x v="1"/>
    <n v="0"/>
    <s v="Travel_Rarely"/>
    <n v="304"/>
    <x v="0"/>
    <n v="9"/>
    <n v="4"/>
    <s v="Life Sciences"/>
    <n v="1"/>
    <x v="374"/>
    <n v="2"/>
    <x v="0"/>
    <x v="1"/>
    <n v="92"/>
    <n v="3"/>
    <n v="2"/>
    <x v="0"/>
    <n v="4"/>
    <x v="0"/>
    <s v="Single"/>
    <x v="363"/>
    <x v="0"/>
    <n v="20750"/>
    <n v="1"/>
    <s v="Y"/>
    <x v="1"/>
    <n v="16"/>
    <x v="2"/>
    <x v="0"/>
    <n v="4"/>
    <n v="80"/>
    <n v="0"/>
    <n v="7"/>
    <n v="1"/>
    <n v="3"/>
    <x v="5"/>
    <n v="5"/>
    <n v="0"/>
    <n v="7"/>
    <n v="2"/>
    <x v="1"/>
    <s v=""/>
    <s v=""/>
    <s v=""/>
  </r>
  <r>
    <x v="1"/>
    <x v="1"/>
    <x v="1"/>
    <n v="0"/>
    <s v="Travel_Rarely"/>
    <n v="1261"/>
    <x v="1"/>
    <n v="7"/>
    <n v="3"/>
    <s v="Other"/>
    <n v="1"/>
    <x v="375"/>
    <n v="2"/>
    <x v="0"/>
    <x v="1"/>
    <n v="31"/>
    <n v="2"/>
    <n v="3"/>
    <x v="4"/>
    <n v="3"/>
    <x v="2"/>
    <s v="Single"/>
    <x v="364"/>
    <x v="2"/>
    <n v="12066"/>
    <n v="8"/>
    <s v="Y"/>
    <x v="1"/>
    <n v="24"/>
    <x v="1"/>
    <x v="1"/>
    <n v="3"/>
    <n v="80"/>
    <n v="0"/>
    <n v="26"/>
    <n v="2"/>
    <n v="3"/>
    <x v="8"/>
    <n v="2"/>
    <n v="0"/>
    <n v="0"/>
    <n v="0"/>
    <x v="1"/>
    <s v=""/>
    <s v=""/>
    <s v=""/>
  </r>
  <r>
    <x v="31"/>
    <x v="1"/>
    <x v="1"/>
    <n v="0"/>
    <s v="Travel_Rarely"/>
    <n v="1178"/>
    <x v="0"/>
    <n v="14"/>
    <n v="2"/>
    <s v="Life Sciences"/>
    <n v="1"/>
    <x v="376"/>
    <n v="3"/>
    <x v="1"/>
    <x v="0"/>
    <n v="87"/>
    <n v="3"/>
    <n v="2"/>
    <x v="0"/>
    <n v="4"/>
    <x v="0"/>
    <s v="Married"/>
    <x v="365"/>
    <x v="0"/>
    <n v="14862"/>
    <n v="4"/>
    <s v="Y"/>
    <x v="1"/>
    <n v="11"/>
    <x v="0"/>
    <x v="0"/>
    <n v="3"/>
    <n v="80"/>
    <n v="1"/>
    <n v="18"/>
    <n v="2"/>
    <n v="2"/>
    <x v="5"/>
    <n v="7"/>
    <n v="0"/>
    <n v="7"/>
    <n v="1"/>
    <x v="1"/>
    <s v=""/>
    <s v=""/>
    <s v=""/>
  </r>
  <r>
    <x v="9"/>
    <x v="0"/>
    <x v="1"/>
    <n v="0"/>
    <s v="Travel_Rarely"/>
    <n v="329"/>
    <x v="1"/>
    <n v="2"/>
    <n v="3"/>
    <s v="Life Sciences"/>
    <n v="1"/>
    <x v="377"/>
    <n v="4"/>
    <x v="2"/>
    <x v="0"/>
    <n v="96"/>
    <n v="3"/>
    <n v="1"/>
    <x v="1"/>
    <n v="3"/>
    <x v="2"/>
    <s v="Married"/>
    <x v="366"/>
    <x v="1"/>
    <n v="11868"/>
    <n v="4"/>
    <s v="Y"/>
    <x v="1"/>
    <n v="13"/>
    <x v="0"/>
    <x v="0"/>
    <n v="2"/>
    <n v="80"/>
    <n v="1"/>
    <n v="6"/>
    <n v="3"/>
    <n v="3"/>
    <x v="4"/>
    <n v="2"/>
    <n v="2"/>
    <n v="2"/>
    <n v="2"/>
    <x v="1"/>
    <s v=""/>
    <s v=""/>
    <s v=""/>
  </r>
  <r>
    <x v="13"/>
    <x v="2"/>
    <x v="0"/>
    <n v="1"/>
    <s v="Non-Travel"/>
    <n v="1362"/>
    <x v="0"/>
    <n v="19"/>
    <n v="3"/>
    <s v="Marketing"/>
    <n v="1"/>
    <x v="378"/>
    <n v="1"/>
    <x v="3"/>
    <x v="1"/>
    <n v="67"/>
    <n v="4"/>
    <n v="2"/>
    <x v="0"/>
    <n v="4"/>
    <x v="0"/>
    <s v="Single"/>
    <x v="367"/>
    <x v="0"/>
    <n v="4652"/>
    <n v="8"/>
    <s v="Y"/>
    <x v="0"/>
    <n v="13"/>
    <x v="0"/>
    <x v="0"/>
    <n v="2"/>
    <n v="80"/>
    <n v="0"/>
    <n v="9"/>
    <n v="3"/>
    <n v="2"/>
    <x v="8"/>
    <n v="2"/>
    <n v="0"/>
    <n v="4"/>
    <s v=""/>
    <x v="0"/>
    <s v=""/>
    <s v=""/>
    <s v=""/>
  </r>
  <r>
    <x v="27"/>
    <x v="3"/>
    <x v="1"/>
    <n v="0"/>
    <s v="Travel_Rarely"/>
    <n v="1311"/>
    <x v="1"/>
    <n v="2"/>
    <n v="3"/>
    <s v="Life Sciences"/>
    <n v="1"/>
    <x v="379"/>
    <n v="3"/>
    <x v="1"/>
    <x v="0"/>
    <n v="97"/>
    <n v="3"/>
    <n v="4"/>
    <x v="5"/>
    <n v="4"/>
    <x v="0"/>
    <s v="Single"/>
    <x v="368"/>
    <x v="4"/>
    <n v="23258"/>
    <n v="2"/>
    <s v="Y"/>
    <x v="0"/>
    <n v="13"/>
    <x v="0"/>
    <x v="0"/>
    <n v="3"/>
    <n v="80"/>
    <n v="0"/>
    <n v="30"/>
    <n v="2"/>
    <n v="3"/>
    <x v="8"/>
    <n v="4"/>
    <n v="1"/>
    <n v="2"/>
    <n v="2"/>
    <x v="1"/>
    <s v=""/>
    <s v=""/>
    <s v=""/>
  </r>
  <r>
    <x v="17"/>
    <x v="4"/>
    <x v="1"/>
    <n v="0"/>
    <s v="Travel_Rarely"/>
    <n v="1371"/>
    <x v="0"/>
    <n v="10"/>
    <n v="4"/>
    <s v="Marketing"/>
    <n v="1"/>
    <x v="380"/>
    <n v="4"/>
    <x v="2"/>
    <x v="0"/>
    <n v="77"/>
    <n v="3"/>
    <n v="2"/>
    <x v="0"/>
    <n v="3"/>
    <x v="2"/>
    <s v="Divorced"/>
    <x v="369"/>
    <x v="0"/>
    <n v="5915"/>
    <n v="1"/>
    <s v="Y"/>
    <x v="0"/>
    <n v="12"/>
    <x v="0"/>
    <x v="0"/>
    <n v="4"/>
    <n v="80"/>
    <n v="1"/>
    <n v="5"/>
    <n v="2"/>
    <n v="4"/>
    <x v="8"/>
    <n v="2"/>
    <n v="0"/>
    <n v="3"/>
    <n v="5"/>
    <x v="2"/>
    <s v=""/>
    <s v=""/>
    <s v=""/>
  </r>
  <r>
    <x v="7"/>
    <x v="2"/>
    <x v="1"/>
    <n v="0"/>
    <s v="Travel_Rarely"/>
    <n v="202"/>
    <x v="0"/>
    <n v="2"/>
    <n v="1"/>
    <s v="Technical Degree"/>
    <n v="1"/>
    <x v="381"/>
    <n v="3"/>
    <x v="1"/>
    <x v="1"/>
    <n v="72"/>
    <n v="3"/>
    <n v="1"/>
    <x v="6"/>
    <n v="2"/>
    <x v="1"/>
    <s v="Married"/>
    <x v="370"/>
    <x v="1"/>
    <n v="17434"/>
    <n v="1"/>
    <s v="Y"/>
    <x v="1"/>
    <n v="18"/>
    <x v="2"/>
    <x v="0"/>
    <n v="1"/>
    <n v="80"/>
    <n v="1"/>
    <n v="1"/>
    <n v="3"/>
    <n v="3"/>
    <x v="6"/>
    <n v="0"/>
    <n v="0"/>
    <n v="0"/>
    <n v="5"/>
    <x v="2"/>
    <s v=""/>
    <s v=""/>
    <s v=""/>
  </r>
  <r>
    <x v="25"/>
    <x v="2"/>
    <x v="0"/>
    <n v="1"/>
    <s v="Travel_Frequently"/>
    <n v="575"/>
    <x v="1"/>
    <n v="3"/>
    <n v="1"/>
    <s v="Technical Degree"/>
    <n v="1"/>
    <x v="382"/>
    <n v="3"/>
    <x v="1"/>
    <x v="1"/>
    <n v="73"/>
    <n v="3"/>
    <n v="1"/>
    <x v="1"/>
    <n v="1"/>
    <x v="3"/>
    <s v="Single"/>
    <x v="371"/>
    <x v="1"/>
    <n v="6582"/>
    <n v="0"/>
    <s v="Y"/>
    <x v="1"/>
    <n v="22"/>
    <x v="1"/>
    <x v="1"/>
    <n v="3"/>
    <n v="80"/>
    <n v="0"/>
    <n v="7"/>
    <n v="2"/>
    <n v="3"/>
    <x v="0"/>
    <n v="4"/>
    <n v="0"/>
    <n v="4"/>
    <s v=""/>
    <x v="0"/>
    <s v=""/>
    <s v=""/>
    <s v=""/>
  </r>
  <r>
    <x v="15"/>
    <x v="4"/>
    <x v="1"/>
    <n v="0"/>
    <s v="Travel_Rarely"/>
    <n v="253"/>
    <x v="1"/>
    <n v="11"/>
    <n v="3"/>
    <s v="Medical"/>
    <n v="1"/>
    <x v="383"/>
    <n v="1"/>
    <x v="3"/>
    <x v="0"/>
    <n v="43"/>
    <n v="3"/>
    <n v="1"/>
    <x v="1"/>
    <n v="2"/>
    <x v="1"/>
    <s v="Married"/>
    <x v="372"/>
    <x v="1"/>
    <n v="24440"/>
    <n v="1"/>
    <s v="Y"/>
    <x v="1"/>
    <n v="13"/>
    <x v="0"/>
    <x v="0"/>
    <n v="4"/>
    <n v="80"/>
    <n v="1"/>
    <n v="2"/>
    <n v="1"/>
    <n v="3"/>
    <x v="4"/>
    <n v="1"/>
    <n v="1"/>
    <n v="2"/>
    <n v="4"/>
    <x v="2"/>
    <s v=""/>
    <s v=""/>
    <s v=""/>
  </r>
  <r>
    <x v="9"/>
    <x v="0"/>
    <x v="1"/>
    <n v="0"/>
    <s v="Travel_Rarely"/>
    <n v="164"/>
    <x v="0"/>
    <n v="2"/>
    <n v="2"/>
    <s v="Medical"/>
    <n v="1"/>
    <x v="384"/>
    <n v="2"/>
    <x v="0"/>
    <x v="1"/>
    <n v="61"/>
    <n v="2"/>
    <n v="3"/>
    <x v="0"/>
    <n v="3"/>
    <x v="2"/>
    <s v="Married"/>
    <x v="373"/>
    <x v="0"/>
    <n v="3809"/>
    <n v="1"/>
    <s v="Y"/>
    <x v="1"/>
    <n v="13"/>
    <x v="0"/>
    <x v="0"/>
    <n v="2"/>
    <n v="80"/>
    <n v="2"/>
    <n v="10"/>
    <n v="2"/>
    <n v="3"/>
    <x v="1"/>
    <n v="9"/>
    <n v="9"/>
    <n v="0"/>
    <n v="1"/>
    <x v="1"/>
    <s v=""/>
    <s v=""/>
    <s v=""/>
  </r>
  <r>
    <x v="7"/>
    <x v="2"/>
    <x v="0"/>
    <n v="1"/>
    <s v="Travel_Frequently"/>
    <n v="464"/>
    <x v="1"/>
    <n v="4"/>
    <n v="3"/>
    <s v="Technical Degree"/>
    <n v="1"/>
    <x v="385"/>
    <n v="3"/>
    <x v="1"/>
    <x v="1"/>
    <n v="40"/>
    <n v="3"/>
    <n v="1"/>
    <x v="1"/>
    <n v="4"/>
    <x v="0"/>
    <s v="Single"/>
    <x v="374"/>
    <x v="1"/>
    <n v="3427"/>
    <n v="9"/>
    <s v="Y"/>
    <x v="0"/>
    <n v="23"/>
    <x v="1"/>
    <x v="1"/>
    <n v="3"/>
    <n v="80"/>
    <n v="0"/>
    <n v="3"/>
    <n v="4"/>
    <n v="3"/>
    <x v="6"/>
    <n v="0"/>
    <n v="0"/>
    <n v="0"/>
    <s v=""/>
    <x v="0"/>
    <s v=""/>
    <s v=""/>
    <s v=""/>
  </r>
  <r>
    <x v="2"/>
    <x v="0"/>
    <x v="1"/>
    <n v="0"/>
    <s v="Travel_Rarely"/>
    <n v="1107"/>
    <x v="1"/>
    <n v="14"/>
    <n v="3"/>
    <s v="Life Sciences"/>
    <n v="1"/>
    <x v="386"/>
    <n v="4"/>
    <x v="2"/>
    <x v="0"/>
    <n v="95"/>
    <n v="3"/>
    <n v="1"/>
    <x v="2"/>
    <n v="1"/>
    <x v="3"/>
    <s v="Divorced"/>
    <x v="375"/>
    <x v="1"/>
    <n v="26914"/>
    <n v="1"/>
    <s v="Y"/>
    <x v="1"/>
    <n v="12"/>
    <x v="0"/>
    <x v="0"/>
    <n v="3"/>
    <n v="80"/>
    <n v="1"/>
    <n v="18"/>
    <n v="2"/>
    <n v="2"/>
    <x v="29"/>
    <n v="7"/>
    <n v="12"/>
    <n v="17"/>
    <n v="5"/>
    <x v="2"/>
    <s v=""/>
    <s v=""/>
    <s v=""/>
  </r>
  <r>
    <x v="32"/>
    <x v="0"/>
    <x v="1"/>
    <n v="0"/>
    <s v="Travel_Rarely"/>
    <n v="759"/>
    <x v="0"/>
    <n v="2"/>
    <n v="2"/>
    <s v="Marketing"/>
    <n v="1"/>
    <x v="387"/>
    <n v="4"/>
    <x v="2"/>
    <x v="0"/>
    <n v="46"/>
    <n v="3"/>
    <n v="2"/>
    <x v="0"/>
    <n v="2"/>
    <x v="1"/>
    <s v="Divorced"/>
    <x v="376"/>
    <x v="0"/>
    <n v="22553"/>
    <n v="7"/>
    <s v="Y"/>
    <x v="1"/>
    <n v="12"/>
    <x v="0"/>
    <x v="0"/>
    <n v="3"/>
    <n v="80"/>
    <n v="2"/>
    <n v="8"/>
    <n v="5"/>
    <n v="3"/>
    <x v="8"/>
    <n v="4"/>
    <n v="1"/>
    <n v="3"/>
    <n v="1"/>
    <x v="1"/>
    <s v=""/>
    <s v=""/>
    <s v=""/>
  </r>
  <r>
    <x v="19"/>
    <x v="0"/>
    <x v="1"/>
    <n v="0"/>
    <s v="Travel_Rarely"/>
    <n v="201"/>
    <x v="1"/>
    <n v="1"/>
    <n v="4"/>
    <s v="Life Sciences"/>
    <n v="1"/>
    <x v="388"/>
    <n v="2"/>
    <x v="0"/>
    <x v="0"/>
    <n v="95"/>
    <n v="3"/>
    <n v="1"/>
    <x v="2"/>
    <n v="1"/>
    <x v="3"/>
    <s v="Divorced"/>
    <x v="377"/>
    <x v="1"/>
    <n v="20490"/>
    <n v="3"/>
    <s v="Y"/>
    <x v="1"/>
    <n v="16"/>
    <x v="2"/>
    <x v="0"/>
    <n v="2"/>
    <n v="80"/>
    <n v="1"/>
    <n v="8"/>
    <n v="5"/>
    <n v="3"/>
    <x v="8"/>
    <n v="2"/>
    <n v="1"/>
    <n v="2"/>
    <n v="5"/>
    <x v="2"/>
    <s v=""/>
    <s v=""/>
    <s v=""/>
  </r>
  <r>
    <x v="2"/>
    <x v="0"/>
    <x v="1"/>
    <n v="0"/>
    <s v="Travel_Rarely"/>
    <n v="1305"/>
    <x v="1"/>
    <n v="10"/>
    <n v="4"/>
    <s v="Life Sciences"/>
    <n v="1"/>
    <x v="389"/>
    <n v="3"/>
    <x v="1"/>
    <x v="1"/>
    <n v="49"/>
    <n v="3"/>
    <n v="2"/>
    <x v="3"/>
    <n v="2"/>
    <x v="1"/>
    <s v="Single"/>
    <x v="378"/>
    <x v="0"/>
    <n v="21123"/>
    <n v="2"/>
    <s v="Y"/>
    <x v="0"/>
    <n v="12"/>
    <x v="0"/>
    <x v="0"/>
    <n v="4"/>
    <n v="80"/>
    <n v="0"/>
    <n v="18"/>
    <n v="2"/>
    <n v="2"/>
    <x v="6"/>
    <n v="0"/>
    <n v="0"/>
    <n v="1"/>
    <n v="3"/>
    <x v="2"/>
    <s v=""/>
    <s v=""/>
    <s v=""/>
  </r>
  <r>
    <x v="23"/>
    <x v="0"/>
    <x v="1"/>
    <n v="0"/>
    <s v="Travel_Rarely"/>
    <n v="982"/>
    <x v="1"/>
    <n v="12"/>
    <n v="3"/>
    <s v="Life Sciences"/>
    <n v="1"/>
    <x v="390"/>
    <n v="1"/>
    <x v="3"/>
    <x v="1"/>
    <n v="59"/>
    <n v="2"/>
    <n v="4"/>
    <x v="7"/>
    <n v="2"/>
    <x v="1"/>
    <s v="Divorced"/>
    <x v="379"/>
    <x v="3"/>
    <n v="4345"/>
    <n v="1"/>
    <s v="Y"/>
    <x v="1"/>
    <n v="11"/>
    <x v="0"/>
    <x v="0"/>
    <n v="3"/>
    <n v="80"/>
    <n v="1"/>
    <n v="25"/>
    <n v="3"/>
    <n v="3"/>
    <x v="10"/>
    <n v="10"/>
    <n v="3"/>
    <n v="9"/>
    <n v="0"/>
    <x v="1"/>
    <s v=""/>
    <s v=""/>
    <s v=""/>
  </r>
  <r>
    <x v="32"/>
    <x v="0"/>
    <x v="1"/>
    <n v="0"/>
    <s v="Travel_Rarely"/>
    <n v="555"/>
    <x v="1"/>
    <n v="2"/>
    <n v="3"/>
    <s v="Medical"/>
    <n v="1"/>
    <x v="391"/>
    <n v="2"/>
    <x v="0"/>
    <x v="0"/>
    <n v="78"/>
    <n v="2"/>
    <n v="2"/>
    <x v="2"/>
    <n v="3"/>
    <x v="2"/>
    <s v="Married"/>
    <x v="380"/>
    <x v="1"/>
    <n v="13436"/>
    <n v="6"/>
    <s v="Y"/>
    <x v="1"/>
    <n v="22"/>
    <x v="1"/>
    <x v="1"/>
    <n v="2"/>
    <n v="80"/>
    <n v="1"/>
    <n v="20"/>
    <n v="3"/>
    <n v="3"/>
    <x v="6"/>
    <n v="0"/>
    <n v="0"/>
    <n v="0"/>
    <n v="3"/>
    <x v="2"/>
    <s v=""/>
    <s v=""/>
    <s v=""/>
  </r>
  <r>
    <x v="33"/>
    <x v="1"/>
    <x v="1"/>
    <n v="0"/>
    <s v="Travel_Rarely"/>
    <n v="821"/>
    <x v="1"/>
    <n v="5"/>
    <n v="2"/>
    <s v="Medical"/>
    <n v="1"/>
    <x v="392"/>
    <n v="1"/>
    <x v="3"/>
    <x v="1"/>
    <n v="86"/>
    <n v="3"/>
    <n v="5"/>
    <x v="7"/>
    <n v="1"/>
    <x v="3"/>
    <s v="Married"/>
    <x v="381"/>
    <x v="4"/>
    <n v="8509"/>
    <n v="4"/>
    <s v="Y"/>
    <x v="1"/>
    <n v="11"/>
    <x v="0"/>
    <x v="0"/>
    <n v="3"/>
    <n v="80"/>
    <n v="1"/>
    <n v="24"/>
    <n v="4"/>
    <n v="2"/>
    <x v="9"/>
    <n v="2"/>
    <n v="1"/>
    <n v="2"/>
    <n v="2"/>
    <x v="1"/>
    <s v=""/>
    <s v=""/>
    <s v=""/>
  </r>
  <r>
    <x v="13"/>
    <x v="2"/>
    <x v="1"/>
    <n v="0"/>
    <s v="Non-Travel"/>
    <n v="1381"/>
    <x v="0"/>
    <n v="4"/>
    <n v="4"/>
    <s v="Marketing"/>
    <n v="1"/>
    <x v="393"/>
    <n v="3"/>
    <x v="1"/>
    <x v="0"/>
    <n v="72"/>
    <n v="3"/>
    <n v="2"/>
    <x v="0"/>
    <n v="3"/>
    <x v="2"/>
    <s v="Married"/>
    <x v="382"/>
    <x v="0"/>
    <n v="12740"/>
    <n v="9"/>
    <s v="Y"/>
    <x v="1"/>
    <n v="15"/>
    <x v="0"/>
    <x v="0"/>
    <n v="1"/>
    <n v="80"/>
    <n v="1"/>
    <n v="6"/>
    <n v="3"/>
    <n v="3"/>
    <x v="11"/>
    <n v="2"/>
    <n v="1"/>
    <n v="2"/>
    <n v="2"/>
    <x v="1"/>
    <s v=""/>
    <s v=""/>
    <s v=""/>
  </r>
  <r>
    <x v="12"/>
    <x v="2"/>
    <x v="1"/>
    <n v="0"/>
    <s v="Travel_Rarely"/>
    <n v="480"/>
    <x v="1"/>
    <n v="7"/>
    <n v="2"/>
    <s v="Medical"/>
    <n v="1"/>
    <x v="394"/>
    <n v="2"/>
    <x v="0"/>
    <x v="0"/>
    <n v="31"/>
    <n v="3"/>
    <n v="2"/>
    <x v="3"/>
    <n v="1"/>
    <x v="3"/>
    <s v="Married"/>
    <x v="383"/>
    <x v="0"/>
    <n v="4156"/>
    <n v="1"/>
    <s v="Y"/>
    <x v="1"/>
    <n v="12"/>
    <x v="0"/>
    <x v="0"/>
    <n v="2"/>
    <n v="80"/>
    <n v="1"/>
    <n v="13"/>
    <n v="5"/>
    <n v="1"/>
    <x v="20"/>
    <n v="10"/>
    <n v="3"/>
    <n v="12"/>
    <n v="4"/>
    <x v="2"/>
    <s v=""/>
    <s v=""/>
    <s v=""/>
  </r>
  <r>
    <x v="23"/>
    <x v="0"/>
    <x v="1"/>
    <n v="0"/>
    <s v="Travel_Frequently"/>
    <n v="313"/>
    <x v="1"/>
    <n v="21"/>
    <n v="3"/>
    <s v="Medical"/>
    <n v="1"/>
    <x v="395"/>
    <n v="4"/>
    <x v="2"/>
    <x v="1"/>
    <n v="61"/>
    <n v="3"/>
    <n v="1"/>
    <x v="2"/>
    <n v="4"/>
    <x v="0"/>
    <s v="Married"/>
    <x v="384"/>
    <x v="1"/>
    <n v="15238"/>
    <n v="7"/>
    <s v="Y"/>
    <x v="1"/>
    <n v="20"/>
    <x v="2"/>
    <x v="1"/>
    <n v="1"/>
    <n v="80"/>
    <n v="1"/>
    <n v="8"/>
    <n v="1"/>
    <n v="3"/>
    <x v="11"/>
    <n v="2"/>
    <n v="1"/>
    <n v="2"/>
    <n v="3"/>
    <x v="2"/>
    <s v=""/>
    <s v=""/>
    <s v=""/>
  </r>
  <r>
    <x v="23"/>
    <x v="0"/>
    <x v="1"/>
    <n v="0"/>
    <s v="Travel_Rarely"/>
    <n v="1473"/>
    <x v="1"/>
    <n v="8"/>
    <n v="4"/>
    <s v="Other"/>
    <n v="1"/>
    <x v="396"/>
    <n v="3"/>
    <x v="1"/>
    <x v="0"/>
    <n v="74"/>
    <n v="3"/>
    <n v="2"/>
    <x v="4"/>
    <n v="3"/>
    <x v="2"/>
    <s v="Divorced"/>
    <x v="385"/>
    <x v="0"/>
    <n v="2227"/>
    <n v="4"/>
    <s v="Y"/>
    <x v="0"/>
    <n v="14"/>
    <x v="0"/>
    <x v="0"/>
    <n v="4"/>
    <n v="80"/>
    <n v="0"/>
    <n v="8"/>
    <n v="3"/>
    <n v="3"/>
    <x v="8"/>
    <n v="2"/>
    <n v="0"/>
    <n v="2"/>
    <n v="3"/>
    <x v="2"/>
    <s v=""/>
    <s v=""/>
    <s v=""/>
  </r>
  <r>
    <x v="36"/>
    <x v="2"/>
    <x v="1"/>
    <n v="0"/>
    <s v="Travel_Rarely"/>
    <n v="891"/>
    <x v="0"/>
    <n v="4"/>
    <n v="2"/>
    <s v="Life Sciences"/>
    <n v="1"/>
    <x v="397"/>
    <n v="2"/>
    <x v="0"/>
    <x v="0"/>
    <n v="99"/>
    <n v="2"/>
    <n v="2"/>
    <x v="0"/>
    <n v="4"/>
    <x v="0"/>
    <s v="Single"/>
    <x v="386"/>
    <x v="0"/>
    <n v="12090"/>
    <n v="1"/>
    <s v="Y"/>
    <x v="0"/>
    <n v="11"/>
    <x v="0"/>
    <x v="0"/>
    <n v="2"/>
    <n v="80"/>
    <n v="0"/>
    <n v="5"/>
    <n v="3"/>
    <n v="3"/>
    <x v="8"/>
    <n v="4"/>
    <n v="1"/>
    <n v="3"/>
    <n v="4"/>
    <x v="2"/>
    <s v=""/>
    <s v=""/>
    <s v=""/>
  </r>
  <r>
    <x v="2"/>
    <x v="0"/>
    <x v="1"/>
    <n v="0"/>
    <s v="Non-Travel"/>
    <n v="1063"/>
    <x v="1"/>
    <n v="25"/>
    <n v="5"/>
    <s v="Medical"/>
    <n v="1"/>
    <x v="398"/>
    <n v="2"/>
    <x v="0"/>
    <x v="0"/>
    <n v="72"/>
    <n v="3"/>
    <n v="2"/>
    <x v="1"/>
    <n v="3"/>
    <x v="2"/>
    <s v="Married"/>
    <x v="387"/>
    <x v="0"/>
    <n v="23866"/>
    <n v="3"/>
    <s v="Y"/>
    <x v="0"/>
    <n v="15"/>
    <x v="0"/>
    <x v="0"/>
    <n v="1"/>
    <n v="80"/>
    <n v="2"/>
    <n v="15"/>
    <n v="2"/>
    <n v="3"/>
    <x v="20"/>
    <n v="11"/>
    <n v="10"/>
    <n v="7"/>
    <n v="3"/>
    <x v="2"/>
    <s v=""/>
    <s v=""/>
    <s v=""/>
  </r>
  <r>
    <x v="12"/>
    <x v="2"/>
    <x v="1"/>
    <n v="0"/>
    <s v="Travel_Rarely"/>
    <n v="329"/>
    <x v="1"/>
    <n v="1"/>
    <n v="2"/>
    <s v="Life Sciences"/>
    <n v="1"/>
    <x v="399"/>
    <n v="4"/>
    <x v="2"/>
    <x v="1"/>
    <n v="98"/>
    <n v="2"/>
    <n v="1"/>
    <x v="2"/>
    <n v="1"/>
    <x v="3"/>
    <s v="Married"/>
    <x v="388"/>
    <x v="1"/>
    <n v="16193"/>
    <n v="1"/>
    <s v="Y"/>
    <x v="1"/>
    <n v="12"/>
    <x v="0"/>
    <x v="0"/>
    <n v="3"/>
    <n v="80"/>
    <n v="1"/>
    <n v="4"/>
    <n v="3"/>
    <n v="3"/>
    <x v="9"/>
    <n v="2"/>
    <n v="3"/>
    <n v="2"/>
    <n v="6"/>
    <x v="3"/>
    <n v="32"/>
    <s v=""/>
    <n v="59470"/>
  </r>
  <r>
    <x v="22"/>
    <x v="0"/>
    <x v="1"/>
    <n v="0"/>
    <s v="Travel_Frequently"/>
    <n v="1218"/>
    <x v="1"/>
    <n v="1"/>
    <n v="1"/>
    <s v="Life Sciences"/>
    <n v="1"/>
    <x v="400"/>
    <n v="2"/>
    <x v="0"/>
    <x v="1"/>
    <n v="52"/>
    <n v="3"/>
    <n v="5"/>
    <x v="5"/>
    <n v="3"/>
    <x v="2"/>
    <s v="Divorced"/>
    <x v="389"/>
    <x v="4"/>
    <n v="8213"/>
    <n v="1"/>
    <s v="Y"/>
    <x v="0"/>
    <n v="14"/>
    <x v="0"/>
    <x v="0"/>
    <n v="3"/>
    <n v="80"/>
    <n v="1"/>
    <n v="21"/>
    <n v="3"/>
    <n v="3"/>
    <x v="17"/>
    <n v="8"/>
    <n v="1"/>
    <n v="6"/>
    <n v="2"/>
    <x v="1"/>
    <s v=""/>
    <s v=""/>
    <s v=""/>
  </r>
  <r>
    <x v="29"/>
    <x v="3"/>
    <x v="1"/>
    <n v="0"/>
    <s v="Travel_Frequently"/>
    <n v="906"/>
    <x v="0"/>
    <n v="6"/>
    <n v="3"/>
    <s v="Life Sciences"/>
    <n v="1"/>
    <x v="401"/>
    <n v="3"/>
    <x v="1"/>
    <x v="0"/>
    <n v="86"/>
    <n v="4"/>
    <n v="4"/>
    <x v="0"/>
    <n v="1"/>
    <x v="3"/>
    <s v="Married"/>
    <x v="390"/>
    <x v="3"/>
    <n v="18256"/>
    <n v="9"/>
    <s v="Y"/>
    <x v="1"/>
    <n v="11"/>
    <x v="0"/>
    <x v="0"/>
    <n v="4"/>
    <n v="80"/>
    <n v="3"/>
    <n v="36"/>
    <n v="0"/>
    <n v="2"/>
    <x v="5"/>
    <n v="7"/>
    <n v="7"/>
    <n v="7"/>
    <n v="2"/>
    <x v="1"/>
    <s v=""/>
    <s v=""/>
    <s v=""/>
  </r>
  <r>
    <x v="7"/>
    <x v="2"/>
    <x v="1"/>
    <n v="0"/>
    <s v="Travel_Rarely"/>
    <n v="1082"/>
    <x v="0"/>
    <n v="12"/>
    <n v="3"/>
    <s v="Technical Degree"/>
    <n v="1"/>
    <x v="402"/>
    <n v="2"/>
    <x v="0"/>
    <x v="0"/>
    <n v="83"/>
    <n v="3"/>
    <n v="2"/>
    <x v="0"/>
    <n v="3"/>
    <x v="2"/>
    <s v="Single"/>
    <x v="391"/>
    <x v="0"/>
    <n v="19558"/>
    <n v="0"/>
    <s v="Y"/>
    <x v="1"/>
    <n v="11"/>
    <x v="0"/>
    <x v="0"/>
    <n v="2"/>
    <n v="80"/>
    <n v="0"/>
    <n v="6"/>
    <n v="6"/>
    <n v="3"/>
    <x v="8"/>
    <n v="4"/>
    <n v="4"/>
    <n v="4"/>
    <n v="2"/>
    <x v="1"/>
    <s v=""/>
    <s v=""/>
    <s v=""/>
  </r>
  <r>
    <x v="0"/>
    <x v="0"/>
    <x v="1"/>
    <n v="0"/>
    <s v="Travel_Rarely"/>
    <n v="645"/>
    <x v="0"/>
    <n v="1"/>
    <n v="3"/>
    <s v="Marketing"/>
    <n v="1"/>
    <x v="403"/>
    <n v="2"/>
    <x v="0"/>
    <x v="1"/>
    <n v="49"/>
    <n v="4"/>
    <n v="3"/>
    <x v="0"/>
    <n v="1"/>
    <x v="3"/>
    <s v="Married"/>
    <x v="392"/>
    <x v="2"/>
    <n v="19566"/>
    <n v="1"/>
    <s v="Y"/>
    <x v="1"/>
    <n v="16"/>
    <x v="2"/>
    <x v="0"/>
    <n v="3"/>
    <n v="80"/>
    <n v="1"/>
    <n v="10"/>
    <n v="2"/>
    <n v="3"/>
    <x v="1"/>
    <n v="7"/>
    <n v="0"/>
    <n v="7"/>
    <n v="2"/>
    <x v="1"/>
    <s v=""/>
    <s v=""/>
    <s v=""/>
  </r>
  <r>
    <x v="14"/>
    <x v="2"/>
    <x v="1"/>
    <n v="0"/>
    <s v="Travel_Rarely"/>
    <n v="1300"/>
    <x v="1"/>
    <n v="17"/>
    <n v="2"/>
    <s v="Medical"/>
    <n v="1"/>
    <x v="404"/>
    <n v="3"/>
    <x v="1"/>
    <x v="1"/>
    <n v="79"/>
    <n v="3"/>
    <n v="2"/>
    <x v="2"/>
    <n v="1"/>
    <x v="3"/>
    <s v="Divorced"/>
    <x v="393"/>
    <x v="0"/>
    <n v="13535"/>
    <n v="1"/>
    <s v="Y"/>
    <x v="1"/>
    <n v="12"/>
    <x v="0"/>
    <x v="0"/>
    <n v="4"/>
    <n v="80"/>
    <n v="1"/>
    <n v="10"/>
    <n v="2"/>
    <n v="3"/>
    <x v="1"/>
    <n v="0"/>
    <n v="1"/>
    <n v="8"/>
    <n v="5"/>
    <x v="2"/>
    <s v=""/>
    <s v=""/>
    <s v=""/>
  </r>
  <r>
    <x v="36"/>
    <x v="2"/>
    <x v="0"/>
    <n v="1"/>
    <s v="Travel_Rarely"/>
    <n v="688"/>
    <x v="1"/>
    <n v="3"/>
    <n v="3"/>
    <s v="Medical"/>
    <n v="1"/>
    <x v="405"/>
    <n v="1"/>
    <x v="3"/>
    <x v="1"/>
    <n v="91"/>
    <n v="3"/>
    <n v="1"/>
    <x v="2"/>
    <n v="1"/>
    <x v="3"/>
    <s v="Married"/>
    <x v="394"/>
    <x v="0"/>
    <n v="9396"/>
    <n v="5"/>
    <s v="Y"/>
    <x v="1"/>
    <n v="13"/>
    <x v="0"/>
    <x v="0"/>
    <n v="3"/>
    <n v="80"/>
    <n v="1"/>
    <n v="6"/>
    <n v="5"/>
    <n v="3"/>
    <x v="4"/>
    <n v="2"/>
    <n v="0"/>
    <n v="2"/>
    <s v=""/>
    <x v="0"/>
    <s v=""/>
    <s v=""/>
    <s v=""/>
  </r>
  <r>
    <x v="39"/>
    <x v="1"/>
    <x v="1"/>
    <n v="0"/>
    <s v="Travel_Rarely"/>
    <n v="319"/>
    <x v="1"/>
    <n v="3"/>
    <n v="3"/>
    <s v="Medical"/>
    <n v="1"/>
    <x v="406"/>
    <n v="4"/>
    <x v="2"/>
    <x v="1"/>
    <n v="39"/>
    <n v="2"/>
    <n v="3"/>
    <x v="3"/>
    <n v="3"/>
    <x v="2"/>
    <s v="Married"/>
    <x v="395"/>
    <x v="0"/>
    <n v="19609"/>
    <n v="2"/>
    <s v="Y"/>
    <x v="0"/>
    <n v="14"/>
    <x v="0"/>
    <x v="0"/>
    <n v="3"/>
    <n v="80"/>
    <n v="0"/>
    <n v="28"/>
    <n v="4"/>
    <n v="3"/>
    <x v="8"/>
    <n v="4"/>
    <n v="0"/>
    <n v="4"/>
    <n v="3"/>
    <x v="2"/>
    <s v=""/>
    <s v=""/>
    <s v=""/>
  </r>
  <r>
    <x v="28"/>
    <x v="1"/>
    <x v="1"/>
    <n v="0"/>
    <s v="Travel_Rarely"/>
    <n v="192"/>
    <x v="1"/>
    <n v="10"/>
    <n v="2"/>
    <s v="Life Sciences"/>
    <n v="1"/>
    <x v="407"/>
    <n v="1"/>
    <x v="3"/>
    <x v="1"/>
    <n v="69"/>
    <n v="3"/>
    <n v="1"/>
    <x v="1"/>
    <n v="4"/>
    <x v="0"/>
    <s v="Married"/>
    <x v="396"/>
    <x v="1"/>
    <n v="9655"/>
    <n v="3"/>
    <s v="Y"/>
    <x v="1"/>
    <n v="21"/>
    <x v="1"/>
    <x v="1"/>
    <n v="4"/>
    <n v="80"/>
    <n v="2"/>
    <n v="8"/>
    <n v="3"/>
    <n v="2"/>
    <x v="4"/>
    <n v="2"/>
    <n v="0"/>
    <n v="2"/>
    <n v="2"/>
    <x v="1"/>
    <s v=""/>
    <s v=""/>
    <s v=""/>
  </r>
  <r>
    <x v="39"/>
    <x v="1"/>
    <x v="1"/>
    <n v="0"/>
    <s v="Travel_Rarely"/>
    <n v="1490"/>
    <x v="1"/>
    <n v="4"/>
    <n v="2"/>
    <s v="Life Sciences"/>
    <n v="1"/>
    <x v="408"/>
    <n v="4"/>
    <x v="2"/>
    <x v="0"/>
    <n v="30"/>
    <n v="3"/>
    <n v="4"/>
    <x v="5"/>
    <n v="4"/>
    <x v="0"/>
    <s v="Married"/>
    <x v="397"/>
    <x v="4"/>
    <n v="10310"/>
    <n v="2"/>
    <s v="Y"/>
    <x v="1"/>
    <n v="13"/>
    <x v="0"/>
    <x v="0"/>
    <n v="4"/>
    <n v="80"/>
    <n v="0"/>
    <n v="31"/>
    <n v="2"/>
    <n v="1"/>
    <x v="8"/>
    <n v="2"/>
    <n v="1"/>
    <n v="4"/>
    <n v="0"/>
    <x v="1"/>
    <s v=""/>
    <s v=""/>
    <s v=""/>
  </r>
  <r>
    <x v="19"/>
    <x v="0"/>
    <x v="1"/>
    <n v="0"/>
    <s v="Travel_Frequently"/>
    <n v="532"/>
    <x v="1"/>
    <n v="29"/>
    <n v="2"/>
    <s v="Life Sciences"/>
    <n v="1"/>
    <x v="409"/>
    <n v="1"/>
    <x v="3"/>
    <x v="0"/>
    <n v="92"/>
    <n v="3"/>
    <n v="2"/>
    <x v="1"/>
    <n v="3"/>
    <x v="2"/>
    <s v="Divorced"/>
    <x v="398"/>
    <x v="0"/>
    <n v="12932"/>
    <n v="2"/>
    <s v="Y"/>
    <x v="1"/>
    <n v="11"/>
    <x v="0"/>
    <x v="0"/>
    <n v="2"/>
    <n v="80"/>
    <n v="1"/>
    <n v="19"/>
    <n v="3"/>
    <n v="3"/>
    <x v="8"/>
    <n v="4"/>
    <n v="0"/>
    <n v="2"/>
    <n v="1"/>
    <x v="1"/>
    <s v=""/>
    <s v=""/>
    <s v=""/>
  </r>
  <r>
    <x v="7"/>
    <x v="2"/>
    <x v="1"/>
    <n v="0"/>
    <s v="Travel_Rarely"/>
    <n v="317"/>
    <x v="1"/>
    <n v="2"/>
    <n v="3"/>
    <s v="Life Sciences"/>
    <n v="1"/>
    <x v="410"/>
    <n v="3"/>
    <x v="1"/>
    <x v="0"/>
    <n v="43"/>
    <n v="1"/>
    <n v="2"/>
    <x v="3"/>
    <n v="4"/>
    <x v="0"/>
    <s v="Single"/>
    <x v="399"/>
    <x v="0"/>
    <n v="24793"/>
    <n v="2"/>
    <s v="Y"/>
    <x v="1"/>
    <n v="20"/>
    <x v="2"/>
    <x v="1"/>
    <n v="3"/>
    <n v="80"/>
    <n v="0"/>
    <n v="11"/>
    <n v="2"/>
    <n v="3"/>
    <x v="8"/>
    <n v="4"/>
    <n v="0"/>
    <n v="2"/>
    <n v="2"/>
    <x v="1"/>
    <s v=""/>
    <s v=""/>
    <s v=""/>
  </r>
  <r>
    <x v="42"/>
    <x v="3"/>
    <x v="1"/>
    <n v="0"/>
    <s v="Travel_Rarely"/>
    <n v="422"/>
    <x v="1"/>
    <n v="7"/>
    <n v="3"/>
    <s v="Life Sciences"/>
    <n v="1"/>
    <x v="411"/>
    <n v="1"/>
    <x v="3"/>
    <x v="0"/>
    <n v="41"/>
    <n v="3"/>
    <n v="5"/>
    <x v="5"/>
    <n v="1"/>
    <x v="3"/>
    <s v="Married"/>
    <x v="400"/>
    <x v="4"/>
    <n v="3854"/>
    <n v="5"/>
    <s v="Y"/>
    <x v="1"/>
    <n v="11"/>
    <x v="0"/>
    <x v="0"/>
    <n v="4"/>
    <n v="80"/>
    <n v="0"/>
    <n v="33"/>
    <n v="5"/>
    <n v="1"/>
    <x v="30"/>
    <n v="8"/>
    <n v="11"/>
    <n v="10"/>
    <n v="2"/>
    <x v="1"/>
    <s v=""/>
    <s v=""/>
    <s v=""/>
  </r>
  <r>
    <x v="21"/>
    <x v="1"/>
    <x v="1"/>
    <n v="0"/>
    <s v="Travel_Rarely"/>
    <n v="1485"/>
    <x v="1"/>
    <n v="18"/>
    <n v="3"/>
    <s v="Medical"/>
    <n v="1"/>
    <x v="412"/>
    <n v="3"/>
    <x v="1"/>
    <x v="0"/>
    <n v="87"/>
    <n v="3"/>
    <n v="2"/>
    <x v="3"/>
    <n v="3"/>
    <x v="2"/>
    <s v="Divorced"/>
    <x v="401"/>
    <x v="0"/>
    <n v="26314"/>
    <n v="2"/>
    <s v="Y"/>
    <x v="1"/>
    <n v="14"/>
    <x v="0"/>
    <x v="0"/>
    <n v="3"/>
    <n v="80"/>
    <n v="1"/>
    <n v="19"/>
    <n v="5"/>
    <n v="2"/>
    <x v="1"/>
    <n v="7"/>
    <n v="0"/>
    <n v="8"/>
    <n v="1"/>
    <x v="1"/>
    <s v=""/>
    <s v=""/>
    <s v=""/>
  </r>
  <r>
    <x v="19"/>
    <x v="0"/>
    <x v="1"/>
    <n v="0"/>
    <s v="Travel_Frequently"/>
    <n v="1368"/>
    <x v="1"/>
    <n v="28"/>
    <n v="4"/>
    <s v="Technical Degree"/>
    <n v="1"/>
    <x v="413"/>
    <n v="4"/>
    <x v="2"/>
    <x v="0"/>
    <n v="88"/>
    <n v="2"/>
    <n v="2"/>
    <x v="4"/>
    <n v="4"/>
    <x v="0"/>
    <s v="Married"/>
    <x v="402"/>
    <x v="0"/>
    <n v="4386"/>
    <n v="0"/>
    <s v="Y"/>
    <x v="1"/>
    <n v="11"/>
    <x v="0"/>
    <x v="0"/>
    <n v="4"/>
    <n v="80"/>
    <n v="3"/>
    <n v="7"/>
    <n v="4"/>
    <n v="4"/>
    <x v="0"/>
    <n v="5"/>
    <n v="0"/>
    <n v="4"/>
    <n v="1"/>
    <x v="1"/>
    <s v=""/>
    <s v=""/>
    <s v=""/>
  </r>
  <r>
    <x v="17"/>
    <x v="4"/>
    <x v="0"/>
    <n v="1"/>
    <s v="Travel_Rarely"/>
    <n v="1448"/>
    <x v="0"/>
    <n v="1"/>
    <n v="1"/>
    <s v="Technical Degree"/>
    <n v="1"/>
    <x v="414"/>
    <n v="1"/>
    <x v="3"/>
    <x v="0"/>
    <n v="62"/>
    <n v="3"/>
    <n v="1"/>
    <x v="6"/>
    <n v="2"/>
    <x v="1"/>
    <s v="Single"/>
    <x v="403"/>
    <x v="1"/>
    <n v="21972"/>
    <n v="1"/>
    <s v="Y"/>
    <x v="0"/>
    <n v="16"/>
    <x v="2"/>
    <x v="0"/>
    <n v="2"/>
    <n v="80"/>
    <n v="0"/>
    <n v="6"/>
    <n v="4"/>
    <n v="3"/>
    <x v="8"/>
    <n v="3"/>
    <n v="1"/>
    <n v="4"/>
    <s v=""/>
    <x v="0"/>
    <s v=""/>
    <s v=""/>
    <s v=""/>
  </r>
  <r>
    <x v="13"/>
    <x v="2"/>
    <x v="0"/>
    <n v="1"/>
    <s v="Travel_Frequently"/>
    <n v="296"/>
    <x v="0"/>
    <n v="6"/>
    <n v="2"/>
    <s v="Marketing"/>
    <n v="1"/>
    <x v="415"/>
    <n v="4"/>
    <x v="2"/>
    <x v="0"/>
    <n v="33"/>
    <n v="1"/>
    <n v="1"/>
    <x v="6"/>
    <n v="3"/>
    <x v="2"/>
    <s v="Divorced"/>
    <x v="404"/>
    <x v="1"/>
    <n v="12253"/>
    <n v="0"/>
    <s v="Y"/>
    <x v="1"/>
    <n v="16"/>
    <x v="2"/>
    <x v="0"/>
    <n v="4"/>
    <n v="80"/>
    <n v="1"/>
    <n v="3"/>
    <n v="3"/>
    <n v="2"/>
    <x v="4"/>
    <n v="2"/>
    <n v="1"/>
    <n v="0"/>
    <s v=""/>
    <x v="0"/>
    <s v=""/>
    <s v=""/>
    <s v=""/>
  </r>
  <r>
    <x v="8"/>
    <x v="0"/>
    <x v="1"/>
    <n v="0"/>
    <s v="Travel_Frequently"/>
    <n v="1490"/>
    <x v="1"/>
    <n v="2"/>
    <n v="2"/>
    <s v="Life Sciences"/>
    <n v="1"/>
    <x v="416"/>
    <n v="4"/>
    <x v="2"/>
    <x v="1"/>
    <n v="42"/>
    <n v="3"/>
    <n v="1"/>
    <x v="2"/>
    <n v="4"/>
    <x v="0"/>
    <s v="Married"/>
    <x v="405"/>
    <x v="1"/>
    <n v="12106"/>
    <n v="1"/>
    <s v="Y"/>
    <x v="0"/>
    <n v="23"/>
    <x v="1"/>
    <x v="1"/>
    <n v="3"/>
    <n v="80"/>
    <n v="1"/>
    <n v="1"/>
    <n v="3"/>
    <n v="3"/>
    <x v="6"/>
    <n v="0"/>
    <n v="0"/>
    <n v="0"/>
    <n v="5"/>
    <x v="2"/>
    <s v=""/>
    <s v=""/>
    <s v=""/>
  </r>
  <r>
    <x v="32"/>
    <x v="0"/>
    <x v="1"/>
    <n v="0"/>
    <s v="Travel_Rarely"/>
    <n v="1398"/>
    <x v="0"/>
    <n v="2"/>
    <n v="4"/>
    <s v="Life Sciences"/>
    <n v="1"/>
    <x v="417"/>
    <n v="3"/>
    <x v="1"/>
    <x v="0"/>
    <n v="79"/>
    <n v="3"/>
    <n v="5"/>
    <x v="5"/>
    <n v="3"/>
    <x v="2"/>
    <s v="Married"/>
    <x v="406"/>
    <x v="4"/>
    <n v="13022"/>
    <n v="0"/>
    <s v="Y"/>
    <x v="1"/>
    <n v="14"/>
    <x v="0"/>
    <x v="0"/>
    <n v="4"/>
    <n v="80"/>
    <n v="0"/>
    <n v="21"/>
    <n v="2"/>
    <n v="3"/>
    <x v="23"/>
    <n v="15"/>
    <n v="1"/>
    <n v="12"/>
    <n v="0"/>
    <x v="1"/>
    <s v=""/>
    <s v=""/>
    <s v=""/>
  </r>
  <r>
    <x v="25"/>
    <x v="2"/>
    <x v="1"/>
    <n v="0"/>
    <s v="Travel_Rarely"/>
    <n v="1349"/>
    <x v="1"/>
    <n v="23"/>
    <n v="3"/>
    <s v="Life Sciences"/>
    <n v="1"/>
    <x v="418"/>
    <n v="1"/>
    <x v="3"/>
    <x v="0"/>
    <n v="90"/>
    <n v="3"/>
    <n v="1"/>
    <x v="1"/>
    <n v="4"/>
    <x v="0"/>
    <s v="Divorced"/>
    <x v="407"/>
    <x v="1"/>
    <n v="3032"/>
    <n v="1"/>
    <s v="Y"/>
    <x v="1"/>
    <n v="22"/>
    <x v="1"/>
    <x v="1"/>
    <n v="2"/>
    <n v="80"/>
    <n v="2"/>
    <n v="3"/>
    <n v="3"/>
    <n v="1"/>
    <x v="11"/>
    <n v="2"/>
    <n v="0"/>
    <n v="2"/>
    <n v="3"/>
    <x v="2"/>
    <s v=""/>
    <s v=""/>
    <s v=""/>
  </r>
  <r>
    <x v="7"/>
    <x v="2"/>
    <x v="1"/>
    <n v="0"/>
    <s v="Non-Travel"/>
    <n v="1400"/>
    <x v="1"/>
    <n v="3"/>
    <n v="3"/>
    <s v="Life Sciences"/>
    <n v="1"/>
    <x v="419"/>
    <n v="3"/>
    <x v="1"/>
    <x v="1"/>
    <n v="53"/>
    <n v="3"/>
    <n v="1"/>
    <x v="2"/>
    <n v="4"/>
    <x v="0"/>
    <s v="Married"/>
    <x v="408"/>
    <x v="1"/>
    <n v="16734"/>
    <n v="4"/>
    <s v="Y"/>
    <x v="1"/>
    <n v="15"/>
    <x v="0"/>
    <x v="0"/>
    <n v="3"/>
    <n v="80"/>
    <n v="1"/>
    <n v="9"/>
    <n v="3"/>
    <n v="1"/>
    <x v="8"/>
    <n v="3"/>
    <n v="1"/>
    <n v="4"/>
    <n v="4"/>
    <x v="2"/>
    <s v=""/>
    <s v=""/>
    <s v=""/>
  </r>
  <r>
    <x v="11"/>
    <x v="2"/>
    <x v="1"/>
    <n v="0"/>
    <s v="Travel_Rarely"/>
    <n v="986"/>
    <x v="1"/>
    <n v="3"/>
    <n v="4"/>
    <s v="Medical"/>
    <n v="1"/>
    <x v="420"/>
    <n v="2"/>
    <x v="0"/>
    <x v="1"/>
    <n v="93"/>
    <n v="2"/>
    <n v="3"/>
    <x v="7"/>
    <n v="3"/>
    <x v="2"/>
    <s v="Married"/>
    <x v="409"/>
    <x v="2"/>
    <n v="21526"/>
    <n v="1"/>
    <s v="Y"/>
    <x v="1"/>
    <n v="18"/>
    <x v="2"/>
    <x v="0"/>
    <n v="3"/>
    <n v="80"/>
    <n v="0"/>
    <n v="10"/>
    <n v="2"/>
    <n v="3"/>
    <x v="1"/>
    <n v="2"/>
    <n v="0"/>
    <n v="7"/>
    <n v="1"/>
    <x v="1"/>
    <s v=""/>
    <s v=""/>
    <s v=""/>
  </r>
  <r>
    <x v="11"/>
    <x v="2"/>
    <x v="0"/>
    <n v="1"/>
    <s v="Travel_Rarely"/>
    <n v="408"/>
    <x v="1"/>
    <n v="25"/>
    <n v="5"/>
    <s v="Technical Degree"/>
    <n v="1"/>
    <x v="421"/>
    <n v="3"/>
    <x v="1"/>
    <x v="0"/>
    <n v="71"/>
    <n v="2"/>
    <n v="1"/>
    <x v="1"/>
    <n v="2"/>
    <x v="1"/>
    <s v="Married"/>
    <x v="410"/>
    <x v="1"/>
    <n v="18300"/>
    <n v="5"/>
    <s v="Y"/>
    <x v="1"/>
    <n v="16"/>
    <x v="2"/>
    <x v="0"/>
    <n v="2"/>
    <n v="80"/>
    <n v="0"/>
    <n v="6"/>
    <n v="2"/>
    <n v="4"/>
    <x v="4"/>
    <n v="2"/>
    <n v="1"/>
    <n v="1"/>
    <s v=""/>
    <x v="0"/>
    <s v=""/>
    <s v=""/>
    <s v=""/>
  </r>
  <r>
    <x v="37"/>
    <x v="4"/>
    <x v="0"/>
    <n v="1"/>
    <s v="Travel_Rarely"/>
    <n v="489"/>
    <x v="2"/>
    <n v="2"/>
    <n v="2"/>
    <s v="Technical Degree"/>
    <n v="1"/>
    <x v="422"/>
    <n v="1"/>
    <x v="3"/>
    <x v="1"/>
    <n v="52"/>
    <n v="2"/>
    <n v="1"/>
    <x v="8"/>
    <n v="4"/>
    <x v="0"/>
    <s v="Single"/>
    <x v="411"/>
    <x v="1"/>
    <n v="18437"/>
    <n v="1"/>
    <s v="Y"/>
    <x v="1"/>
    <n v="12"/>
    <x v="0"/>
    <x v="0"/>
    <n v="3"/>
    <n v="80"/>
    <n v="0"/>
    <n v="1"/>
    <n v="3"/>
    <n v="4"/>
    <x v="6"/>
    <n v="0"/>
    <n v="0"/>
    <n v="0"/>
    <s v=""/>
    <x v="0"/>
    <s v=""/>
    <s v=""/>
    <s v=""/>
  </r>
  <r>
    <x v="7"/>
    <x v="2"/>
    <x v="1"/>
    <n v="0"/>
    <s v="Non-Travel"/>
    <n v="1398"/>
    <x v="0"/>
    <n v="22"/>
    <n v="4"/>
    <s v="Other"/>
    <n v="1"/>
    <x v="423"/>
    <n v="3"/>
    <x v="1"/>
    <x v="0"/>
    <n v="69"/>
    <n v="3"/>
    <n v="3"/>
    <x v="0"/>
    <n v="1"/>
    <x v="3"/>
    <s v="Married"/>
    <x v="412"/>
    <x v="2"/>
    <n v="2890"/>
    <n v="0"/>
    <s v="Y"/>
    <x v="1"/>
    <n v="11"/>
    <x v="0"/>
    <x v="0"/>
    <n v="3"/>
    <n v="80"/>
    <n v="0"/>
    <n v="10"/>
    <n v="3"/>
    <n v="3"/>
    <x v="7"/>
    <n v="8"/>
    <n v="7"/>
    <n v="8"/>
    <n v="3"/>
    <x v="2"/>
    <s v=""/>
    <s v=""/>
    <s v=""/>
  </r>
  <r>
    <x v="38"/>
    <x v="3"/>
    <x v="1"/>
    <n v="0"/>
    <s v="Travel_Rarely"/>
    <n v="210"/>
    <x v="0"/>
    <n v="29"/>
    <n v="3"/>
    <s v="Marketing"/>
    <n v="1"/>
    <x v="424"/>
    <n v="1"/>
    <x v="3"/>
    <x v="1"/>
    <n v="56"/>
    <n v="2"/>
    <n v="4"/>
    <x v="5"/>
    <n v="4"/>
    <x v="0"/>
    <s v="Divorced"/>
    <x v="413"/>
    <x v="3"/>
    <n v="22102"/>
    <n v="3"/>
    <s v="Y"/>
    <x v="1"/>
    <n v="12"/>
    <x v="0"/>
    <x v="0"/>
    <n v="3"/>
    <n v="80"/>
    <n v="1"/>
    <n v="32"/>
    <n v="3"/>
    <n v="2"/>
    <x v="6"/>
    <n v="0"/>
    <n v="0"/>
    <n v="0"/>
    <n v="0"/>
    <x v="1"/>
    <s v=""/>
    <s v=""/>
    <s v=""/>
  </r>
  <r>
    <x v="24"/>
    <x v="1"/>
    <x v="1"/>
    <n v="0"/>
    <s v="Travel_Rarely"/>
    <n v="1099"/>
    <x v="1"/>
    <n v="29"/>
    <n v="4"/>
    <s v="Life Sciences"/>
    <n v="1"/>
    <x v="425"/>
    <n v="2"/>
    <x v="0"/>
    <x v="1"/>
    <n v="88"/>
    <n v="2"/>
    <n v="4"/>
    <x v="5"/>
    <n v="3"/>
    <x v="2"/>
    <s v="Married"/>
    <x v="414"/>
    <x v="4"/>
    <n v="9314"/>
    <n v="0"/>
    <s v="Y"/>
    <x v="1"/>
    <n v="15"/>
    <x v="0"/>
    <x v="0"/>
    <n v="2"/>
    <n v="80"/>
    <n v="1"/>
    <n v="28"/>
    <n v="2"/>
    <n v="3"/>
    <x v="16"/>
    <n v="10"/>
    <n v="15"/>
    <n v="7"/>
    <n v="0"/>
    <x v="1"/>
    <s v=""/>
    <s v=""/>
    <s v=""/>
  </r>
  <r>
    <x v="7"/>
    <x v="2"/>
    <x v="1"/>
    <n v="0"/>
    <s v="Non-Travel"/>
    <n v="1116"/>
    <x v="1"/>
    <n v="2"/>
    <n v="3"/>
    <s v="Medical"/>
    <n v="1"/>
    <x v="426"/>
    <n v="3"/>
    <x v="1"/>
    <x v="0"/>
    <n v="49"/>
    <n v="3"/>
    <n v="1"/>
    <x v="2"/>
    <n v="4"/>
    <x v="0"/>
    <s v="Single"/>
    <x v="411"/>
    <x v="1"/>
    <n v="7181"/>
    <n v="0"/>
    <s v="Y"/>
    <x v="1"/>
    <n v="14"/>
    <x v="0"/>
    <x v="0"/>
    <n v="3"/>
    <n v="80"/>
    <n v="0"/>
    <n v="12"/>
    <n v="2"/>
    <n v="2"/>
    <x v="19"/>
    <n v="7"/>
    <n v="6"/>
    <n v="7"/>
    <n v="4"/>
    <x v="2"/>
    <s v=""/>
    <s v=""/>
    <s v=""/>
  </r>
  <r>
    <x v="42"/>
    <x v="3"/>
    <x v="1"/>
    <n v="0"/>
    <s v="Travel_Frequently"/>
    <n v="1499"/>
    <x v="0"/>
    <n v="28"/>
    <n v="3"/>
    <s v="Marketing"/>
    <n v="1"/>
    <x v="427"/>
    <n v="3"/>
    <x v="1"/>
    <x v="0"/>
    <n v="80"/>
    <n v="2"/>
    <n v="3"/>
    <x v="0"/>
    <n v="1"/>
    <x v="3"/>
    <s v="Married"/>
    <x v="415"/>
    <x v="2"/>
    <n v="2845"/>
    <n v="4"/>
    <s v="Y"/>
    <x v="1"/>
    <n v="19"/>
    <x v="2"/>
    <x v="0"/>
    <n v="4"/>
    <n v="80"/>
    <n v="0"/>
    <n v="22"/>
    <n v="5"/>
    <n v="4"/>
    <x v="29"/>
    <n v="13"/>
    <n v="13"/>
    <n v="11"/>
    <n v="2"/>
    <x v="1"/>
    <s v=""/>
    <s v=""/>
    <s v=""/>
  </r>
  <r>
    <x v="40"/>
    <x v="1"/>
    <x v="1"/>
    <n v="0"/>
    <s v="Travel_Rarely"/>
    <n v="983"/>
    <x v="1"/>
    <n v="2"/>
    <n v="2"/>
    <s v="Medical"/>
    <n v="1"/>
    <x v="428"/>
    <n v="1"/>
    <x v="3"/>
    <x v="0"/>
    <n v="65"/>
    <n v="3"/>
    <n v="2"/>
    <x v="3"/>
    <n v="4"/>
    <x v="0"/>
    <s v="Divorced"/>
    <x v="416"/>
    <x v="0"/>
    <n v="7389"/>
    <n v="5"/>
    <s v="Y"/>
    <x v="1"/>
    <n v="13"/>
    <x v="0"/>
    <x v="0"/>
    <n v="3"/>
    <n v="80"/>
    <n v="3"/>
    <n v="20"/>
    <n v="2"/>
    <n v="3"/>
    <x v="8"/>
    <n v="0"/>
    <n v="0"/>
    <n v="4"/>
    <n v="1"/>
    <x v="1"/>
    <s v=""/>
    <s v=""/>
    <s v=""/>
  </r>
  <r>
    <x v="21"/>
    <x v="1"/>
    <x v="1"/>
    <n v="0"/>
    <s v="Travel_Rarely"/>
    <n v="1009"/>
    <x v="1"/>
    <n v="2"/>
    <n v="3"/>
    <s v="Life Sciences"/>
    <n v="1"/>
    <x v="429"/>
    <n v="1"/>
    <x v="3"/>
    <x v="1"/>
    <n v="51"/>
    <n v="3"/>
    <n v="4"/>
    <x v="7"/>
    <n v="3"/>
    <x v="2"/>
    <s v="Married"/>
    <x v="417"/>
    <x v="4"/>
    <n v="2288"/>
    <n v="6"/>
    <s v="Y"/>
    <x v="1"/>
    <n v="13"/>
    <x v="0"/>
    <x v="0"/>
    <n v="3"/>
    <n v="80"/>
    <n v="0"/>
    <n v="26"/>
    <n v="2"/>
    <n v="1"/>
    <x v="11"/>
    <n v="2"/>
    <n v="0"/>
    <n v="1"/>
    <n v="0"/>
    <x v="1"/>
    <s v=""/>
    <s v=""/>
    <s v=""/>
  </r>
  <r>
    <x v="10"/>
    <x v="0"/>
    <x v="1"/>
    <n v="0"/>
    <s v="Travel_Rarely"/>
    <n v="144"/>
    <x v="1"/>
    <n v="22"/>
    <n v="3"/>
    <s v="Life Sciences"/>
    <n v="1"/>
    <x v="430"/>
    <n v="4"/>
    <x v="2"/>
    <x v="1"/>
    <n v="46"/>
    <n v="1"/>
    <n v="1"/>
    <x v="2"/>
    <n v="3"/>
    <x v="2"/>
    <s v="Single"/>
    <x v="418"/>
    <x v="0"/>
    <n v="19225"/>
    <n v="0"/>
    <s v="Y"/>
    <x v="1"/>
    <n v="15"/>
    <x v="0"/>
    <x v="0"/>
    <n v="3"/>
    <n v="80"/>
    <n v="0"/>
    <n v="6"/>
    <n v="2"/>
    <n v="3"/>
    <x v="8"/>
    <n v="4"/>
    <n v="4"/>
    <n v="3"/>
    <n v="2"/>
    <x v="1"/>
    <s v=""/>
    <s v=""/>
    <s v=""/>
  </r>
  <r>
    <x v="33"/>
    <x v="1"/>
    <x v="1"/>
    <n v="0"/>
    <s v="Travel_Rarely"/>
    <n v="548"/>
    <x v="1"/>
    <n v="8"/>
    <n v="4"/>
    <s v="Life Sciences"/>
    <n v="1"/>
    <x v="431"/>
    <n v="3"/>
    <x v="1"/>
    <x v="0"/>
    <n v="42"/>
    <n v="3"/>
    <n v="2"/>
    <x v="2"/>
    <n v="3"/>
    <x v="2"/>
    <s v="Single"/>
    <x v="419"/>
    <x v="1"/>
    <n v="23428"/>
    <n v="7"/>
    <s v="Y"/>
    <x v="1"/>
    <n v="11"/>
    <x v="0"/>
    <x v="0"/>
    <n v="3"/>
    <n v="80"/>
    <n v="0"/>
    <n v="19"/>
    <n v="3"/>
    <n v="3"/>
    <x v="6"/>
    <n v="0"/>
    <n v="0"/>
    <n v="0"/>
    <n v="3"/>
    <x v="2"/>
    <s v=""/>
    <s v=""/>
    <s v=""/>
  </r>
  <r>
    <x v="13"/>
    <x v="2"/>
    <x v="1"/>
    <n v="0"/>
    <s v="Travel_Rarely"/>
    <n v="1303"/>
    <x v="1"/>
    <n v="2"/>
    <n v="4"/>
    <s v="Life Sciences"/>
    <n v="1"/>
    <x v="432"/>
    <n v="4"/>
    <x v="2"/>
    <x v="1"/>
    <n v="62"/>
    <n v="2"/>
    <n v="1"/>
    <x v="1"/>
    <n v="3"/>
    <x v="2"/>
    <s v="Divorced"/>
    <x v="420"/>
    <x v="1"/>
    <n v="8416"/>
    <n v="3"/>
    <s v="Y"/>
    <x v="1"/>
    <n v="12"/>
    <x v="0"/>
    <x v="0"/>
    <n v="3"/>
    <n v="80"/>
    <n v="1"/>
    <n v="14"/>
    <n v="3"/>
    <n v="3"/>
    <x v="5"/>
    <n v="3"/>
    <n v="5"/>
    <n v="7"/>
    <n v="3"/>
    <x v="2"/>
    <s v=""/>
    <s v=""/>
    <s v=""/>
  </r>
  <r>
    <x v="21"/>
    <x v="1"/>
    <x v="1"/>
    <n v="0"/>
    <s v="Travel_Rarely"/>
    <n v="1125"/>
    <x v="0"/>
    <n v="10"/>
    <n v="3"/>
    <s v="Marketing"/>
    <n v="1"/>
    <x v="433"/>
    <n v="3"/>
    <x v="1"/>
    <x v="0"/>
    <n v="94"/>
    <n v="2"/>
    <n v="3"/>
    <x v="0"/>
    <n v="4"/>
    <x v="0"/>
    <s v="Married"/>
    <x v="421"/>
    <x v="2"/>
    <n v="11563"/>
    <n v="2"/>
    <s v="Y"/>
    <x v="0"/>
    <n v="19"/>
    <x v="2"/>
    <x v="0"/>
    <n v="3"/>
    <n v="80"/>
    <n v="1"/>
    <n v="15"/>
    <n v="3"/>
    <n v="3"/>
    <x v="11"/>
    <n v="2"/>
    <n v="1"/>
    <n v="2"/>
    <n v="2"/>
    <x v="1"/>
    <s v=""/>
    <s v=""/>
    <s v=""/>
  </r>
  <r>
    <x v="12"/>
    <x v="2"/>
    <x v="1"/>
    <n v="0"/>
    <s v="Travel_Rarely"/>
    <n v="1274"/>
    <x v="1"/>
    <n v="9"/>
    <n v="1"/>
    <s v="Life Sciences"/>
    <n v="1"/>
    <x v="434"/>
    <n v="3"/>
    <x v="1"/>
    <x v="1"/>
    <n v="33"/>
    <n v="3"/>
    <n v="3"/>
    <x v="3"/>
    <n v="2"/>
    <x v="1"/>
    <s v="Divorced"/>
    <x v="422"/>
    <x v="2"/>
    <n v="14394"/>
    <n v="1"/>
    <s v="Y"/>
    <x v="1"/>
    <n v="25"/>
    <x v="1"/>
    <x v="1"/>
    <n v="4"/>
    <n v="80"/>
    <n v="1"/>
    <n v="13"/>
    <n v="6"/>
    <n v="4"/>
    <x v="20"/>
    <n v="8"/>
    <n v="0"/>
    <n v="8"/>
    <n v="1"/>
    <x v="1"/>
    <s v=""/>
    <s v=""/>
    <s v=""/>
  </r>
  <r>
    <x v="3"/>
    <x v="2"/>
    <x v="0"/>
    <n v="1"/>
    <s v="Travel_Rarely"/>
    <n v="1277"/>
    <x v="1"/>
    <n v="15"/>
    <n v="1"/>
    <s v="Medical"/>
    <n v="1"/>
    <x v="435"/>
    <n v="2"/>
    <x v="0"/>
    <x v="1"/>
    <n v="56"/>
    <n v="3"/>
    <n v="3"/>
    <x v="5"/>
    <n v="3"/>
    <x v="2"/>
    <s v="Married"/>
    <x v="423"/>
    <x v="3"/>
    <n v="24619"/>
    <n v="7"/>
    <s v="Y"/>
    <x v="0"/>
    <n v="12"/>
    <x v="0"/>
    <x v="0"/>
    <n v="4"/>
    <n v="80"/>
    <n v="0"/>
    <n v="15"/>
    <n v="2"/>
    <n v="4"/>
    <x v="5"/>
    <n v="6"/>
    <n v="7"/>
    <n v="7"/>
    <s v=""/>
    <x v="0"/>
    <s v=""/>
    <s v=""/>
    <s v=""/>
  </r>
  <r>
    <x v="3"/>
    <x v="2"/>
    <x v="0"/>
    <n v="1"/>
    <s v="Travel_Rarely"/>
    <n v="587"/>
    <x v="1"/>
    <n v="10"/>
    <n v="1"/>
    <s v="Medical"/>
    <n v="1"/>
    <x v="436"/>
    <n v="1"/>
    <x v="3"/>
    <x v="1"/>
    <n v="38"/>
    <n v="1"/>
    <n v="1"/>
    <x v="2"/>
    <n v="4"/>
    <x v="0"/>
    <s v="Divorced"/>
    <x v="424"/>
    <x v="1"/>
    <n v="6705"/>
    <n v="7"/>
    <s v="Y"/>
    <x v="1"/>
    <n v="13"/>
    <x v="0"/>
    <x v="0"/>
    <n v="1"/>
    <n v="80"/>
    <n v="3"/>
    <n v="8"/>
    <n v="2"/>
    <n v="3"/>
    <x v="9"/>
    <n v="3"/>
    <n v="1"/>
    <n v="3"/>
    <s v=""/>
    <x v="0"/>
    <s v=""/>
    <s v=""/>
    <s v=""/>
  </r>
  <r>
    <x v="7"/>
    <x v="2"/>
    <x v="1"/>
    <n v="0"/>
    <s v="Travel_Rarely"/>
    <n v="413"/>
    <x v="0"/>
    <n v="7"/>
    <n v="1"/>
    <s v="Marketing"/>
    <n v="1"/>
    <x v="437"/>
    <n v="4"/>
    <x v="2"/>
    <x v="1"/>
    <n v="57"/>
    <n v="3"/>
    <n v="1"/>
    <x v="6"/>
    <n v="2"/>
    <x v="1"/>
    <s v="Single"/>
    <x v="425"/>
    <x v="1"/>
    <n v="18398"/>
    <n v="0"/>
    <s v="Y"/>
    <x v="1"/>
    <n v="14"/>
    <x v="0"/>
    <x v="0"/>
    <n v="1"/>
    <n v="80"/>
    <n v="0"/>
    <n v="4"/>
    <n v="3"/>
    <n v="3"/>
    <x v="11"/>
    <n v="2"/>
    <n v="1"/>
    <n v="2"/>
    <n v="5"/>
    <x v="2"/>
    <s v=""/>
    <s v=""/>
    <s v=""/>
  </r>
  <r>
    <x v="10"/>
    <x v="0"/>
    <x v="1"/>
    <n v="0"/>
    <s v="Travel_Rarely"/>
    <n v="1276"/>
    <x v="1"/>
    <n v="16"/>
    <n v="3"/>
    <s v="Life Sciences"/>
    <n v="1"/>
    <x v="438"/>
    <n v="4"/>
    <x v="2"/>
    <x v="1"/>
    <n v="72"/>
    <n v="3"/>
    <n v="3"/>
    <x v="4"/>
    <n v="3"/>
    <x v="2"/>
    <s v="Married"/>
    <x v="426"/>
    <x v="0"/>
    <n v="14295"/>
    <n v="4"/>
    <s v="Y"/>
    <x v="0"/>
    <n v="12"/>
    <x v="0"/>
    <x v="0"/>
    <n v="3"/>
    <n v="80"/>
    <n v="0"/>
    <n v="10"/>
    <n v="2"/>
    <n v="3"/>
    <x v="3"/>
    <n v="7"/>
    <n v="0"/>
    <n v="0"/>
    <n v="3"/>
    <x v="2"/>
    <s v=""/>
    <s v=""/>
    <s v=""/>
  </r>
  <r>
    <x v="12"/>
    <x v="2"/>
    <x v="0"/>
    <n v="1"/>
    <s v="Travel_Frequently"/>
    <n v="534"/>
    <x v="1"/>
    <n v="20"/>
    <n v="3"/>
    <s v="Life Sciences"/>
    <n v="1"/>
    <x v="439"/>
    <n v="1"/>
    <x v="3"/>
    <x v="1"/>
    <n v="66"/>
    <n v="3"/>
    <n v="3"/>
    <x v="4"/>
    <n v="3"/>
    <x v="2"/>
    <s v="Married"/>
    <x v="427"/>
    <x v="2"/>
    <n v="22908"/>
    <n v="3"/>
    <s v="Y"/>
    <x v="1"/>
    <n v="12"/>
    <x v="0"/>
    <x v="0"/>
    <n v="1"/>
    <n v="80"/>
    <n v="0"/>
    <n v="12"/>
    <n v="2"/>
    <n v="3"/>
    <x v="6"/>
    <n v="0"/>
    <n v="0"/>
    <n v="0"/>
    <s v=""/>
    <x v="0"/>
    <s v=""/>
    <s v=""/>
    <s v=""/>
  </r>
  <r>
    <x v="13"/>
    <x v="2"/>
    <x v="0"/>
    <n v="1"/>
    <s v="Travel_Frequently"/>
    <n v="988"/>
    <x v="2"/>
    <n v="23"/>
    <n v="3"/>
    <s v="Human Resources"/>
    <n v="1"/>
    <x v="440"/>
    <n v="2"/>
    <x v="0"/>
    <x v="0"/>
    <n v="43"/>
    <n v="3"/>
    <n v="3"/>
    <x v="8"/>
    <n v="1"/>
    <x v="3"/>
    <s v="Divorced"/>
    <x v="428"/>
    <x v="2"/>
    <n v="11533"/>
    <n v="9"/>
    <s v="Y"/>
    <x v="0"/>
    <n v="15"/>
    <x v="0"/>
    <x v="0"/>
    <n v="3"/>
    <n v="80"/>
    <n v="3"/>
    <n v="11"/>
    <n v="2"/>
    <n v="3"/>
    <x v="11"/>
    <n v="2"/>
    <n v="0"/>
    <n v="2"/>
    <s v=""/>
    <x v="0"/>
    <s v=""/>
    <s v=""/>
    <s v=""/>
  </r>
  <r>
    <x v="19"/>
    <x v="0"/>
    <x v="1"/>
    <n v="0"/>
    <s v="Travel_Frequently"/>
    <n v="1474"/>
    <x v="1"/>
    <n v="5"/>
    <n v="2"/>
    <s v="Other"/>
    <n v="1"/>
    <x v="441"/>
    <n v="2"/>
    <x v="0"/>
    <x v="1"/>
    <n v="97"/>
    <n v="3"/>
    <n v="1"/>
    <x v="2"/>
    <n v="3"/>
    <x v="2"/>
    <s v="Married"/>
    <x v="429"/>
    <x v="1"/>
    <n v="9260"/>
    <n v="4"/>
    <s v="Y"/>
    <x v="1"/>
    <n v="17"/>
    <x v="2"/>
    <x v="0"/>
    <n v="4"/>
    <n v="80"/>
    <n v="1"/>
    <n v="8"/>
    <n v="4"/>
    <n v="3"/>
    <x v="4"/>
    <n v="2"/>
    <n v="2"/>
    <n v="0"/>
    <n v="3"/>
    <x v="2"/>
    <s v=""/>
    <s v=""/>
    <s v=""/>
  </r>
  <r>
    <x v="9"/>
    <x v="0"/>
    <x v="1"/>
    <n v="0"/>
    <s v="Non-Travel"/>
    <n v="635"/>
    <x v="0"/>
    <n v="10"/>
    <n v="4"/>
    <s v="Medical"/>
    <n v="1"/>
    <x v="442"/>
    <n v="2"/>
    <x v="0"/>
    <x v="1"/>
    <n v="32"/>
    <n v="3"/>
    <n v="3"/>
    <x v="0"/>
    <n v="4"/>
    <x v="0"/>
    <s v="Single"/>
    <x v="15"/>
    <x v="2"/>
    <n v="15318"/>
    <n v="1"/>
    <s v="Y"/>
    <x v="1"/>
    <n v="14"/>
    <x v="0"/>
    <x v="0"/>
    <n v="4"/>
    <n v="80"/>
    <n v="0"/>
    <n v="10"/>
    <n v="3"/>
    <n v="2"/>
    <x v="1"/>
    <n v="3"/>
    <n v="9"/>
    <n v="7"/>
    <n v="0"/>
    <x v="1"/>
    <s v=""/>
    <s v=""/>
    <s v=""/>
  </r>
  <r>
    <x v="15"/>
    <x v="4"/>
    <x v="0"/>
    <n v="1"/>
    <s v="Travel_Frequently"/>
    <n v="1368"/>
    <x v="1"/>
    <n v="4"/>
    <n v="1"/>
    <s v="Technical Degree"/>
    <n v="1"/>
    <x v="443"/>
    <n v="3"/>
    <x v="1"/>
    <x v="1"/>
    <n v="99"/>
    <n v="2"/>
    <n v="1"/>
    <x v="2"/>
    <n v="3"/>
    <x v="2"/>
    <s v="Single"/>
    <x v="430"/>
    <x v="1"/>
    <n v="9129"/>
    <n v="5"/>
    <s v="Y"/>
    <x v="1"/>
    <n v="16"/>
    <x v="2"/>
    <x v="0"/>
    <n v="3"/>
    <n v="80"/>
    <n v="0"/>
    <n v="4"/>
    <n v="3"/>
    <n v="3"/>
    <x v="4"/>
    <n v="2"/>
    <n v="1"/>
    <n v="2"/>
    <s v=""/>
    <x v="0"/>
    <s v=""/>
    <s v=""/>
    <s v=""/>
  </r>
  <r>
    <x v="26"/>
    <x v="1"/>
    <x v="1"/>
    <n v="0"/>
    <s v="Travel_Rarely"/>
    <n v="163"/>
    <x v="0"/>
    <n v="2"/>
    <n v="5"/>
    <s v="Marketing"/>
    <n v="1"/>
    <x v="444"/>
    <n v="2"/>
    <x v="0"/>
    <x v="0"/>
    <n v="37"/>
    <n v="3"/>
    <n v="2"/>
    <x v="0"/>
    <n v="4"/>
    <x v="0"/>
    <s v="Married"/>
    <x v="431"/>
    <x v="0"/>
    <n v="19658"/>
    <n v="2"/>
    <s v="Y"/>
    <x v="1"/>
    <n v="14"/>
    <x v="0"/>
    <x v="0"/>
    <n v="1"/>
    <n v="80"/>
    <n v="1"/>
    <n v="14"/>
    <n v="2"/>
    <n v="3"/>
    <x v="7"/>
    <n v="7"/>
    <n v="6"/>
    <n v="7"/>
    <n v="1"/>
    <x v="1"/>
    <s v=""/>
    <s v=""/>
    <s v=""/>
  </r>
  <r>
    <x v="27"/>
    <x v="3"/>
    <x v="1"/>
    <n v="0"/>
    <s v="Travel_Rarely"/>
    <n v="1117"/>
    <x v="0"/>
    <n v="18"/>
    <n v="5"/>
    <s v="Life Sciences"/>
    <n v="1"/>
    <x v="445"/>
    <n v="1"/>
    <x v="3"/>
    <x v="0"/>
    <n v="83"/>
    <n v="3"/>
    <n v="4"/>
    <x v="5"/>
    <n v="2"/>
    <x v="1"/>
    <s v="Single"/>
    <x v="432"/>
    <x v="4"/>
    <n v="9873"/>
    <n v="3"/>
    <s v="Y"/>
    <x v="1"/>
    <n v="23"/>
    <x v="1"/>
    <x v="1"/>
    <n v="4"/>
    <n v="80"/>
    <n v="0"/>
    <n v="37"/>
    <n v="2"/>
    <n v="3"/>
    <x v="1"/>
    <n v="9"/>
    <n v="7"/>
    <n v="7"/>
    <n v="0"/>
    <x v="1"/>
    <s v=""/>
    <s v=""/>
    <s v=""/>
  </r>
  <r>
    <x v="0"/>
    <x v="0"/>
    <x v="1"/>
    <n v="0"/>
    <s v="Non-Travel"/>
    <n v="267"/>
    <x v="0"/>
    <n v="10"/>
    <n v="2"/>
    <s v="Life Sciences"/>
    <n v="1"/>
    <x v="446"/>
    <n v="4"/>
    <x v="2"/>
    <x v="1"/>
    <n v="56"/>
    <n v="3"/>
    <n v="2"/>
    <x v="0"/>
    <n v="4"/>
    <x v="0"/>
    <s v="Single"/>
    <x v="433"/>
    <x v="0"/>
    <n v="13430"/>
    <n v="7"/>
    <s v="Y"/>
    <x v="1"/>
    <n v="14"/>
    <x v="0"/>
    <x v="0"/>
    <n v="4"/>
    <n v="80"/>
    <n v="0"/>
    <n v="16"/>
    <n v="3"/>
    <n v="3"/>
    <x v="13"/>
    <n v="3"/>
    <n v="1"/>
    <n v="10"/>
    <n v="1"/>
    <x v="1"/>
    <s v=""/>
    <s v=""/>
    <s v=""/>
  </r>
  <r>
    <x v="10"/>
    <x v="0"/>
    <x v="1"/>
    <n v="0"/>
    <s v="Travel_Rarely"/>
    <n v="619"/>
    <x v="0"/>
    <n v="1"/>
    <n v="3"/>
    <s v="Marketing"/>
    <n v="1"/>
    <x v="447"/>
    <n v="2"/>
    <x v="0"/>
    <x v="1"/>
    <n v="85"/>
    <n v="3"/>
    <n v="2"/>
    <x v="0"/>
    <n v="3"/>
    <x v="2"/>
    <s v="Married"/>
    <x v="434"/>
    <x v="0"/>
    <n v="18659"/>
    <n v="9"/>
    <s v="Y"/>
    <x v="1"/>
    <n v="11"/>
    <x v="0"/>
    <x v="0"/>
    <n v="3"/>
    <n v="80"/>
    <n v="0"/>
    <n v="15"/>
    <n v="2"/>
    <n v="3"/>
    <x v="19"/>
    <n v="9"/>
    <n v="6"/>
    <n v="9"/>
    <n v="1"/>
    <x v="1"/>
    <s v=""/>
    <s v=""/>
    <s v=""/>
  </r>
  <r>
    <x v="32"/>
    <x v="0"/>
    <x v="1"/>
    <n v="0"/>
    <s v="Travel_Rarely"/>
    <n v="302"/>
    <x v="1"/>
    <n v="6"/>
    <n v="3"/>
    <s v="Life Sciences"/>
    <n v="1"/>
    <x v="448"/>
    <n v="2"/>
    <x v="0"/>
    <x v="0"/>
    <n v="75"/>
    <n v="3"/>
    <n v="4"/>
    <x v="3"/>
    <n v="3"/>
    <x v="2"/>
    <s v="Single"/>
    <x v="435"/>
    <x v="3"/>
    <n v="20364"/>
    <n v="7"/>
    <s v="Y"/>
    <x v="1"/>
    <n v="15"/>
    <x v="0"/>
    <x v="0"/>
    <n v="3"/>
    <n v="80"/>
    <n v="0"/>
    <n v="22"/>
    <n v="3"/>
    <n v="3"/>
    <x v="23"/>
    <n v="6"/>
    <n v="5"/>
    <n v="13"/>
    <n v="0"/>
    <x v="1"/>
    <s v=""/>
    <s v=""/>
    <s v=""/>
  </r>
  <r>
    <x v="22"/>
    <x v="0"/>
    <x v="1"/>
    <n v="0"/>
    <s v="Travel_Frequently"/>
    <n v="443"/>
    <x v="1"/>
    <n v="8"/>
    <n v="1"/>
    <s v="Life Sciences"/>
    <n v="1"/>
    <x v="449"/>
    <n v="3"/>
    <x v="1"/>
    <x v="0"/>
    <n v="48"/>
    <n v="3"/>
    <n v="1"/>
    <x v="2"/>
    <n v="3"/>
    <x v="2"/>
    <s v="Married"/>
    <x v="436"/>
    <x v="1"/>
    <n v="17872"/>
    <n v="1"/>
    <s v="Y"/>
    <x v="1"/>
    <n v="11"/>
    <x v="0"/>
    <x v="0"/>
    <n v="1"/>
    <n v="80"/>
    <n v="1"/>
    <n v="8"/>
    <n v="3"/>
    <n v="3"/>
    <x v="3"/>
    <n v="3"/>
    <n v="0"/>
    <n v="7"/>
    <n v="3"/>
    <x v="2"/>
    <s v=""/>
    <s v=""/>
    <s v=""/>
  </r>
  <r>
    <x v="12"/>
    <x v="2"/>
    <x v="1"/>
    <n v="0"/>
    <s v="Travel_Rarely"/>
    <n v="828"/>
    <x v="0"/>
    <n v="2"/>
    <n v="1"/>
    <s v="Life Sciences"/>
    <n v="1"/>
    <x v="450"/>
    <n v="2"/>
    <x v="0"/>
    <x v="1"/>
    <n v="77"/>
    <n v="3"/>
    <n v="2"/>
    <x v="0"/>
    <n v="4"/>
    <x v="0"/>
    <s v="Single"/>
    <x v="437"/>
    <x v="0"/>
    <n v="8346"/>
    <n v="4"/>
    <s v="Y"/>
    <x v="0"/>
    <n v="13"/>
    <x v="0"/>
    <x v="0"/>
    <n v="3"/>
    <n v="80"/>
    <n v="0"/>
    <n v="10"/>
    <n v="2"/>
    <n v="4"/>
    <x v="0"/>
    <n v="5"/>
    <n v="0"/>
    <n v="5"/>
    <n v="4"/>
    <x v="2"/>
    <s v=""/>
    <s v=""/>
    <s v=""/>
  </r>
  <r>
    <x v="19"/>
    <x v="0"/>
    <x v="1"/>
    <n v="0"/>
    <s v="Travel_Rarely"/>
    <n v="319"/>
    <x v="1"/>
    <n v="24"/>
    <n v="3"/>
    <s v="Medical"/>
    <n v="1"/>
    <x v="451"/>
    <n v="4"/>
    <x v="2"/>
    <x v="1"/>
    <n v="56"/>
    <n v="3"/>
    <n v="3"/>
    <x v="3"/>
    <n v="1"/>
    <x v="3"/>
    <s v="Married"/>
    <x v="438"/>
    <x v="0"/>
    <n v="6950"/>
    <n v="1"/>
    <s v="Y"/>
    <x v="0"/>
    <n v="21"/>
    <x v="1"/>
    <x v="1"/>
    <n v="4"/>
    <n v="80"/>
    <n v="1"/>
    <n v="10"/>
    <n v="5"/>
    <n v="2"/>
    <x v="1"/>
    <n v="9"/>
    <n v="5"/>
    <n v="8"/>
    <n v="5"/>
    <x v="2"/>
    <s v=""/>
    <s v=""/>
    <s v=""/>
  </r>
  <r>
    <x v="28"/>
    <x v="1"/>
    <x v="1"/>
    <n v="0"/>
    <s v="Travel_Rarely"/>
    <n v="561"/>
    <x v="0"/>
    <n v="2"/>
    <n v="3"/>
    <s v="Other"/>
    <n v="1"/>
    <x v="452"/>
    <n v="4"/>
    <x v="2"/>
    <x v="1"/>
    <n v="61"/>
    <n v="3"/>
    <n v="2"/>
    <x v="0"/>
    <n v="2"/>
    <x v="1"/>
    <s v="Married"/>
    <x v="439"/>
    <x v="0"/>
    <n v="16177"/>
    <n v="0"/>
    <s v="Y"/>
    <x v="1"/>
    <n v="19"/>
    <x v="2"/>
    <x v="0"/>
    <n v="2"/>
    <n v="80"/>
    <n v="1"/>
    <n v="9"/>
    <n v="3"/>
    <n v="4"/>
    <x v="3"/>
    <n v="7"/>
    <n v="3"/>
    <n v="7"/>
    <n v="1"/>
    <x v="1"/>
    <s v=""/>
    <s v=""/>
    <s v=""/>
  </r>
  <r>
    <x v="25"/>
    <x v="2"/>
    <x v="0"/>
    <n v="1"/>
    <s v="Travel_Frequently"/>
    <n v="426"/>
    <x v="2"/>
    <n v="17"/>
    <n v="4"/>
    <s v="Life Sciences"/>
    <n v="1"/>
    <x v="453"/>
    <n v="2"/>
    <x v="0"/>
    <x v="0"/>
    <n v="58"/>
    <n v="3"/>
    <n v="1"/>
    <x v="8"/>
    <n v="3"/>
    <x v="2"/>
    <s v="Divorced"/>
    <x v="199"/>
    <x v="1"/>
    <n v="22808"/>
    <n v="0"/>
    <s v="Y"/>
    <x v="0"/>
    <n v="11"/>
    <x v="0"/>
    <x v="0"/>
    <n v="2"/>
    <n v="80"/>
    <n v="1"/>
    <n v="8"/>
    <n v="2"/>
    <n v="2"/>
    <x v="5"/>
    <n v="7"/>
    <n v="1"/>
    <n v="0"/>
    <s v=""/>
    <x v="0"/>
    <s v=""/>
    <s v=""/>
    <s v=""/>
  </r>
  <r>
    <x v="11"/>
    <x v="2"/>
    <x v="1"/>
    <n v="0"/>
    <s v="Travel_Rarely"/>
    <n v="232"/>
    <x v="1"/>
    <n v="19"/>
    <n v="3"/>
    <s v="Technical Degree"/>
    <n v="1"/>
    <x v="454"/>
    <n v="4"/>
    <x v="2"/>
    <x v="1"/>
    <n v="34"/>
    <n v="3"/>
    <n v="2"/>
    <x v="3"/>
    <n v="4"/>
    <x v="0"/>
    <s v="Divorced"/>
    <x v="440"/>
    <x v="0"/>
    <n v="22645"/>
    <n v="4"/>
    <s v="Y"/>
    <x v="1"/>
    <n v="12"/>
    <x v="0"/>
    <x v="0"/>
    <n v="2"/>
    <n v="80"/>
    <n v="2"/>
    <n v="8"/>
    <n v="2"/>
    <n v="4"/>
    <x v="11"/>
    <n v="2"/>
    <n v="1"/>
    <n v="2"/>
    <n v="2"/>
    <x v="1"/>
    <s v=""/>
    <s v=""/>
    <s v=""/>
  </r>
  <r>
    <x v="3"/>
    <x v="2"/>
    <x v="1"/>
    <n v="0"/>
    <s v="Travel_Rarely"/>
    <n v="922"/>
    <x v="1"/>
    <n v="1"/>
    <n v="5"/>
    <s v="Medical"/>
    <n v="1"/>
    <x v="455"/>
    <n v="1"/>
    <x v="3"/>
    <x v="0"/>
    <n v="95"/>
    <n v="4"/>
    <n v="4"/>
    <x v="7"/>
    <n v="3"/>
    <x v="2"/>
    <s v="Divorced"/>
    <x v="441"/>
    <x v="4"/>
    <n v="22578"/>
    <n v="4"/>
    <s v="Y"/>
    <x v="1"/>
    <n v="19"/>
    <x v="2"/>
    <x v="0"/>
    <n v="3"/>
    <n v="80"/>
    <n v="1"/>
    <n v="10"/>
    <n v="2"/>
    <n v="3"/>
    <x v="0"/>
    <n v="1"/>
    <n v="0"/>
    <n v="5"/>
    <n v="1"/>
    <x v="1"/>
    <s v=""/>
    <s v=""/>
    <s v=""/>
  </r>
  <r>
    <x v="12"/>
    <x v="2"/>
    <x v="1"/>
    <n v="0"/>
    <s v="Travel_Rarely"/>
    <n v="688"/>
    <x v="0"/>
    <n v="7"/>
    <n v="3"/>
    <s v="Life Sciences"/>
    <n v="1"/>
    <x v="456"/>
    <n v="3"/>
    <x v="1"/>
    <x v="1"/>
    <n v="44"/>
    <n v="2"/>
    <n v="3"/>
    <x v="5"/>
    <n v="4"/>
    <x v="0"/>
    <s v="Divorced"/>
    <x v="442"/>
    <x v="2"/>
    <n v="25291"/>
    <n v="9"/>
    <s v="Y"/>
    <x v="1"/>
    <n v="21"/>
    <x v="1"/>
    <x v="1"/>
    <n v="3"/>
    <n v="80"/>
    <n v="1"/>
    <n v="10"/>
    <n v="3"/>
    <n v="2"/>
    <x v="8"/>
    <n v="4"/>
    <n v="0"/>
    <n v="1"/>
    <n v="1"/>
    <x v="1"/>
    <s v=""/>
    <s v=""/>
    <s v=""/>
  </r>
  <r>
    <x v="41"/>
    <x v="4"/>
    <x v="0"/>
    <n v="1"/>
    <s v="Travel_Frequently"/>
    <n v="1306"/>
    <x v="0"/>
    <n v="5"/>
    <n v="3"/>
    <s v="Marketing"/>
    <n v="1"/>
    <x v="457"/>
    <n v="2"/>
    <x v="0"/>
    <x v="1"/>
    <n v="69"/>
    <n v="3"/>
    <n v="1"/>
    <x v="6"/>
    <n v="2"/>
    <x v="1"/>
    <s v="Single"/>
    <x v="443"/>
    <x v="1"/>
    <n v="8059"/>
    <n v="1"/>
    <s v="Y"/>
    <x v="0"/>
    <n v="14"/>
    <x v="0"/>
    <x v="0"/>
    <n v="4"/>
    <n v="80"/>
    <n v="0"/>
    <n v="0"/>
    <n v="3"/>
    <n v="3"/>
    <x v="2"/>
    <n v="0"/>
    <n v="0"/>
    <n v="0"/>
    <s v=""/>
    <x v="0"/>
    <s v=""/>
    <s v=""/>
    <s v=""/>
  </r>
  <r>
    <x v="32"/>
    <x v="0"/>
    <x v="1"/>
    <n v="0"/>
    <s v="Non-Travel"/>
    <n v="1094"/>
    <x v="0"/>
    <n v="28"/>
    <n v="3"/>
    <s v="Other"/>
    <n v="1"/>
    <x v="458"/>
    <n v="3"/>
    <x v="1"/>
    <x v="1"/>
    <n v="58"/>
    <n v="1"/>
    <n v="3"/>
    <x v="0"/>
    <n v="1"/>
    <x v="3"/>
    <s v="Divorced"/>
    <x v="444"/>
    <x v="2"/>
    <n v="11373"/>
    <n v="3"/>
    <s v="Y"/>
    <x v="1"/>
    <n v="15"/>
    <x v="0"/>
    <x v="0"/>
    <n v="3"/>
    <n v="80"/>
    <n v="1"/>
    <n v="20"/>
    <n v="2"/>
    <n v="3"/>
    <x v="6"/>
    <n v="0"/>
    <n v="0"/>
    <n v="1"/>
    <n v="2"/>
    <x v="1"/>
    <s v=""/>
    <s v=""/>
    <s v=""/>
  </r>
  <r>
    <x v="0"/>
    <x v="0"/>
    <x v="1"/>
    <n v="0"/>
    <s v="Non-Travel"/>
    <n v="509"/>
    <x v="1"/>
    <n v="2"/>
    <n v="4"/>
    <s v="Other"/>
    <n v="1"/>
    <x v="459"/>
    <n v="1"/>
    <x v="3"/>
    <x v="0"/>
    <n v="62"/>
    <n v="2"/>
    <n v="2"/>
    <x v="4"/>
    <n v="3"/>
    <x v="2"/>
    <s v="Single"/>
    <x v="445"/>
    <x v="0"/>
    <n v="2112"/>
    <n v="2"/>
    <s v="Y"/>
    <x v="0"/>
    <n v="17"/>
    <x v="2"/>
    <x v="0"/>
    <n v="1"/>
    <n v="80"/>
    <n v="0"/>
    <n v="10"/>
    <n v="3"/>
    <n v="3"/>
    <x v="3"/>
    <n v="7"/>
    <n v="0"/>
    <n v="7"/>
    <n v="3"/>
    <x v="2"/>
    <s v=""/>
    <s v=""/>
    <s v=""/>
  </r>
  <r>
    <x v="25"/>
    <x v="2"/>
    <x v="1"/>
    <n v="0"/>
    <s v="Travel_Rarely"/>
    <n v="775"/>
    <x v="0"/>
    <n v="29"/>
    <n v="2"/>
    <s v="Medical"/>
    <n v="1"/>
    <x v="460"/>
    <n v="1"/>
    <x v="3"/>
    <x v="1"/>
    <n v="45"/>
    <n v="3"/>
    <n v="2"/>
    <x v="0"/>
    <n v="3"/>
    <x v="2"/>
    <s v="Divorced"/>
    <x v="383"/>
    <x v="0"/>
    <n v="4267"/>
    <n v="5"/>
    <s v="Y"/>
    <x v="1"/>
    <n v="12"/>
    <x v="0"/>
    <x v="0"/>
    <n v="1"/>
    <n v="80"/>
    <n v="2"/>
    <n v="8"/>
    <n v="5"/>
    <n v="3"/>
    <x v="2"/>
    <n v="0"/>
    <n v="0"/>
    <n v="0"/>
    <n v="2"/>
    <x v="1"/>
    <s v=""/>
    <s v=""/>
    <s v=""/>
  </r>
  <r>
    <x v="10"/>
    <x v="0"/>
    <x v="1"/>
    <n v="0"/>
    <s v="Travel_Rarely"/>
    <n v="195"/>
    <x v="0"/>
    <n v="1"/>
    <n v="3"/>
    <s v="Medical"/>
    <n v="1"/>
    <x v="461"/>
    <n v="1"/>
    <x v="3"/>
    <x v="0"/>
    <n v="80"/>
    <n v="3"/>
    <n v="2"/>
    <x v="0"/>
    <n v="3"/>
    <x v="2"/>
    <s v="Single"/>
    <x v="446"/>
    <x v="0"/>
    <n v="6698"/>
    <n v="1"/>
    <s v="Y"/>
    <x v="1"/>
    <n v="16"/>
    <x v="2"/>
    <x v="0"/>
    <n v="4"/>
    <n v="80"/>
    <n v="0"/>
    <n v="5"/>
    <n v="3"/>
    <n v="3"/>
    <x v="8"/>
    <n v="4"/>
    <n v="0"/>
    <n v="3"/>
    <n v="1"/>
    <x v="1"/>
    <s v=""/>
    <s v=""/>
    <s v=""/>
  </r>
  <r>
    <x v="13"/>
    <x v="2"/>
    <x v="1"/>
    <n v="0"/>
    <s v="Travel_Rarely"/>
    <n v="258"/>
    <x v="0"/>
    <n v="21"/>
    <n v="4"/>
    <s v="Life Sciences"/>
    <n v="1"/>
    <x v="462"/>
    <n v="4"/>
    <x v="2"/>
    <x v="1"/>
    <n v="74"/>
    <n v="4"/>
    <n v="2"/>
    <x v="0"/>
    <n v="4"/>
    <x v="0"/>
    <s v="Single"/>
    <x v="447"/>
    <x v="0"/>
    <n v="19921"/>
    <n v="1"/>
    <s v="Y"/>
    <x v="1"/>
    <n v="12"/>
    <x v="0"/>
    <x v="0"/>
    <n v="4"/>
    <n v="80"/>
    <n v="0"/>
    <n v="10"/>
    <n v="3"/>
    <n v="3"/>
    <x v="1"/>
    <n v="7"/>
    <n v="5"/>
    <n v="7"/>
    <n v="2"/>
    <x v="1"/>
    <s v=""/>
    <s v=""/>
    <s v=""/>
  </r>
  <r>
    <x v="25"/>
    <x v="2"/>
    <x v="0"/>
    <n v="1"/>
    <s v="Travel_Rarely"/>
    <n v="471"/>
    <x v="1"/>
    <n v="24"/>
    <n v="3"/>
    <s v="Technical Degree"/>
    <n v="1"/>
    <x v="463"/>
    <n v="3"/>
    <x v="1"/>
    <x v="1"/>
    <n v="66"/>
    <n v="1"/>
    <n v="1"/>
    <x v="2"/>
    <n v="4"/>
    <x v="0"/>
    <s v="Single"/>
    <x v="246"/>
    <x v="1"/>
    <n v="23213"/>
    <n v="1"/>
    <s v="Y"/>
    <x v="0"/>
    <n v="18"/>
    <x v="2"/>
    <x v="0"/>
    <n v="2"/>
    <n v="80"/>
    <n v="0"/>
    <n v="1"/>
    <n v="3"/>
    <n v="1"/>
    <x v="6"/>
    <n v="0"/>
    <n v="0"/>
    <n v="0"/>
    <s v=""/>
    <x v="0"/>
    <s v=""/>
    <s v=""/>
    <s v=""/>
  </r>
  <r>
    <x v="2"/>
    <x v="0"/>
    <x v="1"/>
    <n v="0"/>
    <s v="Travel_Rarely"/>
    <n v="799"/>
    <x v="1"/>
    <n v="1"/>
    <n v="3"/>
    <s v="Technical Degree"/>
    <n v="1"/>
    <x v="464"/>
    <n v="2"/>
    <x v="0"/>
    <x v="0"/>
    <n v="59"/>
    <n v="3"/>
    <n v="3"/>
    <x v="3"/>
    <n v="4"/>
    <x v="0"/>
    <s v="Single"/>
    <x v="448"/>
    <x v="0"/>
    <n v="23848"/>
    <n v="4"/>
    <s v="Y"/>
    <x v="1"/>
    <n v="17"/>
    <x v="2"/>
    <x v="0"/>
    <n v="4"/>
    <n v="80"/>
    <n v="0"/>
    <n v="12"/>
    <n v="3"/>
    <n v="4"/>
    <x v="0"/>
    <n v="5"/>
    <n v="1"/>
    <n v="2"/>
    <n v="1"/>
    <x v="1"/>
    <s v=""/>
    <s v=""/>
    <s v=""/>
  </r>
  <r>
    <x v="21"/>
    <x v="1"/>
    <x v="1"/>
    <n v="0"/>
    <s v="Travel_Frequently"/>
    <n v="1034"/>
    <x v="1"/>
    <n v="18"/>
    <n v="1"/>
    <s v="Medical"/>
    <n v="1"/>
    <x v="465"/>
    <n v="1"/>
    <x v="3"/>
    <x v="0"/>
    <n v="86"/>
    <n v="3"/>
    <n v="3"/>
    <x v="4"/>
    <n v="3"/>
    <x v="2"/>
    <s v="Married"/>
    <x v="449"/>
    <x v="2"/>
    <n v="8984"/>
    <n v="5"/>
    <s v="Y"/>
    <x v="1"/>
    <n v="11"/>
    <x v="0"/>
    <x v="0"/>
    <n v="4"/>
    <n v="80"/>
    <n v="0"/>
    <n v="28"/>
    <n v="3"/>
    <n v="2"/>
    <x v="4"/>
    <n v="2"/>
    <n v="1"/>
    <n v="2"/>
    <n v="0"/>
    <x v="1"/>
    <s v=""/>
    <s v=""/>
    <s v=""/>
  </r>
  <r>
    <x v="0"/>
    <x v="0"/>
    <x v="1"/>
    <n v="0"/>
    <s v="Travel_Rarely"/>
    <n v="1276"/>
    <x v="0"/>
    <n v="2"/>
    <n v="5"/>
    <s v="Life Sciences"/>
    <n v="1"/>
    <x v="466"/>
    <n v="2"/>
    <x v="0"/>
    <x v="0"/>
    <n v="91"/>
    <n v="3"/>
    <n v="4"/>
    <x v="5"/>
    <n v="1"/>
    <x v="3"/>
    <s v="Married"/>
    <x v="450"/>
    <x v="4"/>
    <n v="5626"/>
    <n v="7"/>
    <s v="Y"/>
    <x v="1"/>
    <n v="16"/>
    <x v="2"/>
    <x v="0"/>
    <n v="2"/>
    <n v="80"/>
    <n v="1"/>
    <n v="22"/>
    <n v="2"/>
    <n v="3"/>
    <x v="29"/>
    <n v="16"/>
    <n v="11"/>
    <n v="8"/>
    <n v="2"/>
    <x v="1"/>
    <s v=""/>
    <s v=""/>
    <s v=""/>
  </r>
  <r>
    <x v="2"/>
    <x v="0"/>
    <x v="1"/>
    <n v="0"/>
    <s v="Non-Travel"/>
    <n v="142"/>
    <x v="0"/>
    <n v="9"/>
    <n v="4"/>
    <s v="Medical"/>
    <n v="1"/>
    <x v="467"/>
    <n v="1"/>
    <x v="3"/>
    <x v="1"/>
    <n v="69"/>
    <n v="3"/>
    <n v="3"/>
    <x v="0"/>
    <n v="2"/>
    <x v="1"/>
    <s v="Divorced"/>
    <x v="451"/>
    <x v="2"/>
    <n v="24666"/>
    <n v="1"/>
    <s v="Y"/>
    <x v="1"/>
    <n v="13"/>
    <x v="0"/>
    <x v="0"/>
    <n v="4"/>
    <n v="80"/>
    <n v="1"/>
    <n v="9"/>
    <n v="6"/>
    <n v="3"/>
    <x v="7"/>
    <n v="5"/>
    <n v="7"/>
    <n v="7"/>
    <n v="0"/>
    <x v="1"/>
    <s v=""/>
    <s v=""/>
    <s v=""/>
  </r>
  <r>
    <x v="39"/>
    <x v="1"/>
    <x v="1"/>
    <n v="0"/>
    <s v="Travel_Rarely"/>
    <n v="956"/>
    <x v="1"/>
    <n v="6"/>
    <n v="2"/>
    <s v="Technical Degree"/>
    <n v="1"/>
    <x v="468"/>
    <n v="4"/>
    <x v="2"/>
    <x v="1"/>
    <n v="78"/>
    <n v="3"/>
    <n v="2"/>
    <x v="1"/>
    <n v="1"/>
    <x v="3"/>
    <s v="Divorced"/>
    <x v="452"/>
    <x v="0"/>
    <n v="22087"/>
    <n v="3"/>
    <s v="Y"/>
    <x v="0"/>
    <n v="12"/>
    <x v="0"/>
    <x v="0"/>
    <n v="2"/>
    <n v="80"/>
    <n v="2"/>
    <n v="18"/>
    <n v="3"/>
    <n v="3"/>
    <x v="1"/>
    <n v="9"/>
    <n v="6"/>
    <n v="9"/>
    <n v="5"/>
    <x v="2"/>
    <s v=""/>
    <s v=""/>
    <s v=""/>
  </r>
  <r>
    <x v="5"/>
    <x v="2"/>
    <x v="0"/>
    <n v="1"/>
    <s v="Non-Travel"/>
    <n v="1474"/>
    <x v="0"/>
    <n v="11"/>
    <n v="4"/>
    <s v="Other"/>
    <n v="1"/>
    <x v="469"/>
    <n v="4"/>
    <x v="2"/>
    <x v="1"/>
    <n v="60"/>
    <n v="4"/>
    <n v="2"/>
    <x v="0"/>
    <n v="3"/>
    <x v="2"/>
    <s v="Married"/>
    <x v="453"/>
    <x v="0"/>
    <n v="23914"/>
    <n v="8"/>
    <s v="Y"/>
    <x v="1"/>
    <n v="12"/>
    <x v="0"/>
    <x v="0"/>
    <n v="4"/>
    <n v="80"/>
    <n v="0"/>
    <n v="6"/>
    <n v="2"/>
    <n v="3"/>
    <x v="9"/>
    <n v="2"/>
    <n v="1"/>
    <n v="2"/>
    <s v=""/>
    <x v="0"/>
    <s v=""/>
    <s v=""/>
    <s v=""/>
  </r>
  <r>
    <x v="17"/>
    <x v="4"/>
    <x v="1"/>
    <n v="0"/>
    <s v="Travel_Frequently"/>
    <n v="535"/>
    <x v="0"/>
    <n v="24"/>
    <n v="3"/>
    <s v="Medical"/>
    <n v="1"/>
    <x v="470"/>
    <n v="4"/>
    <x v="2"/>
    <x v="1"/>
    <n v="38"/>
    <n v="3"/>
    <n v="1"/>
    <x v="6"/>
    <n v="4"/>
    <x v="0"/>
    <s v="Married"/>
    <x v="454"/>
    <x v="1"/>
    <n v="5530"/>
    <n v="0"/>
    <s v="Y"/>
    <x v="1"/>
    <n v="13"/>
    <x v="0"/>
    <x v="0"/>
    <n v="3"/>
    <n v="80"/>
    <n v="2"/>
    <n v="3"/>
    <n v="3"/>
    <n v="3"/>
    <x v="4"/>
    <n v="2"/>
    <n v="2"/>
    <n v="1"/>
    <n v="6"/>
    <x v="3"/>
    <n v="33"/>
    <s v=""/>
    <n v="59368"/>
  </r>
  <r>
    <x v="8"/>
    <x v="0"/>
    <x v="1"/>
    <n v="0"/>
    <s v="Travel_Rarely"/>
    <n v="1495"/>
    <x v="1"/>
    <n v="10"/>
    <n v="3"/>
    <s v="Medical"/>
    <n v="1"/>
    <x v="471"/>
    <n v="3"/>
    <x v="1"/>
    <x v="0"/>
    <n v="76"/>
    <n v="3"/>
    <n v="2"/>
    <x v="4"/>
    <n v="3"/>
    <x v="2"/>
    <s v="Married"/>
    <x v="427"/>
    <x v="2"/>
    <n v="22174"/>
    <n v="3"/>
    <s v="Y"/>
    <x v="1"/>
    <n v="19"/>
    <x v="2"/>
    <x v="0"/>
    <n v="3"/>
    <n v="80"/>
    <n v="1"/>
    <n v="18"/>
    <n v="4"/>
    <n v="3"/>
    <x v="6"/>
    <n v="0"/>
    <n v="0"/>
    <n v="0"/>
    <n v="0"/>
    <x v="1"/>
    <s v=""/>
    <s v=""/>
    <s v=""/>
  </r>
  <r>
    <x v="2"/>
    <x v="0"/>
    <x v="1"/>
    <n v="0"/>
    <s v="Travel_Rarely"/>
    <n v="446"/>
    <x v="1"/>
    <n v="1"/>
    <n v="4"/>
    <s v="Life Sciences"/>
    <n v="1"/>
    <x v="472"/>
    <n v="2"/>
    <x v="0"/>
    <x v="0"/>
    <n v="65"/>
    <n v="3"/>
    <n v="2"/>
    <x v="3"/>
    <n v="2"/>
    <x v="1"/>
    <s v="Married"/>
    <x v="455"/>
    <x v="0"/>
    <n v="15701"/>
    <n v="6"/>
    <s v="Y"/>
    <x v="1"/>
    <n v="12"/>
    <x v="0"/>
    <x v="0"/>
    <n v="2"/>
    <n v="80"/>
    <n v="1"/>
    <n v="8"/>
    <n v="2"/>
    <n v="2"/>
    <x v="0"/>
    <n v="5"/>
    <n v="4"/>
    <n v="3"/>
    <n v="1"/>
    <x v="1"/>
    <s v=""/>
    <s v=""/>
    <s v=""/>
  </r>
  <r>
    <x v="1"/>
    <x v="1"/>
    <x v="1"/>
    <n v="0"/>
    <s v="Travel_Rarely"/>
    <n v="1245"/>
    <x v="1"/>
    <n v="18"/>
    <n v="4"/>
    <s v="Life Sciences"/>
    <n v="1"/>
    <x v="473"/>
    <n v="4"/>
    <x v="2"/>
    <x v="1"/>
    <n v="58"/>
    <n v="2"/>
    <n v="5"/>
    <x v="7"/>
    <n v="3"/>
    <x v="2"/>
    <s v="Divorced"/>
    <x v="456"/>
    <x v="4"/>
    <n v="2125"/>
    <n v="1"/>
    <s v="Y"/>
    <x v="0"/>
    <n v="17"/>
    <x v="2"/>
    <x v="0"/>
    <n v="3"/>
    <n v="80"/>
    <n v="1"/>
    <n v="31"/>
    <n v="5"/>
    <n v="3"/>
    <x v="31"/>
    <n v="9"/>
    <n v="0"/>
    <n v="9"/>
    <n v="2"/>
    <x v="1"/>
    <s v=""/>
    <s v=""/>
    <s v=""/>
  </r>
  <r>
    <x v="17"/>
    <x v="4"/>
    <x v="1"/>
    <n v="0"/>
    <s v="Travel_Rarely"/>
    <n v="691"/>
    <x v="1"/>
    <n v="23"/>
    <n v="3"/>
    <s v="Medical"/>
    <n v="1"/>
    <x v="474"/>
    <n v="2"/>
    <x v="0"/>
    <x v="1"/>
    <n v="89"/>
    <n v="4"/>
    <n v="1"/>
    <x v="1"/>
    <n v="4"/>
    <x v="0"/>
    <s v="Married"/>
    <x v="457"/>
    <x v="1"/>
    <n v="21630"/>
    <n v="1"/>
    <s v="Y"/>
    <x v="0"/>
    <n v="11"/>
    <x v="0"/>
    <x v="0"/>
    <n v="2"/>
    <n v="80"/>
    <n v="2"/>
    <n v="6"/>
    <n v="3"/>
    <n v="3"/>
    <x v="0"/>
    <n v="5"/>
    <n v="1"/>
    <n v="4"/>
    <n v="6"/>
    <x v="3"/>
    <n v="34"/>
    <s v=""/>
    <n v="59361"/>
  </r>
  <r>
    <x v="25"/>
    <x v="2"/>
    <x v="1"/>
    <n v="0"/>
    <s v="Travel_Rarely"/>
    <n v="703"/>
    <x v="0"/>
    <n v="28"/>
    <n v="2"/>
    <s v="Marketing"/>
    <n v="1"/>
    <x v="475"/>
    <n v="1"/>
    <x v="3"/>
    <x v="1"/>
    <n v="66"/>
    <n v="3"/>
    <n v="2"/>
    <x v="0"/>
    <n v="2"/>
    <x v="1"/>
    <s v="Married"/>
    <x v="458"/>
    <x v="0"/>
    <n v="7428"/>
    <n v="1"/>
    <s v="Y"/>
    <x v="1"/>
    <n v="20"/>
    <x v="2"/>
    <x v="1"/>
    <n v="4"/>
    <n v="80"/>
    <n v="2"/>
    <n v="6"/>
    <n v="5"/>
    <n v="4"/>
    <x v="8"/>
    <n v="3"/>
    <n v="1"/>
    <n v="4"/>
    <n v="2"/>
    <x v="1"/>
    <s v=""/>
    <s v=""/>
    <s v=""/>
  </r>
  <r>
    <x v="17"/>
    <x v="4"/>
    <x v="1"/>
    <n v="0"/>
    <s v="Travel_Rarely"/>
    <n v="823"/>
    <x v="1"/>
    <n v="17"/>
    <n v="2"/>
    <s v="Other"/>
    <n v="1"/>
    <x v="476"/>
    <n v="4"/>
    <x v="2"/>
    <x v="1"/>
    <n v="94"/>
    <n v="2"/>
    <n v="1"/>
    <x v="2"/>
    <n v="2"/>
    <x v="1"/>
    <s v="Married"/>
    <x v="459"/>
    <x v="1"/>
    <n v="9100"/>
    <n v="1"/>
    <s v="Y"/>
    <x v="1"/>
    <n v="21"/>
    <x v="1"/>
    <x v="1"/>
    <n v="4"/>
    <n v="80"/>
    <n v="1"/>
    <n v="1"/>
    <n v="2"/>
    <n v="3"/>
    <x v="6"/>
    <n v="0"/>
    <n v="0"/>
    <n v="0"/>
    <n v="5"/>
    <x v="2"/>
    <s v=""/>
    <s v=""/>
    <s v=""/>
  </r>
  <r>
    <x v="24"/>
    <x v="1"/>
    <x v="1"/>
    <n v="0"/>
    <s v="Travel_Frequently"/>
    <n v="1246"/>
    <x v="2"/>
    <n v="3"/>
    <n v="3"/>
    <s v="Medical"/>
    <n v="1"/>
    <x v="477"/>
    <n v="1"/>
    <x v="3"/>
    <x v="1"/>
    <n v="99"/>
    <n v="3"/>
    <n v="5"/>
    <x v="5"/>
    <n v="2"/>
    <x v="1"/>
    <s v="Married"/>
    <x v="460"/>
    <x v="4"/>
    <n v="7999"/>
    <n v="1"/>
    <s v="Y"/>
    <x v="1"/>
    <n v="11"/>
    <x v="0"/>
    <x v="0"/>
    <n v="3"/>
    <n v="80"/>
    <n v="1"/>
    <n v="32"/>
    <n v="2"/>
    <n v="3"/>
    <x v="32"/>
    <n v="5"/>
    <n v="10"/>
    <n v="7"/>
    <n v="0"/>
    <x v="1"/>
    <s v=""/>
    <s v=""/>
    <s v=""/>
  </r>
  <r>
    <x v="36"/>
    <x v="2"/>
    <x v="1"/>
    <n v="0"/>
    <s v="Travel_Rarely"/>
    <n v="622"/>
    <x v="0"/>
    <n v="13"/>
    <n v="1"/>
    <s v="Medical"/>
    <n v="1"/>
    <x v="478"/>
    <n v="2"/>
    <x v="0"/>
    <x v="1"/>
    <n v="40"/>
    <n v="3"/>
    <n v="1"/>
    <x v="6"/>
    <n v="3"/>
    <x v="2"/>
    <s v="Married"/>
    <x v="461"/>
    <x v="1"/>
    <n v="26376"/>
    <n v="1"/>
    <s v="Y"/>
    <x v="1"/>
    <n v="11"/>
    <x v="0"/>
    <x v="0"/>
    <n v="3"/>
    <n v="80"/>
    <n v="0"/>
    <n v="7"/>
    <n v="1"/>
    <n v="3"/>
    <x v="5"/>
    <n v="4"/>
    <n v="0"/>
    <n v="6"/>
    <n v="5"/>
    <x v="2"/>
    <s v=""/>
    <s v=""/>
    <s v=""/>
  </r>
  <r>
    <x v="17"/>
    <x v="4"/>
    <x v="0"/>
    <n v="1"/>
    <s v="Travel_Frequently"/>
    <n v="1287"/>
    <x v="1"/>
    <n v="7"/>
    <n v="3"/>
    <s v="Life Sciences"/>
    <n v="1"/>
    <x v="479"/>
    <n v="1"/>
    <x v="3"/>
    <x v="0"/>
    <n v="55"/>
    <n v="3"/>
    <n v="1"/>
    <x v="2"/>
    <n v="3"/>
    <x v="2"/>
    <s v="Married"/>
    <x v="407"/>
    <x v="1"/>
    <n v="14168"/>
    <n v="1"/>
    <s v="Y"/>
    <x v="0"/>
    <n v="16"/>
    <x v="2"/>
    <x v="0"/>
    <n v="4"/>
    <n v="80"/>
    <n v="1"/>
    <n v="6"/>
    <n v="4"/>
    <n v="3"/>
    <x v="0"/>
    <n v="3"/>
    <n v="1"/>
    <n v="2"/>
    <s v=""/>
    <x v="0"/>
    <s v=""/>
    <s v=""/>
    <s v=""/>
  </r>
  <r>
    <x v="7"/>
    <x v="2"/>
    <x v="0"/>
    <n v="1"/>
    <s v="Travel_Frequently"/>
    <n v="448"/>
    <x v="0"/>
    <n v="12"/>
    <n v="4"/>
    <s v="Life Sciences"/>
    <n v="1"/>
    <x v="480"/>
    <n v="2"/>
    <x v="0"/>
    <x v="1"/>
    <n v="74"/>
    <n v="2"/>
    <n v="1"/>
    <x v="6"/>
    <n v="1"/>
    <x v="3"/>
    <s v="Married"/>
    <x v="462"/>
    <x v="1"/>
    <n v="14470"/>
    <n v="1"/>
    <s v="Y"/>
    <x v="1"/>
    <n v="18"/>
    <x v="2"/>
    <x v="0"/>
    <n v="3"/>
    <n v="80"/>
    <n v="1"/>
    <n v="1"/>
    <n v="2"/>
    <n v="4"/>
    <x v="6"/>
    <n v="0"/>
    <n v="0"/>
    <n v="0"/>
    <s v=""/>
    <x v="0"/>
    <s v=""/>
    <s v=""/>
    <s v=""/>
  </r>
  <r>
    <x v="13"/>
    <x v="2"/>
    <x v="1"/>
    <n v="0"/>
    <s v="Travel_Rarely"/>
    <n v="254"/>
    <x v="1"/>
    <n v="1"/>
    <n v="2"/>
    <s v="Life Sciences"/>
    <n v="1"/>
    <x v="481"/>
    <n v="2"/>
    <x v="0"/>
    <x v="1"/>
    <n v="83"/>
    <n v="2"/>
    <n v="1"/>
    <x v="1"/>
    <n v="4"/>
    <x v="0"/>
    <s v="Married"/>
    <x v="463"/>
    <x v="1"/>
    <n v="22794"/>
    <n v="1"/>
    <s v="Y"/>
    <x v="0"/>
    <n v="13"/>
    <x v="0"/>
    <x v="0"/>
    <n v="4"/>
    <n v="80"/>
    <n v="1"/>
    <n v="6"/>
    <n v="3"/>
    <n v="3"/>
    <x v="0"/>
    <n v="5"/>
    <n v="1"/>
    <n v="3"/>
    <n v="5"/>
    <x v="2"/>
    <s v=""/>
    <s v=""/>
    <s v=""/>
  </r>
  <r>
    <x v="12"/>
    <x v="2"/>
    <x v="0"/>
    <n v="1"/>
    <s v="Travel_Rarely"/>
    <n v="1365"/>
    <x v="0"/>
    <n v="13"/>
    <n v="4"/>
    <s v="Medical"/>
    <n v="1"/>
    <x v="482"/>
    <n v="2"/>
    <x v="0"/>
    <x v="1"/>
    <n v="46"/>
    <n v="3"/>
    <n v="2"/>
    <x v="0"/>
    <n v="1"/>
    <x v="3"/>
    <s v="Divorced"/>
    <x v="464"/>
    <x v="0"/>
    <n v="11512"/>
    <n v="2"/>
    <s v="Y"/>
    <x v="1"/>
    <n v="17"/>
    <x v="2"/>
    <x v="0"/>
    <n v="3"/>
    <n v="80"/>
    <n v="0"/>
    <n v="9"/>
    <n v="2"/>
    <n v="1"/>
    <x v="11"/>
    <n v="1"/>
    <n v="1"/>
    <n v="2"/>
    <s v=""/>
    <x v="0"/>
    <s v=""/>
    <s v=""/>
    <s v=""/>
  </r>
  <r>
    <x v="10"/>
    <x v="0"/>
    <x v="1"/>
    <n v="0"/>
    <s v="Travel_Rarely"/>
    <n v="538"/>
    <x v="1"/>
    <n v="25"/>
    <n v="2"/>
    <s v="Other"/>
    <n v="1"/>
    <x v="483"/>
    <n v="1"/>
    <x v="3"/>
    <x v="1"/>
    <n v="54"/>
    <n v="2"/>
    <n v="2"/>
    <x v="2"/>
    <n v="4"/>
    <x v="0"/>
    <s v="Single"/>
    <x v="465"/>
    <x v="1"/>
    <n v="14004"/>
    <n v="4"/>
    <s v="Y"/>
    <x v="1"/>
    <n v="14"/>
    <x v="0"/>
    <x v="0"/>
    <n v="4"/>
    <n v="80"/>
    <n v="0"/>
    <n v="9"/>
    <n v="3"/>
    <n v="3"/>
    <x v="11"/>
    <n v="2"/>
    <n v="0"/>
    <n v="2"/>
    <n v="3"/>
    <x v="2"/>
    <s v=""/>
    <s v=""/>
    <s v=""/>
  </r>
  <r>
    <x v="12"/>
    <x v="2"/>
    <x v="1"/>
    <n v="0"/>
    <s v="Travel_Rarely"/>
    <n v="525"/>
    <x v="0"/>
    <n v="6"/>
    <n v="4"/>
    <s v="Medical"/>
    <n v="1"/>
    <x v="484"/>
    <n v="1"/>
    <x v="3"/>
    <x v="1"/>
    <n v="66"/>
    <n v="4"/>
    <n v="2"/>
    <x v="0"/>
    <n v="4"/>
    <x v="0"/>
    <s v="Divorced"/>
    <x v="466"/>
    <x v="0"/>
    <n v="6219"/>
    <n v="4"/>
    <s v="Y"/>
    <x v="1"/>
    <n v="22"/>
    <x v="1"/>
    <x v="1"/>
    <n v="4"/>
    <n v="80"/>
    <n v="2"/>
    <n v="13"/>
    <n v="4"/>
    <n v="4"/>
    <x v="5"/>
    <n v="7"/>
    <n v="5"/>
    <n v="7"/>
    <n v="2"/>
    <x v="1"/>
    <s v=""/>
    <s v=""/>
    <s v=""/>
  </r>
  <r>
    <x v="4"/>
    <x v="2"/>
    <x v="1"/>
    <n v="0"/>
    <s v="Travel_Rarely"/>
    <n v="798"/>
    <x v="1"/>
    <n v="6"/>
    <n v="4"/>
    <s v="Medical"/>
    <n v="1"/>
    <x v="485"/>
    <n v="1"/>
    <x v="3"/>
    <x v="0"/>
    <n v="66"/>
    <n v="2"/>
    <n v="1"/>
    <x v="1"/>
    <n v="3"/>
    <x v="2"/>
    <s v="Divorced"/>
    <x v="467"/>
    <x v="1"/>
    <n v="5013"/>
    <n v="0"/>
    <s v="Y"/>
    <x v="1"/>
    <n v="12"/>
    <x v="0"/>
    <x v="0"/>
    <n v="3"/>
    <n v="80"/>
    <n v="2"/>
    <n v="6"/>
    <n v="5"/>
    <n v="2"/>
    <x v="8"/>
    <n v="3"/>
    <n v="0"/>
    <n v="3"/>
    <n v="3"/>
    <x v="2"/>
    <s v=""/>
    <s v=""/>
    <s v=""/>
  </r>
  <r>
    <x v="2"/>
    <x v="0"/>
    <x v="1"/>
    <n v="0"/>
    <s v="Travel_Rarely"/>
    <n v="558"/>
    <x v="0"/>
    <n v="2"/>
    <n v="3"/>
    <s v="Marketing"/>
    <n v="1"/>
    <x v="486"/>
    <n v="4"/>
    <x v="2"/>
    <x v="1"/>
    <n v="75"/>
    <n v="3"/>
    <n v="2"/>
    <x v="0"/>
    <n v="3"/>
    <x v="2"/>
    <s v="Married"/>
    <x v="468"/>
    <x v="2"/>
    <n v="3010"/>
    <n v="4"/>
    <s v="Y"/>
    <x v="0"/>
    <n v="11"/>
    <x v="0"/>
    <x v="0"/>
    <n v="3"/>
    <n v="80"/>
    <n v="1"/>
    <n v="17"/>
    <n v="3"/>
    <n v="2"/>
    <x v="11"/>
    <n v="0"/>
    <n v="1"/>
    <n v="0"/>
    <n v="2"/>
    <x v="1"/>
    <s v=""/>
    <s v=""/>
    <s v=""/>
  </r>
  <r>
    <x v="35"/>
    <x v="4"/>
    <x v="1"/>
    <n v="0"/>
    <s v="Travel_Rarely"/>
    <n v="959"/>
    <x v="1"/>
    <n v="1"/>
    <n v="3"/>
    <s v="Life Sciences"/>
    <n v="1"/>
    <x v="487"/>
    <n v="4"/>
    <x v="2"/>
    <x v="0"/>
    <n v="83"/>
    <n v="2"/>
    <n v="1"/>
    <x v="1"/>
    <n v="2"/>
    <x v="1"/>
    <s v="Single"/>
    <x v="469"/>
    <x v="1"/>
    <n v="11757"/>
    <n v="1"/>
    <s v="Y"/>
    <x v="1"/>
    <n v="13"/>
    <x v="0"/>
    <x v="0"/>
    <n v="4"/>
    <n v="80"/>
    <n v="0"/>
    <n v="1"/>
    <n v="0"/>
    <n v="4"/>
    <x v="6"/>
    <n v="0"/>
    <n v="0"/>
    <n v="0"/>
    <n v="4"/>
    <x v="2"/>
    <s v=""/>
    <s v=""/>
    <s v=""/>
  </r>
  <r>
    <x v="19"/>
    <x v="0"/>
    <x v="1"/>
    <n v="0"/>
    <s v="Travel_Rarely"/>
    <n v="622"/>
    <x v="1"/>
    <n v="2"/>
    <n v="4"/>
    <s v="Life Sciences"/>
    <n v="1"/>
    <x v="488"/>
    <n v="3"/>
    <x v="1"/>
    <x v="0"/>
    <n v="81"/>
    <n v="3"/>
    <n v="2"/>
    <x v="4"/>
    <n v="4"/>
    <x v="0"/>
    <s v="Married"/>
    <x v="470"/>
    <x v="0"/>
    <n v="5718"/>
    <n v="1"/>
    <s v="Y"/>
    <x v="1"/>
    <n v="13"/>
    <x v="0"/>
    <x v="0"/>
    <n v="2"/>
    <n v="80"/>
    <n v="2"/>
    <n v="10"/>
    <n v="4"/>
    <n v="3"/>
    <x v="1"/>
    <n v="2"/>
    <n v="2"/>
    <n v="2"/>
    <n v="1"/>
    <x v="1"/>
    <s v=""/>
    <s v=""/>
    <s v=""/>
  </r>
  <r>
    <x v="23"/>
    <x v="0"/>
    <x v="1"/>
    <n v="0"/>
    <s v="Travel_Rarely"/>
    <n v="782"/>
    <x v="1"/>
    <n v="6"/>
    <n v="4"/>
    <s v="Other"/>
    <n v="1"/>
    <x v="489"/>
    <n v="2"/>
    <x v="0"/>
    <x v="1"/>
    <n v="50"/>
    <n v="2"/>
    <n v="4"/>
    <x v="7"/>
    <n v="4"/>
    <x v="0"/>
    <s v="Divorced"/>
    <x v="471"/>
    <x v="4"/>
    <n v="2671"/>
    <n v="4"/>
    <s v="Y"/>
    <x v="0"/>
    <n v="14"/>
    <x v="0"/>
    <x v="0"/>
    <n v="3"/>
    <n v="80"/>
    <n v="1"/>
    <n v="21"/>
    <n v="3"/>
    <n v="2"/>
    <x v="6"/>
    <n v="0"/>
    <n v="0"/>
    <n v="0"/>
    <n v="2"/>
    <x v="1"/>
    <s v=""/>
    <s v=""/>
    <s v=""/>
  </r>
  <r>
    <x v="8"/>
    <x v="0"/>
    <x v="1"/>
    <n v="0"/>
    <s v="Travel_Rarely"/>
    <n v="362"/>
    <x v="1"/>
    <n v="1"/>
    <n v="1"/>
    <s v="Life Sciences"/>
    <n v="1"/>
    <x v="490"/>
    <n v="3"/>
    <x v="1"/>
    <x v="0"/>
    <n v="43"/>
    <n v="3"/>
    <n v="1"/>
    <x v="1"/>
    <n v="1"/>
    <x v="3"/>
    <s v="Single"/>
    <x v="472"/>
    <x v="1"/>
    <n v="14561"/>
    <n v="3"/>
    <s v="Y"/>
    <x v="1"/>
    <n v="17"/>
    <x v="2"/>
    <x v="0"/>
    <n v="4"/>
    <n v="80"/>
    <n v="0"/>
    <n v="8"/>
    <n v="3"/>
    <n v="2"/>
    <x v="2"/>
    <n v="0"/>
    <n v="0"/>
    <n v="0"/>
    <n v="4"/>
    <x v="2"/>
    <s v=""/>
    <s v=""/>
    <s v=""/>
  </r>
  <r>
    <x v="23"/>
    <x v="0"/>
    <x v="1"/>
    <n v="0"/>
    <s v="Travel_Frequently"/>
    <n v="1001"/>
    <x v="1"/>
    <n v="9"/>
    <n v="5"/>
    <s v="Medical"/>
    <n v="1"/>
    <x v="491"/>
    <n v="4"/>
    <x v="2"/>
    <x v="1"/>
    <n v="72"/>
    <n v="3"/>
    <n v="2"/>
    <x v="2"/>
    <n v="3"/>
    <x v="2"/>
    <s v="Divorced"/>
    <x v="473"/>
    <x v="0"/>
    <n v="19627"/>
    <n v="3"/>
    <s v="Y"/>
    <x v="0"/>
    <n v="13"/>
    <x v="0"/>
    <x v="0"/>
    <n v="2"/>
    <n v="80"/>
    <n v="1"/>
    <n v="10"/>
    <n v="3"/>
    <n v="3"/>
    <x v="3"/>
    <n v="7"/>
    <n v="4"/>
    <n v="7"/>
    <n v="4"/>
    <x v="2"/>
    <s v=""/>
    <s v=""/>
    <s v=""/>
  </r>
  <r>
    <x v="26"/>
    <x v="1"/>
    <x v="1"/>
    <n v="0"/>
    <s v="Travel_Rarely"/>
    <n v="1236"/>
    <x v="1"/>
    <n v="1"/>
    <n v="4"/>
    <s v="Life Sciences"/>
    <n v="1"/>
    <x v="492"/>
    <n v="4"/>
    <x v="2"/>
    <x v="0"/>
    <n v="40"/>
    <n v="2"/>
    <n v="4"/>
    <x v="5"/>
    <n v="1"/>
    <x v="3"/>
    <s v="Married"/>
    <x v="474"/>
    <x v="3"/>
    <n v="17997"/>
    <n v="7"/>
    <s v="Y"/>
    <x v="1"/>
    <n v="11"/>
    <x v="0"/>
    <x v="0"/>
    <n v="1"/>
    <n v="80"/>
    <n v="1"/>
    <n v="21"/>
    <n v="3"/>
    <n v="1"/>
    <x v="11"/>
    <n v="2"/>
    <n v="0"/>
    <n v="2"/>
    <n v="2"/>
    <x v="1"/>
    <s v=""/>
    <s v=""/>
    <s v=""/>
  </r>
  <r>
    <x v="20"/>
    <x v="0"/>
    <x v="1"/>
    <n v="0"/>
    <s v="Travel_Rarely"/>
    <n v="1112"/>
    <x v="2"/>
    <n v="1"/>
    <n v="4"/>
    <s v="Life Sciences"/>
    <n v="1"/>
    <x v="493"/>
    <n v="1"/>
    <x v="3"/>
    <x v="0"/>
    <n v="50"/>
    <n v="2"/>
    <n v="2"/>
    <x v="8"/>
    <n v="3"/>
    <x v="2"/>
    <s v="Single"/>
    <x v="475"/>
    <x v="0"/>
    <n v="26894"/>
    <n v="4"/>
    <s v="Y"/>
    <x v="1"/>
    <n v="11"/>
    <x v="0"/>
    <x v="0"/>
    <n v="2"/>
    <n v="80"/>
    <n v="0"/>
    <n v="10"/>
    <n v="1"/>
    <n v="4"/>
    <x v="4"/>
    <n v="2"/>
    <n v="0"/>
    <n v="2"/>
    <n v="2"/>
    <x v="1"/>
    <s v=""/>
    <s v=""/>
    <s v=""/>
  </r>
  <r>
    <x v="13"/>
    <x v="2"/>
    <x v="1"/>
    <n v="0"/>
    <s v="Travel_Rarely"/>
    <n v="204"/>
    <x v="0"/>
    <n v="14"/>
    <n v="3"/>
    <s v="Technical Degree"/>
    <n v="1"/>
    <x v="494"/>
    <n v="3"/>
    <x v="1"/>
    <x v="0"/>
    <n v="31"/>
    <n v="3"/>
    <n v="1"/>
    <x v="6"/>
    <n v="3"/>
    <x v="2"/>
    <s v="Divorced"/>
    <x v="476"/>
    <x v="1"/>
    <n v="2912"/>
    <n v="1"/>
    <s v="Y"/>
    <x v="0"/>
    <n v="18"/>
    <x v="2"/>
    <x v="0"/>
    <n v="4"/>
    <n v="80"/>
    <n v="2"/>
    <n v="8"/>
    <n v="3"/>
    <n v="3"/>
    <x v="3"/>
    <n v="2"/>
    <n v="0"/>
    <n v="6"/>
    <n v="7"/>
    <x v="3"/>
    <n v="7"/>
    <s v="Top 10"/>
    <n v="69334"/>
  </r>
  <r>
    <x v="4"/>
    <x v="2"/>
    <x v="0"/>
    <n v="1"/>
    <s v="Travel_Rarely"/>
    <n v="1420"/>
    <x v="0"/>
    <n v="2"/>
    <n v="1"/>
    <s v="Marketing"/>
    <n v="1"/>
    <x v="495"/>
    <n v="3"/>
    <x v="1"/>
    <x v="1"/>
    <n v="85"/>
    <n v="3"/>
    <n v="1"/>
    <x v="6"/>
    <n v="1"/>
    <x v="3"/>
    <s v="Divorced"/>
    <x v="477"/>
    <x v="1"/>
    <n v="16346"/>
    <n v="0"/>
    <s v="Y"/>
    <x v="1"/>
    <n v="11"/>
    <x v="0"/>
    <x v="0"/>
    <n v="2"/>
    <n v="80"/>
    <n v="1"/>
    <n v="5"/>
    <n v="3"/>
    <n v="3"/>
    <x v="9"/>
    <n v="3"/>
    <n v="0"/>
    <n v="2"/>
    <s v=""/>
    <x v="0"/>
    <s v=""/>
    <s v=""/>
    <s v=""/>
  </r>
  <r>
    <x v="18"/>
    <x v="4"/>
    <x v="1"/>
    <n v="0"/>
    <s v="Travel_Rarely"/>
    <n v="1343"/>
    <x v="0"/>
    <n v="22"/>
    <n v="1"/>
    <s v="Technical Degree"/>
    <n v="1"/>
    <x v="496"/>
    <n v="3"/>
    <x v="1"/>
    <x v="1"/>
    <n v="49"/>
    <n v="3"/>
    <n v="1"/>
    <x v="6"/>
    <n v="3"/>
    <x v="2"/>
    <s v="Single"/>
    <x v="478"/>
    <x v="1"/>
    <n v="24444"/>
    <n v="1"/>
    <s v="Y"/>
    <x v="1"/>
    <n v="11"/>
    <x v="0"/>
    <x v="0"/>
    <n v="3"/>
    <n v="80"/>
    <n v="0"/>
    <n v="3"/>
    <n v="2"/>
    <n v="3"/>
    <x v="11"/>
    <n v="2"/>
    <n v="1"/>
    <n v="2"/>
    <n v="6"/>
    <x v="3"/>
    <n v="35"/>
    <s v=""/>
    <n v="59331"/>
  </r>
  <r>
    <x v="20"/>
    <x v="0"/>
    <x v="1"/>
    <n v="0"/>
    <s v="Travel_Rarely"/>
    <n v="1315"/>
    <x v="1"/>
    <n v="3"/>
    <n v="4"/>
    <s v="Other"/>
    <n v="1"/>
    <x v="497"/>
    <n v="4"/>
    <x v="2"/>
    <x v="1"/>
    <n v="35"/>
    <n v="3"/>
    <n v="5"/>
    <x v="5"/>
    <n v="4"/>
    <x v="0"/>
    <s v="Married"/>
    <x v="479"/>
    <x v="4"/>
    <n v="9358"/>
    <n v="4"/>
    <s v="Y"/>
    <x v="0"/>
    <n v="12"/>
    <x v="0"/>
    <x v="0"/>
    <n v="1"/>
    <n v="80"/>
    <n v="1"/>
    <n v="26"/>
    <n v="2"/>
    <n v="4"/>
    <x v="4"/>
    <n v="2"/>
    <n v="0"/>
    <n v="1"/>
    <n v="2"/>
    <x v="1"/>
    <s v=""/>
    <s v=""/>
    <s v=""/>
  </r>
  <r>
    <x v="15"/>
    <x v="4"/>
    <x v="1"/>
    <n v="0"/>
    <s v="Travel_Rarely"/>
    <n v="604"/>
    <x v="1"/>
    <n v="6"/>
    <n v="1"/>
    <s v="Medical"/>
    <n v="1"/>
    <x v="498"/>
    <n v="1"/>
    <x v="3"/>
    <x v="1"/>
    <n v="69"/>
    <n v="3"/>
    <n v="1"/>
    <x v="1"/>
    <n v="3"/>
    <x v="2"/>
    <s v="Married"/>
    <x v="480"/>
    <x v="1"/>
    <n v="12145"/>
    <n v="0"/>
    <s v="Y"/>
    <x v="1"/>
    <n v="20"/>
    <x v="2"/>
    <x v="1"/>
    <n v="4"/>
    <n v="80"/>
    <n v="0"/>
    <n v="3"/>
    <n v="3"/>
    <n v="3"/>
    <x v="4"/>
    <n v="2"/>
    <n v="2"/>
    <n v="2"/>
    <n v="4"/>
    <x v="2"/>
    <s v=""/>
    <s v=""/>
    <s v=""/>
  </r>
  <r>
    <x v="3"/>
    <x v="2"/>
    <x v="1"/>
    <n v="0"/>
    <s v="Travel_Rarely"/>
    <n v="1216"/>
    <x v="0"/>
    <n v="8"/>
    <n v="4"/>
    <s v="Marketing"/>
    <n v="1"/>
    <x v="499"/>
    <n v="3"/>
    <x v="1"/>
    <x v="1"/>
    <n v="39"/>
    <n v="3"/>
    <n v="2"/>
    <x v="0"/>
    <n v="3"/>
    <x v="2"/>
    <s v="Divorced"/>
    <x v="481"/>
    <x v="0"/>
    <n v="20431"/>
    <n v="0"/>
    <s v="Y"/>
    <x v="1"/>
    <n v="12"/>
    <x v="0"/>
    <x v="0"/>
    <n v="4"/>
    <n v="80"/>
    <n v="0"/>
    <n v="6"/>
    <n v="3"/>
    <n v="3"/>
    <x v="8"/>
    <n v="0"/>
    <n v="1"/>
    <n v="2"/>
    <n v="2"/>
    <x v="1"/>
    <s v=""/>
    <s v=""/>
    <s v=""/>
  </r>
  <r>
    <x v="5"/>
    <x v="2"/>
    <x v="1"/>
    <n v="0"/>
    <s v="Travel_Rarely"/>
    <n v="646"/>
    <x v="1"/>
    <n v="9"/>
    <n v="4"/>
    <s v="Life Sciences"/>
    <n v="1"/>
    <x v="500"/>
    <n v="1"/>
    <x v="3"/>
    <x v="0"/>
    <n v="92"/>
    <n v="3"/>
    <n v="2"/>
    <x v="1"/>
    <n v="4"/>
    <x v="0"/>
    <s v="Married"/>
    <x v="482"/>
    <x v="0"/>
    <n v="18089"/>
    <n v="1"/>
    <s v="Y"/>
    <x v="0"/>
    <n v="12"/>
    <x v="0"/>
    <x v="0"/>
    <n v="4"/>
    <n v="80"/>
    <n v="1"/>
    <n v="6"/>
    <n v="2"/>
    <n v="2"/>
    <x v="0"/>
    <n v="4"/>
    <n v="0"/>
    <n v="5"/>
    <n v="4"/>
    <x v="2"/>
    <s v=""/>
    <s v=""/>
    <s v=""/>
  </r>
  <r>
    <x v="7"/>
    <x v="2"/>
    <x v="1"/>
    <n v="0"/>
    <s v="Travel_Frequently"/>
    <n v="160"/>
    <x v="1"/>
    <n v="3"/>
    <n v="3"/>
    <s v="Medical"/>
    <n v="1"/>
    <x v="501"/>
    <n v="3"/>
    <x v="1"/>
    <x v="0"/>
    <n v="71"/>
    <n v="3"/>
    <n v="1"/>
    <x v="1"/>
    <n v="3"/>
    <x v="2"/>
    <s v="Divorced"/>
    <x v="483"/>
    <x v="1"/>
    <n v="22653"/>
    <n v="1"/>
    <s v="Y"/>
    <x v="1"/>
    <n v="20"/>
    <x v="2"/>
    <x v="1"/>
    <n v="3"/>
    <n v="80"/>
    <n v="1"/>
    <n v="1"/>
    <n v="2"/>
    <n v="3"/>
    <x v="6"/>
    <n v="0"/>
    <n v="0"/>
    <n v="0"/>
    <n v="3"/>
    <x v="2"/>
    <s v=""/>
    <s v=""/>
    <s v=""/>
  </r>
  <r>
    <x v="16"/>
    <x v="1"/>
    <x v="1"/>
    <n v="0"/>
    <s v="Travel_Rarely"/>
    <n v="238"/>
    <x v="0"/>
    <n v="1"/>
    <n v="1"/>
    <s v="Medical"/>
    <n v="1"/>
    <x v="502"/>
    <n v="4"/>
    <x v="2"/>
    <x v="0"/>
    <n v="34"/>
    <n v="3"/>
    <n v="2"/>
    <x v="0"/>
    <n v="1"/>
    <x v="3"/>
    <s v="Single"/>
    <x v="484"/>
    <x v="2"/>
    <n v="7507"/>
    <n v="7"/>
    <s v="Y"/>
    <x v="1"/>
    <n v="20"/>
    <x v="2"/>
    <x v="1"/>
    <n v="4"/>
    <n v="80"/>
    <n v="0"/>
    <n v="18"/>
    <n v="2"/>
    <n v="4"/>
    <x v="13"/>
    <n v="7"/>
    <n v="8"/>
    <n v="10"/>
    <n v="2"/>
    <x v="1"/>
    <s v=""/>
    <s v=""/>
    <s v=""/>
  </r>
  <r>
    <x v="13"/>
    <x v="2"/>
    <x v="1"/>
    <n v="0"/>
    <s v="Travel_Rarely"/>
    <n v="1397"/>
    <x v="1"/>
    <n v="1"/>
    <n v="5"/>
    <s v="Life Sciences"/>
    <n v="1"/>
    <x v="503"/>
    <n v="2"/>
    <x v="0"/>
    <x v="1"/>
    <n v="42"/>
    <n v="3"/>
    <n v="1"/>
    <x v="1"/>
    <n v="4"/>
    <x v="0"/>
    <s v="Married"/>
    <x v="485"/>
    <x v="1"/>
    <n v="7660"/>
    <n v="1"/>
    <s v="Y"/>
    <x v="1"/>
    <n v="12"/>
    <x v="0"/>
    <x v="0"/>
    <n v="4"/>
    <n v="80"/>
    <n v="1"/>
    <n v="10"/>
    <n v="4"/>
    <n v="2"/>
    <x v="1"/>
    <n v="9"/>
    <n v="8"/>
    <n v="8"/>
    <n v="3"/>
    <x v="2"/>
    <s v=""/>
    <s v=""/>
    <s v=""/>
  </r>
  <r>
    <x v="28"/>
    <x v="1"/>
    <x v="0"/>
    <n v="1"/>
    <s v="Travel_Frequently"/>
    <n v="306"/>
    <x v="0"/>
    <n v="26"/>
    <n v="4"/>
    <s v="Life Sciences"/>
    <n v="1"/>
    <x v="504"/>
    <n v="1"/>
    <x v="3"/>
    <x v="0"/>
    <n v="100"/>
    <n v="3"/>
    <n v="2"/>
    <x v="0"/>
    <n v="1"/>
    <x v="3"/>
    <s v="Married"/>
    <x v="486"/>
    <x v="0"/>
    <n v="5630"/>
    <n v="2"/>
    <s v="Y"/>
    <x v="1"/>
    <n v="14"/>
    <x v="0"/>
    <x v="0"/>
    <n v="4"/>
    <n v="80"/>
    <n v="2"/>
    <n v="5"/>
    <n v="4"/>
    <n v="3"/>
    <x v="6"/>
    <n v="1"/>
    <n v="0"/>
    <n v="0"/>
    <s v=""/>
    <x v="0"/>
    <s v=""/>
    <s v=""/>
    <s v=""/>
  </r>
  <r>
    <x v="25"/>
    <x v="2"/>
    <x v="1"/>
    <n v="0"/>
    <s v="Travel_Rarely"/>
    <n v="991"/>
    <x v="1"/>
    <n v="6"/>
    <n v="3"/>
    <s v="Life Sciences"/>
    <n v="1"/>
    <x v="505"/>
    <n v="3"/>
    <x v="1"/>
    <x v="0"/>
    <n v="71"/>
    <n v="3"/>
    <n v="1"/>
    <x v="2"/>
    <n v="4"/>
    <x v="0"/>
    <s v="Married"/>
    <x v="487"/>
    <x v="1"/>
    <n v="17759"/>
    <n v="1"/>
    <s v="Y"/>
    <x v="0"/>
    <n v="13"/>
    <x v="0"/>
    <x v="0"/>
    <n v="3"/>
    <n v="80"/>
    <n v="1"/>
    <n v="3"/>
    <n v="2"/>
    <n v="3"/>
    <x v="11"/>
    <n v="2"/>
    <n v="0"/>
    <n v="2"/>
    <n v="6"/>
    <x v="3"/>
    <n v="36"/>
    <s v=""/>
    <n v="59314"/>
  </r>
  <r>
    <x v="2"/>
    <x v="0"/>
    <x v="1"/>
    <n v="0"/>
    <s v="Travel_Rarely"/>
    <n v="482"/>
    <x v="1"/>
    <n v="3"/>
    <n v="3"/>
    <s v="Other"/>
    <n v="1"/>
    <x v="506"/>
    <n v="3"/>
    <x v="1"/>
    <x v="1"/>
    <n v="36"/>
    <n v="3"/>
    <n v="3"/>
    <x v="3"/>
    <n v="3"/>
    <x v="2"/>
    <s v="Married"/>
    <x v="488"/>
    <x v="2"/>
    <n v="9606"/>
    <n v="1"/>
    <s v="Y"/>
    <x v="1"/>
    <n v="15"/>
    <x v="0"/>
    <x v="0"/>
    <n v="3"/>
    <n v="80"/>
    <n v="1"/>
    <n v="10"/>
    <n v="2"/>
    <n v="3"/>
    <x v="1"/>
    <n v="7"/>
    <n v="7"/>
    <n v="8"/>
    <n v="0"/>
    <x v="1"/>
    <s v=""/>
    <s v=""/>
    <s v=""/>
  </r>
  <r>
    <x v="11"/>
    <x v="2"/>
    <x v="1"/>
    <n v="0"/>
    <s v="Travel_Rarely"/>
    <n v="1176"/>
    <x v="0"/>
    <n v="3"/>
    <n v="2"/>
    <s v="Medical"/>
    <n v="1"/>
    <x v="507"/>
    <n v="2"/>
    <x v="0"/>
    <x v="0"/>
    <n v="62"/>
    <n v="3"/>
    <n v="2"/>
    <x v="0"/>
    <n v="3"/>
    <x v="2"/>
    <s v="Married"/>
    <x v="489"/>
    <x v="0"/>
    <n v="3487"/>
    <n v="1"/>
    <s v="Y"/>
    <x v="1"/>
    <n v="14"/>
    <x v="0"/>
    <x v="0"/>
    <n v="1"/>
    <n v="80"/>
    <n v="1"/>
    <n v="6"/>
    <n v="5"/>
    <n v="2"/>
    <x v="0"/>
    <n v="0"/>
    <n v="1"/>
    <n v="2"/>
    <n v="2"/>
    <x v="1"/>
    <s v=""/>
    <s v=""/>
    <s v=""/>
  </r>
  <r>
    <x v="10"/>
    <x v="0"/>
    <x v="1"/>
    <n v="0"/>
    <s v="Travel_Rarely"/>
    <n v="1017"/>
    <x v="1"/>
    <n v="6"/>
    <n v="4"/>
    <s v="Life Sciences"/>
    <n v="1"/>
    <x v="508"/>
    <n v="2"/>
    <x v="0"/>
    <x v="1"/>
    <n v="82"/>
    <n v="1"/>
    <n v="2"/>
    <x v="1"/>
    <n v="4"/>
    <x v="0"/>
    <s v="Single"/>
    <x v="490"/>
    <x v="0"/>
    <n v="19368"/>
    <n v="1"/>
    <s v="Y"/>
    <x v="1"/>
    <n v="13"/>
    <x v="0"/>
    <x v="0"/>
    <n v="2"/>
    <n v="80"/>
    <n v="0"/>
    <n v="17"/>
    <n v="3"/>
    <n v="3"/>
    <x v="18"/>
    <n v="11"/>
    <n v="11"/>
    <n v="8"/>
    <n v="1"/>
    <x v="1"/>
    <s v=""/>
    <s v=""/>
    <s v=""/>
  </r>
  <r>
    <x v="3"/>
    <x v="2"/>
    <x v="1"/>
    <n v="0"/>
    <s v="Travel_Frequently"/>
    <n v="1296"/>
    <x v="1"/>
    <n v="6"/>
    <n v="3"/>
    <s v="Life Sciences"/>
    <n v="1"/>
    <x v="509"/>
    <n v="3"/>
    <x v="1"/>
    <x v="1"/>
    <n v="30"/>
    <n v="3"/>
    <n v="2"/>
    <x v="4"/>
    <n v="4"/>
    <x v="0"/>
    <s v="Divorced"/>
    <x v="491"/>
    <x v="0"/>
    <n v="5335"/>
    <n v="3"/>
    <s v="Y"/>
    <x v="1"/>
    <n v="23"/>
    <x v="1"/>
    <x v="1"/>
    <n v="3"/>
    <n v="80"/>
    <n v="1"/>
    <n v="15"/>
    <n v="2"/>
    <n v="1"/>
    <x v="20"/>
    <n v="11"/>
    <n v="4"/>
    <n v="7"/>
    <n v="2"/>
    <x v="1"/>
    <s v=""/>
    <s v=""/>
    <s v=""/>
  </r>
  <r>
    <x v="33"/>
    <x v="1"/>
    <x v="1"/>
    <n v="0"/>
    <s v="Travel_Rarely"/>
    <n v="397"/>
    <x v="2"/>
    <n v="19"/>
    <n v="4"/>
    <s v="Medical"/>
    <n v="1"/>
    <x v="510"/>
    <n v="3"/>
    <x v="1"/>
    <x v="1"/>
    <n v="88"/>
    <n v="3"/>
    <n v="3"/>
    <x v="8"/>
    <n v="2"/>
    <x v="1"/>
    <s v="Married"/>
    <x v="492"/>
    <x v="2"/>
    <n v="6729"/>
    <n v="2"/>
    <s v="Y"/>
    <x v="1"/>
    <n v="15"/>
    <x v="0"/>
    <x v="0"/>
    <n v="3"/>
    <n v="80"/>
    <n v="1"/>
    <n v="16"/>
    <n v="1"/>
    <n v="4"/>
    <x v="7"/>
    <n v="7"/>
    <n v="7"/>
    <n v="1"/>
    <n v="1"/>
    <x v="1"/>
    <s v=""/>
    <s v=""/>
    <s v=""/>
  </r>
  <r>
    <x v="9"/>
    <x v="0"/>
    <x v="1"/>
    <n v="0"/>
    <s v="Travel_Rarely"/>
    <n v="913"/>
    <x v="1"/>
    <n v="9"/>
    <n v="2"/>
    <s v="Medical"/>
    <n v="1"/>
    <x v="511"/>
    <n v="2"/>
    <x v="0"/>
    <x v="1"/>
    <n v="48"/>
    <n v="2"/>
    <n v="2"/>
    <x v="3"/>
    <n v="2"/>
    <x v="1"/>
    <s v="Divorced"/>
    <x v="493"/>
    <x v="2"/>
    <n v="13934"/>
    <n v="2"/>
    <s v="Y"/>
    <x v="0"/>
    <n v="11"/>
    <x v="0"/>
    <x v="0"/>
    <n v="3"/>
    <n v="80"/>
    <n v="1"/>
    <n v="13"/>
    <n v="2"/>
    <n v="3"/>
    <x v="11"/>
    <n v="2"/>
    <n v="0"/>
    <n v="2"/>
    <n v="2"/>
    <x v="1"/>
    <s v=""/>
    <s v=""/>
    <s v=""/>
  </r>
  <r>
    <x v="4"/>
    <x v="2"/>
    <x v="1"/>
    <n v="0"/>
    <s v="Travel_Rarely"/>
    <n v="1115"/>
    <x v="1"/>
    <n v="3"/>
    <n v="4"/>
    <s v="Medical"/>
    <n v="1"/>
    <x v="512"/>
    <n v="1"/>
    <x v="3"/>
    <x v="1"/>
    <n v="54"/>
    <n v="2"/>
    <n v="1"/>
    <x v="1"/>
    <n v="4"/>
    <x v="0"/>
    <s v="Single"/>
    <x v="494"/>
    <x v="1"/>
    <n v="15174"/>
    <n v="0"/>
    <s v="Y"/>
    <x v="1"/>
    <n v="13"/>
    <x v="0"/>
    <x v="0"/>
    <n v="4"/>
    <n v="80"/>
    <n v="0"/>
    <n v="5"/>
    <n v="0"/>
    <n v="3"/>
    <x v="9"/>
    <n v="2"/>
    <n v="1"/>
    <n v="1"/>
    <n v="3"/>
    <x v="2"/>
    <s v=""/>
    <s v=""/>
    <s v=""/>
  </r>
  <r>
    <x v="35"/>
    <x v="4"/>
    <x v="0"/>
    <n v="1"/>
    <s v="Travel_Rarely"/>
    <n v="1362"/>
    <x v="1"/>
    <n v="10"/>
    <n v="1"/>
    <s v="Medical"/>
    <n v="1"/>
    <x v="513"/>
    <n v="4"/>
    <x v="2"/>
    <x v="1"/>
    <n v="32"/>
    <n v="3"/>
    <n v="1"/>
    <x v="1"/>
    <n v="3"/>
    <x v="2"/>
    <s v="Single"/>
    <x v="495"/>
    <x v="1"/>
    <n v="26999"/>
    <n v="1"/>
    <s v="Y"/>
    <x v="0"/>
    <n v="11"/>
    <x v="0"/>
    <x v="0"/>
    <n v="4"/>
    <n v="80"/>
    <n v="0"/>
    <n v="1"/>
    <n v="5"/>
    <n v="3"/>
    <x v="6"/>
    <n v="0"/>
    <n v="1"/>
    <n v="1"/>
    <s v=""/>
    <x v="0"/>
    <s v=""/>
    <s v=""/>
    <s v=""/>
  </r>
  <r>
    <x v="3"/>
    <x v="2"/>
    <x v="0"/>
    <n v="1"/>
    <s v="Travel_Frequently"/>
    <n v="1076"/>
    <x v="1"/>
    <n v="3"/>
    <n v="3"/>
    <s v="Life Sciences"/>
    <n v="1"/>
    <x v="514"/>
    <n v="1"/>
    <x v="3"/>
    <x v="1"/>
    <n v="70"/>
    <n v="3"/>
    <n v="1"/>
    <x v="1"/>
    <n v="1"/>
    <x v="3"/>
    <s v="Single"/>
    <x v="496"/>
    <x v="1"/>
    <n v="3164"/>
    <n v="1"/>
    <s v="Y"/>
    <x v="0"/>
    <n v="11"/>
    <x v="0"/>
    <x v="0"/>
    <n v="1"/>
    <n v="80"/>
    <n v="0"/>
    <n v="10"/>
    <n v="3"/>
    <n v="3"/>
    <x v="1"/>
    <n v="8"/>
    <n v="9"/>
    <n v="7"/>
    <s v=""/>
    <x v="0"/>
    <s v=""/>
    <s v=""/>
    <s v=""/>
  </r>
  <r>
    <x v="10"/>
    <x v="0"/>
    <x v="1"/>
    <n v="0"/>
    <s v="Non-Travel"/>
    <n v="727"/>
    <x v="1"/>
    <n v="3"/>
    <n v="3"/>
    <s v="Life Sciences"/>
    <n v="1"/>
    <x v="515"/>
    <n v="3"/>
    <x v="1"/>
    <x v="1"/>
    <n v="41"/>
    <n v="2"/>
    <n v="1"/>
    <x v="2"/>
    <n v="3"/>
    <x v="2"/>
    <s v="Married"/>
    <x v="497"/>
    <x v="1"/>
    <n v="16900"/>
    <n v="1"/>
    <s v="Y"/>
    <x v="1"/>
    <n v="18"/>
    <x v="2"/>
    <x v="0"/>
    <n v="3"/>
    <n v="80"/>
    <n v="2"/>
    <n v="1"/>
    <n v="3"/>
    <n v="3"/>
    <x v="6"/>
    <n v="0"/>
    <n v="0"/>
    <n v="0"/>
    <n v="3"/>
    <x v="2"/>
    <s v=""/>
    <s v=""/>
    <s v=""/>
  </r>
  <r>
    <x v="30"/>
    <x v="4"/>
    <x v="1"/>
    <n v="0"/>
    <s v="Travel_Rarely"/>
    <n v="885"/>
    <x v="1"/>
    <n v="4"/>
    <n v="3"/>
    <s v="Medical"/>
    <n v="1"/>
    <x v="516"/>
    <n v="1"/>
    <x v="3"/>
    <x v="1"/>
    <n v="58"/>
    <n v="4"/>
    <n v="1"/>
    <x v="1"/>
    <n v="1"/>
    <x v="3"/>
    <s v="Married"/>
    <x v="498"/>
    <x v="1"/>
    <n v="8544"/>
    <n v="2"/>
    <s v="Y"/>
    <x v="1"/>
    <n v="16"/>
    <x v="2"/>
    <x v="0"/>
    <n v="1"/>
    <n v="80"/>
    <n v="1"/>
    <n v="5"/>
    <n v="3"/>
    <n v="4"/>
    <x v="11"/>
    <n v="2"/>
    <n v="0"/>
    <n v="2"/>
    <n v="6"/>
    <x v="3"/>
    <n v="37"/>
    <s v=""/>
    <n v="59295"/>
  </r>
  <r>
    <x v="36"/>
    <x v="2"/>
    <x v="1"/>
    <n v="0"/>
    <s v="Travel_Rarely"/>
    <n v="810"/>
    <x v="0"/>
    <n v="8"/>
    <n v="3"/>
    <s v="Life Sciences"/>
    <n v="1"/>
    <x v="517"/>
    <n v="4"/>
    <x v="2"/>
    <x v="1"/>
    <n v="57"/>
    <n v="4"/>
    <n v="2"/>
    <x v="0"/>
    <n v="2"/>
    <x v="1"/>
    <s v="Married"/>
    <x v="499"/>
    <x v="0"/>
    <n v="15678"/>
    <n v="0"/>
    <s v="Y"/>
    <x v="1"/>
    <n v="22"/>
    <x v="1"/>
    <x v="1"/>
    <n v="3"/>
    <n v="80"/>
    <n v="1"/>
    <n v="4"/>
    <n v="4"/>
    <n v="3"/>
    <x v="11"/>
    <n v="2"/>
    <n v="1"/>
    <n v="2"/>
    <n v="2"/>
    <x v="1"/>
    <s v=""/>
    <s v=""/>
    <s v=""/>
  </r>
  <r>
    <x v="8"/>
    <x v="0"/>
    <x v="1"/>
    <n v="0"/>
    <s v="Travel_Rarely"/>
    <n v="243"/>
    <x v="0"/>
    <n v="7"/>
    <n v="4"/>
    <s v="Marketing"/>
    <n v="1"/>
    <x v="518"/>
    <n v="4"/>
    <x v="2"/>
    <x v="0"/>
    <n v="46"/>
    <n v="2"/>
    <n v="2"/>
    <x v="0"/>
    <n v="4"/>
    <x v="0"/>
    <s v="Single"/>
    <x v="500"/>
    <x v="0"/>
    <n v="7791"/>
    <n v="0"/>
    <s v="Y"/>
    <x v="1"/>
    <n v="20"/>
    <x v="2"/>
    <x v="1"/>
    <n v="1"/>
    <n v="80"/>
    <n v="0"/>
    <n v="8"/>
    <n v="2"/>
    <n v="3"/>
    <x v="5"/>
    <n v="7"/>
    <n v="0"/>
    <n v="5"/>
    <n v="1"/>
    <x v="1"/>
    <s v=""/>
    <s v=""/>
    <s v=""/>
  </r>
  <r>
    <x v="11"/>
    <x v="2"/>
    <x v="1"/>
    <n v="0"/>
    <s v="Travel_Frequently"/>
    <n v="806"/>
    <x v="1"/>
    <n v="1"/>
    <n v="4"/>
    <s v="Life Sciences"/>
    <n v="1"/>
    <x v="519"/>
    <n v="2"/>
    <x v="0"/>
    <x v="1"/>
    <n v="76"/>
    <n v="1"/>
    <n v="1"/>
    <x v="1"/>
    <n v="4"/>
    <x v="0"/>
    <s v="Divorced"/>
    <x v="143"/>
    <x v="1"/>
    <n v="18959"/>
    <n v="1"/>
    <s v="Y"/>
    <x v="1"/>
    <n v="18"/>
    <x v="2"/>
    <x v="0"/>
    <n v="4"/>
    <n v="80"/>
    <n v="1"/>
    <n v="10"/>
    <n v="5"/>
    <n v="3"/>
    <x v="1"/>
    <n v="7"/>
    <n v="2"/>
    <n v="8"/>
    <n v="3"/>
    <x v="2"/>
    <s v=""/>
    <s v=""/>
    <s v=""/>
  </r>
  <r>
    <x v="26"/>
    <x v="1"/>
    <x v="1"/>
    <n v="0"/>
    <s v="Travel_Rarely"/>
    <n v="817"/>
    <x v="0"/>
    <n v="2"/>
    <n v="1"/>
    <s v="Marketing"/>
    <n v="1"/>
    <x v="520"/>
    <n v="2"/>
    <x v="0"/>
    <x v="1"/>
    <n v="56"/>
    <n v="4"/>
    <n v="2"/>
    <x v="0"/>
    <n v="2"/>
    <x v="1"/>
    <s v="Married"/>
    <x v="501"/>
    <x v="2"/>
    <n v="18597"/>
    <n v="3"/>
    <s v="Y"/>
    <x v="1"/>
    <n v="12"/>
    <x v="0"/>
    <x v="0"/>
    <n v="4"/>
    <n v="80"/>
    <n v="0"/>
    <n v="12"/>
    <n v="3"/>
    <n v="3"/>
    <x v="4"/>
    <n v="2"/>
    <n v="2"/>
    <n v="2"/>
    <n v="0"/>
    <x v="1"/>
    <s v=""/>
    <s v=""/>
    <s v=""/>
  </r>
  <r>
    <x v="4"/>
    <x v="2"/>
    <x v="1"/>
    <n v="0"/>
    <s v="Travel_Frequently"/>
    <n v="1410"/>
    <x v="0"/>
    <n v="3"/>
    <n v="1"/>
    <s v="Medical"/>
    <n v="1"/>
    <x v="521"/>
    <n v="4"/>
    <x v="2"/>
    <x v="0"/>
    <n v="71"/>
    <n v="4"/>
    <n v="2"/>
    <x v="0"/>
    <n v="4"/>
    <x v="0"/>
    <s v="Divorced"/>
    <x v="502"/>
    <x v="0"/>
    <n v="16673"/>
    <n v="1"/>
    <s v="Y"/>
    <x v="0"/>
    <n v="20"/>
    <x v="2"/>
    <x v="1"/>
    <n v="2"/>
    <n v="80"/>
    <n v="2"/>
    <n v="6"/>
    <n v="3"/>
    <n v="3"/>
    <x v="0"/>
    <n v="5"/>
    <n v="0"/>
    <n v="4"/>
    <n v="4"/>
    <x v="2"/>
    <s v=""/>
    <s v=""/>
    <s v=""/>
  </r>
  <r>
    <x v="2"/>
    <x v="0"/>
    <x v="1"/>
    <n v="0"/>
    <s v="Travel_Rarely"/>
    <n v="1225"/>
    <x v="1"/>
    <n v="10"/>
    <n v="2"/>
    <s v="Life Sciences"/>
    <n v="1"/>
    <x v="522"/>
    <n v="4"/>
    <x v="2"/>
    <x v="1"/>
    <n v="80"/>
    <n v="4"/>
    <n v="1"/>
    <x v="1"/>
    <n v="4"/>
    <x v="0"/>
    <s v="Single"/>
    <x v="503"/>
    <x v="0"/>
    <n v="15232"/>
    <n v="3"/>
    <s v="Y"/>
    <x v="1"/>
    <n v="17"/>
    <x v="2"/>
    <x v="0"/>
    <n v="1"/>
    <n v="80"/>
    <n v="0"/>
    <n v="4"/>
    <n v="2"/>
    <n v="3"/>
    <x v="6"/>
    <n v="0"/>
    <n v="0"/>
    <n v="0"/>
    <n v="1"/>
    <x v="1"/>
    <s v=""/>
    <s v=""/>
    <s v=""/>
  </r>
  <r>
    <x v="24"/>
    <x v="1"/>
    <x v="1"/>
    <n v="0"/>
    <s v="Travel_Rarely"/>
    <n v="1207"/>
    <x v="1"/>
    <n v="28"/>
    <n v="1"/>
    <s v="Medical"/>
    <n v="1"/>
    <x v="523"/>
    <n v="4"/>
    <x v="2"/>
    <x v="1"/>
    <n v="74"/>
    <n v="4"/>
    <n v="1"/>
    <x v="2"/>
    <n v="3"/>
    <x v="2"/>
    <s v="Married"/>
    <x v="504"/>
    <x v="1"/>
    <n v="3297"/>
    <n v="1"/>
    <s v="Y"/>
    <x v="0"/>
    <n v="11"/>
    <x v="0"/>
    <x v="0"/>
    <n v="3"/>
    <n v="80"/>
    <n v="3"/>
    <n v="20"/>
    <n v="3"/>
    <n v="3"/>
    <x v="23"/>
    <n v="8"/>
    <n v="3"/>
    <n v="8"/>
    <n v="5"/>
    <x v="2"/>
    <s v=""/>
    <s v=""/>
    <s v=""/>
  </r>
  <r>
    <x v="13"/>
    <x v="2"/>
    <x v="1"/>
    <n v="0"/>
    <s v="Travel_Rarely"/>
    <n v="1442"/>
    <x v="1"/>
    <n v="9"/>
    <n v="3"/>
    <s v="Medical"/>
    <n v="1"/>
    <x v="524"/>
    <n v="4"/>
    <x v="2"/>
    <x v="0"/>
    <n v="46"/>
    <n v="2"/>
    <n v="3"/>
    <x v="4"/>
    <n v="2"/>
    <x v="1"/>
    <s v="Single"/>
    <x v="505"/>
    <x v="2"/>
    <n v="17654"/>
    <n v="1"/>
    <s v="Y"/>
    <x v="1"/>
    <n v="14"/>
    <x v="0"/>
    <x v="0"/>
    <n v="2"/>
    <n v="80"/>
    <n v="0"/>
    <n v="9"/>
    <n v="3"/>
    <n v="4"/>
    <x v="3"/>
    <n v="7"/>
    <n v="7"/>
    <n v="7"/>
    <n v="1"/>
    <x v="1"/>
    <s v=""/>
    <s v=""/>
    <s v=""/>
  </r>
  <r>
    <x v="17"/>
    <x v="4"/>
    <x v="0"/>
    <n v="1"/>
    <s v="Travel_Rarely"/>
    <n v="693"/>
    <x v="0"/>
    <n v="3"/>
    <n v="2"/>
    <s v="Life Sciences"/>
    <n v="1"/>
    <x v="525"/>
    <n v="1"/>
    <x v="3"/>
    <x v="0"/>
    <n v="65"/>
    <n v="3"/>
    <n v="2"/>
    <x v="0"/>
    <n v="3"/>
    <x v="2"/>
    <s v="Single"/>
    <x v="506"/>
    <x v="0"/>
    <n v="24785"/>
    <n v="9"/>
    <s v="Y"/>
    <x v="1"/>
    <n v="14"/>
    <x v="0"/>
    <x v="0"/>
    <n v="1"/>
    <n v="80"/>
    <n v="0"/>
    <n v="4"/>
    <n v="3"/>
    <n v="3"/>
    <x v="4"/>
    <n v="2"/>
    <n v="2"/>
    <n v="0"/>
    <s v=""/>
    <x v="0"/>
    <s v=""/>
    <s v=""/>
    <s v=""/>
  </r>
  <r>
    <x v="22"/>
    <x v="0"/>
    <x v="1"/>
    <n v="0"/>
    <s v="Travel_Rarely"/>
    <n v="408"/>
    <x v="1"/>
    <n v="2"/>
    <n v="4"/>
    <s v="Technical Degree"/>
    <n v="1"/>
    <x v="526"/>
    <n v="4"/>
    <x v="2"/>
    <x v="0"/>
    <n v="80"/>
    <n v="2"/>
    <n v="2"/>
    <x v="4"/>
    <n v="3"/>
    <x v="2"/>
    <s v="Single"/>
    <x v="507"/>
    <x v="0"/>
    <n v="20978"/>
    <n v="1"/>
    <s v="Y"/>
    <x v="1"/>
    <n v="11"/>
    <x v="0"/>
    <x v="0"/>
    <n v="1"/>
    <n v="80"/>
    <n v="0"/>
    <n v="20"/>
    <n v="4"/>
    <n v="3"/>
    <x v="23"/>
    <n v="7"/>
    <n v="11"/>
    <n v="10"/>
    <n v="1"/>
    <x v="1"/>
    <s v=""/>
    <s v=""/>
    <s v=""/>
  </r>
  <r>
    <x v="5"/>
    <x v="2"/>
    <x v="1"/>
    <n v="0"/>
    <s v="Travel_Rarely"/>
    <n v="929"/>
    <x v="0"/>
    <n v="10"/>
    <n v="3"/>
    <s v="Marketing"/>
    <n v="1"/>
    <x v="527"/>
    <n v="4"/>
    <x v="2"/>
    <x v="1"/>
    <n v="55"/>
    <n v="3"/>
    <n v="2"/>
    <x v="0"/>
    <n v="4"/>
    <x v="0"/>
    <s v="Single"/>
    <x v="508"/>
    <x v="0"/>
    <n v="21703"/>
    <n v="1"/>
    <s v="Y"/>
    <x v="1"/>
    <n v="12"/>
    <x v="0"/>
    <x v="0"/>
    <n v="4"/>
    <n v="80"/>
    <n v="0"/>
    <n v="10"/>
    <n v="2"/>
    <n v="2"/>
    <x v="1"/>
    <n v="7"/>
    <n v="0"/>
    <n v="8"/>
    <n v="2"/>
    <x v="1"/>
    <s v=""/>
    <s v=""/>
    <s v=""/>
  </r>
  <r>
    <x v="24"/>
    <x v="1"/>
    <x v="0"/>
    <n v="1"/>
    <s v="Travel_Frequently"/>
    <n v="562"/>
    <x v="0"/>
    <n v="8"/>
    <n v="2"/>
    <s v="Technical Degree"/>
    <n v="1"/>
    <x v="528"/>
    <n v="2"/>
    <x v="0"/>
    <x v="1"/>
    <n v="50"/>
    <n v="3"/>
    <n v="2"/>
    <x v="0"/>
    <n v="3"/>
    <x v="2"/>
    <s v="Married"/>
    <x v="509"/>
    <x v="0"/>
    <n v="23452"/>
    <n v="3"/>
    <s v="Y"/>
    <x v="0"/>
    <n v="14"/>
    <x v="0"/>
    <x v="0"/>
    <n v="1"/>
    <n v="80"/>
    <n v="1"/>
    <n v="18"/>
    <n v="4"/>
    <n v="3"/>
    <x v="9"/>
    <n v="3"/>
    <n v="1"/>
    <n v="3"/>
    <s v=""/>
    <x v="0"/>
    <s v=""/>
    <s v=""/>
    <s v=""/>
  </r>
  <r>
    <x v="8"/>
    <x v="0"/>
    <x v="1"/>
    <n v="0"/>
    <s v="Travel_Rarely"/>
    <n v="827"/>
    <x v="1"/>
    <n v="1"/>
    <n v="4"/>
    <s v="Life Sciences"/>
    <n v="1"/>
    <x v="529"/>
    <n v="2"/>
    <x v="0"/>
    <x v="0"/>
    <n v="33"/>
    <n v="4"/>
    <n v="2"/>
    <x v="4"/>
    <n v="4"/>
    <x v="0"/>
    <s v="Single"/>
    <x v="510"/>
    <x v="0"/>
    <n v="19383"/>
    <n v="0"/>
    <s v="Y"/>
    <x v="1"/>
    <n v="13"/>
    <x v="0"/>
    <x v="0"/>
    <n v="3"/>
    <n v="80"/>
    <n v="0"/>
    <n v="10"/>
    <n v="4"/>
    <n v="2"/>
    <x v="7"/>
    <n v="7"/>
    <n v="1"/>
    <n v="8"/>
    <n v="1"/>
    <x v="1"/>
    <s v=""/>
    <s v=""/>
    <s v=""/>
  </r>
  <r>
    <x v="4"/>
    <x v="2"/>
    <x v="1"/>
    <n v="0"/>
    <s v="Travel_Rarely"/>
    <n v="608"/>
    <x v="1"/>
    <n v="1"/>
    <n v="2"/>
    <s v="Life Sciences"/>
    <n v="1"/>
    <x v="530"/>
    <n v="3"/>
    <x v="1"/>
    <x v="0"/>
    <n v="68"/>
    <n v="3"/>
    <n v="3"/>
    <x v="3"/>
    <n v="1"/>
    <x v="3"/>
    <s v="Married"/>
    <x v="511"/>
    <x v="0"/>
    <n v="6009"/>
    <n v="1"/>
    <s v="Y"/>
    <x v="1"/>
    <n v="11"/>
    <x v="0"/>
    <x v="0"/>
    <n v="4"/>
    <n v="80"/>
    <n v="0"/>
    <n v="9"/>
    <n v="3"/>
    <n v="3"/>
    <x v="7"/>
    <n v="7"/>
    <n v="0"/>
    <n v="7"/>
    <n v="4"/>
    <x v="2"/>
    <s v=""/>
    <s v=""/>
    <s v=""/>
  </r>
  <r>
    <x v="5"/>
    <x v="2"/>
    <x v="1"/>
    <n v="0"/>
    <s v="Travel_Rarely"/>
    <n v="1018"/>
    <x v="1"/>
    <n v="3"/>
    <n v="2"/>
    <s v="Life Sciences"/>
    <n v="1"/>
    <x v="531"/>
    <n v="3"/>
    <x v="1"/>
    <x v="0"/>
    <n v="39"/>
    <n v="3"/>
    <n v="3"/>
    <x v="7"/>
    <n v="4"/>
    <x v="0"/>
    <s v="Single"/>
    <x v="512"/>
    <x v="2"/>
    <n v="19373"/>
    <n v="3"/>
    <s v="Y"/>
    <x v="1"/>
    <n v="15"/>
    <x v="0"/>
    <x v="0"/>
    <n v="4"/>
    <n v="80"/>
    <n v="0"/>
    <n v="10"/>
    <n v="6"/>
    <n v="3"/>
    <x v="5"/>
    <n v="7"/>
    <n v="7"/>
    <n v="7"/>
    <n v="1"/>
    <x v="1"/>
    <s v=""/>
    <s v=""/>
    <s v=""/>
  </r>
  <r>
    <x v="40"/>
    <x v="1"/>
    <x v="1"/>
    <n v="0"/>
    <s v="Travel_Rarely"/>
    <n v="703"/>
    <x v="0"/>
    <n v="14"/>
    <n v="4"/>
    <s v="Marketing"/>
    <n v="1"/>
    <x v="532"/>
    <n v="4"/>
    <x v="2"/>
    <x v="1"/>
    <n v="42"/>
    <n v="3"/>
    <n v="2"/>
    <x v="0"/>
    <n v="1"/>
    <x v="3"/>
    <s v="Single"/>
    <x v="513"/>
    <x v="0"/>
    <n v="11825"/>
    <n v="2"/>
    <s v="Y"/>
    <x v="1"/>
    <n v="12"/>
    <x v="0"/>
    <x v="0"/>
    <n v="4"/>
    <n v="80"/>
    <n v="0"/>
    <n v="20"/>
    <n v="2"/>
    <n v="3"/>
    <x v="5"/>
    <n v="7"/>
    <n v="1"/>
    <n v="7"/>
    <n v="3"/>
    <x v="2"/>
    <s v=""/>
    <s v=""/>
    <s v=""/>
  </r>
  <r>
    <x v="32"/>
    <x v="0"/>
    <x v="1"/>
    <n v="0"/>
    <s v="Travel_Frequently"/>
    <n v="580"/>
    <x v="0"/>
    <n v="5"/>
    <n v="4"/>
    <s v="Life Sciences"/>
    <n v="1"/>
    <x v="533"/>
    <n v="4"/>
    <x v="2"/>
    <x v="1"/>
    <n v="48"/>
    <n v="2"/>
    <n v="3"/>
    <x v="0"/>
    <n v="1"/>
    <x v="3"/>
    <s v="Married"/>
    <x v="514"/>
    <x v="2"/>
    <n v="23772"/>
    <n v="5"/>
    <s v="Y"/>
    <x v="0"/>
    <n v="21"/>
    <x v="1"/>
    <x v="1"/>
    <n v="3"/>
    <n v="80"/>
    <n v="1"/>
    <n v="20"/>
    <n v="2"/>
    <n v="3"/>
    <x v="29"/>
    <n v="13"/>
    <n v="1"/>
    <n v="12"/>
    <n v="4"/>
    <x v="2"/>
    <s v=""/>
    <s v=""/>
    <s v=""/>
  </r>
  <r>
    <x v="16"/>
    <x v="1"/>
    <x v="1"/>
    <n v="0"/>
    <s v="Travel_Rarely"/>
    <n v="970"/>
    <x v="1"/>
    <n v="7"/>
    <n v="3"/>
    <s v="Life Sciences"/>
    <n v="1"/>
    <x v="534"/>
    <n v="3"/>
    <x v="1"/>
    <x v="1"/>
    <n v="59"/>
    <n v="4"/>
    <n v="4"/>
    <x v="7"/>
    <n v="3"/>
    <x v="2"/>
    <s v="Married"/>
    <x v="515"/>
    <x v="3"/>
    <n v="13514"/>
    <n v="3"/>
    <s v="Y"/>
    <x v="1"/>
    <n v="19"/>
    <x v="2"/>
    <x v="0"/>
    <n v="3"/>
    <n v="80"/>
    <n v="0"/>
    <n v="32"/>
    <n v="3"/>
    <n v="3"/>
    <x v="8"/>
    <n v="1"/>
    <n v="1"/>
    <n v="3"/>
    <n v="0"/>
    <x v="1"/>
    <s v=""/>
    <s v=""/>
    <s v=""/>
  </r>
  <r>
    <x v="0"/>
    <x v="0"/>
    <x v="1"/>
    <n v="0"/>
    <s v="Travel_Rarely"/>
    <n v="427"/>
    <x v="2"/>
    <n v="10"/>
    <n v="4"/>
    <s v="Human Resources"/>
    <n v="1"/>
    <x v="535"/>
    <n v="2"/>
    <x v="0"/>
    <x v="1"/>
    <n v="73"/>
    <n v="2"/>
    <n v="5"/>
    <x v="5"/>
    <n v="4"/>
    <x v="0"/>
    <s v="Divorced"/>
    <x v="516"/>
    <x v="4"/>
    <n v="8861"/>
    <n v="3"/>
    <s v="Y"/>
    <x v="1"/>
    <n v="15"/>
    <x v="0"/>
    <x v="0"/>
    <n v="2"/>
    <n v="80"/>
    <n v="3"/>
    <n v="23"/>
    <n v="2"/>
    <n v="2"/>
    <x v="17"/>
    <n v="6"/>
    <n v="12"/>
    <n v="6"/>
    <n v="0"/>
    <x v="1"/>
    <s v=""/>
    <s v=""/>
    <s v=""/>
  </r>
  <r>
    <x v="42"/>
    <x v="3"/>
    <x v="1"/>
    <n v="0"/>
    <s v="Travel_Rarely"/>
    <n v="1179"/>
    <x v="0"/>
    <n v="16"/>
    <n v="4"/>
    <s v="Marketing"/>
    <n v="1"/>
    <x v="536"/>
    <n v="1"/>
    <x v="3"/>
    <x v="1"/>
    <n v="84"/>
    <n v="3"/>
    <n v="2"/>
    <x v="0"/>
    <n v="1"/>
    <x v="3"/>
    <s v="Single"/>
    <x v="517"/>
    <x v="0"/>
    <n v="11924"/>
    <n v="8"/>
    <s v="Y"/>
    <x v="1"/>
    <n v="14"/>
    <x v="0"/>
    <x v="0"/>
    <n v="4"/>
    <n v="80"/>
    <n v="0"/>
    <n v="10"/>
    <n v="1"/>
    <n v="3"/>
    <x v="4"/>
    <n v="2"/>
    <n v="2"/>
    <n v="2"/>
    <n v="3"/>
    <x v="2"/>
    <s v=""/>
    <s v=""/>
    <s v=""/>
  </r>
  <r>
    <x v="4"/>
    <x v="2"/>
    <x v="1"/>
    <n v="0"/>
    <s v="Travel_Frequently"/>
    <n v="294"/>
    <x v="1"/>
    <n v="10"/>
    <n v="2"/>
    <s v="Life Sciences"/>
    <n v="1"/>
    <x v="537"/>
    <n v="4"/>
    <x v="2"/>
    <x v="1"/>
    <n v="32"/>
    <n v="3"/>
    <n v="3"/>
    <x v="3"/>
    <n v="1"/>
    <x v="3"/>
    <s v="Divorced"/>
    <x v="518"/>
    <x v="2"/>
    <n v="4809"/>
    <n v="1"/>
    <s v="Y"/>
    <x v="1"/>
    <n v="21"/>
    <x v="1"/>
    <x v="1"/>
    <n v="3"/>
    <n v="80"/>
    <n v="2"/>
    <n v="9"/>
    <n v="4"/>
    <n v="2"/>
    <x v="7"/>
    <n v="7"/>
    <n v="1"/>
    <n v="7"/>
    <n v="3"/>
    <x v="2"/>
    <s v=""/>
    <s v=""/>
    <s v=""/>
  </r>
  <r>
    <x v="0"/>
    <x v="0"/>
    <x v="1"/>
    <n v="0"/>
    <s v="Travel_Rarely"/>
    <n v="314"/>
    <x v="2"/>
    <n v="1"/>
    <n v="3"/>
    <s v="Human Resources"/>
    <n v="1"/>
    <x v="538"/>
    <n v="4"/>
    <x v="2"/>
    <x v="1"/>
    <n v="59"/>
    <n v="2"/>
    <n v="5"/>
    <x v="5"/>
    <n v="3"/>
    <x v="2"/>
    <s v="Married"/>
    <x v="519"/>
    <x v="4"/>
    <n v="19562"/>
    <n v="1"/>
    <s v="Y"/>
    <x v="1"/>
    <n v="12"/>
    <x v="0"/>
    <x v="0"/>
    <n v="2"/>
    <n v="80"/>
    <n v="1"/>
    <n v="22"/>
    <n v="3"/>
    <n v="3"/>
    <x v="14"/>
    <n v="7"/>
    <n v="2"/>
    <n v="10"/>
    <n v="0"/>
    <x v="1"/>
    <s v=""/>
    <s v=""/>
    <s v=""/>
  </r>
  <r>
    <x v="24"/>
    <x v="1"/>
    <x v="1"/>
    <n v="0"/>
    <s v="Travel_Rarely"/>
    <n v="316"/>
    <x v="0"/>
    <n v="8"/>
    <n v="4"/>
    <s v="Marketing"/>
    <n v="1"/>
    <x v="539"/>
    <n v="4"/>
    <x v="2"/>
    <x v="1"/>
    <n v="54"/>
    <n v="3"/>
    <n v="1"/>
    <x v="6"/>
    <n v="2"/>
    <x v="1"/>
    <s v="Married"/>
    <x v="520"/>
    <x v="1"/>
    <n v="9983"/>
    <n v="7"/>
    <s v="Y"/>
    <x v="1"/>
    <n v="15"/>
    <x v="0"/>
    <x v="0"/>
    <n v="4"/>
    <n v="80"/>
    <n v="1"/>
    <n v="4"/>
    <n v="2"/>
    <n v="3"/>
    <x v="4"/>
    <n v="2"/>
    <n v="2"/>
    <n v="2"/>
    <n v="4"/>
    <x v="2"/>
    <s v=""/>
    <s v=""/>
    <s v=""/>
  </r>
  <r>
    <x v="14"/>
    <x v="2"/>
    <x v="0"/>
    <n v="1"/>
    <s v="Travel_Rarely"/>
    <n v="654"/>
    <x v="1"/>
    <n v="1"/>
    <n v="2"/>
    <s v="Life Sciences"/>
    <n v="1"/>
    <x v="540"/>
    <n v="1"/>
    <x v="3"/>
    <x v="0"/>
    <n v="67"/>
    <n v="1"/>
    <n v="1"/>
    <x v="1"/>
    <n v="2"/>
    <x v="1"/>
    <s v="Single"/>
    <x v="521"/>
    <x v="1"/>
    <n v="3872"/>
    <n v="7"/>
    <s v="Y"/>
    <x v="0"/>
    <n v="13"/>
    <x v="0"/>
    <x v="0"/>
    <n v="4"/>
    <n v="80"/>
    <n v="0"/>
    <n v="10"/>
    <n v="4"/>
    <n v="3"/>
    <x v="5"/>
    <n v="7"/>
    <n v="3"/>
    <n v="7"/>
    <s v=""/>
    <x v="0"/>
    <s v=""/>
    <s v=""/>
    <s v=""/>
  </r>
  <r>
    <x v="9"/>
    <x v="0"/>
    <x v="1"/>
    <n v="0"/>
    <s v="Non-Travel"/>
    <n v="427"/>
    <x v="1"/>
    <n v="8"/>
    <n v="3"/>
    <s v="Life Sciences"/>
    <n v="1"/>
    <x v="541"/>
    <n v="1"/>
    <x v="3"/>
    <x v="0"/>
    <n v="63"/>
    <n v="4"/>
    <n v="3"/>
    <x v="7"/>
    <n v="1"/>
    <x v="3"/>
    <s v="Married"/>
    <x v="522"/>
    <x v="2"/>
    <n v="20335"/>
    <n v="9"/>
    <s v="Y"/>
    <x v="1"/>
    <n v="14"/>
    <x v="0"/>
    <x v="0"/>
    <n v="1"/>
    <n v="80"/>
    <n v="1"/>
    <n v="10"/>
    <n v="2"/>
    <n v="3"/>
    <x v="3"/>
    <n v="7"/>
    <n v="0"/>
    <n v="5"/>
    <n v="2"/>
    <x v="1"/>
    <s v=""/>
    <s v=""/>
    <s v=""/>
  </r>
  <r>
    <x v="8"/>
    <x v="0"/>
    <x v="1"/>
    <n v="0"/>
    <s v="Travel_Rarely"/>
    <n v="168"/>
    <x v="1"/>
    <n v="1"/>
    <n v="3"/>
    <s v="Life Sciences"/>
    <n v="1"/>
    <x v="542"/>
    <n v="3"/>
    <x v="1"/>
    <x v="0"/>
    <n v="81"/>
    <n v="3"/>
    <n v="3"/>
    <x v="3"/>
    <n v="3"/>
    <x v="2"/>
    <s v="Single"/>
    <x v="523"/>
    <x v="0"/>
    <n v="15397"/>
    <n v="4"/>
    <s v="Y"/>
    <x v="0"/>
    <n v="14"/>
    <x v="0"/>
    <x v="0"/>
    <n v="4"/>
    <n v="80"/>
    <n v="0"/>
    <n v="10"/>
    <n v="4"/>
    <n v="4"/>
    <x v="6"/>
    <n v="0"/>
    <n v="0"/>
    <n v="0"/>
    <n v="3"/>
    <x v="2"/>
    <s v=""/>
    <s v=""/>
    <s v=""/>
  </r>
  <r>
    <x v="20"/>
    <x v="0"/>
    <x v="1"/>
    <n v="0"/>
    <s v="Non-Travel"/>
    <n v="381"/>
    <x v="1"/>
    <n v="24"/>
    <n v="3"/>
    <s v="Medical"/>
    <n v="1"/>
    <x v="543"/>
    <n v="1"/>
    <x v="3"/>
    <x v="1"/>
    <n v="49"/>
    <n v="1"/>
    <n v="1"/>
    <x v="2"/>
    <n v="3"/>
    <x v="2"/>
    <s v="Single"/>
    <x v="524"/>
    <x v="1"/>
    <n v="2104"/>
    <n v="2"/>
    <s v="Y"/>
    <x v="1"/>
    <n v="14"/>
    <x v="0"/>
    <x v="0"/>
    <n v="3"/>
    <n v="80"/>
    <n v="0"/>
    <n v="9"/>
    <n v="5"/>
    <n v="3"/>
    <x v="8"/>
    <n v="2"/>
    <n v="1"/>
    <n v="4"/>
    <n v="3"/>
    <x v="2"/>
    <s v=""/>
    <s v=""/>
    <s v=""/>
  </r>
  <r>
    <x v="40"/>
    <x v="1"/>
    <x v="1"/>
    <n v="0"/>
    <s v="Travel_Frequently"/>
    <n v="217"/>
    <x v="0"/>
    <n v="3"/>
    <n v="3"/>
    <s v="Medical"/>
    <n v="1"/>
    <x v="544"/>
    <n v="4"/>
    <x v="2"/>
    <x v="0"/>
    <n v="49"/>
    <n v="3"/>
    <n v="4"/>
    <x v="0"/>
    <n v="3"/>
    <x v="2"/>
    <s v="Divorced"/>
    <x v="525"/>
    <x v="3"/>
    <n v="10225"/>
    <n v="9"/>
    <s v="Y"/>
    <x v="0"/>
    <n v="12"/>
    <x v="0"/>
    <x v="0"/>
    <n v="4"/>
    <n v="80"/>
    <n v="2"/>
    <n v="28"/>
    <n v="2"/>
    <n v="2"/>
    <x v="14"/>
    <n v="2"/>
    <n v="11"/>
    <n v="13"/>
    <n v="2"/>
    <x v="1"/>
    <s v=""/>
    <s v=""/>
    <s v=""/>
  </r>
  <r>
    <x v="7"/>
    <x v="2"/>
    <x v="1"/>
    <n v="0"/>
    <s v="Travel_Rarely"/>
    <n v="501"/>
    <x v="0"/>
    <n v="27"/>
    <n v="5"/>
    <s v="Marketing"/>
    <n v="1"/>
    <x v="545"/>
    <n v="3"/>
    <x v="1"/>
    <x v="1"/>
    <n v="99"/>
    <n v="3"/>
    <n v="2"/>
    <x v="0"/>
    <n v="4"/>
    <x v="0"/>
    <s v="Divorced"/>
    <x v="367"/>
    <x v="0"/>
    <n v="25275"/>
    <n v="7"/>
    <s v="Y"/>
    <x v="1"/>
    <n v="23"/>
    <x v="1"/>
    <x v="1"/>
    <n v="4"/>
    <n v="80"/>
    <n v="1"/>
    <n v="10"/>
    <n v="2"/>
    <n v="2"/>
    <x v="3"/>
    <n v="7"/>
    <n v="7"/>
    <n v="7"/>
    <n v="2"/>
    <x v="1"/>
    <s v=""/>
    <s v=""/>
    <s v=""/>
  </r>
  <r>
    <x v="11"/>
    <x v="2"/>
    <x v="1"/>
    <n v="0"/>
    <s v="Travel_Rarely"/>
    <n v="1396"/>
    <x v="0"/>
    <n v="10"/>
    <n v="3"/>
    <s v="Life Sciences"/>
    <n v="1"/>
    <x v="546"/>
    <n v="3"/>
    <x v="1"/>
    <x v="1"/>
    <n v="99"/>
    <n v="3"/>
    <n v="1"/>
    <x v="6"/>
    <n v="3"/>
    <x v="2"/>
    <s v="Single"/>
    <x v="526"/>
    <x v="1"/>
    <n v="2755"/>
    <n v="1"/>
    <s v="Y"/>
    <x v="1"/>
    <n v="11"/>
    <x v="0"/>
    <x v="0"/>
    <n v="3"/>
    <n v="80"/>
    <n v="0"/>
    <n v="1"/>
    <n v="6"/>
    <n v="3"/>
    <x v="6"/>
    <n v="0"/>
    <n v="0"/>
    <n v="0"/>
    <n v="5"/>
    <x v="2"/>
    <s v=""/>
    <s v=""/>
    <s v=""/>
  </r>
  <r>
    <x v="19"/>
    <x v="0"/>
    <x v="0"/>
    <n v="1"/>
    <s v="Travel_Frequently"/>
    <n v="933"/>
    <x v="1"/>
    <n v="19"/>
    <n v="3"/>
    <s v="Medical"/>
    <n v="1"/>
    <x v="547"/>
    <n v="3"/>
    <x v="1"/>
    <x v="1"/>
    <n v="57"/>
    <n v="4"/>
    <n v="1"/>
    <x v="1"/>
    <n v="3"/>
    <x v="2"/>
    <s v="Divorced"/>
    <x v="527"/>
    <x v="1"/>
    <n v="20366"/>
    <n v="6"/>
    <s v="Y"/>
    <x v="0"/>
    <n v="12"/>
    <x v="0"/>
    <x v="0"/>
    <n v="4"/>
    <n v="80"/>
    <n v="0"/>
    <n v="7"/>
    <n v="2"/>
    <n v="3"/>
    <x v="4"/>
    <n v="2"/>
    <n v="2"/>
    <n v="2"/>
    <s v=""/>
    <x v="0"/>
    <s v=""/>
    <s v=""/>
    <s v=""/>
  </r>
  <r>
    <x v="23"/>
    <x v="0"/>
    <x v="1"/>
    <n v="0"/>
    <s v="Travel_Frequently"/>
    <n v="775"/>
    <x v="0"/>
    <n v="15"/>
    <n v="3"/>
    <s v="Life Sciences"/>
    <n v="1"/>
    <x v="548"/>
    <n v="4"/>
    <x v="2"/>
    <x v="1"/>
    <n v="47"/>
    <n v="2"/>
    <n v="2"/>
    <x v="0"/>
    <n v="4"/>
    <x v="0"/>
    <s v="Married"/>
    <x v="197"/>
    <x v="0"/>
    <n v="23683"/>
    <n v="3"/>
    <s v="Y"/>
    <x v="1"/>
    <n v="18"/>
    <x v="2"/>
    <x v="0"/>
    <n v="3"/>
    <n v="80"/>
    <n v="1"/>
    <n v="7"/>
    <n v="5"/>
    <n v="3"/>
    <x v="4"/>
    <n v="2"/>
    <n v="2"/>
    <n v="2"/>
    <n v="1"/>
    <x v="1"/>
    <s v=""/>
    <s v=""/>
    <s v=""/>
  </r>
  <r>
    <x v="13"/>
    <x v="2"/>
    <x v="1"/>
    <n v="0"/>
    <s v="Travel_Rarely"/>
    <n v="970"/>
    <x v="1"/>
    <n v="8"/>
    <n v="2"/>
    <s v="Medical"/>
    <n v="1"/>
    <x v="549"/>
    <n v="2"/>
    <x v="0"/>
    <x v="0"/>
    <n v="96"/>
    <n v="3"/>
    <n v="2"/>
    <x v="4"/>
    <n v="3"/>
    <x v="2"/>
    <s v="Single"/>
    <x v="528"/>
    <x v="0"/>
    <n v="7360"/>
    <n v="3"/>
    <s v="Y"/>
    <x v="1"/>
    <n v="11"/>
    <x v="0"/>
    <x v="0"/>
    <n v="4"/>
    <n v="80"/>
    <n v="0"/>
    <n v="10"/>
    <n v="2"/>
    <n v="3"/>
    <x v="8"/>
    <n v="1"/>
    <n v="4"/>
    <n v="3"/>
    <n v="2"/>
    <x v="1"/>
    <s v=""/>
    <s v=""/>
    <s v=""/>
  </r>
  <r>
    <x v="30"/>
    <x v="4"/>
    <x v="1"/>
    <n v="0"/>
    <s v="Travel_Rarely"/>
    <n v="650"/>
    <x v="1"/>
    <n v="9"/>
    <n v="1"/>
    <s v="Medical"/>
    <n v="1"/>
    <x v="550"/>
    <n v="2"/>
    <x v="0"/>
    <x v="1"/>
    <n v="37"/>
    <n v="3"/>
    <n v="1"/>
    <x v="2"/>
    <n v="1"/>
    <x v="3"/>
    <s v="Married"/>
    <x v="172"/>
    <x v="1"/>
    <n v="4344"/>
    <n v="1"/>
    <s v="Y"/>
    <x v="1"/>
    <n v="14"/>
    <x v="0"/>
    <x v="0"/>
    <n v="4"/>
    <n v="80"/>
    <n v="1"/>
    <n v="5"/>
    <n v="2"/>
    <n v="4"/>
    <x v="9"/>
    <n v="3"/>
    <n v="0"/>
    <n v="2"/>
    <n v="7"/>
    <x v="3"/>
    <n v="8"/>
    <s v="Top 10"/>
    <n v="69242"/>
  </r>
  <r>
    <x v="22"/>
    <x v="0"/>
    <x v="1"/>
    <n v="0"/>
    <s v="Travel_Rarely"/>
    <n v="141"/>
    <x v="2"/>
    <n v="3"/>
    <n v="3"/>
    <s v="Human Resources"/>
    <n v="1"/>
    <x v="551"/>
    <n v="3"/>
    <x v="1"/>
    <x v="0"/>
    <n v="44"/>
    <n v="4"/>
    <n v="2"/>
    <x v="8"/>
    <n v="2"/>
    <x v="1"/>
    <s v="Married"/>
    <x v="529"/>
    <x v="0"/>
    <n v="18767"/>
    <n v="9"/>
    <s v="Y"/>
    <x v="1"/>
    <n v="15"/>
    <x v="0"/>
    <x v="0"/>
    <n v="3"/>
    <n v="80"/>
    <n v="1"/>
    <n v="12"/>
    <n v="3"/>
    <n v="1"/>
    <x v="3"/>
    <n v="3"/>
    <n v="3"/>
    <n v="6"/>
    <n v="2"/>
    <x v="1"/>
    <s v=""/>
    <s v=""/>
    <s v=""/>
  </r>
  <r>
    <x v="29"/>
    <x v="3"/>
    <x v="1"/>
    <n v="0"/>
    <s v="Travel_Rarely"/>
    <n v="832"/>
    <x v="1"/>
    <n v="9"/>
    <n v="3"/>
    <s v="Medical"/>
    <n v="1"/>
    <x v="552"/>
    <n v="3"/>
    <x v="1"/>
    <x v="1"/>
    <n v="81"/>
    <n v="3"/>
    <n v="4"/>
    <x v="4"/>
    <n v="4"/>
    <x v="0"/>
    <s v="Married"/>
    <x v="530"/>
    <x v="2"/>
    <n v="20420"/>
    <n v="7"/>
    <s v="Y"/>
    <x v="1"/>
    <n v="11"/>
    <x v="0"/>
    <x v="0"/>
    <n v="3"/>
    <n v="80"/>
    <n v="0"/>
    <n v="30"/>
    <n v="1"/>
    <n v="2"/>
    <x v="1"/>
    <n v="7"/>
    <n v="1"/>
    <n v="1"/>
    <n v="0"/>
    <x v="1"/>
    <s v=""/>
    <s v=""/>
    <s v=""/>
  </r>
  <r>
    <x v="32"/>
    <x v="0"/>
    <x v="1"/>
    <n v="0"/>
    <s v="Travel_Rarely"/>
    <n v="804"/>
    <x v="1"/>
    <n v="2"/>
    <n v="1"/>
    <s v="Medical"/>
    <n v="1"/>
    <x v="553"/>
    <n v="4"/>
    <x v="2"/>
    <x v="0"/>
    <n v="86"/>
    <n v="2"/>
    <n v="1"/>
    <x v="1"/>
    <n v="4"/>
    <x v="0"/>
    <s v="Single"/>
    <x v="531"/>
    <x v="1"/>
    <n v="22929"/>
    <n v="0"/>
    <s v="Y"/>
    <x v="0"/>
    <n v="20"/>
    <x v="2"/>
    <x v="1"/>
    <n v="4"/>
    <n v="80"/>
    <n v="0"/>
    <n v="5"/>
    <n v="2"/>
    <n v="2"/>
    <x v="9"/>
    <n v="2"/>
    <n v="2"/>
    <n v="3"/>
    <n v="4"/>
    <x v="2"/>
    <s v=""/>
    <s v=""/>
    <s v=""/>
  </r>
  <r>
    <x v="4"/>
    <x v="2"/>
    <x v="1"/>
    <n v="0"/>
    <s v="Travel_Rarely"/>
    <n v="975"/>
    <x v="1"/>
    <n v="7"/>
    <n v="3"/>
    <s v="Medical"/>
    <n v="1"/>
    <x v="554"/>
    <n v="4"/>
    <x v="2"/>
    <x v="0"/>
    <n v="55"/>
    <n v="2"/>
    <n v="2"/>
    <x v="4"/>
    <n v="1"/>
    <x v="3"/>
    <s v="Single"/>
    <x v="445"/>
    <x v="0"/>
    <n v="23398"/>
    <n v="8"/>
    <s v="Y"/>
    <x v="1"/>
    <n v="19"/>
    <x v="2"/>
    <x v="0"/>
    <n v="1"/>
    <n v="80"/>
    <n v="0"/>
    <n v="9"/>
    <n v="2"/>
    <n v="1"/>
    <x v="5"/>
    <n v="6"/>
    <n v="0"/>
    <n v="7"/>
    <n v="4"/>
    <x v="2"/>
    <s v=""/>
    <s v=""/>
    <s v=""/>
  </r>
  <r>
    <x v="11"/>
    <x v="2"/>
    <x v="1"/>
    <n v="0"/>
    <s v="Travel_Rarely"/>
    <n v="1090"/>
    <x v="0"/>
    <n v="10"/>
    <n v="3"/>
    <s v="Marketing"/>
    <n v="1"/>
    <x v="555"/>
    <n v="4"/>
    <x v="2"/>
    <x v="1"/>
    <n v="83"/>
    <n v="3"/>
    <n v="1"/>
    <x v="6"/>
    <n v="2"/>
    <x v="1"/>
    <s v="Divorced"/>
    <x v="532"/>
    <x v="1"/>
    <n v="17967"/>
    <n v="1"/>
    <s v="Y"/>
    <x v="1"/>
    <n v="14"/>
    <x v="0"/>
    <x v="0"/>
    <n v="4"/>
    <n v="80"/>
    <n v="2"/>
    <n v="2"/>
    <n v="2"/>
    <n v="3"/>
    <x v="4"/>
    <n v="2"/>
    <n v="2"/>
    <n v="2"/>
    <n v="5"/>
    <x v="2"/>
    <s v=""/>
    <s v=""/>
    <s v=""/>
  </r>
  <r>
    <x v="16"/>
    <x v="1"/>
    <x v="1"/>
    <n v="0"/>
    <s v="Travel_Rarely"/>
    <n v="346"/>
    <x v="1"/>
    <n v="6"/>
    <n v="3"/>
    <s v="Life Sciences"/>
    <n v="1"/>
    <x v="556"/>
    <n v="4"/>
    <x v="2"/>
    <x v="1"/>
    <n v="86"/>
    <n v="3"/>
    <n v="2"/>
    <x v="2"/>
    <n v="4"/>
    <x v="0"/>
    <s v="Single"/>
    <x v="533"/>
    <x v="1"/>
    <n v="10919"/>
    <n v="2"/>
    <s v="Y"/>
    <x v="1"/>
    <n v="17"/>
    <x v="2"/>
    <x v="0"/>
    <n v="4"/>
    <n v="80"/>
    <n v="0"/>
    <n v="19"/>
    <n v="4"/>
    <n v="3"/>
    <x v="4"/>
    <n v="2"/>
    <n v="2"/>
    <n v="2"/>
    <n v="3"/>
    <x v="2"/>
    <s v=""/>
    <s v=""/>
    <s v=""/>
  </r>
  <r>
    <x v="10"/>
    <x v="0"/>
    <x v="1"/>
    <n v="0"/>
    <s v="Non-Travel"/>
    <n v="1225"/>
    <x v="1"/>
    <n v="2"/>
    <n v="4"/>
    <s v="Life Sciences"/>
    <n v="1"/>
    <x v="557"/>
    <n v="4"/>
    <x v="2"/>
    <x v="0"/>
    <n v="61"/>
    <n v="3"/>
    <n v="2"/>
    <x v="4"/>
    <n v="1"/>
    <x v="3"/>
    <s v="Divorced"/>
    <x v="534"/>
    <x v="0"/>
    <n v="4761"/>
    <n v="2"/>
    <s v="Y"/>
    <x v="1"/>
    <n v="11"/>
    <x v="0"/>
    <x v="0"/>
    <n v="1"/>
    <n v="80"/>
    <n v="1"/>
    <n v="16"/>
    <n v="2"/>
    <n v="4"/>
    <x v="6"/>
    <n v="0"/>
    <n v="0"/>
    <n v="0"/>
    <n v="3"/>
    <x v="2"/>
    <s v=""/>
    <s v=""/>
    <s v=""/>
  </r>
  <r>
    <x v="5"/>
    <x v="2"/>
    <x v="1"/>
    <n v="0"/>
    <s v="Travel_Frequently"/>
    <n v="430"/>
    <x v="1"/>
    <n v="24"/>
    <n v="4"/>
    <s v="Life Sciences"/>
    <n v="1"/>
    <x v="558"/>
    <n v="1"/>
    <x v="3"/>
    <x v="1"/>
    <n v="80"/>
    <n v="3"/>
    <n v="2"/>
    <x v="2"/>
    <n v="4"/>
    <x v="0"/>
    <s v="Married"/>
    <x v="535"/>
    <x v="0"/>
    <n v="21146"/>
    <n v="1"/>
    <s v="Y"/>
    <x v="1"/>
    <n v="15"/>
    <x v="0"/>
    <x v="0"/>
    <n v="4"/>
    <n v="80"/>
    <n v="2"/>
    <n v="10"/>
    <n v="2"/>
    <n v="3"/>
    <x v="1"/>
    <n v="8"/>
    <n v="4"/>
    <n v="7"/>
    <n v="3"/>
    <x v="2"/>
    <s v=""/>
    <s v=""/>
    <s v=""/>
  </r>
  <r>
    <x v="8"/>
    <x v="0"/>
    <x v="1"/>
    <n v="0"/>
    <s v="Travel_Rarely"/>
    <n v="268"/>
    <x v="1"/>
    <n v="2"/>
    <n v="5"/>
    <s v="Medical"/>
    <n v="1"/>
    <x v="559"/>
    <n v="4"/>
    <x v="2"/>
    <x v="1"/>
    <n v="92"/>
    <n v="3"/>
    <n v="1"/>
    <x v="1"/>
    <n v="3"/>
    <x v="2"/>
    <s v="Married"/>
    <x v="536"/>
    <x v="1"/>
    <n v="20471"/>
    <n v="6"/>
    <s v="Y"/>
    <x v="0"/>
    <n v="13"/>
    <x v="0"/>
    <x v="0"/>
    <n v="2"/>
    <n v="80"/>
    <n v="1"/>
    <n v="6"/>
    <n v="0"/>
    <n v="1"/>
    <x v="6"/>
    <n v="0"/>
    <n v="0"/>
    <n v="1"/>
    <n v="4"/>
    <x v="2"/>
    <s v=""/>
    <s v=""/>
    <s v=""/>
  </r>
  <r>
    <x v="13"/>
    <x v="2"/>
    <x v="1"/>
    <n v="0"/>
    <s v="Travel_Rarely"/>
    <n v="167"/>
    <x v="1"/>
    <n v="8"/>
    <n v="5"/>
    <s v="Life Sciences"/>
    <n v="1"/>
    <x v="560"/>
    <n v="2"/>
    <x v="0"/>
    <x v="0"/>
    <n v="32"/>
    <n v="3"/>
    <n v="2"/>
    <x v="3"/>
    <n v="1"/>
    <x v="3"/>
    <s v="Divorced"/>
    <x v="537"/>
    <x v="0"/>
    <n v="4187"/>
    <n v="3"/>
    <s v="Y"/>
    <x v="1"/>
    <n v="14"/>
    <x v="0"/>
    <x v="0"/>
    <n v="3"/>
    <n v="80"/>
    <n v="1"/>
    <n v="7"/>
    <n v="3"/>
    <n v="3"/>
    <x v="2"/>
    <n v="0"/>
    <n v="0"/>
    <n v="0"/>
    <n v="4"/>
    <x v="2"/>
    <s v=""/>
    <s v=""/>
    <s v=""/>
  </r>
  <r>
    <x v="39"/>
    <x v="1"/>
    <x v="1"/>
    <n v="0"/>
    <s v="Travel_Rarely"/>
    <n v="621"/>
    <x v="0"/>
    <n v="3"/>
    <n v="4"/>
    <s v="Marketing"/>
    <n v="1"/>
    <x v="561"/>
    <n v="3"/>
    <x v="1"/>
    <x v="1"/>
    <n v="31"/>
    <n v="2"/>
    <n v="4"/>
    <x v="5"/>
    <n v="1"/>
    <x v="3"/>
    <s v="Married"/>
    <x v="538"/>
    <x v="4"/>
    <n v="10084"/>
    <n v="1"/>
    <s v="Y"/>
    <x v="1"/>
    <n v="11"/>
    <x v="0"/>
    <x v="0"/>
    <n v="1"/>
    <n v="80"/>
    <n v="0"/>
    <n v="34"/>
    <n v="3"/>
    <n v="4"/>
    <x v="33"/>
    <n v="6"/>
    <n v="1"/>
    <n v="16"/>
    <n v="2"/>
    <x v="1"/>
    <s v=""/>
    <s v=""/>
    <s v=""/>
  </r>
  <r>
    <x v="3"/>
    <x v="2"/>
    <x v="0"/>
    <n v="1"/>
    <s v="Travel_Rarely"/>
    <n v="527"/>
    <x v="1"/>
    <n v="1"/>
    <n v="4"/>
    <s v="Other"/>
    <n v="1"/>
    <x v="562"/>
    <n v="4"/>
    <x v="2"/>
    <x v="1"/>
    <n v="63"/>
    <n v="3"/>
    <n v="1"/>
    <x v="1"/>
    <n v="4"/>
    <x v="0"/>
    <s v="Single"/>
    <x v="539"/>
    <x v="1"/>
    <n v="5207"/>
    <n v="1"/>
    <s v="Y"/>
    <x v="0"/>
    <n v="13"/>
    <x v="0"/>
    <x v="0"/>
    <n v="3"/>
    <n v="80"/>
    <n v="0"/>
    <n v="10"/>
    <n v="2"/>
    <n v="2"/>
    <x v="1"/>
    <n v="9"/>
    <n v="7"/>
    <n v="8"/>
    <s v=""/>
    <x v="0"/>
    <s v=""/>
    <s v=""/>
    <s v=""/>
  </r>
  <r>
    <x v="36"/>
    <x v="2"/>
    <x v="1"/>
    <n v="0"/>
    <s v="Travel_Rarely"/>
    <n v="883"/>
    <x v="0"/>
    <n v="26"/>
    <n v="1"/>
    <s v="Medical"/>
    <n v="1"/>
    <x v="563"/>
    <n v="3"/>
    <x v="1"/>
    <x v="0"/>
    <n v="32"/>
    <n v="3"/>
    <n v="2"/>
    <x v="0"/>
    <n v="4"/>
    <x v="0"/>
    <s v="Single"/>
    <x v="540"/>
    <x v="0"/>
    <n v="22807"/>
    <n v="1"/>
    <s v="Y"/>
    <x v="1"/>
    <n v="23"/>
    <x v="1"/>
    <x v="1"/>
    <n v="2"/>
    <n v="80"/>
    <n v="0"/>
    <n v="6"/>
    <n v="5"/>
    <n v="2"/>
    <x v="0"/>
    <n v="5"/>
    <n v="1"/>
    <n v="4"/>
    <n v="2"/>
    <x v="1"/>
    <s v=""/>
    <s v=""/>
    <s v=""/>
  </r>
  <r>
    <x v="28"/>
    <x v="1"/>
    <x v="1"/>
    <n v="0"/>
    <s v="Travel_Rarely"/>
    <n v="954"/>
    <x v="0"/>
    <n v="2"/>
    <n v="2"/>
    <s v="Technical Degree"/>
    <n v="1"/>
    <x v="564"/>
    <n v="2"/>
    <x v="0"/>
    <x v="1"/>
    <n v="46"/>
    <n v="1"/>
    <n v="2"/>
    <x v="6"/>
    <n v="3"/>
    <x v="2"/>
    <s v="Single"/>
    <x v="541"/>
    <x v="0"/>
    <n v="12388"/>
    <n v="0"/>
    <s v="Y"/>
    <x v="1"/>
    <n v="13"/>
    <x v="0"/>
    <x v="0"/>
    <n v="1"/>
    <n v="80"/>
    <n v="0"/>
    <n v="9"/>
    <n v="3"/>
    <n v="3"/>
    <x v="3"/>
    <n v="7"/>
    <n v="3"/>
    <n v="1"/>
    <n v="3"/>
    <x v="2"/>
    <s v=""/>
    <s v=""/>
    <s v=""/>
  </r>
  <r>
    <x v="30"/>
    <x v="4"/>
    <x v="1"/>
    <n v="0"/>
    <s v="Travel_Rarely"/>
    <n v="310"/>
    <x v="1"/>
    <n v="10"/>
    <n v="1"/>
    <s v="Medical"/>
    <n v="1"/>
    <x v="565"/>
    <n v="1"/>
    <x v="3"/>
    <x v="1"/>
    <n v="79"/>
    <n v="4"/>
    <n v="1"/>
    <x v="1"/>
    <n v="3"/>
    <x v="2"/>
    <s v="Single"/>
    <x v="542"/>
    <x v="1"/>
    <n v="19630"/>
    <n v="1"/>
    <s v="Y"/>
    <x v="1"/>
    <n v="18"/>
    <x v="2"/>
    <x v="0"/>
    <n v="4"/>
    <n v="80"/>
    <n v="0"/>
    <n v="2"/>
    <n v="3"/>
    <n v="3"/>
    <x v="4"/>
    <n v="2"/>
    <n v="0"/>
    <n v="2"/>
    <n v="4"/>
    <x v="2"/>
    <s v=""/>
    <s v=""/>
    <s v=""/>
  </r>
  <r>
    <x v="40"/>
    <x v="1"/>
    <x v="0"/>
    <n v="1"/>
    <s v="Travel_Frequently"/>
    <n v="719"/>
    <x v="0"/>
    <n v="27"/>
    <n v="2"/>
    <s v="Life Sciences"/>
    <n v="1"/>
    <x v="566"/>
    <n v="2"/>
    <x v="0"/>
    <x v="0"/>
    <n v="77"/>
    <n v="4"/>
    <n v="2"/>
    <x v="0"/>
    <n v="3"/>
    <x v="2"/>
    <s v="Single"/>
    <x v="271"/>
    <x v="0"/>
    <n v="10339"/>
    <n v="4"/>
    <s v="Y"/>
    <x v="0"/>
    <n v="12"/>
    <x v="0"/>
    <x v="0"/>
    <n v="4"/>
    <n v="80"/>
    <n v="0"/>
    <n v="8"/>
    <n v="2"/>
    <n v="3"/>
    <x v="8"/>
    <n v="4"/>
    <n v="1"/>
    <n v="3"/>
    <s v=""/>
    <x v="0"/>
    <s v=""/>
    <s v=""/>
    <s v=""/>
  </r>
  <r>
    <x v="13"/>
    <x v="2"/>
    <x v="1"/>
    <n v="0"/>
    <s v="Travel_Rarely"/>
    <n v="304"/>
    <x v="0"/>
    <n v="2"/>
    <n v="3"/>
    <s v="Other"/>
    <n v="1"/>
    <x v="567"/>
    <n v="4"/>
    <x v="2"/>
    <x v="1"/>
    <n v="60"/>
    <n v="3"/>
    <n v="2"/>
    <x v="0"/>
    <n v="4"/>
    <x v="0"/>
    <s v="Single"/>
    <x v="543"/>
    <x v="0"/>
    <n v="18686"/>
    <n v="1"/>
    <s v="Y"/>
    <x v="1"/>
    <n v="22"/>
    <x v="1"/>
    <x v="1"/>
    <n v="3"/>
    <n v="80"/>
    <n v="0"/>
    <n v="6"/>
    <n v="5"/>
    <n v="3"/>
    <x v="0"/>
    <n v="5"/>
    <n v="1"/>
    <n v="4"/>
    <n v="2"/>
    <x v="1"/>
    <s v=""/>
    <s v=""/>
    <s v=""/>
  </r>
  <r>
    <x v="27"/>
    <x v="3"/>
    <x v="0"/>
    <n v="1"/>
    <s v="Travel_Rarely"/>
    <n v="725"/>
    <x v="1"/>
    <n v="2"/>
    <n v="3"/>
    <s v="Medical"/>
    <n v="1"/>
    <x v="568"/>
    <n v="4"/>
    <x v="2"/>
    <x v="1"/>
    <n v="78"/>
    <n v="3"/>
    <n v="5"/>
    <x v="5"/>
    <n v="1"/>
    <x v="3"/>
    <s v="Married"/>
    <x v="544"/>
    <x v="4"/>
    <n v="21199"/>
    <n v="5"/>
    <s v="Y"/>
    <x v="0"/>
    <n v="13"/>
    <x v="0"/>
    <x v="0"/>
    <n v="4"/>
    <n v="80"/>
    <n v="1"/>
    <n v="24"/>
    <n v="2"/>
    <n v="3"/>
    <x v="8"/>
    <n v="2"/>
    <n v="1"/>
    <n v="4"/>
    <s v=""/>
    <x v="0"/>
    <s v=""/>
    <s v=""/>
    <s v=""/>
  </r>
  <r>
    <x v="9"/>
    <x v="0"/>
    <x v="1"/>
    <n v="0"/>
    <s v="Non-Travel"/>
    <n v="1434"/>
    <x v="0"/>
    <n v="8"/>
    <n v="4"/>
    <s v="Life Sciences"/>
    <n v="1"/>
    <x v="569"/>
    <n v="1"/>
    <x v="3"/>
    <x v="1"/>
    <n v="76"/>
    <n v="2"/>
    <n v="3"/>
    <x v="0"/>
    <n v="1"/>
    <x v="3"/>
    <s v="Single"/>
    <x v="545"/>
    <x v="0"/>
    <n v="14229"/>
    <n v="1"/>
    <s v="Y"/>
    <x v="1"/>
    <n v="15"/>
    <x v="0"/>
    <x v="0"/>
    <n v="2"/>
    <n v="80"/>
    <n v="0"/>
    <n v="10"/>
    <n v="1"/>
    <n v="3"/>
    <x v="1"/>
    <n v="7"/>
    <n v="0"/>
    <n v="9"/>
    <n v="3"/>
    <x v="2"/>
    <s v=""/>
    <s v=""/>
    <s v=""/>
  </r>
  <r>
    <x v="39"/>
    <x v="1"/>
    <x v="1"/>
    <n v="0"/>
    <s v="Non-Travel"/>
    <n v="715"/>
    <x v="1"/>
    <n v="19"/>
    <n v="4"/>
    <s v="Medical"/>
    <n v="1"/>
    <x v="570"/>
    <n v="4"/>
    <x v="2"/>
    <x v="1"/>
    <n v="41"/>
    <n v="3"/>
    <n v="1"/>
    <x v="1"/>
    <n v="4"/>
    <x v="0"/>
    <s v="Married"/>
    <x v="546"/>
    <x v="0"/>
    <n v="26589"/>
    <n v="0"/>
    <s v="Y"/>
    <x v="1"/>
    <n v="18"/>
    <x v="2"/>
    <x v="0"/>
    <n v="1"/>
    <n v="80"/>
    <n v="1"/>
    <n v="5"/>
    <n v="3"/>
    <n v="3"/>
    <x v="9"/>
    <n v="3"/>
    <n v="1"/>
    <n v="2"/>
    <n v="1"/>
    <x v="1"/>
    <s v=""/>
    <s v=""/>
    <s v=""/>
  </r>
  <r>
    <x v="25"/>
    <x v="2"/>
    <x v="1"/>
    <n v="0"/>
    <s v="Travel_Frequently"/>
    <n v="575"/>
    <x v="1"/>
    <n v="1"/>
    <n v="2"/>
    <s v="Life Sciences"/>
    <n v="1"/>
    <x v="571"/>
    <n v="1"/>
    <x v="3"/>
    <x v="0"/>
    <n v="71"/>
    <n v="1"/>
    <n v="1"/>
    <x v="2"/>
    <n v="4"/>
    <x v="0"/>
    <s v="Divorced"/>
    <x v="547"/>
    <x v="0"/>
    <n v="5288"/>
    <n v="3"/>
    <s v="Y"/>
    <x v="1"/>
    <n v="14"/>
    <x v="0"/>
    <x v="0"/>
    <n v="1"/>
    <n v="80"/>
    <n v="1"/>
    <n v="5"/>
    <n v="2"/>
    <n v="3"/>
    <x v="4"/>
    <n v="2"/>
    <n v="2"/>
    <n v="0"/>
    <n v="3"/>
    <x v="2"/>
    <s v=""/>
    <s v=""/>
    <s v=""/>
  </r>
  <r>
    <x v="11"/>
    <x v="2"/>
    <x v="1"/>
    <n v="0"/>
    <s v="Travel_Rarely"/>
    <n v="657"/>
    <x v="1"/>
    <n v="27"/>
    <n v="3"/>
    <s v="Medical"/>
    <n v="1"/>
    <x v="572"/>
    <n v="2"/>
    <x v="0"/>
    <x v="0"/>
    <n v="66"/>
    <n v="3"/>
    <n v="2"/>
    <x v="4"/>
    <n v="3"/>
    <x v="2"/>
    <s v="Married"/>
    <x v="548"/>
    <x v="0"/>
    <n v="25549"/>
    <n v="4"/>
    <s v="Y"/>
    <x v="1"/>
    <n v="12"/>
    <x v="0"/>
    <x v="0"/>
    <n v="1"/>
    <n v="80"/>
    <n v="1"/>
    <n v="11"/>
    <n v="3"/>
    <n v="2"/>
    <x v="3"/>
    <n v="7"/>
    <n v="1"/>
    <n v="1"/>
    <n v="2"/>
    <x v="1"/>
    <s v=""/>
    <s v=""/>
    <s v=""/>
  </r>
  <r>
    <x v="25"/>
    <x v="2"/>
    <x v="0"/>
    <n v="1"/>
    <s v="Travel_Rarely"/>
    <n v="1146"/>
    <x v="0"/>
    <n v="8"/>
    <n v="3"/>
    <s v="Technical Degree"/>
    <n v="1"/>
    <x v="573"/>
    <n v="4"/>
    <x v="2"/>
    <x v="1"/>
    <n v="38"/>
    <n v="2"/>
    <n v="2"/>
    <x v="0"/>
    <n v="1"/>
    <x v="3"/>
    <s v="Single"/>
    <x v="549"/>
    <x v="0"/>
    <n v="3064"/>
    <n v="6"/>
    <s v="Y"/>
    <x v="1"/>
    <n v="17"/>
    <x v="2"/>
    <x v="0"/>
    <n v="3"/>
    <n v="80"/>
    <n v="0"/>
    <n v="6"/>
    <n v="2"/>
    <n v="2"/>
    <x v="9"/>
    <n v="3"/>
    <n v="1"/>
    <n v="2"/>
    <s v=""/>
    <x v="0"/>
    <s v=""/>
    <s v=""/>
    <s v=""/>
  </r>
  <r>
    <x v="13"/>
    <x v="2"/>
    <x v="1"/>
    <n v="0"/>
    <s v="Travel_Rarely"/>
    <n v="182"/>
    <x v="1"/>
    <n v="1"/>
    <n v="4"/>
    <s v="Life Sciences"/>
    <n v="1"/>
    <x v="574"/>
    <n v="2"/>
    <x v="0"/>
    <x v="0"/>
    <n v="72"/>
    <n v="4"/>
    <n v="1"/>
    <x v="1"/>
    <n v="4"/>
    <x v="0"/>
    <s v="Single"/>
    <x v="550"/>
    <x v="1"/>
    <n v="13551"/>
    <n v="2"/>
    <s v="Y"/>
    <x v="1"/>
    <n v="16"/>
    <x v="2"/>
    <x v="0"/>
    <n v="3"/>
    <n v="80"/>
    <n v="0"/>
    <n v="10"/>
    <n v="2"/>
    <n v="3"/>
    <x v="9"/>
    <n v="2"/>
    <n v="1"/>
    <n v="3"/>
    <n v="3"/>
    <x v="2"/>
    <s v=""/>
    <s v=""/>
    <s v=""/>
  </r>
  <r>
    <x v="33"/>
    <x v="1"/>
    <x v="1"/>
    <n v="0"/>
    <s v="Travel_Rarely"/>
    <n v="376"/>
    <x v="1"/>
    <n v="19"/>
    <n v="4"/>
    <s v="Medical"/>
    <n v="1"/>
    <x v="575"/>
    <n v="4"/>
    <x v="2"/>
    <x v="0"/>
    <n v="95"/>
    <n v="3"/>
    <n v="2"/>
    <x v="3"/>
    <n v="1"/>
    <x v="3"/>
    <s v="Divorced"/>
    <x v="551"/>
    <x v="0"/>
    <n v="22670"/>
    <n v="9"/>
    <s v="Y"/>
    <x v="0"/>
    <n v="11"/>
    <x v="0"/>
    <x v="0"/>
    <n v="2"/>
    <n v="80"/>
    <n v="2"/>
    <n v="9"/>
    <n v="4"/>
    <n v="3"/>
    <x v="8"/>
    <n v="3"/>
    <n v="1"/>
    <n v="4"/>
    <n v="5"/>
    <x v="2"/>
    <s v=""/>
    <s v=""/>
    <s v=""/>
  </r>
  <r>
    <x v="4"/>
    <x v="2"/>
    <x v="1"/>
    <n v="0"/>
    <s v="Travel_Frequently"/>
    <n v="829"/>
    <x v="0"/>
    <n v="8"/>
    <n v="1"/>
    <s v="Marketing"/>
    <n v="1"/>
    <x v="576"/>
    <n v="3"/>
    <x v="1"/>
    <x v="1"/>
    <n v="84"/>
    <n v="3"/>
    <n v="2"/>
    <x v="0"/>
    <n v="4"/>
    <x v="0"/>
    <s v="Married"/>
    <x v="552"/>
    <x v="0"/>
    <n v="24008"/>
    <n v="0"/>
    <s v="Y"/>
    <x v="1"/>
    <n v="19"/>
    <x v="2"/>
    <x v="0"/>
    <n v="2"/>
    <n v="80"/>
    <n v="1"/>
    <n v="5"/>
    <n v="3"/>
    <n v="3"/>
    <x v="9"/>
    <n v="2"/>
    <n v="1"/>
    <n v="1"/>
    <n v="2"/>
    <x v="1"/>
    <s v=""/>
    <s v=""/>
    <s v=""/>
  </r>
  <r>
    <x v="2"/>
    <x v="0"/>
    <x v="1"/>
    <n v="0"/>
    <s v="Travel_Rarely"/>
    <n v="571"/>
    <x v="1"/>
    <n v="10"/>
    <n v="1"/>
    <s v="Life Sciences"/>
    <n v="1"/>
    <x v="577"/>
    <n v="4"/>
    <x v="2"/>
    <x v="0"/>
    <n v="82"/>
    <n v="3"/>
    <n v="1"/>
    <x v="1"/>
    <n v="1"/>
    <x v="3"/>
    <s v="Divorced"/>
    <x v="553"/>
    <x v="1"/>
    <n v="19905"/>
    <n v="0"/>
    <s v="Y"/>
    <x v="0"/>
    <n v="13"/>
    <x v="0"/>
    <x v="0"/>
    <n v="2"/>
    <n v="80"/>
    <n v="2"/>
    <n v="6"/>
    <n v="3"/>
    <n v="2"/>
    <x v="8"/>
    <n v="3"/>
    <n v="4"/>
    <n v="3"/>
    <n v="6"/>
    <x v="3"/>
    <n v="38"/>
    <s v=""/>
    <n v="59198"/>
  </r>
  <r>
    <x v="8"/>
    <x v="0"/>
    <x v="1"/>
    <n v="0"/>
    <s v="Travel_Frequently"/>
    <n v="240"/>
    <x v="1"/>
    <n v="2"/>
    <n v="4"/>
    <s v="Life Sciences"/>
    <n v="1"/>
    <x v="578"/>
    <n v="1"/>
    <x v="3"/>
    <x v="0"/>
    <n v="75"/>
    <n v="4"/>
    <n v="2"/>
    <x v="3"/>
    <n v="1"/>
    <x v="3"/>
    <s v="Single"/>
    <x v="554"/>
    <x v="0"/>
    <n v="26085"/>
    <n v="6"/>
    <s v="Y"/>
    <x v="0"/>
    <n v="12"/>
    <x v="0"/>
    <x v="0"/>
    <n v="4"/>
    <n v="80"/>
    <n v="0"/>
    <n v="17"/>
    <n v="2"/>
    <n v="3"/>
    <x v="15"/>
    <n v="7"/>
    <n v="4"/>
    <n v="12"/>
    <n v="5"/>
    <x v="2"/>
    <s v=""/>
    <s v=""/>
    <s v=""/>
  </r>
  <r>
    <x v="13"/>
    <x v="2"/>
    <x v="1"/>
    <n v="0"/>
    <s v="Travel_Rarely"/>
    <n v="121"/>
    <x v="1"/>
    <n v="2"/>
    <n v="4"/>
    <s v="Medical"/>
    <n v="1"/>
    <x v="579"/>
    <n v="3"/>
    <x v="1"/>
    <x v="0"/>
    <n v="86"/>
    <n v="2"/>
    <n v="1"/>
    <x v="1"/>
    <n v="1"/>
    <x v="3"/>
    <s v="Single"/>
    <x v="555"/>
    <x v="0"/>
    <n v="7530"/>
    <n v="1"/>
    <s v="Y"/>
    <x v="1"/>
    <n v="11"/>
    <x v="0"/>
    <x v="0"/>
    <n v="3"/>
    <n v="80"/>
    <n v="0"/>
    <n v="6"/>
    <n v="3"/>
    <n v="3"/>
    <x v="0"/>
    <n v="5"/>
    <n v="1"/>
    <n v="3"/>
    <n v="4"/>
    <x v="2"/>
    <s v=""/>
    <s v=""/>
    <s v=""/>
  </r>
  <r>
    <x v="10"/>
    <x v="0"/>
    <x v="1"/>
    <n v="0"/>
    <s v="Travel_Rarely"/>
    <n v="384"/>
    <x v="0"/>
    <n v="8"/>
    <n v="4"/>
    <s v="Life Sciences"/>
    <n v="1"/>
    <x v="580"/>
    <n v="1"/>
    <x v="3"/>
    <x v="0"/>
    <n v="72"/>
    <n v="3"/>
    <n v="1"/>
    <x v="6"/>
    <n v="4"/>
    <x v="0"/>
    <s v="Married"/>
    <x v="556"/>
    <x v="1"/>
    <n v="20317"/>
    <n v="1"/>
    <s v="Y"/>
    <x v="1"/>
    <n v="16"/>
    <x v="2"/>
    <x v="0"/>
    <n v="2"/>
    <n v="80"/>
    <n v="1"/>
    <n v="3"/>
    <n v="1"/>
    <n v="2"/>
    <x v="11"/>
    <n v="2"/>
    <n v="0"/>
    <n v="2"/>
    <n v="4"/>
    <x v="2"/>
    <s v=""/>
    <s v=""/>
    <s v=""/>
  </r>
  <r>
    <x v="7"/>
    <x v="2"/>
    <x v="1"/>
    <n v="0"/>
    <s v="Travel_Rarely"/>
    <n v="921"/>
    <x v="1"/>
    <n v="1"/>
    <n v="3"/>
    <s v="Life Sciences"/>
    <n v="1"/>
    <x v="581"/>
    <n v="4"/>
    <x v="2"/>
    <x v="1"/>
    <n v="38"/>
    <n v="1"/>
    <n v="1"/>
    <x v="2"/>
    <n v="3"/>
    <x v="2"/>
    <s v="Married"/>
    <x v="557"/>
    <x v="1"/>
    <n v="24375"/>
    <n v="3"/>
    <s v="Y"/>
    <x v="1"/>
    <n v="21"/>
    <x v="1"/>
    <x v="1"/>
    <n v="3"/>
    <n v="80"/>
    <n v="2"/>
    <n v="7"/>
    <n v="2"/>
    <n v="3"/>
    <x v="4"/>
    <n v="2"/>
    <n v="0"/>
    <n v="2"/>
    <n v="4"/>
    <x v="2"/>
    <s v=""/>
    <s v=""/>
    <s v=""/>
  </r>
  <r>
    <x v="32"/>
    <x v="0"/>
    <x v="1"/>
    <n v="0"/>
    <s v="Travel_Frequently"/>
    <n v="791"/>
    <x v="1"/>
    <n v="2"/>
    <n v="2"/>
    <s v="Medical"/>
    <n v="1"/>
    <x v="582"/>
    <n v="3"/>
    <x v="1"/>
    <x v="0"/>
    <n v="38"/>
    <n v="4"/>
    <n v="2"/>
    <x v="4"/>
    <n v="2"/>
    <x v="1"/>
    <s v="Married"/>
    <x v="558"/>
    <x v="0"/>
    <n v="9931"/>
    <n v="1"/>
    <s v="Y"/>
    <x v="1"/>
    <n v="24"/>
    <x v="1"/>
    <x v="1"/>
    <n v="4"/>
    <n v="80"/>
    <n v="1"/>
    <n v="8"/>
    <n v="2"/>
    <n v="3"/>
    <x v="3"/>
    <n v="7"/>
    <n v="3"/>
    <n v="7"/>
    <n v="1"/>
    <x v="1"/>
    <s v=""/>
    <s v=""/>
    <s v=""/>
  </r>
  <r>
    <x v="13"/>
    <x v="2"/>
    <x v="1"/>
    <n v="0"/>
    <s v="Travel_Rarely"/>
    <n v="1111"/>
    <x v="0"/>
    <n v="8"/>
    <n v="2"/>
    <s v="Life Sciences"/>
    <n v="1"/>
    <x v="583"/>
    <n v="3"/>
    <x v="1"/>
    <x v="0"/>
    <n v="93"/>
    <n v="3"/>
    <n v="2"/>
    <x v="0"/>
    <n v="1"/>
    <x v="3"/>
    <s v="Married"/>
    <x v="559"/>
    <x v="0"/>
    <n v="13305"/>
    <n v="5"/>
    <s v="Y"/>
    <x v="1"/>
    <n v="17"/>
    <x v="2"/>
    <x v="0"/>
    <n v="2"/>
    <n v="80"/>
    <n v="1"/>
    <n v="6"/>
    <n v="1"/>
    <n v="3"/>
    <x v="11"/>
    <n v="2"/>
    <n v="1"/>
    <n v="2"/>
    <n v="4"/>
    <x v="2"/>
    <s v=""/>
    <s v=""/>
    <s v=""/>
  </r>
  <r>
    <x v="19"/>
    <x v="0"/>
    <x v="1"/>
    <n v="0"/>
    <s v="Travel_Frequently"/>
    <n v="570"/>
    <x v="1"/>
    <n v="8"/>
    <n v="3"/>
    <s v="Life Sciences"/>
    <n v="1"/>
    <x v="584"/>
    <n v="2"/>
    <x v="0"/>
    <x v="1"/>
    <n v="66"/>
    <n v="3"/>
    <n v="5"/>
    <x v="5"/>
    <n v="4"/>
    <x v="0"/>
    <s v="Divorced"/>
    <x v="560"/>
    <x v="4"/>
    <n v="16225"/>
    <n v="1"/>
    <s v="Y"/>
    <x v="1"/>
    <n v="13"/>
    <x v="0"/>
    <x v="0"/>
    <n v="2"/>
    <n v="80"/>
    <n v="1"/>
    <n v="24"/>
    <n v="4"/>
    <n v="2"/>
    <x v="25"/>
    <n v="7"/>
    <n v="14"/>
    <n v="9"/>
    <n v="0"/>
    <x v="1"/>
    <s v=""/>
    <s v=""/>
    <s v=""/>
  </r>
  <r>
    <x v="30"/>
    <x v="4"/>
    <x v="0"/>
    <n v="1"/>
    <s v="Travel_Rarely"/>
    <n v="1243"/>
    <x v="1"/>
    <n v="6"/>
    <n v="3"/>
    <s v="Life Sciences"/>
    <n v="1"/>
    <x v="585"/>
    <n v="3"/>
    <x v="1"/>
    <x v="1"/>
    <n v="63"/>
    <n v="4"/>
    <n v="1"/>
    <x v="2"/>
    <n v="1"/>
    <x v="3"/>
    <s v="Married"/>
    <x v="561"/>
    <x v="1"/>
    <n v="3445"/>
    <n v="1"/>
    <s v="Y"/>
    <x v="0"/>
    <n v="21"/>
    <x v="1"/>
    <x v="1"/>
    <n v="3"/>
    <n v="80"/>
    <n v="2"/>
    <n v="1"/>
    <n v="2"/>
    <n v="3"/>
    <x v="2"/>
    <n v="0"/>
    <n v="0"/>
    <n v="0"/>
    <s v=""/>
    <x v="0"/>
    <s v=""/>
    <s v=""/>
    <s v=""/>
  </r>
  <r>
    <x v="17"/>
    <x v="4"/>
    <x v="1"/>
    <n v="0"/>
    <s v="Non-Travel"/>
    <n v="1092"/>
    <x v="1"/>
    <n v="9"/>
    <n v="3"/>
    <s v="Life Sciences"/>
    <n v="1"/>
    <x v="586"/>
    <n v="3"/>
    <x v="1"/>
    <x v="1"/>
    <n v="60"/>
    <n v="2"/>
    <n v="1"/>
    <x v="2"/>
    <n v="2"/>
    <x v="1"/>
    <s v="Divorced"/>
    <x v="562"/>
    <x v="1"/>
    <n v="26551"/>
    <n v="1"/>
    <s v="Y"/>
    <x v="1"/>
    <n v="11"/>
    <x v="0"/>
    <x v="0"/>
    <n v="3"/>
    <n v="80"/>
    <n v="3"/>
    <n v="1"/>
    <n v="4"/>
    <n v="3"/>
    <x v="6"/>
    <n v="0"/>
    <n v="0"/>
    <n v="0"/>
    <n v="5"/>
    <x v="2"/>
    <s v=""/>
    <s v=""/>
    <s v=""/>
  </r>
  <r>
    <x v="39"/>
    <x v="1"/>
    <x v="1"/>
    <n v="0"/>
    <s v="Travel_Rarely"/>
    <n v="1325"/>
    <x v="1"/>
    <n v="11"/>
    <n v="4"/>
    <s v="Life Sciences"/>
    <n v="1"/>
    <x v="587"/>
    <n v="4"/>
    <x v="2"/>
    <x v="0"/>
    <n v="82"/>
    <n v="3"/>
    <n v="2"/>
    <x v="2"/>
    <n v="3"/>
    <x v="2"/>
    <s v="Married"/>
    <x v="563"/>
    <x v="1"/>
    <n v="21821"/>
    <n v="8"/>
    <s v="Y"/>
    <x v="1"/>
    <n v="20"/>
    <x v="2"/>
    <x v="1"/>
    <n v="2"/>
    <n v="80"/>
    <n v="1"/>
    <n v="9"/>
    <n v="3"/>
    <n v="3"/>
    <x v="8"/>
    <n v="2"/>
    <n v="1"/>
    <n v="4"/>
    <n v="3"/>
    <x v="2"/>
    <s v=""/>
    <s v=""/>
    <s v=""/>
  </r>
  <r>
    <x v="24"/>
    <x v="1"/>
    <x v="1"/>
    <n v="0"/>
    <s v="Travel_Rarely"/>
    <n v="691"/>
    <x v="1"/>
    <n v="2"/>
    <n v="3"/>
    <s v="Medical"/>
    <n v="1"/>
    <x v="588"/>
    <n v="3"/>
    <x v="1"/>
    <x v="1"/>
    <n v="64"/>
    <n v="3"/>
    <n v="4"/>
    <x v="7"/>
    <n v="3"/>
    <x v="2"/>
    <s v="Married"/>
    <x v="564"/>
    <x v="4"/>
    <n v="6881"/>
    <n v="5"/>
    <s v="Y"/>
    <x v="1"/>
    <n v="16"/>
    <x v="2"/>
    <x v="0"/>
    <n v="4"/>
    <n v="80"/>
    <n v="0"/>
    <n v="30"/>
    <n v="3"/>
    <n v="3"/>
    <x v="9"/>
    <n v="3"/>
    <n v="0"/>
    <n v="3"/>
    <n v="0"/>
    <x v="1"/>
    <s v=""/>
    <s v=""/>
    <s v=""/>
  </r>
  <r>
    <x v="11"/>
    <x v="2"/>
    <x v="0"/>
    <n v="1"/>
    <s v="Travel_Rarely"/>
    <n v="805"/>
    <x v="1"/>
    <n v="1"/>
    <n v="2"/>
    <s v="Life Sciences"/>
    <n v="1"/>
    <x v="589"/>
    <n v="2"/>
    <x v="0"/>
    <x v="0"/>
    <n v="36"/>
    <n v="2"/>
    <n v="1"/>
    <x v="2"/>
    <n v="1"/>
    <x v="3"/>
    <s v="Married"/>
    <x v="565"/>
    <x v="1"/>
    <n v="6689"/>
    <n v="1"/>
    <s v="Y"/>
    <x v="0"/>
    <n v="11"/>
    <x v="0"/>
    <x v="0"/>
    <n v="4"/>
    <n v="80"/>
    <n v="1"/>
    <n v="1"/>
    <n v="1"/>
    <n v="3"/>
    <x v="6"/>
    <n v="0"/>
    <n v="0"/>
    <n v="0"/>
    <s v=""/>
    <x v="0"/>
    <s v=""/>
    <s v=""/>
    <s v=""/>
  </r>
  <r>
    <x v="3"/>
    <x v="2"/>
    <x v="1"/>
    <n v="0"/>
    <s v="Travel_Rarely"/>
    <n v="213"/>
    <x v="1"/>
    <n v="7"/>
    <n v="3"/>
    <s v="Medical"/>
    <n v="1"/>
    <x v="590"/>
    <n v="3"/>
    <x v="1"/>
    <x v="1"/>
    <n v="49"/>
    <n v="3"/>
    <n v="3"/>
    <x v="7"/>
    <n v="3"/>
    <x v="2"/>
    <s v="Married"/>
    <x v="566"/>
    <x v="2"/>
    <n v="25995"/>
    <n v="0"/>
    <s v="Y"/>
    <x v="1"/>
    <n v="11"/>
    <x v="0"/>
    <x v="0"/>
    <n v="4"/>
    <n v="80"/>
    <n v="0"/>
    <n v="14"/>
    <n v="3"/>
    <n v="4"/>
    <x v="20"/>
    <n v="9"/>
    <n v="3"/>
    <n v="7"/>
    <n v="1"/>
    <x v="1"/>
    <s v=""/>
    <s v=""/>
    <s v=""/>
  </r>
  <r>
    <x v="3"/>
    <x v="2"/>
    <x v="0"/>
    <n v="1"/>
    <s v="Travel_Rarely"/>
    <n v="118"/>
    <x v="0"/>
    <n v="16"/>
    <n v="3"/>
    <s v="Marketing"/>
    <n v="1"/>
    <x v="591"/>
    <n v="1"/>
    <x v="3"/>
    <x v="0"/>
    <n v="69"/>
    <n v="3"/>
    <n v="2"/>
    <x v="0"/>
    <n v="1"/>
    <x v="3"/>
    <s v="Single"/>
    <x v="567"/>
    <x v="0"/>
    <n v="26507"/>
    <n v="5"/>
    <s v="Y"/>
    <x v="1"/>
    <n v="15"/>
    <x v="0"/>
    <x v="0"/>
    <n v="3"/>
    <n v="80"/>
    <n v="0"/>
    <n v="6"/>
    <n v="3"/>
    <n v="3"/>
    <x v="11"/>
    <n v="2"/>
    <n v="0"/>
    <n v="2"/>
    <s v=""/>
    <x v="0"/>
    <s v=""/>
    <s v=""/>
    <s v=""/>
  </r>
  <r>
    <x v="40"/>
    <x v="1"/>
    <x v="1"/>
    <n v="0"/>
    <s v="Travel_Rarely"/>
    <n v="202"/>
    <x v="1"/>
    <n v="2"/>
    <n v="2"/>
    <s v="Other"/>
    <n v="1"/>
    <x v="592"/>
    <n v="3"/>
    <x v="1"/>
    <x v="0"/>
    <n v="33"/>
    <n v="3"/>
    <n v="4"/>
    <x v="5"/>
    <n v="4"/>
    <x v="0"/>
    <s v="Married"/>
    <x v="568"/>
    <x v="4"/>
    <n v="12982"/>
    <n v="1"/>
    <s v="Y"/>
    <x v="0"/>
    <n v="11"/>
    <x v="0"/>
    <x v="0"/>
    <n v="3"/>
    <n v="80"/>
    <n v="1"/>
    <n v="26"/>
    <n v="3"/>
    <n v="2"/>
    <x v="34"/>
    <n v="14"/>
    <n v="3"/>
    <n v="0"/>
    <n v="2"/>
    <x v="1"/>
    <s v=""/>
    <s v=""/>
    <s v=""/>
  </r>
  <r>
    <x v="9"/>
    <x v="0"/>
    <x v="1"/>
    <n v="0"/>
    <s v="Travel_Rarely"/>
    <n v="676"/>
    <x v="1"/>
    <n v="1"/>
    <n v="3"/>
    <s v="Other"/>
    <n v="1"/>
    <x v="593"/>
    <n v="3"/>
    <x v="1"/>
    <x v="0"/>
    <n v="35"/>
    <n v="3"/>
    <n v="2"/>
    <x v="3"/>
    <n v="2"/>
    <x v="1"/>
    <s v="Married"/>
    <x v="311"/>
    <x v="0"/>
    <n v="23361"/>
    <n v="0"/>
    <s v="Y"/>
    <x v="1"/>
    <n v="15"/>
    <x v="0"/>
    <x v="0"/>
    <n v="1"/>
    <n v="80"/>
    <n v="1"/>
    <n v="10"/>
    <n v="2"/>
    <n v="3"/>
    <x v="7"/>
    <n v="7"/>
    <n v="0"/>
    <n v="5"/>
    <n v="1"/>
    <x v="1"/>
    <s v=""/>
    <s v=""/>
    <s v=""/>
  </r>
  <r>
    <x v="11"/>
    <x v="2"/>
    <x v="1"/>
    <n v="0"/>
    <s v="Travel_Rarely"/>
    <n v="1252"/>
    <x v="1"/>
    <n v="23"/>
    <n v="2"/>
    <s v="Life Sciences"/>
    <n v="1"/>
    <x v="594"/>
    <n v="3"/>
    <x v="1"/>
    <x v="1"/>
    <n v="81"/>
    <n v="4"/>
    <n v="1"/>
    <x v="1"/>
    <n v="3"/>
    <x v="2"/>
    <s v="Married"/>
    <x v="569"/>
    <x v="1"/>
    <n v="23779"/>
    <n v="1"/>
    <s v="Y"/>
    <x v="1"/>
    <n v="24"/>
    <x v="1"/>
    <x v="1"/>
    <n v="3"/>
    <n v="80"/>
    <n v="1"/>
    <n v="10"/>
    <n v="3"/>
    <n v="3"/>
    <x v="1"/>
    <n v="7"/>
    <n v="0"/>
    <n v="7"/>
    <n v="3"/>
    <x v="2"/>
    <s v=""/>
    <s v=""/>
    <s v=""/>
  </r>
  <r>
    <x v="34"/>
    <x v="3"/>
    <x v="0"/>
    <n v="1"/>
    <s v="Travel_Rarely"/>
    <n v="286"/>
    <x v="1"/>
    <n v="2"/>
    <n v="4"/>
    <s v="Life Sciences"/>
    <n v="1"/>
    <x v="595"/>
    <n v="4"/>
    <x v="2"/>
    <x v="1"/>
    <n v="31"/>
    <n v="3"/>
    <n v="5"/>
    <x v="7"/>
    <n v="2"/>
    <x v="1"/>
    <s v="Single"/>
    <x v="570"/>
    <x v="4"/>
    <n v="25761"/>
    <n v="7"/>
    <s v="Y"/>
    <x v="0"/>
    <n v="12"/>
    <x v="0"/>
    <x v="0"/>
    <n v="4"/>
    <n v="80"/>
    <n v="0"/>
    <n v="40"/>
    <n v="2"/>
    <n v="3"/>
    <x v="31"/>
    <n v="15"/>
    <n v="13"/>
    <n v="8"/>
    <s v=""/>
    <x v="0"/>
    <s v=""/>
    <s v=""/>
    <s v=""/>
  </r>
  <r>
    <x v="10"/>
    <x v="0"/>
    <x v="1"/>
    <n v="0"/>
    <s v="Travel_Rarely"/>
    <n v="1258"/>
    <x v="1"/>
    <n v="1"/>
    <n v="4"/>
    <s v="Life Sciences"/>
    <n v="1"/>
    <x v="596"/>
    <n v="4"/>
    <x v="2"/>
    <x v="0"/>
    <n v="40"/>
    <n v="4"/>
    <n v="1"/>
    <x v="1"/>
    <n v="3"/>
    <x v="2"/>
    <s v="Single"/>
    <x v="571"/>
    <x v="1"/>
    <n v="13301"/>
    <n v="3"/>
    <s v="Y"/>
    <x v="1"/>
    <n v="13"/>
    <x v="0"/>
    <x v="0"/>
    <n v="3"/>
    <n v="80"/>
    <n v="0"/>
    <n v="7"/>
    <n v="0"/>
    <n v="3"/>
    <x v="4"/>
    <n v="2"/>
    <n v="2"/>
    <n v="2"/>
    <n v="2"/>
    <x v="1"/>
    <s v=""/>
    <s v=""/>
    <s v=""/>
  </r>
  <r>
    <x v="19"/>
    <x v="0"/>
    <x v="1"/>
    <n v="0"/>
    <s v="Travel_Rarely"/>
    <n v="932"/>
    <x v="1"/>
    <n v="1"/>
    <n v="2"/>
    <s v="Life Sciences"/>
    <n v="1"/>
    <x v="597"/>
    <n v="4"/>
    <x v="2"/>
    <x v="0"/>
    <n v="43"/>
    <n v="2"/>
    <n v="2"/>
    <x v="3"/>
    <n v="4"/>
    <x v="0"/>
    <s v="Married"/>
    <x v="572"/>
    <x v="0"/>
    <n v="4051"/>
    <n v="9"/>
    <s v="Y"/>
    <x v="0"/>
    <n v="13"/>
    <x v="0"/>
    <x v="0"/>
    <n v="4"/>
    <n v="80"/>
    <n v="1"/>
    <n v="8"/>
    <n v="4"/>
    <n v="3"/>
    <x v="9"/>
    <n v="3"/>
    <n v="0"/>
    <n v="2"/>
    <n v="3"/>
    <x v="2"/>
    <s v=""/>
    <s v=""/>
    <s v=""/>
  </r>
  <r>
    <x v="14"/>
    <x v="2"/>
    <x v="0"/>
    <n v="1"/>
    <s v="Travel_Rarely"/>
    <n v="890"/>
    <x v="1"/>
    <n v="2"/>
    <n v="4"/>
    <s v="Medical"/>
    <n v="1"/>
    <x v="598"/>
    <n v="3"/>
    <x v="1"/>
    <x v="1"/>
    <n v="46"/>
    <n v="3"/>
    <n v="1"/>
    <x v="1"/>
    <n v="3"/>
    <x v="2"/>
    <s v="Single"/>
    <x v="573"/>
    <x v="0"/>
    <n v="16374"/>
    <n v="6"/>
    <s v="Y"/>
    <x v="1"/>
    <n v="17"/>
    <x v="2"/>
    <x v="0"/>
    <n v="4"/>
    <n v="80"/>
    <n v="0"/>
    <n v="5"/>
    <n v="3"/>
    <n v="2"/>
    <x v="4"/>
    <n v="2"/>
    <n v="2"/>
    <n v="1"/>
    <s v=""/>
    <x v="0"/>
    <s v=""/>
    <s v=""/>
    <s v=""/>
  </r>
  <r>
    <x v="9"/>
    <x v="0"/>
    <x v="1"/>
    <n v="0"/>
    <s v="Travel_Rarely"/>
    <n v="1041"/>
    <x v="2"/>
    <n v="13"/>
    <n v="3"/>
    <s v="Human Resources"/>
    <n v="1"/>
    <x v="599"/>
    <n v="3"/>
    <x v="1"/>
    <x v="1"/>
    <n v="36"/>
    <n v="3"/>
    <n v="1"/>
    <x v="8"/>
    <n v="2"/>
    <x v="1"/>
    <s v="Married"/>
    <x v="574"/>
    <x v="1"/>
    <n v="25527"/>
    <n v="4"/>
    <s v="Y"/>
    <x v="1"/>
    <n v="13"/>
    <x v="0"/>
    <x v="0"/>
    <n v="2"/>
    <n v="80"/>
    <n v="1"/>
    <n v="8"/>
    <n v="2"/>
    <n v="3"/>
    <x v="8"/>
    <n v="2"/>
    <n v="0"/>
    <n v="4"/>
    <n v="3"/>
    <x v="2"/>
    <s v=""/>
    <s v=""/>
    <s v=""/>
  </r>
  <r>
    <x v="5"/>
    <x v="2"/>
    <x v="1"/>
    <n v="0"/>
    <s v="Travel_Rarely"/>
    <n v="859"/>
    <x v="1"/>
    <n v="4"/>
    <n v="3"/>
    <s v="Life Sciences"/>
    <n v="1"/>
    <x v="600"/>
    <n v="3"/>
    <x v="1"/>
    <x v="0"/>
    <n v="98"/>
    <n v="2"/>
    <n v="2"/>
    <x v="3"/>
    <n v="3"/>
    <x v="2"/>
    <s v="Married"/>
    <x v="57"/>
    <x v="0"/>
    <n v="19124"/>
    <n v="1"/>
    <s v="Y"/>
    <x v="1"/>
    <n v="12"/>
    <x v="0"/>
    <x v="0"/>
    <n v="3"/>
    <n v="80"/>
    <n v="1"/>
    <n v="14"/>
    <n v="3"/>
    <n v="3"/>
    <x v="13"/>
    <n v="13"/>
    <n v="6"/>
    <n v="8"/>
    <n v="2"/>
    <x v="1"/>
    <s v=""/>
    <s v=""/>
    <s v=""/>
  </r>
  <r>
    <x v="32"/>
    <x v="0"/>
    <x v="1"/>
    <n v="0"/>
    <s v="Travel_Frequently"/>
    <n v="720"/>
    <x v="1"/>
    <n v="16"/>
    <n v="4"/>
    <s v="Medical"/>
    <n v="1"/>
    <x v="601"/>
    <n v="1"/>
    <x v="3"/>
    <x v="1"/>
    <n v="51"/>
    <n v="2"/>
    <n v="2"/>
    <x v="2"/>
    <n v="3"/>
    <x v="2"/>
    <s v="Single"/>
    <x v="575"/>
    <x v="0"/>
    <n v="11983"/>
    <n v="6"/>
    <s v="Y"/>
    <x v="1"/>
    <n v="14"/>
    <x v="0"/>
    <x v="0"/>
    <n v="4"/>
    <n v="80"/>
    <n v="0"/>
    <n v="10"/>
    <n v="6"/>
    <n v="3"/>
    <x v="6"/>
    <n v="0"/>
    <n v="0"/>
    <n v="0"/>
    <n v="2"/>
    <x v="1"/>
    <s v=""/>
    <s v=""/>
    <s v=""/>
  </r>
  <r>
    <x v="7"/>
    <x v="2"/>
    <x v="1"/>
    <n v="0"/>
    <s v="Travel_Rarely"/>
    <n v="946"/>
    <x v="1"/>
    <n v="2"/>
    <n v="3"/>
    <s v="Medical"/>
    <n v="1"/>
    <x v="602"/>
    <n v="3"/>
    <x v="1"/>
    <x v="0"/>
    <n v="52"/>
    <n v="2"/>
    <n v="2"/>
    <x v="3"/>
    <n v="4"/>
    <x v="0"/>
    <s v="Single"/>
    <x v="576"/>
    <x v="0"/>
    <n v="20234"/>
    <n v="5"/>
    <s v="Y"/>
    <x v="0"/>
    <n v="24"/>
    <x v="1"/>
    <x v="1"/>
    <n v="2"/>
    <n v="80"/>
    <n v="0"/>
    <n v="12"/>
    <n v="4"/>
    <n v="2"/>
    <x v="2"/>
    <n v="0"/>
    <n v="0"/>
    <n v="0"/>
    <n v="4"/>
    <x v="2"/>
    <s v=""/>
    <s v=""/>
    <s v=""/>
  </r>
  <r>
    <x v="28"/>
    <x v="1"/>
    <x v="1"/>
    <n v="0"/>
    <s v="Travel_Rarely"/>
    <n v="252"/>
    <x v="1"/>
    <n v="2"/>
    <n v="3"/>
    <s v="Life Sciences"/>
    <n v="1"/>
    <x v="603"/>
    <n v="2"/>
    <x v="0"/>
    <x v="0"/>
    <n v="95"/>
    <n v="2"/>
    <n v="1"/>
    <x v="1"/>
    <n v="3"/>
    <x v="2"/>
    <s v="Single"/>
    <x v="577"/>
    <x v="1"/>
    <n v="6153"/>
    <n v="1"/>
    <s v="Y"/>
    <x v="1"/>
    <n v="14"/>
    <x v="0"/>
    <x v="0"/>
    <n v="4"/>
    <n v="80"/>
    <n v="0"/>
    <n v="1"/>
    <n v="3"/>
    <n v="3"/>
    <x v="6"/>
    <n v="0"/>
    <n v="0"/>
    <n v="0"/>
    <n v="2"/>
    <x v="1"/>
    <s v=""/>
    <s v=""/>
    <s v=""/>
  </r>
  <r>
    <x v="19"/>
    <x v="0"/>
    <x v="1"/>
    <n v="0"/>
    <s v="Travel_Rarely"/>
    <n v="933"/>
    <x v="1"/>
    <n v="29"/>
    <n v="3"/>
    <s v="Life Sciences"/>
    <n v="1"/>
    <x v="604"/>
    <n v="2"/>
    <x v="0"/>
    <x v="1"/>
    <n v="98"/>
    <n v="3"/>
    <n v="2"/>
    <x v="3"/>
    <n v="2"/>
    <x v="1"/>
    <s v="Married"/>
    <x v="578"/>
    <x v="0"/>
    <n v="11806"/>
    <n v="1"/>
    <s v="Y"/>
    <x v="1"/>
    <n v="13"/>
    <x v="0"/>
    <x v="0"/>
    <n v="4"/>
    <n v="80"/>
    <n v="1"/>
    <n v="10"/>
    <n v="3"/>
    <n v="2"/>
    <x v="7"/>
    <n v="8"/>
    <n v="7"/>
    <n v="8"/>
    <n v="1"/>
    <x v="1"/>
    <s v=""/>
    <s v=""/>
    <s v=""/>
  </r>
  <r>
    <x v="8"/>
    <x v="0"/>
    <x v="1"/>
    <n v="0"/>
    <s v="Travel_Frequently"/>
    <n v="471"/>
    <x v="1"/>
    <n v="12"/>
    <n v="3"/>
    <s v="Life Sciences"/>
    <n v="1"/>
    <x v="605"/>
    <n v="1"/>
    <x v="3"/>
    <x v="1"/>
    <n v="45"/>
    <n v="2"/>
    <n v="2"/>
    <x v="4"/>
    <n v="1"/>
    <x v="3"/>
    <s v="Divorced"/>
    <x v="579"/>
    <x v="0"/>
    <n v="4284"/>
    <n v="2"/>
    <s v="Y"/>
    <x v="1"/>
    <n v="15"/>
    <x v="0"/>
    <x v="0"/>
    <n v="3"/>
    <n v="80"/>
    <n v="1"/>
    <n v="13"/>
    <n v="3"/>
    <n v="2"/>
    <x v="9"/>
    <n v="3"/>
    <n v="1"/>
    <n v="2"/>
    <n v="3"/>
    <x v="2"/>
    <s v=""/>
    <s v=""/>
    <s v=""/>
  </r>
  <r>
    <x v="13"/>
    <x v="2"/>
    <x v="1"/>
    <n v="0"/>
    <s v="Travel_Frequently"/>
    <n v="702"/>
    <x v="1"/>
    <n v="16"/>
    <n v="4"/>
    <s v="Life Sciences"/>
    <n v="1"/>
    <x v="606"/>
    <n v="3"/>
    <x v="1"/>
    <x v="0"/>
    <n v="100"/>
    <n v="2"/>
    <n v="1"/>
    <x v="1"/>
    <n v="4"/>
    <x v="0"/>
    <s v="Single"/>
    <x v="580"/>
    <x v="1"/>
    <n v="8306"/>
    <n v="1"/>
    <s v="Y"/>
    <x v="1"/>
    <n v="16"/>
    <x v="2"/>
    <x v="0"/>
    <n v="3"/>
    <n v="80"/>
    <n v="0"/>
    <n v="6"/>
    <n v="3"/>
    <n v="3"/>
    <x v="8"/>
    <n v="2"/>
    <n v="1"/>
    <n v="3"/>
    <n v="3"/>
    <x v="2"/>
    <s v=""/>
    <s v=""/>
    <s v=""/>
  </r>
  <r>
    <x v="1"/>
    <x v="1"/>
    <x v="0"/>
    <n v="1"/>
    <s v="Travel_Rarely"/>
    <n v="1184"/>
    <x v="0"/>
    <n v="11"/>
    <n v="3"/>
    <s v="Marketing"/>
    <n v="1"/>
    <x v="607"/>
    <n v="3"/>
    <x v="1"/>
    <x v="0"/>
    <n v="43"/>
    <n v="3"/>
    <n v="3"/>
    <x v="0"/>
    <n v="4"/>
    <x v="0"/>
    <s v="Married"/>
    <x v="581"/>
    <x v="0"/>
    <n v="5860"/>
    <n v="1"/>
    <s v="Y"/>
    <x v="1"/>
    <n v="18"/>
    <x v="2"/>
    <x v="0"/>
    <n v="1"/>
    <n v="80"/>
    <n v="2"/>
    <n v="9"/>
    <n v="3"/>
    <n v="4"/>
    <x v="7"/>
    <n v="8"/>
    <n v="7"/>
    <n v="7"/>
    <s v=""/>
    <x v="0"/>
    <s v=""/>
    <s v=""/>
    <s v=""/>
  </r>
  <r>
    <x v="27"/>
    <x v="3"/>
    <x v="0"/>
    <n v="1"/>
    <s v="Travel_Rarely"/>
    <n v="436"/>
    <x v="0"/>
    <n v="2"/>
    <n v="1"/>
    <s v="Medical"/>
    <n v="1"/>
    <x v="608"/>
    <n v="3"/>
    <x v="1"/>
    <x v="1"/>
    <n v="37"/>
    <n v="3"/>
    <n v="2"/>
    <x v="0"/>
    <n v="4"/>
    <x v="0"/>
    <s v="Single"/>
    <x v="582"/>
    <x v="0"/>
    <n v="21519"/>
    <n v="4"/>
    <s v="Y"/>
    <x v="1"/>
    <n v="16"/>
    <x v="2"/>
    <x v="0"/>
    <n v="3"/>
    <n v="80"/>
    <n v="0"/>
    <n v="12"/>
    <n v="3"/>
    <n v="2"/>
    <x v="7"/>
    <n v="7"/>
    <n v="7"/>
    <n v="3"/>
    <s v=""/>
    <x v="0"/>
    <s v=""/>
    <s v=""/>
    <s v=""/>
  </r>
  <r>
    <x v="23"/>
    <x v="0"/>
    <x v="1"/>
    <n v="0"/>
    <s v="Travel_Rarely"/>
    <n v="589"/>
    <x v="1"/>
    <n v="14"/>
    <n v="2"/>
    <s v="Life Sciences"/>
    <n v="1"/>
    <x v="609"/>
    <n v="2"/>
    <x v="0"/>
    <x v="1"/>
    <n v="94"/>
    <n v="3"/>
    <n v="4"/>
    <x v="7"/>
    <n v="1"/>
    <x v="3"/>
    <s v="Married"/>
    <x v="583"/>
    <x v="4"/>
    <n v="5200"/>
    <n v="6"/>
    <s v="Y"/>
    <x v="1"/>
    <n v="24"/>
    <x v="1"/>
    <x v="1"/>
    <n v="3"/>
    <n v="80"/>
    <n v="1"/>
    <n v="22"/>
    <n v="3"/>
    <n v="3"/>
    <x v="9"/>
    <n v="1"/>
    <n v="1"/>
    <n v="0"/>
    <n v="2"/>
    <x v="1"/>
    <s v=""/>
    <s v=""/>
    <s v=""/>
  </r>
  <r>
    <x v="4"/>
    <x v="2"/>
    <x v="1"/>
    <n v="0"/>
    <s v="Travel_Rarely"/>
    <n v="269"/>
    <x v="1"/>
    <n v="5"/>
    <n v="1"/>
    <s v="Technical Degree"/>
    <n v="1"/>
    <x v="610"/>
    <n v="3"/>
    <x v="1"/>
    <x v="1"/>
    <n v="42"/>
    <n v="2"/>
    <n v="3"/>
    <x v="7"/>
    <n v="4"/>
    <x v="0"/>
    <s v="Divorced"/>
    <x v="584"/>
    <x v="3"/>
    <n v="8842"/>
    <n v="1"/>
    <s v="Y"/>
    <x v="0"/>
    <n v="16"/>
    <x v="2"/>
    <x v="0"/>
    <n v="2"/>
    <n v="80"/>
    <n v="1"/>
    <n v="9"/>
    <n v="3"/>
    <n v="3"/>
    <x v="7"/>
    <n v="8"/>
    <n v="0"/>
    <n v="8"/>
    <n v="3"/>
    <x v="2"/>
    <s v=""/>
    <s v=""/>
    <s v=""/>
  </r>
  <r>
    <x v="10"/>
    <x v="0"/>
    <x v="1"/>
    <n v="0"/>
    <s v="Travel_Rarely"/>
    <n v="950"/>
    <x v="1"/>
    <n v="7"/>
    <n v="3"/>
    <s v="Other"/>
    <n v="1"/>
    <x v="611"/>
    <n v="3"/>
    <x v="1"/>
    <x v="1"/>
    <n v="59"/>
    <n v="3"/>
    <n v="3"/>
    <x v="3"/>
    <n v="3"/>
    <x v="2"/>
    <s v="Single"/>
    <x v="585"/>
    <x v="2"/>
    <n v="18869"/>
    <n v="3"/>
    <s v="Y"/>
    <x v="1"/>
    <n v="21"/>
    <x v="1"/>
    <x v="1"/>
    <n v="2"/>
    <n v="80"/>
    <n v="0"/>
    <n v="17"/>
    <n v="3"/>
    <n v="4"/>
    <x v="3"/>
    <n v="5"/>
    <n v="1"/>
    <n v="6"/>
    <n v="0"/>
    <x v="1"/>
    <s v=""/>
    <s v=""/>
    <s v=""/>
  </r>
  <r>
    <x v="14"/>
    <x v="2"/>
    <x v="1"/>
    <n v="0"/>
    <s v="Travel_Rarely"/>
    <n v="760"/>
    <x v="0"/>
    <n v="2"/>
    <n v="4"/>
    <s v="Marketing"/>
    <n v="1"/>
    <x v="612"/>
    <n v="2"/>
    <x v="0"/>
    <x v="0"/>
    <n v="81"/>
    <n v="3"/>
    <n v="2"/>
    <x v="0"/>
    <n v="2"/>
    <x v="1"/>
    <s v="Married"/>
    <x v="586"/>
    <x v="0"/>
    <n v="3698"/>
    <n v="1"/>
    <s v="Y"/>
    <x v="0"/>
    <n v="20"/>
    <x v="2"/>
    <x v="1"/>
    <n v="1"/>
    <n v="80"/>
    <n v="0"/>
    <n v="8"/>
    <n v="2"/>
    <n v="3"/>
    <x v="3"/>
    <n v="7"/>
    <n v="7"/>
    <n v="5"/>
    <n v="4"/>
    <x v="2"/>
    <s v=""/>
    <s v=""/>
    <s v=""/>
  </r>
  <r>
    <x v="13"/>
    <x v="2"/>
    <x v="1"/>
    <n v="0"/>
    <s v="Travel_Rarely"/>
    <n v="829"/>
    <x v="2"/>
    <n v="3"/>
    <n v="2"/>
    <s v="Human Resources"/>
    <n v="1"/>
    <x v="613"/>
    <n v="3"/>
    <x v="1"/>
    <x v="1"/>
    <n v="88"/>
    <n v="3"/>
    <n v="1"/>
    <x v="8"/>
    <n v="4"/>
    <x v="0"/>
    <s v="Married"/>
    <x v="587"/>
    <x v="1"/>
    <n v="2243"/>
    <n v="0"/>
    <s v="Y"/>
    <x v="1"/>
    <n v="19"/>
    <x v="2"/>
    <x v="0"/>
    <n v="3"/>
    <n v="80"/>
    <n v="1"/>
    <n v="4"/>
    <n v="1"/>
    <n v="1"/>
    <x v="11"/>
    <n v="2"/>
    <n v="0"/>
    <n v="2"/>
    <n v="4"/>
    <x v="2"/>
    <s v=""/>
    <s v=""/>
    <s v=""/>
  </r>
  <r>
    <x v="25"/>
    <x v="2"/>
    <x v="0"/>
    <n v="1"/>
    <s v="Travel_Frequently"/>
    <n v="887"/>
    <x v="1"/>
    <n v="5"/>
    <n v="2"/>
    <s v="Medical"/>
    <n v="1"/>
    <x v="614"/>
    <n v="3"/>
    <x v="1"/>
    <x v="0"/>
    <n v="88"/>
    <n v="2"/>
    <n v="1"/>
    <x v="1"/>
    <n v="3"/>
    <x v="2"/>
    <s v="Married"/>
    <x v="588"/>
    <x v="1"/>
    <n v="20898"/>
    <n v="1"/>
    <s v="Y"/>
    <x v="0"/>
    <n v="14"/>
    <x v="0"/>
    <x v="0"/>
    <n v="1"/>
    <n v="80"/>
    <n v="1"/>
    <n v="8"/>
    <n v="2"/>
    <n v="3"/>
    <x v="3"/>
    <n v="7"/>
    <n v="1"/>
    <n v="7"/>
    <s v=""/>
    <x v="0"/>
    <s v=""/>
    <s v=""/>
    <s v=""/>
  </r>
  <r>
    <x v="4"/>
    <x v="2"/>
    <x v="1"/>
    <n v="0"/>
    <s v="Non-Travel"/>
    <n v="443"/>
    <x v="1"/>
    <n v="3"/>
    <n v="3"/>
    <s v="Medical"/>
    <n v="1"/>
    <x v="615"/>
    <n v="4"/>
    <x v="2"/>
    <x v="1"/>
    <n v="50"/>
    <n v="3"/>
    <n v="1"/>
    <x v="1"/>
    <n v="4"/>
    <x v="0"/>
    <s v="Married"/>
    <x v="589"/>
    <x v="1"/>
    <n v="16571"/>
    <n v="1"/>
    <s v="Y"/>
    <x v="1"/>
    <n v="11"/>
    <x v="0"/>
    <x v="0"/>
    <n v="3"/>
    <n v="80"/>
    <n v="3"/>
    <n v="0"/>
    <n v="6"/>
    <n v="2"/>
    <x v="2"/>
    <n v="0"/>
    <n v="0"/>
    <n v="0"/>
    <n v="3"/>
    <x v="2"/>
    <s v=""/>
    <s v=""/>
    <s v=""/>
  </r>
  <r>
    <x v="31"/>
    <x v="1"/>
    <x v="1"/>
    <n v="0"/>
    <s v="Travel_Rarely"/>
    <n v="1318"/>
    <x v="0"/>
    <n v="26"/>
    <n v="4"/>
    <s v="Marketing"/>
    <n v="1"/>
    <x v="616"/>
    <n v="1"/>
    <x v="3"/>
    <x v="0"/>
    <n v="66"/>
    <n v="3"/>
    <n v="4"/>
    <x v="5"/>
    <n v="3"/>
    <x v="2"/>
    <s v="Married"/>
    <x v="590"/>
    <x v="4"/>
    <n v="5594"/>
    <n v="2"/>
    <s v="Y"/>
    <x v="1"/>
    <n v="14"/>
    <x v="0"/>
    <x v="0"/>
    <n v="3"/>
    <n v="80"/>
    <n v="1"/>
    <n v="29"/>
    <n v="2"/>
    <n v="2"/>
    <x v="23"/>
    <n v="6"/>
    <n v="4"/>
    <n v="17"/>
    <n v="0"/>
    <x v="1"/>
    <s v=""/>
    <s v=""/>
    <s v=""/>
  </r>
  <r>
    <x v="20"/>
    <x v="0"/>
    <x v="1"/>
    <n v="0"/>
    <s v="Travel_Rarely"/>
    <n v="625"/>
    <x v="1"/>
    <n v="4"/>
    <n v="3"/>
    <s v="Medical"/>
    <n v="1"/>
    <x v="617"/>
    <n v="4"/>
    <x v="2"/>
    <x v="1"/>
    <n v="50"/>
    <n v="3"/>
    <n v="2"/>
    <x v="4"/>
    <n v="2"/>
    <x v="1"/>
    <s v="Single"/>
    <x v="591"/>
    <x v="0"/>
    <n v="5197"/>
    <n v="9"/>
    <s v="Y"/>
    <x v="1"/>
    <n v="12"/>
    <x v="0"/>
    <x v="0"/>
    <n v="4"/>
    <n v="80"/>
    <n v="0"/>
    <n v="10"/>
    <n v="2"/>
    <n v="2"/>
    <x v="8"/>
    <n v="2"/>
    <n v="2"/>
    <n v="3"/>
    <n v="1"/>
    <x v="1"/>
    <s v=""/>
    <s v=""/>
    <s v=""/>
  </r>
  <r>
    <x v="36"/>
    <x v="2"/>
    <x v="1"/>
    <n v="0"/>
    <s v="Travel_Rarely"/>
    <n v="180"/>
    <x v="1"/>
    <n v="2"/>
    <n v="1"/>
    <s v="Medical"/>
    <n v="1"/>
    <x v="618"/>
    <n v="1"/>
    <x v="3"/>
    <x v="1"/>
    <n v="65"/>
    <n v="4"/>
    <n v="1"/>
    <x v="1"/>
    <n v="1"/>
    <x v="3"/>
    <s v="Single"/>
    <x v="592"/>
    <x v="1"/>
    <n v="21632"/>
    <n v="7"/>
    <s v="Y"/>
    <x v="1"/>
    <n v="13"/>
    <x v="0"/>
    <x v="0"/>
    <n v="3"/>
    <n v="80"/>
    <n v="0"/>
    <n v="6"/>
    <n v="3"/>
    <n v="2"/>
    <x v="9"/>
    <n v="3"/>
    <n v="0"/>
    <n v="1"/>
    <n v="5"/>
    <x v="2"/>
    <s v=""/>
    <s v=""/>
    <s v=""/>
  </r>
  <r>
    <x v="3"/>
    <x v="2"/>
    <x v="1"/>
    <n v="0"/>
    <s v="Travel_Rarely"/>
    <n v="586"/>
    <x v="0"/>
    <n v="1"/>
    <n v="3"/>
    <s v="Medical"/>
    <n v="1"/>
    <x v="619"/>
    <n v="1"/>
    <x v="3"/>
    <x v="1"/>
    <n v="48"/>
    <n v="4"/>
    <n v="2"/>
    <x v="0"/>
    <n v="1"/>
    <x v="3"/>
    <s v="Divorced"/>
    <x v="593"/>
    <x v="0"/>
    <n v="21816"/>
    <n v="1"/>
    <s v="Y"/>
    <x v="1"/>
    <n v="22"/>
    <x v="1"/>
    <x v="1"/>
    <n v="1"/>
    <n v="80"/>
    <n v="1"/>
    <n v="9"/>
    <n v="5"/>
    <n v="3"/>
    <x v="7"/>
    <n v="8"/>
    <n v="0"/>
    <n v="8"/>
    <n v="4"/>
    <x v="2"/>
    <s v=""/>
    <s v=""/>
    <s v=""/>
  </r>
  <r>
    <x v="10"/>
    <x v="0"/>
    <x v="1"/>
    <n v="0"/>
    <s v="Travel_Rarely"/>
    <n v="1343"/>
    <x v="1"/>
    <n v="27"/>
    <n v="1"/>
    <s v="Medical"/>
    <n v="1"/>
    <x v="620"/>
    <n v="3"/>
    <x v="1"/>
    <x v="0"/>
    <n v="53"/>
    <n v="2"/>
    <n v="1"/>
    <x v="1"/>
    <n v="1"/>
    <x v="3"/>
    <s v="Single"/>
    <x v="594"/>
    <x v="1"/>
    <n v="17852"/>
    <n v="1"/>
    <s v="Y"/>
    <x v="1"/>
    <n v="11"/>
    <x v="0"/>
    <x v="0"/>
    <n v="4"/>
    <n v="80"/>
    <n v="0"/>
    <n v="6"/>
    <n v="3"/>
    <n v="2"/>
    <x v="0"/>
    <n v="5"/>
    <n v="1"/>
    <n v="1"/>
    <n v="4"/>
    <x v="2"/>
    <s v=""/>
    <s v=""/>
    <s v=""/>
  </r>
  <r>
    <x v="9"/>
    <x v="0"/>
    <x v="1"/>
    <n v="0"/>
    <s v="Travel_Rarely"/>
    <n v="928"/>
    <x v="0"/>
    <n v="1"/>
    <n v="2"/>
    <s v="Life Sciences"/>
    <n v="1"/>
    <x v="621"/>
    <n v="2"/>
    <x v="0"/>
    <x v="1"/>
    <n v="56"/>
    <n v="3"/>
    <n v="2"/>
    <x v="0"/>
    <n v="4"/>
    <x v="0"/>
    <s v="Married"/>
    <x v="595"/>
    <x v="0"/>
    <n v="2823"/>
    <n v="1"/>
    <s v="Y"/>
    <x v="0"/>
    <n v="14"/>
    <x v="0"/>
    <x v="0"/>
    <n v="4"/>
    <n v="80"/>
    <n v="1"/>
    <n v="18"/>
    <n v="1"/>
    <n v="2"/>
    <x v="29"/>
    <n v="14"/>
    <n v="4"/>
    <n v="11"/>
    <n v="3"/>
    <x v="2"/>
    <s v=""/>
    <s v=""/>
    <s v=""/>
  </r>
  <r>
    <x v="5"/>
    <x v="2"/>
    <x v="1"/>
    <n v="0"/>
    <s v="Travel_Rarely"/>
    <n v="117"/>
    <x v="0"/>
    <n v="13"/>
    <n v="4"/>
    <s v="Life Sciences"/>
    <n v="1"/>
    <x v="622"/>
    <n v="2"/>
    <x v="0"/>
    <x v="1"/>
    <n v="73"/>
    <n v="3"/>
    <n v="2"/>
    <x v="0"/>
    <n v="4"/>
    <x v="0"/>
    <s v="Divorced"/>
    <x v="596"/>
    <x v="0"/>
    <n v="9250"/>
    <n v="2"/>
    <s v="Y"/>
    <x v="1"/>
    <n v="11"/>
    <x v="0"/>
    <x v="0"/>
    <n v="3"/>
    <n v="80"/>
    <n v="1"/>
    <n v="8"/>
    <n v="3"/>
    <n v="2"/>
    <x v="8"/>
    <n v="2"/>
    <n v="0"/>
    <n v="3"/>
    <n v="2"/>
    <x v="1"/>
    <s v=""/>
    <s v=""/>
    <s v=""/>
  </r>
  <r>
    <x v="7"/>
    <x v="2"/>
    <x v="1"/>
    <n v="0"/>
    <s v="Travel_Frequently"/>
    <n v="1012"/>
    <x v="1"/>
    <n v="5"/>
    <n v="4"/>
    <s v="Life Sciences"/>
    <n v="1"/>
    <x v="623"/>
    <n v="2"/>
    <x v="0"/>
    <x v="1"/>
    <n v="75"/>
    <n v="2"/>
    <n v="1"/>
    <x v="1"/>
    <n v="4"/>
    <x v="0"/>
    <s v="Divorced"/>
    <x v="597"/>
    <x v="1"/>
    <n v="2373"/>
    <n v="9"/>
    <s v="Y"/>
    <x v="1"/>
    <n v="12"/>
    <x v="0"/>
    <x v="0"/>
    <n v="2"/>
    <n v="80"/>
    <n v="1"/>
    <n v="10"/>
    <n v="3"/>
    <n v="2"/>
    <x v="8"/>
    <n v="4"/>
    <n v="0"/>
    <n v="3"/>
    <n v="3"/>
    <x v="2"/>
    <s v=""/>
    <s v=""/>
    <s v=""/>
  </r>
  <r>
    <x v="16"/>
    <x v="1"/>
    <x v="1"/>
    <n v="0"/>
    <s v="Travel_Rarely"/>
    <n v="661"/>
    <x v="0"/>
    <n v="7"/>
    <n v="2"/>
    <s v="Marketing"/>
    <n v="1"/>
    <x v="624"/>
    <n v="1"/>
    <x v="3"/>
    <x v="0"/>
    <n v="78"/>
    <n v="2"/>
    <n v="3"/>
    <x v="0"/>
    <n v="4"/>
    <x v="0"/>
    <s v="Married"/>
    <x v="598"/>
    <x v="2"/>
    <n v="20715"/>
    <n v="7"/>
    <s v="Y"/>
    <x v="0"/>
    <n v="18"/>
    <x v="2"/>
    <x v="0"/>
    <n v="4"/>
    <n v="80"/>
    <n v="1"/>
    <n v="35"/>
    <n v="3"/>
    <n v="3"/>
    <x v="8"/>
    <n v="2"/>
    <n v="0"/>
    <n v="4"/>
    <n v="2"/>
    <x v="1"/>
    <s v=""/>
    <s v=""/>
    <s v=""/>
  </r>
  <r>
    <x v="28"/>
    <x v="1"/>
    <x v="1"/>
    <n v="0"/>
    <s v="Travel_Rarely"/>
    <n v="930"/>
    <x v="0"/>
    <n v="9"/>
    <n v="3"/>
    <s v="Marketing"/>
    <n v="1"/>
    <x v="625"/>
    <n v="4"/>
    <x v="2"/>
    <x v="1"/>
    <n v="74"/>
    <n v="3"/>
    <n v="3"/>
    <x v="0"/>
    <n v="1"/>
    <x v="3"/>
    <s v="Divorced"/>
    <x v="599"/>
    <x v="2"/>
    <n v="19239"/>
    <n v="4"/>
    <s v="Y"/>
    <x v="0"/>
    <n v="12"/>
    <x v="0"/>
    <x v="0"/>
    <n v="3"/>
    <n v="80"/>
    <n v="1"/>
    <n v="18"/>
    <n v="2"/>
    <n v="3"/>
    <x v="8"/>
    <n v="4"/>
    <n v="0"/>
    <n v="2"/>
    <n v="4"/>
    <x v="2"/>
    <s v=""/>
    <s v=""/>
    <s v=""/>
  </r>
  <r>
    <x v="5"/>
    <x v="2"/>
    <x v="1"/>
    <n v="0"/>
    <s v="Travel_Rarely"/>
    <n v="638"/>
    <x v="1"/>
    <n v="8"/>
    <n v="2"/>
    <s v="Medical"/>
    <n v="1"/>
    <x v="626"/>
    <n v="3"/>
    <x v="1"/>
    <x v="0"/>
    <n v="91"/>
    <n v="4"/>
    <n v="2"/>
    <x v="1"/>
    <n v="3"/>
    <x v="2"/>
    <s v="Married"/>
    <x v="600"/>
    <x v="0"/>
    <n v="22162"/>
    <n v="5"/>
    <s v="Y"/>
    <x v="1"/>
    <n v="12"/>
    <x v="0"/>
    <x v="0"/>
    <n v="3"/>
    <n v="80"/>
    <n v="1"/>
    <n v="9"/>
    <n v="3"/>
    <n v="2"/>
    <x v="8"/>
    <n v="3"/>
    <n v="1"/>
    <n v="3"/>
    <n v="2"/>
    <x v="1"/>
    <s v=""/>
    <s v=""/>
    <s v=""/>
  </r>
  <r>
    <x v="39"/>
    <x v="1"/>
    <x v="1"/>
    <n v="0"/>
    <s v="Travel_Frequently"/>
    <n v="890"/>
    <x v="1"/>
    <n v="25"/>
    <n v="4"/>
    <s v="Medical"/>
    <n v="1"/>
    <x v="627"/>
    <n v="3"/>
    <x v="1"/>
    <x v="0"/>
    <n v="81"/>
    <n v="2"/>
    <n v="4"/>
    <x v="3"/>
    <n v="4"/>
    <x v="0"/>
    <s v="Married"/>
    <x v="601"/>
    <x v="3"/>
    <n v="19028"/>
    <n v="3"/>
    <s v="Y"/>
    <x v="1"/>
    <n v="22"/>
    <x v="1"/>
    <x v="1"/>
    <n v="3"/>
    <n v="80"/>
    <n v="0"/>
    <n v="31"/>
    <n v="3"/>
    <n v="3"/>
    <x v="7"/>
    <n v="8"/>
    <n v="0"/>
    <n v="0"/>
    <n v="0"/>
    <x v="1"/>
    <s v=""/>
    <s v=""/>
    <s v=""/>
  </r>
  <r>
    <x v="2"/>
    <x v="0"/>
    <x v="1"/>
    <n v="0"/>
    <s v="Travel_Rarely"/>
    <n v="342"/>
    <x v="0"/>
    <n v="16"/>
    <n v="4"/>
    <s v="Marketing"/>
    <n v="1"/>
    <x v="628"/>
    <n v="4"/>
    <x v="2"/>
    <x v="1"/>
    <n v="66"/>
    <n v="2"/>
    <n v="2"/>
    <x v="0"/>
    <n v="3"/>
    <x v="2"/>
    <s v="Divorced"/>
    <x v="602"/>
    <x v="0"/>
    <n v="24558"/>
    <n v="4"/>
    <s v="Y"/>
    <x v="1"/>
    <n v="19"/>
    <x v="2"/>
    <x v="0"/>
    <n v="4"/>
    <n v="80"/>
    <n v="2"/>
    <n v="9"/>
    <n v="2"/>
    <n v="3"/>
    <x v="6"/>
    <n v="0"/>
    <n v="0"/>
    <n v="0"/>
    <n v="1"/>
    <x v="1"/>
    <s v=""/>
    <s v=""/>
    <s v=""/>
  </r>
  <r>
    <x v="14"/>
    <x v="2"/>
    <x v="1"/>
    <n v="0"/>
    <s v="Travel_Rarely"/>
    <n v="1169"/>
    <x v="2"/>
    <n v="8"/>
    <n v="2"/>
    <s v="Medical"/>
    <n v="1"/>
    <x v="629"/>
    <n v="2"/>
    <x v="0"/>
    <x v="1"/>
    <n v="63"/>
    <n v="2"/>
    <n v="1"/>
    <x v="8"/>
    <n v="4"/>
    <x v="0"/>
    <s v="Divorced"/>
    <x v="365"/>
    <x v="0"/>
    <n v="23965"/>
    <n v="1"/>
    <s v="Y"/>
    <x v="1"/>
    <n v="13"/>
    <x v="0"/>
    <x v="0"/>
    <n v="4"/>
    <n v="80"/>
    <n v="1"/>
    <n v="6"/>
    <n v="6"/>
    <n v="3"/>
    <x v="8"/>
    <n v="1"/>
    <n v="0"/>
    <n v="4"/>
    <n v="3"/>
    <x v="2"/>
    <s v=""/>
    <s v=""/>
    <s v=""/>
  </r>
  <r>
    <x v="15"/>
    <x v="4"/>
    <x v="1"/>
    <n v="0"/>
    <s v="Travel_Rarely"/>
    <n v="1230"/>
    <x v="1"/>
    <n v="1"/>
    <n v="2"/>
    <s v="Life Sciences"/>
    <n v="1"/>
    <x v="630"/>
    <n v="4"/>
    <x v="2"/>
    <x v="1"/>
    <n v="33"/>
    <n v="2"/>
    <n v="2"/>
    <x v="3"/>
    <n v="4"/>
    <x v="0"/>
    <s v="Married"/>
    <x v="603"/>
    <x v="0"/>
    <n v="19146"/>
    <n v="6"/>
    <s v="Y"/>
    <x v="1"/>
    <n v="22"/>
    <x v="1"/>
    <x v="1"/>
    <n v="1"/>
    <n v="80"/>
    <n v="2"/>
    <n v="4"/>
    <n v="2"/>
    <n v="1"/>
    <x v="4"/>
    <n v="2"/>
    <n v="2"/>
    <n v="2"/>
    <n v="3"/>
    <x v="2"/>
    <s v=""/>
    <s v=""/>
    <s v=""/>
  </r>
  <r>
    <x v="20"/>
    <x v="0"/>
    <x v="1"/>
    <n v="0"/>
    <s v="Travel_Rarely"/>
    <n v="986"/>
    <x v="1"/>
    <n v="8"/>
    <n v="4"/>
    <s v="Life Sciences"/>
    <n v="1"/>
    <x v="631"/>
    <n v="1"/>
    <x v="3"/>
    <x v="1"/>
    <n v="62"/>
    <n v="4"/>
    <n v="1"/>
    <x v="2"/>
    <n v="4"/>
    <x v="0"/>
    <s v="Married"/>
    <x v="604"/>
    <x v="1"/>
    <n v="5044"/>
    <n v="2"/>
    <s v="Y"/>
    <x v="0"/>
    <n v="24"/>
    <x v="1"/>
    <x v="1"/>
    <n v="3"/>
    <n v="80"/>
    <n v="1"/>
    <n v="10"/>
    <n v="2"/>
    <n v="2"/>
    <x v="11"/>
    <n v="2"/>
    <n v="0"/>
    <n v="2"/>
    <n v="5"/>
    <x v="2"/>
    <s v=""/>
    <s v=""/>
    <s v=""/>
  </r>
  <r>
    <x v="19"/>
    <x v="0"/>
    <x v="1"/>
    <n v="0"/>
    <s v="Travel_Frequently"/>
    <n v="1271"/>
    <x v="1"/>
    <n v="2"/>
    <n v="1"/>
    <s v="Medical"/>
    <n v="1"/>
    <x v="632"/>
    <n v="2"/>
    <x v="0"/>
    <x v="1"/>
    <n v="35"/>
    <n v="3"/>
    <n v="1"/>
    <x v="1"/>
    <n v="4"/>
    <x v="0"/>
    <s v="Single"/>
    <x v="605"/>
    <x v="1"/>
    <n v="9068"/>
    <n v="5"/>
    <s v="Y"/>
    <x v="0"/>
    <n v="14"/>
    <x v="0"/>
    <x v="0"/>
    <n v="4"/>
    <n v="80"/>
    <n v="0"/>
    <n v="8"/>
    <n v="2"/>
    <n v="3"/>
    <x v="4"/>
    <n v="1"/>
    <n v="2"/>
    <n v="2"/>
    <n v="4"/>
    <x v="2"/>
    <s v=""/>
    <s v=""/>
    <s v=""/>
  </r>
  <r>
    <x v="9"/>
    <x v="0"/>
    <x v="1"/>
    <n v="0"/>
    <s v="Travel_Rarely"/>
    <n v="1278"/>
    <x v="2"/>
    <n v="8"/>
    <n v="3"/>
    <s v="Life Sciences"/>
    <n v="1"/>
    <x v="633"/>
    <n v="1"/>
    <x v="3"/>
    <x v="1"/>
    <n v="77"/>
    <n v="2"/>
    <n v="1"/>
    <x v="8"/>
    <n v="1"/>
    <x v="3"/>
    <s v="Married"/>
    <x v="531"/>
    <x v="1"/>
    <n v="8635"/>
    <n v="0"/>
    <s v="Y"/>
    <x v="1"/>
    <n v="21"/>
    <x v="1"/>
    <x v="1"/>
    <n v="3"/>
    <n v="80"/>
    <n v="0"/>
    <n v="6"/>
    <n v="3"/>
    <n v="3"/>
    <x v="8"/>
    <n v="4"/>
    <n v="0"/>
    <n v="3"/>
    <n v="5"/>
    <x v="2"/>
    <s v=""/>
    <s v=""/>
    <s v=""/>
  </r>
  <r>
    <x v="36"/>
    <x v="2"/>
    <x v="1"/>
    <n v="0"/>
    <s v="Travel_Rarely"/>
    <n v="141"/>
    <x v="0"/>
    <n v="3"/>
    <n v="1"/>
    <s v="Other"/>
    <n v="1"/>
    <x v="634"/>
    <n v="3"/>
    <x v="1"/>
    <x v="1"/>
    <n v="98"/>
    <n v="3"/>
    <n v="2"/>
    <x v="0"/>
    <n v="1"/>
    <x v="3"/>
    <s v="Married"/>
    <x v="606"/>
    <x v="0"/>
    <n v="14363"/>
    <n v="1"/>
    <s v="Y"/>
    <x v="0"/>
    <n v="18"/>
    <x v="2"/>
    <x v="0"/>
    <n v="4"/>
    <n v="80"/>
    <n v="0"/>
    <n v="5"/>
    <n v="3"/>
    <n v="3"/>
    <x v="8"/>
    <n v="3"/>
    <n v="0"/>
    <n v="3"/>
    <n v="6"/>
    <x v="3"/>
    <n v="39"/>
    <s v=""/>
    <n v="59121"/>
  </r>
  <r>
    <x v="10"/>
    <x v="0"/>
    <x v="1"/>
    <n v="0"/>
    <s v="Travel_Rarely"/>
    <n v="607"/>
    <x v="1"/>
    <n v="9"/>
    <n v="3"/>
    <s v="Life Sciences"/>
    <n v="1"/>
    <x v="635"/>
    <n v="4"/>
    <x v="2"/>
    <x v="0"/>
    <n v="66"/>
    <n v="2"/>
    <n v="3"/>
    <x v="3"/>
    <n v="3"/>
    <x v="2"/>
    <s v="Married"/>
    <x v="607"/>
    <x v="2"/>
    <n v="23457"/>
    <n v="1"/>
    <s v="Y"/>
    <x v="0"/>
    <n v="20"/>
    <x v="2"/>
    <x v="1"/>
    <n v="2"/>
    <n v="80"/>
    <n v="1"/>
    <n v="17"/>
    <n v="2"/>
    <n v="3"/>
    <x v="18"/>
    <n v="14"/>
    <n v="5"/>
    <n v="15"/>
    <n v="2"/>
    <x v="1"/>
    <s v=""/>
    <s v=""/>
    <s v=""/>
  </r>
  <r>
    <x v="10"/>
    <x v="0"/>
    <x v="0"/>
    <n v="1"/>
    <s v="Travel_Frequently"/>
    <n v="130"/>
    <x v="1"/>
    <n v="25"/>
    <n v="4"/>
    <s v="Life Sciences"/>
    <n v="1"/>
    <x v="636"/>
    <n v="4"/>
    <x v="2"/>
    <x v="0"/>
    <n v="96"/>
    <n v="3"/>
    <n v="1"/>
    <x v="1"/>
    <n v="2"/>
    <x v="1"/>
    <s v="Divorced"/>
    <x v="608"/>
    <x v="1"/>
    <n v="16612"/>
    <n v="1"/>
    <s v="Y"/>
    <x v="0"/>
    <n v="19"/>
    <x v="2"/>
    <x v="0"/>
    <n v="1"/>
    <n v="80"/>
    <n v="1"/>
    <n v="10"/>
    <n v="3"/>
    <n v="2"/>
    <x v="1"/>
    <n v="2"/>
    <n v="7"/>
    <n v="8"/>
    <s v=""/>
    <x v="0"/>
    <s v=""/>
    <s v=""/>
    <s v=""/>
  </r>
  <r>
    <x v="5"/>
    <x v="2"/>
    <x v="1"/>
    <n v="0"/>
    <s v="Non-Travel"/>
    <n v="300"/>
    <x v="1"/>
    <n v="1"/>
    <n v="3"/>
    <s v="Life Sciences"/>
    <n v="1"/>
    <x v="637"/>
    <n v="4"/>
    <x v="2"/>
    <x v="1"/>
    <n v="61"/>
    <n v="3"/>
    <n v="1"/>
    <x v="2"/>
    <n v="4"/>
    <x v="0"/>
    <s v="Divorced"/>
    <x v="609"/>
    <x v="1"/>
    <n v="9148"/>
    <n v="0"/>
    <s v="Y"/>
    <x v="1"/>
    <n v="12"/>
    <x v="0"/>
    <x v="0"/>
    <n v="2"/>
    <n v="80"/>
    <n v="1"/>
    <n v="4"/>
    <n v="2"/>
    <n v="3"/>
    <x v="11"/>
    <n v="0"/>
    <n v="0"/>
    <n v="2"/>
    <n v="4"/>
    <x v="2"/>
    <s v=""/>
    <s v=""/>
    <s v=""/>
  </r>
  <r>
    <x v="36"/>
    <x v="2"/>
    <x v="1"/>
    <n v="0"/>
    <s v="Travel_Rarely"/>
    <n v="583"/>
    <x v="0"/>
    <n v="4"/>
    <n v="1"/>
    <s v="Marketing"/>
    <n v="1"/>
    <x v="638"/>
    <n v="3"/>
    <x v="1"/>
    <x v="1"/>
    <n v="87"/>
    <n v="2"/>
    <n v="2"/>
    <x v="0"/>
    <n v="1"/>
    <x v="3"/>
    <s v="Married"/>
    <x v="610"/>
    <x v="0"/>
    <n v="18154"/>
    <n v="1"/>
    <s v="Y"/>
    <x v="1"/>
    <n v="12"/>
    <x v="0"/>
    <x v="0"/>
    <n v="1"/>
    <n v="80"/>
    <n v="0"/>
    <n v="5"/>
    <n v="1"/>
    <n v="4"/>
    <x v="8"/>
    <n v="2"/>
    <n v="0"/>
    <n v="3"/>
    <n v="4"/>
    <x v="2"/>
    <s v=""/>
    <s v=""/>
    <s v=""/>
  </r>
  <r>
    <x v="1"/>
    <x v="1"/>
    <x v="1"/>
    <n v="0"/>
    <s v="Travel_Rarely"/>
    <n v="1418"/>
    <x v="1"/>
    <n v="1"/>
    <n v="3"/>
    <s v="Technical Degree"/>
    <n v="1"/>
    <x v="639"/>
    <n v="3"/>
    <x v="1"/>
    <x v="0"/>
    <n v="36"/>
    <n v="3"/>
    <n v="1"/>
    <x v="1"/>
    <n v="1"/>
    <x v="3"/>
    <s v="Married"/>
    <x v="611"/>
    <x v="1"/>
    <n v="10554"/>
    <n v="2"/>
    <s v="Y"/>
    <x v="1"/>
    <n v="16"/>
    <x v="2"/>
    <x v="0"/>
    <n v="2"/>
    <n v="80"/>
    <n v="1"/>
    <n v="7"/>
    <n v="2"/>
    <n v="3"/>
    <x v="9"/>
    <n v="2"/>
    <n v="0"/>
    <n v="2"/>
    <n v="4"/>
    <x v="2"/>
    <s v=""/>
    <s v=""/>
    <s v=""/>
  </r>
  <r>
    <x v="17"/>
    <x v="4"/>
    <x v="1"/>
    <n v="0"/>
    <s v="Non-Travel"/>
    <n v="1269"/>
    <x v="1"/>
    <n v="4"/>
    <n v="1"/>
    <s v="Life Sciences"/>
    <n v="1"/>
    <x v="640"/>
    <n v="1"/>
    <x v="3"/>
    <x v="1"/>
    <n v="46"/>
    <n v="2"/>
    <n v="1"/>
    <x v="2"/>
    <n v="4"/>
    <x v="0"/>
    <s v="Married"/>
    <x v="612"/>
    <x v="1"/>
    <n v="10778"/>
    <n v="0"/>
    <s v="Y"/>
    <x v="1"/>
    <n v="17"/>
    <x v="2"/>
    <x v="0"/>
    <n v="4"/>
    <n v="80"/>
    <n v="0"/>
    <n v="6"/>
    <n v="2"/>
    <n v="2"/>
    <x v="8"/>
    <n v="2"/>
    <n v="3"/>
    <n v="4"/>
    <n v="5"/>
    <x v="2"/>
    <s v=""/>
    <s v=""/>
    <s v=""/>
  </r>
  <r>
    <x v="5"/>
    <x v="2"/>
    <x v="1"/>
    <n v="0"/>
    <s v="Travel_Frequently"/>
    <n v="379"/>
    <x v="0"/>
    <n v="5"/>
    <n v="2"/>
    <s v="Life Sciences"/>
    <n v="1"/>
    <x v="641"/>
    <n v="2"/>
    <x v="0"/>
    <x v="1"/>
    <n v="48"/>
    <n v="3"/>
    <n v="2"/>
    <x v="0"/>
    <n v="2"/>
    <x v="1"/>
    <s v="Married"/>
    <x v="613"/>
    <x v="0"/>
    <n v="8891"/>
    <n v="1"/>
    <s v="Y"/>
    <x v="1"/>
    <n v="14"/>
    <x v="0"/>
    <x v="0"/>
    <n v="4"/>
    <n v="80"/>
    <n v="1"/>
    <n v="10"/>
    <n v="3"/>
    <n v="3"/>
    <x v="1"/>
    <n v="8"/>
    <n v="5"/>
    <n v="3"/>
    <n v="2"/>
    <x v="1"/>
    <s v=""/>
    <s v=""/>
    <s v=""/>
  </r>
  <r>
    <x v="8"/>
    <x v="0"/>
    <x v="1"/>
    <n v="0"/>
    <s v="Travel_Rarely"/>
    <n v="395"/>
    <x v="0"/>
    <n v="9"/>
    <n v="3"/>
    <s v="Marketing"/>
    <n v="1"/>
    <x v="642"/>
    <n v="2"/>
    <x v="0"/>
    <x v="1"/>
    <n v="98"/>
    <n v="2"/>
    <n v="1"/>
    <x v="6"/>
    <n v="2"/>
    <x v="1"/>
    <s v="Married"/>
    <x v="614"/>
    <x v="1"/>
    <n v="12102"/>
    <n v="0"/>
    <s v="Y"/>
    <x v="1"/>
    <n v="19"/>
    <x v="2"/>
    <x v="0"/>
    <n v="4"/>
    <n v="80"/>
    <n v="1"/>
    <n v="3"/>
    <n v="3"/>
    <n v="3"/>
    <x v="4"/>
    <n v="2"/>
    <n v="1"/>
    <n v="2"/>
    <n v="4"/>
    <x v="2"/>
    <s v=""/>
    <s v=""/>
    <s v=""/>
  </r>
  <r>
    <x v="19"/>
    <x v="0"/>
    <x v="1"/>
    <n v="0"/>
    <s v="Travel_Rarely"/>
    <n v="1265"/>
    <x v="1"/>
    <n v="3"/>
    <n v="3"/>
    <s v="Life Sciences"/>
    <n v="1"/>
    <x v="643"/>
    <n v="3"/>
    <x v="1"/>
    <x v="0"/>
    <n v="95"/>
    <n v="4"/>
    <n v="2"/>
    <x v="2"/>
    <n v="4"/>
    <x v="0"/>
    <s v="Married"/>
    <x v="615"/>
    <x v="0"/>
    <n v="23726"/>
    <n v="2"/>
    <s v="Y"/>
    <x v="0"/>
    <n v="13"/>
    <x v="0"/>
    <x v="0"/>
    <n v="2"/>
    <n v="80"/>
    <n v="1"/>
    <n v="17"/>
    <n v="1"/>
    <n v="2"/>
    <x v="8"/>
    <n v="3"/>
    <n v="1"/>
    <n v="3"/>
    <n v="4"/>
    <x v="2"/>
    <s v=""/>
    <s v=""/>
    <s v=""/>
  </r>
  <r>
    <x v="12"/>
    <x v="2"/>
    <x v="1"/>
    <n v="0"/>
    <s v="Travel_Rarely"/>
    <n v="1222"/>
    <x v="1"/>
    <n v="11"/>
    <n v="4"/>
    <s v="Life Sciences"/>
    <n v="1"/>
    <x v="644"/>
    <n v="4"/>
    <x v="2"/>
    <x v="1"/>
    <n v="48"/>
    <n v="3"/>
    <n v="1"/>
    <x v="1"/>
    <n v="4"/>
    <x v="0"/>
    <s v="Married"/>
    <x v="616"/>
    <x v="1"/>
    <n v="14871"/>
    <n v="3"/>
    <s v="Y"/>
    <x v="0"/>
    <n v="19"/>
    <x v="2"/>
    <x v="0"/>
    <n v="2"/>
    <n v="80"/>
    <n v="1"/>
    <n v="8"/>
    <n v="2"/>
    <n v="3"/>
    <x v="0"/>
    <n v="4"/>
    <n v="0"/>
    <n v="2"/>
    <n v="5"/>
    <x v="2"/>
    <s v=""/>
    <s v=""/>
    <s v=""/>
  </r>
  <r>
    <x v="11"/>
    <x v="2"/>
    <x v="0"/>
    <n v="1"/>
    <s v="Travel_Rarely"/>
    <n v="341"/>
    <x v="0"/>
    <n v="1"/>
    <n v="3"/>
    <s v="Medical"/>
    <n v="1"/>
    <x v="645"/>
    <n v="2"/>
    <x v="0"/>
    <x v="0"/>
    <n v="48"/>
    <n v="2"/>
    <n v="1"/>
    <x v="6"/>
    <n v="3"/>
    <x v="2"/>
    <s v="Divorced"/>
    <x v="617"/>
    <x v="1"/>
    <n v="23522"/>
    <n v="6"/>
    <s v="Y"/>
    <x v="0"/>
    <n v="19"/>
    <x v="2"/>
    <x v="0"/>
    <n v="3"/>
    <n v="80"/>
    <n v="3"/>
    <n v="5"/>
    <n v="3"/>
    <n v="3"/>
    <x v="11"/>
    <n v="2"/>
    <n v="0"/>
    <n v="2"/>
    <s v=""/>
    <x v="0"/>
    <s v=""/>
    <s v=""/>
    <s v=""/>
  </r>
  <r>
    <x v="16"/>
    <x v="1"/>
    <x v="1"/>
    <n v="0"/>
    <s v="Travel_Rarely"/>
    <n v="868"/>
    <x v="0"/>
    <n v="8"/>
    <n v="3"/>
    <s v="Marketing"/>
    <n v="1"/>
    <x v="646"/>
    <n v="1"/>
    <x v="3"/>
    <x v="1"/>
    <n v="73"/>
    <n v="3"/>
    <n v="4"/>
    <x v="0"/>
    <n v="4"/>
    <x v="0"/>
    <s v="Married"/>
    <x v="618"/>
    <x v="2"/>
    <n v="22789"/>
    <n v="5"/>
    <s v="Y"/>
    <x v="1"/>
    <n v="14"/>
    <x v="0"/>
    <x v="0"/>
    <n v="3"/>
    <n v="80"/>
    <n v="1"/>
    <n v="28"/>
    <n v="3"/>
    <n v="3"/>
    <x v="4"/>
    <n v="0"/>
    <n v="2"/>
    <n v="2"/>
    <n v="0"/>
    <x v="1"/>
    <s v=""/>
    <s v=""/>
    <s v=""/>
  </r>
  <r>
    <x v="10"/>
    <x v="0"/>
    <x v="1"/>
    <n v="0"/>
    <s v="Travel_Rarely"/>
    <n v="672"/>
    <x v="1"/>
    <n v="25"/>
    <n v="3"/>
    <s v="Technical Degree"/>
    <n v="1"/>
    <x v="647"/>
    <n v="4"/>
    <x v="2"/>
    <x v="1"/>
    <n v="78"/>
    <n v="2"/>
    <n v="3"/>
    <x v="3"/>
    <n v="2"/>
    <x v="1"/>
    <s v="Married"/>
    <x v="619"/>
    <x v="2"/>
    <n v="9129"/>
    <n v="3"/>
    <s v="Y"/>
    <x v="1"/>
    <n v="16"/>
    <x v="2"/>
    <x v="0"/>
    <n v="1"/>
    <n v="80"/>
    <n v="0"/>
    <n v="16"/>
    <n v="2"/>
    <n v="3"/>
    <x v="20"/>
    <n v="10"/>
    <n v="4"/>
    <n v="8"/>
    <n v="0"/>
    <x v="1"/>
    <s v=""/>
    <s v=""/>
    <s v=""/>
  </r>
  <r>
    <x v="2"/>
    <x v="0"/>
    <x v="1"/>
    <n v="0"/>
    <s v="Travel_Frequently"/>
    <n v="1231"/>
    <x v="0"/>
    <n v="21"/>
    <n v="2"/>
    <s v="Medical"/>
    <n v="1"/>
    <x v="648"/>
    <n v="3"/>
    <x v="1"/>
    <x v="0"/>
    <n v="54"/>
    <n v="3"/>
    <n v="1"/>
    <x v="6"/>
    <n v="4"/>
    <x v="0"/>
    <s v="Married"/>
    <x v="620"/>
    <x v="1"/>
    <n v="21222"/>
    <n v="5"/>
    <s v="Y"/>
    <x v="1"/>
    <n v="15"/>
    <x v="0"/>
    <x v="0"/>
    <n v="2"/>
    <n v="80"/>
    <n v="1"/>
    <n v="10"/>
    <n v="3"/>
    <n v="3"/>
    <x v="8"/>
    <n v="4"/>
    <n v="0"/>
    <n v="0"/>
    <n v="4"/>
    <x v="2"/>
    <s v=""/>
    <s v=""/>
    <s v=""/>
  </r>
  <r>
    <x v="16"/>
    <x v="1"/>
    <x v="1"/>
    <n v="0"/>
    <s v="Travel_Rarely"/>
    <n v="102"/>
    <x v="1"/>
    <n v="23"/>
    <n v="4"/>
    <s v="Life Sciences"/>
    <n v="1"/>
    <x v="649"/>
    <n v="4"/>
    <x v="2"/>
    <x v="0"/>
    <n v="72"/>
    <n v="3"/>
    <n v="4"/>
    <x v="7"/>
    <n v="4"/>
    <x v="0"/>
    <s v="Single"/>
    <x v="621"/>
    <x v="3"/>
    <n v="20206"/>
    <n v="6"/>
    <s v="Y"/>
    <x v="1"/>
    <n v="18"/>
    <x v="2"/>
    <x v="0"/>
    <n v="3"/>
    <n v="80"/>
    <n v="0"/>
    <n v="33"/>
    <n v="0"/>
    <n v="3"/>
    <x v="12"/>
    <n v="9"/>
    <n v="3"/>
    <n v="8"/>
    <n v="0"/>
    <x v="1"/>
    <s v=""/>
    <s v=""/>
    <s v=""/>
  </r>
  <r>
    <x v="23"/>
    <x v="0"/>
    <x v="1"/>
    <n v="0"/>
    <s v="Travel_Frequently"/>
    <n v="422"/>
    <x v="1"/>
    <n v="1"/>
    <n v="3"/>
    <s v="Life Sciences"/>
    <n v="1"/>
    <x v="650"/>
    <n v="4"/>
    <x v="2"/>
    <x v="0"/>
    <n v="33"/>
    <n v="3"/>
    <n v="2"/>
    <x v="4"/>
    <n v="4"/>
    <x v="0"/>
    <s v="Married"/>
    <x v="622"/>
    <x v="0"/>
    <n v="21782"/>
    <n v="4"/>
    <s v="Y"/>
    <x v="1"/>
    <n v="13"/>
    <x v="0"/>
    <x v="0"/>
    <n v="2"/>
    <n v="80"/>
    <n v="1"/>
    <n v="12"/>
    <n v="2"/>
    <n v="2"/>
    <x v="8"/>
    <n v="2"/>
    <n v="2"/>
    <n v="2"/>
    <n v="1"/>
    <x v="1"/>
    <s v=""/>
    <s v=""/>
    <s v=""/>
  </r>
  <r>
    <x v="40"/>
    <x v="1"/>
    <x v="1"/>
    <n v="0"/>
    <s v="Travel_Rarely"/>
    <n v="249"/>
    <x v="0"/>
    <n v="2"/>
    <n v="2"/>
    <s v="Marketing"/>
    <n v="1"/>
    <x v="651"/>
    <n v="3"/>
    <x v="1"/>
    <x v="0"/>
    <n v="35"/>
    <n v="3"/>
    <n v="2"/>
    <x v="0"/>
    <n v="4"/>
    <x v="0"/>
    <s v="Married"/>
    <x v="623"/>
    <x v="0"/>
    <n v="17783"/>
    <n v="0"/>
    <s v="Y"/>
    <x v="0"/>
    <n v="22"/>
    <x v="1"/>
    <x v="1"/>
    <n v="1"/>
    <n v="80"/>
    <n v="1"/>
    <n v="8"/>
    <n v="2"/>
    <n v="3"/>
    <x v="5"/>
    <n v="6"/>
    <n v="7"/>
    <n v="7"/>
    <n v="3"/>
    <x v="2"/>
    <s v=""/>
    <s v=""/>
    <s v=""/>
  </r>
  <r>
    <x v="2"/>
    <x v="0"/>
    <x v="1"/>
    <n v="0"/>
    <s v="Non-Travel"/>
    <n v="1252"/>
    <x v="0"/>
    <n v="19"/>
    <n v="2"/>
    <s v="Medical"/>
    <n v="1"/>
    <x v="652"/>
    <n v="1"/>
    <x v="3"/>
    <x v="1"/>
    <n v="32"/>
    <n v="3"/>
    <n v="3"/>
    <x v="0"/>
    <n v="2"/>
    <x v="1"/>
    <s v="Single"/>
    <x v="624"/>
    <x v="0"/>
    <n v="4814"/>
    <n v="1"/>
    <s v="Y"/>
    <x v="0"/>
    <n v="13"/>
    <x v="0"/>
    <x v="0"/>
    <n v="4"/>
    <n v="80"/>
    <n v="0"/>
    <n v="10"/>
    <n v="2"/>
    <n v="3"/>
    <x v="1"/>
    <n v="0"/>
    <n v="0"/>
    <n v="9"/>
    <n v="3"/>
    <x v="2"/>
    <s v=""/>
    <s v=""/>
    <s v=""/>
  </r>
  <r>
    <x v="24"/>
    <x v="1"/>
    <x v="1"/>
    <n v="0"/>
    <s v="Non-Travel"/>
    <n v="881"/>
    <x v="1"/>
    <n v="2"/>
    <n v="4"/>
    <s v="Life Sciences"/>
    <n v="1"/>
    <x v="653"/>
    <n v="1"/>
    <x v="3"/>
    <x v="1"/>
    <n v="98"/>
    <n v="3"/>
    <n v="4"/>
    <x v="5"/>
    <n v="1"/>
    <x v="3"/>
    <s v="Divorced"/>
    <x v="625"/>
    <x v="4"/>
    <n v="4544"/>
    <n v="1"/>
    <s v="Y"/>
    <x v="1"/>
    <n v="11"/>
    <x v="0"/>
    <x v="0"/>
    <n v="4"/>
    <n v="80"/>
    <n v="1"/>
    <n v="31"/>
    <n v="3"/>
    <n v="3"/>
    <x v="31"/>
    <n v="6"/>
    <n v="14"/>
    <n v="7"/>
    <n v="2"/>
    <x v="1"/>
    <s v=""/>
    <s v=""/>
    <s v=""/>
  </r>
  <r>
    <x v="22"/>
    <x v="0"/>
    <x v="1"/>
    <n v="0"/>
    <s v="Travel_Rarely"/>
    <n v="1383"/>
    <x v="2"/>
    <n v="2"/>
    <n v="3"/>
    <s v="Life Sciences"/>
    <n v="1"/>
    <x v="654"/>
    <n v="4"/>
    <x v="2"/>
    <x v="0"/>
    <n v="42"/>
    <n v="2"/>
    <n v="2"/>
    <x v="8"/>
    <n v="4"/>
    <x v="0"/>
    <s v="Married"/>
    <x v="626"/>
    <x v="0"/>
    <n v="7790"/>
    <n v="8"/>
    <s v="Y"/>
    <x v="1"/>
    <n v="11"/>
    <x v="0"/>
    <x v="0"/>
    <n v="3"/>
    <n v="80"/>
    <n v="2"/>
    <n v="13"/>
    <n v="2"/>
    <n v="3"/>
    <x v="8"/>
    <n v="4"/>
    <n v="0"/>
    <n v="4"/>
    <n v="2"/>
    <x v="1"/>
    <s v=""/>
    <s v=""/>
    <s v=""/>
  </r>
  <r>
    <x v="3"/>
    <x v="2"/>
    <x v="1"/>
    <n v="0"/>
    <s v="Travel_Rarely"/>
    <n v="1075"/>
    <x v="2"/>
    <n v="3"/>
    <n v="2"/>
    <s v="Human Resources"/>
    <n v="1"/>
    <x v="655"/>
    <n v="4"/>
    <x v="2"/>
    <x v="1"/>
    <n v="57"/>
    <n v="3"/>
    <n v="1"/>
    <x v="8"/>
    <n v="2"/>
    <x v="1"/>
    <s v="Divorced"/>
    <x v="627"/>
    <x v="1"/>
    <n v="22650"/>
    <n v="3"/>
    <s v="Y"/>
    <x v="0"/>
    <n v="11"/>
    <x v="0"/>
    <x v="0"/>
    <n v="3"/>
    <n v="80"/>
    <n v="1"/>
    <n v="7"/>
    <n v="4"/>
    <n v="4"/>
    <x v="9"/>
    <n v="3"/>
    <n v="0"/>
    <n v="3"/>
    <n v="6"/>
    <x v="3"/>
    <n v="40"/>
    <s v=""/>
    <n v="59090"/>
  </r>
  <r>
    <x v="5"/>
    <x v="2"/>
    <x v="0"/>
    <n v="1"/>
    <s v="Travel_Rarely"/>
    <n v="374"/>
    <x v="1"/>
    <n v="25"/>
    <n v="4"/>
    <s v="Life Sciences"/>
    <n v="1"/>
    <x v="656"/>
    <n v="1"/>
    <x v="3"/>
    <x v="1"/>
    <n v="87"/>
    <n v="3"/>
    <n v="1"/>
    <x v="2"/>
    <n v="4"/>
    <x v="0"/>
    <s v="Single"/>
    <x v="628"/>
    <x v="1"/>
    <n v="18016"/>
    <n v="1"/>
    <s v="Y"/>
    <x v="0"/>
    <n v="24"/>
    <x v="1"/>
    <x v="1"/>
    <n v="3"/>
    <n v="80"/>
    <n v="0"/>
    <n v="1"/>
    <n v="2"/>
    <n v="1"/>
    <x v="6"/>
    <n v="0"/>
    <n v="0"/>
    <n v="1"/>
    <s v=""/>
    <x v="0"/>
    <s v=""/>
    <s v=""/>
    <s v=""/>
  </r>
  <r>
    <x v="11"/>
    <x v="2"/>
    <x v="1"/>
    <n v="0"/>
    <s v="Travel_Rarely"/>
    <n v="1086"/>
    <x v="1"/>
    <n v="7"/>
    <n v="1"/>
    <s v="Medical"/>
    <n v="1"/>
    <x v="657"/>
    <n v="1"/>
    <x v="3"/>
    <x v="0"/>
    <n v="62"/>
    <n v="2"/>
    <n v="1"/>
    <x v="2"/>
    <n v="4"/>
    <x v="0"/>
    <s v="Divorced"/>
    <x v="629"/>
    <x v="1"/>
    <n v="6054"/>
    <n v="6"/>
    <s v="Y"/>
    <x v="1"/>
    <n v="14"/>
    <x v="0"/>
    <x v="0"/>
    <n v="3"/>
    <n v="80"/>
    <n v="3"/>
    <n v="8"/>
    <n v="5"/>
    <n v="3"/>
    <x v="9"/>
    <n v="3"/>
    <n v="0"/>
    <n v="3"/>
    <n v="4"/>
    <x v="2"/>
    <s v=""/>
    <s v=""/>
    <s v=""/>
  </r>
  <r>
    <x v="20"/>
    <x v="0"/>
    <x v="1"/>
    <n v="0"/>
    <s v="Travel_Rarely"/>
    <n v="661"/>
    <x v="1"/>
    <n v="9"/>
    <n v="2"/>
    <s v="Life Sciences"/>
    <n v="1"/>
    <x v="658"/>
    <n v="2"/>
    <x v="0"/>
    <x v="1"/>
    <n v="61"/>
    <n v="3"/>
    <n v="1"/>
    <x v="1"/>
    <n v="1"/>
    <x v="3"/>
    <s v="Married"/>
    <x v="594"/>
    <x v="1"/>
    <n v="7508"/>
    <n v="1"/>
    <s v="Y"/>
    <x v="0"/>
    <n v="13"/>
    <x v="0"/>
    <x v="0"/>
    <n v="4"/>
    <n v="80"/>
    <n v="0"/>
    <n v="8"/>
    <n v="0"/>
    <n v="3"/>
    <x v="3"/>
    <n v="7"/>
    <n v="7"/>
    <n v="1"/>
    <n v="6"/>
    <x v="3"/>
    <n v="41"/>
    <s v=""/>
    <n v="59087"/>
  </r>
  <r>
    <x v="14"/>
    <x v="2"/>
    <x v="1"/>
    <n v="0"/>
    <s v="Travel_Rarely"/>
    <n v="821"/>
    <x v="0"/>
    <n v="5"/>
    <n v="4"/>
    <s v="Medical"/>
    <n v="1"/>
    <x v="659"/>
    <n v="1"/>
    <x v="3"/>
    <x v="1"/>
    <n v="98"/>
    <n v="3"/>
    <n v="2"/>
    <x v="0"/>
    <n v="4"/>
    <x v="0"/>
    <s v="Single"/>
    <x v="630"/>
    <x v="0"/>
    <n v="24252"/>
    <n v="1"/>
    <s v="Y"/>
    <x v="1"/>
    <n v="14"/>
    <x v="0"/>
    <x v="0"/>
    <n v="2"/>
    <n v="80"/>
    <n v="0"/>
    <n v="4"/>
    <n v="3"/>
    <n v="3"/>
    <x v="9"/>
    <n v="2"/>
    <n v="0"/>
    <n v="2"/>
    <n v="2"/>
    <x v="1"/>
    <s v=""/>
    <s v=""/>
    <s v=""/>
  </r>
  <r>
    <x v="34"/>
    <x v="3"/>
    <x v="0"/>
    <n v="1"/>
    <s v="Travel_Frequently"/>
    <n v="781"/>
    <x v="1"/>
    <n v="2"/>
    <n v="1"/>
    <s v="Life Sciences"/>
    <n v="1"/>
    <x v="660"/>
    <n v="4"/>
    <x v="2"/>
    <x v="1"/>
    <n v="57"/>
    <n v="2"/>
    <n v="1"/>
    <x v="2"/>
    <n v="4"/>
    <x v="0"/>
    <s v="Divorced"/>
    <x v="631"/>
    <x v="1"/>
    <n v="13384"/>
    <n v="9"/>
    <s v="Y"/>
    <x v="0"/>
    <n v="14"/>
    <x v="0"/>
    <x v="0"/>
    <n v="4"/>
    <n v="80"/>
    <n v="1"/>
    <n v="3"/>
    <n v="3"/>
    <n v="2"/>
    <x v="6"/>
    <n v="0"/>
    <n v="0"/>
    <n v="0"/>
    <s v=""/>
    <x v="0"/>
    <s v=""/>
    <s v=""/>
    <s v=""/>
  </r>
  <r>
    <x v="23"/>
    <x v="0"/>
    <x v="1"/>
    <n v="0"/>
    <s v="Travel_Rarely"/>
    <n v="177"/>
    <x v="1"/>
    <n v="8"/>
    <n v="3"/>
    <s v="Life Sciences"/>
    <n v="1"/>
    <x v="661"/>
    <n v="1"/>
    <x v="3"/>
    <x v="0"/>
    <n v="55"/>
    <n v="3"/>
    <n v="2"/>
    <x v="3"/>
    <n v="2"/>
    <x v="1"/>
    <s v="Divorced"/>
    <x v="632"/>
    <x v="0"/>
    <n v="23814"/>
    <n v="4"/>
    <s v="Y"/>
    <x v="1"/>
    <n v="21"/>
    <x v="1"/>
    <x v="1"/>
    <n v="3"/>
    <n v="80"/>
    <n v="1"/>
    <n v="4"/>
    <n v="2"/>
    <n v="4"/>
    <x v="6"/>
    <n v="0"/>
    <n v="0"/>
    <n v="0"/>
    <n v="1"/>
    <x v="1"/>
    <s v=""/>
    <s v=""/>
    <s v=""/>
  </r>
  <r>
    <x v="35"/>
    <x v="4"/>
    <x v="0"/>
    <n v="1"/>
    <s v="Travel_Rarely"/>
    <n v="500"/>
    <x v="0"/>
    <n v="2"/>
    <n v="3"/>
    <s v="Medical"/>
    <n v="1"/>
    <x v="662"/>
    <n v="3"/>
    <x v="1"/>
    <x v="0"/>
    <n v="49"/>
    <n v="2"/>
    <n v="1"/>
    <x v="6"/>
    <n v="3"/>
    <x v="2"/>
    <s v="Single"/>
    <x v="633"/>
    <x v="1"/>
    <n v="22052"/>
    <n v="1"/>
    <s v="Y"/>
    <x v="1"/>
    <n v="13"/>
    <x v="0"/>
    <x v="0"/>
    <n v="4"/>
    <n v="80"/>
    <n v="0"/>
    <n v="2"/>
    <n v="3"/>
    <n v="2"/>
    <x v="4"/>
    <n v="2"/>
    <n v="0"/>
    <n v="2"/>
    <s v=""/>
    <x v="0"/>
    <s v=""/>
    <s v=""/>
    <s v=""/>
  </r>
  <r>
    <x v="18"/>
    <x v="4"/>
    <x v="0"/>
    <n v="1"/>
    <s v="Travel_Rarely"/>
    <n v="1427"/>
    <x v="1"/>
    <n v="18"/>
    <n v="1"/>
    <s v="Other"/>
    <n v="1"/>
    <x v="663"/>
    <n v="4"/>
    <x v="2"/>
    <x v="0"/>
    <n v="65"/>
    <n v="3"/>
    <n v="1"/>
    <x v="1"/>
    <n v="4"/>
    <x v="0"/>
    <s v="Single"/>
    <x v="7"/>
    <x v="1"/>
    <n v="8870"/>
    <n v="1"/>
    <s v="Y"/>
    <x v="1"/>
    <n v="19"/>
    <x v="2"/>
    <x v="0"/>
    <n v="1"/>
    <n v="80"/>
    <n v="0"/>
    <n v="1"/>
    <n v="3"/>
    <n v="2"/>
    <x v="6"/>
    <n v="0"/>
    <n v="0"/>
    <n v="0"/>
    <s v=""/>
    <x v="0"/>
    <s v=""/>
    <s v=""/>
    <s v=""/>
  </r>
  <r>
    <x v="9"/>
    <x v="0"/>
    <x v="1"/>
    <n v="0"/>
    <s v="Travel_Rarely"/>
    <n v="1425"/>
    <x v="1"/>
    <n v="14"/>
    <n v="1"/>
    <s v="Life Sciences"/>
    <n v="1"/>
    <x v="664"/>
    <n v="3"/>
    <x v="1"/>
    <x v="1"/>
    <n v="68"/>
    <n v="3"/>
    <n v="2"/>
    <x v="4"/>
    <n v="4"/>
    <x v="0"/>
    <s v="Married"/>
    <x v="634"/>
    <x v="0"/>
    <n v="4821"/>
    <n v="0"/>
    <s v="Y"/>
    <x v="0"/>
    <n v="17"/>
    <x v="2"/>
    <x v="0"/>
    <n v="1"/>
    <n v="80"/>
    <n v="1"/>
    <n v="17"/>
    <n v="2"/>
    <n v="2"/>
    <x v="22"/>
    <n v="8"/>
    <n v="4"/>
    <n v="11"/>
    <n v="3"/>
    <x v="2"/>
    <s v=""/>
    <s v=""/>
    <s v=""/>
  </r>
  <r>
    <x v="40"/>
    <x v="1"/>
    <x v="1"/>
    <n v="0"/>
    <s v="Travel_Rarely"/>
    <n v="1454"/>
    <x v="0"/>
    <n v="2"/>
    <n v="4"/>
    <s v="Life Sciences"/>
    <n v="1"/>
    <x v="665"/>
    <n v="4"/>
    <x v="2"/>
    <x v="0"/>
    <n v="65"/>
    <n v="2"/>
    <n v="1"/>
    <x v="6"/>
    <n v="4"/>
    <x v="0"/>
    <s v="Single"/>
    <x v="635"/>
    <x v="1"/>
    <n v="13137"/>
    <n v="1"/>
    <s v="Y"/>
    <x v="0"/>
    <n v="18"/>
    <x v="2"/>
    <x v="0"/>
    <n v="1"/>
    <n v="80"/>
    <n v="0"/>
    <n v="3"/>
    <n v="3"/>
    <n v="2"/>
    <x v="11"/>
    <n v="2"/>
    <n v="1"/>
    <n v="2"/>
    <n v="6"/>
    <x v="3"/>
    <n v="42"/>
    <s v=""/>
    <n v="59075"/>
  </r>
  <r>
    <x v="15"/>
    <x v="4"/>
    <x v="0"/>
    <n v="1"/>
    <s v="Travel_Rarely"/>
    <n v="617"/>
    <x v="1"/>
    <n v="3"/>
    <n v="1"/>
    <s v="Life Sciences"/>
    <n v="1"/>
    <x v="666"/>
    <n v="2"/>
    <x v="0"/>
    <x v="0"/>
    <n v="34"/>
    <n v="3"/>
    <n v="2"/>
    <x v="3"/>
    <n v="3"/>
    <x v="2"/>
    <s v="Married"/>
    <x v="636"/>
    <x v="0"/>
    <n v="10022"/>
    <n v="0"/>
    <s v="Y"/>
    <x v="0"/>
    <n v="19"/>
    <x v="2"/>
    <x v="0"/>
    <n v="1"/>
    <n v="80"/>
    <n v="1"/>
    <n v="4"/>
    <n v="3"/>
    <n v="4"/>
    <x v="11"/>
    <n v="2"/>
    <n v="0"/>
    <n v="2"/>
    <s v=""/>
    <x v="0"/>
    <s v=""/>
    <s v=""/>
    <s v=""/>
  </r>
  <r>
    <x v="0"/>
    <x v="0"/>
    <x v="0"/>
    <n v="1"/>
    <s v="Travel_Rarely"/>
    <n v="1085"/>
    <x v="1"/>
    <n v="2"/>
    <n v="4"/>
    <s v="Life Sciences"/>
    <n v="1"/>
    <x v="667"/>
    <n v="2"/>
    <x v="0"/>
    <x v="0"/>
    <n v="57"/>
    <n v="1"/>
    <n v="1"/>
    <x v="2"/>
    <n v="4"/>
    <x v="0"/>
    <s v="Divorced"/>
    <x v="637"/>
    <x v="1"/>
    <n v="17725"/>
    <n v="4"/>
    <s v="Y"/>
    <x v="0"/>
    <n v="13"/>
    <x v="0"/>
    <x v="0"/>
    <n v="3"/>
    <n v="80"/>
    <n v="1"/>
    <n v="10"/>
    <n v="1"/>
    <n v="2"/>
    <x v="5"/>
    <n v="7"/>
    <n v="1"/>
    <n v="0"/>
    <s v=""/>
    <x v="0"/>
    <s v=""/>
    <s v=""/>
    <s v=""/>
  </r>
  <r>
    <x v="14"/>
    <x v="2"/>
    <x v="1"/>
    <n v="0"/>
    <s v="Travel_Rarely"/>
    <n v="995"/>
    <x v="1"/>
    <n v="9"/>
    <n v="3"/>
    <s v="Medical"/>
    <n v="1"/>
    <x v="668"/>
    <n v="3"/>
    <x v="1"/>
    <x v="0"/>
    <n v="77"/>
    <n v="3"/>
    <n v="1"/>
    <x v="1"/>
    <n v="3"/>
    <x v="2"/>
    <s v="Divorced"/>
    <x v="638"/>
    <x v="1"/>
    <n v="9834"/>
    <n v="5"/>
    <s v="Y"/>
    <x v="1"/>
    <n v="18"/>
    <x v="2"/>
    <x v="0"/>
    <n v="2"/>
    <n v="80"/>
    <n v="1"/>
    <n v="6"/>
    <n v="2"/>
    <n v="3"/>
    <x v="4"/>
    <n v="2"/>
    <n v="2"/>
    <n v="2"/>
    <n v="3"/>
    <x v="2"/>
    <s v=""/>
    <s v=""/>
    <s v=""/>
  </r>
  <r>
    <x v="22"/>
    <x v="0"/>
    <x v="0"/>
    <n v="1"/>
    <s v="Travel_Rarely"/>
    <n v="1122"/>
    <x v="1"/>
    <n v="6"/>
    <n v="3"/>
    <s v="Medical"/>
    <n v="1"/>
    <x v="669"/>
    <n v="4"/>
    <x v="2"/>
    <x v="1"/>
    <n v="70"/>
    <n v="3"/>
    <n v="1"/>
    <x v="2"/>
    <n v="1"/>
    <x v="3"/>
    <s v="Married"/>
    <x v="639"/>
    <x v="1"/>
    <n v="4303"/>
    <n v="7"/>
    <s v="Y"/>
    <x v="0"/>
    <n v="21"/>
    <x v="1"/>
    <x v="1"/>
    <n v="4"/>
    <n v="80"/>
    <n v="0"/>
    <n v="8"/>
    <n v="2"/>
    <n v="1"/>
    <x v="4"/>
    <n v="2"/>
    <n v="2"/>
    <n v="2"/>
    <s v=""/>
    <x v="0"/>
    <s v=""/>
    <s v=""/>
    <s v=""/>
  </r>
  <r>
    <x v="4"/>
    <x v="2"/>
    <x v="1"/>
    <n v="0"/>
    <s v="Travel_Rarely"/>
    <n v="618"/>
    <x v="1"/>
    <n v="4"/>
    <n v="3"/>
    <s v="Life Sciences"/>
    <n v="1"/>
    <x v="670"/>
    <n v="2"/>
    <x v="0"/>
    <x v="0"/>
    <n v="76"/>
    <n v="3"/>
    <n v="1"/>
    <x v="1"/>
    <n v="3"/>
    <x v="2"/>
    <s v="Single"/>
    <x v="640"/>
    <x v="1"/>
    <n v="17808"/>
    <n v="1"/>
    <s v="Y"/>
    <x v="1"/>
    <n v="19"/>
    <x v="2"/>
    <x v="0"/>
    <n v="3"/>
    <n v="80"/>
    <n v="0"/>
    <n v="1"/>
    <n v="2"/>
    <n v="3"/>
    <x v="6"/>
    <n v="1"/>
    <n v="0"/>
    <n v="0"/>
    <n v="3"/>
    <x v="2"/>
    <s v=""/>
    <s v=""/>
    <s v=""/>
  </r>
  <r>
    <x v="13"/>
    <x v="2"/>
    <x v="1"/>
    <n v="0"/>
    <s v="Travel_Rarely"/>
    <n v="546"/>
    <x v="1"/>
    <n v="10"/>
    <n v="3"/>
    <s v="Life Sciences"/>
    <n v="1"/>
    <x v="671"/>
    <n v="2"/>
    <x v="0"/>
    <x v="1"/>
    <n v="83"/>
    <n v="3"/>
    <n v="1"/>
    <x v="2"/>
    <n v="2"/>
    <x v="1"/>
    <s v="Divorced"/>
    <x v="641"/>
    <x v="1"/>
    <n v="6896"/>
    <n v="1"/>
    <s v="Y"/>
    <x v="1"/>
    <n v="14"/>
    <x v="0"/>
    <x v="0"/>
    <n v="2"/>
    <n v="80"/>
    <n v="2"/>
    <n v="1"/>
    <n v="3"/>
    <n v="3"/>
    <x v="6"/>
    <n v="0"/>
    <n v="1"/>
    <n v="0"/>
    <n v="4"/>
    <x v="2"/>
    <s v=""/>
    <s v=""/>
    <s v=""/>
  </r>
  <r>
    <x v="19"/>
    <x v="0"/>
    <x v="1"/>
    <n v="0"/>
    <s v="Travel_Rarely"/>
    <n v="462"/>
    <x v="0"/>
    <n v="14"/>
    <n v="2"/>
    <s v="Medical"/>
    <n v="1"/>
    <x v="672"/>
    <n v="3"/>
    <x v="1"/>
    <x v="0"/>
    <n v="68"/>
    <n v="2"/>
    <n v="2"/>
    <x v="0"/>
    <n v="3"/>
    <x v="2"/>
    <s v="Single"/>
    <x v="642"/>
    <x v="0"/>
    <n v="7824"/>
    <n v="7"/>
    <s v="Y"/>
    <x v="1"/>
    <n v="17"/>
    <x v="2"/>
    <x v="0"/>
    <n v="1"/>
    <n v="80"/>
    <n v="0"/>
    <n v="10"/>
    <n v="6"/>
    <n v="3"/>
    <x v="8"/>
    <n v="4"/>
    <n v="0"/>
    <n v="3"/>
    <n v="1"/>
    <x v="1"/>
    <s v=""/>
    <s v=""/>
    <s v=""/>
  </r>
  <r>
    <x v="3"/>
    <x v="2"/>
    <x v="1"/>
    <n v="0"/>
    <s v="Travel_Rarely"/>
    <n v="1198"/>
    <x v="1"/>
    <n v="1"/>
    <n v="4"/>
    <s v="Other"/>
    <n v="1"/>
    <x v="673"/>
    <n v="3"/>
    <x v="1"/>
    <x v="1"/>
    <n v="100"/>
    <n v="2"/>
    <n v="1"/>
    <x v="1"/>
    <n v="1"/>
    <x v="3"/>
    <s v="Single"/>
    <x v="643"/>
    <x v="1"/>
    <n v="3339"/>
    <n v="3"/>
    <s v="Y"/>
    <x v="0"/>
    <n v="11"/>
    <x v="0"/>
    <x v="0"/>
    <n v="2"/>
    <n v="80"/>
    <n v="0"/>
    <n v="6"/>
    <n v="1"/>
    <n v="3"/>
    <x v="11"/>
    <n v="2"/>
    <n v="0"/>
    <n v="2"/>
    <n v="7"/>
    <x v="3"/>
    <n v="9"/>
    <s v="Top 10"/>
    <n v="69061"/>
  </r>
  <r>
    <x v="34"/>
    <x v="3"/>
    <x v="1"/>
    <n v="0"/>
    <s v="Travel_Rarely"/>
    <n v="1272"/>
    <x v="1"/>
    <n v="5"/>
    <n v="3"/>
    <s v="Technical Degree"/>
    <n v="1"/>
    <x v="674"/>
    <n v="3"/>
    <x v="1"/>
    <x v="0"/>
    <n v="37"/>
    <n v="2"/>
    <n v="3"/>
    <x v="4"/>
    <n v="2"/>
    <x v="1"/>
    <s v="Divorced"/>
    <x v="644"/>
    <x v="2"/>
    <n v="9255"/>
    <n v="2"/>
    <s v="Y"/>
    <x v="0"/>
    <n v="13"/>
    <x v="0"/>
    <x v="0"/>
    <n v="4"/>
    <n v="80"/>
    <n v="1"/>
    <n v="24"/>
    <n v="3"/>
    <n v="3"/>
    <x v="0"/>
    <n v="0"/>
    <n v="0"/>
    <n v="4"/>
    <n v="2"/>
    <x v="1"/>
    <s v=""/>
    <s v=""/>
    <s v=""/>
  </r>
  <r>
    <x v="12"/>
    <x v="2"/>
    <x v="1"/>
    <n v="0"/>
    <s v="Travel_Rarely"/>
    <n v="154"/>
    <x v="0"/>
    <n v="7"/>
    <n v="4"/>
    <s v="Life Sciences"/>
    <n v="1"/>
    <x v="675"/>
    <n v="2"/>
    <x v="0"/>
    <x v="1"/>
    <n v="41"/>
    <n v="2"/>
    <n v="1"/>
    <x v="6"/>
    <n v="3"/>
    <x v="2"/>
    <s v="Married"/>
    <x v="645"/>
    <x v="1"/>
    <n v="11737"/>
    <n v="3"/>
    <s v="Y"/>
    <x v="1"/>
    <n v="15"/>
    <x v="0"/>
    <x v="0"/>
    <n v="2"/>
    <n v="80"/>
    <n v="0"/>
    <n v="13"/>
    <n v="2"/>
    <n v="4"/>
    <x v="5"/>
    <n v="7"/>
    <n v="5"/>
    <n v="2"/>
    <n v="5"/>
    <x v="2"/>
    <s v=""/>
    <s v=""/>
    <s v=""/>
  </r>
  <r>
    <x v="10"/>
    <x v="0"/>
    <x v="1"/>
    <n v="0"/>
    <s v="Travel_Rarely"/>
    <n v="1137"/>
    <x v="1"/>
    <n v="21"/>
    <n v="1"/>
    <s v="Life Sciences"/>
    <n v="1"/>
    <x v="676"/>
    <n v="4"/>
    <x v="2"/>
    <x v="0"/>
    <n v="51"/>
    <n v="3"/>
    <n v="2"/>
    <x v="4"/>
    <n v="4"/>
    <x v="0"/>
    <s v="Married"/>
    <x v="55"/>
    <x v="0"/>
    <n v="19170"/>
    <n v="1"/>
    <s v="Y"/>
    <x v="0"/>
    <n v="25"/>
    <x v="1"/>
    <x v="1"/>
    <n v="4"/>
    <n v="80"/>
    <n v="1"/>
    <n v="10"/>
    <n v="2"/>
    <n v="1"/>
    <x v="1"/>
    <n v="6"/>
    <n v="0"/>
    <n v="7"/>
    <n v="3"/>
    <x v="2"/>
    <s v=""/>
    <s v=""/>
    <s v=""/>
  </r>
  <r>
    <x v="1"/>
    <x v="1"/>
    <x v="1"/>
    <n v="0"/>
    <s v="Travel_Rarely"/>
    <n v="527"/>
    <x v="1"/>
    <n v="8"/>
    <n v="2"/>
    <s v="Other"/>
    <n v="1"/>
    <x v="677"/>
    <n v="1"/>
    <x v="3"/>
    <x v="0"/>
    <n v="51"/>
    <n v="3"/>
    <n v="3"/>
    <x v="2"/>
    <n v="2"/>
    <x v="1"/>
    <s v="Married"/>
    <x v="646"/>
    <x v="0"/>
    <n v="22477"/>
    <n v="4"/>
    <s v="Y"/>
    <x v="1"/>
    <n v="11"/>
    <x v="0"/>
    <x v="0"/>
    <n v="3"/>
    <n v="80"/>
    <n v="1"/>
    <n v="29"/>
    <n v="3"/>
    <n v="2"/>
    <x v="34"/>
    <n v="9"/>
    <n v="1"/>
    <n v="7"/>
    <n v="2"/>
    <x v="1"/>
    <s v=""/>
    <s v=""/>
    <s v=""/>
  </r>
  <r>
    <x v="26"/>
    <x v="1"/>
    <x v="1"/>
    <n v="0"/>
    <s v="Travel_Rarely"/>
    <n v="1469"/>
    <x v="1"/>
    <n v="20"/>
    <n v="4"/>
    <s v="Medical"/>
    <n v="1"/>
    <x v="678"/>
    <n v="4"/>
    <x v="2"/>
    <x v="1"/>
    <n v="51"/>
    <n v="3"/>
    <n v="1"/>
    <x v="1"/>
    <n v="3"/>
    <x v="2"/>
    <s v="Married"/>
    <x v="647"/>
    <x v="1"/>
    <n v="5543"/>
    <n v="4"/>
    <s v="Y"/>
    <x v="1"/>
    <n v="17"/>
    <x v="2"/>
    <x v="0"/>
    <n v="1"/>
    <n v="80"/>
    <n v="2"/>
    <n v="13"/>
    <n v="2"/>
    <n v="2"/>
    <x v="2"/>
    <n v="0"/>
    <n v="0"/>
    <n v="0"/>
    <n v="2"/>
    <x v="1"/>
    <s v=""/>
    <s v=""/>
    <s v=""/>
  </r>
  <r>
    <x v="12"/>
    <x v="2"/>
    <x v="1"/>
    <n v="0"/>
    <s v="Non-Travel"/>
    <n v="1188"/>
    <x v="0"/>
    <n v="20"/>
    <n v="2"/>
    <s v="Marketing"/>
    <n v="1"/>
    <x v="679"/>
    <n v="4"/>
    <x v="2"/>
    <x v="0"/>
    <n v="45"/>
    <n v="3"/>
    <n v="2"/>
    <x v="0"/>
    <n v="3"/>
    <x v="2"/>
    <s v="Married"/>
    <x v="648"/>
    <x v="0"/>
    <n v="24406"/>
    <n v="1"/>
    <s v="Y"/>
    <x v="1"/>
    <n v="13"/>
    <x v="0"/>
    <x v="0"/>
    <n v="4"/>
    <n v="80"/>
    <n v="1"/>
    <n v="9"/>
    <n v="2"/>
    <n v="2"/>
    <x v="7"/>
    <n v="8"/>
    <n v="0"/>
    <n v="0"/>
    <n v="2"/>
    <x v="1"/>
    <s v=""/>
    <s v=""/>
    <s v=""/>
  </r>
  <r>
    <x v="9"/>
    <x v="0"/>
    <x v="1"/>
    <n v="0"/>
    <s v="Travel_Rarely"/>
    <n v="188"/>
    <x v="1"/>
    <n v="7"/>
    <n v="4"/>
    <s v="Other"/>
    <n v="1"/>
    <x v="680"/>
    <n v="2"/>
    <x v="0"/>
    <x v="1"/>
    <n v="65"/>
    <n v="3"/>
    <n v="1"/>
    <x v="1"/>
    <n v="4"/>
    <x v="0"/>
    <s v="Single"/>
    <x v="649"/>
    <x v="0"/>
    <n v="23293"/>
    <n v="2"/>
    <s v="Y"/>
    <x v="1"/>
    <n v="18"/>
    <x v="2"/>
    <x v="0"/>
    <n v="3"/>
    <n v="80"/>
    <n v="0"/>
    <n v="8"/>
    <n v="6"/>
    <n v="3"/>
    <x v="0"/>
    <n v="2"/>
    <n v="0"/>
    <n v="1"/>
    <n v="1"/>
    <x v="1"/>
    <s v=""/>
    <s v=""/>
    <s v=""/>
  </r>
  <r>
    <x v="8"/>
    <x v="0"/>
    <x v="1"/>
    <n v="0"/>
    <s v="Travel_Rarely"/>
    <n v="1333"/>
    <x v="1"/>
    <n v="1"/>
    <n v="3"/>
    <s v="Technical Degree"/>
    <n v="1"/>
    <x v="681"/>
    <n v="4"/>
    <x v="2"/>
    <x v="0"/>
    <n v="80"/>
    <n v="3"/>
    <n v="3"/>
    <x v="7"/>
    <n v="1"/>
    <x v="3"/>
    <s v="Married"/>
    <x v="650"/>
    <x v="3"/>
    <n v="16292"/>
    <n v="1"/>
    <s v="Y"/>
    <x v="1"/>
    <n v="13"/>
    <x v="0"/>
    <x v="0"/>
    <n v="2"/>
    <n v="80"/>
    <n v="1"/>
    <n v="15"/>
    <n v="3"/>
    <n v="3"/>
    <x v="15"/>
    <n v="12"/>
    <n v="5"/>
    <n v="11"/>
    <n v="2"/>
    <x v="1"/>
    <s v=""/>
    <s v=""/>
    <s v=""/>
  </r>
  <r>
    <x v="5"/>
    <x v="2"/>
    <x v="1"/>
    <n v="0"/>
    <s v="Non-Travel"/>
    <n v="1184"/>
    <x v="1"/>
    <n v="1"/>
    <n v="3"/>
    <s v="Life Sciences"/>
    <n v="1"/>
    <x v="682"/>
    <n v="3"/>
    <x v="1"/>
    <x v="0"/>
    <n v="70"/>
    <n v="2"/>
    <n v="1"/>
    <x v="2"/>
    <n v="2"/>
    <x v="1"/>
    <s v="Married"/>
    <x v="651"/>
    <x v="1"/>
    <n v="3974"/>
    <n v="6"/>
    <s v="Y"/>
    <x v="1"/>
    <n v="20"/>
    <x v="2"/>
    <x v="1"/>
    <n v="3"/>
    <n v="80"/>
    <n v="0"/>
    <n v="5"/>
    <n v="3"/>
    <n v="3"/>
    <x v="11"/>
    <n v="0"/>
    <n v="0"/>
    <n v="2"/>
    <n v="4"/>
    <x v="2"/>
    <s v=""/>
    <s v=""/>
    <s v=""/>
  </r>
  <r>
    <x v="36"/>
    <x v="2"/>
    <x v="0"/>
    <n v="1"/>
    <s v="Travel_Rarely"/>
    <n v="867"/>
    <x v="0"/>
    <n v="19"/>
    <n v="2"/>
    <s v="Marketing"/>
    <n v="1"/>
    <x v="683"/>
    <n v="3"/>
    <x v="1"/>
    <x v="1"/>
    <n v="36"/>
    <n v="2"/>
    <n v="1"/>
    <x v="6"/>
    <n v="2"/>
    <x v="1"/>
    <s v="Married"/>
    <x v="652"/>
    <x v="1"/>
    <n v="18798"/>
    <n v="1"/>
    <s v="Y"/>
    <x v="0"/>
    <n v="18"/>
    <x v="2"/>
    <x v="0"/>
    <n v="3"/>
    <n v="80"/>
    <n v="3"/>
    <n v="1"/>
    <n v="2"/>
    <n v="3"/>
    <x v="6"/>
    <n v="0"/>
    <n v="0"/>
    <n v="0"/>
    <s v=""/>
    <x v="0"/>
    <s v=""/>
    <s v=""/>
    <s v=""/>
  </r>
  <r>
    <x v="32"/>
    <x v="0"/>
    <x v="1"/>
    <n v="0"/>
    <s v="Travel_Rarely"/>
    <n v="658"/>
    <x v="0"/>
    <n v="10"/>
    <n v="4"/>
    <s v="Marketing"/>
    <n v="1"/>
    <x v="684"/>
    <n v="1"/>
    <x v="3"/>
    <x v="1"/>
    <n v="67"/>
    <n v="2"/>
    <n v="3"/>
    <x v="0"/>
    <n v="2"/>
    <x v="1"/>
    <s v="Divorced"/>
    <x v="653"/>
    <x v="2"/>
    <n v="20652"/>
    <n v="2"/>
    <s v="Y"/>
    <x v="1"/>
    <n v="12"/>
    <x v="0"/>
    <x v="0"/>
    <n v="2"/>
    <n v="80"/>
    <n v="1"/>
    <n v="11"/>
    <n v="2"/>
    <n v="2"/>
    <x v="6"/>
    <n v="0"/>
    <n v="0"/>
    <n v="0"/>
    <n v="0"/>
    <x v="1"/>
    <s v=""/>
    <s v=""/>
    <s v=""/>
  </r>
  <r>
    <x v="25"/>
    <x v="2"/>
    <x v="1"/>
    <n v="0"/>
    <s v="Travel_Frequently"/>
    <n v="1283"/>
    <x v="0"/>
    <n v="1"/>
    <n v="3"/>
    <s v="Medical"/>
    <n v="1"/>
    <x v="685"/>
    <n v="3"/>
    <x v="1"/>
    <x v="1"/>
    <n v="52"/>
    <n v="2"/>
    <n v="2"/>
    <x v="0"/>
    <n v="1"/>
    <x v="3"/>
    <s v="Single"/>
    <x v="654"/>
    <x v="0"/>
    <n v="11148"/>
    <n v="1"/>
    <s v="Y"/>
    <x v="1"/>
    <n v="12"/>
    <x v="0"/>
    <x v="0"/>
    <n v="2"/>
    <n v="80"/>
    <n v="0"/>
    <n v="7"/>
    <n v="2"/>
    <n v="3"/>
    <x v="5"/>
    <n v="7"/>
    <n v="0"/>
    <n v="7"/>
    <n v="4"/>
    <x v="2"/>
    <s v=""/>
    <s v=""/>
    <s v=""/>
  </r>
  <r>
    <x v="0"/>
    <x v="0"/>
    <x v="1"/>
    <n v="0"/>
    <s v="Travel_Rarely"/>
    <n v="263"/>
    <x v="1"/>
    <n v="6"/>
    <n v="3"/>
    <s v="Medical"/>
    <n v="1"/>
    <x v="686"/>
    <n v="4"/>
    <x v="2"/>
    <x v="1"/>
    <n v="59"/>
    <n v="3"/>
    <n v="1"/>
    <x v="2"/>
    <n v="1"/>
    <x v="3"/>
    <s v="Single"/>
    <x v="655"/>
    <x v="0"/>
    <n v="3119"/>
    <n v="2"/>
    <s v="Y"/>
    <x v="0"/>
    <n v="13"/>
    <x v="0"/>
    <x v="0"/>
    <n v="3"/>
    <n v="80"/>
    <n v="0"/>
    <n v="20"/>
    <n v="3"/>
    <n v="3"/>
    <x v="29"/>
    <n v="13"/>
    <n v="2"/>
    <n v="17"/>
    <n v="6"/>
    <x v="3"/>
    <n v="43"/>
    <s v=""/>
    <n v="59043"/>
  </r>
  <r>
    <x v="9"/>
    <x v="0"/>
    <x v="1"/>
    <n v="0"/>
    <s v="Travel_Rarely"/>
    <n v="938"/>
    <x v="1"/>
    <n v="2"/>
    <n v="4"/>
    <s v="Medical"/>
    <n v="1"/>
    <x v="687"/>
    <n v="3"/>
    <x v="1"/>
    <x v="1"/>
    <n v="79"/>
    <n v="3"/>
    <n v="1"/>
    <x v="2"/>
    <n v="3"/>
    <x v="2"/>
    <s v="Single"/>
    <x v="656"/>
    <x v="1"/>
    <n v="12287"/>
    <n v="4"/>
    <s v="Y"/>
    <x v="1"/>
    <n v="21"/>
    <x v="1"/>
    <x v="1"/>
    <n v="3"/>
    <n v="80"/>
    <n v="0"/>
    <n v="16"/>
    <n v="6"/>
    <n v="3"/>
    <x v="19"/>
    <n v="8"/>
    <n v="3"/>
    <n v="9"/>
    <n v="3"/>
    <x v="2"/>
    <s v=""/>
    <s v=""/>
    <s v=""/>
  </r>
  <r>
    <x v="37"/>
    <x v="4"/>
    <x v="0"/>
    <n v="1"/>
    <s v="Travel_Rarely"/>
    <n v="419"/>
    <x v="0"/>
    <n v="21"/>
    <n v="3"/>
    <s v="Other"/>
    <n v="1"/>
    <x v="688"/>
    <n v="4"/>
    <x v="2"/>
    <x v="1"/>
    <n v="37"/>
    <n v="2"/>
    <n v="1"/>
    <x v="6"/>
    <n v="2"/>
    <x v="1"/>
    <s v="Single"/>
    <x v="657"/>
    <x v="1"/>
    <n v="9947"/>
    <n v="1"/>
    <s v="Y"/>
    <x v="0"/>
    <n v="13"/>
    <x v="0"/>
    <x v="0"/>
    <n v="2"/>
    <n v="80"/>
    <n v="0"/>
    <n v="1"/>
    <n v="3"/>
    <n v="4"/>
    <x v="6"/>
    <n v="0"/>
    <n v="0"/>
    <n v="0"/>
    <s v=""/>
    <x v="0"/>
    <s v=""/>
    <s v=""/>
    <s v=""/>
  </r>
  <r>
    <x v="35"/>
    <x v="4"/>
    <x v="0"/>
    <n v="1"/>
    <s v="Travel_Rarely"/>
    <n v="129"/>
    <x v="1"/>
    <n v="4"/>
    <n v="3"/>
    <s v="Technical Degree"/>
    <n v="1"/>
    <x v="689"/>
    <n v="1"/>
    <x v="3"/>
    <x v="1"/>
    <n v="84"/>
    <n v="3"/>
    <n v="1"/>
    <x v="2"/>
    <n v="1"/>
    <x v="3"/>
    <s v="Single"/>
    <x v="620"/>
    <x v="1"/>
    <n v="13008"/>
    <n v="1"/>
    <s v="Y"/>
    <x v="1"/>
    <n v="19"/>
    <x v="2"/>
    <x v="0"/>
    <n v="2"/>
    <n v="80"/>
    <n v="0"/>
    <n v="1"/>
    <n v="2"/>
    <n v="3"/>
    <x v="6"/>
    <n v="0"/>
    <n v="0"/>
    <n v="0"/>
    <s v=""/>
    <x v="0"/>
    <s v=""/>
    <s v=""/>
    <s v=""/>
  </r>
  <r>
    <x v="12"/>
    <x v="2"/>
    <x v="1"/>
    <n v="0"/>
    <s v="Travel_Rarely"/>
    <n v="616"/>
    <x v="1"/>
    <n v="12"/>
    <n v="3"/>
    <s v="Medical"/>
    <n v="1"/>
    <x v="690"/>
    <n v="4"/>
    <x v="2"/>
    <x v="0"/>
    <n v="41"/>
    <n v="3"/>
    <n v="2"/>
    <x v="4"/>
    <n v="4"/>
    <x v="0"/>
    <s v="Married"/>
    <x v="658"/>
    <x v="0"/>
    <n v="17369"/>
    <n v="0"/>
    <s v="Y"/>
    <x v="0"/>
    <n v="11"/>
    <x v="0"/>
    <x v="0"/>
    <n v="3"/>
    <n v="80"/>
    <n v="2"/>
    <n v="10"/>
    <n v="2"/>
    <n v="1"/>
    <x v="7"/>
    <n v="7"/>
    <n v="8"/>
    <n v="5"/>
    <n v="4"/>
    <x v="2"/>
    <s v=""/>
    <s v=""/>
    <s v=""/>
  </r>
  <r>
    <x v="32"/>
    <x v="0"/>
    <x v="1"/>
    <n v="0"/>
    <s v="Travel_Frequently"/>
    <n v="1469"/>
    <x v="1"/>
    <n v="9"/>
    <n v="4"/>
    <s v="Medical"/>
    <n v="1"/>
    <x v="691"/>
    <n v="4"/>
    <x v="2"/>
    <x v="1"/>
    <n v="35"/>
    <n v="3"/>
    <n v="1"/>
    <x v="1"/>
    <n v="2"/>
    <x v="1"/>
    <s v="Divorced"/>
    <x v="659"/>
    <x v="1"/>
    <n v="25063"/>
    <n v="8"/>
    <s v="Y"/>
    <x v="0"/>
    <n v="14"/>
    <x v="0"/>
    <x v="0"/>
    <n v="4"/>
    <n v="80"/>
    <n v="1"/>
    <n v="3"/>
    <n v="2"/>
    <n v="3"/>
    <x v="6"/>
    <n v="1"/>
    <n v="0"/>
    <n v="0"/>
    <n v="4"/>
    <x v="2"/>
    <s v=""/>
    <s v=""/>
    <s v=""/>
  </r>
  <r>
    <x v="5"/>
    <x v="2"/>
    <x v="1"/>
    <n v="0"/>
    <s v="Travel_Rarely"/>
    <n v="498"/>
    <x v="1"/>
    <n v="3"/>
    <n v="4"/>
    <s v="Medical"/>
    <n v="1"/>
    <x v="692"/>
    <n v="3"/>
    <x v="1"/>
    <x v="0"/>
    <n v="93"/>
    <n v="3"/>
    <n v="2"/>
    <x v="3"/>
    <n v="1"/>
    <x v="3"/>
    <s v="Married"/>
    <x v="660"/>
    <x v="0"/>
    <n v="13554"/>
    <n v="1"/>
    <s v="Y"/>
    <x v="1"/>
    <n v="12"/>
    <x v="0"/>
    <x v="0"/>
    <n v="3"/>
    <n v="80"/>
    <n v="1"/>
    <n v="8"/>
    <n v="2"/>
    <n v="4"/>
    <x v="3"/>
    <n v="7"/>
    <n v="6"/>
    <n v="3"/>
    <n v="4"/>
    <x v="2"/>
    <s v=""/>
    <s v=""/>
    <s v=""/>
  </r>
  <r>
    <x v="9"/>
    <x v="0"/>
    <x v="0"/>
    <n v="1"/>
    <s v="Travel_Rarely"/>
    <n v="530"/>
    <x v="0"/>
    <n v="3"/>
    <n v="1"/>
    <s v="Life Sciences"/>
    <n v="1"/>
    <x v="693"/>
    <n v="3"/>
    <x v="1"/>
    <x v="1"/>
    <n v="51"/>
    <n v="2"/>
    <n v="3"/>
    <x v="0"/>
    <n v="4"/>
    <x v="0"/>
    <s v="Married"/>
    <x v="661"/>
    <x v="2"/>
    <n v="5518"/>
    <n v="1"/>
    <s v="Y"/>
    <x v="0"/>
    <n v="11"/>
    <x v="0"/>
    <x v="0"/>
    <n v="1"/>
    <n v="80"/>
    <n v="1"/>
    <n v="16"/>
    <n v="6"/>
    <n v="3"/>
    <x v="22"/>
    <n v="7"/>
    <n v="3"/>
    <n v="7"/>
    <s v=""/>
    <x v="0"/>
    <s v=""/>
    <s v=""/>
    <s v=""/>
  </r>
  <r>
    <x v="3"/>
    <x v="2"/>
    <x v="1"/>
    <n v="0"/>
    <s v="Travel_Rarely"/>
    <n v="1069"/>
    <x v="1"/>
    <n v="1"/>
    <n v="3"/>
    <s v="Life Sciences"/>
    <n v="1"/>
    <x v="694"/>
    <n v="2"/>
    <x v="0"/>
    <x v="0"/>
    <n v="42"/>
    <n v="2"/>
    <n v="2"/>
    <x v="4"/>
    <n v="4"/>
    <x v="0"/>
    <s v="Single"/>
    <x v="662"/>
    <x v="0"/>
    <n v="12291"/>
    <n v="0"/>
    <s v="Y"/>
    <x v="1"/>
    <n v="14"/>
    <x v="0"/>
    <x v="0"/>
    <n v="1"/>
    <n v="80"/>
    <n v="0"/>
    <n v="6"/>
    <n v="3"/>
    <n v="3"/>
    <x v="8"/>
    <n v="0"/>
    <n v="1"/>
    <n v="4"/>
    <n v="2"/>
    <x v="1"/>
    <s v=""/>
    <s v=""/>
    <s v=""/>
  </r>
  <r>
    <x v="2"/>
    <x v="0"/>
    <x v="0"/>
    <n v="1"/>
    <s v="Travel_Rarely"/>
    <n v="625"/>
    <x v="0"/>
    <n v="1"/>
    <n v="4"/>
    <s v="Life Sciences"/>
    <n v="1"/>
    <x v="695"/>
    <n v="1"/>
    <x v="3"/>
    <x v="1"/>
    <n v="46"/>
    <n v="2"/>
    <n v="3"/>
    <x v="0"/>
    <n v="3"/>
    <x v="2"/>
    <s v="Married"/>
    <x v="219"/>
    <x v="2"/>
    <n v="14922"/>
    <n v="5"/>
    <s v="Y"/>
    <x v="1"/>
    <n v="11"/>
    <x v="0"/>
    <x v="0"/>
    <n v="3"/>
    <n v="80"/>
    <n v="0"/>
    <n v="17"/>
    <n v="2"/>
    <n v="1"/>
    <x v="13"/>
    <n v="1"/>
    <n v="11"/>
    <n v="7"/>
    <s v=""/>
    <x v="0"/>
    <s v=""/>
    <s v=""/>
    <s v=""/>
  </r>
  <r>
    <x v="28"/>
    <x v="1"/>
    <x v="1"/>
    <n v="0"/>
    <s v="Non-Travel"/>
    <n v="805"/>
    <x v="1"/>
    <n v="4"/>
    <n v="2"/>
    <s v="Life Sciences"/>
    <n v="1"/>
    <x v="696"/>
    <n v="3"/>
    <x v="1"/>
    <x v="1"/>
    <n v="57"/>
    <n v="3"/>
    <n v="2"/>
    <x v="2"/>
    <n v="2"/>
    <x v="1"/>
    <s v="Married"/>
    <x v="663"/>
    <x v="0"/>
    <n v="23163"/>
    <n v="1"/>
    <s v="Y"/>
    <x v="1"/>
    <n v="12"/>
    <x v="0"/>
    <x v="0"/>
    <n v="2"/>
    <n v="80"/>
    <n v="0"/>
    <n v="9"/>
    <n v="5"/>
    <n v="2"/>
    <x v="7"/>
    <n v="7"/>
    <n v="0"/>
    <n v="8"/>
    <n v="2"/>
    <x v="1"/>
    <s v=""/>
    <s v=""/>
    <s v=""/>
  </r>
  <r>
    <x v="11"/>
    <x v="2"/>
    <x v="1"/>
    <n v="0"/>
    <s v="Travel_Frequently"/>
    <n v="1404"/>
    <x v="0"/>
    <n v="20"/>
    <n v="3"/>
    <s v="Technical Degree"/>
    <n v="1"/>
    <x v="697"/>
    <n v="3"/>
    <x v="1"/>
    <x v="0"/>
    <n v="84"/>
    <n v="3"/>
    <n v="1"/>
    <x v="6"/>
    <n v="4"/>
    <x v="0"/>
    <s v="Married"/>
    <x v="664"/>
    <x v="1"/>
    <n v="18203"/>
    <n v="1"/>
    <s v="Y"/>
    <x v="1"/>
    <n v="15"/>
    <x v="0"/>
    <x v="0"/>
    <n v="2"/>
    <n v="80"/>
    <n v="1"/>
    <n v="3"/>
    <n v="5"/>
    <n v="3"/>
    <x v="11"/>
    <n v="1"/>
    <n v="0"/>
    <n v="2"/>
    <n v="5"/>
    <x v="2"/>
    <s v=""/>
    <s v=""/>
    <s v=""/>
  </r>
  <r>
    <x v="10"/>
    <x v="0"/>
    <x v="1"/>
    <n v="0"/>
    <s v="Travel_Rarely"/>
    <n v="1219"/>
    <x v="0"/>
    <n v="18"/>
    <n v="3"/>
    <s v="Medical"/>
    <n v="1"/>
    <x v="698"/>
    <n v="3"/>
    <x v="1"/>
    <x v="0"/>
    <n v="86"/>
    <n v="3"/>
    <n v="2"/>
    <x v="0"/>
    <n v="3"/>
    <x v="2"/>
    <s v="Married"/>
    <x v="665"/>
    <x v="0"/>
    <n v="6179"/>
    <n v="1"/>
    <s v="Y"/>
    <x v="1"/>
    <n v="16"/>
    <x v="2"/>
    <x v="0"/>
    <n v="2"/>
    <n v="80"/>
    <n v="0"/>
    <n v="5"/>
    <n v="3"/>
    <n v="3"/>
    <x v="8"/>
    <n v="2"/>
    <n v="1"/>
    <n v="0"/>
    <n v="1"/>
    <x v="1"/>
    <s v=""/>
    <s v=""/>
    <s v=""/>
  </r>
  <r>
    <x v="39"/>
    <x v="1"/>
    <x v="1"/>
    <n v="0"/>
    <s v="Travel_Rarely"/>
    <n v="1053"/>
    <x v="1"/>
    <n v="1"/>
    <n v="2"/>
    <s v="Life Sciences"/>
    <n v="1"/>
    <x v="699"/>
    <n v="4"/>
    <x v="2"/>
    <x v="1"/>
    <n v="70"/>
    <n v="3"/>
    <n v="4"/>
    <x v="5"/>
    <n v="4"/>
    <x v="0"/>
    <s v="Married"/>
    <x v="666"/>
    <x v="4"/>
    <n v="13829"/>
    <n v="2"/>
    <s v="Y"/>
    <x v="1"/>
    <n v="15"/>
    <x v="0"/>
    <x v="0"/>
    <n v="2"/>
    <n v="80"/>
    <n v="1"/>
    <n v="26"/>
    <n v="2"/>
    <n v="2"/>
    <x v="7"/>
    <n v="8"/>
    <n v="7"/>
    <n v="8"/>
    <n v="0"/>
    <x v="1"/>
    <s v=""/>
    <s v=""/>
    <s v=""/>
  </r>
  <r>
    <x v="34"/>
    <x v="3"/>
    <x v="0"/>
    <n v="1"/>
    <s v="Travel_Rarely"/>
    <n v="289"/>
    <x v="1"/>
    <n v="2"/>
    <n v="3"/>
    <s v="Technical Degree"/>
    <n v="1"/>
    <x v="700"/>
    <n v="4"/>
    <x v="2"/>
    <x v="1"/>
    <n v="51"/>
    <n v="3"/>
    <n v="1"/>
    <x v="1"/>
    <n v="3"/>
    <x v="2"/>
    <s v="Single"/>
    <x v="667"/>
    <x v="1"/>
    <n v="26227"/>
    <n v="4"/>
    <s v="Y"/>
    <x v="1"/>
    <n v="24"/>
    <x v="1"/>
    <x v="1"/>
    <n v="1"/>
    <n v="80"/>
    <n v="0"/>
    <n v="7"/>
    <n v="4"/>
    <n v="3"/>
    <x v="6"/>
    <n v="0"/>
    <n v="0"/>
    <n v="0"/>
    <s v=""/>
    <x v="0"/>
    <s v=""/>
    <s v=""/>
    <s v=""/>
  </r>
  <r>
    <x v="16"/>
    <x v="1"/>
    <x v="1"/>
    <n v="0"/>
    <s v="Travel_Rarely"/>
    <n v="1376"/>
    <x v="0"/>
    <n v="2"/>
    <n v="2"/>
    <s v="Medical"/>
    <n v="1"/>
    <x v="701"/>
    <n v="3"/>
    <x v="1"/>
    <x v="1"/>
    <n v="45"/>
    <n v="3"/>
    <n v="4"/>
    <x v="5"/>
    <n v="3"/>
    <x v="2"/>
    <s v="Divorced"/>
    <x v="668"/>
    <x v="3"/>
    <n v="13938"/>
    <n v="6"/>
    <s v="Y"/>
    <x v="1"/>
    <n v="13"/>
    <x v="0"/>
    <x v="0"/>
    <n v="3"/>
    <n v="80"/>
    <n v="1"/>
    <n v="22"/>
    <n v="3"/>
    <n v="4"/>
    <x v="18"/>
    <n v="13"/>
    <n v="15"/>
    <n v="2"/>
    <n v="0"/>
    <x v="1"/>
    <s v=""/>
    <s v=""/>
    <s v=""/>
  </r>
  <r>
    <x v="7"/>
    <x v="2"/>
    <x v="1"/>
    <n v="0"/>
    <s v="Travel_Rarely"/>
    <n v="231"/>
    <x v="0"/>
    <n v="8"/>
    <n v="2"/>
    <s v="Other"/>
    <n v="1"/>
    <x v="702"/>
    <n v="3"/>
    <x v="1"/>
    <x v="1"/>
    <n v="62"/>
    <n v="3"/>
    <n v="3"/>
    <x v="0"/>
    <n v="3"/>
    <x v="2"/>
    <s v="Divorced"/>
    <x v="669"/>
    <x v="0"/>
    <n v="9977"/>
    <n v="5"/>
    <s v="Y"/>
    <x v="1"/>
    <n v="11"/>
    <x v="0"/>
    <x v="0"/>
    <n v="1"/>
    <n v="80"/>
    <n v="1"/>
    <n v="10"/>
    <n v="2"/>
    <n v="4"/>
    <x v="3"/>
    <n v="4"/>
    <n v="7"/>
    <n v="7"/>
    <n v="2"/>
    <x v="1"/>
    <s v=""/>
    <s v=""/>
    <s v=""/>
  </r>
  <r>
    <x v="8"/>
    <x v="0"/>
    <x v="1"/>
    <n v="0"/>
    <s v="Non-Travel"/>
    <n v="152"/>
    <x v="0"/>
    <n v="10"/>
    <n v="3"/>
    <s v="Technical Degree"/>
    <n v="1"/>
    <x v="703"/>
    <n v="3"/>
    <x v="1"/>
    <x v="0"/>
    <n v="85"/>
    <n v="3"/>
    <n v="2"/>
    <x v="0"/>
    <n v="4"/>
    <x v="0"/>
    <s v="Single"/>
    <x v="670"/>
    <x v="0"/>
    <n v="19899"/>
    <n v="1"/>
    <s v="Y"/>
    <x v="0"/>
    <n v="13"/>
    <x v="0"/>
    <x v="0"/>
    <n v="2"/>
    <n v="80"/>
    <n v="0"/>
    <n v="6"/>
    <n v="1"/>
    <n v="3"/>
    <x v="8"/>
    <n v="3"/>
    <n v="1"/>
    <n v="3"/>
    <n v="3"/>
    <x v="2"/>
    <s v=""/>
    <s v=""/>
    <s v=""/>
  </r>
  <r>
    <x v="10"/>
    <x v="0"/>
    <x v="1"/>
    <n v="0"/>
    <s v="Travel_Rarely"/>
    <n v="882"/>
    <x v="0"/>
    <n v="3"/>
    <n v="4"/>
    <s v="Life Sciences"/>
    <n v="1"/>
    <x v="704"/>
    <n v="4"/>
    <x v="2"/>
    <x v="1"/>
    <n v="92"/>
    <n v="3"/>
    <n v="3"/>
    <x v="0"/>
    <n v="4"/>
    <x v="0"/>
    <s v="Divorced"/>
    <x v="671"/>
    <x v="0"/>
    <n v="6812"/>
    <n v="6"/>
    <s v="Y"/>
    <x v="1"/>
    <n v="13"/>
    <x v="0"/>
    <x v="0"/>
    <n v="2"/>
    <n v="80"/>
    <n v="1"/>
    <n v="12"/>
    <n v="2"/>
    <n v="3"/>
    <x v="1"/>
    <n v="9"/>
    <n v="0"/>
    <n v="8"/>
    <n v="1"/>
    <x v="1"/>
    <s v=""/>
    <s v=""/>
    <s v=""/>
  </r>
  <r>
    <x v="22"/>
    <x v="0"/>
    <x v="1"/>
    <n v="0"/>
    <s v="Travel_Rarely"/>
    <n v="903"/>
    <x v="0"/>
    <n v="2"/>
    <n v="5"/>
    <s v="Life Sciences"/>
    <n v="1"/>
    <x v="705"/>
    <n v="1"/>
    <x v="3"/>
    <x v="1"/>
    <n v="41"/>
    <n v="4"/>
    <n v="3"/>
    <x v="0"/>
    <n v="3"/>
    <x v="2"/>
    <s v="Single"/>
    <x v="672"/>
    <x v="0"/>
    <n v="2560"/>
    <n v="0"/>
    <s v="Y"/>
    <x v="1"/>
    <n v="18"/>
    <x v="2"/>
    <x v="0"/>
    <n v="4"/>
    <n v="80"/>
    <n v="0"/>
    <n v="9"/>
    <n v="3"/>
    <n v="3"/>
    <x v="3"/>
    <n v="7"/>
    <n v="0"/>
    <n v="7"/>
    <n v="1"/>
    <x v="1"/>
    <s v=""/>
    <s v=""/>
    <s v=""/>
  </r>
  <r>
    <x v="32"/>
    <x v="0"/>
    <x v="0"/>
    <n v="1"/>
    <s v="Non-Travel"/>
    <n v="1479"/>
    <x v="0"/>
    <n v="24"/>
    <n v="3"/>
    <s v="Life Sciences"/>
    <n v="1"/>
    <x v="706"/>
    <n v="2"/>
    <x v="0"/>
    <x v="0"/>
    <n v="100"/>
    <n v="4"/>
    <n v="4"/>
    <x v="0"/>
    <n v="2"/>
    <x v="1"/>
    <s v="Single"/>
    <x v="673"/>
    <x v="3"/>
    <n v="17071"/>
    <n v="4"/>
    <s v="Y"/>
    <x v="0"/>
    <n v="16"/>
    <x v="2"/>
    <x v="0"/>
    <n v="4"/>
    <n v="80"/>
    <n v="0"/>
    <n v="22"/>
    <n v="2"/>
    <n v="2"/>
    <x v="6"/>
    <n v="0"/>
    <n v="0"/>
    <n v="0"/>
    <s v=""/>
    <x v="0"/>
    <s v=""/>
    <s v=""/>
    <s v=""/>
  </r>
  <r>
    <x v="40"/>
    <x v="1"/>
    <x v="1"/>
    <n v="0"/>
    <s v="Travel_Frequently"/>
    <n v="1379"/>
    <x v="1"/>
    <n v="16"/>
    <n v="4"/>
    <s v="Medical"/>
    <n v="1"/>
    <x v="707"/>
    <n v="3"/>
    <x v="1"/>
    <x v="1"/>
    <n v="64"/>
    <n v="4"/>
    <n v="2"/>
    <x v="3"/>
    <n v="3"/>
    <x v="2"/>
    <s v="Divorced"/>
    <x v="674"/>
    <x v="0"/>
    <n v="6759"/>
    <n v="1"/>
    <s v="Y"/>
    <x v="0"/>
    <n v="19"/>
    <x v="2"/>
    <x v="0"/>
    <n v="3"/>
    <n v="80"/>
    <n v="0"/>
    <n v="20"/>
    <n v="3"/>
    <n v="4"/>
    <x v="27"/>
    <n v="10"/>
    <n v="2"/>
    <n v="7"/>
    <n v="3"/>
    <x v="2"/>
    <s v=""/>
    <s v=""/>
    <s v=""/>
  </r>
  <r>
    <x v="9"/>
    <x v="0"/>
    <x v="1"/>
    <n v="0"/>
    <s v="Non-Travel"/>
    <n v="1229"/>
    <x v="0"/>
    <n v="8"/>
    <n v="4"/>
    <s v="Technical Degree"/>
    <n v="1"/>
    <x v="708"/>
    <n v="1"/>
    <x v="3"/>
    <x v="1"/>
    <n v="84"/>
    <n v="3"/>
    <n v="2"/>
    <x v="0"/>
    <n v="4"/>
    <x v="0"/>
    <s v="Divorced"/>
    <x v="675"/>
    <x v="0"/>
    <n v="25952"/>
    <n v="4"/>
    <s v="Y"/>
    <x v="1"/>
    <n v="13"/>
    <x v="0"/>
    <x v="0"/>
    <n v="4"/>
    <n v="80"/>
    <n v="2"/>
    <n v="12"/>
    <n v="3"/>
    <n v="3"/>
    <x v="5"/>
    <n v="7"/>
    <n v="0"/>
    <n v="7"/>
    <n v="1"/>
    <x v="1"/>
    <s v=""/>
    <s v=""/>
    <s v=""/>
  </r>
  <r>
    <x v="12"/>
    <x v="2"/>
    <x v="0"/>
    <n v="1"/>
    <s v="Non-Travel"/>
    <n v="335"/>
    <x v="1"/>
    <n v="9"/>
    <n v="2"/>
    <s v="Medical"/>
    <n v="1"/>
    <x v="709"/>
    <n v="3"/>
    <x v="1"/>
    <x v="1"/>
    <n v="46"/>
    <n v="2"/>
    <n v="1"/>
    <x v="1"/>
    <n v="1"/>
    <x v="3"/>
    <s v="Single"/>
    <x v="676"/>
    <x v="1"/>
    <n v="10322"/>
    <n v="0"/>
    <s v="Y"/>
    <x v="0"/>
    <n v="22"/>
    <x v="1"/>
    <x v="1"/>
    <n v="1"/>
    <n v="80"/>
    <n v="0"/>
    <n v="4"/>
    <n v="0"/>
    <n v="3"/>
    <x v="11"/>
    <n v="2"/>
    <n v="1"/>
    <n v="2"/>
    <s v=""/>
    <x v="0"/>
    <s v=""/>
    <s v=""/>
    <s v=""/>
  </r>
  <r>
    <x v="3"/>
    <x v="2"/>
    <x v="1"/>
    <n v="0"/>
    <s v="Non-Travel"/>
    <n v="722"/>
    <x v="0"/>
    <n v="17"/>
    <n v="3"/>
    <s v="Life Sciences"/>
    <n v="1"/>
    <x v="710"/>
    <n v="4"/>
    <x v="2"/>
    <x v="1"/>
    <n v="38"/>
    <n v="3"/>
    <n v="4"/>
    <x v="5"/>
    <n v="3"/>
    <x v="2"/>
    <s v="Single"/>
    <x v="677"/>
    <x v="4"/>
    <n v="20489"/>
    <n v="1"/>
    <s v="Y"/>
    <x v="1"/>
    <n v="11"/>
    <x v="0"/>
    <x v="0"/>
    <n v="4"/>
    <n v="80"/>
    <n v="0"/>
    <n v="10"/>
    <n v="2"/>
    <n v="3"/>
    <x v="1"/>
    <n v="8"/>
    <n v="6"/>
    <n v="0"/>
    <n v="1"/>
    <x v="1"/>
    <s v=""/>
    <s v=""/>
    <s v=""/>
  </r>
  <r>
    <x v="11"/>
    <x v="2"/>
    <x v="0"/>
    <n v="1"/>
    <s v="Travel_Rarely"/>
    <n v="906"/>
    <x v="1"/>
    <n v="10"/>
    <n v="3"/>
    <s v="Life Sciences"/>
    <n v="1"/>
    <x v="711"/>
    <n v="4"/>
    <x v="2"/>
    <x v="0"/>
    <n v="92"/>
    <n v="2"/>
    <n v="1"/>
    <x v="1"/>
    <n v="1"/>
    <x v="3"/>
    <s v="Single"/>
    <x v="639"/>
    <x v="1"/>
    <n v="11479"/>
    <n v="6"/>
    <s v="Y"/>
    <x v="0"/>
    <n v="20"/>
    <x v="2"/>
    <x v="1"/>
    <n v="3"/>
    <n v="80"/>
    <n v="0"/>
    <n v="3"/>
    <n v="5"/>
    <n v="3"/>
    <x v="2"/>
    <n v="0"/>
    <n v="0"/>
    <n v="0"/>
    <s v=""/>
    <x v="0"/>
    <s v=""/>
    <s v=""/>
    <s v=""/>
  </r>
  <r>
    <x v="3"/>
    <x v="2"/>
    <x v="1"/>
    <n v="0"/>
    <s v="Travel_Rarely"/>
    <n v="461"/>
    <x v="1"/>
    <n v="13"/>
    <n v="1"/>
    <s v="Life Sciences"/>
    <n v="1"/>
    <x v="712"/>
    <n v="2"/>
    <x v="0"/>
    <x v="0"/>
    <n v="53"/>
    <n v="3"/>
    <n v="1"/>
    <x v="1"/>
    <n v="4"/>
    <x v="0"/>
    <s v="Single"/>
    <x v="138"/>
    <x v="1"/>
    <n v="17241"/>
    <n v="3"/>
    <s v="Y"/>
    <x v="1"/>
    <n v="18"/>
    <x v="2"/>
    <x v="0"/>
    <n v="1"/>
    <n v="80"/>
    <n v="0"/>
    <n v="5"/>
    <n v="4"/>
    <n v="3"/>
    <x v="11"/>
    <n v="2"/>
    <n v="0"/>
    <n v="2"/>
    <n v="3"/>
    <x v="2"/>
    <s v=""/>
    <s v=""/>
    <s v=""/>
  </r>
  <r>
    <x v="28"/>
    <x v="1"/>
    <x v="1"/>
    <n v="0"/>
    <s v="Travel_Rarely"/>
    <n v="974"/>
    <x v="1"/>
    <n v="1"/>
    <n v="4"/>
    <s v="Medical"/>
    <n v="1"/>
    <x v="713"/>
    <n v="4"/>
    <x v="2"/>
    <x v="0"/>
    <n v="91"/>
    <n v="3"/>
    <n v="1"/>
    <x v="2"/>
    <n v="4"/>
    <x v="0"/>
    <s v="Divorced"/>
    <x v="678"/>
    <x v="1"/>
    <n v="11005"/>
    <n v="3"/>
    <s v="Y"/>
    <x v="1"/>
    <n v="14"/>
    <x v="0"/>
    <x v="0"/>
    <n v="4"/>
    <n v="80"/>
    <n v="2"/>
    <n v="8"/>
    <n v="2"/>
    <n v="3"/>
    <x v="8"/>
    <n v="3"/>
    <n v="0"/>
    <n v="2"/>
    <n v="3"/>
    <x v="2"/>
    <s v=""/>
    <s v=""/>
    <s v=""/>
  </r>
  <r>
    <x v="24"/>
    <x v="1"/>
    <x v="1"/>
    <n v="0"/>
    <s v="Travel_Rarely"/>
    <n v="1126"/>
    <x v="1"/>
    <n v="1"/>
    <n v="2"/>
    <s v="Medical"/>
    <n v="1"/>
    <x v="714"/>
    <n v="4"/>
    <x v="2"/>
    <x v="1"/>
    <n v="66"/>
    <n v="3"/>
    <n v="4"/>
    <x v="7"/>
    <n v="4"/>
    <x v="0"/>
    <s v="Divorced"/>
    <x v="679"/>
    <x v="4"/>
    <n v="6615"/>
    <n v="9"/>
    <s v="Y"/>
    <x v="1"/>
    <n v="22"/>
    <x v="1"/>
    <x v="1"/>
    <n v="3"/>
    <n v="80"/>
    <n v="1"/>
    <n v="32"/>
    <n v="1"/>
    <n v="2"/>
    <x v="8"/>
    <n v="4"/>
    <n v="1"/>
    <n v="3"/>
    <n v="0"/>
    <x v="1"/>
    <s v=""/>
    <s v=""/>
    <s v=""/>
  </r>
  <r>
    <x v="3"/>
    <x v="2"/>
    <x v="1"/>
    <n v="0"/>
    <s v="Travel_Frequently"/>
    <n v="827"/>
    <x v="1"/>
    <n v="1"/>
    <n v="4"/>
    <s v="Other"/>
    <n v="1"/>
    <x v="715"/>
    <n v="3"/>
    <x v="1"/>
    <x v="0"/>
    <n v="84"/>
    <n v="4"/>
    <n v="2"/>
    <x v="4"/>
    <n v="2"/>
    <x v="1"/>
    <s v="Married"/>
    <x v="680"/>
    <x v="0"/>
    <n v="20161"/>
    <n v="1"/>
    <s v="Y"/>
    <x v="0"/>
    <n v="13"/>
    <x v="0"/>
    <x v="0"/>
    <n v="1"/>
    <n v="80"/>
    <n v="1"/>
    <n v="6"/>
    <n v="2"/>
    <n v="3"/>
    <x v="0"/>
    <n v="5"/>
    <n v="1"/>
    <n v="2"/>
    <n v="4"/>
    <x v="2"/>
    <s v=""/>
    <s v=""/>
    <s v=""/>
  </r>
  <r>
    <x v="0"/>
    <x v="0"/>
    <x v="1"/>
    <n v="0"/>
    <s v="Travel_Frequently"/>
    <n v="840"/>
    <x v="1"/>
    <n v="9"/>
    <n v="3"/>
    <s v="Medical"/>
    <n v="1"/>
    <x v="716"/>
    <n v="1"/>
    <x v="3"/>
    <x v="1"/>
    <n v="64"/>
    <n v="3"/>
    <n v="5"/>
    <x v="7"/>
    <n v="3"/>
    <x v="2"/>
    <s v="Divorced"/>
    <x v="681"/>
    <x v="4"/>
    <n v="3735"/>
    <n v="2"/>
    <s v="Y"/>
    <x v="1"/>
    <n v="17"/>
    <x v="2"/>
    <x v="0"/>
    <n v="2"/>
    <n v="80"/>
    <n v="1"/>
    <n v="21"/>
    <n v="2"/>
    <n v="4"/>
    <x v="29"/>
    <n v="16"/>
    <n v="0"/>
    <n v="11"/>
    <n v="0"/>
    <x v="1"/>
    <s v=""/>
    <s v=""/>
    <s v=""/>
  </r>
  <r>
    <x v="4"/>
    <x v="2"/>
    <x v="1"/>
    <n v="0"/>
    <s v="Travel_Rarely"/>
    <n v="1134"/>
    <x v="1"/>
    <n v="16"/>
    <n v="4"/>
    <s v="Technical Degree"/>
    <n v="1"/>
    <x v="717"/>
    <n v="3"/>
    <x v="1"/>
    <x v="0"/>
    <n v="37"/>
    <n v="3"/>
    <n v="1"/>
    <x v="2"/>
    <n v="2"/>
    <x v="1"/>
    <s v="Married"/>
    <x v="682"/>
    <x v="1"/>
    <n v="12086"/>
    <n v="9"/>
    <s v="Y"/>
    <x v="1"/>
    <n v="14"/>
    <x v="0"/>
    <x v="0"/>
    <n v="2"/>
    <n v="80"/>
    <n v="1"/>
    <n v="4"/>
    <n v="2"/>
    <n v="3"/>
    <x v="4"/>
    <n v="2"/>
    <n v="2"/>
    <n v="2"/>
    <n v="4"/>
    <x v="2"/>
    <s v=""/>
    <s v=""/>
    <s v=""/>
  </r>
  <r>
    <x v="28"/>
    <x v="1"/>
    <x v="1"/>
    <n v="0"/>
    <s v="Non-Travel"/>
    <n v="248"/>
    <x v="1"/>
    <n v="23"/>
    <n v="2"/>
    <s v="Life Sciences"/>
    <n v="1"/>
    <x v="718"/>
    <n v="4"/>
    <x v="2"/>
    <x v="1"/>
    <n v="42"/>
    <n v="3"/>
    <n v="2"/>
    <x v="2"/>
    <n v="1"/>
    <x v="3"/>
    <s v="Married"/>
    <x v="683"/>
    <x v="1"/>
    <n v="14039"/>
    <n v="1"/>
    <s v="Y"/>
    <x v="0"/>
    <n v="15"/>
    <x v="0"/>
    <x v="0"/>
    <n v="3"/>
    <n v="80"/>
    <n v="1"/>
    <n v="9"/>
    <n v="2"/>
    <n v="3"/>
    <x v="7"/>
    <n v="8"/>
    <n v="0"/>
    <n v="8"/>
    <n v="7"/>
    <x v="3"/>
    <n v="10"/>
    <s v="Top 10"/>
    <n v="68998"/>
  </r>
  <r>
    <x v="40"/>
    <x v="1"/>
    <x v="1"/>
    <n v="0"/>
    <s v="Travel_Rarely"/>
    <n v="955"/>
    <x v="0"/>
    <n v="4"/>
    <n v="2"/>
    <s v="Life Sciences"/>
    <n v="1"/>
    <x v="719"/>
    <n v="4"/>
    <x v="2"/>
    <x v="0"/>
    <n v="83"/>
    <n v="3"/>
    <n v="2"/>
    <x v="0"/>
    <n v="4"/>
    <x v="0"/>
    <s v="Single"/>
    <x v="684"/>
    <x v="0"/>
    <n v="8571"/>
    <n v="1"/>
    <s v="Y"/>
    <x v="0"/>
    <n v="17"/>
    <x v="2"/>
    <x v="0"/>
    <n v="3"/>
    <n v="80"/>
    <n v="0"/>
    <n v="9"/>
    <n v="0"/>
    <n v="3"/>
    <x v="7"/>
    <n v="0"/>
    <n v="0"/>
    <n v="7"/>
    <n v="3"/>
    <x v="2"/>
    <s v=""/>
    <s v=""/>
    <s v=""/>
  </r>
  <r>
    <x v="7"/>
    <x v="2"/>
    <x v="0"/>
    <n v="1"/>
    <s v="Travel_Rarely"/>
    <n v="138"/>
    <x v="1"/>
    <n v="22"/>
    <n v="3"/>
    <s v="Life Sciences"/>
    <n v="1"/>
    <x v="720"/>
    <n v="1"/>
    <x v="3"/>
    <x v="0"/>
    <n v="48"/>
    <n v="3"/>
    <n v="1"/>
    <x v="1"/>
    <n v="3"/>
    <x v="2"/>
    <s v="Married"/>
    <x v="685"/>
    <x v="1"/>
    <n v="11539"/>
    <n v="4"/>
    <s v="Y"/>
    <x v="0"/>
    <n v="11"/>
    <x v="0"/>
    <x v="0"/>
    <n v="2"/>
    <n v="80"/>
    <n v="0"/>
    <n v="7"/>
    <n v="2"/>
    <n v="3"/>
    <x v="8"/>
    <n v="2"/>
    <n v="0"/>
    <n v="1"/>
    <s v=""/>
    <x v="0"/>
    <s v=""/>
    <s v=""/>
    <s v=""/>
  </r>
  <r>
    <x v="24"/>
    <x v="1"/>
    <x v="1"/>
    <n v="0"/>
    <s v="Travel_Rarely"/>
    <n v="939"/>
    <x v="1"/>
    <n v="24"/>
    <n v="3"/>
    <s v="Life Sciences"/>
    <n v="1"/>
    <x v="721"/>
    <n v="4"/>
    <x v="2"/>
    <x v="1"/>
    <n v="95"/>
    <n v="3"/>
    <n v="4"/>
    <x v="3"/>
    <n v="3"/>
    <x v="2"/>
    <s v="Married"/>
    <x v="686"/>
    <x v="3"/>
    <n v="4161"/>
    <n v="3"/>
    <s v="Y"/>
    <x v="0"/>
    <n v="18"/>
    <x v="2"/>
    <x v="0"/>
    <n v="4"/>
    <n v="80"/>
    <n v="1"/>
    <n v="22"/>
    <n v="2"/>
    <n v="3"/>
    <x v="12"/>
    <n v="11"/>
    <n v="1"/>
    <n v="5"/>
    <n v="2"/>
    <x v="1"/>
    <s v=""/>
    <s v=""/>
    <s v=""/>
  </r>
  <r>
    <x v="8"/>
    <x v="0"/>
    <x v="1"/>
    <n v="0"/>
    <s v="Travel_Frequently"/>
    <n v="1391"/>
    <x v="1"/>
    <n v="10"/>
    <n v="1"/>
    <s v="Medical"/>
    <n v="1"/>
    <x v="722"/>
    <n v="3"/>
    <x v="1"/>
    <x v="1"/>
    <n v="66"/>
    <n v="3"/>
    <n v="1"/>
    <x v="1"/>
    <n v="3"/>
    <x v="2"/>
    <s v="Married"/>
    <x v="687"/>
    <x v="1"/>
    <n v="12127"/>
    <n v="0"/>
    <s v="Y"/>
    <x v="1"/>
    <n v="17"/>
    <x v="2"/>
    <x v="0"/>
    <n v="2"/>
    <n v="80"/>
    <n v="1"/>
    <n v="3"/>
    <n v="0"/>
    <n v="2"/>
    <x v="4"/>
    <n v="1"/>
    <n v="0"/>
    <n v="2"/>
    <n v="2"/>
    <x v="1"/>
    <s v=""/>
    <s v=""/>
    <s v=""/>
  </r>
  <r>
    <x v="21"/>
    <x v="1"/>
    <x v="1"/>
    <n v="0"/>
    <s v="Travel_Rarely"/>
    <n v="566"/>
    <x v="1"/>
    <n v="7"/>
    <n v="2"/>
    <s v="Medical"/>
    <n v="1"/>
    <x v="723"/>
    <n v="4"/>
    <x v="2"/>
    <x v="1"/>
    <n v="75"/>
    <n v="3"/>
    <n v="3"/>
    <x v="3"/>
    <n v="3"/>
    <x v="2"/>
    <s v="Divorced"/>
    <x v="688"/>
    <x v="2"/>
    <n v="24208"/>
    <n v="6"/>
    <s v="Y"/>
    <x v="1"/>
    <n v="13"/>
    <x v="0"/>
    <x v="0"/>
    <n v="2"/>
    <n v="80"/>
    <n v="1"/>
    <n v="13"/>
    <n v="3"/>
    <n v="3"/>
    <x v="3"/>
    <n v="7"/>
    <n v="0"/>
    <n v="7"/>
    <n v="0"/>
    <x v="1"/>
    <s v=""/>
    <s v=""/>
    <s v=""/>
  </r>
  <r>
    <x v="17"/>
    <x v="4"/>
    <x v="1"/>
    <n v="0"/>
    <s v="Travel_Rarely"/>
    <n v="1206"/>
    <x v="1"/>
    <n v="17"/>
    <n v="1"/>
    <s v="Medical"/>
    <n v="1"/>
    <x v="724"/>
    <n v="4"/>
    <x v="2"/>
    <x v="0"/>
    <n v="41"/>
    <n v="2"/>
    <n v="2"/>
    <x v="3"/>
    <n v="3"/>
    <x v="2"/>
    <s v="Divorced"/>
    <x v="689"/>
    <x v="0"/>
    <n v="24117"/>
    <n v="1"/>
    <s v="Y"/>
    <x v="1"/>
    <n v="15"/>
    <x v="0"/>
    <x v="0"/>
    <n v="2"/>
    <n v="80"/>
    <n v="2"/>
    <n v="5"/>
    <n v="6"/>
    <n v="3"/>
    <x v="9"/>
    <n v="2"/>
    <n v="3"/>
    <n v="2"/>
    <n v="3"/>
    <x v="2"/>
    <s v=""/>
    <s v=""/>
    <s v=""/>
  </r>
  <r>
    <x v="10"/>
    <x v="0"/>
    <x v="0"/>
    <n v="1"/>
    <s v="Travel_Rarely"/>
    <n v="622"/>
    <x v="1"/>
    <n v="14"/>
    <n v="4"/>
    <s v="Other"/>
    <n v="1"/>
    <x v="725"/>
    <n v="3"/>
    <x v="1"/>
    <x v="1"/>
    <n v="39"/>
    <n v="2"/>
    <n v="1"/>
    <x v="2"/>
    <n v="2"/>
    <x v="1"/>
    <s v="Divorced"/>
    <x v="690"/>
    <x v="1"/>
    <n v="10074"/>
    <n v="1"/>
    <s v="Y"/>
    <x v="0"/>
    <n v="24"/>
    <x v="1"/>
    <x v="1"/>
    <n v="4"/>
    <n v="80"/>
    <n v="1"/>
    <n v="5"/>
    <n v="2"/>
    <n v="1"/>
    <x v="9"/>
    <n v="2"/>
    <n v="0"/>
    <n v="2"/>
    <s v=""/>
    <x v="0"/>
    <s v=""/>
    <s v=""/>
    <s v=""/>
  </r>
  <r>
    <x v="12"/>
    <x v="2"/>
    <x v="1"/>
    <n v="0"/>
    <s v="Travel_Frequently"/>
    <n v="853"/>
    <x v="1"/>
    <n v="1"/>
    <n v="1"/>
    <s v="Life Sciences"/>
    <n v="1"/>
    <x v="726"/>
    <n v="3"/>
    <x v="1"/>
    <x v="0"/>
    <n v="96"/>
    <n v="3"/>
    <n v="2"/>
    <x v="3"/>
    <n v="1"/>
    <x v="3"/>
    <s v="Married"/>
    <x v="691"/>
    <x v="0"/>
    <n v="11275"/>
    <n v="1"/>
    <s v="Y"/>
    <x v="1"/>
    <n v="12"/>
    <x v="0"/>
    <x v="0"/>
    <n v="3"/>
    <n v="80"/>
    <n v="1"/>
    <n v="4"/>
    <n v="1"/>
    <n v="3"/>
    <x v="9"/>
    <n v="3"/>
    <n v="0"/>
    <n v="3"/>
    <n v="4"/>
    <x v="2"/>
    <s v=""/>
    <s v=""/>
    <s v=""/>
  </r>
  <r>
    <x v="41"/>
    <x v="4"/>
    <x v="1"/>
    <n v="0"/>
    <s v="Non-Travel"/>
    <n v="287"/>
    <x v="1"/>
    <n v="5"/>
    <n v="2"/>
    <s v="Life Sciences"/>
    <n v="1"/>
    <x v="727"/>
    <n v="2"/>
    <x v="0"/>
    <x v="1"/>
    <n v="73"/>
    <n v="3"/>
    <n v="1"/>
    <x v="1"/>
    <n v="4"/>
    <x v="0"/>
    <s v="Single"/>
    <x v="692"/>
    <x v="1"/>
    <n v="13493"/>
    <n v="1"/>
    <s v="Y"/>
    <x v="1"/>
    <n v="15"/>
    <x v="0"/>
    <x v="0"/>
    <n v="4"/>
    <n v="80"/>
    <n v="0"/>
    <n v="0"/>
    <n v="2"/>
    <n v="3"/>
    <x v="2"/>
    <n v="0"/>
    <n v="0"/>
    <n v="0"/>
    <n v="4"/>
    <x v="2"/>
    <s v=""/>
    <s v=""/>
    <s v=""/>
  </r>
  <r>
    <x v="33"/>
    <x v="1"/>
    <x v="1"/>
    <n v="0"/>
    <s v="Travel_Rarely"/>
    <n v="1441"/>
    <x v="1"/>
    <n v="17"/>
    <n v="3"/>
    <s v="Technical Degree"/>
    <n v="1"/>
    <x v="728"/>
    <n v="3"/>
    <x v="1"/>
    <x v="0"/>
    <n v="56"/>
    <n v="3"/>
    <n v="3"/>
    <x v="3"/>
    <n v="3"/>
    <x v="2"/>
    <s v="Married"/>
    <x v="693"/>
    <x v="2"/>
    <n v="13943"/>
    <n v="8"/>
    <s v="Y"/>
    <x v="1"/>
    <n v="11"/>
    <x v="0"/>
    <x v="0"/>
    <n v="3"/>
    <n v="80"/>
    <n v="1"/>
    <n v="22"/>
    <n v="2"/>
    <n v="3"/>
    <x v="1"/>
    <n v="7"/>
    <n v="0"/>
    <n v="8"/>
    <n v="0"/>
    <x v="1"/>
    <s v=""/>
    <s v=""/>
    <s v=""/>
  </r>
  <r>
    <x v="10"/>
    <x v="0"/>
    <x v="1"/>
    <n v="0"/>
    <s v="Travel_Rarely"/>
    <n v="583"/>
    <x v="1"/>
    <n v="25"/>
    <n v="4"/>
    <s v="Medical"/>
    <n v="1"/>
    <x v="729"/>
    <n v="3"/>
    <x v="1"/>
    <x v="0"/>
    <n v="57"/>
    <n v="3"/>
    <n v="3"/>
    <x v="4"/>
    <n v="3"/>
    <x v="2"/>
    <s v="Divorced"/>
    <x v="694"/>
    <x v="2"/>
    <n v="6975"/>
    <n v="1"/>
    <s v="Y"/>
    <x v="0"/>
    <n v="11"/>
    <x v="0"/>
    <x v="0"/>
    <n v="3"/>
    <n v="80"/>
    <n v="1"/>
    <n v="16"/>
    <n v="3"/>
    <n v="2"/>
    <x v="22"/>
    <n v="10"/>
    <n v="10"/>
    <n v="1"/>
    <n v="2"/>
    <x v="1"/>
    <s v=""/>
    <s v=""/>
    <s v=""/>
  </r>
  <r>
    <x v="7"/>
    <x v="2"/>
    <x v="1"/>
    <n v="0"/>
    <s v="Travel_Rarely"/>
    <n v="153"/>
    <x v="1"/>
    <n v="8"/>
    <n v="2"/>
    <s v="Life Sciences"/>
    <n v="1"/>
    <x v="730"/>
    <n v="2"/>
    <x v="0"/>
    <x v="0"/>
    <n v="73"/>
    <n v="4"/>
    <n v="3"/>
    <x v="7"/>
    <n v="1"/>
    <x v="3"/>
    <s v="Married"/>
    <x v="695"/>
    <x v="2"/>
    <n v="17802"/>
    <n v="0"/>
    <s v="Y"/>
    <x v="0"/>
    <n v="12"/>
    <x v="0"/>
    <x v="0"/>
    <n v="3"/>
    <n v="80"/>
    <n v="3"/>
    <n v="9"/>
    <n v="4"/>
    <n v="2"/>
    <x v="3"/>
    <n v="7"/>
    <n v="1"/>
    <n v="7"/>
    <n v="5"/>
    <x v="2"/>
    <s v=""/>
    <s v=""/>
    <s v=""/>
  </r>
  <r>
    <x v="35"/>
    <x v="4"/>
    <x v="0"/>
    <n v="1"/>
    <s v="Travel_Rarely"/>
    <n v="1097"/>
    <x v="1"/>
    <n v="11"/>
    <n v="3"/>
    <s v="Medical"/>
    <n v="1"/>
    <x v="731"/>
    <n v="4"/>
    <x v="2"/>
    <x v="0"/>
    <n v="98"/>
    <n v="2"/>
    <n v="1"/>
    <x v="1"/>
    <n v="1"/>
    <x v="3"/>
    <s v="Single"/>
    <x v="696"/>
    <x v="1"/>
    <n v="18275"/>
    <n v="1"/>
    <s v="Y"/>
    <x v="0"/>
    <n v="15"/>
    <x v="0"/>
    <x v="0"/>
    <n v="1"/>
    <n v="80"/>
    <n v="0"/>
    <n v="1"/>
    <n v="2"/>
    <n v="3"/>
    <x v="6"/>
    <n v="0"/>
    <n v="0"/>
    <n v="0"/>
    <s v=""/>
    <x v="0"/>
    <s v=""/>
    <s v=""/>
    <s v=""/>
  </r>
  <r>
    <x v="7"/>
    <x v="2"/>
    <x v="0"/>
    <n v="1"/>
    <s v="Travel_Frequently"/>
    <n v="109"/>
    <x v="1"/>
    <n v="5"/>
    <n v="3"/>
    <s v="Medical"/>
    <n v="1"/>
    <x v="732"/>
    <n v="2"/>
    <x v="0"/>
    <x v="0"/>
    <n v="60"/>
    <n v="3"/>
    <n v="1"/>
    <x v="2"/>
    <n v="2"/>
    <x v="1"/>
    <s v="Single"/>
    <x v="697"/>
    <x v="1"/>
    <n v="25725"/>
    <n v="0"/>
    <s v="Y"/>
    <x v="1"/>
    <n v="17"/>
    <x v="2"/>
    <x v="0"/>
    <n v="1"/>
    <n v="80"/>
    <n v="0"/>
    <n v="4"/>
    <n v="3"/>
    <n v="3"/>
    <x v="11"/>
    <n v="2"/>
    <n v="1"/>
    <n v="2"/>
    <s v=""/>
    <x v="0"/>
    <s v=""/>
    <s v=""/>
    <s v=""/>
  </r>
  <r>
    <x v="25"/>
    <x v="2"/>
    <x v="1"/>
    <n v="0"/>
    <s v="Travel_Rarely"/>
    <n v="1066"/>
    <x v="1"/>
    <n v="2"/>
    <n v="2"/>
    <s v="Medical"/>
    <n v="1"/>
    <x v="733"/>
    <n v="4"/>
    <x v="2"/>
    <x v="1"/>
    <n v="32"/>
    <n v="4"/>
    <n v="2"/>
    <x v="3"/>
    <n v="4"/>
    <x v="0"/>
    <s v="Married"/>
    <x v="698"/>
    <x v="0"/>
    <n v="3334"/>
    <n v="1"/>
    <s v="Y"/>
    <x v="1"/>
    <n v="12"/>
    <x v="0"/>
    <x v="0"/>
    <n v="2"/>
    <n v="80"/>
    <n v="0"/>
    <n v="8"/>
    <n v="2"/>
    <n v="3"/>
    <x v="3"/>
    <n v="7"/>
    <n v="1"/>
    <n v="3"/>
    <n v="2"/>
    <x v="1"/>
    <s v=""/>
    <s v=""/>
    <s v=""/>
  </r>
  <r>
    <x v="15"/>
    <x v="4"/>
    <x v="1"/>
    <n v="0"/>
    <s v="Travel_Rarely"/>
    <n v="217"/>
    <x v="1"/>
    <n v="8"/>
    <n v="1"/>
    <s v="Life Sciences"/>
    <n v="1"/>
    <x v="734"/>
    <n v="2"/>
    <x v="0"/>
    <x v="1"/>
    <n v="94"/>
    <n v="1"/>
    <n v="1"/>
    <x v="2"/>
    <n v="1"/>
    <x v="3"/>
    <s v="Married"/>
    <x v="163"/>
    <x v="1"/>
    <n v="6881"/>
    <n v="1"/>
    <s v="Y"/>
    <x v="1"/>
    <n v="15"/>
    <x v="0"/>
    <x v="0"/>
    <n v="1"/>
    <n v="80"/>
    <n v="1"/>
    <n v="4"/>
    <n v="3"/>
    <n v="2"/>
    <x v="9"/>
    <n v="3"/>
    <n v="1"/>
    <n v="1"/>
    <n v="7"/>
    <x v="3"/>
    <n v="11"/>
    <s v=""/>
    <n v="68981"/>
  </r>
  <r>
    <x v="26"/>
    <x v="1"/>
    <x v="1"/>
    <n v="0"/>
    <s v="Travel_Rarely"/>
    <n v="277"/>
    <x v="1"/>
    <n v="6"/>
    <n v="3"/>
    <s v="Life Sciences"/>
    <n v="1"/>
    <x v="735"/>
    <n v="1"/>
    <x v="3"/>
    <x v="1"/>
    <n v="97"/>
    <n v="2"/>
    <n v="2"/>
    <x v="4"/>
    <n v="3"/>
    <x v="2"/>
    <s v="Single"/>
    <x v="699"/>
    <x v="0"/>
    <n v="13119"/>
    <n v="2"/>
    <s v="Y"/>
    <x v="1"/>
    <n v="13"/>
    <x v="0"/>
    <x v="0"/>
    <n v="4"/>
    <n v="80"/>
    <n v="0"/>
    <n v="19"/>
    <n v="0"/>
    <n v="3"/>
    <x v="4"/>
    <n v="2"/>
    <n v="2"/>
    <n v="2"/>
    <n v="1"/>
    <x v="1"/>
    <s v=""/>
    <s v=""/>
    <s v=""/>
  </r>
  <r>
    <x v="26"/>
    <x v="1"/>
    <x v="1"/>
    <n v="0"/>
    <s v="Travel_Rarely"/>
    <n v="1355"/>
    <x v="1"/>
    <n v="4"/>
    <n v="4"/>
    <s v="Life Sciences"/>
    <n v="1"/>
    <x v="736"/>
    <n v="3"/>
    <x v="1"/>
    <x v="1"/>
    <n v="78"/>
    <n v="2"/>
    <n v="3"/>
    <x v="4"/>
    <n v="3"/>
    <x v="2"/>
    <s v="Single"/>
    <x v="700"/>
    <x v="2"/>
    <n v="22245"/>
    <n v="7"/>
    <s v="Y"/>
    <x v="1"/>
    <n v="14"/>
    <x v="0"/>
    <x v="0"/>
    <n v="2"/>
    <n v="80"/>
    <n v="0"/>
    <n v="27"/>
    <n v="3"/>
    <n v="3"/>
    <x v="15"/>
    <n v="11"/>
    <n v="4"/>
    <n v="8"/>
    <n v="0"/>
    <x v="1"/>
    <s v=""/>
    <s v=""/>
    <s v=""/>
  </r>
  <r>
    <x v="0"/>
    <x v="0"/>
    <x v="1"/>
    <n v="0"/>
    <s v="Travel_Rarely"/>
    <n v="549"/>
    <x v="1"/>
    <n v="7"/>
    <n v="2"/>
    <s v="Medical"/>
    <n v="1"/>
    <x v="737"/>
    <n v="4"/>
    <x v="2"/>
    <x v="0"/>
    <n v="42"/>
    <n v="3"/>
    <n v="2"/>
    <x v="3"/>
    <n v="3"/>
    <x v="2"/>
    <s v="Single"/>
    <x v="701"/>
    <x v="0"/>
    <n v="23371"/>
    <n v="6"/>
    <s v="Y"/>
    <x v="1"/>
    <n v="14"/>
    <x v="0"/>
    <x v="0"/>
    <n v="2"/>
    <n v="80"/>
    <n v="0"/>
    <n v="8"/>
    <n v="6"/>
    <n v="3"/>
    <x v="4"/>
    <n v="2"/>
    <n v="2"/>
    <n v="1"/>
    <n v="1"/>
    <x v="1"/>
    <s v=""/>
    <s v=""/>
    <s v=""/>
  </r>
  <r>
    <x v="22"/>
    <x v="0"/>
    <x v="1"/>
    <n v="0"/>
    <s v="Travel_Rarely"/>
    <n v="466"/>
    <x v="1"/>
    <n v="1"/>
    <n v="1"/>
    <s v="Life Sciences"/>
    <n v="1"/>
    <x v="738"/>
    <n v="4"/>
    <x v="2"/>
    <x v="0"/>
    <n v="65"/>
    <n v="2"/>
    <n v="4"/>
    <x v="3"/>
    <n v="4"/>
    <x v="0"/>
    <s v="Married"/>
    <x v="702"/>
    <x v="3"/>
    <n v="7060"/>
    <n v="1"/>
    <s v="Y"/>
    <x v="1"/>
    <n v="16"/>
    <x v="2"/>
    <x v="0"/>
    <n v="3"/>
    <n v="80"/>
    <n v="1"/>
    <n v="21"/>
    <n v="3"/>
    <n v="3"/>
    <x v="17"/>
    <n v="6"/>
    <n v="11"/>
    <n v="8"/>
    <n v="0"/>
    <x v="1"/>
    <s v=""/>
    <s v=""/>
    <s v=""/>
  </r>
  <r>
    <x v="4"/>
    <x v="2"/>
    <x v="1"/>
    <n v="0"/>
    <s v="Travel_Rarely"/>
    <n v="1055"/>
    <x v="1"/>
    <n v="2"/>
    <n v="4"/>
    <s v="Life Sciences"/>
    <n v="1"/>
    <x v="739"/>
    <n v="1"/>
    <x v="3"/>
    <x v="0"/>
    <n v="47"/>
    <n v="3"/>
    <n v="2"/>
    <x v="3"/>
    <n v="4"/>
    <x v="0"/>
    <s v="Married"/>
    <x v="703"/>
    <x v="0"/>
    <n v="4658"/>
    <n v="0"/>
    <s v="Y"/>
    <x v="1"/>
    <n v="18"/>
    <x v="2"/>
    <x v="0"/>
    <n v="2"/>
    <n v="80"/>
    <n v="1"/>
    <n v="4"/>
    <n v="2"/>
    <n v="3"/>
    <x v="11"/>
    <n v="2"/>
    <n v="2"/>
    <n v="2"/>
    <n v="2"/>
    <x v="1"/>
    <s v=""/>
    <s v=""/>
    <s v=""/>
  </r>
  <r>
    <x v="10"/>
    <x v="0"/>
    <x v="1"/>
    <n v="0"/>
    <s v="Travel_Rarely"/>
    <n v="802"/>
    <x v="1"/>
    <n v="10"/>
    <n v="3"/>
    <s v="Other"/>
    <n v="1"/>
    <x v="740"/>
    <n v="2"/>
    <x v="0"/>
    <x v="1"/>
    <n v="45"/>
    <n v="3"/>
    <n v="1"/>
    <x v="2"/>
    <n v="4"/>
    <x v="0"/>
    <s v="Divorced"/>
    <x v="704"/>
    <x v="1"/>
    <n v="9541"/>
    <n v="1"/>
    <s v="Y"/>
    <x v="1"/>
    <n v="20"/>
    <x v="2"/>
    <x v="1"/>
    <n v="1"/>
    <n v="80"/>
    <n v="1"/>
    <n v="3"/>
    <n v="4"/>
    <n v="2"/>
    <x v="11"/>
    <n v="2"/>
    <n v="1"/>
    <n v="2"/>
    <n v="3"/>
    <x v="2"/>
    <s v=""/>
    <s v=""/>
    <s v=""/>
  </r>
  <r>
    <x v="19"/>
    <x v="0"/>
    <x v="1"/>
    <n v="0"/>
    <s v="Travel_Rarely"/>
    <n v="265"/>
    <x v="0"/>
    <n v="5"/>
    <n v="2"/>
    <s v="Marketing"/>
    <n v="1"/>
    <x v="741"/>
    <n v="4"/>
    <x v="2"/>
    <x v="1"/>
    <n v="90"/>
    <n v="3"/>
    <n v="5"/>
    <x v="5"/>
    <n v="3"/>
    <x v="2"/>
    <s v="Married"/>
    <x v="705"/>
    <x v="4"/>
    <n v="7770"/>
    <n v="6"/>
    <s v="Y"/>
    <x v="1"/>
    <n v="13"/>
    <x v="0"/>
    <x v="0"/>
    <n v="2"/>
    <n v="80"/>
    <n v="0"/>
    <n v="21"/>
    <n v="3"/>
    <n v="4"/>
    <x v="6"/>
    <n v="0"/>
    <n v="0"/>
    <n v="0"/>
    <n v="0"/>
    <x v="1"/>
    <s v=""/>
    <s v=""/>
    <s v=""/>
  </r>
  <r>
    <x v="24"/>
    <x v="1"/>
    <x v="1"/>
    <n v="0"/>
    <s v="Travel_Rarely"/>
    <n v="804"/>
    <x v="1"/>
    <n v="9"/>
    <n v="3"/>
    <s v="Life Sciences"/>
    <n v="1"/>
    <x v="742"/>
    <n v="1"/>
    <x v="3"/>
    <x v="1"/>
    <n v="64"/>
    <n v="3"/>
    <n v="1"/>
    <x v="2"/>
    <n v="4"/>
    <x v="0"/>
    <s v="Married"/>
    <x v="631"/>
    <x v="1"/>
    <n v="20165"/>
    <n v="4"/>
    <s v="Y"/>
    <x v="1"/>
    <n v="18"/>
    <x v="2"/>
    <x v="0"/>
    <n v="2"/>
    <n v="80"/>
    <n v="0"/>
    <n v="8"/>
    <n v="5"/>
    <n v="3"/>
    <x v="6"/>
    <n v="0"/>
    <n v="0"/>
    <n v="0"/>
    <n v="3"/>
    <x v="2"/>
    <s v=""/>
    <s v=""/>
    <s v=""/>
  </r>
  <r>
    <x v="6"/>
    <x v="3"/>
    <x v="1"/>
    <n v="0"/>
    <s v="Travel_Rarely"/>
    <n v="715"/>
    <x v="1"/>
    <n v="2"/>
    <n v="3"/>
    <s v="Life Sciences"/>
    <n v="1"/>
    <x v="743"/>
    <n v="3"/>
    <x v="1"/>
    <x v="0"/>
    <n v="69"/>
    <n v="2"/>
    <n v="4"/>
    <x v="3"/>
    <n v="4"/>
    <x v="0"/>
    <s v="Single"/>
    <x v="706"/>
    <x v="3"/>
    <n v="21829"/>
    <n v="3"/>
    <s v="Y"/>
    <x v="0"/>
    <n v="13"/>
    <x v="0"/>
    <x v="0"/>
    <n v="1"/>
    <n v="80"/>
    <n v="0"/>
    <n v="30"/>
    <n v="4"/>
    <n v="3"/>
    <x v="8"/>
    <n v="3"/>
    <n v="4"/>
    <n v="3"/>
    <n v="2"/>
    <x v="1"/>
    <s v=""/>
    <s v=""/>
    <s v=""/>
  </r>
  <r>
    <x v="2"/>
    <x v="0"/>
    <x v="0"/>
    <n v="1"/>
    <s v="Travel_Rarely"/>
    <n v="1141"/>
    <x v="1"/>
    <n v="11"/>
    <n v="2"/>
    <s v="Medical"/>
    <n v="1"/>
    <x v="744"/>
    <n v="1"/>
    <x v="3"/>
    <x v="0"/>
    <n v="61"/>
    <n v="1"/>
    <n v="2"/>
    <x v="4"/>
    <n v="2"/>
    <x v="1"/>
    <s v="Married"/>
    <x v="707"/>
    <x v="0"/>
    <n v="14382"/>
    <n v="5"/>
    <s v="Y"/>
    <x v="1"/>
    <n v="15"/>
    <x v="0"/>
    <x v="0"/>
    <n v="1"/>
    <n v="80"/>
    <n v="0"/>
    <n v="15"/>
    <n v="2"/>
    <n v="1"/>
    <x v="6"/>
    <n v="0"/>
    <n v="0"/>
    <n v="0"/>
    <s v=""/>
    <x v="0"/>
    <s v=""/>
    <s v=""/>
    <s v=""/>
  </r>
  <r>
    <x v="27"/>
    <x v="3"/>
    <x v="1"/>
    <n v="0"/>
    <s v="Travel_Frequently"/>
    <n v="135"/>
    <x v="1"/>
    <n v="18"/>
    <n v="4"/>
    <s v="Medical"/>
    <n v="1"/>
    <x v="745"/>
    <n v="3"/>
    <x v="1"/>
    <x v="1"/>
    <n v="62"/>
    <n v="3"/>
    <n v="2"/>
    <x v="4"/>
    <n v="2"/>
    <x v="1"/>
    <s v="Married"/>
    <x v="708"/>
    <x v="0"/>
    <n v="12992"/>
    <n v="3"/>
    <s v="Y"/>
    <x v="0"/>
    <n v="14"/>
    <x v="0"/>
    <x v="0"/>
    <n v="4"/>
    <n v="80"/>
    <n v="2"/>
    <n v="17"/>
    <n v="3"/>
    <n v="3"/>
    <x v="3"/>
    <n v="7"/>
    <n v="6"/>
    <n v="7"/>
    <n v="3"/>
    <x v="2"/>
    <s v=""/>
    <s v=""/>
    <s v=""/>
  </r>
  <r>
    <x v="0"/>
    <x v="0"/>
    <x v="1"/>
    <n v="0"/>
    <s v="Non-Travel"/>
    <n v="247"/>
    <x v="1"/>
    <n v="7"/>
    <n v="1"/>
    <s v="Life Sciences"/>
    <n v="1"/>
    <x v="746"/>
    <n v="2"/>
    <x v="0"/>
    <x v="0"/>
    <n v="55"/>
    <n v="1"/>
    <n v="5"/>
    <x v="7"/>
    <n v="3"/>
    <x v="2"/>
    <s v="Divorced"/>
    <x v="709"/>
    <x v="4"/>
    <n v="20284"/>
    <n v="1"/>
    <s v="Y"/>
    <x v="1"/>
    <n v="22"/>
    <x v="1"/>
    <x v="1"/>
    <n v="2"/>
    <n v="80"/>
    <n v="2"/>
    <n v="21"/>
    <n v="3"/>
    <n v="3"/>
    <x v="17"/>
    <n v="16"/>
    <n v="5"/>
    <n v="10"/>
    <n v="0"/>
    <x v="1"/>
    <s v=""/>
    <s v=""/>
    <s v=""/>
  </r>
  <r>
    <x v="8"/>
    <x v="0"/>
    <x v="1"/>
    <n v="0"/>
    <s v="Travel_Rarely"/>
    <n v="1035"/>
    <x v="0"/>
    <n v="3"/>
    <n v="4"/>
    <s v="Life Sciences"/>
    <n v="1"/>
    <x v="747"/>
    <n v="2"/>
    <x v="0"/>
    <x v="1"/>
    <n v="42"/>
    <n v="3"/>
    <n v="2"/>
    <x v="0"/>
    <n v="4"/>
    <x v="0"/>
    <s v="Single"/>
    <x v="710"/>
    <x v="0"/>
    <n v="4981"/>
    <n v="8"/>
    <s v="Y"/>
    <x v="0"/>
    <n v="12"/>
    <x v="0"/>
    <x v="0"/>
    <n v="3"/>
    <n v="80"/>
    <n v="0"/>
    <n v="19"/>
    <n v="1"/>
    <n v="3"/>
    <x v="6"/>
    <n v="0"/>
    <n v="0"/>
    <n v="0"/>
    <n v="3"/>
    <x v="2"/>
    <s v=""/>
    <s v=""/>
    <s v=""/>
  </r>
  <r>
    <x v="25"/>
    <x v="2"/>
    <x v="0"/>
    <n v="1"/>
    <s v="Non-Travel"/>
    <n v="265"/>
    <x v="0"/>
    <n v="29"/>
    <n v="2"/>
    <s v="Medical"/>
    <n v="1"/>
    <x v="748"/>
    <n v="2"/>
    <x v="0"/>
    <x v="1"/>
    <n v="79"/>
    <n v="1"/>
    <n v="2"/>
    <x v="0"/>
    <n v="1"/>
    <x v="3"/>
    <s v="Single"/>
    <x v="711"/>
    <x v="0"/>
    <n v="21813"/>
    <n v="8"/>
    <s v="Y"/>
    <x v="1"/>
    <n v="18"/>
    <x v="2"/>
    <x v="0"/>
    <n v="4"/>
    <n v="80"/>
    <n v="0"/>
    <n v="7"/>
    <n v="6"/>
    <n v="3"/>
    <x v="4"/>
    <n v="2"/>
    <n v="2"/>
    <n v="2"/>
    <s v=""/>
    <x v="0"/>
    <s v=""/>
    <s v=""/>
    <s v=""/>
  </r>
  <r>
    <x v="39"/>
    <x v="1"/>
    <x v="0"/>
    <n v="1"/>
    <s v="Travel_Rarely"/>
    <n v="266"/>
    <x v="0"/>
    <n v="2"/>
    <n v="1"/>
    <s v="Marketing"/>
    <n v="1"/>
    <x v="749"/>
    <n v="1"/>
    <x v="3"/>
    <x v="0"/>
    <n v="57"/>
    <n v="1"/>
    <n v="5"/>
    <x v="5"/>
    <n v="4"/>
    <x v="0"/>
    <s v="Married"/>
    <x v="712"/>
    <x v="4"/>
    <n v="25846"/>
    <n v="1"/>
    <s v="Y"/>
    <x v="1"/>
    <n v="15"/>
    <x v="0"/>
    <x v="0"/>
    <n v="4"/>
    <n v="80"/>
    <n v="1"/>
    <n v="33"/>
    <n v="3"/>
    <n v="3"/>
    <x v="32"/>
    <n v="14"/>
    <n v="6"/>
    <n v="9"/>
    <s v=""/>
    <x v="0"/>
    <s v=""/>
    <s v=""/>
    <s v=""/>
  </r>
  <r>
    <x v="20"/>
    <x v="0"/>
    <x v="1"/>
    <n v="0"/>
    <s v="Travel_Rarely"/>
    <n v="1448"/>
    <x v="0"/>
    <n v="28"/>
    <n v="3"/>
    <s v="Medical"/>
    <n v="1"/>
    <x v="750"/>
    <n v="4"/>
    <x v="2"/>
    <x v="0"/>
    <n v="53"/>
    <n v="4"/>
    <n v="4"/>
    <x v="0"/>
    <n v="4"/>
    <x v="0"/>
    <s v="Married"/>
    <x v="713"/>
    <x v="3"/>
    <n v="11737"/>
    <n v="3"/>
    <s v="Y"/>
    <x v="0"/>
    <n v="18"/>
    <x v="2"/>
    <x v="0"/>
    <n v="3"/>
    <n v="80"/>
    <n v="1"/>
    <n v="23"/>
    <n v="2"/>
    <n v="3"/>
    <x v="12"/>
    <n v="11"/>
    <n v="11"/>
    <n v="11"/>
    <n v="2"/>
    <x v="1"/>
    <s v=""/>
    <s v=""/>
    <s v=""/>
  </r>
  <r>
    <x v="24"/>
    <x v="1"/>
    <x v="1"/>
    <n v="0"/>
    <s v="Non-Travel"/>
    <n v="145"/>
    <x v="0"/>
    <n v="1"/>
    <n v="3"/>
    <s v="Life Sciences"/>
    <n v="1"/>
    <x v="751"/>
    <n v="4"/>
    <x v="2"/>
    <x v="0"/>
    <n v="95"/>
    <n v="3"/>
    <n v="2"/>
    <x v="0"/>
    <n v="3"/>
    <x v="2"/>
    <s v="Married"/>
    <x v="136"/>
    <x v="0"/>
    <n v="24920"/>
    <n v="0"/>
    <s v="Y"/>
    <x v="1"/>
    <n v="12"/>
    <x v="0"/>
    <x v="0"/>
    <n v="1"/>
    <n v="80"/>
    <n v="1"/>
    <n v="19"/>
    <n v="3"/>
    <n v="3"/>
    <x v="29"/>
    <n v="7"/>
    <n v="0"/>
    <n v="13"/>
    <n v="1"/>
    <x v="1"/>
    <s v=""/>
    <s v=""/>
    <s v=""/>
  </r>
  <r>
    <x v="9"/>
    <x v="0"/>
    <x v="0"/>
    <n v="1"/>
    <s v="Travel_Rarely"/>
    <n v="885"/>
    <x v="1"/>
    <n v="16"/>
    <n v="4"/>
    <s v="Life Sciences"/>
    <n v="1"/>
    <x v="752"/>
    <n v="3"/>
    <x v="1"/>
    <x v="0"/>
    <n v="43"/>
    <n v="4"/>
    <n v="1"/>
    <x v="2"/>
    <n v="1"/>
    <x v="3"/>
    <s v="Single"/>
    <x v="714"/>
    <x v="1"/>
    <n v="8269"/>
    <n v="1"/>
    <s v="Y"/>
    <x v="1"/>
    <n v="16"/>
    <x v="2"/>
    <x v="0"/>
    <n v="3"/>
    <n v="80"/>
    <n v="0"/>
    <n v="18"/>
    <n v="1"/>
    <n v="3"/>
    <x v="18"/>
    <n v="13"/>
    <n v="15"/>
    <n v="14"/>
    <s v=""/>
    <x v="0"/>
    <s v=""/>
    <s v=""/>
    <s v=""/>
  </r>
  <r>
    <x v="22"/>
    <x v="0"/>
    <x v="1"/>
    <n v="0"/>
    <s v="Travel_Frequently"/>
    <n v="945"/>
    <x v="1"/>
    <n v="22"/>
    <n v="3"/>
    <s v="Medical"/>
    <n v="1"/>
    <x v="753"/>
    <n v="4"/>
    <x v="2"/>
    <x v="0"/>
    <n v="82"/>
    <n v="3"/>
    <n v="3"/>
    <x v="3"/>
    <n v="1"/>
    <x v="3"/>
    <s v="Single"/>
    <x v="715"/>
    <x v="2"/>
    <n v="5083"/>
    <n v="1"/>
    <s v="Y"/>
    <x v="0"/>
    <n v="13"/>
    <x v="0"/>
    <x v="0"/>
    <n v="3"/>
    <n v="80"/>
    <n v="0"/>
    <n v="21"/>
    <n v="2"/>
    <n v="3"/>
    <x v="17"/>
    <n v="6"/>
    <n v="2"/>
    <n v="8"/>
    <n v="4"/>
    <x v="2"/>
    <s v=""/>
    <s v=""/>
    <s v=""/>
  </r>
  <r>
    <x v="3"/>
    <x v="2"/>
    <x v="1"/>
    <n v="0"/>
    <s v="Non-Travel"/>
    <n v="1038"/>
    <x v="0"/>
    <n v="8"/>
    <n v="1"/>
    <s v="Life Sciences"/>
    <n v="1"/>
    <x v="754"/>
    <n v="2"/>
    <x v="0"/>
    <x v="0"/>
    <n v="88"/>
    <n v="2"/>
    <n v="1"/>
    <x v="6"/>
    <n v="4"/>
    <x v="0"/>
    <s v="Single"/>
    <x v="531"/>
    <x v="1"/>
    <n v="21437"/>
    <n v="0"/>
    <s v="Y"/>
    <x v="1"/>
    <n v="19"/>
    <x v="2"/>
    <x v="0"/>
    <n v="4"/>
    <n v="80"/>
    <n v="0"/>
    <n v="3"/>
    <n v="2"/>
    <n v="2"/>
    <x v="4"/>
    <n v="2"/>
    <n v="2"/>
    <n v="2"/>
    <n v="5"/>
    <x v="2"/>
    <s v=""/>
    <s v=""/>
    <s v=""/>
  </r>
  <r>
    <x v="28"/>
    <x v="1"/>
    <x v="1"/>
    <n v="0"/>
    <s v="Travel_Rarely"/>
    <n v="1234"/>
    <x v="0"/>
    <n v="11"/>
    <n v="2"/>
    <s v="Life Sciences"/>
    <n v="1"/>
    <x v="755"/>
    <n v="4"/>
    <x v="2"/>
    <x v="0"/>
    <n v="90"/>
    <n v="3"/>
    <n v="4"/>
    <x v="5"/>
    <n v="4"/>
    <x v="0"/>
    <s v="Married"/>
    <x v="716"/>
    <x v="4"/>
    <n v="5404"/>
    <n v="3"/>
    <s v="Y"/>
    <x v="1"/>
    <n v="13"/>
    <x v="0"/>
    <x v="0"/>
    <n v="2"/>
    <n v="80"/>
    <n v="1"/>
    <n v="26"/>
    <n v="4"/>
    <n v="4"/>
    <x v="7"/>
    <n v="3"/>
    <n v="1"/>
    <n v="1"/>
    <n v="0"/>
    <x v="1"/>
    <s v=""/>
    <s v=""/>
    <s v=""/>
  </r>
  <r>
    <x v="5"/>
    <x v="2"/>
    <x v="1"/>
    <n v="0"/>
    <s v="Non-Travel"/>
    <n v="1109"/>
    <x v="1"/>
    <n v="29"/>
    <n v="4"/>
    <s v="Medical"/>
    <n v="1"/>
    <x v="756"/>
    <n v="4"/>
    <x v="2"/>
    <x v="0"/>
    <n v="69"/>
    <n v="3"/>
    <n v="1"/>
    <x v="2"/>
    <n v="3"/>
    <x v="2"/>
    <s v="Single"/>
    <x v="717"/>
    <x v="0"/>
    <n v="11135"/>
    <n v="9"/>
    <s v="Y"/>
    <x v="1"/>
    <n v="12"/>
    <x v="0"/>
    <x v="0"/>
    <n v="2"/>
    <n v="80"/>
    <n v="0"/>
    <n v="10"/>
    <n v="2"/>
    <n v="3"/>
    <x v="3"/>
    <n v="7"/>
    <n v="7"/>
    <n v="7"/>
    <n v="3"/>
    <x v="2"/>
    <s v=""/>
    <s v=""/>
    <s v=""/>
  </r>
  <r>
    <x v="13"/>
    <x v="2"/>
    <x v="1"/>
    <n v="0"/>
    <s v="Travel_Rarely"/>
    <n v="216"/>
    <x v="0"/>
    <n v="1"/>
    <n v="4"/>
    <s v="Marketing"/>
    <n v="1"/>
    <x v="757"/>
    <n v="2"/>
    <x v="0"/>
    <x v="1"/>
    <n v="75"/>
    <n v="4"/>
    <n v="2"/>
    <x v="0"/>
    <n v="4"/>
    <x v="0"/>
    <s v="Divorced"/>
    <x v="718"/>
    <x v="2"/>
    <n v="12278"/>
    <n v="0"/>
    <s v="Y"/>
    <x v="1"/>
    <n v="11"/>
    <x v="0"/>
    <x v="0"/>
    <n v="4"/>
    <n v="80"/>
    <n v="1"/>
    <n v="16"/>
    <n v="2"/>
    <n v="2"/>
    <x v="15"/>
    <n v="1"/>
    <n v="0"/>
    <n v="9"/>
    <n v="1"/>
    <x v="1"/>
    <s v=""/>
    <s v=""/>
    <s v=""/>
  </r>
  <r>
    <x v="6"/>
    <x v="3"/>
    <x v="1"/>
    <n v="0"/>
    <s v="Travel_Rarely"/>
    <n v="1089"/>
    <x v="0"/>
    <n v="1"/>
    <n v="2"/>
    <s v="Technical Degree"/>
    <n v="1"/>
    <x v="758"/>
    <n v="2"/>
    <x v="0"/>
    <x v="1"/>
    <n v="66"/>
    <n v="3"/>
    <n v="3"/>
    <x v="5"/>
    <n v="4"/>
    <x v="0"/>
    <s v="Married"/>
    <x v="719"/>
    <x v="2"/>
    <n v="11038"/>
    <n v="3"/>
    <s v="Y"/>
    <x v="0"/>
    <n v="14"/>
    <x v="0"/>
    <x v="0"/>
    <n v="3"/>
    <n v="80"/>
    <n v="1"/>
    <n v="14"/>
    <n v="1"/>
    <n v="1"/>
    <x v="0"/>
    <n v="4"/>
    <n v="0"/>
    <n v="4"/>
    <n v="2"/>
    <x v="1"/>
    <s v=""/>
    <s v=""/>
    <s v=""/>
  </r>
  <r>
    <x v="28"/>
    <x v="1"/>
    <x v="1"/>
    <n v="0"/>
    <s v="Travel_Rarely"/>
    <n v="788"/>
    <x v="2"/>
    <n v="24"/>
    <n v="4"/>
    <s v="Medical"/>
    <n v="1"/>
    <x v="759"/>
    <n v="2"/>
    <x v="0"/>
    <x v="1"/>
    <n v="36"/>
    <n v="3"/>
    <n v="1"/>
    <x v="8"/>
    <n v="2"/>
    <x v="1"/>
    <s v="Single"/>
    <x v="221"/>
    <x v="1"/>
    <n v="8318"/>
    <n v="1"/>
    <s v="Y"/>
    <x v="1"/>
    <n v="16"/>
    <x v="2"/>
    <x v="0"/>
    <n v="1"/>
    <n v="80"/>
    <n v="0"/>
    <n v="6"/>
    <n v="3"/>
    <n v="3"/>
    <x v="0"/>
    <n v="3"/>
    <n v="0"/>
    <n v="4"/>
    <n v="3"/>
    <x v="2"/>
    <s v=""/>
    <s v=""/>
    <s v=""/>
  </r>
  <r>
    <x v="16"/>
    <x v="1"/>
    <x v="1"/>
    <n v="0"/>
    <s v="Travel_Frequently"/>
    <n v="124"/>
    <x v="0"/>
    <n v="2"/>
    <n v="3"/>
    <s v="Marketing"/>
    <n v="1"/>
    <x v="760"/>
    <n v="3"/>
    <x v="1"/>
    <x v="0"/>
    <n v="38"/>
    <n v="2"/>
    <n v="3"/>
    <x v="0"/>
    <n v="2"/>
    <x v="1"/>
    <s v="Married"/>
    <x v="720"/>
    <x v="0"/>
    <n v="23537"/>
    <n v="2"/>
    <s v="Y"/>
    <x v="1"/>
    <n v="12"/>
    <x v="0"/>
    <x v="0"/>
    <n v="1"/>
    <n v="80"/>
    <n v="1"/>
    <n v="30"/>
    <n v="2"/>
    <n v="3"/>
    <x v="15"/>
    <n v="7"/>
    <n v="6"/>
    <n v="12"/>
    <n v="1"/>
    <x v="1"/>
    <s v=""/>
    <s v=""/>
    <s v=""/>
  </r>
  <r>
    <x v="9"/>
    <x v="0"/>
    <x v="0"/>
    <n v="1"/>
    <s v="Travel_Rarely"/>
    <n v="660"/>
    <x v="1"/>
    <n v="15"/>
    <n v="3"/>
    <s v="Other"/>
    <n v="1"/>
    <x v="761"/>
    <n v="1"/>
    <x v="3"/>
    <x v="1"/>
    <n v="81"/>
    <n v="3"/>
    <n v="2"/>
    <x v="2"/>
    <n v="3"/>
    <x v="2"/>
    <s v="Divorced"/>
    <x v="721"/>
    <x v="0"/>
    <n v="7858"/>
    <n v="7"/>
    <s v="Y"/>
    <x v="1"/>
    <n v="14"/>
    <x v="0"/>
    <x v="0"/>
    <n v="2"/>
    <n v="80"/>
    <n v="1"/>
    <n v="9"/>
    <n v="3"/>
    <n v="2"/>
    <x v="6"/>
    <n v="0"/>
    <n v="0"/>
    <n v="0"/>
    <s v=""/>
    <x v="0"/>
    <s v=""/>
    <s v=""/>
    <s v=""/>
  </r>
  <r>
    <x v="25"/>
    <x v="2"/>
    <x v="0"/>
    <n v="1"/>
    <s v="Travel_Frequently"/>
    <n v="342"/>
    <x v="1"/>
    <n v="2"/>
    <n v="3"/>
    <s v="Life Sciences"/>
    <n v="1"/>
    <x v="762"/>
    <n v="1"/>
    <x v="3"/>
    <x v="1"/>
    <n v="57"/>
    <n v="3"/>
    <n v="1"/>
    <x v="1"/>
    <n v="1"/>
    <x v="3"/>
    <s v="Married"/>
    <x v="96"/>
    <x v="1"/>
    <n v="15346"/>
    <n v="6"/>
    <s v="Y"/>
    <x v="0"/>
    <n v="14"/>
    <x v="0"/>
    <x v="0"/>
    <n v="2"/>
    <n v="80"/>
    <n v="1"/>
    <n v="6"/>
    <n v="2"/>
    <n v="3"/>
    <x v="11"/>
    <n v="2"/>
    <n v="1"/>
    <n v="2"/>
    <s v=""/>
    <x v="0"/>
    <s v=""/>
    <s v=""/>
    <s v=""/>
  </r>
  <r>
    <x v="13"/>
    <x v="2"/>
    <x v="1"/>
    <n v="0"/>
    <s v="Travel_Rarely"/>
    <n v="1333"/>
    <x v="0"/>
    <n v="10"/>
    <n v="4"/>
    <s v="Life Sciences"/>
    <n v="1"/>
    <x v="763"/>
    <n v="3"/>
    <x v="1"/>
    <x v="0"/>
    <n v="87"/>
    <n v="3"/>
    <n v="1"/>
    <x v="6"/>
    <n v="3"/>
    <x v="2"/>
    <s v="Married"/>
    <x v="722"/>
    <x v="1"/>
    <n v="18410"/>
    <n v="1"/>
    <s v="Y"/>
    <x v="0"/>
    <n v="19"/>
    <x v="2"/>
    <x v="0"/>
    <n v="4"/>
    <n v="80"/>
    <n v="1"/>
    <n v="1"/>
    <n v="2"/>
    <n v="3"/>
    <x v="6"/>
    <n v="1"/>
    <n v="0"/>
    <n v="0"/>
    <n v="7"/>
    <x v="3"/>
    <n v="12"/>
    <s v=""/>
    <n v="68945"/>
  </r>
  <r>
    <x v="14"/>
    <x v="2"/>
    <x v="1"/>
    <n v="0"/>
    <s v="Travel_Rarely"/>
    <n v="1144"/>
    <x v="0"/>
    <n v="10"/>
    <n v="1"/>
    <s v="Medical"/>
    <n v="1"/>
    <x v="764"/>
    <n v="4"/>
    <x v="2"/>
    <x v="1"/>
    <n v="74"/>
    <n v="3"/>
    <n v="1"/>
    <x v="6"/>
    <n v="2"/>
    <x v="1"/>
    <s v="Married"/>
    <x v="723"/>
    <x v="1"/>
    <n v="23384"/>
    <n v="1"/>
    <s v="Y"/>
    <x v="1"/>
    <n v="22"/>
    <x v="1"/>
    <x v="1"/>
    <n v="2"/>
    <n v="80"/>
    <n v="0"/>
    <n v="1"/>
    <n v="5"/>
    <n v="3"/>
    <x v="6"/>
    <n v="0"/>
    <n v="0"/>
    <n v="0"/>
    <n v="5"/>
    <x v="2"/>
    <s v=""/>
    <s v=""/>
    <s v=""/>
  </r>
  <r>
    <x v="8"/>
    <x v="0"/>
    <x v="1"/>
    <n v="0"/>
    <s v="Travel_Frequently"/>
    <n v="1186"/>
    <x v="1"/>
    <n v="3"/>
    <n v="4"/>
    <s v="Other"/>
    <n v="1"/>
    <x v="765"/>
    <n v="3"/>
    <x v="1"/>
    <x v="1"/>
    <n v="44"/>
    <n v="3"/>
    <n v="1"/>
    <x v="1"/>
    <n v="3"/>
    <x v="2"/>
    <s v="Married"/>
    <x v="724"/>
    <x v="1"/>
    <n v="2997"/>
    <n v="3"/>
    <s v="Y"/>
    <x v="1"/>
    <n v="16"/>
    <x v="2"/>
    <x v="0"/>
    <n v="1"/>
    <n v="80"/>
    <n v="1"/>
    <n v="8"/>
    <n v="2"/>
    <n v="3"/>
    <x v="4"/>
    <n v="2"/>
    <n v="2"/>
    <n v="2"/>
    <n v="2"/>
    <x v="1"/>
    <s v=""/>
    <s v=""/>
    <s v=""/>
  </r>
  <r>
    <x v="24"/>
    <x v="1"/>
    <x v="1"/>
    <n v="0"/>
    <s v="Travel_Rarely"/>
    <n v="1464"/>
    <x v="1"/>
    <n v="2"/>
    <n v="4"/>
    <s v="Medical"/>
    <n v="1"/>
    <x v="766"/>
    <n v="2"/>
    <x v="0"/>
    <x v="1"/>
    <n v="62"/>
    <n v="3"/>
    <n v="5"/>
    <x v="7"/>
    <n v="3"/>
    <x v="2"/>
    <s v="Married"/>
    <x v="725"/>
    <x v="4"/>
    <n v="12853"/>
    <n v="2"/>
    <s v="Y"/>
    <x v="0"/>
    <n v="11"/>
    <x v="0"/>
    <x v="0"/>
    <n v="4"/>
    <n v="80"/>
    <n v="1"/>
    <n v="29"/>
    <n v="2"/>
    <n v="2"/>
    <x v="3"/>
    <n v="1"/>
    <n v="7"/>
    <n v="7"/>
    <n v="2"/>
    <x v="1"/>
    <s v=""/>
    <s v=""/>
    <s v=""/>
  </r>
  <r>
    <x v="2"/>
    <x v="0"/>
    <x v="1"/>
    <n v="0"/>
    <s v="Travel_Rarely"/>
    <n v="124"/>
    <x v="1"/>
    <n v="3"/>
    <n v="3"/>
    <s v="Other"/>
    <n v="1"/>
    <x v="767"/>
    <n v="4"/>
    <x v="2"/>
    <x v="0"/>
    <n v="35"/>
    <n v="3"/>
    <n v="2"/>
    <x v="4"/>
    <n v="2"/>
    <x v="1"/>
    <s v="Single"/>
    <x v="726"/>
    <x v="0"/>
    <n v="13848"/>
    <n v="3"/>
    <s v="Y"/>
    <x v="1"/>
    <n v="15"/>
    <x v="0"/>
    <x v="0"/>
    <n v="1"/>
    <n v="80"/>
    <n v="0"/>
    <n v="8"/>
    <n v="3"/>
    <n v="2"/>
    <x v="9"/>
    <n v="3"/>
    <n v="0"/>
    <n v="1"/>
    <n v="1"/>
    <x v="1"/>
    <s v=""/>
    <s v=""/>
    <s v=""/>
  </r>
  <r>
    <x v="32"/>
    <x v="0"/>
    <x v="1"/>
    <n v="0"/>
    <s v="Travel_Rarely"/>
    <n v="300"/>
    <x v="0"/>
    <n v="26"/>
    <n v="3"/>
    <s v="Marketing"/>
    <n v="1"/>
    <x v="768"/>
    <n v="3"/>
    <x v="1"/>
    <x v="1"/>
    <n v="74"/>
    <n v="3"/>
    <n v="2"/>
    <x v="0"/>
    <n v="1"/>
    <x v="3"/>
    <s v="Married"/>
    <x v="727"/>
    <x v="2"/>
    <n v="22217"/>
    <n v="1"/>
    <s v="Y"/>
    <x v="1"/>
    <n v="14"/>
    <x v="0"/>
    <x v="0"/>
    <n v="2"/>
    <n v="80"/>
    <n v="1"/>
    <n v="8"/>
    <n v="3"/>
    <n v="2"/>
    <x v="5"/>
    <n v="7"/>
    <n v="7"/>
    <n v="5"/>
    <n v="2"/>
    <x v="1"/>
    <s v=""/>
    <s v=""/>
    <s v=""/>
  </r>
  <r>
    <x v="25"/>
    <x v="2"/>
    <x v="1"/>
    <n v="0"/>
    <s v="Travel_Frequently"/>
    <n v="921"/>
    <x v="1"/>
    <n v="1"/>
    <n v="1"/>
    <s v="Medical"/>
    <n v="1"/>
    <x v="769"/>
    <n v="1"/>
    <x v="3"/>
    <x v="0"/>
    <n v="66"/>
    <n v="2"/>
    <n v="1"/>
    <x v="1"/>
    <n v="3"/>
    <x v="2"/>
    <s v="Divorced"/>
    <x v="728"/>
    <x v="1"/>
    <n v="25265"/>
    <n v="1"/>
    <s v="Y"/>
    <x v="1"/>
    <n v="13"/>
    <x v="0"/>
    <x v="0"/>
    <n v="3"/>
    <n v="80"/>
    <n v="2"/>
    <n v="5"/>
    <n v="5"/>
    <n v="3"/>
    <x v="8"/>
    <n v="3"/>
    <n v="1"/>
    <n v="3"/>
    <n v="3"/>
    <x v="2"/>
    <s v=""/>
    <s v=""/>
    <s v=""/>
  </r>
  <r>
    <x v="21"/>
    <x v="1"/>
    <x v="1"/>
    <n v="0"/>
    <s v="Travel_Rarely"/>
    <n v="430"/>
    <x v="1"/>
    <n v="1"/>
    <n v="4"/>
    <s v="Medical"/>
    <n v="1"/>
    <x v="770"/>
    <n v="4"/>
    <x v="2"/>
    <x v="1"/>
    <n v="40"/>
    <n v="3"/>
    <n v="5"/>
    <x v="7"/>
    <n v="4"/>
    <x v="0"/>
    <s v="Divorced"/>
    <x v="729"/>
    <x v="4"/>
    <n v="21445"/>
    <n v="9"/>
    <s v="Y"/>
    <x v="1"/>
    <n v="17"/>
    <x v="2"/>
    <x v="0"/>
    <n v="4"/>
    <n v="80"/>
    <n v="2"/>
    <n v="23"/>
    <n v="0"/>
    <n v="3"/>
    <x v="4"/>
    <n v="2"/>
    <n v="2"/>
    <n v="2"/>
    <n v="0"/>
    <x v="1"/>
    <s v=""/>
    <s v=""/>
    <s v=""/>
  </r>
  <r>
    <x v="33"/>
    <x v="1"/>
    <x v="1"/>
    <n v="0"/>
    <s v="Travel_Rarely"/>
    <n v="1082"/>
    <x v="0"/>
    <n v="2"/>
    <n v="4"/>
    <s v="Life Sciences"/>
    <n v="1"/>
    <x v="771"/>
    <n v="3"/>
    <x v="1"/>
    <x v="0"/>
    <n v="41"/>
    <n v="2"/>
    <n v="3"/>
    <x v="0"/>
    <n v="3"/>
    <x v="2"/>
    <s v="Married"/>
    <x v="730"/>
    <x v="2"/>
    <n v="8392"/>
    <n v="6"/>
    <s v="Y"/>
    <x v="1"/>
    <n v="11"/>
    <x v="0"/>
    <x v="0"/>
    <n v="2"/>
    <n v="80"/>
    <n v="1"/>
    <n v="13"/>
    <n v="4"/>
    <n v="3"/>
    <x v="7"/>
    <n v="4"/>
    <n v="7"/>
    <n v="0"/>
    <n v="0"/>
    <x v="1"/>
    <s v=""/>
    <s v=""/>
    <s v=""/>
  </r>
  <r>
    <x v="29"/>
    <x v="3"/>
    <x v="1"/>
    <n v="0"/>
    <s v="Travel_Frequently"/>
    <n v="1240"/>
    <x v="1"/>
    <n v="9"/>
    <n v="3"/>
    <s v="Medical"/>
    <n v="1"/>
    <x v="772"/>
    <n v="1"/>
    <x v="3"/>
    <x v="0"/>
    <n v="63"/>
    <n v="3"/>
    <n v="1"/>
    <x v="1"/>
    <n v="3"/>
    <x v="2"/>
    <s v="Married"/>
    <x v="131"/>
    <x v="1"/>
    <n v="12154"/>
    <n v="2"/>
    <s v="Y"/>
    <x v="1"/>
    <n v="19"/>
    <x v="2"/>
    <x v="0"/>
    <n v="2"/>
    <n v="80"/>
    <n v="1"/>
    <n v="18"/>
    <n v="4"/>
    <n v="3"/>
    <x v="8"/>
    <n v="4"/>
    <n v="0"/>
    <n v="3"/>
    <n v="2"/>
    <x v="1"/>
    <s v=""/>
    <s v=""/>
    <s v=""/>
  </r>
  <r>
    <x v="9"/>
    <x v="0"/>
    <x v="1"/>
    <n v="0"/>
    <s v="Travel_Rarely"/>
    <n v="796"/>
    <x v="1"/>
    <n v="12"/>
    <n v="5"/>
    <s v="Medical"/>
    <n v="1"/>
    <x v="773"/>
    <n v="4"/>
    <x v="2"/>
    <x v="0"/>
    <n v="51"/>
    <n v="2"/>
    <n v="3"/>
    <x v="3"/>
    <n v="4"/>
    <x v="0"/>
    <s v="Single"/>
    <x v="731"/>
    <x v="2"/>
    <n v="15669"/>
    <n v="0"/>
    <s v="Y"/>
    <x v="1"/>
    <n v="11"/>
    <x v="0"/>
    <x v="0"/>
    <n v="2"/>
    <n v="80"/>
    <n v="0"/>
    <n v="15"/>
    <n v="2"/>
    <n v="2"/>
    <x v="13"/>
    <n v="8"/>
    <n v="7"/>
    <n v="8"/>
    <n v="0"/>
    <x v="1"/>
    <s v=""/>
    <s v=""/>
    <s v=""/>
  </r>
  <r>
    <x v="27"/>
    <x v="3"/>
    <x v="1"/>
    <n v="0"/>
    <s v="Non-Travel"/>
    <n v="444"/>
    <x v="1"/>
    <n v="2"/>
    <n v="1"/>
    <s v="Medical"/>
    <n v="1"/>
    <x v="774"/>
    <n v="3"/>
    <x v="1"/>
    <x v="1"/>
    <n v="40"/>
    <n v="2"/>
    <n v="4"/>
    <x v="5"/>
    <n v="1"/>
    <x v="3"/>
    <s v="Single"/>
    <x v="732"/>
    <x v="4"/>
    <n v="17323"/>
    <n v="7"/>
    <s v="Y"/>
    <x v="1"/>
    <n v="15"/>
    <x v="0"/>
    <x v="0"/>
    <n v="2"/>
    <n v="80"/>
    <n v="0"/>
    <n v="31"/>
    <n v="3"/>
    <n v="4"/>
    <x v="7"/>
    <n v="7"/>
    <n v="6"/>
    <n v="2"/>
    <n v="2"/>
    <x v="1"/>
    <s v=""/>
    <s v=""/>
    <s v=""/>
  </r>
  <r>
    <x v="23"/>
    <x v="0"/>
    <x v="1"/>
    <n v="0"/>
    <s v="Travel_Rarely"/>
    <n v="415"/>
    <x v="0"/>
    <n v="25"/>
    <n v="3"/>
    <s v="Medical"/>
    <n v="1"/>
    <x v="775"/>
    <n v="3"/>
    <x v="1"/>
    <x v="1"/>
    <n v="79"/>
    <n v="2"/>
    <n v="3"/>
    <x v="0"/>
    <n v="4"/>
    <x v="0"/>
    <s v="Divorced"/>
    <x v="733"/>
    <x v="2"/>
    <n v="5268"/>
    <n v="5"/>
    <s v="Y"/>
    <x v="1"/>
    <n v="13"/>
    <x v="0"/>
    <x v="0"/>
    <n v="3"/>
    <n v="80"/>
    <n v="1"/>
    <n v="18"/>
    <n v="5"/>
    <n v="3"/>
    <x v="6"/>
    <n v="0"/>
    <n v="0"/>
    <n v="0"/>
    <n v="0"/>
    <x v="1"/>
    <s v=""/>
    <s v=""/>
    <s v=""/>
  </r>
  <r>
    <x v="35"/>
    <x v="4"/>
    <x v="0"/>
    <n v="1"/>
    <s v="Travel_Frequently"/>
    <n v="769"/>
    <x v="0"/>
    <n v="9"/>
    <n v="3"/>
    <s v="Marketing"/>
    <n v="1"/>
    <x v="776"/>
    <n v="4"/>
    <x v="2"/>
    <x v="0"/>
    <n v="54"/>
    <n v="3"/>
    <n v="1"/>
    <x v="6"/>
    <n v="4"/>
    <x v="0"/>
    <s v="Single"/>
    <x v="157"/>
    <x v="1"/>
    <n v="17205"/>
    <n v="1"/>
    <s v="Y"/>
    <x v="0"/>
    <n v="14"/>
    <x v="0"/>
    <x v="0"/>
    <n v="2"/>
    <n v="80"/>
    <n v="0"/>
    <n v="2"/>
    <n v="3"/>
    <n v="3"/>
    <x v="4"/>
    <n v="2"/>
    <n v="0"/>
    <n v="2"/>
    <s v=""/>
    <x v="0"/>
    <s v=""/>
    <s v=""/>
    <s v=""/>
  </r>
  <r>
    <x v="18"/>
    <x v="4"/>
    <x v="0"/>
    <n v="1"/>
    <s v="Travel_Rarely"/>
    <n v="1334"/>
    <x v="1"/>
    <n v="10"/>
    <n v="3"/>
    <s v="Life Sciences"/>
    <n v="1"/>
    <x v="777"/>
    <n v="3"/>
    <x v="1"/>
    <x v="0"/>
    <n v="36"/>
    <n v="2"/>
    <n v="1"/>
    <x v="2"/>
    <n v="1"/>
    <x v="3"/>
    <s v="Single"/>
    <x v="734"/>
    <x v="1"/>
    <n v="17258"/>
    <n v="1"/>
    <s v="Y"/>
    <x v="1"/>
    <n v="13"/>
    <x v="0"/>
    <x v="0"/>
    <n v="1"/>
    <n v="80"/>
    <n v="0"/>
    <n v="1"/>
    <n v="6"/>
    <n v="2"/>
    <x v="6"/>
    <n v="0"/>
    <n v="1"/>
    <n v="0"/>
    <s v=""/>
    <x v="0"/>
    <s v=""/>
    <s v=""/>
    <s v=""/>
  </r>
  <r>
    <x v="21"/>
    <x v="1"/>
    <x v="1"/>
    <n v="0"/>
    <s v="Travel_Rarely"/>
    <n v="1003"/>
    <x v="1"/>
    <n v="8"/>
    <n v="4"/>
    <s v="Life Sciences"/>
    <n v="1"/>
    <x v="778"/>
    <n v="4"/>
    <x v="2"/>
    <x v="0"/>
    <n v="74"/>
    <n v="2"/>
    <n v="2"/>
    <x v="1"/>
    <n v="1"/>
    <x v="3"/>
    <s v="Divorced"/>
    <x v="735"/>
    <x v="0"/>
    <n v="21029"/>
    <n v="8"/>
    <s v="Y"/>
    <x v="0"/>
    <n v="23"/>
    <x v="1"/>
    <x v="1"/>
    <n v="1"/>
    <n v="80"/>
    <n v="3"/>
    <n v="19"/>
    <n v="2"/>
    <n v="3"/>
    <x v="22"/>
    <n v="13"/>
    <n v="1"/>
    <n v="7"/>
    <n v="5"/>
    <x v="2"/>
    <s v=""/>
    <s v=""/>
    <s v=""/>
  </r>
  <r>
    <x v="31"/>
    <x v="1"/>
    <x v="0"/>
    <n v="1"/>
    <s v="Travel_Rarely"/>
    <n v="1323"/>
    <x v="1"/>
    <n v="4"/>
    <n v="4"/>
    <s v="Life Sciences"/>
    <n v="1"/>
    <x v="779"/>
    <n v="1"/>
    <x v="3"/>
    <x v="1"/>
    <n v="34"/>
    <n v="3"/>
    <n v="1"/>
    <x v="1"/>
    <n v="3"/>
    <x v="2"/>
    <s v="Married"/>
    <x v="736"/>
    <x v="1"/>
    <n v="10332"/>
    <n v="9"/>
    <s v="Y"/>
    <x v="0"/>
    <n v="12"/>
    <x v="0"/>
    <x v="0"/>
    <n v="3"/>
    <n v="80"/>
    <n v="3"/>
    <n v="18"/>
    <n v="2"/>
    <n v="4"/>
    <x v="1"/>
    <n v="0"/>
    <n v="2"/>
    <n v="7"/>
    <s v=""/>
    <x v="0"/>
    <s v=""/>
    <s v=""/>
    <s v=""/>
  </r>
  <r>
    <x v="14"/>
    <x v="2"/>
    <x v="0"/>
    <n v="1"/>
    <s v="Non-Travel"/>
    <n v="1366"/>
    <x v="1"/>
    <n v="24"/>
    <n v="2"/>
    <s v="Technical Degree"/>
    <n v="1"/>
    <x v="780"/>
    <n v="2"/>
    <x v="0"/>
    <x v="1"/>
    <n v="72"/>
    <n v="2"/>
    <n v="3"/>
    <x v="4"/>
    <n v="1"/>
    <x v="3"/>
    <s v="Single"/>
    <x v="737"/>
    <x v="2"/>
    <n v="12355"/>
    <n v="1"/>
    <s v="Y"/>
    <x v="1"/>
    <n v="12"/>
    <x v="0"/>
    <x v="0"/>
    <n v="1"/>
    <n v="80"/>
    <n v="0"/>
    <n v="10"/>
    <n v="2"/>
    <n v="2"/>
    <x v="1"/>
    <n v="7"/>
    <n v="1"/>
    <n v="9"/>
    <s v=""/>
    <x v="0"/>
    <s v=""/>
    <s v=""/>
    <s v=""/>
  </r>
  <r>
    <x v="25"/>
    <x v="2"/>
    <x v="1"/>
    <n v="0"/>
    <s v="Travel_Rarely"/>
    <n v="192"/>
    <x v="1"/>
    <n v="1"/>
    <n v="2"/>
    <s v="Medical"/>
    <n v="1"/>
    <x v="781"/>
    <n v="1"/>
    <x v="3"/>
    <x v="1"/>
    <n v="59"/>
    <n v="2"/>
    <n v="1"/>
    <x v="2"/>
    <n v="1"/>
    <x v="3"/>
    <s v="Married"/>
    <x v="738"/>
    <x v="1"/>
    <n v="11141"/>
    <n v="1"/>
    <s v="Y"/>
    <x v="1"/>
    <n v="16"/>
    <x v="2"/>
    <x v="0"/>
    <n v="1"/>
    <n v="80"/>
    <n v="2"/>
    <n v="6"/>
    <n v="2"/>
    <n v="3"/>
    <x v="8"/>
    <n v="3"/>
    <n v="1"/>
    <n v="3"/>
    <n v="6"/>
    <x v="3"/>
    <n v="44"/>
    <s v=""/>
    <n v="58917"/>
  </r>
  <r>
    <x v="7"/>
    <x v="2"/>
    <x v="1"/>
    <n v="0"/>
    <s v="Travel_Rarely"/>
    <n v="1176"/>
    <x v="1"/>
    <n v="20"/>
    <n v="3"/>
    <s v="Other"/>
    <n v="1"/>
    <x v="782"/>
    <n v="3"/>
    <x v="1"/>
    <x v="1"/>
    <n v="85"/>
    <n v="3"/>
    <n v="2"/>
    <x v="3"/>
    <n v="1"/>
    <x v="3"/>
    <s v="Married"/>
    <x v="739"/>
    <x v="2"/>
    <n v="9096"/>
    <n v="0"/>
    <s v="Y"/>
    <x v="1"/>
    <n v="15"/>
    <x v="0"/>
    <x v="0"/>
    <n v="3"/>
    <n v="80"/>
    <n v="1"/>
    <n v="7"/>
    <n v="1"/>
    <n v="2"/>
    <x v="0"/>
    <n v="2"/>
    <n v="0"/>
    <n v="2"/>
    <n v="3"/>
    <x v="2"/>
    <s v=""/>
    <s v=""/>
    <s v=""/>
  </r>
  <r>
    <x v="0"/>
    <x v="0"/>
    <x v="1"/>
    <n v="0"/>
    <s v="Travel_Rarely"/>
    <n v="509"/>
    <x v="1"/>
    <n v="7"/>
    <n v="2"/>
    <s v="Technical Degree"/>
    <n v="1"/>
    <x v="783"/>
    <n v="2"/>
    <x v="0"/>
    <x v="0"/>
    <n v="43"/>
    <n v="4"/>
    <n v="1"/>
    <x v="1"/>
    <n v="3"/>
    <x v="2"/>
    <s v="Married"/>
    <x v="740"/>
    <x v="1"/>
    <n v="18863"/>
    <n v="1"/>
    <s v="Y"/>
    <x v="1"/>
    <n v="13"/>
    <x v="0"/>
    <x v="0"/>
    <n v="3"/>
    <n v="80"/>
    <n v="0"/>
    <n v="10"/>
    <n v="3"/>
    <n v="3"/>
    <x v="1"/>
    <n v="6"/>
    <n v="0"/>
    <n v="8"/>
    <n v="2"/>
    <x v="1"/>
    <s v=""/>
    <s v=""/>
    <s v=""/>
  </r>
  <r>
    <x v="8"/>
    <x v="0"/>
    <x v="1"/>
    <n v="0"/>
    <s v="Travel_Rarely"/>
    <n v="330"/>
    <x v="1"/>
    <n v="17"/>
    <n v="1"/>
    <s v="Life Sciences"/>
    <n v="1"/>
    <x v="784"/>
    <n v="3"/>
    <x v="1"/>
    <x v="0"/>
    <n v="65"/>
    <n v="2"/>
    <n v="3"/>
    <x v="4"/>
    <n v="3"/>
    <x v="2"/>
    <s v="Married"/>
    <x v="741"/>
    <x v="2"/>
    <n v="24608"/>
    <n v="0"/>
    <s v="Y"/>
    <x v="1"/>
    <n v="18"/>
    <x v="2"/>
    <x v="0"/>
    <n v="1"/>
    <n v="80"/>
    <n v="1"/>
    <n v="20"/>
    <n v="4"/>
    <n v="2"/>
    <x v="27"/>
    <n v="9"/>
    <n v="1"/>
    <n v="9"/>
    <n v="0"/>
    <x v="1"/>
    <s v=""/>
    <s v=""/>
    <s v=""/>
  </r>
  <r>
    <x v="32"/>
    <x v="0"/>
    <x v="1"/>
    <n v="0"/>
    <s v="Travel_Rarely"/>
    <n v="1492"/>
    <x v="1"/>
    <n v="20"/>
    <n v="4"/>
    <s v="Technical Degree"/>
    <n v="1"/>
    <x v="785"/>
    <n v="1"/>
    <x v="3"/>
    <x v="1"/>
    <n v="61"/>
    <n v="3"/>
    <n v="3"/>
    <x v="4"/>
    <n v="4"/>
    <x v="0"/>
    <s v="Married"/>
    <x v="742"/>
    <x v="2"/>
    <n v="26542"/>
    <n v="4"/>
    <s v="Y"/>
    <x v="1"/>
    <n v="20"/>
    <x v="2"/>
    <x v="1"/>
    <n v="4"/>
    <n v="80"/>
    <n v="1"/>
    <n v="14"/>
    <n v="6"/>
    <n v="3"/>
    <x v="19"/>
    <n v="10"/>
    <n v="11"/>
    <n v="1"/>
    <n v="0"/>
    <x v="1"/>
    <s v=""/>
    <s v=""/>
    <s v=""/>
  </r>
  <r>
    <x v="4"/>
    <x v="2"/>
    <x v="1"/>
    <n v="0"/>
    <s v="Non-Travel"/>
    <n v="1277"/>
    <x v="1"/>
    <n v="8"/>
    <n v="5"/>
    <s v="Life Sciences"/>
    <n v="1"/>
    <x v="786"/>
    <n v="1"/>
    <x v="3"/>
    <x v="1"/>
    <n v="87"/>
    <n v="1"/>
    <n v="1"/>
    <x v="2"/>
    <n v="3"/>
    <x v="2"/>
    <s v="Married"/>
    <x v="743"/>
    <x v="0"/>
    <n v="5869"/>
    <n v="1"/>
    <s v="Y"/>
    <x v="1"/>
    <n v="19"/>
    <x v="2"/>
    <x v="0"/>
    <n v="4"/>
    <n v="80"/>
    <n v="3"/>
    <n v="3"/>
    <n v="4"/>
    <n v="3"/>
    <x v="11"/>
    <n v="2"/>
    <n v="1"/>
    <n v="2"/>
    <n v="3"/>
    <x v="2"/>
    <s v=""/>
    <s v=""/>
    <s v=""/>
  </r>
  <r>
    <x v="27"/>
    <x v="3"/>
    <x v="1"/>
    <n v="0"/>
    <s v="Travel_Frequently"/>
    <n v="1091"/>
    <x v="1"/>
    <n v="2"/>
    <n v="1"/>
    <s v="Life Sciences"/>
    <n v="1"/>
    <x v="787"/>
    <n v="4"/>
    <x v="2"/>
    <x v="1"/>
    <n v="65"/>
    <n v="3"/>
    <n v="3"/>
    <x v="3"/>
    <n v="2"/>
    <x v="1"/>
    <s v="Married"/>
    <x v="744"/>
    <x v="2"/>
    <n v="15813"/>
    <n v="3"/>
    <s v="Y"/>
    <x v="1"/>
    <n v="18"/>
    <x v="2"/>
    <x v="0"/>
    <n v="2"/>
    <n v="80"/>
    <n v="1"/>
    <n v="23"/>
    <n v="4"/>
    <n v="3"/>
    <x v="11"/>
    <n v="2"/>
    <n v="1"/>
    <n v="2"/>
    <n v="0"/>
    <x v="1"/>
    <s v=""/>
    <s v=""/>
    <s v=""/>
  </r>
  <r>
    <x v="14"/>
    <x v="2"/>
    <x v="1"/>
    <n v="0"/>
    <s v="Travel_Rarely"/>
    <n v="857"/>
    <x v="1"/>
    <n v="10"/>
    <n v="3"/>
    <s v="Other"/>
    <n v="1"/>
    <x v="788"/>
    <n v="3"/>
    <x v="1"/>
    <x v="0"/>
    <n v="59"/>
    <n v="3"/>
    <n v="2"/>
    <x v="1"/>
    <n v="3"/>
    <x v="2"/>
    <s v="Single"/>
    <x v="745"/>
    <x v="1"/>
    <n v="7909"/>
    <n v="3"/>
    <s v="Y"/>
    <x v="1"/>
    <n v="13"/>
    <x v="0"/>
    <x v="0"/>
    <n v="4"/>
    <n v="80"/>
    <n v="0"/>
    <n v="10"/>
    <n v="4"/>
    <n v="4"/>
    <x v="3"/>
    <n v="7"/>
    <n v="1"/>
    <n v="7"/>
    <n v="3"/>
    <x v="2"/>
    <s v=""/>
    <s v=""/>
    <s v=""/>
  </r>
  <r>
    <x v="20"/>
    <x v="0"/>
    <x v="0"/>
    <n v="1"/>
    <s v="Travel_Rarely"/>
    <n v="1376"/>
    <x v="2"/>
    <n v="1"/>
    <n v="2"/>
    <s v="Medical"/>
    <n v="1"/>
    <x v="789"/>
    <n v="2"/>
    <x v="0"/>
    <x v="1"/>
    <n v="91"/>
    <n v="2"/>
    <n v="3"/>
    <x v="8"/>
    <n v="1"/>
    <x v="3"/>
    <s v="Married"/>
    <x v="746"/>
    <x v="2"/>
    <n v="2326"/>
    <n v="9"/>
    <s v="Y"/>
    <x v="1"/>
    <n v="14"/>
    <x v="0"/>
    <x v="0"/>
    <n v="4"/>
    <n v="80"/>
    <n v="1"/>
    <n v="24"/>
    <n v="1"/>
    <n v="3"/>
    <x v="23"/>
    <n v="6"/>
    <n v="3"/>
    <n v="6"/>
    <s v=""/>
    <x v="0"/>
    <s v=""/>
    <s v=""/>
    <s v=""/>
  </r>
  <r>
    <x v="3"/>
    <x v="2"/>
    <x v="1"/>
    <n v="0"/>
    <s v="Travel_Rarely"/>
    <n v="654"/>
    <x v="1"/>
    <n v="5"/>
    <n v="3"/>
    <s v="Life Sciences"/>
    <n v="1"/>
    <x v="790"/>
    <n v="4"/>
    <x v="2"/>
    <x v="1"/>
    <n v="34"/>
    <n v="2"/>
    <n v="3"/>
    <x v="4"/>
    <n v="4"/>
    <x v="0"/>
    <s v="Divorced"/>
    <x v="747"/>
    <x v="0"/>
    <n v="21214"/>
    <n v="4"/>
    <s v="Y"/>
    <x v="1"/>
    <n v="15"/>
    <x v="0"/>
    <x v="0"/>
    <n v="3"/>
    <n v="80"/>
    <n v="1"/>
    <n v="9"/>
    <n v="2"/>
    <n v="3"/>
    <x v="11"/>
    <n v="2"/>
    <n v="1"/>
    <n v="2"/>
    <n v="2"/>
    <x v="1"/>
    <s v=""/>
    <s v=""/>
    <s v=""/>
  </r>
  <r>
    <x v="10"/>
    <x v="0"/>
    <x v="0"/>
    <n v="1"/>
    <s v="Travel_Rarely"/>
    <n v="1204"/>
    <x v="0"/>
    <n v="4"/>
    <n v="3"/>
    <s v="Technical Degree"/>
    <n v="1"/>
    <x v="791"/>
    <n v="4"/>
    <x v="2"/>
    <x v="1"/>
    <n v="86"/>
    <n v="3"/>
    <n v="3"/>
    <x v="0"/>
    <n v="1"/>
    <x v="3"/>
    <s v="Single"/>
    <x v="748"/>
    <x v="2"/>
    <n v="10333"/>
    <n v="0"/>
    <s v="Y"/>
    <x v="0"/>
    <n v="22"/>
    <x v="1"/>
    <x v="1"/>
    <n v="1"/>
    <n v="80"/>
    <n v="0"/>
    <n v="9"/>
    <n v="2"/>
    <n v="3"/>
    <x v="3"/>
    <n v="7"/>
    <n v="4"/>
    <n v="7"/>
    <s v=""/>
    <x v="0"/>
    <s v=""/>
    <s v=""/>
    <s v=""/>
  </r>
  <r>
    <x v="3"/>
    <x v="2"/>
    <x v="0"/>
    <n v="1"/>
    <s v="Travel_Frequently"/>
    <n v="827"/>
    <x v="1"/>
    <n v="29"/>
    <n v="4"/>
    <s v="Medical"/>
    <n v="1"/>
    <x v="792"/>
    <n v="1"/>
    <x v="3"/>
    <x v="0"/>
    <n v="54"/>
    <n v="2"/>
    <n v="2"/>
    <x v="1"/>
    <n v="3"/>
    <x v="2"/>
    <s v="Single"/>
    <x v="749"/>
    <x v="0"/>
    <n v="3129"/>
    <n v="1"/>
    <s v="Y"/>
    <x v="1"/>
    <n v="22"/>
    <x v="1"/>
    <x v="1"/>
    <n v="2"/>
    <n v="80"/>
    <n v="0"/>
    <n v="14"/>
    <n v="4"/>
    <n v="3"/>
    <x v="20"/>
    <n v="7"/>
    <n v="3"/>
    <n v="8"/>
    <s v=""/>
    <x v="0"/>
    <s v=""/>
    <s v=""/>
    <s v=""/>
  </r>
  <r>
    <x v="14"/>
    <x v="2"/>
    <x v="1"/>
    <n v="0"/>
    <s v="Travel_Rarely"/>
    <n v="895"/>
    <x v="1"/>
    <n v="15"/>
    <n v="2"/>
    <s v="Life Sciences"/>
    <n v="1"/>
    <x v="793"/>
    <n v="1"/>
    <x v="3"/>
    <x v="1"/>
    <n v="50"/>
    <n v="3"/>
    <n v="1"/>
    <x v="2"/>
    <n v="3"/>
    <x v="2"/>
    <s v="Divorced"/>
    <x v="750"/>
    <x v="1"/>
    <n v="22482"/>
    <n v="1"/>
    <s v="Y"/>
    <x v="1"/>
    <n v="16"/>
    <x v="2"/>
    <x v="0"/>
    <n v="4"/>
    <n v="80"/>
    <n v="1"/>
    <n v="4"/>
    <n v="5"/>
    <n v="2"/>
    <x v="9"/>
    <n v="2"/>
    <n v="2"/>
    <n v="2"/>
    <n v="4"/>
    <x v="2"/>
    <s v=""/>
    <s v=""/>
    <s v=""/>
  </r>
  <r>
    <x v="13"/>
    <x v="2"/>
    <x v="1"/>
    <n v="0"/>
    <s v="Travel_Frequently"/>
    <n v="618"/>
    <x v="1"/>
    <n v="3"/>
    <n v="1"/>
    <s v="Life Sciences"/>
    <n v="1"/>
    <x v="794"/>
    <n v="1"/>
    <x v="3"/>
    <x v="1"/>
    <n v="45"/>
    <n v="3"/>
    <n v="2"/>
    <x v="4"/>
    <n v="4"/>
    <x v="0"/>
    <s v="Single"/>
    <x v="751"/>
    <x v="0"/>
    <n v="22266"/>
    <n v="0"/>
    <s v="Y"/>
    <x v="1"/>
    <n v="17"/>
    <x v="2"/>
    <x v="0"/>
    <n v="3"/>
    <n v="80"/>
    <n v="0"/>
    <n v="7"/>
    <n v="1"/>
    <n v="2"/>
    <x v="0"/>
    <n v="2"/>
    <n v="0"/>
    <n v="4"/>
    <n v="2"/>
    <x v="1"/>
    <s v=""/>
    <s v=""/>
    <s v=""/>
  </r>
  <r>
    <x v="2"/>
    <x v="0"/>
    <x v="1"/>
    <n v="0"/>
    <s v="Travel_Rarely"/>
    <n v="309"/>
    <x v="0"/>
    <n v="10"/>
    <n v="4"/>
    <s v="Life Sciences"/>
    <n v="1"/>
    <x v="795"/>
    <n v="4"/>
    <x v="2"/>
    <x v="0"/>
    <n v="88"/>
    <n v="2"/>
    <n v="2"/>
    <x v="0"/>
    <n v="4"/>
    <x v="0"/>
    <s v="Divorced"/>
    <x v="752"/>
    <x v="0"/>
    <n v="24223"/>
    <n v="2"/>
    <s v="Y"/>
    <x v="0"/>
    <n v="14"/>
    <x v="0"/>
    <x v="0"/>
    <n v="3"/>
    <n v="80"/>
    <n v="3"/>
    <n v="8"/>
    <n v="5"/>
    <n v="3"/>
    <x v="6"/>
    <n v="0"/>
    <n v="0"/>
    <n v="0"/>
    <n v="3"/>
    <x v="2"/>
    <s v=""/>
    <s v=""/>
    <s v=""/>
  </r>
  <r>
    <x v="36"/>
    <x v="2"/>
    <x v="0"/>
    <n v="1"/>
    <s v="Travel_Rarely"/>
    <n v="1219"/>
    <x v="1"/>
    <n v="4"/>
    <n v="1"/>
    <s v="Technical Degree"/>
    <n v="1"/>
    <x v="796"/>
    <n v="4"/>
    <x v="2"/>
    <x v="1"/>
    <n v="32"/>
    <n v="3"/>
    <n v="1"/>
    <x v="2"/>
    <n v="4"/>
    <x v="0"/>
    <s v="Married"/>
    <x v="753"/>
    <x v="1"/>
    <n v="4605"/>
    <n v="1"/>
    <s v="Y"/>
    <x v="0"/>
    <n v="15"/>
    <x v="0"/>
    <x v="0"/>
    <n v="2"/>
    <n v="80"/>
    <n v="1"/>
    <n v="7"/>
    <n v="3"/>
    <n v="4"/>
    <x v="5"/>
    <n v="7"/>
    <n v="5"/>
    <n v="6"/>
    <s v=""/>
    <x v="0"/>
    <s v=""/>
    <s v=""/>
    <s v=""/>
  </r>
  <r>
    <x v="25"/>
    <x v="2"/>
    <x v="0"/>
    <n v="1"/>
    <s v="Travel_Rarely"/>
    <n v="1330"/>
    <x v="1"/>
    <n v="21"/>
    <n v="3"/>
    <s v="Medical"/>
    <n v="1"/>
    <x v="797"/>
    <n v="1"/>
    <x v="3"/>
    <x v="1"/>
    <n v="37"/>
    <n v="3"/>
    <n v="1"/>
    <x v="2"/>
    <n v="3"/>
    <x v="2"/>
    <s v="Divorced"/>
    <x v="638"/>
    <x v="1"/>
    <n v="19373"/>
    <n v="1"/>
    <s v="Y"/>
    <x v="1"/>
    <n v="20"/>
    <x v="2"/>
    <x v="1"/>
    <n v="3"/>
    <n v="80"/>
    <n v="1"/>
    <n v="1"/>
    <n v="0"/>
    <n v="2"/>
    <x v="6"/>
    <n v="1"/>
    <n v="0"/>
    <n v="0"/>
    <s v=""/>
    <x v="0"/>
    <s v=""/>
    <s v=""/>
    <s v=""/>
  </r>
  <r>
    <x v="3"/>
    <x v="2"/>
    <x v="0"/>
    <n v="1"/>
    <s v="Travel_Rarely"/>
    <n v="1017"/>
    <x v="1"/>
    <n v="25"/>
    <n v="3"/>
    <s v="Medical"/>
    <n v="1"/>
    <x v="798"/>
    <n v="1"/>
    <x v="3"/>
    <x v="1"/>
    <n v="55"/>
    <n v="2"/>
    <n v="1"/>
    <x v="1"/>
    <n v="2"/>
    <x v="1"/>
    <s v="Single"/>
    <x v="754"/>
    <x v="1"/>
    <n v="2993"/>
    <n v="4"/>
    <s v="Y"/>
    <x v="0"/>
    <n v="20"/>
    <x v="2"/>
    <x v="1"/>
    <n v="2"/>
    <n v="80"/>
    <n v="0"/>
    <n v="5"/>
    <n v="0"/>
    <n v="3"/>
    <x v="4"/>
    <n v="2"/>
    <n v="2"/>
    <n v="2"/>
    <s v=""/>
    <x v="0"/>
    <s v=""/>
    <s v=""/>
    <s v=""/>
  </r>
  <r>
    <x v="19"/>
    <x v="0"/>
    <x v="1"/>
    <n v="0"/>
    <s v="Travel_Rarely"/>
    <n v="469"/>
    <x v="1"/>
    <n v="2"/>
    <n v="2"/>
    <s v="Medical"/>
    <n v="1"/>
    <x v="799"/>
    <n v="4"/>
    <x v="2"/>
    <x v="1"/>
    <n v="35"/>
    <n v="3"/>
    <n v="4"/>
    <x v="5"/>
    <n v="1"/>
    <x v="3"/>
    <s v="Married"/>
    <x v="755"/>
    <x v="4"/>
    <n v="14399"/>
    <n v="0"/>
    <s v="Y"/>
    <x v="1"/>
    <n v="17"/>
    <x v="2"/>
    <x v="0"/>
    <n v="4"/>
    <n v="80"/>
    <n v="1"/>
    <n v="23"/>
    <n v="3"/>
    <n v="3"/>
    <x v="14"/>
    <n v="6"/>
    <n v="13"/>
    <n v="7"/>
    <n v="2"/>
    <x v="1"/>
    <s v=""/>
    <s v=""/>
    <s v=""/>
  </r>
  <r>
    <x v="14"/>
    <x v="2"/>
    <x v="0"/>
    <n v="1"/>
    <s v="Travel_Frequently"/>
    <n v="1009"/>
    <x v="1"/>
    <n v="1"/>
    <n v="3"/>
    <s v="Medical"/>
    <n v="1"/>
    <x v="800"/>
    <n v="1"/>
    <x v="3"/>
    <x v="1"/>
    <n v="45"/>
    <n v="2"/>
    <n v="1"/>
    <x v="2"/>
    <n v="2"/>
    <x v="1"/>
    <s v="Divorced"/>
    <x v="756"/>
    <x v="1"/>
    <n v="7160"/>
    <n v="1"/>
    <s v="Y"/>
    <x v="1"/>
    <n v="15"/>
    <x v="0"/>
    <x v="0"/>
    <n v="1"/>
    <n v="80"/>
    <n v="2"/>
    <n v="1"/>
    <n v="2"/>
    <n v="3"/>
    <x v="6"/>
    <n v="0"/>
    <n v="0"/>
    <n v="0"/>
    <s v=""/>
    <x v="0"/>
    <s v=""/>
    <s v=""/>
    <s v=""/>
  </r>
  <r>
    <x v="24"/>
    <x v="1"/>
    <x v="0"/>
    <n v="1"/>
    <s v="Travel_Frequently"/>
    <n v="959"/>
    <x v="0"/>
    <n v="1"/>
    <n v="4"/>
    <s v="Other"/>
    <n v="1"/>
    <x v="801"/>
    <n v="4"/>
    <x v="2"/>
    <x v="1"/>
    <n v="81"/>
    <n v="3"/>
    <n v="2"/>
    <x v="0"/>
    <n v="3"/>
    <x v="2"/>
    <s v="Single"/>
    <x v="757"/>
    <x v="0"/>
    <n v="17251"/>
    <n v="3"/>
    <s v="Y"/>
    <x v="0"/>
    <n v="14"/>
    <x v="0"/>
    <x v="0"/>
    <n v="4"/>
    <n v="80"/>
    <n v="0"/>
    <n v="5"/>
    <n v="4"/>
    <n v="3"/>
    <x v="2"/>
    <n v="0"/>
    <n v="0"/>
    <n v="0"/>
    <s v=""/>
    <x v="0"/>
    <s v=""/>
    <s v=""/>
    <s v=""/>
  </r>
  <r>
    <x v="3"/>
    <x v="2"/>
    <x v="1"/>
    <n v="0"/>
    <s v="Travel_Frequently"/>
    <n v="970"/>
    <x v="0"/>
    <n v="7"/>
    <n v="3"/>
    <s v="Life Sciences"/>
    <n v="1"/>
    <x v="802"/>
    <n v="4"/>
    <x v="2"/>
    <x v="0"/>
    <n v="30"/>
    <n v="3"/>
    <n v="2"/>
    <x v="0"/>
    <n v="2"/>
    <x v="1"/>
    <s v="Married"/>
    <x v="758"/>
    <x v="0"/>
    <n v="13401"/>
    <n v="0"/>
    <s v="Y"/>
    <x v="1"/>
    <n v="17"/>
    <x v="2"/>
    <x v="0"/>
    <n v="3"/>
    <n v="80"/>
    <n v="1"/>
    <n v="4"/>
    <n v="3"/>
    <n v="3"/>
    <x v="11"/>
    <n v="2"/>
    <n v="0"/>
    <n v="2"/>
    <n v="2"/>
    <x v="1"/>
    <s v=""/>
    <s v=""/>
    <s v=""/>
  </r>
  <r>
    <x v="13"/>
    <x v="2"/>
    <x v="1"/>
    <n v="0"/>
    <s v="Non-Travel"/>
    <n v="697"/>
    <x v="1"/>
    <n v="3"/>
    <n v="4"/>
    <s v="Life Sciences"/>
    <n v="1"/>
    <x v="803"/>
    <n v="3"/>
    <x v="1"/>
    <x v="1"/>
    <n v="40"/>
    <n v="2"/>
    <n v="1"/>
    <x v="1"/>
    <n v="4"/>
    <x v="0"/>
    <s v="Married"/>
    <x v="759"/>
    <x v="1"/>
    <n v="22478"/>
    <n v="3"/>
    <s v="Y"/>
    <x v="1"/>
    <n v="17"/>
    <x v="2"/>
    <x v="0"/>
    <n v="4"/>
    <n v="80"/>
    <n v="3"/>
    <n v="6"/>
    <n v="2"/>
    <n v="3"/>
    <x v="2"/>
    <n v="0"/>
    <n v="0"/>
    <n v="0"/>
    <n v="3"/>
    <x v="2"/>
    <s v=""/>
    <s v=""/>
    <s v=""/>
  </r>
  <r>
    <x v="26"/>
    <x v="1"/>
    <x v="1"/>
    <n v="0"/>
    <s v="Non-Travel"/>
    <n v="1262"/>
    <x v="1"/>
    <n v="1"/>
    <n v="4"/>
    <s v="Medical"/>
    <n v="1"/>
    <x v="804"/>
    <n v="1"/>
    <x v="3"/>
    <x v="1"/>
    <n v="35"/>
    <n v="4"/>
    <n v="4"/>
    <x v="5"/>
    <n v="4"/>
    <x v="0"/>
    <s v="Single"/>
    <x v="760"/>
    <x v="4"/>
    <n v="16154"/>
    <n v="2"/>
    <s v="Y"/>
    <x v="1"/>
    <n v="22"/>
    <x v="1"/>
    <x v="1"/>
    <n v="3"/>
    <n v="80"/>
    <n v="0"/>
    <n v="27"/>
    <n v="3"/>
    <n v="2"/>
    <x v="8"/>
    <n v="4"/>
    <n v="2"/>
    <n v="1"/>
    <n v="0"/>
    <x v="1"/>
    <s v=""/>
    <s v=""/>
    <s v=""/>
  </r>
  <r>
    <x v="28"/>
    <x v="1"/>
    <x v="1"/>
    <n v="0"/>
    <s v="Non-Travel"/>
    <n v="1050"/>
    <x v="0"/>
    <n v="9"/>
    <n v="4"/>
    <s v="Life Sciences"/>
    <n v="1"/>
    <x v="805"/>
    <n v="2"/>
    <x v="0"/>
    <x v="0"/>
    <n v="65"/>
    <n v="2"/>
    <n v="2"/>
    <x v="0"/>
    <n v="3"/>
    <x v="2"/>
    <s v="Married"/>
    <x v="761"/>
    <x v="0"/>
    <n v="17970"/>
    <n v="1"/>
    <s v="Y"/>
    <x v="1"/>
    <n v="13"/>
    <x v="0"/>
    <x v="0"/>
    <n v="4"/>
    <n v="80"/>
    <n v="1"/>
    <n v="15"/>
    <n v="2"/>
    <n v="3"/>
    <x v="15"/>
    <n v="10"/>
    <n v="4"/>
    <n v="12"/>
    <n v="1"/>
    <x v="1"/>
    <s v=""/>
    <s v=""/>
    <s v=""/>
  </r>
  <r>
    <x v="39"/>
    <x v="1"/>
    <x v="1"/>
    <n v="0"/>
    <s v="Travel_Rarely"/>
    <n v="994"/>
    <x v="1"/>
    <n v="7"/>
    <n v="4"/>
    <s v="Life Sciences"/>
    <n v="1"/>
    <x v="806"/>
    <n v="2"/>
    <x v="0"/>
    <x v="1"/>
    <n v="87"/>
    <n v="3"/>
    <n v="3"/>
    <x v="4"/>
    <n v="2"/>
    <x v="1"/>
    <s v="Single"/>
    <x v="762"/>
    <x v="2"/>
    <n v="15322"/>
    <n v="7"/>
    <s v="Y"/>
    <x v="1"/>
    <n v="19"/>
    <x v="2"/>
    <x v="0"/>
    <n v="4"/>
    <n v="80"/>
    <n v="0"/>
    <n v="18"/>
    <n v="4"/>
    <n v="3"/>
    <x v="3"/>
    <n v="6"/>
    <n v="4"/>
    <n v="0"/>
    <n v="0"/>
    <x v="1"/>
    <s v=""/>
    <s v=""/>
    <s v=""/>
  </r>
  <r>
    <x v="8"/>
    <x v="0"/>
    <x v="1"/>
    <n v="0"/>
    <s v="Travel_Rarely"/>
    <n v="770"/>
    <x v="0"/>
    <n v="10"/>
    <n v="4"/>
    <s v="Marketing"/>
    <n v="1"/>
    <x v="807"/>
    <n v="3"/>
    <x v="1"/>
    <x v="1"/>
    <n v="73"/>
    <n v="2"/>
    <n v="3"/>
    <x v="0"/>
    <n v="3"/>
    <x v="2"/>
    <s v="Divorced"/>
    <x v="763"/>
    <x v="2"/>
    <n v="5569"/>
    <n v="0"/>
    <s v="Y"/>
    <x v="0"/>
    <n v="14"/>
    <x v="0"/>
    <x v="0"/>
    <n v="2"/>
    <n v="80"/>
    <n v="2"/>
    <n v="9"/>
    <n v="2"/>
    <n v="3"/>
    <x v="3"/>
    <n v="7"/>
    <n v="2"/>
    <n v="7"/>
    <n v="2"/>
    <x v="1"/>
    <s v=""/>
    <s v=""/>
    <s v=""/>
  </r>
  <r>
    <x v="11"/>
    <x v="2"/>
    <x v="1"/>
    <n v="0"/>
    <s v="Travel_Rarely"/>
    <n v="1107"/>
    <x v="1"/>
    <n v="28"/>
    <n v="4"/>
    <s v="Life Sciences"/>
    <n v="1"/>
    <x v="808"/>
    <n v="3"/>
    <x v="1"/>
    <x v="0"/>
    <n v="93"/>
    <n v="3"/>
    <n v="1"/>
    <x v="1"/>
    <n v="4"/>
    <x v="0"/>
    <s v="Divorced"/>
    <x v="764"/>
    <x v="1"/>
    <n v="26968"/>
    <n v="4"/>
    <s v="Y"/>
    <x v="1"/>
    <n v="22"/>
    <x v="1"/>
    <x v="1"/>
    <n v="1"/>
    <n v="80"/>
    <n v="1"/>
    <n v="11"/>
    <n v="1"/>
    <n v="3"/>
    <x v="5"/>
    <n v="5"/>
    <n v="1"/>
    <n v="7"/>
    <n v="3"/>
    <x v="2"/>
    <s v=""/>
    <s v=""/>
    <s v=""/>
  </r>
  <r>
    <x v="14"/>
    <x v="2"/>
    <x v="1"/>
    <n v="0"/>
    <s v="Travel_Rarely"/>
    <n v="950"/>
    <x v="1"/>
    <n v="3"/>
    <n v="3"/>
    <s v="Medical"/>
    <n v="1"/>
    <x v="809"/>
    <n v="4"/>
    <x v="2"/>
    <x v="0"/>
    <n v="93"/>
    <n v="3"/>
    <n v="3"/>
    <x v="3"/>
    <n v="2"/>
    <x v="1"/>
    <s v="Divorced"/>
    <x v="765"/>
    <x v="0"/>
    <n v="8039"/>
    <n v="0"/>
    <s v="Y"/>
    <x v="1"/>
    <n v="17"/>
    <x v="2"/>
    <x v="0"/>
    <n v="2"/>
    <n v="80"/>
    <n v="3"/>
    <n v="10"/>
    <n v="3"/>
    <n v="2"/>
    <x v="7"/>
    <n v="7"/>
    <n v="1"/>
    <n v="7"/>
    <n v="2"/>
    <x v="1"/>
    <s v=""/>
    <s v=""/>
    <s v=""/>
  </r>
  <r>
    <x v="21"/>
    <x v="1"/>
    <x v="1"/>
    <n v="0"/>
    <s v="Travel_Rarely"/>
    <n v="406"/>
    <x v="0"/>
    <n v="3"/>
    <n v="1"/>
    <s v="Marketing"/>
    <n v="1"/>
    <x v="810"/>
    <n v="1"/>
    <x v="3"/>
    <x v="1"/>
    <n v="52"/>
    <n v="3"/>
    <n v="4"/>
    <x v="5"/>
    <n v="3"/>
    <x v="2"/>
    <s v="Married"/>
    <x v="766"/>
    <x v="4"/>
    <n v="15596"/>
    <n v="3"/>
    <s v="Y"/>
    <x v="1"/>
    <n v="12"/>
    <x v="0"/>
    <x v="0"/>
    <n v="4"/>
    <n v="80"/>
    <n v="1"/>
    <n v="23"/>
    <n v="3"/>
    <n v="3"/>
    <x v="12"/>
    <n v="9"/>
    <n v="4"/>
    <n v="9"/>
    <n v="0"/>
    <x v="1"/>
    <s v=""/>
    <s v=""/>
    <s v=""/>
  </r>
  <r>
    <x v="8"/>
    <x v="0"/>
    <x v="1"/>
    <n v="0"/>
    <s v="Travel_Rarely"/>
    <n v="130"/>
    <x v="0"/>
    <n v="2"/>
    <n v="2"/>
    <s v="Marketing"/>
    <n v="1"/>
    <x v="811"/>
    <n v="4"/>
    <x v="2"/>
    <x v="1"/>
    <n v="32"/>
    <n v="3"/>
    <n v="3"/>
    <x v="0"/>
    <n v="2"/>
    <x v="1"/>
    <s v="Single"/>
    <x v="767"/>
    <x v="0"/>
    <n v="20619"/>
    <n v="7"/>
    <s v="Y"/>
    <x v="1"/>
    <n v="16"/>
    <x v="2"/>
    <x v="0"/>
    <n v="3"/>
    <n v="80"/>
    <n v="0"/>
    <n v="10"/>
    <n v="2"/>
    <n v="3"/>
    <x v="6"/>
    <n v="0"/>
    <n v="0"/>
    <n v="0"/>
    <n v="1"/>
    <x v="1"/>
    <s v=""/>
    <s v=""/>
    <s v=""/>
  </r>
  <r>
    <x v="23"/>
    <x v="0"/>
    <x v="1"/>
    <n v="0"/>
    <s v="Travel_Frequently"/>
    <n v="1082"/>
    <x v="1"/>
    <n v="27"/>
    <n v="3"/>
    <s v="Life Sciences"/>
    <n v="1"/>
    <x v="812"/>
    <n v="3"/>
    <x v="1"/>
    <x v="0"/>
    <n v="83"/>
    <n v="3"/>
    <n v="3"/>
    <x v="3"/>
    <n v="1"/>
    <x v="3"/>
    <s v="Married"/>
    <x v="768"/>
    <x v="2"/>
    <n v="11535"/>
    <n v="8"/>
    <s v="Y"/>
    <x v="1"/>
    <n v="11"/>
    <x v="0"/>
    <x v="0"/>
    <n v="3"/>
    <n v="80"/>
    <n v="1"/>
    <n v="18"/>
    <n v="1"/>
    <n v="3"/>
    <x v="3"/>
    <n v="7"/>
    <n v="0"/>
    <n v="1"/>
    <n v="2"/>
    <x v="1"/>
    <s v=""/>
    <s v=""/>
    <s v=""/>
  </r>
  <r>
    <x v="22"/>
    <x v="0"/>
    <x v="0"/>
    <n v="1"/>
    <s v="Travel_Frequently"/>
    <n v="203"/>
    <x v="1"/>
    <n v="2"/>
    <n v="3"/>
    <s v="Life Sciences"/>
    <n v="1"/>
    <x v="813"/>
    <n v="1"/>
    <x v="3"/>
    <x v="1"/>
    <n v="84"/>
    <n v="3"/>
    <n v="4"/>
    <x v="4"/>
    <n v="4"/>
    <x v="0"/>
    <s v="Divorced"/>
    <x v="769"/>
    <x v="3"/>
    <n v="13547"/>
    <n v="7"/>
    <s v="Y"/>
    <x v="1"/>
    <n v="11"/>
    <x v="0"/>
    <x v="0"/>
    <n v="4"/>
    <n v="80"/>
    <n v="3"/>
    <n v="21"/>
    <n v="4"/>
    <n v="3"/>
    <x v="29"/>
    <n v="7"/>
    <n v="11"/>
    <n v="5"/>
    <s v=""/>
    <x v="0"/>
    <s v=""/>
    <s v=""/>
    <s v=""/>
  </r>
  <r>
    <x v="32"/>
    <x v="0"/>
    <x v="1"/>
    <n v="0"/>
    <s v="Travel_Rarely"/>
    <n v="1308"/>
    <x v="1"/>
    <n v="14"/>
    <n v="3"/>
    <s v="Medical"/>
    <n v="1"/>
    <x v="814"/>
    <n v="3"/>
    <x v="1"/>
    <x v="1"/>
    <n v="44"/>
    <n v="2"/>
    <n v="5"/>
    <x v="7"/>
    <n v="3"/>
    <x v="2"/>
    <s v="Single"/>
    <x v="770"/>
    <x v="4"/>
    <n v="17544"/>
    <n v="1"/>
    <s v="Y"/>
    <x v="1"/>
    <n v="14"/>
    <x v="0"/>
    <x v="0"/>
    <n v="1"/>
    <n v="80"/>
    <n v="0"/>
    <n v="21"/>
    <n v="2"/>
    <n v="4"/>
    <x v="23"/>
    <n v="7"/>
    <n v="4"/>
    <n v="9"/>
    <n v="0"/>
    <x v="1"/>
    <s v=""/>
    <s v=""/>
    <s v=""/>
  </r>
  <r>
    <x v="18"/>
    <x v="4"/>
    <x v="1"/>
    <n v="0"/>
    <s v="Travel_Rarely"/>
    <n v="984"/>
    <x v="1"/>
    <n v="1"/>
    <n v="1"/>
    <s v="Technical Degree"/>
    <n v="1"/>
    <x v="815"/>
    <n v="4"/>
    <x v="2"/>
    <x v="0"/>
    <n v="70"/>
    <n v="2"/>
    <n v="1"/>
    <x v="1"/>
    <n v="2"/>
    <x v="1"/>
    <s v="Single"/>
    <x v="266"/>
    <x v="1"/>
    <n v="25326"/>
    <n v="1"/>
    <s v="Y"/>
    <x v="0"/>
    <n v="11"/>
    <x v="0"/>
    <x v="0"/>
    <n v="3"/>
    <n v="80"/>
    <n v="0"/>
    <n v="2"/>
    <n v="6"/>
    <n v="4"/>
    <x v="4"/>
    <n v="2"/>
    <n v="2"/>
    <n v="2"/>
    <n v="6"/>
    <x v="3"/>
    <n v="45"/>
    <s v=""/>
    <n v="58869"/>
  </r>
  <r>
    <x v="22"/>
    <x v="0"/>
    <x v="1"/>
    <n v="0"/>
    <s v="Non-Travel"/>
    <n v="439"/>
    <x v="1"/>
    <n v="9"/>
    <n v="3"/>
    <s v="Life Sciences"/>
    <n v="1"/>
    <x v="816"/>
    <n v="3"/>
    <x v="1"/>
    <x v="1"/>
    <n v="70"/>
    <n v="3"/>
    <n v="2"/>
    <x v="2"/>
    <n v="2"/>
    <x v="1"/>
    <s v="Single"/>
    <x v="771"/>
    <x v="0"/>
    <n v="8770"/>
    <n v="9"/>
    <s v="Y"/>
    <x v="1"/>
    <n v="15"/>
    <x v="0"/>
    <x v="0"/>
    <n v="3"/>
    <n v="80"/>
    <n v="0"/>
    <n v="9"/>
    <n v="2"/>
    <n v="2"/>
    <x v="8"/>
    <n v="4"/>
    <n v="0"/>
    <n v="3"/>
    <n v="2"/>
    <x v="1"/>
    <s v=""/>
    <s v=""/>
    <s v=""/>
  </r>
  <r>
    <x v="9"/>
    <x v="0"/>
    <x v="1"/>
    <n v="0"/>
    <s v="Non-Travel"/>
    <n v="217"/>
    <x v="1"/>
    <n v="18"/>
    <n v="4"/>
    <s v="Life Sciences"/>
    <n v="1"/>
    <x v="817"/>
    <n v="1"/>
    <x v="3"/>
    <x v="1"/>
    <n v="78"/>
    <n v="3"/>
    <n v="2"/>
    <x v="3"/>
    <n v="4"/>
    <x v="0"/>
    <s v="Single"/>
    <x v="772"/>
    <x v="0"/>
    <n v="23238"/>
    <n v="2"/>
    <s v="Y"/>
    <x v="1"/>
    <n v="20"/>
    <x v="2"/>
    <x v="1"/>
    <n v="1"/>
    <n v="80"/>
    <n v="0"/>
    <n v="18"/>
    <n v="0"/>
    <n v="3"/>
    <x v="19"/>
    <n v="9"/>
    <n v="0"/>
    <n v="9"/>
    <n v="1"/>
    <x v="1"/>
    <s v=""/>
    <s v=""/>
    <s v=""/>
  </r>
  <r>
    <x v="12"/>
    <x v="2"/>
    <x v="1"/>
    <n v="0"/>
    <s v="Travel_Frequently"/>
    <n v="793"/>
    <x v="0"/>
    <n v="20"/>
    <n v="3"/>
    <s v="Life Sciences"/>
    <n v="1"/>
    <x v="818"/>
    <n v="3"/>
    <x v="1"/>
    <x v="1"/>
    <n v="67"/>
    <n v="4"/>
    <n v="1"/>
    <x v="6"/>
    <n v="4"/>
    <x v="0"/>
    <s v="Married"/>
    <x v="773"/>
    <x v="1"/>
    <n v="21981"/>
    <n v="0"/>
    <s v="Y"/>
    <x v="1"/>
    <n v="12"/>
    <x v="0"/>
    <x v="0"/>
    <n v="1"/>
    <n v="80"/>
    <n v="1"/>
    <n v="3"/>
    <n v="4"/>
    <n v="3"/>
    <x v="4"/>
    <n v="2"/>
    <n v="2"/>
    <n v="2"/>
    <n v="5"/>
    <x v="2"/>
    <s v=""/>
    <s v=""/>
    <s v=""/>
  </r>
  <r>
    <x v="14"/>
    <x v="2"/>
    <x v="1"/>
    <n v="0"/>
    <s v="Travel_Rarely"/>
    <n v="1451"/>
    <x v="1"/>
    <n v="2"/>
    <n v="1"/>
    <s v="Life Sciences"/>
    <n v="1"/>
    <x v="819"/>
    <n v="1"/>
    <x v="3"/>
    <x v="1"/>
    <n v="67"/>
    <n v="2"/>
    <n v="1"/>
    <x v="1"/>
    <n v="2"/>
    <x v="1"/>
    <s v="Married"/>
    <x v="774"/>
    <x v="1"/>
    <n v="19911"/>
    <n v="0"/>
    <s v="Y"/>
    <x v="1"/>
    <n v="17"/>
    <x v="2"/>
    <x v="0"/>
    <n v="1"/>
    <n v="80"/>
    <n v="0"/>
    <n v="6"/>
    <n v="2"/>
    <n v="1"/>
    <x v="8"/>
    <n v="3"/>
    <n v="0"/>
    <n v="4"/>
    <n v="3"/>
    <x v="2"/>
    <s v=""/>
    <s v=""/>
    <s v=""/>
  </r>
  <r>
    <x v="10"/>
    <x v="0"/>
    <x v="1"/>
    <n v="0"/>
    <s v="Travel_Frequently"/>
    <n v="1182"/>
    <x v="0"/>
    <n v="11"/>
    <n v="2"/>
    <s v="Marketing"/>
    <n v="1"/>
    <x v="820"/>
    <n v="4"/>
    <x v="2"/>
    <x v="1"/>
    <n v="54"/>
    <n v="3"/>
    <n v="2"/>
    <x v="0"/>
    <n v="4"/>
    <x v="0"/>
    <s v="Divorced"/>
    <x v="775"/>
    <x v="0"/>
    <n v="18500"/>
    <n v="1"/>
    <s v="Y"/>
    <x v="1"/>
    <n v="11"/>
    <x v="0"/>
    <x v="0"/>
    <n v="4"/>
    <n v="80"/>
    <n v="1"/>
    <n v="5"/>
    <n v="3"/>
    <n v="3"/>
    <x v="8"/>
    <n v="2"/>
    <n v="0"/>
    <n v="2"/>
    <n v="1"/>
    <x v="1"/>
    <s v=""/>
    <s v=""/>
    <s v=""/>
  </r>
  <r>
    <x v="1"/>
    <x v="1"/>
    <x v="1"/>
    <n v="0"/>
    <s v="Travel_Rarely"/>
    <n v="174"/>
    <x v="0"/>
    <n v="8"/>
    <n v="4"/>
    <s v="Technical Degree"/>
    <n v="1"/>
    <x v="821"/>
    <n v="4"/>
    <x v="2"/>
    <x v="1"/>
    <n v="56"/>
    <n v="2"/>
    <n v="4"/>
    <x v="0"/>
    <n v="2"/>
    <x v="1"/>
    <s v="Married"/>
    <x v="776"/>
    <x v="3"/>
    <n v="11879"/>
    <n v="6"/>
    <s v="Y"/>
    <x v="1"/>
    <n v="17"/>
    <x v="2"/>
    <x v="0"/>
    <n v="2"/>
    <n v="80"/>
    <n v="1"/>
    <n v="22"/>
    <n v="3"/>
    <n v="3"/>
    <x v="7"/>
    <n v="8"/>
    <n v="2"/>
    <n v="3"/>
    <n v="0"/>
    <x v="1"/>
    <s v=""/>
    <s v=""/>
    <s v=""/>
  </r>
  <r>
    <x v="13"/>
    <x v="2"/>
    <x v="1"/>
    <n v="0"/>
    <s v="Travel_Frequently"/>
    <n v="1003"/>
    <x v="1"/>
    <n v="2"/>
    <n v="2"/>
    <s v="Life Sciences"/>
    <n v="1"/>
    <x v="822"/>
    <n v="4"/>
    <x v="2"/>
    <x v="1"/>
    <n v="95"/>
    <n v="3"/>
    <n v="2"/>
    <x v="3"/>
    <n v="3"/>
    <x v="2"/>
    <s v="Single"/>
    <x v="777"/>
    <x v="0"/>
    <n v="15834"/>
    <n v="2"/>
    <s v="Y"/>
    <x v="1"/>
    <n v="11"/>
    <x v="0"/>
    <x v="0"/>
    <n v="4"/>
    <n v="80"/>
    <n v="0"/>
    <n v="5"/>
    <n v="3"/>
    <n v="2"/>
    <x v="11"/>
    <n v="2"/>
    <n v="0"/>
    <n v="2"/>
    <n v="2"/>
    <x v="1"/>
    <s v=""/>
    <s v=""/>
    <s v=""/>
  </r>
  <r>
    <x v="11"/>
    <x v="2"/>
    <x v="1"/>
    <n v="0"/>
    <s v="Travel_Frequently"/>
    <n v="490"/>
    <x v="1"/>
    <n v="10"/>
    <n v="3"/>
    <s v="Life Sciences"/>
    <n v="1"/>
    <x v="823"/>
    <n v="4"/>
    <x v="2"/>
    <x v="0"/>
    <n v="61"/>
    <n v="3"/>
    <n v="1"/>
    <x v="1"/>
    <n v="2"/>
    <x v="1"/>
    <s v="Divorced"/>
    <x v="778"/>
    <x v="1"/>
    <n v="17940"/>
    <n v="0"/>
    <s v="Y"/>
    <x v="1"/>
    <n v="14"/>
    <x v="0"/>
    <x v="0"/>
    <n v="4"/>
    <n v="80"/>
    <n v="2"/>
    <n v="8"/>
    <n v="2"/>
    <n v="2"/>
    <x v="5"/>
    <n v="5"/>
    <n v="1"/>
    <n v="1"/>
    <n v="3"/>
    <x v="2"/>
    <s v=""/>
    <s v=""/>
    <s v=""/>
  </r>
  <r>
    <x v="19"/>
    <x v="0"/>
    <x v="1"/>
    <n v="0"/>
    <s v="Travel_Rarely"/>
    <n v="188"/>
    <x v="1"/>
    <n v="29"/>
    <n v="3"/>
    <s v="Medical"/>
    <n v="1"/>
    <x v="824"/>
    <n v="2"/>
    <x v="0"/>
    <x v="1"/>
    <n v="56"/>
    <n v="1"/>
    <n v="2"/>
    <x v="2"/>
    <n v="4"/>
    <x v="0"/>
    <s v="Single"/>
    <x v="779"/>
    <x v="0"/>
    <n v="9558"/>
    <n v="4"/>
    <s v="Y"/>
    <x v="1"/>
    <n v="19"/>
    <x v="2"/>
    <x v="0"/>
    <n v="1"/>
    <n v="80"/>
    <n v="0"/>
    <n v="16"/>
    <n v="3"/>
    <n v="3"/>
    <x v="6"/>
    <n v="0"/>
    <n v="0"/>
    <n v="0"/>
    <n v="2"/>
    <x v="1"/>
    <s v=""/>
    <s v=""/>
    <s v=""/>
  </r>
  <r>
    <x v="11"/>
    <x v="2"/>
    <x v="1"/>
    <n v="0"/>
    <s v="Travel_Rarely"/>
    <n v="718"/>
    <x v="1"/>
    <n v="8"/>
    <n v="1"/>
    <s v="Medical"/>
    <n v="1"/>
    <x v="825"/>
    <n v="2"/>
    <x v="0"/>
    <x v="1"/>
    <n v="79"/>
    <n v="2"/>
    <n v="2"/>
    <x v="3"/>
    <n v="4"/>
    <x v="0"/>
    <s v="Married"/>
    <x v="780"/>
    <x v="0"/>
    <n v="17689"/>
    <n v="1"/>
    <s v="Y"/>
    <x v="0"/>
    <n v="15"/>
    <x v="0"/>
    <x v="0"/>
    <n v="3"/>
    <n v="80"/>
    <n v="1"/>
    <n v="10"/>
    <n v="2"/>
    <n v="2"/>
    <x v="1"/>
    <n v="7"/>
    <n v="1"/>
    <n v="2"/>
    <n v="4"/>
    <x v="2"/>
    <s v=""/>
    <s v=""/>
    <s v=""/>
  </r>
  <r>
    <x v="8"/>
    <x v="0"/>
    <x v="1"/>
    <n v="0"/>
    <s v="Travel_Rarely"/>
    <n v="433"/>
    <x v="2"/>
    <n v="1"/>
    <n v="3"/>
    <s v="Human Resources"/>
    <n v="1"/>
    <x v="826"/>
    <n v="3"/>
    <x v="1"/>
    <x v="1"/>
    <n v="37"/>
    <n v="4"/>
    <n v="1"/>
    <x v="8"/>
    <n v="3"/>
    <x v="2"/>
    <s v="Married"/>
    <x v="781"/>
    <x v="1"/>
    <n v="6004"/>
    <n v="1"/>
    <s v="Y"/>
    <x v="1"/>
    <n v="13"/>
    <x v="0"/>
    <x v="0"/>
    <n v="4"/>
    <n v="80"/>
    <n v="1"/>
    <n v="7"/>
    <n v="2"/>
    <n v="4"/>
    <x v="5"/>
    <n v="6"/>
    <n v="5"/>
    <n v="0"/>
    <n v="3"/>
    <x v="2"/>
    <s v=""/>
    <s v=""/>
    <s v=""/>
  </r>
  <r>
    <x v="14"/>
    <x v="2"/>
    <x v="1"/>
    <n v="0"/>
    <s v="Travel_Frequently"/>
    <n v="773"/>
    <x v="1"/>
    <n v="6"/>
    <n v="3"/>
    <s v="Life Sciences"/>
    <n v="1"/>
    <x v="827"/>
    <n v="3"/>
    <x v="1"/>
    <x v="1"/>
    <n v="39"/>
    <n v="2"/>
    <n v="1"/>
    <x v="1"/>
    <n v="3"/>
    <x v="2"/>
    <s v="Divorced"/>
    <x v="68"/>
    <x v="1"/>
    <n v="22088"/>
    <n v="1"/>
    <s v="Y"/>
    <x v="0"/>
    <n v="14"/>
    <x v="0"/>
    <x v="0"/>
    <n v="4"/>
    <n v="80"/>
    <n v="1"/>
    <n v="3"/>
    <n v="2"/>
    <n v="3"/>
    <x v="11"/>
    <n v="1"/>
    <n v="0"/>
    <n v="2"/>
    <n v="5"/>
    <x v="2"/>
    <s v=""/>
    <s v=""/>
    <s v=""/>
  </r>
  <r>
    <x v="41"/>
    <x v="4"/>
    <x v="0"/>
    <n v="1"/>
    <s v="Non-Travel"/>
    <n v="247"/>
    <x v="1"/>
    <n v="8"/>
    <n v="1"/>
    <s v="Medical"/>
    <n v="1"/>
    <x v="828"/>
    <n v="3"/>
    <x v="1"/>
    <x v="1"/>
    <n v="80"/>
    <n v="3"/>
    <n v="1"/>
    <x v="2"/>
    <n v="3"/>
    <x v="2"/>
    <s v="Single"/>
    <x v="782"/>
    <x v="1"/>
    <n v="13556"/>
    <n v="1"/>
    <s v="Y"/>
    <x v="1"/>
    <n v="12"/>
    <x v="0"/>
    <x v="0"/>
    <n v="4"/>
    <n v="80"/>
    <n v="0"/>
    <n v="0"/>
    <n v="0"/>
    <n v="3"/>
    <x v="2"/>
    <n v="0"/>
    <n v="0"/>
    <n v="0"/>
    <s v=""/>
    <x v="0"/>
    <s v=""/>
    <s v=""/>
    <s v=""/>
  </r>
  <r>
    <x v="3"/>
    <x v="2"/>
    <x v="0"/>
    <n v="1"/>
    <s v="Travel_Rarely"/>
    <n v="603"/>
    <x v="0"/>
    <n v="9"/>
    <n v="4"/>
    <s v="Marketing"/>
    <n v="1"/>
    <x v="829"/>
    <n v="1"/>
    <x v="3"/>
    <x v="0"/>
    <n v="77"/>
    <n v="3"/>
    <n v="2"/>
    <x v="0"/>
    <n v="1"/>
    <x v="3"/>
    <s v="Single"/>
    <x v="783"/>
    <x v="2"/>
    <n v="18385"/>
    <n v="0"/>
    <s v="Y"/>
    <x v="0"/>
    <n v="17"/>
    <x v="2"/>
    <x v="0"/>
    <n v="1"/>
    <n v="80"/>
    <n v="0"/>
    <n v="6"/>
    <n v="3"/>
    <n v="3"/>
    <x v="8"/>
    <n v="2"/>
    <n v="0"/>
    <n v="3"/>
    <s v=""/>
    <x v="0"/>
    <s v=""/>
    <s v=""/>
    <s v=""/>
  </r>
  <r>
    <x v="0"/>
    <x v="0"/>
    <x v="1"/>
    <n v="0"/>
    <s v="Travel_Rarely"/>
    <n v="167"/>
    <x v="1"/>
    <n v="12"/>
    <n v="4"/>
    <s v="Life Sciences"/>
    <n v="1"/>
    <x v="830"/>
    <n v="2"/>
    <x v="0"/>
    <x v="1"/>
    <n v="46"/>
    <n v="3"/>
    <n v="1"/>
    <x v="2"/>
    <n v="4"/>
    <x v="0"/>
    <s v="Married"/>
    <x v="784"/>
    <x v="0"/>
    <n v="9051"/>
    <n v="3"/>
    <s v="Y"/>
    <x v="0"/>
    <n v="11"/>
    <x v="0"/>
    <x v="0"/>
    <n v="1"/>
    <n v="80"/>
    <n v="1"/>
    <n v="6"/>
    <n v="4"/>
    <n v="3"/>
    <x v="6"/>
    <n v="0"/>
    <n v="0"/>
    <n v="0"/>
    <n v="4"/>
    <x v="2"/>
    <s v=""/>
    <s v=""/>
    <s v=""/>
  </r>
  <r>
    <x v="12"/>
    <x v="2"/>
    <x v="0"/>
    <n v="1"/>
    <s v="Travel_Frequently"/>
    <n v="874"/>
    <x v="1"/>
    <n v="15"/>
    <n v="3"/>
    <s v="Medical"/>
    <n v="1"/>
    <x v="831"/>
    <n v="3"/>
    <x v="1"/>
    <x v="1"/>
    <n v="72"/>
    <n v="3"/>
    <n v="1"/>
    <x v="2"/>
    <n v="3"/>
    <x v="2"/>
    <s v="Married"/>
    <x v="353"/>
    <x v="1"/>
    <n v="6233"/>
    <n v="1"/>
    <s v="Y"/>
    <x v="1"/>
    <n v="12"/>
    <x v="0"/>
    <x v="0"/>
    <n v="3"/>
    <n v="80"/>
    <n v="1"/>
    <n v="2"/>
    <n v="5"/>
    <n v="2"/>
    <x v="4"/>
    <n v="2"/>
    <n v="2"/>
    <n v="2"/>
    <s v=""/>
    <x v="0"/>
    <s v=""/>
    <s v=""/>
    <s v=""/>
  </r>
  <r>
    <x v="2"/>
    <x v="0"/>
    <x v="1"/>
    <n v="0"/>
    <s v="Travel_Rarely"/>
    <n v="367"/>
    <x v="1"/>
    <n v="25"/>
    <n v="2"/>
    <s v="Medical"/>
    <n v="1"/>
    <x v="832"/>
    <n v="3"/>
    <x v="1"/>
    <x v="0"/>
    <n v="52"/>
    <n v="2"/>
    <n v="2"/>
    <x v="4"/>
    <n v="4"/>
    <x v="0"/>
    <s v="Divorced"/>
    <x v="785"/>
    <x v="0"/>
    <n v="17171"/>
    <n v="7"/>
    <s v="Y"/>
    <x v="1"/>
    <n v="13"/>
    <x v="0"/>
    <x v="0"/>
    <n v="3"/>
    <n v="80"/>
    <n v="2"/>
    <n v="9"/>
    <n v="2"/>
    <n v="3"/>
    <x v="0"/>
    <n v="2"/>
    <n v="1"/>
    <n v="3"/>
    <n v="1"/>
    <x v="1"/>
    <s v=""/>
    <s v=""/>
    <s v=""/>
  </r>
  <r>
    <x v="4"/>
    <x v="2"/>
    <x v="1"/>
    <n v="0"/>
    <s v="Travel_Rarely"/>
    <n v="199"/>
    <x v="1"/>
    <n v="6"/>
    <n v="3"/>
    <s v="Life Sciences"/>
    <n v="1"/>
    <x v="833"/>
    <n v="4"/>
    <x v="2"/>
    <x v="1"/>
    <n v="55"/>
    <n v="2"/>
    <n v="1"/>
    <x v="1"/>
    <n v="3"/>
    <x v="2"/>
    <s v="Married"/>
    <x v="786"/>
    <x v="1"/>
    <n v="7950"/>
    <n v="1"/>
    <s v="Y"/>
    <x v="1"/>
    <n v="13"/>
    <x v="0"/>
    <x v="0"/>
    <n v="3"/>
    <n v="80"/>
    <n v="1"/>
    <n v="4"/>
    <n v="0"/>
    <n v="3"/>
    <x v="9"/>
    <n v="2"/>
    <n v="2"/>
    <n v="2"/>
    <n v="3"/>
    <x v="2"/>
    <s v=""/>
    <s v=""/>
    <s v=""/>
  </r>
  <r>
    <x v="13"/>
    <x v="2"/>
    <x v="1"/>
    <n v="0"/>
    <s v="Travel_Rarely"/>
    <n v="1400"/>
    <x v="0"/>
    <n v="9"/>
    <n v="1"/>
    <s v="Life Sciences"/>
    <n v="1"/>
    <x v="834"/>
    <n v="2"/>
    <x v="0"/>
    <x v="0"/>
    <n v="70"/>
    <n v="3"/>
    <n v="2"/>
    <x v="0"/>
    <n v="3"/>
    <x v="2"/>
    <s v="Married"/>
    <x v="787"/>
    <x v="0"/>
    <n v="5829"/>
    <n v="1"/>
    <s v="Y"/>
    <x v="1"/>
    <n v="20"/>
    <x v="2"/>
    <x v="1"/>
    <n v="1"/>
    <n v="80"/>
    <n v="0"/>
    <n v="6"/>
    <n v="3"/>
    <n v="2"/>
    <x v="0"/>
    <n v="5"/>
    <n v="1"/>
    <n v="3"/>
    <n v="2"/>
    <x v="1"/>
    <s v=""/>
    <s v=""/>
    <s v=""/>
  </r>
  <r>
    <x v="10"/>
    <x v="0"/>
    <x v="1"/>
    <n v="0"/>
    <s v="Travel_Rarely"/>
    <n v="528"/>
    <x v="2"/>
    <n v="8"/>
    <n v="4"/>
    <s v="Technical Degree"/>
    <n v="1"/>
    <x v="835"/>
    <n v="3"/>
    <x v="1"/>
    <x v="1"/>
    <n v="100"/>
    <n v="3"/>
    <n v="1"/>
    <x v="8"/>
    <n v="3"/>
    <x v="2"/>
    <s v="Single"/>
    <x v="788"/>
    <x v="0"/>
    <n v="7108"/>
    <n v="1"/>
    <s v="Y"/>
    <x v="1"/>
    <n v="17"/>
    <x v="2"/>
    <x v="0"/>
    <n v="2"/>
    <n v="80"/>
    <n v="0"/>
    <n v="6"/>
    <n v="2"/>
    <n v="1"/>
    <x v="8"/>
    <n v="4"/>
    <n v="1"/>
    <n v="4"/>
    <n v="2"/>
    <x v="1"/>
    <s v=""/>
    <s v=""/>
    <s v=""/>
  </r>
  <r>
    <x v="11"/>
    <x v="2"/>
    <x v="0"/>
    <n v="1"/>
    <s v="Travel_Rarely"/>
    <n v="408"/>
    <x v="0"/>
    <n v="23"/>
    <n v="1"/>
    <s v="Life Sciences"/>
    <n v="1"/>
    <x v="836"/>
    <n v="4"/>
    <x v="2"/>
    <x v="0"/>
    <n v="45"/>
    <n v="2"/>
    <n v="3"/>
    <x v="0"/>
    <n v="1"/>
    <x v="3"/>
    <s v="Married"/>
    <x v="789"/>
    <x v="0"/>
    <n v="11162"/>
    <n v="1"/>
    <s v="Y"/>
    <x v="1"/>
    <n v="13"/>
    <x v="0"/>
    <x v="0"/>
    <n v="1"/>
    <n v="80"/>
    <n v="1"/>
    <n v="11"/>
    <n v="3"/>
    <n v="1"/>
    <x v="19"/>
    <n v="8"/>
    <n v="3"/>
    <n v="10"/>
    <s v=""/>
    <x v="0"/>
    <s v=""/>
    <s v=""/>
    <s v=""/>
  </r>
  <r>
    <x v="32"/>
    <x v="0"/>
    <x v="1"/>
    <n v="0"/>
    <s v="Travel_Frequently"/>
    <n v="593"/>
    <x v="1"/>
    <n v="9"/>
    <n v="4"/>
    <s v="Medical"/>
    <n v="1"/>
    <x v="837"/>
    <n v="2"/>
    <x v="0"/>
    <x v="0"/>
    <n v="88"/>
    <n v="3"/>
    <n v="3"/>
    <x v="7"/>
    <n v="3"/>
    <x v="2"/>
    <s v="Single"/>
    <x v="790"/>
    <x v="3"/>
    <n v="13782"/>
    <n v="9"/>
    <s v="Y"/>
    <x v="1"/>
    <n v="17"/>
    <x v="2"/>
    <x v="0"/>
    <n v="3"/>
    <n v="80"/>
    <n v="0"/>
    <n v="20"/>
    <n v="3"/>
    <n v="2"/>
    <x v="29"/>
    <n v="7"/>
    <n v="2"/>
    <n v="13"/>
    <n v="0"/>
    <x v="1"/>
    <s v=""/>
    <s v=""/>
    <s v=""/>
  </r>
  <r>
    <x v="19"/>
    <x v="0"/>
    <x v="0"/>
    <n v="1"/>
    <s v="Travel_Frequently"/>
    <n v="481"/>
    <x v="0"/>
    <n v="12"/>
    <n v="3"/>
    <s v="Life Sciences"/>
    <n v="1"/>
    <x v="838"/>
    <n v="3"/>
    <x v="1"/>
    <x v="1"/>
    <n v="44"/>
    <n v="3"/>
    <n v="4"/>
    <x v="0"/>
    <n v="1"/>
    <x v="3"/>
    <s v="Single"/>
    <x v="791"/>
    <x v="3"/>
    <n v="2447"/>
    <n v="0"/>
    <s v="Y"/>
    <x v="0"/>
    <n v="12"/>
    <x v="0"/>
    <x v="0"/>
    <n v="2"/>
    <n v="80"/>
    <n v="0"/>
    <n v="22"/>
    <n v="2"/>
    <n v="2"/>
    <x v="17"/>
    <n v="9"/>
    <n v="13"/>
    <n v="14"/>
    <s v=""/>
    <x v="0"/>
    <s v=""/>
    <s v=""/>
    <s v=""/>
  </r>
  <r>
    <x v="19"/>
    <x v="0"/>
    <x v="1"/>
    <n v="0"/>
    <s v="Travel_Rarely"/>
    <n v="647"/>
    <x v="0"/>
    <n v="4"/>
    <n v="4"/>
    <s v="Marketing"/>
    <n v="1"/>
    <x v="839"/>
    <n v="2"/>
    <x v="0"/>
    <x v="1"/>
    <n v="45"/>
    <n v="3"/>
    <n v="2"/>
    <x v="0"/>
    <n v="1"/>
    <x v="3"/>
    <s v="Single"/>
    <x v="792"/>
    <x v="0"/>
    <n v="2253"/>
    <n v="7"/>
    <s v="Y"/>
    <x v="1"/>
    <n v="13"/>
    <x v="0"/>
    <x v="0"/>
    <n v="4"/>
    <n v="80"/>
    <n v="0"/>
    <n v="9"/>
    <n v="3"/>
    <n v="4"/>
    <x v="0"/>
    <n v="4"/>
    <n v="1"/>
    <n v="5"/>
    <n v="3"/>
    <x v="2"/>
    <s v=""/>
    <s v=""/>
    <s v=""/>
  </r>
  <r>
    <x v="10"/>
    <x v="0"/>
    <x v="1"/>
    <n v="0"/>
    <s v="Travel_Rarely"/>
    <n v="982"/>
    <x v="1"/>
    <n v="1"/>
    <n v="4"/>
    <s v="Medical"/>
    <n v="1"/>
    <x v="840"/>
    <n v="4"/>
    <x v="2"/>
    <x v="1"/>
    <n v="58"/>
    <n v="2"/>
    <n v="1"/>
    <x v="2"/>
    <n v="3"/>
    <x v="2"/>
    <s v="Married"/>
    <x v="384"/>
    <x v="1"/>
    <n v="16340"/>
    <n v="6"/>
    <s v="Y"/>
    <x v="1"/>
    <n v="12"/>
    <x v="0"/>
    <x v="0"/>
    <n v="2"/>
    <n v="80"/>
    <n v="1"/>
    <n v="10"/>
    <n v="2"/>
    <n v="3"/>
    <x v="3"/>
    <n v="0"/>
    <n v="1"/>
    <n v="7"/>
    <n v="3"/>
    <x v="2"/>
    <s v=""/>
    <s v=""/>
    <s v=""/>
  </r>
  <r>
    <x v="17"/>
    <x v="4"/>
    <x v="1"/>
    <n v="0"/>
    <s v="Travel_Rarely"/>
    <n v="477"/>
    <x v="1"/>
    <n v="24"/>
    <n v="3"/>
    <s v="Medical"/>
    <n v="1"/>
    <x v="841"/>
    <n v="4"/>
    <x v="2"/>
    <x v="1"/>
    <n v="49"/>
    <n v="3"/>
    <n v="1"/>
    <x v="2"/>
    <n v="2"/>
    <x v="1"/>
    <s v="Single"/>
    <x v="793"/>
    <x v="1"/>
    <n v="6409"/>
    <n v="8"/>
    <s v="Y"/>
    <x v="1"/>
    <n v="22"/>
    <x v="1"/>
    <x v="1"/>
    <n v="4"/>
    <n v="80"/>
    <n v="0"/>
    <n v="6"/>
    <n v="2"/>
    <n v="3"/>
    <x v="9"/>
    <n v="3"/>
    <n v="1"/>
    <n v="2"/>
    <n v="5"/>
    <x v="2"/>
    <s v=""/>
    <s v=""/>
    <s v=""/>
  </r>
  <r>
    <x v="14"/>
    <x v="2"/>
    <x v="0"/>
    <n v="1"/>
    <s v="Travel_Rarely"/>
    <n v="1485"/>
    <x v="1"/>
    <n v="12"/>
    <n v="1"/>
    <s v="Life Sciences"/>
    <n v="1"/>
    <x v="842"/>
    <n v="3"/>
    <x v="1"/>
    <x v="0"/>
    <n v="79"/>
    <n v="3"/>
    <n v="1"/>
    <x v="2"/>
    <n v="4"/>
    <x v="0"/>
    <s v="Married"/>
    <x v="605"/>
    <x v="1"/>
    <n v="22955"/>
    <n v="1"/>
    <s v="Y"/>
    <x v="0"/>
    <n v="11"/>
    <x v="0"/>
    <x v="0"/>
    <n v="4"/>
    <n v="80"/>
    <n v="0"/>
    <n v="1"/>
    <n v="4"/>
    <n v="2"/>
    <x v="6"/>
    <n v="1"/>
    <n v="0"/>
    <n v="0"/>
    <s v=""/>
    <x v="0"/>
    <s v=""/>
    <s v=""/>
    <s v=""/>
  </r>
  <r>
    <x v="25"/>
    <x v="2"/>
    <x v="1"/>
    <n v="0"/>
    <s v="Travel_Rarely"/>
    <n v="1384"/>
    <x v="1"/>
    <n v="3"/>
    <n v="4"/>
    <s v="Medical"/>
    <n v="1"/>
    <x v="843"/>
    <n v="1"/>
    <x v="3"/>
    <x v="1"/>
    <n v="82"/>
    <n v="4"/>
    <n v="1"/>
    <x v="2"/>
    <n v="4"/>
    <x v="0"/>
    <s v="Married"/>
    <x v="794"/>
    <x v="0"/>
    <n v="13421"/>
    <n v="1"/>
    <s v="Y"/>
    <x v="1"/>
    <n v="22"/>
    <x v="1"/>
    <x v="1"/>
    <n v="2"/>
    <n v="80"/>
    <n v="1"/>
    <n v="8"/>
    <n v="2"/>
    <n v="3"/>
    <x v="3"/>
    <n v="7"/>
    <n v="0"/>
    <n v="7"/>
    <n v="3"/>
    <x v="2"/>
    <s v=""/>
    <s v=""/>
    <s v=""/>
  </r>
  <r>
    <x v="7"/>
    <x v="2"/>
    <x v="1"/>
    <n v="0"/>
    <s v="Travel_Rarely"/>
    <n v="852"/>
    <x v="0"/>
    <n v="10"/>
    <n v="3"/>
    <s v="Marketing"/>
    <n v="1"/>
    <x v="844"/>
    <n v="3"/>
    <x v="1"/>
    <x v="1"/>
    <n v="72"/>
    <n v="2"/>
    <n v="2"/>
    <x v="0"/>
    <n v="3"/>
    <x v="2"/>
    <s v="Married"/>
    <x v="795"/>
    <x v="0"/>
    <n v="2706"/>
    <n v="1"/>
    <s v="Y"/>
    <x v="1"/>
    <n v="18"/>
    <x v="2"/>
    <x v="0"/>
    <n v="1"/>
    <n v="80"/>
    <n v="1"/>
    <n v="10"/>
    <n v="3"/>
    <n v="3"/>
    <x v="1"/>
    <n v="3"/>
    <n v="1"/>
    <n v="4"/>
    <n v="2"/>
    <x v="1"/>
    <s v=""/>
    <s v=""/>
    <s v=""/>
  </r>
  <r>
    <x v="32"/>
    <x v="0"/>
    <x v="1"/>
    <n v="0"/>
    <s v="Travel_Frequently"/>
    <n v="902"/>
    <x v="1"/>
    <n v="26"/>
    <n v="2"/>
    <s v="Medical"/>
    <n v="1"/>
    <x v="845"/>
    <n v="3"/>
    <x v="1"/>
    <x v="0"/>
    <n v="92"/>
    <n v="2"/>
    <n v="2"/>
    <x v="1"/>
    <n v="4"/>
    <x v="0"/>
    <s v="Married"/>
    <x v="796"/>
    <x v="0"/>
    <n v="21203"/>
    <n v="3"/>
    <s v="Y"/>
    <x v="0"/>
    <n v="13"/>
    <x v="0"/>
    <x v="0"/>
    <n v="4"/>
    <n v="80"/>
    <n v="1"/>
    <n v="16"/>
    <n v="3"/>
    <n v="1"/>
    <x v="6"/>
    <n v="1"/>
    <n v="0"/>
    <n v="0"/>
    <n v="3"/>
    <x v="2"/>
    <s v=""/>
    <s v=""/>
    <s v=""/>
  </r>
  <r>
    <x v="10"/>
    <x v="0"/>
    <x v="1"/>
    <n v="0"/>
    <s v="Travel_Rarely"/>
    <n v="819"/>
    <x v="1"/>
    <n v="2"/>
    <n v="3"/>
    <s v="Life Sciences"/>
    <n v="1"/>
    <x v="846"/>
    <n v="3"/>
    <x v="1"/>
    <x v="1"/>
    <n v="44"/>
    <n v="2"/>
    <n v="3"/>
    <x v="3"/>
    <n v="2"/>
    <x v="1"/>
    <s v="Divorced"/>
    <x v="797"/>
    <x v="2"/>
    <n v="19588"/>
    <n v="2"/>
    <s v="Y"/>
    <x v="1"/>
    <n v="18"/>
    <x v="2"/>
    <x v="0"/>
    <n v="2"/>
    <n v="80"/>
    <n v="1"/>
    <n v="15"/>
    <n v="2"/>
    <n v="4"/>
    <x v="5"/>
    <n v="7"/>
    <n v="6"/>
    <n v="4"/>
    <n v="0"/>
    <x v="1"/>
    <s v=""/>
    <s v=""/>
    <s v=""/>
  </r>
  <r>
    <x v="13"/>
    <x v="2"/>
    <x v="1"/>
    <n v="0"/>
    <s v="Travel_Frequently"/>
    <n v="669"/>
    <x v="1"/>
    <n v="1"/>
    <n v="3"/>
    <s v="Medical"/>
    <n v="1"/>
    <x v="847"/>
    <n v="4"/>
    <x v="2"/>
    <x v="1"/>
    <n v="97"/>
    <n v="2"/>
    <n v="2"/>
    <x v="4"/>
    <n v="1"/>
    <x v="3"/>
    <s v="Single"/>
    <x v="798"/>
    <x v="0"/>
    <n v="25755"/>
    <n v="0"/>
    <s v="Y"/>
    <x v="1"/>
    <n v="20"/>
    <x v="2"/>
    <x v="1"/>
    <n v="3"/>
    <n v="80"/>
    <n v="0"/>
    <n v="14"/>
    <n v="3"/>
    <n v="3"/>
    <x v="20"/>
    <n v="9"/>
    <n v="4"/>
    <n v="9"/>
    <n v="4"/>
    <x v="2"/>
    <s v=""/>
    <s v=""/>
    <s v=""/>
  </r>
  <r>
    <x v="10"/>
    <x v="0"/>
    <x v="1"/>
    <n v="0"/>
    <s v="Travel_Frequently"/>
    <n v="636"/>
    <x v="1"/>
    <n v="4"/>
    <n v="4"/>
    <s v="Other"/>
    <n v="1"/>
    <x v="848"/>
    <n v="4"/>
    <x v="2"/>
    <x v="1"/>
    <n v="47"/>
    <n v="2"/>
    <n v="1"/>
    <x v="2"/>
    <n v="4"/>
    <x v="0"/>
    <s v="Married"/>
    <x v="799"/>
    <x v="1"/>
    <n v="26537"/>
    <n v="1"/>
    <s v="Y"/>
    <x v="1"/>
    <n v="13"/>
    <x v="0"/>
    <x v="0"/>
    <n v="2"/>
    <n v="80"/>
    <n v="1"/>
    <n v="2"/>
    <n v="2"/>
    <n v="4"/>
    <x v="4"/>
    <n v="2"/>
    <n v="2"/>
    <n v="2"/>
    <n v="3"/>
    <x v="2"/>
    <s v=""/>
    <s v=""/>
    <s v=""/>
  </r>
  <r>
    <x v="23"/>
    <x v="0"/>
    <x v="0"/>
    <n v="1"/>
    <s v="Travel_Rarely"/>
    <n v="1372"/>
    <x v="0"/>
    <n v="9"/>
    <n v="3"/>
    <s v="Marketing"/>
    <n v="1"/>
    <x v="849"/>
    <n v="1"/>
    <x v="3"/>
    <x v="0"/>
    <n v="85"/>
    <n v="1"/>
    <n v="2"/>
    <x v="0"/>
    <n v="3"/>
    <x v="2"/>
    <s v="Single"/>
    <x v="800"/>
    <x v="0"/>
    <n v="9489"/>
    <n v="8"/>
    <s v="Y"/>
    <x v="1"/>
    <n v="13"/>
    <x v="0"/>
    <x v="0"/>
    <n v="2"/>
    <n v="80"/>
    <n v="0"/>
    <n v="7"/>
    <n v="2"/>
    <n v="2"/>
    <x v="9"/>
    <n v="3"/>
    <n v="1"/>
    <n v="3"/>
    <s v=""/>
    <x v="0"/>
    <s v=""/>
    <s v=""/>
    <s v=""/>
  </r>
  <r>
    <x v="5"/>
    <x v="2"/>
    <x v="1"/>
    <n v="0"/>
    <s v="Non-Travel"/>
    <n v="862"/>
    <x v="0"/>
    <n v="2"/>
    <n v="1"/>
    <s v="Life Sciences"/>
    <n v="1"/>
    <x v="850"/>
    <n v="3"/>
    <x v="1"/>
    <x v="0"/>
    <n v="76"/>
    <n v="3"/>
    <n v="1"/>
    <x v="6"/>
    <n v="1"/>
    <x v="3"/>
    <s v="Divorced"/>
    <x v="801"/>
    <x v="1"/>
    <n v="14947"/>
    <n v="1"/>
    <s v="Y"/>
    <x v="1"/>
    <n v="12"/>
    <x v="0"/>
    <x v="0"/>
    <n v="3"/>
    <n v="80"/>
    <n v="3"/>
    <n v="1"/>
    <n v="3"/>
    <n v="3"/>
    <x v="6"/>
    <n v="0"/>
    <n v="0"/>
    <n v="0"/>
    <n v="7"/>
    <x v="3"/>
    <n v="13"/>
    <s v=""/>
    <n v="68810"/>
  </r>
  <r>
    <x v="29"/>
    <x v="3"/>
    <x v="1"/>
    <n v="0"/>
    <s v="Travel_Rarely"/>
    <n v="718"/>
    <x v="1"/>
    <n v="4"/>
    <n v="4"/>
    <s v="Technical Degree"/>
    <n v="1"/>
    <x v="851"/>
    <n v="4"/>
    <x v="2"/>
    <x v="0"/>
    <n v="92"/>
    <n v="3"/>
    <n v="5"/>
    <x v="5"/>
    <n v="1"/>
    <x v="3"/>
    <s v="Divorced"/>
    <x v="802"/>
    <x v="4"/>
    <n v="18575"/>
    <n v="4"/>
    <s v="Y"/>
    <x v="1"/>
    <n v="13"/>
    <x v="0"/>
    <x v="0"/>
    <n v="4"/>
    <n v="80"/>
    <n v="1"/>
    <n v="28"/>
    <n v="2"/>
    <n v="3"/>
    <x v="8"/>
    <n v="2"/>
    <n v="4"/>
    <n v="2"/>
    <n v="2"/>
    <x v="1"/>
    <s v=""/>
    <s v=""/>
    <s v=""/>
  </r>
  <r>
    <x v="11"/>
    <x v="2"/>
    <x v="1"/>
    <n v="0"/>
    <s v="Travel_Rarely"/>
    <n v="1401"/>
    <x v="1"/>
    <n v="6"/>
    <n v="1"/>
    <s v="Medical"/>
    <n v="1"/>
    <x v="852"/>
    <n v="2"/>
    <x v="0"/>
    <x v="0"/>
    <n v="54"/>
    <n v="3"/>
    <n v="1"/>
    <x v="2"/>
    <n v="4"/>
    <x v="0"/>
    <s v="Married"/>
    <x v="803"/>
    <x v="1"/>
    <n v="26342"/>
    <n v="1"/>
    <s v="Y"/>
    <x v="1"/>
    <n v="13"/>
    <x v="0"/>
    <x v="0"/>
    <n v="1"/>
    <n v="80"/>
    <n v="1"/>
    <n v="10"/>
    <n v="5"/>
    <n v="3"/>
    <x v="1"/>
    <n v="8"/>
    <n v="0"/>
    <n v="8"/>
    <n v="4"/>
    <x v="2"/>
    <s v=""/>
    <s v=""/>
    <s v=""/>
  </r>
  <r>
    <x v="37"/>
    <x v="4"/>
    <x v="1"/>
    <n v="0"/>
    <s v="Travel_Rarely"/>
    <n v="645"/>
    <x v="1"/>
    <n v="9"/>
    <n v="2"/>
    <s v="Life Sciences"/>
    <n v="1"/>
    <x v="853"/>
    <n v="3"/>
    <x v="1"/>
    <x v="1"/>
    <n v="54"/>
    <n v="3"/>
    <n v="1"/>
    <x v="1"/>
    <n v="1"/>
    <x v="3"/>
    <s v="Single"/>
    <x v="804"/>
    <x v="1"/>
    <n v="7172"/>
    <n v="1"/>
    <s v="Y"/>
    <x v="1"/>
    <n v="25"/>
    <x v="1"/>
    <x v="1"/>
    <n v="3"/>
    <n v="80"/>
    <n v="0"/>
    <n v="1"/>
    <n v="4"/>
    <n v="3"/>
    <x v="6"/>
    <n v="1"/>
    <n v="0"/>
    <n v="0"/>
    <n v="6"/>
    <x v="3"/>
    <n v="46"/>
    <s v=""/>
    <n v="58807"/>
  </r>
  <r>
    <x v="28"/>
    <x v="1"/>
    <x v="1"/>
    <n v="0"/>
    <s v="Travel_Rarely"/>
    <n v="1457"/>
    <x v="1"/>
    <n v="7"/>
    <n v="3"/>
    <s v="Medical"/>
    <n v="1"/>
    <x v="854"/>
    <n v="1"/>
    <x v="3"/>
    <x v="0"/>
    <n v="83"/>
    <n v="3"/>
    <n v="1"/>
    <x v="1"/>
    <n v="3"/>
    <x v="2"/>
    <s v="Married"/>
    <x v="805"/>
    <x v="0"/>
    <n v="20100"/>
    <n v="4"/>
    <s v="Y"/>
    <x v="0"/>
    <n v="19"/>
    <x v="2"/>
    <x v="0"/>
    <n v="3"/>
    <n v="80"/>
    <n v="1"/>
    <n v="7"/>
    <n v="2"/>
    <n v="2"/>
    <x v="11"/>
    <n v="2"/>
    <n v="0"/>
    <n v="2"/>
    <n v="3"/>
    <x v="2"/>
    <s v=""/>
    <s v=""/>
    <s v=""/>
  </r>
  <r>
    <x v="2"/>
    <x v="0"/>
    <x v="1"/>
    <n v="0"/>
    <s v="Travel_Rarely"/>
    <n v="977"/>
    <x v="1"/>
    <n v="1"/>
    <n v="3"/>
    <s v="Life Sciences"/>
    <n v="1"/>
    <x v="855"/>
    <n v="4"/>
    <x v="2"/>
    <x v="0"/>
    <n v="56"/>
    <n v="2"/>
    <n v="2"/>
    <x v="3"/>
    <n v="4"/>
    <x v="0"/>
    <s v="Married"/>
    <x v="806"/>
    <x v="0"/>
    <n v="9961"/>
    <n v="1"/>
    <s v="Y"/>
    <x v="1"/>
    <n v="13"/>
    <x v="0"/>
    <x v="0"/>
    <n v="2"/>
    <n v="80"/>
    <n v="1"/>
    <n v="14"/>
    <n v="2"/>
    <n v="2"/>
    <x v="13"/>
    <n v="8"/>
    <n v="3"/>
    <n v="11"/>
    <n v="1"/>
    <x v="1"/>
    <s v=""/>
    <s v=""/>
    <s v=""/>
  </r>
  <r>
    <x v="35"/>
    <x v="4"/>
    <x v="1"/>
    <n v="0"/>
    <s v="Travel_Rarely"/>
    <n v="805"/>
    <x v="1"/>
    <n v="3"/>
    <n v="3"/>
    <s v="Life Sciences"/>
    <n v="1"/>
    <x v="856"/>
    <n v="1"/>
    <x v="3"/>
    <x v="1"/>
    <n v="87"/>
    <n v="2"/>
    <n v="1"/>
    <x v="2"/>
    <n v="3"/>
    <x v="2"/>
    <s v="Single"/>
    <x v="807"/>
    <x v="1"/>
    <n v="12828"/>
    <n v="1"/>
    <s v="Y"/>
    <x v="1"/>
    <n v="12"/>
    <x v="0"/>
    <x v="0"/>
    <n v="1"/>
    <n v="80"/>
    <n v="0"/>
    <n v="2"/>
    <n v="2"/>
    <n v="2"/>
    <x v="4"/>
    <n v="2"/>
    <n v="1"/>
    <n v="2"/>
    <n v="5"/>
    <x v="2"/>
    <s v=""/>
    <s v=""/>
    <s v=""/>
  </r>
  <r>
    <x v="20"/>
    <x v="0"/>
    <x v="0"/>
    <n v="1"/>
    <s v="Travel_Rarely"/>
    <n v="1097"/>
    <x v="1"/>
    <n v="10"/>
    <n v="4"/>
    <s v="Life Sciences"/>
    <n v="1"/>
    <x v="857"/>
    <n v="3"/>
    <x v="1"/>
    <x v="1"/>
    <n v="96"/>
    <n v="3"/>
    <n v="1"/>
    <x v="1"/>
    <n v="3"/>
    <x v="2"/>
    <s v="Single"/>
    <x v="808"/>
    <x v="1"/>
    <n v="10826"/>
    <n v="1"/>
    <s v="Y"/>
    <x v="0"/>
    <n v="11"/>
    <x v="0"/>
    <x v="0"/>
    <n v="3"/>
    <n v="80"/>
    <n v="0"/>
    <n v="6"/>
    <n v="4"/>
    <n v="3"/>
    <x v="0"/>
    <n v="4"/>
    <n v="0"/>
    <n v="2"/>
    <s v=""/>
    <x v="0"/>
    <s v=""/>
    <s v=""/>
    <s v=""/>
  </r>
  <r>
    <x v="16"/>
    <x v="1"/>
    <x v="1"/>
    <n v="0"/>
    <s v="Travel_Rarely"/>
    <n v="1223"/>
    <x v="1"/>
    <n v="7"/>
    <n v="2"/>
    <s v="Medical"/>
    <n v="1"/>
    <x v="858"/>
    <n v="4"/>
    <x v="2"/>
    <x v="0"/>
    <n v="50"/>
    <n v="3"/>
    <n v="5"/>
    <x v="5"/>
    <n v="3"/>
    <x v="2"/>
    <s v="Divorced"/>
    <x v="809"/>
    <x v="4"/>
    <n v="18640"/>
    <n v="3"/>
    <s v="Y"/>
    <x v="1"/>
    <n v="18"/>
    <x v="2"/>
    <x v="0"/>
    <n v="2"/>
    <n v="80"/>
    <n v="1"/>
    <n v="26"/>
    <n v="6"/>
    <n v="3"/>
    <x v="5"/>
    <n v="7"/>
    <n v="4"/>
    <n v="7"/>
    <n v="0"/>
    <x v="1"/>
    <s v=""/>
    <s v=""/>
    <s v=""/>
  </r>
  <r>
    <x v="11"/>
    <x v="2"/>
    <x v="1"/>
    <n v="0"/>
    <s v="Travel_Rarely"/>
    <n v="942"/>
    <x v="1"/>
    <n v="15"/>
    <n v="1"/>
    <s v="Life Sciences"/>
    <n v="1"/>
    <x v="859"/>
    <n v="2"/>
    <x v="0"/>
    <x v="0"/>
    <n v="69"/>
    <n v="1"/>
    <n v="1"/>
    <x v="1"/>
    <n v="4"/>
    <x v="0"/>
    <s v="Married"/>
    <x v="810"/>
    <x v="1"/>
    <n v="26933"/>
    <n v="0"/>
    <s v="Y"/>
    <x v="0"/>
    <n v="18"/>
    <x v="2"/>
    <x v="0"/>
    <n v="1"/>
    <n v="80"/>
    <n v="1"/>
    <n v="6"/>
    <n v="2"/>
    <n v="2"/>
    <x v="8"/>
    <n v="4"/>
    <n v="1"/>
    <n v="3"/>
    <n v="5"/>
    <x v="2"/>
    <s v=""/>
    <s v=""/>
    <s v=""/>
  </r>
  <r>
    <x v="15"/>
    <x v="4"/>
    <x v="0"/>
    <n v="1"/>
    <s v="Travel_Frequently"/>
    <n v="1256"/>
    <x v="1"/>
    <n v="3"/>
    <n v="4"/>
    <s v="Life Sciences"/>
    <n v="1"/>
    <x v="860"/>
    <n v="3"/>
    <x v="1"/>
    <x v="1"/>
    <n v="48"/>
    <n v="2"/>
    <n v="1"/>
    <x v="1"/>
    <n v="4"/>
    <x v="0"/>
    <s v="Married"/>
    <x v="811"/>
    <x v="1"/>
    <n v="4223"/>
    <n v="0"/>
    <s v="Y"/>
    <x v="0"/>
    <n v="11"/>
    <x v="0"/>
    <x v="0"/>
    <n v="2"/>
    <n v="80"/>
    <n v="1"/>
    <n v="1"/>
    <n v="5"/>
    <n v="3"/>
    <x v="2"/>
    <n v="0"/>
    <n v="0"/>
    <n v="0"/>
    <s v=""/>
    <x v="0"/>
    <s v=""/>
    <s v=""/>
    <s v=""/>
  </r>
  <r>
    <x v="21"/>
    <x v="1"/>
    <x v="1"/>
    <n v="0"/>
    <s v="Travel_Rarely"/>
    <n v="1402"/>
    <x v="0"/>
    <n v="2"/>
    <n v="3"/>
    <s v="Marketing"/>
    <n v="1"/>
    <x v="861"/>
    <n v="3"/>
    <x v="1"/>
    <x v="0"/>
    <n v="69"/>
    <n v="3"/>
    <n v="4"/>
    <x v="5"/>
    <n v="1"/>
    <x v="3"/>
    <s v="Married"/>
    <x v="812"/>
    <x v="4"/>
    <n v="24097"/>
    <n v="8"/>
    <s v="Y"/>
    <x v="1"/>
    <n v="23"/>
    <x v="1"/>
    <x v="1"/>
    <n v="1"/>
    <n v="80"/>
    <n v="0"/>
    <n v="28"/>
    <n v="2"/>
    <n v="3"/>
    <x v="34"/>
    <n v="15"/>
    <n v="15"/>
    <n v="9"/>
    <n v="2"/>
    <x v="1"/>
    <s v=""/>
    <s v=""/>
    <s v=""/>
  </r>
  <r>
    <x v="20"/>
    <x v="0"/>
    <x v="1"/>
    <n v="0"/>
    <s v="Non-Travel"/>
    <n v="111"/>
    <x v="1"/>
    <n v="17"/>
    <n v="3"/>
    <s v="Life Sciences"/>
    <n v="1"/>
    <x v="862"/>
    <n v="4"/>
    <x v="2"/>
    <x v="1"/>
    <n v="74"/>
    <n v="1"/>
    <n v="1"/>
    <x v="1"/>
    <n v="3"/>
    <x v="2"/>
    <s v="Single"/>
    <x v="813"/>
    <x v="1"/>
    <n v="4279"/>
    <n v="2"/>
    <s v="Y"/>
    <x v="1"/>
    <n v="13"/>
    <x v="0"/>
    <x v="0"/>
    <n v="4"/>
    <n v="80"/>
    <n v="0"/>
    <n v="6"/>
    <n v="3"/>
    <n v="3"/>
    <x v="2"/>
    <n v="0"/>
    <n v="0"/>
    <n v="0"/>
    <n v="2"/>
    <x v="1"/>
    <s v=""/>
    <s v=""/>
    <s v=""/>
  </r>
  <r>
    <x v="3"/>
    <x v="2"/>
    <x v="1"/>
    <n v="0"/>
    <s v="Travel_Rarely"/>
    <n v="147"/>
    <x v="2"/>
    <n v="2"/>
    <n v="3"/>
    <s v="Human Resources"/>
    <n v="1"/>
    <x v="863"/>
    <n v="2"/>
    <x v="0"/>
    <x v="1"/>
    <n v="99"/>
    <n v="3"/>
    <n v="1"/>
    <x v="8"/>
    <n v="3"/>
    <x v="2"/>
    <s v="Married"/>
    <x v="814"/>
    <x v="1"/>
    <n v="8429"/>
    <n v="1"/>
    <s v="Y"/>
    <x v="1"/>
    <n v="13"/>
    <x v="0"/>
    <x v="0"/>
    <n v="4"/>
    <n v="80"/>
    <n v="1"/>
    <n v="5"/>
    <n v="2"/>
    <n v="3"/>
    <x v="8"/>
    <n v="4"/>
    <n v="1"/>
    <n v="4"/>
    <n v="4"/>
    <x v="2"/>
    <s v=""/>
    <s v=""/>
    <s v=""/>
  </r>
  <r>
    <x v="0"/>
    <x v="0"/>
    <x v="0"/>
    <n v="1"/>
    <s v="Non-Travel"/>
    <n v="906"/>
    <x v="1"/>
    <n v="5"/>
    <n v="2"/>
    <s v="Life Sciences"/>
    <n v="1"/>
    <x v="864"/>
    <n v="1"/>
    <x v="3"/>
    <x v="1"/>
    <n v="95"/>
    <n v="2"/>
    <n v="1"/>
    <x v="1"/>
    <n v="1"/>
    <x v="3"/>
    <s v="Divorced"/>
    <x v="815"/>
    <x v="1"/>
    <n v="20293"/>
    <n v="6"/>
    <s v="Y"/>
    <x v="1"/>
    <n v="17"/>
    <x v="2"/>
    <x v="0"/>
    <n v="1"/>
    <n v="80"/>
    <n v="1"/>
    <n v="5"/>
    <n v="2"/>
    <n v="1"/>
    <x v="6"/>
    <n v="0"/>
    <n v="0"/>
    <n v="0"/>
    <s v=""/>
    <x v="0"/>
    <s v=""/>
    <s v=""/>
    <s v=""/>
  </r>
  <r>
    <x v="7"/>
    <x v="2"/>
    <x v="1"/>
    <n v="0"/>
    <s v="Travel_Rarely"/>
    <n v="1329"/>
    <x v="0"/>
    <n v="29"/>
    <n v="4"/>
    <s v="Life Sciences"/>
    <n v="1"/>
    <x v="865"/>
    <n v="3"/>
    <x v="1"/>
    <x v="1"/>
    <n v="61"/>
    <n v="3"/>
    <n v="2"/>
    <x v="0"/>
    <n v="1"/>
    <x v="3"/>
    <s v="Divorced"/>
    <x v="816"/>
    <x v="0"/>
    <n v="13192"/>
    <n v="8"/>
    <s v="Y"/>
    <x v="1"/>
    <n v="19"/>
    <x v="2"/>
    <x v="0"/>
    <n v="3"/>
    <n v="80"/>
    <n v="3"/>
    <n v="8"/>
    <n v="3"/>
    <n v="3"/>
    <x v="9"/>
    <n v="3"/>
    <n v="0"/>
    <n v="3"/>
    <n v="4"/>
    <x v="2"/>
    <s v=""/>
    <s v=""/>
    <s v=""/>
  </r>
  <r>
    <x v="32"/>
    <x v="0"/>
    <x v="1"/>
    <n v="0"/>
    <s v="Travel_Frequently"/>
    <n v="1184"/>
    <x v="0"/>
    <n v="2"/>
    <n v="4"/>
    <s v="Medical"/>
    <n v="1"/>
    <x v="866"/>
    <n v="2"/>
    <x v="0"/>
    <x v="1"/>
    <n v="62"/>
    <n v="3"/>
    <n v="2"/>
    <x v="0"/>
    <n v="2"/>
    <x v="1"/>
    <s v="Married"/>
    <x v="817"/>
    <x v="0"/>
    <n v="25440"/>
    <n v="5"/>
    <s v="Y"/>
    <x v="1"/>
    <n v="12"/>
    <x v="0"/>
    <x v="0"/>
    <n v="4"/>
    <n v="80"/>
    <n v="3"/>
    <n v="5"/>
    <n v="2"/>
    <n v="3"/>
    <x v="2"/>
    <n v="0"/>
    <n v="0"/>
    <n v="0"/>
    <n v="1"/>
    <x v="1"/>
    <s v=""/>
    <s v=""/>
    <s v=""/>
  </r>
  <r>
    <x v="24"/>
    <x v="1"/>
    <x v="1"/>
    <n v="0"/>
    <s v="Travel_Frequently"/>
    <n v="1421"/>
    <x v="1"/>
    <n v="2"/>
    <n v="3"/>
    <s v="Medical"/>
    <n v="1"/>
    <x v="867"/>
    <n v="4"/>
    <x v="2"/>
    <x v="0"/>
    <n v="30"/>
    <n v="3"/>
    <n v="4"/>
    <x v="5"/>
    <n v="1"/>
    <x v="3"/>
    <s v="Married"/>
    <x v="818"/>
    <x v="4"/>
    <n v="9490"/>
    <n v="2"/>
    <s v="Y"/>
    <x v="1"/>
    <n v="22"/>
    <x v="1"/>
    <x v="1"/>
    <n v="3"/>
    <n v="80"/>
    <n v="1"/>
    <n v="32"/>
    <n v="3"/>
    <n v="3"/>
    <x v="4"/>
    <n v="2"/>
    <n v="2"/>
    <n v="2"/>
    <n v="2"/>
    <x v="1"/>
    <s v=""/>
    <s v=""/>
    <s v=""/>
  </r>
  <r>
    <x v="14"/>
    <x v="2"/>
    <x v="1"/>
    <n v="0"/>
    <s v="Travel_Rarely"/>
    <n v="1179"/>
    <x v="1"/>
    <n v="19"/>
    <n v="4"/>
    <s v="Medical"/>
    <n v="1"/>
    <x v="868"/>
    <n v="4"/>
    <x v="2"/>
    <x v="1"/>
    <n v="78"/>
    <n v="2"/>
    <n v="1"/>
    <x v="2"/>
    <n v="1"/>
    <x v="3"/>
    <s v="Married"/>
    <x v="819"/>
    <x v="1"/>
    <n v="12449"/>
    <n v="1"/>
    <s v="Y"/>
    <x v="1"/>
    <n v="12"/>
    <x v="0"/>
    <x v="0"/>
    <n v="3"/>
    <n v="80"/>
    <n v="3"/>
    <n v="6"/>
    <n v="2"/>
    <n v="3"/>
    <x v="0"/>
    <n v="5"/>
    <n v="3"/>
    <n v="3"/>
    <n v="6"/>
    <x v="3"/>
    <n v="47"/>
    <s v=""/>
    <n v="58784"/>
  </r>
  <r>
    <x v="21"/>
    <x v="1"/>
    <x v="1"/>
    <n v="0"/>
    <s v="Travel_Rarely"/>
    <n v="1450"/>
    <x v="1"/>
    <n v="15"/>
    <n v="2"/>
    <s v="Life Sciences"/>
    <n v="1"/>
    <x v="869"/>
    <n v="4"/>
    <x v="2"/>
    <x v="1"/>
    <n v="52"/>
    <n v="3"/>
    <n v="5"/>
    <x v="7"/>
    <n v="2"/>
    <x v="1"/>
    <s v="Married"/>
    <x v="820"/>
    <x v="4"/>
    <n v="10849"/>
    <n v="5"/>
    <s v="Y"/>
    <x v="1"/>
    <n v="11"/>
    <x v="0"/>
    <x v="0"/>
    <n v="1"/>
    <n v="80"/>
    <n v="1"/>
    <n v="25"/>
    <n v="2"/>
    <n v="3"/>
    <x v="9"/>
    <n v="2"/>
    <n v="0"/>
    <n v="3"/>
    <n v="0"/>
    <x v="1"/>
    <s v=""/>
    <s v=""/>
    <s v=""/>
  </r>
  <r>
    <x v="10"/>
    <x v="0"/>
    <x v="1"/>
    <n v="0"/>
    <s v="Travel_Rarely"/>
    <n v="1361"/>
    <x v="0"/>
    <n v="17"/>
    <n v="4"/>
    <s v="Life Sciences"/>
    <n v="1"/>
    <x v="870"/>
    <n v="3"/>
    <x v="1"/>
    <x v="1"/>
    <n v="94"/>
    <n v="3"/>
    <n v="2"/>
    <x v="0"/>
    <n v="1"/>
    <x v="3"/>
    <s v="Married"/>
    <x v="821"/>
    <x v="2"/>
    <n v="21026"/>
    <n v="3"/>
    <s v="Y"/>
    <x v="0"/>
    <n v="15"/>
    <x v="0"/>
    <x v="0"/>
    <n v="4"/>
    <n v="80"/>
    <n v="3"/>
    <n v="15"/>
    <n v="2"/>
    <n v="3"/>
    <x v="5"/>
    <n v="7"/>
    <n v="1"/>
    <n v="7"/>
    <n v="4"/>
    <x v="2"/>
    <s v=""/>
    <s v=""/>
    <s v=""/>
  </r>
  <r>
    <x v="17"/>
    <x v="4"/>
    <x v="0"/>
    <n v="1"/>
    <s v="Travel_Rarely"/>
    <n v="984"/>
    <x v="1"/>
    <n v="17"/>
    <n v="2"/>
    <s v="Life Sciences"/>
    <n v="1"/>
    <x v="871"/>
    <n v="4"/>
    <x v="2"/>
    <x v="0"/>
    <n v="97"/>
    <n v="3"/>
    <n v="1"/>
    <x v="2"/>
    <n v="2"/>
    <x v="1"/>
    <s v="Married"/>
    <x v="822"/>
    <x v="1"/>
    <n v="3372"/>
    <n v="1"/>
    <s v="Y"/>
    <x v="1"/>
    <n v="13"/>
    <x v="0"/>
    <x v="0"/>
    <n v="1"/>
    <n v="80"/>
    <n v="1"/>
    <n v="1"/>
    <n v="3"/>
    <n v="1"/>
    <x v="6"/>
    <n v="0"/>
    <n v="0"/>
    <n v="0"/>
    <s v=""/>
    <x v="0"/>
    <s v=""/>
    <s v=""/>
    <s v=""/>
  </r>
  <r>
    <x v="3"/>
    <x v="2"/>
    <x v="1"/>
    <n v="0"/>
    <s v="Travel_Frequently"/>
    <n v="1146"/>
    <x v="0"/>
    <n v="25"/>
    <n v="3"/>
    <s v="Medical"/>
    <n v="1"/>
    <x v="872"/>
    <n v="2"/>
    <x v="0"/>
    <x v="0"/>
    <n v="82"/>
    <n v="3"/>
    <n v="2"/>
    <x v="0"/>
    <n v="3"/>
    <x v="2"/>
    <s v="Married"/>
    <x v="823"/>
    <x v="0"/>
    <n v="4905"/>
    <n v="1"/>
    <s v="Y"/>
    <x v="1"/>
    <n v="12"/>
    <x v="0"/>
    <x v="0"/>
    <n v="1"/>
    <n v="80"/>
    <n v="1"/>
    <n v="10"/>
    <n v="3"/>
    <n v="2"/>
    <x v="1"/>
    <n v="7"/>
    <n v="0"/>
    <n v="1"/>
    <n v="2"/>
    <x v="1"/>
    <s v=""/>
    <s v=""/>
    <s v=""/>
  </r>
  <r>
    <x v="9"/>
    <x v="0"/>
    <x v="1"/>
    <n v="0"/>
    <s v="Travel_Rarely"/>
    <n v="917"/>
    <x v="1"/>
    <n v="6"/>
    <n v="4"/>
    <s v="Life Sciences"/>
    <n v="1"/>
    <x v="873"/>
    <n v="3"/>
    <x v="1"/>
    <x v="1"/>
    <n v="60"/>
    <n v="1"/>
    <n v="1"/>
    <x v="2"/>
    <n v="3"/>
    <x v="2"/>
    <s v="Divorced"/>
    <x v="199"/>
    <x v="1"/>
    <n v="6865"/>
    <n v="1"/>
    <s v="Y"/>
    <x v="1"/>
    <n v="14"/>
    <x v="0"/>
    <x v="0"/>
    <n v="3"/>
    <n v="80"/>
    <n v="1"/>
    <n v="7"/>
    <n v="4"/>
    <n v="3"/>
    <x v="5"/>
    <n v="7"/>
    <n v="1"/>
    <n v="7"/>
    <n v="3"/>
    <x v="2"/>
    <s v=""/>
    <s v=""/>
    <s v=""/>
  </r>
  <r>
    <x v="7"/>
    <x v="2"/>
    <x v="1"/>
    <n v="0"/>
    <s v="Travel_Rarely"/>
    <n v="853"/>
    <x v="1"/>
    <n v="7"/>
    <n v="4"/>
    <s v="Life Sciences"/>
    <n v="1"/>
    <x v="874"/>
    <n v="3"/>
    <x v="1"/>
    <x v="1"/>
    <n v="49"/>
    <n v="3"/>
    <n v="2"/>
    <x v="2"/>
    <n v="3"/>
    <x v="2"/>
    <s v="Divorced"/>
    <x v="824"/>
    <x v="1"/>
    <n v="11309"/>
    <n v="1"/>
    <s v="Y"/>
    <x v="1"/>
    <n v="13"/>
    <x v="0"/>
    <x v="0"/>
    <n v="1"/>
    <n v="80"/>
    <n v="3"/>
    <n v="10"/>
    <n v="4"/>
    <n v="2"/>
    <x v="1"/>
    <n v="7"/>
    <n v="8"/>
    <n v="9"/>
    <n v="4"/>
    <x v="2"/>
    <s v=""/>
    <s v=""/>
    <s v=""/>
  </r>
  <r>
    <x v="20"/>
    <x v="0"/>
    <x v="1"/>
    <n v="0"/>
    <s v="Travel_Rarely"/>
    <n v="200"/>
    <x v="1"/>
    <n v="29"/>
    <n v="4"/>
    <s v="Other"/>
    <n v="1"/>
    <x v="875"/>
    <n v="4"/>
    <x v="2"/>
    <x v="1"/>
    <n v="32"/>
    <n v="3"/>
    <n v="2"/>
    <x v="1"/>
    <n v="4"/>
    <x v="0"/>
    <s v="Single"/>
    <x v="825"/>
    <x v="0"/>
    <n v="7744"/>
    <n v="1"/>
    <s v="Y"/>
    <x v="1"/>
    <n v="25"/>
    <x v="1"/>
    <x v="1"/>
    <n v="2"/>
    <n v="80"/>
    <n v="0"/>
    <n v="20"/>
    <n v="3"/>
    <n v="3"/>
    <x v="23"/>
    <n v="11"/>
    <n v="13"/>
    <n v="17"/>
    <n v="1"/>
    <x v="1"/>
    <s v=""/>
    <s v=""/>
    <s v=""/>
  </r>
  <r>
    <x v="35"/>
    <x v="4"/>
    <x v="1"/>
    <n v="0"/>
    <s v="Travel_Rarely"/>
    <n v="654"/>
    <x v="0"/>
    <n v="21"/>
    <n v="3"/>
    <s v="Marketing"/>
    <n v="1"/>
    <x v="876"/>
    <n v="3"/>
    <x v="1"/>
    <x v="1"/>
    <n v="43"/>
    <n v="4"/>
    <n v="1"/>
    <x v="6"/>
    <n v="4"/>
    <x v="0"/>
    <s v="Single"/>
    <x v="826"/>
    <x v="1"/>
    <n v="5050"/>
    <n v="1"/>
    <s v="Y"/>
    <x v="1"/>
    <n v="17"/>
    <x v="2"/>
    <x v="0"/>
    <n v="4"/>
    <n v="80"/>
    <n v="0"/>
    <n v="2"/>
    <n v="2"/>
    <n v="3"/>
    <x v="4"/>
    <n v="1"/>
    <n v="2"/>
    <n v="2"/>
    <n v="6"/>
    <x v="3"/>
    <n v="48"/>
    <s v=""/>
    <n v="58774"/>
  </r>
  <r>
    <x v="21"/>
    <x v="1"/>
    <x v="1"/>
    <n v="0"/>
    <s v="Travel_Rarely"/>
    <n v="150"/>
    <x v="1"/>
    <n v="2"/>
    <n v="4"/>
    <s v="Technical Degree"/>
    <n v="1"/>
    <x v="877"/>
    <n v="4"/>
    <x v="2"/>
    <x v="1"/>
    <n v="60"/>
    <n v="3"/>
    <n v="2"/>
    <x v="3"/>
    <n v="4"/>
    <x v="0"/>
    <s v="Divorced"/>
    <x v="827"/>
    <x v="0"/>
    <n v="17433"/>
    <n v="2"/>
    <s v="Y"/>
    <x v="1"/>
    <n v="11"/>
    <x v="0"/>
    <x v="0"/>
    <n v="3"/>
    <n v="80"/>
    <n v="1"/>
    <n v="12"/>
    <n v="3"/>
    <n v="2"/>
    <x v="0"/>
    <n v="3"/>
    <n v="1"/>
    <n v="4"/>
    <n v="1"/>
    <x v="1"/>
    <s v=""/>
    <s v=""/>
    <s v=""/>
  </r>
  <r>
    <x v="19"/>
    <x v="0"/>
    <x v="1"/>
    <n v="0"/>
    <s v="Non-Travel"/>
    <n v="179"/>
    <x v="2"/>
    <n v="2"/>
    <n v="5"/>
    <s v="Medical"/>
    <n v="1"/>
    <x v="878"/>
    <n v="4"/>
    <x v="2"/>
    <x v="1"/>
    <n v="79"/>
    <n v="4"/>
    <n v="2"/>
    <x v="8"/>
    <n v="1"/>
    <x v="3"/>
    <s v="Married"/>
    <x v="458"/>
    <x v="0"/>
    <n v="12858"/>
    <n v="7"/>
    <s v="Y"/>
    <x v="1"/>
    <n v="16"/>
    <x v="2"/>
    <x v="0"/>
    <n v="1"/>
    <n v="80"/>
    <n v="1"/>
    <n v="10"/>
    <n v="3"/>
    <n v="4"/>
    <x v="9"/>
    <n v="3"/>
    <n v="0"/>
    <n v="3"/>
    <n v="4"/>
    <x v="2"/>
    <s v=""/>
    <s v=""/>
    <s v=""/>
  </r>
  <r>
    <x v="42"/>
    <x v="3"/>
    <x v="1"/>
    <n v="0"/>
    <s v="Travel_Rarely"/>
    <n v="696"/>
    <x v="0"/>
    <n v="7"/>
    <n v="4"/>
    <s v="Marketing"/>
    <n v="1"/>
    <x v="879"/>
    <n v="2"/>
    <x v="0"/>
    <x v="1"/>
    <n v="52"/>
    <n v="4"/>
    <n v="2"/>
    <x v="0"/>
    <n v="4"/>
    <x v="0"/>
    <s v="Divorced"/>
    <x v="828"/>
    <x v="0"/>
    <n v="10893"/>
    <n v="0"/>
    <s v="Y"/>
    <x v="0"/>
    <n v="18"/>
    <x v="2"/>
    <x v="0"/>
    <n v="2"/>
    <n v="80"/>
    <n v="1"/>
    <n v="12"/>
    <n v="3"/>
    <n v="3"/>
    <x v="19"/>
    <n v="7"/>
    <n v="1"/>
    <n v="9"/>
    <n v="3"/>
    <x v="2"/>
    <s v=""/>
    <s v=""/>
    <s v=""/>
  </r>
  <r>
    <x v="5"/>
    <x v="2"/>
    <x v="1"/>
    <n v="0"/>
    <s v="Travel_Frequently"/>
    <n v="116"/>
    <x v="1"/>
    <n v="13"/>
    <n v="3"/>
    <s v="Other"/>
    <n v="1"/>
    <x v="880"/>
    <n v="3"/>
    <x v="1"/>
    <x v="0"/>
    <n v="77"/>
    <n v="2"/>
    <n v="1"/>
    <x v="2"/>
    <n v="2"/>
    <x v="1"/>
    <s v="Married"/>
    <x v="714"/>
    <x v="1"/>
    <n v="7331"/>
    <n v="1"/>
    <s v="Y"/>
    <x v="1"/>
    <n v="20"/>
    <x v="2"/>
    <x v="1"/>
    <n v="3"/>
    <n v="80"/>
    <n v="1"/>
    <n v="2"/>
    <n v="2"/>
    <n v="3"/>
    <x v="4"/>
    <n v="2"/>
    <n v="2"/>
    <n v="2"/>
    <n v="4"/>
    <x v="2"/>
    <s v=""/>
    <s v=""/>
    <s v=""/>
  </r>
  <r>
    <x v="5"/>
    <x v="2"/>
    <x v="1"/>
    <n v="0"/>
    <s v="Travel_Frequently"/>
    <n v="1316"/>
    <x v="1"/>
    <n v="2"/>
    <n v="2"/>
    <s v="Life Sciences"/>
    <n v="1"/>
    <x v="881"/>
    <n v="4"/>
    <x v="2"/>
    <x v="0"/>
    <n v="38"/>
    <n v="3"/>
    <n v="2"/>
    <x v="1"/>
    <n v="3"/>
    <x v="2"/>
    <s v="Single"/>
    <x v="829"/>
    <x v="0"/>
    <n v="2338"/>
    <n v="4"/>
    <s v="Y"/>
    <x v="0"/>
    <n v="14"/>
    <x v="0"/>
    <x v="0"/>
    <n v="4"/>
    <n v="80"/>
    <n v="0"/>
    <n v="10"/>
    <n v="2"/>
    <n v="3"/>
    <x v="3"/>
    <n v="7"/>
    <n v="0"/>
    <n v="7"/>
    <n v="4"/>
    <x v="2"/>
    <s v=""/>
    <s v=""/>
    <s v=""/>
  </r>
  <r>
    <x v="9"/>
    <x v="0"/>
    <x v="1"/>
    <n v="0"/>
    <s v="Travel_Rarely"/>
    <n v="363"/>
    <x v="1"/>
    <n v="1"/>
    <n v="3"/>
    <s v="Technical Degree"/>
    <n v="1"/>
    <x v="882"/>
    <n v="3"/>
    <x v="1"/>
    <x v="0"/>
    <n v="77"/>
    <n v="1"/>
    <n v="3"/>
    <x v="3"/>
    <n v="1"/>
    <x v="3"/>
    <s v="Divorced"/>
    <x v="830"/>
    <x v="2"/>
    <n v="4235"/>
    <n v="2"/>
    <s v="Y"/>
    <x v="0"/>
    <n v="21"/>
    <x v="1"/>
    <x v="1"/>
    <n v="3"/>
    <n v="80"/>
    <n v="1"/>
    <n v="17"/>
    <n v="2"/>
    <n v="3"/>
    <x v="5"/>
    <n v="7"/>
    <n v="7"/>
    <n v="7"/>
    <n v="4"/>
    <x v="2"/>
    <s v=""/>
    <s v=""/>
    <s v=""/>
  </r>
  <r>
    <x v="3"/>
    <x v="2"/>
    <x v="1"/>
    <n v="0"/>
    <s v="Travel_Rarely"/>
    <n v="117"/>
    <x v="1"/>
    <n v="9"/>
    <n v="3"/>
    <s v="Medical"/>
    <n v="1"/>
    <x v="883"/>
    <n v="1"/>
    <x v="3"/>
    <x v="1"/>
    <n v="60"/>
    <n v="3"/>
    <n v="1"/>
    <x v="1"/>
    <n v="4"/>
    <x v="0"/>
    <s v="Married"/>
    <x v="831"/>
    <x v="1"/>
    <n v="6311"/>
    <n v="0"/>
    <s v="Y"/>
    <x v="1"/>
    <n v="13"/>
    <x v="0"/>
    <x v="0"/>
    <n v="2"/>
    <n v="80"/>
    <n v="1"/>
    <n v="15"/>
    <n v="5"/>
    <n v="3"/>
    <x v="13"/>
    <n v="10"/>
    <n v="4"/>
    <n v="10"/>
    <n v="3"/>
    <x v="2"/>
    <s v=""/>
    <s v=""/>
    <s v=""/>
  </r>
  <r>
    <x v="32"/>
    <x v="0"/>
    <x v="1"/>
    <n v="0"/>
    <s v="Travel_Rarely"/>
    <n v="107"/>
    <x v="0"/>
    <n v="10"/>
    <n v="3"/>
    <s v="Technical Degree"/>
    <n v="1"/>
    <x v="884"/>
    <n v="2"/>
    <x v="0"/>
    <x v="0"/>
    <n v="84"/>
    <n v="2"/>
    <n v="2"/>
    <x v="0"/>
    <n v="2"/>
    <x v="1"/>
    <s v="Divorced"/>
    <x v="832"/>
    <x v="0"/>
    <n v="11591"/>
    <n v="7"/>
    <s v="Y"/>
    <x v="1"/>
    <n v="12"/>
    <x v="0"/>
    <x v="0"/>
    <n v="2"/>
    <n v="80"/>
    <n v="1"/>
    <n v="7"/>
    <n v="2"/>
    <n v="4"/>
    <x v="8"/>
    <n v="1"/>
    <n v="1"/>
    <n v="3"/>
    <n v="1"/>
    <x v="1"/>
    <s v=""/>
    <s v=""/>
    <s v=""/>
  </r>
  <r>
    <x v="36"/>
    <x v="2"/>
    <x v="1"/>
    <n v="0"/>
    <s v="Travel_Rarely"/>
    <n v="1356"/>
    <x v="0"/>
    <n v="10"/>
    <n v="4"/>
    <s v="Life Sciences"/>
    <n v="1"/>
    <x v="885"/>
    <n v="3"/>
    <x v="1"/>
    <x v="1"/>
    <n v="57"/>
    <n v="3"/>
    <n v="2"/>
    <x v="0"/>
    <n v="4"/>
    <x v="0"/>
    <s v="Single"/>
    <x v="833"/>
    <x v="0"/>
    <n v="20623"/>
    <n v="0"/>
    <s v="Y"/>
    <x v="1"/>
    <n v="14"/>
    <x v="0"/>
    <x v="0"/>
    <n v="2"/>
    <n v="80"/>
    <n v="0"/>
    <n v="5"/>
    <n v="4"/>
    <n v="3"/>
    <x v="9"/>
    <n v="3"/>
    <n v="1"/>
    <n v="1"/>
    <n v="2"/>
    <x v="1"/>
    <s v=""/>
    <s v=""/>
    <s v=""/>
  </r>
  <r>
    <x v="7"/>
    <x v="2"/>
    <x v="1"/>
    <n v="0"/>
    <s v="Travel_Rarely"/>
    <n v="1465"/>
    <x v="1"/>
    <n v="1"/>
    <n v="3"/>
    <s v="Medical"/>
    <n v="1"/>
    <x v="886"/>
    <n v="4"/>
    <x v="2"/>
    <x v="1"/>
    <n v="63"/>
    <n v="3"/>
    <n v="1"/>
    <x v="1"/>
    <n v="2"/>
    <x v="1"/>
    <s v="Married"/>
    <x v="834"/>
    <x v="1"/>
    <n v="9369"/>
    <n v="0"/>
    <s v="Y"/>
    <x v="0"/>
    <n v="21"/>
    <x v="1"/>
    <x v="1"/>
    <n v="1"/>
    <n v="80"/>
    <n v="1"/>
    <n v="12"/>
    <n v="2"/>
    <n v="3"/>
    <x v="19"/>
    <n v="9"/>
    <n v="5"/>
    <n v="7"/>
    <n v="5"/>
    <x v="2"/>
    <s v=""/>
    <s v=""/>
    <s v=""/>
  </r>
  <r>
    <x v="19"/>
    <x v="0"/>
    <x v="1"/>
    <n v="0"/>
    <s v="Travel_Frequently"/>
    <n v="458"/>
    <x v="1"/>
    <n v="26"/>
    <n v="5"/>
    <s v="Medical"/>
    <n v="1"/>
    <x v="887"/>
    <n v="1"/>
    <x v="3"/>
    <x v="0"/>
    <n v="60"/>
    <n v="3"/>
    <n v="3"/>
    <x v="7"/>
    <n v="1"/>
    <x v="3"/>
    <s v="Married"/>
    <x v="835"/>
    <x v="3"/>
    <n v="23281"/>
    <n v="3"/>
    <s v="Y"/>
    <x v="0"/>
    <n v="17"/>
    <x v="2"/>
    <x v="0"/>
    <n v="3"/>
    <n v="80"/>
    <n v="0"/>
    <n v="20"/>
    <n v="6"/>
    <n v="3"/>
    <x v="6"/>
    <n v="0"/>
    <n v="0"/>
    <n v="0"/>
    <n v="4"/>
    <x v="2"/>
    <s v=""/>
    <s v=""/>
    <s v=""/>
  </r>
  <r>
    <x v="10"/>
    <x v="0"/>
    <x v="1"/>
    <n v="0"/>
    <s v="Non-Travel"/>
    <n v="1212"/>
    <x v="0"/>
    <n v="8"/>
    <n v="2"/>
    <s v="Marketing"/>
    <n v="1"/>
    <x v="888"/>
    <n v="3"/>
    <x v="1"/>
    <x v="0"/>
    <n v="78"/>
    <n v="2"/>
    <n v="3"/>
    <x v="0"/>
    <n v="4"/>
    <x v="0"/>
    <s v="Married"/>
    <x v="836"/>
    <x v="2"/>
    <n v="13755"/>
    <n v="4"/>
    <s v="Y"/>
    <x v="0"/>
    <n v="11"/>
    <x v="0"/>
    <x v="0"/>
    <n v="2"/>
    <n v="80"/>
    <n v="1"/>
    <n v="16"/>
    <n v="6"/>
    <n v="2"/>
    <x v="20"/>
    <n v="2"/>
    <n v="4"/>
    <n v="12"/>
    <n v="2"/>
    <x v="1"/>
    <s v=""/>
    <s v=""/>
    <s v=""/>
  </r>
  <r>
    <x v="4"/>
    <x v="2"/>
    <x v="1"/>
    <n v="0"/>
    <s v="Travel_Rarely"/>
    <n v="1103"/>
    <x v="1"/>
    <n v="14"/>
    <n v="3"/>
    <s v="Life Sciences"/>
    <n v="1"/>
    <x v="889"/>
    <n v="1"/>
    <x v="3"/>
    <x v="1"/>
    <n v="42"/>
    <n v="3"/>
    <n v="1"/>
    <x v="1"/>
    <n v="1"/>
    <x v="3"/>
    <s v="Married"/>
    <x v="837"/>
    <x v="1"/>
    <n v="14377"/>
    <n v="1"/>
    <s v="Y"/>
    <x v="0"/>
    <n v="14"/>
    <x v="0"/>
    <x v="0"/>
    <n v="4"/>
    <n v="80"/>
    <n v="2"/>
    <n v="9"/>
    <n v="3"/>
    <n v="2"/>
    <x v="7"/>
    <n v="7"/>
    <n v="6"/>
    <n v="8"/>
    <n v="7"/>
    <x v="3"/>
    <n v="14"/>
    <s v=""/>
    <n v="68756"/>
  </r>
  <r>
    <x v="33"/>
    <x v="1"/>
    <x v="1"/>
    <n v="0"/>
    <s v="Travel_Frequently"/>
    <n v="966"/>
    <x v="1"/>
    <n v="1"/>
    <n v="4"/>
    <s v="Life Sciences"/>
    <n v="1"/>
    <x v="890"/>
    <n v="4"/>
    <x v="2"/>
    <x v="0"/>
    <n v="53"/>
    <n v="3"/>
    <n v="3"/>
    <x v="3"/>
    <n v="3"/>
    <x v="2"/>
    <s v="Divorced"/>
    <x v="838"/>
    <x v="2"/>
    <n v="9659"/>
    <n v="7"/>
    <s v="Y"/>
    <x v="1"/>
    <n v="17"/>
    <x v="2"/>
    <x v="0"/>
    <n v="1"/>
    <n v="80"/>
    <n v="1"/>
    <n v="33"/>
    <n v="2"/>
    <n v="1"/>
    <x v="8"/>
    <n v="4"/>
    <n v="1"/>
    <n v="4"/>
    <n v="0"/>
    <x v="1"/>
    <s v=""/>
    <s v=""/>
    <s v=""/>
  </r>
  <r>
    <x v="20"/>
    <x v="0"/>
    <x v="1"/>
    <n v="0"/>
    <s v="Travel_Rarely"/>
    <n v="1117"/>
    <x v="1"/>
    <n v="2"/>
    <n v="1"/>
    <s v="Life Sciences"/>
    <n v="1"/>
    <x v="891"/>
    <n v="1"/>
    <x v="3"/>
    <x v="0"/>
    <n v="72"/>
    <n v="4"/>
    <n v="1"/>
    <x v="1"/>
    <n v="4"/>
    <x v="0"/>
    <s v="Married"/>
    <x v="839"/>
    <x v="1"/>
    <n v="19982"/>
    <n v="1"/>
    <s v="Y"/>
    <x v="1"/>
    <n v="13"/>
    <x v="0"/>
    <x v="0"/>
    <n v="4"/>
    <n v="80"/>
    <n v="1"/>
    <n v="10"/>
    <n v="5"/>
    <n v="3"/>
    <x v="1"/>
    <n v="5"/>
    <n v="7"/>
    <n v="7"/>
    <n v="2"/>
    <x v="1"/>
    <s v=""/>
    <s v=""/>
    <s v=""/>
  </r>
  <r>
    <x v="37"/>
    <x v="4"/>
    <x v="0"/>
    <n v="1"/>
    <s v="Non-Travel"/>
    <n v="504"/>
    <x v="1"/>
    <n v="10"/>
    <n v="3"/>
    <s v="Medical"/>
    <n v="1"/>
    <x v="892"/>
    <n v="1"/>
    <x v="3"/>
    <x v="0"/>
    <n v="96"/>
    <n v="2"/>
    <n v="1"/>
    <x v="1"/>
    <n v="2"/>
    <x v="1"/>
    <s v="Single"/>
    <x v="840"/>
    <x v="1"/>
    <n v="6148"/>
    <n v="1"/>
    <s v="Y"/>
    <x v="0"/>
    <n v="25"/>
    <x v="1"/>
    <x v="1"/>
    <n v="2"/>
    <n v="80"/>
    <n v="0"/>
    <n v="1"/>
    <n v="2"/>
    <n v="4"/>
    <x v="6"/>
    <n v="1"/>
    <n v="0"/>
    <n v="0"/>
    <s v=""/>
    <x v="0"/>
    <s v=""/>
    <s v=""/>
    <s v=""/>
  </r>
  <r>
    <x v="11"/>
    <x v="2"/>
    <x v="1"/>
    <n v="0"/>
    <s v="Travel_Rarely"/>
    <n v="1010"/>
    <x v="1"/>
    <n v="1"/>
    <n v="3"/>
    <s v="Life Sciences"/>
    <n v="1"/>
    <x v="893"/>
    <n v="1"/>
    <x v="3"/>
    <x v="0"/>
    <n v="97"/>
    <n v="3"/>
    <n v="1"/>
    <x v="1"/>
    <n v="4"/>
    <x v="0"/>
    <s v="Divorced"/>
    <x v="841"/>
    <x v="1"/>
    <n v="5598"/>
    <n v="1"/>
    <s v="Y"/>
    <x v="1"/>
    <n v="15"/>
    <x v="0"/>
    <x v="0"/>
    <n v="1"/>
    <n v="80"/>
    <n v="3"/>
    <n v="3"/>
    <n v="5"/>
    <n v="3"/>
    <x v="11"/>
    <n v="2"/>
    <n v="1"/>
    <n v="2"/>
    <n v="3"/>
    <x v="2"/>
    <s v=""/>
    <s v=""/>
    <s v=""/>
  </r>
  <r>
    <x v="33"/>
    <x v="1"/>
    <x v="1"/>
    <n v="0"/>
    <s v="Travel_Rarely"/>
    <n v="685"/>
    <x v="1"/>
    <n v="3"/>
    <n v="3"/>
    <s v="Life Sciences"/>
    <n v="1"/>
    <x v="894"/>
    <n v="4"/>
    <x v="2"/>
    <x v="1"/>
    <n v="85"/>
    <n v="3"/>
    <n v="4"/>
    <x v="7"/>
    <n v="4"/>
    <x v="0"/>
    <s v="Married"/>
    <x v="842"/>
    <x v="4"/>
    <n v="23474"/>
    <n v="3"/>
    <s v="Y"/>
    <x v="1"/>
    <n v="14"/>
    <x v="0"/>
    <x v="0"/>
    <n v="1"/>
    <n v="80"/>
    <n v="0"/>
    <n v="36"/>
    <n v="2"/>
    <n v="3"/>
    <x v="1"/>
    <n v="9"/>
    <n v="0"/>
    <n v="9"/>
    <n v="0"/>
    <x v="1"/>
    <s v=""/>
    <s v=""/>
    <s v=""/>
  </r>
  <r>
    <x v="12"/>
    <x v="2"/>
    <x v="1"/>
    <n v="0"/>
    <s v="Travel_Rarely"/>
    <n v="1332"/>
    <x v="1"/>
    <n v="11"/>
    <n v="2"/>
    <s v="Medical"/>
    <n v="1"/>
    <x v="895"/>
    <n v="3"/>
    <x v="1"/>
    <x v="1"/>
    <n v="80"/>
    <n v="3"/>
    <n v="2"/>
    <x v="4"/>
    <n v="1"/>
    <x v="3"/>
    <s v="Married"/>
    <x v="843"/>
    <x v="0"/>
    <n v="17089"/>
    <n v="1"/>
    <s v="Y"/>
    <x v="0"/>
    <n v="12"/>
    <x v="0"/>
    <x v="0"/>
    <n v="4"/>
    <n v="80"/>
    <n v="0"/>
    <n v="6"/>
    <n v="2"/>
    <n v="2"/>
    <x v="0"/>
    <n v="5"/>
    <n v="0"/>
    <n v="1"/>
    <n v="6"/>
    <x v="3"/>
    <n v="49"/>
    <s v=""/>
    <n v="58749"/>
  </r>
  <r>
    <x v="12"/>
    <x v="2"/>
    <x v="1"/>
    <n v="0"/>
    <s v="Travel_Rarely"/>
    <n v="1062"/>
    <x v="1"/>
    <n v="24"/>
    <n v="3"/>
    <s v="Medical"/>
    <n v="1"/>
    <x v="896"/>
    <n v="3"/>
    <x v="1"/>
    <x v="0"/>
    <n v="96"/>
    <n v="2"/>
    <n v="2"/>
    <x v="4"/>
    <n v="1"/>
    <x v="3"/>
    <s v="Single"/>
    <x v="844"/>
    <x v="0"/>
    <n v="17198"/>
    <n v="1"/>
    <s v="Y"/>
    <x v="1"/>
    <n v="19"/>
    <x v="2"/>
    <x v="0"/>
    <n v="2"/>
    <n v="80"/>
    <n v="0"/>
    <n v="10"/>
    <n v="2"/>
    <n v="3"/>
    <x v="1"/>
    <n v="9"/>
    <n v="1"/>
    <n v="8"/>
    <n v="4"/>
    <x v="2"/>
    <s v=""/>
    <s v=""/>
    <s v=""/>
  </r>
  <r>
    <x v="6"/>
    <x v="3"/>
    <x v="1"/>
    <n v="0"/>
    <s v="Travel_Rarely"/>
    <n v="326"/>
    <x v="0"/>
    <n v="3"/>
    <n v="3"/>
    <s v="Life Sciences"/>
    <n v="1"/>
    <x v="897"/>
    <n v="3"/>
    <x v="1"/>
    <x v="0"/>
    <n v="48"/>
    <n v="2"/>
    <n v="2"/>
    <x v="0"/>
    <n v="4"/>
    <x v="0"/>
    <s v="Single"/>
    <x v="845"/>
    <x v="0"/>
    <n v="16490"/>
    <n v="5"/>
    <s v="Y"/>
    <x v="1"/>
    <n v="17"/>
    <x v="2"/>
    <x v="0"/>
    <n v="4"/>
    <n v="80"/>
    <n v="0"/>
    <n v="13"/>
    <n v="2"/>
    <n v="3"/>
    <x v="0"/>
    <n v="1"/>
    <n v="0"/>
    <n v="5"/>
    <n v="1"/>
    <x v="1"/>
    <s v=""/>
    <s v=""/>
    <s v=""/>
  </r>
  <r>
    <x v="23"/>
    <x v="0"/>
    <x v="1"/>
    <n v="0"/>
    <s v="Travel_Rarely"/>
    <n v="920"/>
    <x v="1"/>
    <n v="3"/>
    <n v="3"/>
    <s v="Life Sciences"/>
    <n v="1"/>
    <x v="898"/>
    <n v="3"/>
    <x v="1"/>
    <x v="1"/>
    <n v="96"/>
    <n v="1"/>
    <n v="5"/>
    <x v="7"/>
    <n v="4"/>
    <x v="0"/>
    <s v="Married"/>
    <x v="846"/>
    <x v="4"/>
    <n v="18625"/>
    <n v="3"/>
    <s v="Y"/>
    <x v="1"/>
    <n v="14"/>
    <x v="0"/>
    <x v="0"/>
    <n v="2"/>
    <n v="80"/>
    <n v="1"/>
    <n v="25"/>
    <n v="2"/>
    <n v="3"/>
    <x v="3"/>
    <n v="7"/>
    <n v="0"/>
    <n v="7"/>
    <n v="0"/>
    <x v="1"/>
    <s v=""/>
    <s v=""/>
    <s v=""/>
  </r>
  <r>
    <x v="1"/>
    <x v="1"/>
    <x v="1"/>
    <n v="0"/>
    <s v="Travel_Rarely"/>
    <n v="1098"/>
    <x v="1"/>
    <n v="4"/>
    <n v="2"/>
    <s v="Medical"/>
    <n v="1"/>
    <x v="899"/>
    <n v="1"/>
    <x v="3"/>
    <x v="1"/>
    <n v="85"/>
    <n v="2"/>
    <n v="5"/>
    <x v="5"/>
    <n v="3"/>
    <x v="2"/>
    <s v="Married"/>
    <x v="847"/>
    <x v="4"/>
    <n v="12124"/>
    <n v="2"/>
    <s v="Y"/>
    <x v="1"/>
    <n v="13"/>
    <x v="0"/>
    <x v="0"/>
    <n v="3"/>
    <n v="80"/>
    <n v="1"/>
    <n v="23"/>
    <n v="2"/>
    <n v="4"/>
    <x v="6"/>
    <n v="0"/>
    <n v="0"/>
    <n v="0"/>
    <n v="0"/>
    <x v="1"/>
    <s v=""/>
    <s v=""/>
    <s v=""/>
  </r>
  <r>
    <x v="9"/>
    <x v="0"/>
    <x v="1"/>
    <n v="0"/>
    <s v="Travel_Frequently"/>
    <n v="469"/>
    <x v="1"/>
    <n v="3"/>
    <n v="3"/>
    <s v="Technical Degree"/>
    <n v="1"/>
    <x v="900"/>
    <n v="3"/>
    <x v="1"/>
    <x v="1"/>
    <n v="46"/>
    <n v="3"/>
    <n v="1"/>
    <x v="1"/>
    <n v="2"/>
    <x v="1"/>
    <s v="Married"/>
    <x v="848"/>
    <x v="1"/>
    <n v="9256"/>
    <n v="1"/>
    <s v="Y"/>
    <x v="1"/>
    <n v="12"/>
    <x v="0"/>
    <x v="0"/>
    <n v="3"/>
    <n v="80"/>
    <n v="0"/>
    <n v="12"/>
    <n v="2"/>
    <n v="2"/>
    <x v="19"/>
    <n v="10"/>
    <n v="0"/>
    <n v="7"/>
    <n v="2"/>
    <x v="1"/>
    <s v=""/>
    <s v=""/>
    <s v=""/>
  </r>
  <r>
    <x v="26"/>
    <x v="1"/>
    <x v="1"/>
    <n v="0"/>
    <s v="Travel_Rarely"/>
    <n v="969"/>
    <x v="1"/>
    <n v="2"/>
    <n v="2"/>
    <s v="Technical Degree"/>
    <n v="1"/>
    <x v="901"/>
    <n v="4"/>
    <x v="2"/>
    <x v="1"/>
    <n v="76"/>
    <n v="4"/>
    <n v="1"/>
    <x v="2"/>
    <n v="2"/>
    <x v="1"/>
    <s v="Single"/>
    <x v="594"/>
    <x v="1"/>
    <n v="16620"/>
    <n v="5"/>
    <s v="Y"/>
    <x v="1"/>
    <n v="11"/>
    <x v="0"/>
    <x v="0"/>
    <n v="3"/>
    <n v="80"/>
    <n v="0"/>
    <n v="7"/>
    <n v="4"/>
    <n v="2"/>
    <x v="6"/>
    <n v="0"/>
    <n v="0"/>
    <n v="0"/>
    <n v="3"/>
    <x v="2"/>
    <s v=""/>
    <s v=""/>
    <s v=""/>
  </r>
  <r>
    <x v="4"/>
    <x v="2"/>
    <x v="1"/>
    <n v="0"/>
    <s v="Travel_Rarely"/>
    <n v="1167"/>
    <x v="1"/>
    <n v="4"/>
    <n v="2"/>
    <s v="Life Sciences"/>
    <n v="1"/>
    <x v="902"/>
    <n v="1"/>
    <x v="3"/>
    <x v="1"/>
    <n v="76"/>
    <n v="3"/>
    <n v="1"/>
    <x v="1"/>
    <n v="3"/>
    <x v="2"/>
    <s v="Divorced"/>
    <x v="849"/>
    <x v="1"/>
    <n v="3208"/>
    <n v="1"/>
    <s v="Y"/>
    <x v="1"/>
    <n v="11"/>
    <x v="0"/>
    <x v="0"/>
    <n v="2"/>
    <n v="80"/>
    <n v="3"/>
    <n v="5"/>
    <n v="2"/>
    <n v="3"/>
    <x v="8"/>
    <n v="3"/>
    <n v="0"/>
    <n v="3"/>
    <n v="3"/>
    <x v="2"/>
    <s v=""/>
    <s v=""/>
    <s v=""/>
  </r>
  <r>
    <x v="11"/>
    <x v="2"/>
    <x v="1"/>
    <n v="0"/>
    <s v="Travel_Rarely"/>
    <n v="1329"/>
    <x v="1"/>
    <n v="7"/>
    <n v="3"/>
    <s v="Life Sciences"/>
    <n v="1"/>
    <x v="903"/>
    <n v="3"/>
    <x v="1"/>
    <x v="1"/>
    <n v="82"/>
    <n v="3"/>
    <n v="2"/>
    <x v="4"/>
    <n v="4"/>
    <x v="0"/>
    <s v="Divorced"/>
    <x v="850"/>
    <x v="0"/>
    <n v="4204"/>
    <n v="1"/>
    <s v="Y"/>
    <x v="0"/>
    <n v="11"/>
    <x v="0"/>
    <x v="0"/>
    <n v="2"/>
    <n v="80"/>
    <n v="2"/>
    <n v="6"/>
    <n v="2"/>
    <n v="3"/>
    <x v="0"/>
    <n v="0"/>
    <n v="1"/>
    <n v="0"/>
    <n v="4"/>
    <x v="2"/>
    <s v=""/>
    <s v=""/>
    <s v=""/>
  </r>
  <r>
    <x v="26"/>
    <x v="1"/>
    <x v="1"/>
    <n v="0"/>
    <s v="Travel_Rarely"/>
    <n v="715"/>
    <x v="1"/>
    <n v="1"/>
    <n v="3"/>
    <s v="Life Sciences"/>
    <n v="1"/>
    <x v="904"/>
    <n v="4"/>
    <x v="2"/>
    <x v="1"/>
    <n v="76"/>
    <n v="2"/>
    <n v="5"/>
    <x v="7"/>
    <n v="4"/>
    <x v="0"/>
    <s v="Single"/>
    <x v="851"/>
    <x v="4"/>
    <n v="8733"/>
    <n v="6"/>
    <s v="Y"/>
    <x v="1"/>
    <n v="12"/>
    <x v="0"/>
    <x v="0"/>
    <n v="3"/>
    <n v="80"/>
    <n v="0"/>
    <n v="25"/>
    <n v="3"/>
    <n v="4"/>
    <x v="6"/>
    <n v="0"/>
    <n v="0"/>
    <n v="0"/>
    <n v="0"/>
    <x v="1"/>
    <s v=""/>
    <s v=""/>
    <s v=""/>
  </r>
  <r>
    <x v="11"/>
    <x v="2"/>
    <x v="1"/>
    <n v="0"/>
    <s v="Travel_Rarely"/>
    <n v="694"/>
    <x v="1"/>
    <n v="1"/>
    <n v="3"/>
    <s v="Life Sciences"/>
    <n v="1"/>
    <x v="905"/>
    <n v="4"/>
    <x v="2"/>
    <x v="0"/>
    <n v="87"/>
    <n v="2"/>
    <n v="4"/>
    <x v="7"/>
    <n v="4"/>
    <x v="0"/>
    <s v="Divorced"/>
    <x v="852"/>
    <x v="4"/>
    <n v="3423"/>
    <n v="3"/>
    <s v="Y"/>
    <x v="1"/>
    <n v="14"/>
    <x v="0"/>
    <x v="0"/>
    <n v="2"/>
    <n v="80"/>
    <n v="2"/>
    <n v="9"/>
    <n v="2"/>
    <n v="2"/>
    <x v="5"/>
    <n v="7"/>
    <n v="1"/>
    <n v="7"/>
    <n v="1"/>
    <x v="1"/>
    <s v=""/>
    <s v=""/>
    <s v=""/>
  </r>
  <r>
    <x v="13"/>
    <x v="2"/>
    <x v="1"/>
    <n v="0"/>
    <s v="Travel_Rarely"/>
    <n v="1320"/>
    <x v="1"/>
    <n v="20"/>
    <n v="3"/>
    <s v="Technical Degree"/>
    <n v="1"/>
    <x v="906"/>
    <n v="3"/>
    <x v="1"/>
    <x v="0"/>
    <n v="89"/>
    <n v="4"/>
    <n v="1"/>
    <x v="1"/>
    <n v="3"/>
    <x v="2"/>
    <s v="Married"/>
    <x v="853"/>
    <x v="1"/>
    <n v="21643"/>
    <n v="0"/>
    <s v="Y"/>
    <x v="1"/>
    <n v="17"/>
    <x v="2"/>
    <x v="0"/>
    <n v="4"/>
    <n v="80"/>
    <n v="0"/>
    <n v="2"/>
    <n v="5"/>
    <n v="2"/>
    <x v="6"/>
    <n v="0"/>
    <n v="0"/>
    <n v="0"/>
    <n v="3"/>
    <x v="2"/>
    <s v=""/>
    <s v=""/>
    <s v=""/>
  </r>
  <r>
    <x v="20"/>
    <x v="0"/>
    <x v="1"/>
    <n v="0"/>
    <s v="Travel_Rarely"/>
    <n v="1099"/>
    <x v="0"/>
    <n v="5"/>
    <n v="3"/>
    <s v="Marketing"/>
    <n v="1"/>
    <x v="907"/>
    <n v="2"/>
    <x v="0"/>
    <x v="1"/>
    <n v="88"/>
    <n v="3"/>
    <n v="5"/>
    <x v="5"/>
    <n v="2"/>
    <x v="1"/>
    <s v="Married"/>
    <x v="854"/>
    <x v="4"/>
    <n v="8751"/>
    <n v="7"/>
    <s v="Y"/>
    <x v="1"/>
    <n v="11"/>
    <x v="0"/>
    <x v="0"/>
    <n v="3"/>
    <n v="80"/>
    <n v="1"/>
    <n v="26"/>
    <n v="5"/>
    <n v="3"/>
    <x v="14"/>
    <n v="9"/>
    <n v="3"/>
    <n v="10"/>
    <n v="0"/>
    <x v="1"/>
    <s v=""/>
    <s v=""/>
    <s v=""/>
  </r>
  <r>
    <x v="3"/>
    <x v="2"/>
    <x v="1"/>
    <n v="0"/>
    <s v="Travel_Rarely"/>
    <n v="536"/>
    <x v="0"/>
    <n v="10"/>
    <n v="5"/>
    <s v="Marketing"/>
    <n v="1"/>
    <x v="908"/>
    <n v="4"/>
    <x v="2"/>
    <x v="1"/>
    <n v="82"/>
    <n v="4"/>
    <n v="3"/>
    <x v="0"/>
    <n v="3"/>
    <x v="2"/>
    <s v="Divorced"/>
    <x v="855"/>
    <x v="2"/>
    <n v="21708"/>
    <n v="0"/>
    <s v="Y"/>
    <x v="0"/>
    <n v="14"/>
    <x v="0"/>
    <x v="0"/>
    <n v="4"/>
    <n v="80"/>
    <n v="2"/>
    <n v="10"/>
    <n v="3"/>
    <n v="3"/>
    <x v="7"/>
    <n v="8"/>
    <n v="0"/>
    <n v="8"/>
    <n v="3"/>
    <x v="2"/>
    <s v=""/>
    <s v=""/>
    <s v=""/>
  </r>
  <r>
    <x v="37"/>
    <x v="4"/>
    <x v="1"/>
    <n v="0"/>
    <s v="Travel_Rarely"/>
    <n v="265"/>
    <x v="1"/>
    <n v="25"/>
    <n v="3"/>
    <s v="Life Sciences"/>
    <n v="1"/>
    <x v="909"/>
    <n v="2"/>
    <x v="0"/>
    <x v="0"/>
    <n v="57"/>
    <n v="4"/>
    <n v="1"/>
    <x v="1"/>
    <n v="4"/>
    <x v="0"/>
    <s v="Single"/>
    <x v="856"/>
    <x v="1"/>
    <n v="21221"/>
    <n v="1"/>
    <s v="Y"/>
    <x v="0"/>
    <n v="12"/>
    <x v="0"/>
    <x v="0"/>
    <n v="4"/>
    <n v="80"/>
    <n v="0"/>
    <n v="1"/>
    <n v="2"/>
    <n v="3"/>
    <x v="6"/>
    <n v="0"/>
    <n v="0"/>
    <n v="1"/>
    <n v="6"/>
    <x v="3"/>
    <n v="50"/>
    <s v=""/>
    <n v="58731"/>
  </r>
  <r>
    <x v="30"/>
    <x v="4"/>
    <x v="1"/>
    <n v="0"/>
    <s v="Travel_Rarely"/>
    <n v="373"/>
    <x v="1"/>
    <n v="1"/>
    <n v="2"/>
    <s v="Life Sciences"/>
    <n v="1"/>
    <x v="910"/>
    <n v="4"/>
    <x v="2"/>
    <x v="1"/>
    <n v="47"/>
    <n v="3"/>
    <n v="1"/>
    <x v="1"/>
    <n v="3"/>
    <x v="2"/>
    <s v="Married"/>
    <x v="857"/>
    <x v="1"/>
    <n v="16901"/>
    <n v="1"/>
    <s v="Y"/>
    <x v="1"/>
    <n v="22"/>
    <x v="1"/>
    <x v="1"/>
    <n v="4"/>
    <n v="80"/>
    <n v="1"/>
    <n v="1"/>
    <n v="2"/>
    <n v="3"/>
    <x v="6"/>
    <n v="0"/>
    <n v="0"/>
    <n v="1"/>
    <n v="4"/>
    <x v="2"/>
    <s v=""/>
    <s v=""/>
    <s v=""/>
  </r>
  <r>
    <x v="36"/>
    <x v="2"/>
    <x v="0"/>
    <n v="1"/>
    <s v="Travel_Frequently"/>
    <n v="599"/>
    <x v="0"/>
    <n v="24"/>
    <n v="1"/>
    <s v="Life Sciences"/>
    <n v="1"/>
    <x v="911"/>
    <n v="3"/>
    <x v="1"/>
    <x v="1"/>
    <n v="73"/>
    <n v="1"/>
    <n v="1"/>
    <x v="6"/>
    <n v="4"/>
    <x v="0"/>
    <s v="Single"/>
    <x v="858"/>
    <x v="1"/>
    <n v="8040"/>
    <n v="1"/>
    <s v="Y"/>
    <x v="0"/>
    <n v="14"/>
    <x v="0"/>
    <x v="0"/>
    <n v="4"/>
    <n v="80"/>
    <n v="0"/>
    <n v="1"/>
    <n v="4"/>
    <n v="3"/>
    <x v="6"/>
    <n v="0"/>
    <n v="1"/>
    <n v="0"/>
    <s v=""/>
    <x v="0"/>
    <s v=""/>
    <s v=""/>
    <s v=""/>
  </r>
  <r>
    <x v="25"/>
    <x v="2"/>
    <x v="1"/>
    <n v="0"/>
    <s v="Travel_Rarely"/>
    <n v="583"/>
    <x v="1"/>
    <n v="4"/>
    <n v="2"/>
    <s v="Life Sciences"/>
    <n v="1"/>
    <x v="912"/>
    <n v="3"/>
    <x v="1"/>
    <x v="1"/>
    <n v="53"/>
    <n v="3"/>
    <n v="1"/>
    <x v="1"/>
    <n v="4"/>
    <x v="0"/>
    <s v="Single"/>
    <x v="859"/>
    <x v="1"/>
    <n v="9973"/>
    <n v="1"/>
    <s v="Y"/>
    <x v="0"/>
    <n v="20"/>
    <x v="2"/>
    <x v="1"/>
    <n v="2"/>
    <n v="80"/>
    <n v="0"/>
    <n v="8"/>
    <n v="2"/>
    <n v="2"/>
    <x v="3"/>
    <n v="5"/>
    <n v="2"/>
    <n v="2"/>
    <n v="5"/>
    <x v="2"/>
    <s v=""/>
    <s v=""/>
    <s v=""/>
  </r>
  <r>
    <x v="28"/>
    <x v="1"/>
    <x v="0"/>
    <n v="1"/>
    <s v="Travel_Rarely"/>
    <n v="1449"/>
    <x v="0"/>
    <n v="2"/>
    <n v="3"/>
    <s v="Marketing"/>
    <n v="1"/>
    <x v="913"/>
    <n v="1"/>
    <x v="3"/>
    <x v="0"/>
    <n v="94"/>
    <n v="1"/>
    <n v="5"/>
    <x v="5"/>
    <n v="2"/>
    <x v="1"/>
    <s v="Single"/>
    <x v="860"/>
    <x v="4"/>
    <n v="2493"/>
    <n v="2"/>
    <s v="Y"/>
    <x v="0"/>
    <n v="16"/>
    <x v="2"/>
    <x v="0"/>
    <n v="1"/>
    <n v="80"/>
    <n v="0"/>
    <n v="26"/>
    <n v="2"/>
    <n v="3"/>
    <x v="25"/>
    <n v="10"/>
    <n v="1"/>
    <n v="11"/>
    <s v=""/>
    <x v="0"/>
    <s v=""/>
    <s v=""/>
    <s v=""/>
  </r>
  <r>
    <x v="27"/>
    <x v="3"/>
    <x v="1"/>
    <n v="0"/>
    <s v="Non-Travel"/>
    <n v="177"/>
    <x v="1"/>
    <n v="8"/>
    <n v="1"/>
    <s v="Medical"/>
    <n v="1"/>
    <x v="914"/>
    <n v="4"/>
    <x v="2"/>
    <x v="1"/>
    <n v="37"/>
    <n v="2"/>
    <n v="4"/>
    <x v="4"/>
    <n v="2"/>
    <x v="1"/>
    <s v="Divorced"/>
    <x v="861"/>
    <x v="3"/>
    <n v="25592"/>
    <n v="1"/>
    <s v="Y"/>
    <x v="0"/>
    <n v="15"/>
    <x v="0"/>
    <x v="0"/>
    <n v="4"/>
    <n v="80"/>
    <n v="1"/>
    <n v="34"/>
    <n v="3"/>
    <n v="3"/>
    <x v="26"/>
    <n v="9"/>
    <n v="15"/>
    <n v="0"/>
    <n v="2"/>
    <x v="1"/>
    <s v=""/>
    <s v=""/>
    <s v=""/>
  </r>
  <r>
    <x v="18"/>
    <x v="4"/>
    <x v="0"/>
    <n v="1"/>
    <s v="Travel_Frequently"/>
    <n v="251"/>
    <x v="1"/>
    <n v="10"/>
    <n v="2"/>
    <s v="Life Sciences"/>
    <n v="1"/>
    <x v="915"/>
    <n v="1"/>
    <x v="3"/>
    <x v="0"/>
    <n v="45"/>
    <n v="2"/>
    <n v="1"/>
    <x v="2"/>
    <n v="3"/>
    <x v="2"/>
    <s v="Single"/>
    <x v="862"/>
    <x v="1"/>
    <n v="25308"/>
    <n v="1"/>
    <s v="Y"/>
    <x v="1"/>
    <n v="20"/>
    <x v="2"/>
    <x v="1"/>
    <n v="3"/>
    <n v="80"/>
    <n v="0"/>
    <n v="2"/>
    <n v="2"/>
    <n v="1"/>
    <x v="4"/>
    <n v="2"/>
    <n v="2"/>
    <n v="2"/>
    <s v=""/>
    <x v="0"/>
    <s v=""/>
    <s v=""/>
    <s v=""/>
  </r>
  <r>
    <x v="21"/>
    <x v="1"/>
    <x v="1"/>
    <n v="0"/>
    <s v="Travel_Rarely"/>
    <n v="168"/>
    <x v="0"/>
    <n v="4"/>
    <n v="2"/>
    <s v="Marketing"/>
    <n v="1"/>
    <x v="916"/>
    <n v="4"/>
    <x v="2"/>
    <x v="0"/>
    <n v="33"/>
    <n v="2"/>
    <n v="5"/>
    <x v="5"/>
    <n v="2"/>
    <x v="1"/>
    <s v="Married"/>
    <x v="863"/>
    <x v="4"/>
    <n v="9946"/>
    <n v="2"/>
    <s v="Y"/>
    <x v="1"/>
    <n v="14"/>
    <x v="0"/>
    <x v="0"/>
    <n v="3"/>
    <n v="80"/>
    <n v="1"/>
    <n v="26"/>
    <n v="2"/>
    <n v="3"/>
    <x v="19"/>
    <n v="4"/>
    <n v="0"/>
    <n v="8"/>
    <n v="0"/>
    <x v="1"/>
    <s v=""/>
    <s v=""/>
    <s v=""/>
  </r>
  <r>
    <x v="13"/>
    <x v="2"/>
    <x v="1"/>
    <n v="0"/>
    <s v="Travel_Rarely"/>
    <n v="131"/>
    <x v="0"/>
    <n v="2"/>
    <n v="3"/>
    <s v="Marketing"/>
    <n v="1"/>
    <x v="917"/>
    <n v="3"/>
    <x v="1"/>
    <x v="0"/>
    <n v="86"/>
    <n v="3"/>
    <n v="2"/>
    <x v="0"/>
    <n v="1"/>
    <x v="3"/>
    <s v="Single"/>
    <x v="864"/>
    <x v="0"/>
    <n v="6039"/>
    <n v="0"/>
    <s v="Y"/>
    <x v="0"/>
    <n v="12"/>
    <x v="0"/>
    <x v="0"/>
    <n v="4"/>
    <n v="80"/>
    <n v="0"/>
    <n v="4"/>
    <n v="3"/>
    <n v="3"/>
    <x v="11"/>
    <n v="2"/>
    <n v="0"/>
    <n v="2"/>
    <n v="6"/>
    <x v="3"/>
    <n v="51"/>
    <s v=""/>
    <n v="58719"/>
  </r>
  <r>
    <x v="31"/>
    <x v="1"/>
    <x v="1"/>
    <n v="0"/>
    <s v="Travel_Frequently"/>
    <n v="237"/>
    <x v="0"/>
    <n v="9"/>
    <n v="3"/>
    <s v="Life Sciences"/>
    <n v="1"/>
    <x v="918"/>
    <n v="4"/>
    <x v="2"/>
    <x v="1"/>
    <n v="83"/>
    <n v="3"/>
    <n v="5"/>
    <x v="5"/>
    <n v="2"/>
    <x v="1"/>
    <s v="Divorced"/>
    <x v="865"/>
    <x v="4"/>
    <n v="19196"/>
    <n v="4"/>
    <s v="Y"/>
    <x v="0"/>
    <n v="24"/>
    <x v="1"/>
    <x v="1"/>
    <n v="1"/>
    <n v="80"/>
    <n v="1"/>
    <n v="31"/>
    <n v="5"/>
    <n v="2"/>
    <x v="30"/>
    <n v="10"/>
    <n v="11"/>
    <n v="10"/>
    <n v="2"/>
    <x v="1"/>
    <s v=""/>
    <s v=""/>
    <s v=""/>
  </r>
  <r>
    <x v="6"/>
    <x v="3"/>
    <x v="1"/>
    <n v="0"/>
    <s v="Travel_Rarely"/>
    <n v="1429"/>
    <x v="1"/>
    <n v="18"/>
    <n v="4"/>
    <s v="Medical"/>
    <n v="1"/>
    <x v="919"/>
    <n v="4"/>
    <x v="2"/>
    <x v="1"/>
    <n v="67"/>
    <n v="3"/>
    <n v="3"/>
    <x v="3"/>
    <n v="4"/>
    <x v="0"/>
    <s v="Single"/>
    <x v="866"/>
    <x v="2"/>
    <n v="20002"/>
    <n v="6"/>
    <s v="Y"/>
    <x v="1"/>
    <n v="12"/>
    <x v="0"/>
    <x v="0"/>
    <n v="4"/>
    <n v="80"/>
    <n v="0"/>
    <n v="25"/>
    <n v="6"/>
    <n v="2"/>
    <x v="7"/>
    <n v="7"/>
    <n v="5"/>
    <n v="4"/>
    <n v="0"/>
    <x v="1"/>
    <s v=""/>
    <s v=""/>
    <s v=""/>
  </r>
  <r>
    <x v="13"/>
    <x v="2"/>
    <x v="1"/>
    <n v="0"/>
    <s v="Travel_Frequently"/>
    <n v="135"/>
    <x v="1"/>
    <n v="19"/>
    <n v="3"/>
    <s v="Medical"/>
    <n v="1"/>
    <x v="920"/>
    <n v="3"/>
    <x v="1"/>
    <x v="0"/>
    <n v="46"/>
    <n v="3"/>
    <n v="2"/>
    <x v="2"/>
    <n v="2"/>
    <x v="1"/>
    <s v="Divorced"/>
    <x v="867"/>
    <x v="0"/>
    <n v="22534"/>
    <n v="4"/>
    <s v="Y"/>
    <x v="1"/>
    <n v="13"/>
    <x v="0"/>
    <x v="0"/>
    <n v="3"/>
    <n v="80"/>
    <n v="2"/>
    <n v="15"/>
    <n v="2"/>
    <n v="4"/>
    <x v="19"/>
    <n v="8"/>
    <n v="5"/>
    <n v="10"/>
    <n v="3"/>
    <x v="2"/>
    <s v=""/>
    <s v=""/>
    <s v=""/>
  </r>
  <r>
    <x v="14"/>
    <x v="2"/>
    <x v="1"/>
    <n v="0"/>
    <s v="Travel_Frequently"/>
    <n v="791"/>
    <x v="1"/>
    <n v="1"/>
    <n v="4"/>
    <s v="Medical"/>
    <n v="1"/>
    <x v="921"/>
    <n v="4"/>
    <x v="2"/>
    <x v="1"/>
    <n v="44"/>
    <n v="3"/>
    <n v="1"/>
    <x v="2"/>
    <n v="3"/>
    <x v="2"/>
    <s v="Single"/>
    <x v="868"/>
    <x v="1"/>
    <n v="6842"/>
    <n v="0"/>
    <s v="Y"/>
    <x v="0"/>
    <n v="11"/>
    <x v="0"/>
    <x v="0"/>
    <n v="3"/>
    <n v="80"/>
    <n v="0"/>
    <n v="5"/>
    <n v="2"/>
    <n v="2"/>
    <x v="9"/>
    <n v="2"/>
    <n v="0"/>
    <n v="2"/>
    <n v="6"/>
    <x v="3"/>
    <n v="52"/>
    <s v=""/>
    <n v="58714"/>
  </r>
  <r>
    <x v="20"/>
    <x v="0"/>
    <x v="1"/>
    <n v="0"/>
    <s v="Travel_Rarely"/>
    <n v="1199"/>
    <x v="1"/>
    <n v="4"/>
    <n v="2"/>
    <s v="Life Sciences"/>
    <n v="1"/>
    <x v="922"/>
    <n v="3"/>
    <x v="1"/>
    <x v="1"/>
    <n v="92"/>
    <n v="4"/>
    <n v="5"/>
    <x v="5"/>
    <n v="1"/>
    <x v="3"/>
    <s v="Divorced"/>
    <x v="869"/>
    <x v="4"/>
    <n v="17477"/>
    <n v="1"/>
    <s v="Y"/>
    <x v="1"/>
    <n v="14"/>
    <x v="0"/>
    <x v="0"/>
    <n v="4"/>
    <n v="80"/>
    <n v="2"/>
    <n v="26"/>
    <n v="4"/>
    <n v="2"/>
    <x v="10"/>
    <n v="9"/>
    <n v="14"/>
    <n v="13"/>
    <n v="2"/>
    <x v="1"/>
    <s v=""/>
    <s v=""/>
    <s v=""/>
  </r>
  <r>
    <x v="13"/>
    <x v="2"/>
    <x v="1"/>
    <n v="0"/>
    <s v="Travel_Frequently"/>
    <n v="648"/>
    <x v="2"/>
    <n v="11"/>
    <n v="3"/>
    <s v="Life Sciences"/>
    <n v="1"/>
    <x v="923"/>
    <n v="3"/>
    <x v="1"/>
    <x v="1"/>
    <n v="56"/>
    <n v="2"/>
    <n v="2"/>
    <x v="8"/>
    <n v="2"/>
    <x v="1"/>
    <s v="Married"/>
    <x v="870"/>
    <x v="0"/>
    <n v="21833"/>
    <n v="4"/>
    <s v="Y"/>
    <x v="1"/>
    <n v="11"/>
    <x v="0"/>
    <x v="0"/>
    <n v="4"/>
    <n v="80"/>
    <n v="2"/>
    <n v="14"/>
    <n v="5"/>
    <n v="4"/>
    <x v="1"/>
    <n v="9"/>
    <n v="1"/>
    <n v="8"/>
    <n v="3"/>
    <x v="2"/>
    <s v=""/>
    <s v=""/>
    <s v=""/>
  </r>
  <r>
    <x v="10"/>
    <x v="0"/>
    <x v="1"/>
    <n v="0"/>
    <s v="Travel_Rarely"/>
    <n v="735"/>
    <x v="1"/>
    <n v="6"/>
    <n v="1"/>
    <s v="Life Sciences"/>
    <n v="1"/>
    <x v="924"/>
    <n v="3"/>
    <x v="1"/>
    <x v="1"/>
    <n v="66"/>
    <n v="3"/>
    <n v="1"/>
    <x v="1"/>
    <n v="3"/>
    <x v="2"/>
    <s v="Married"/>
    <x v="871"/>
    <x v="1"/>
    <n v="6020"/>
    <n v="0"/>
    <s v="Y"/>
    <x v="0"/>
    <n v="14"/>
    <x v="0"/>
    <x v="0"/>
    <n v="4"/>
    <n v="80"/>
    <n v="0"/>
    <n v="4"/>
    <n v="3"/>
    <n v="3"/>
    <x v="11"/>
    <n v="2"/>
    <n v="2"/>
    <n v="2"/>
    <n v="4"/>
    <x v="2"/>
    <s v=""/>
    <s v=""/>
    <s v=""/>
  </r>
  <r>
    <x v="19"/>
    <x v="0"/>
    <x v="1"/>
    <n v="0"/>
    <s v="Travel_Rarely"/>
    <n v="603"/>
    <x v="1"/>
    <n v="7"/>
    <n v="4"/>
    <s v="Medical"/>
    <n v="1"/>
    <x v="925"/>
    <n v="2"/>
    <x v="0"/>
    <x v="0"/>
    <n v="78"/>
    <n v="4"/>
    <n v="2"/>
    <x v="1"/>
    <n v="2"/>
    <x v="1"/>
    <s v="Married"/>
    <x v="872"/>
    <x v="1"/>
    <n v="5628"/>
    <n v="6"/>
    <s v="Y"/>
    <x v="0"/>
    <n v="16"/>
    <x v="2"/>
    <x v="0"/>
    <n v="4"/>
    <n v="80"/>
    <n v="0"/>
    <n v="18"/>
    <n v="2"/>
    <n v="3"/>
    <x v="6"/>
    <n v="0"/>
    <n v="0"/>
    <n v="0"/>
    <n v="4"/>
    <x v="2"/>
    <s v=""/>
    <s v=""/>
    <s v=""/>
  </r>
  <r>
    <x v="23"/>
    <x v="0"/>
    <x v="1"/>
    <n v="0"/>
    <s v="Travel_Rarely"/>
    <n v="531"/>
    <x v="0"/>
    <n v="4"/>
    <n v="4"/>
    <s v="Marketing"/>
    <n v="1"/>
    <x v="926"/>
    <n v="4"/>
    <x v="2"/>
    <x v="0"/>
    <n v="56"/>
    <n v="2"/>
    <n v="3"/>
    <x v="0"/>
    <n v="4"/>
    <x v="0"/>
    <s v="Single"/>
    <x v="873"/>
    <x v="2"/>
    <n v="20364"/>
    <n v="3"/>
    <s v="Y"/>
    <x v="1"/>
    <n v="14"/>
    <x v="0"/>
    <x v="0"/>
    <n v="4"/>
    <n v="80"/>
    <n v="0"/>
    <n v="23"/>
    <n v="3"/>
    <n v="4"/>
    <x v="17"/>
    <n v="7"/>
    <n v="15"/>
    <n v="17"/>
    <n v="0"/>
    <x v="1"/>
    <s v=""/>
    <s v=""/>
    <s v=""/>
  </r>
  <r>
    <x v="9"/>
    <x v="0"/>
    <x v="1"/>
    <n v="0"/>
    <s v="Travel_Rarely"/>
    <n v="429"/>
    <x v="1"/>
    <n v="2"/>
    <n v="4"/>
    <s v="Life Sciences"/>
    <n v="1"/>
    <x v="927"/>
    <n v="3"/>
    <x v="1"/>
    <x v="0"/>
    <n v="53"/>
    <n v="3"/>
    <n v="2"/>
    <x v="3"/>
    <n v="2"/>
    <x v="1"/>
    <s v="Single"/>
    <x v="874"/>
    <x v="0"/>
    <n v="2323"/>
    <n v="9"/>
    <s v="Y"/>
    <x v="0"/>
    <n v="11"/>
    <x v="0"/>
    <x v="0"/>
    <n v="4"/>
    <n v="80"/>
    <n v="0"/>
    <n v="18"/>
    <n v="2"/>
    <n v="3"/>
    <x v="22"/>
    <n v="14"/>
    <n v="5"/>
    <n v="12"/>
    <n v="3"/>
    <x v="2"/>
    <s v=""/>
    <s v=""/>
    <s v=""/>
  </r>
  <r>
    <x v="20"/>
    <x v="0"/>
    <x v="0"/>
    <n v="1"/>
    <s v="Travel_Rarely"/>
    <n v="621"/>
    <x v="1"/>
    <n v="15"/>
    <n v="3"/>
    <s v="Medical"/>
    <n v="1"/>
    <x v="928"/>
    <n v="1"/>
    <x v="3"/>
    <x v="0"/>
    <n v="73"/>
    <n v="3"/>
    <n v="3"/>
    <x v="4"/>
    <n v="4"/>
    <x v="0"/>
    <s v="Married"/>
    <x v="875"/>
    <x v="0"/>
    <n v="14075"/>
    <n v="1"/>
    <s v="Y"/>
    <x v="1"/>
    <n v="11"/>
    <x v="0"/>
    <x v="0"/>
    <n v="4"/>
    <n v="80"/>
    <n v="1"/>
    <n v="10"/>
    <n v="2"/>
    <n v="3"/>
    <x v="1"/>
    <n v="7"/>
    <n v="0"/>
    <n v="5"/>
    <s v=""/>
    <x v="0"/>
    <s v=""/>
    <s v=""/>
    <s v=""/>
  </r>
  <r>
    <x v="14"/>
    <x v="2"/>
    <x v="1"/>
    <n v="0"/>
    <s v="Travel_Frequently"/>
    <n v="193"/>
    <x v="1"/>
    <n v="2"/>
    <n v="3"/>
    <s v="Life Sciences"/>
    <n v="1"/>
    <x v="929"/>
    <n v="4"/>
    <x v="2"/>
    <x v="1"/>
    <n v="52"/>
    <n v="2"/>
    <n v="1"/>
    <x v="2"/>
    <n v="4"/>
    <x v="0"/>
    <s v="Married"/>
    <x v="876"/>
    <x v="1"/>
    <n v="14222"/>
    <n v="1"/>
    <s v="Y"/>
    <x v="0"/>
    <n v="12"/>
    <x v="0"/>
    <x v="0"/>
    <n v="2"/>
    <n v="80"/>
    <n v="1"/>
    <n v="2"/>
    <n v="2"/>
    <n v="3"/>
    <x v="4"/>
    <n v="2"/>
    <n v="2"/>
    <n v="2"/>
    <n v="6"/>
    <x v="3"/>
    <n v="53"/>
    <s v=""/>
    <n v="58704"/>
  </r>
  <r>
    <x v="31"/>
    <x v="1"/>
    <x v="1"/>
    <n v="0"/>
    <s v="Travel_Frequently"/>
    <n v="968"/>
    <x v="1"/>
    <n v="6"/>
    <n v="2"/>
    <s v="Medical"/>
    <n v="1"/>
    <x v="930"/>
    <n v="2"/>
    <x v="0"/>
    <x v="0"/>
    <n v="40"/>
    <n v="2"/>
    <n v="1"/>
    <x v="2"/>
    <n v="3"/>
    <x v="2"/>
    <s v="Single"/>
    <x v="877"/>
    <x v="1"/>
    <n v="4257"/>
    <n v="0"/>
    <s v="Y"/>
    <x v="1"/>
    <n v="14"/>
    <x v="0"/>
    <x v="0"/>
    <n v="2"/>
    <n v="80"/>
    <n v="0"/>
    <n v="8"/>
    <n v="6"/>
    <n v="2"/>
    <x v="5"/>
    <n v="0"/>
    <n v="7"/>
    <n v="7"/>
    <n v="3"/>
    <x v="2"/>
    <s v=""/>
    <s v=""/>
    <s v=""/>
  </r>
  <r>
    <x v="7"/>
    <x v="2"/>
    <x v="1"/>
    <n v="0"/>
    <s v="Non-Travel"/>
    <n v="879"/>
    <x v="1"/>
    <n v="9"/>
    <n v="2"/>
    <s v="Medical"/>
    <n v="1"/>
    <x v="931"/>
    <n v="3"/>
    <x v="1"/>
    <x v="0"/>
    <n v="72"/>
    <n v="3"/>
    <n v="2"/>
    <x v="3"/>
    <n v="3"/>
    <x v="2"/>
    <s v="Single"/>
    <x v="878"/>
    <x v="0"/>
    <n v="12858"/>
    <n v="7"/>
    <s v="Y"/>
    <x v="0"/>
    <n v="18"/>
    <x v="2"/>
    <x v="0"/>
    <n v="3"/>
    <n v="80"/>
    <n v="0"/>
    <n v="10"/>
    <n v="3"/>
    <n v="3"/>
    <x v="3"/>
    <n v="4"/>
    <n v="1"/>
    <n v="7"/>
    <n v="4"/>
    <x v="2"/>
    <s v=""/>
    <s v=""/>
    <s v=""/>
  </r>
  <r>
    <x v="11"/>
    <x v="2"/>
    <x v="0"/>
    <n v="1"/>
    <s v="Travel_Rarely"/>
    <n v="806"/>
    <x v="1"/>
    <n v="7"/>
    <n v="3"/>
    <s v="Technical Degree"/>
    <n v="1"/>
    <x v="932"/>
    <n v="2"/>
    <x v="0"/>
    <x v="0"/>
    <n v="39"/>
    <n v="3"/>
    <n v="1"/>
    <x v="2"/>
    <n v="3"/>
    <x v="2"/>
    <s v="Divorced"/>
    <x v="879"/>
    <x v="1"/>
    <n v="17285"/>
    <n v="3"/>
    <s v="Y"/>
    <x v="0"/>
    <n v="13"/>
    <x v="0"/>
    <x v="0"/>
    <n v="1"/>
    <n v="80"/>
    <n v="2"/>
    <n v="10"/>
    <n v="2"/>
    <n v="3"/>
    <x v="5"/>
    <n v="7"/>
    <n v="7"/>
    <n v="7"/>
    <s v=""/>
    <x v="0"/>
    <s v=""/>
    <s v=""/>
    <s v=""/>
  </r>
  <r>
    <x v="14"/>
    <x v="2"/>
    <x v="1"/>
    <n v="0"/>
    <s v="Travel_Rarely"/>
    <n v="640"/>
    <x v="1"/>
    <n v="1"/>
    <n v="3"/>
    <s v="Technical Degree"/>
    <n v="1"/>
    <x v="933"/>
    <n v="4"/>
    <x v="2"/>
    <x v="1"/>
    <n v="84"/>
    <n v="3"/>
    <n v="1"/>
    <x v="1"/>
    <n v="1"/>
    <x v="3"/>
    <s v="Single"/>
    <x v="880"/>
    <x v="1"/>
    <n v="4732"/>
    <n v="2"/>
    <s v="Y"/>
    <x v="1"/>
    <n v="11"/>
    <x v="0"/>
    <x v="0"/>
    <n v="2"/>
    <n v="80"/>
    <n v="0"/>
    <n v="5"/>
    <n v="2"/>
    <n v="2"/>
    <x v="11"/>
    <n v="2"/>
    <n v="1"/>
    <n v="2"/>
    <n v="5"/>
    <x v="2"/>
    <s v=""/>
    <s v=""/>
    <s v=""/>
  </r>
  <r>
    <x v="36"/>
    <x v="2"/>
    <x v="1"/>
    <n v="0"/>
    <s v="Travel_Rarely"/>
    <n v="266"/>
    <x v="1"/>
    <n v="1"/>
    <n v="3"/>
    <s v="Medical"/>
    <n v="1"/>
    <x v="934"/>
    <n v="4"/>
    <x v="2"/>
    <x v="0"/>
    <n v="40"/>
    <n v="3"/>
    <n v="1"/>
    <x v="1"/>
    <n v="2"/>
    <x v="1"/>
    <s v="Single"/>
    <x v="461"/>
    <x v="1"/>
    <n v="18830"/>
    <n v="1"/>
    <s v="Y"/>
    <x v="1"/>
    <n v="18"/>
    <x v="2"/>
    <x v="0"/>
    <n v="4"/>
    <n v="80"/>
    <n v="0"/>
    <n v="2"/>
    <n v="3"/>
    <n v="2"/>
    <x v="4"/>
    <n v="2"/>
    <n v="2"/>
    <n v="1"/>
    <n v="3"/>
    <x v="2"/>
    <s v=""/>
    <s v=""/>
    <s v=""/>
  </r>
  <r>
    <x v="5"/>
    <x v="2"/>
    <x v="1"/>
    <n v="0"/>
    <s v="Travel_Rarely"/>
    <n v="604"/>
    <x v="0"/>
    <n v="8"/>
    <n v="3"/>
    <s v="Medical"/>
    <n v="1"/>
    <x v="935"/>
    <n v="3"/>
    <x v="1"/>
    <x v="1"/>
    <n v="56"/>
    <n v="4"/>
    <n v="2"/>
    <x v="0"/>
    <n v="4"/>
    <x v="0"/>
    <s v="Married"/>
    <x v="881"/>
    <x v="0"/>
    <n v="11693"/>
    <n v="1"/>
    <s v="Y"/>
    <x v="1"/>
    <n v="15"/>
    <x v="0"/>
    <x v="0"/>
    <n v="3"/>
    <n v="80"/>
    <n v="2"/>
    <n v="10"/>
    <n v="4"/>
    <n v="4"/>
    <x v="1"/>
    <n v="7"/>
    <n v="0"/>
    <n v="8"/>
    <n v="2"/>
    <x v="1"/>
    <s v=""/>
    <s v=""/>
    <s v=""/>
  </r>
  <r>
    <x v="28"/>
    <x v="1"/>
    <x v="1"/>
    <n v="0"/>
    <s v="Travel_Frequently"/>
    <n v="364"/>
    <x v="1"/>
    <n v="25"/>
    <n v="3"/>
    <s v="Medical"/>
    <n v="1"/>
    <x v="936"/>
    <n v="2"/>
    <x v="0"/>
    <x v="0"/>
    <n v="83"/>
    <n v="3"/>
    <n v="5"/>
    <x v="5"/>
    <n v="2"/>
    <x v="1"/>
    <s v="Single"/>
    <x v="882"/>
    <x v="4"/>
    <n v="13035"/>
    <n v="3"/>
    <s v="Y"/>
    <x v="1"/>
    <n v="22"/>
    <x v="1"/>
    <x v="1"/>
    <n v="3"/>
    <n v="80"/>
    <n v="0"/>
    <n v="22"/>
    <n v="4"/>
    <n v="3"/>
    <x v="2"/>
    <n v="0"/>
    <n v="0"/>
    <n v="0"/>
    <n v="0"/>
    <x v="1"/>
    <s v=""/>
    <s v=""/>
    <s v=""/>
  </r>
  <r>
    <x v="22"/>
    <x v="0"/>
    <x v="1"/>
    <n v="0"/>
    <s v="Travel_Rarely"/>
    <n v="412"/>
    <x v="1"/>
    <n v="13"/>
    <n v="4"/>
    <s v="Medical"/>
    <n v="1"/>
    <x v="937"/>
    <n v="3"/>
    <x v="1"/>
    <x v="0"/>
    <n v="94"/>
    <n v="2"/>
    <n v="4"/>
    <x v="5"/>
    <n v="2"/>
    <x v="1"/>
    <s v="Divorced"/>
    <x v="883"/>
    <x v="4"/>
    <n v="17334"/>
    <n v="6"/>
    <s v="Y"/>
    <x v="0"/>
    <n v="13"/>
    <x v="0"/>
    <x v="0"/>
    <n v="4"/>
    <n v="80"/>
    <n v="2"/>
    <n v="21"/>
    <n v="4"/>
    <n v="3"/>
    <x v="27"/>
    <n v="9"/>
    <n v="15"/>
    <n v="2"/>
    <n v="2"/>
    <x v="1"/>
    <s v=""/>
    <s v=""/>
    <s v=""/>
  </r>
  <r>
    <x v="34"/>
    <x v="3"/>
    <x v="1"/>
    <n v="0"/>
    <s v="Travel_Rarely"/>
    <n v="848"/>
    <x v="1"/>
    <n v="23"/>
    <n v="4"/>
    <s v="Life Sciences"/>
    <n v="1"/>
    <x v="938"/>
    <n v="1"/>
    <x v="3"/>
    <x v="1"/>
    <n v="88"/>
    <n v="3"/>
    <n v="1"/>
    <x v="1"/>
    <n v="3"/>
    <x v="2"/>
    <s v="Divorced"/>
    <x v="872"/>
    <x v="1"/>
    <n v="26076"/>
    <n v="1"/>
    <s v="Y"/>
    <x v="1"/>
    <n v="12"/>
    <x v="0"/>
    <x v="0"/>
    <n v="4"/>
    <n v="80"/>
    <n v="2"/>
    <n v="2"/>
    <n v="3"/>
    <n v="3"/>
    <x v="4"/>
    <n v="2"/>
    <n v="2"/>
    <n v="2"/>
    <n v="2"/>
    <x v="1"/>
    <s v=""/>
    <s v=""/>
    <s v=""/>
  </r>
  <r>
    <x v="5"/>
    <x v="2"/>
    <x v="0"/>
    <n v="1"/>
    <s v="Travel_Rarely"/>
    <n v="1089"/>
    <x v="1"/>
    <n v="7"/>
    <n v="2"/>
    <s v="Life Sciences"/>
    <n v="1"/>
    <x v="939"/>
    <n v="4"/>
    <x v="2"/>
    <x v="1"/>
    <n v="79"/>
    <n v="3"/>
    <n v="2"/>
    <x v="2"/>
    <n v="3"/>
    <x v="2"/>
    <s v="Married"/>
    <x v="884"/>
    <x v="0"/>
    <n v="22845"/>
    <n v="1"/>
    <s v="Y"/>
    <x v="1"/>
    <n v="18"/>
    <x v="2"/>
    <x v="0"/>
    <n v="1"/>
    <n v="80"/>
    <n v="1"/>
    <n v="10"/>
    <n v="3"/>
    <n v="3"/>
    <x v="1"/>
    <n v="4"/>
    <n v="1"/>
    <n v="1"/>
    <s v=""/>
    <x v="0"/>
    <s v=""/>
    <s v=""/>
    <s v=""/>
  </r>
  <r>
    <x v="22"/>
    <x v="0"/>
    <x v="0"/>
    <n v="1"/>
    <s v="Travel_Rarely"/>
    <n v="360"/>
    <x v="1"/>
    <n v="23"/>
    <n v="3"/>
    <s v="Medical"/>
    <n v="1"/>
    <x v="940"/>
    <n v="3"/>
    <x v="1"/>
    <x v="1"/>
    <n v="93"/>
    <n v="3"/>
    <n v="1"/>
    <x v="1"/>
    <n v="1"/>
    <x v="3"/>
    <s v="Single"/>
    <x v="885"/>
    <x v="1"/>
    <n v="22154"/>
    <n v="0"/>
    <s v="Y"/>
    <x v="1"/>
    <n v="13"/>
    <x v="0"/>
    <x v="0"/>
    <n v="1"/>
    <n v="80"/>
    <n v="0"/>
    <n v="6"/>
    <n v="2"/>
    <n v="3"/>
    <x v="8"/>
    <n v="2"/>
    <n v="0"/>
    <n v="3"/>
    <s v=""/>
    <x v="0"/>
    <s v=""/>
    <s v=""/>
    <s v=""/>
  </r>
  <r>
    <x v="7"/>
    <x v="2"/>
    <x v="1"/>
    <n v="0"/>
    <s v="Travel_Rarely"/>
    <n v="1138"/>
    <x v="1"/>
    <n v="6"/>
    <n v="3"/>
    <s v="Technical Degree"/>
    <n v="1"/>
    <x v="941"/>
    <n v="1"/>
    <x v="3"/>
    <x v="0"/>
    <n v="48"/>
    <n v="2"/>
    <n v="2"/>
    <x v="2"/>
    <n v="4"/>
    <x v="0"/>
    <s v="Married"/>
    <x v="886"/>
    <x v="0"/>
    <n v="23631"/>
    <n v="0"/>
    <s v="Y"/>
    <x v="1"/>
    <n v="12"/>
    <x v="0"/>
    <x v="0"/>
    <n v="1"/>
    <n v="80"/>
    <n v="1"/>
    <n v="10"/>
    <n v="6"/>
    <n v="3"/>
    <x v="7"/>
    <n v="2"/>
    <n v="6"/>
    <n v="7"/>
    <n v="3"/>
    <x v="2"/>
    <s v=""/>
    <s v=""/>
    <s v=""/>
  </r>
  <r>
    <x v="9"/>
    <x v="0"/>
    <x v="1"/>
    <n v="0"/>
    <s v="Travel_Rarely"/>
    <n v="325"/>
    <x v="1"/>
    <n v="10"/>
    <n v="4"/>
    <s v="Technical Degree"/>
    <n v="1"/>
    <x v="942"/>
    <n v="4"/>
    <x v="2"/>
    <x v="0"/>
    <n v="63"/>
    <n v="3"/>
    <n v="3"/>
    <x v="4"/>
    <n v="3"/>
    <x v="2"/>
    <s v="Married"/>
    <x v="887"/>
    <x v="0"/>
    <n v="5747"/>
    <n v="3"/>
    <s v="Y"/>
    <x v="1"/>
    <n v="12"/>
    <x v="0"/>
    <x v="0"/>
    <n v="1"/>
    <n v="80"/>
    <n v="0"/>
    <n v="10"/>
    <n v="0"/>
    <n v="3"/>
    <x v="5"/>
    <n v="7"/>
    <n v="1"/>
    <n v="7"/>
    <n v="1"/>
    <x v="1"/>
    <s v=""/>
    <s v=""/>
    <s v=""/>
  </r>
  <r>
    <x v="21"/>
    <x v="1"/>
    <x v="1"/>
    <n v="0"/>
    <s v="Travel_Rarely"/>
    <n v="991"/>
    <x v="2"/>
    <n v="1"/>
    <n v="2"/>
    <s v="Life Sciences"/>
    <n v="1"/>
    <x v="943"/>
    <n v="4"/>
    <x v="2"/>
    <x v="0"/>
    <n v="44"/>
    <n v="3"/>
    <n v="1"/>
    <x v="8"/>
    <n v="1"/>
    <x v="3"/>
    <s v="Single"/>
    <x v="888"/>
    <x v="1"/>
    <n v="22957"/>
    <n v="6"/>
    <s v="Y"/>
    <x v="1"/>
    <n v="12"/>
    <x v="0"/>
    <x v="0"/>
    <n v="3"/>
    <n v="80"/>
    <n v="0"/>
    <n v="10"/>
    <n v="3"/>
    <n v="4"/>
    <x v="5"/>
    <n v="6"/>
    <n v="5"/>
    <n v="7"/>
    <n v="5"/>
    <x v="2"/>
    <s v=""/>
    <s v=""/>
    <s v=""/>
  </r>
  <r>
    <x v="14"/>
    <x v="2"/>
    <x v="1"/>
    <n v="0"/>
    <s v="Non-Travel"/>
    <n v="1476"/>
    <x v="1"/>
    <n v="1"/>
    <n v="3"/>
    <s v="Life Sciences"/>
    <n v="1"/>
    <x v="944"/>
    <n v="3"/>
    <x v="1"/>
    <x v="0"/>
    <n v="55"/>
    <n v="1"/>
    <n v="2"/>
    <x v="2"/>
    <n v="4"/>
    <x v="0"/>
    <s v="Married"/>
    <x v="889"/>
    <x v="0"/>
    <n v="16392"/>
    <n v="0"/>
    <s v="Y"/>
    <x v="1"/>
    <n v="11"/>
    <x v="0"/>
    <x v="0"/>
    <n v="1"/>
    <n v="80"/>
    <n v="3"/>
    <n v="10"/>
    <n v="6"/>
    <n v="3"/>
    <x v="7"/>
    <n v="8"/>
    <n v="7"/>
    <n v="5"/>
    <n v="3"/>
    <x v="2"/>
    <s v=""/>
    <s v=""/>
    <s v=""/>
  </r>
  <r>
    <x v="24"/>
    <x v="1"/>
    <x v="1"/>
    <n v="0"/>
    <s v="Travel_Rarely"/>
    <n v="1322"/>
    <x v="1"/>
    <n v="28"/>
    <n v="3"/>
    <s v="Life Sciences"/>
    <n v="1"/>
    <x v="945"/>
    <n v="4"/>
    <x v="2"/>
    <x v="0"/>
    <n v="43"/>
    <n v="3"/>
    <n v="4"/>
    <x v="7"/>
    <n v="1"/>
    <x v="3"/>
    <s v="Married"/>
    <x v="890"/>
    <x v="4"/>
    <n v="22422"/>
    <n v="4"/>
    <s v="Y"/>
    <x v="0"/>
    <n v="11"/>
    <x v="0"/>
    <x v="0"/>
    <n v="2"/>
    <n v="80"/>
    <n v="0"/>
    <n v="25"/>
    <n v="2"/>
    <n v="3"/>
    <x v="11"/>
    <n v="2"/>
    <n v="1"/>
    <n v="2"/>
    <n v="4"/>
    <x v="2"/>
    <s v=""/>
    <s v=""/>
    <s v=""/>
  </r>
  <r>
    <x v="32"/>
    <x v="0"/>
    <x v="0"/>
    <n v="1"/>
    <s v="Travel_Rarely"/>
    <n v="299"/>
    <x v="0"/>
    <n v="25"/>
    <n v="4"/>
    <s v="Marketing"/>
    <n v="1"/>
    <x v="946"/>
    <n v="4"/>
    <x v="2"/>
    <x v="1"/>
    <n v="57"/>
    <n v="2"/>
    <n v="3"/>
    <x v="0"/>
    <n v="2"/>
    <x v="1"/>
    <s v="Single"/>
    <x v="891"/>
    <x v="2"/>
    <n v="17235"/>
    <n v="2"/>
    <s v="Y"/>
    <x v="0"/>
    <n v="12"/>
    <x v="0"/>
    <x v="0"/>
    <n v="3"/>
    <n v="80"/>
    <n v="0"/>
    <n v="9"/>
    <n v="2"/>
    <n v="3"/>
    <x v="8"/>
    <n v="4"/>
    <n v="1"/>
    <n v="0"/>
    <s v=""/>
    <x v="0"/>
    <s v=""/>
    <s v=""/>
    <s v=""/>
  </r>
  <r>
    <x v="39"/>
    <x v="1"/>
    <x v="0"/>
    <n v="1"/>
    <s v="Travel_Rarely"/>
    <n v="1030"/>
    <x v="0"/>
    <n v="5"/>
    <n v="3"/>
    <s v="Life Sciences"/>
    <n v="1"/>
    <x v="947"/>
    <n v="2"/>
    <x v="0"/>
    <x v="1"/>
    <n v="64"/>
    <n v="3"/>
    <n v="3"/>
    <x v="0"/>
    <n v="2"/>
    <x v="1"/>
    <s v="Single"/>
    <x v="892"/>
    <x v="2"/>
    <n v="21534"/>
    <n v="9"/>
    <s v="Y"/>
    <x v="0"/>
    <n v="19"/>
    <x v="2"/>
    <x v="0"/>
    <n v="3"/>
    <n v="80"/>
    <n v="0"/>
    <n v="10"/>
    <n v="2"/>
    <n v="2"/>
    <x v="3"/>
    <n v="7"/>
    <n v="7"/>
    <n v="7"/>
    <s v=""/>
    <x v="0"/>
    <s v=""/>
    <s v=""/>
    <s v=""/>
  </r>
  <r>
    <x v="7"/>
    <x v="2"/>
    <x v="1"/>
    <n v="0"/>
    <s v="Travel_Rarely"/>
    <n v="634"/>
    <x v="1"/>
    <n v="17"/>
    <n v="4"/>
    <s v="Medical"/>
    <n v="1"/>
    <x v="948"/>
    <n v="2"/>
    <x v="0"/>
    <x v="0"/>
    <n v="95"/>
    <n v="3"/>
    <n v="3"/>
    <x v="5"/>
    <n v="1"/>
    <x v="3"/>
    <s v="Married"/>
    <x v="893"/>
    <x v="2"/>
    <n v="25927"/>
    <n v="1"/>
    <s v="Y"/>
    <x v="0"/>
    <n v="23"/>
    <x v="1"/>
    <x v="1"/>
    <n v="4"/>
    <n v="80"/>
    <n v="2"/>
    <n v="9"/>
    <n v="2"/>
    <n v="3"/>
    <x v="7"/>
    <n v="1"/>
    <n v="0"/>
    <n v="8"/>
    <n v="5"/>
    <x v="2"/>
    <s v=""/>
    <s v=""/>
    <s v=""/>
  </r>
  <r>
    <x v="22"/>
    <x v="0"/>
    <x v="1"/>
    <n v="0"/>
    <s v="Travel_Rarely"/>
    <n v="524"/>
    <x v="1"/>
    <n v="18"/>
    <n v="2"/>
    <s v="Life Sciences"/>
    <n v="1"/>
    <x v="949"/>
    <n v="1"/>
    <x v="3"/>
    <x v="1"/>
    <n v="32"/>
    <n v="3"/>
    <n v="2"/>
    <x v="3"/>
    <n v="3"/>
    <x v="2"/>
    <s v="Single"/>
    <x v="894"/>
    <x v="0"/>
    <n v="13352"/>
    <n v="0"/>
    <s v="Y"/>
    <x v="1"/>
    <n v="11"/>
    <x v="0"/>
    <x v="0"/>
    <n v="1"/>
    <n v="80"/>
    <n v="0"/>
    <n v="9"/>
    <n v="6"/>
    <n v="3"/>
    <x v="3"/>
    <n v="7"/>
    <n v="1"/>
    <n v="7"/>
    <n v="1"/>
    <x v="1"/>
    <s v=""/>
    <s v=""/>
    <s v=""/>
  </r>
  <r>
    <x v="12"/>
    <x v="2"/>
    <x v="1"/>
    <n v="0"/>
    <s v="Non-Travel"/>
    <n v="587"/>
    <x v="0"/>
    <n v="2"/>
    <n v="4"/>
    <s v="Life Sciences"/>
    <n v="1"/>
    <x v="950"/>
    <n v="4"/>
    <x v="2"/>
    <x v="0"/>
    <n v="57"/>
    <n v="3"/>
    <n v="3"/>
    <x v="0"/>
    <n v="3"/>
    <x v="2"/>
    <s v="Divorced"/>
    <x v="895"/>
    <x v="2"/>
    <n v="8935"/>
    <n v="1"/>
    <s v="Y"/>
    <x v="0"/>
    <n v="19"/>
    <x v="2"/>
    <x v="0"/>
    <n v="1"/>
    <n v="80"/>
    <n v="1"/>
    <n v="10"/>
    <n v="5"/>
    <n v="2"/>
    <x v="1"/>
    <n v="8"/>
    <n v="9"/>
    <n v="6"/>
    <n v="3"/>
    <x v="2"/>
    <s v=""/>
    <s v=""/>
    <s v=""/>
  </r>
  <r>
    <x v="0"/>
    <x v="0"/>
    <x v="1"/>
    <n v="0"/>
    <s v="Non-Travel"/>
    <n v="256"/>
    <x v="0"/>
    <n v="10"/>
    <n v="2"/>
    <s v="Medical"/>
    <n v="1"/>
    <x v="951"/>
    <n v="3"/>
    <x v="1"/>
    <x v="1"/>
    <n v="40"/>
    <n v="1"/>
    <n v="2"/>
    <x v="0"/>
    <n v="2"/>
    <x v="1"/>
    <s v="Single"/>
    <x v="896"/>
    <x v="0"/>
    <n v="22074"/>
    <n v="1"/>
    <s v="Y"/>
    <x v="1"/>
    <n v="13"/>
    <x v="0"/>
    <x v="0"/>
    <n v="1"/>
    <n v="80"/>
    <n v="0"/>
    <n v="19"/>
    <n v="4"/>
    <n v="3"/>
    <x v="27"/>
    <n v="2"/>
    <n v="11"/>
    <n v="9"/>
    <n v="1"/>
    <x v="1"/>
    <s v=""/>
    <s v=""/>
    <s v=""/>
  </r>
  <r>
    <x v="12"/>
    <x v="2"/>
    <x v="0"/>
    <n v="1"/>
    <s v="Travel_Frequently"/>
    <n v="1060"/>
    <x v="0"/>
    <n v="1"/>
    <n v="3"/>
    <s v="Life Sciences"/>
    <n v="1"/>
    <x v="952"/>
    <n v="4"/>
    <x v="2"/>
    <x v="0"/>
    <n v="54"/>
    <n v="3"/>
    <n v="1"/>
    <x v="6"/>
    <n v="2"/>
    <x v="1"/>
    <s v="Single"/>
    <x v="897"/>
    <x v="1"/>
    <n v="8319"/>
    <n v="1"/>
    <s v="Y"/>
    <x v="0"/>
    <n v="11"/>
    <x v="0"/>
    <x v="0"/>
    <n v="1"/>
    <n v="80"/>
    <n v="0"/>
    <n v="3"/>
    <n v="2"/>
    <n v="4"/>
    <x v="11"/>
    <n v="2"/>
    <n v="2"/>
    <n v="2"/>
    <s v=""/>
    <x v="0"/>
    <s v=""/>
    <s v=""/>
    <s v=""/>
  </r>
  <r>
    <x v="20"/>
    <x v="0"/>
    <x v="0"/>
    <n v="1"/>
    <s v="Travel_Rarely"/>
    <n v="935"/>
    <x v="1"/>
    <n v="3"/>
    <n v="3"/>
    <s v="Life Sciences"/>
    <n v="1"/>
    <x v="953"/>
    <n v="1"/>
    <x v="3"/>
    <x v="1"/>
    <n v="89"/>
    <n v="3"/>
    <n v="1"/>
    <x v="2"/>
    <n v="1"/>
    <x v="3"/>
    <s v="Married"/>
    <x v="898"/>
    <x v="1"/>
    <n v="14669"/>
    <n v="4"/>
    <s v="Y"/>
    <x v="1"/>
    <n v="12"/>
    <x v="0"/>
    <x v="0"/>
    <n v="3"/>
    <n v="80"/>
    <n v="0"/>
    <n v="10"/>
    <n v="4"/>
    <n v="4"/>
    <x v="11"/>
    <n v="2"/>
    <n v="1"/>
    <n v="2"/>
    <s v=""/>
    <x v="0"/>
    <s v=""/>
    <s v=""/>
    <s v=""/>
  </r>
  <r>
    <x v="19"/>
    <x v="0"/>
    <x v="1"/>
    <n v="0"/>
    <s v="Non-Travel"/>
    <n v="495"/>
    <x v="1"/>
    <n v="2"/>
    <n v="1"/>
    <s v="Life Sciences"/>
    <n v="1"/>
    <x v="954"/>
    <n v="3"/>
    <x v="1"/>
    <x v="1"/>
    <n v="37"/>
    <n v="3"/>
    <n v="4"/>
    <x v="5"/>
    <n v="3"/>
    <x v="2"/>
    <s v="Married"/>
    <x v="417"/>
    <x v="4"/>
    <n v="26582"/>
    <n v="0"/>
    <s v="Y"/>
    <x v="0"/>
    <n v="13"/>
    <x v="0"/>
    <x v="0"/>
    <n v="4"/>
    <n v="80"/>
    <n v="0"/>
    <n v="21"/>
    <n v="3"/>
    <n v="2"/>
    <x v="23"/>
    <n v="8"/>
    <n v="2"/>
    <n v="10"/>
    <n v="2"/>
    <x v="1"/>
    <s v=""/>
    <s v=""/>
    <s v=""/>
  </r>
  <r>
    <x v="27"/>
    <x v="3"/>
    <x v="1"/>
    <n v="0"/>
    <s v="Travel_Rarely"/>
    <n v="282"/>
    <x v="1"/>
    <n v="2"/>
    <n v="2"/>
    <s v="Medical"/>
    <n v="1"/>
    <x v="955"/>
    <n v="4"/>
    <x v="2"/>
    <x v="0"/>
    <n v="58"/>
    <n v="1"/>
    <n v="5"/>
    <x v="5"/>
    <n v="3"/>
    <x v="2"/>
    <s v="Married"/>
    <x v="899"/>
    <x v="4"/>
    <n v="6992"/>
    <n v="4"/>
    <s v="Y"/>
    <x v="1"/>
    <n v="14"/>
    <x v="0"/>
    <x v="0"/>
    <n v="4"/>
    <n v="80"/>
    <n v="1"/>
    <n v="23"/>
    <n v="5"/>
    <n v="3"/>
    <x v="27"/>
    <n v="9"/>
    <n v="9"/>
    <n v="11"/>
    <n v="0"/>
    <x v="1"/>
    <s v=""/>
    <s v=""/>
    <s v=""/>
  </r>
  <r>
    <x v="29"/>
    <x v="3"/>
    <x v="1"/>
    <n v="0"/>
    <s v="Travel_Rarely"/>
    <n v="206"/>
    <x v="2"/>
    <n v="8"/>
    <n v="4"/>
    <s v="Life Sciences"/>
    <n v="1"/>
    <x v="956"/>
    <n v="4"/>
    <x v="2"/>
    <x v="1"/>
    <n v="99"/>
    <n v="3"/>
    <n v="5"/>
    <x v="5"/>
    <n v="2"/>
    <x v="1"/>
    <s v="Single"/>
    <x v="900"/>
    <x v="4"/>
    <n v="4022"/>
    <n v="6"/>
    <s v="Y"/>
    <x v="1"/>
    <n v="14"/>
    <x v="0"/>
    <x v="0"/>
    <n v="1"/>
    <n v="80"/>
    <n v="0"/>
    <n v="36"/>
    <n v="4"/>
    <n v="3"/>
    <x v="5"/>
    <n v="3"/>
    <n v="7"/>
    <n v="7"/>
    <n v="0"/>
    <x v="1"/>
    <s v=""/>
    <s v=""/>
    <s v=""/>
  </r>
  <r>
    <x v="32"/>
    <x v="0"/>
    <x v="1"/>
    <n v="0"/>
    <s v="Non-Travel"/>
    <n v="458"/>
    <x v="1"/>
    <n v="16"/>
    <n v="2"/>
    <s v="Life Sciences"/>
    <n v="1"/>
    <x v="957"/>
    <n v="3"/>
    <x v="1"/>
    <x v="1"/>
    <n v="74"/>
    <n v="3"/>
    <n v="1"/>
    <x v="1"/>
    <n v="3"/>
    <x v="2"/>
    <s v="Divorced"/>
    <x v="901"/>
    <x v="1"/>
    <n v="8532"/>
    <n v="9"/>
    <s v="Y"/>
    <x v="1"/>
    <n v="16"/>
    <x v="2"/>
    <x v="0"/>
    <n v="2"/>
    <n v="80"/>
    <n v="1"/>
    <n v="6"/>
    <n v="0"/>
    <n v="3"/>
    <x v="9"/>
    <n v="2"/>
    <n v="0"/>
    <n v="0"/>
    <n v="2"/>
    <x v="1"/>
    <s v=""/>
    <s v=""/>
    <s v=""/>
  </r>
  <r>
    <x v="13"/>
    <x v="2"/>
    <x v="1"/>
    <n v="0"/>
    <s v="Travel_Rarely"/>
    <n v="943"/>
    <x v="1"/>
    <n v="9"/>
    <n v="3"/>
    <s v="Life Sciences"/>
    <n v="1"/>
    <x v="958"/>
    <n v="4"/>
    <x v="2"/>
    <x v="1"/>
    <n v="86"/>
    <n v="3"/>
    <n v="3"/>
    <x v="4"/>
    <n v="4"/>
    <x v="0"/>
    <s v="Divorced"/>
    <x v="902"/>
    <x v="2"/>
    <n v="5494"/>
    <n v="0"/>
    <s v="Y"/>
    <x v="1"/>
    <n v="11"/>
    <x v="0"/>
    <x v="0"/>
    <n v="4"/>
    <n v="80"/>
    <n v="1"/>
    <n v="10"/>
    <n v="0"/>
    <n v="2"/>
    <x v="7"/>
    <n v="7"/>
    <n v="1"/>
    <n v="6"/>
    <n v="1"/>
    <x v="1"/>
    <s v=""/>
    <s v=""/>
    <s v=""/>
  </r>
  <r>
    <x v="32"/>
    <x v="0"/>
    <x v="1"/>
    <n v="0"/>
    <s v="Travel_Rarely"/>
    <n v="523"/>
    <x v="1"/>
    <n v="2"/>
    <n v="3"/>
    <s v="Life Sciences"/>
    <n v="1"/>
    <x v="959"/>
    <n v="3"/>
    <x v="1"/>
    <x v="1"/>
    <n v="98"/>
    <n v="3"/>
    <n v="2"/>
    <x v="1"/>
    <n v="4"/>
    <x v="0"/>
    <s v="Single"/>
    <x v="903"/>
    <x v="0"/>
    <n v="22455"/>
    <n v="1"/>
    <s v="Y"/>
    <x v="1"/>
    <n v="13"/>
    <x v="0"/>
    <x v="0"/>
    <n v="3"/>
    <n v="80"/>
    <n v="0"/>
    <n v="9"/>
    <n v="4"/>
    <n v="3"/>
    <x v="7"/>
    <n v="8"/>
    <n v="8"/>
    <n v="8"/>
    <n v="1"/>
    <x v="1"/>
    <s v=""/>
    <s v=""/>
    <s v=""/>
  </r>
  <r>
    <x v="0"/>
    <x v="0"/>
    <x v="1"/>
    <n v="0"/>
    <s v="Travel_Frequently"/>
    <n v="1018"/>
    <x v="0"/>
    <n v="1"/>
    <n v="3"/>
    <s v="Marketing"/>
    <n v="1"/>
    <x v="960"/>
    <n v="3"/>
    <x v="1"/>
    <x v="0"/>
    <n v="66"/>
    <n v="3"/>
    <n v="2"/>
    <x v="0"/>
    <n v="1"/>
    <x v="3"/>
    <s v="Divorced"/>
    <x v="904"/>
    <x v="0"/>
    <n v="4297"/>
    <n v="0"/>
    <s v="Y"/>
    <x v="1"/>
    <n v="17"/>
    <x v="2"/>
    <x v="0"/>
    <n v="4"/>
    <n v="80"/>
    <n v="1"/>
    <n v="10"/>
    <n v="2"/>
    <n v="3"/>
    <x v="7"/>
    <n v="3"/>
    <n v="1"/>
    <n v="7"/>
    <n v="3"/>
    <x v="2"/>
    <s v=""/>
    <s v=""/>
    <s v=""/>
  </r>
  <r>
    <x v="10"/>
    <x v="0"/>
    <x v="1"/>
    <n v="0"/>
    <s v="Travel_Frequently"/>
    <n v="482"/>
    <x v="1"/>
    <n v="4"/>
    <n v="4"/>
    <s v="Life Sciences"/>
    <n v="1"/>
    <x v="961"/>
    <n v="3"/>
    <x v="1"/>
    <x v="1"/>
    <n v="87"/>
    <n v="3"/>
    <n v="2"/>
    <x v="1"/>
    <n v="3"/>
    <x v="2"/>
    <s v="Single"/>
    <x v="905"/>
    <x v="0"/>
    <n v="2690"/>
    <n v="1"/>
    <s v="Y"/>
    <x v="0"/>
    <n v="11"/>
    <x v="0"/>
    <x v="0"/>
    <n v="2"/>
    <n v="80"/>
    <n v="0"/>
    <n v="9"/>
    <n v="3"/>
    <n v="3"/>
    <x v="7"/>
    <n v="6"/>
    <n v="1"/>
    <n v="1"/>
    <n v="3"/>
    <x v="2"/>
    <s v=""/>
    <s v=""/>
    <s v=""/>
  </r>
  <r>
    <x v="31"/>
    <x v="1"/>
    <x v="1"/>
    <n v="0"/>
    <s v="Travel_Rarely"/>
    <n v="770"/>
    <x v="2"/>
    <n v="5"/>
    <n v="3"/>
    <s v="Life Sciences"/>
    <n v="1"/>
    <x v="962"/>
    <n v="3"/>
    <x v="1"/>
    <x v="1"/>
    <n v="84"/>
    <n v="3"/>
    <n v="4"/>
    <x v="5"/>
    <n v="2"/>
    <x v="1"/>
    <s v="Divorced"/>
    <x v="906"/>
    <x v="3"/>
    <n v="17588"/>
    <n v="1"/>
    <s v="Y"/>
    <x v="0"/>
    <n v="11"/>
    <x v="0"/>
    <x v="0"/>
    <n v="2"/>
    <n v="80"/>
    <n v="1"/>
    <n v="33"/>
    <n v="2"/>
    <n v="3"/>
    <x v="26"/>
    <n v="9"/>
    <n v="0"/>
    <n v="10"/>
    <n v="2"/>
    <x v="1"/>
    <s v=""/>
    <s v=""/>
    <s v=""/>
  </r>
  <r>
    <x v="8"/>
    <x v="0"/>
    <x v="1"/>
    <n v="0"/>
    <s v="Travel_Rarely"/>
    <n v="1009"/>
    <x v="0"/>
    <n v="2"/>
    <n v="2"/>
    <s v="Life Sciences"/>
    <n v="1"/>
    <x v="963"/>
    <n v="2"/>
    <x v="0"/>
    <x v="0"/>
    <n v="31"/>
    <n v="3"/>
    <n v="2"/>
    <x v="0"/>
    <n v="1"/>
    <x v="3"/>
    <s v="Divorced"/>
    <x v="907"/>
    <x v="0"/>
    <n v="19461"/>
    <n v="3"/>
    <s v="Y"/>
    <x v="1"/>
    <n v="15"/>
    <x v="0"/>
    <x v="0"/>
    <n v="4"/>
    <n v="80"/>
    <n v="1"/>
    <n v="11"/>
    <n v="3"/>
    <n v="3"/>
    <x v="5"/>
    <n v="7"/>
    <n v="1"/>
    <n v="7"/>
    <n v="3"/>
    <x v="2"/>
    <s v=""/>
    <s v=""/>
    <s v=""/>
  </r>
  <r>
    <x v="13"/>
    <x v="2"/>
    <x v="1"/>
    <n v="0"/>
    <s v="Travel_Rarely"/>
    <n v="507"/>
    <x v="0"/>
    <n v="15"/>
    <n v="2"/>
    <s v="Medical"/>
    <n v="1"/>
    <x v="964"/>
    <n v="3"/>
    <x v="1"/>
    <x v="0"/>
    <n v="66"/>
    <n v="3"/>
    <n v="2"/>
    <x v="0"/>
    <n v="1"/>
    <x v="3"/>
    <s v="Single"/>
    <x v="908"/>
    <x v="0"/>
    <n v="23553"/>
    <n v="1"/>
    <s v="Y"/>
    <x v="1"/>
    <n v="12"/>
    <x v="0"/>
    <x v="0"/>
    <n v="4"/>
    <n v="80"/>
    <n v="0"/>
    <n v="10"/>
    <n v="6"/>
    <n v="4"/>
    <x v="1"/>
    <n v="8"/>
    <n v="9"/>
    <n v="6"/>
    <n v="4"/>
    <x v="2"/>
    <s v=""/>
    <s v=""/>
    <s v=""/>
  </r>
  <r>
    <x v="36"/>
    <x v="2"/>
    <x v="1"/>
    <n v="0"/>
    <s v="Travel_Rarely"/>
    <n v="882"/>
    <x v="1"/>
    <n v="19"/>
    <n v="1"/>
    <s v="Medical"/>
    <n v="1"/>
    <x v="965"/>
    <n v="4"/>
    <x v="2"/>
    <x v="1"/>
    <n v="67"/>
    <n v="3"/>
    <n v="1"/>
    <x v="2"/>
    <n v="4"/>
    <x v="0"/>
    <s v="Married"/>
    <x v="909"/>
    <x v="1"/>
    <n v="9075"/>
    <n v="3"/>
    <s v="Y"/>
    <x v="1"/>
    <n v="11"/>
    <x v="0"/>
    <x v="0"/>
    <n v="3"/>
    <n v="80"/>
    <n v="3"/>
    <n v="7"/>
    <n v="6"/>
    <n v="2"/>
    <x v="11"/>
    <n v="2"/>
    <n v="1"/>
    <n v="2"/>
    <n v="4"/>
    <x v="2"/>
    <s v=""/>
    <s v=""/>
    <s v=""/>
  </r>
  <r>
    <x v="34"/>
    <x v="3"/>
    <x v="0"/>
    <n v="1"/>
    <s v="Travel_Rarely"/>
    <n v="601"/>
    <x v="1"/>
    <n v="7"/>
    <n v="4"/>
    <s v="Medical"/>
    <n v="1"/>
    <x v="966"/>
    <n v="3"/>
    <x v="1"/>
    <x v="0"/>
    <n v="53"/>
    <n v="2"/>
    <n v="3"/>
    <x v="3"/>
    <n v="1"/>
    <x v="3"/>
    <s v="Married"/>
    <x v="910"/>
    <x v="2"/>
    <n v="12023"/>
    <n v="7"/>
    <s v="Y"/>
    <x v="0"/>
    <n v="14"/>
    <x v="0"/>
    <x v="0"/>
    <n v="4"/>
    <n v="80"/>
    <n v="0"/>
    <n v="31"/>
    <n v="0"/>
    <n v="2"/>
    <x v="1"/>
    <n v="9"/>
    <n v="5"/>
    <n v="9"/>
    <s v=""/>
    <x v="0"/>
    <s v=""/>
    <s v=""/>
    <s v=""/>
  </r>
  <r>
    <x v="32"/>
    <x v="0"/>
    <x v="1"/>
    <n v="0"/>
    <s v="Travel_Rarely"/>
    <n v="329"/>
    <x v="1"/>
    <n v="1"/>
    <n v="4"/>
    <s v="Life Sciences"/>
    <n v="1"/>
    <x v="967"/>
    <n v="2"/>
    <x v="0"/>
    <x v="1"/>
    <n v="88"/>
    <n v="3"/>
    <n v="1"/>
    <x v="2"/>
    <n v="2"/>
    <x v="1"/>
    <s v="Married"/>
    <x v="911"/>
    <x v="1"/>
    <n v="6762"/>
    <n v="3"/>
    <s v="Y"/>
    <x v="1"/>
    <n v="22"/>
    <x v="1"/>
    <x v="1"/>
    <n v="3"/>
    <n v="80"/>
    <n v="1"/>
    <n v="7"/>
    <n v="3"/>
    <n v="3"/>
    <x v="9"/>
    <n v="2"/>
    <n v="0"/>
    <n v="3"/>
    <n v="3"/>
    <x v="2"/>
    <s v=""/>
    <s v=""/>
    <s v=""/>
  </r>
  <r>
    <x v="9"/>
    <x v="0"/>
    <x v="1"/>
    <n v="0"/>
    <s v="Travel_Frequently"/>
    <n v="607"/>
    <x v="0"/>
    <n v="7"/>
    <n v="3"/>
    <s v="Marketing"/>
    <n v="1"/>
    <x v="968"/>
    <n v="1"/>
    <x v="3"/>
    <x v="0"/>
    <n v="83"/>
    <n v="4"/>
    <n v="2"/>
    <x v="0"/>
    <n v="1"/>
    <x v="3"/>
    <s v="Married"/>
    <x v="912"/>
    <x v="0"/>
    <n v="2261"/>
    <n v="2"/>
    <s v="Y"/>
    <x v="1"/>
    <n v="16"/>
    <x v="2"/>
    <x v="0"/>
    <n v="4"/>
    <n v="80"/>
    <n v="1"/>
    <n v="17"/>
    <n v="2"/>
    <n v="2"/>
    <x v="15"/>
    <n v="7"/>
    <n v="6"/>
    <n v="13"/>
    <n v="3"/>
    <x v="2"/>
    <s v=""/>
    <s v=""/>
    <s v=""/>
  </r>
  <r>
    <x v="26"/>
    <x v="1"/>
    <x v="1"/>
    <n v="0"/>
    <s v="Travel_Rarely"/>
    <n v="855"/>
    <x v="1"/>
    <n v="4"/>
    <n v="3"/>
    <s v="Life Sciences"/>
    <n v="1"/>
    <x v="969"/>
    <n v="4"/>
    <x v="2"/>
    <x v="1"/>
    <n v="54"/>
    <n v="3"/>
    <n v="3"/>
    <x v="3"/>
    <n v="4"/>
    <x v="0"/>
    <s v="Single"/>
    <x v="913"/>
    <x v="0"/>
    <n v="18706"/>
    <n v="1"/>
    <s v="Y"/>
    <x v="1"/>
    <n v="11"/>
    <x v="0"/>
    <x v="0"/>
    <n v="3"/>
    <n v="80"/>
    <n v="0"/>
    <n v="11"/>
    <n v="2"/>
    <n v="3"/>
    <x v="1"/>
    <n v="9"/>
    <n v="0"/>
    <n v="8"/>
    <n v="1"/>
    <x v="1"/>
    <s v=""/>
    <s v=""/>
    <s v=""/>
  </r>
  <r>
    <x v="4"/>
    <x v="2"/>
    <x v="1"/>
    <n v="0"/>
    <s v="Travel_Rarely"/>
    <n v="1291"/>
    <x v="0"/>
    <n v="11"/>
    <n v="3"/>
    <s v="Medical"/>
    <n v="1"/>
    <x v="970"/>
    <n v="3"/>
    <x v="1"/>
    <x v="0"/>
    <n v="98"/>
    <n v="4"/>
    <n v="1"/>
    <x v="6"/>
    <n v="4"/>
    <x v="0"/>
    <s v="Married"/>
    <x v="914"/>
    <x v="1"/>
    <n v="6527"/>
    <n v="8"/>
    <s v="Y"/>
    <x v="1"/>
    <n v="14"/>
    <x v="0"/>
    <x v="0"/>
    <n v="2"/>
    <n v="80"/>
    <n v="1"/>
    <n v="5"/>
    <n v="4"/>
    <n v="3"/>
    <x v="6"/>
    <n v="0"/>
    <n v="0"/>
    <n v="0"/>
    <n v="5"/>
    <x v="2"/>
    <s v=""/>
    <s v=""/>
    <s v=""/>
  </r>
  <r>
    <x v="31"/>
    <x v="1"/>
    <x v="1"/>
    <n v="0"/>
    <s v="Travel_Rarely"/>
    <n v="1405"/>
    <x v="1"/>
    <n v="11"/>
    <n v="2"/>
    <s v="Technical Degree"/>
    <n v="1"/>
    <x v="971"/>
    <n v="4"/>
    <x v="2"/>
    <x v="0"/>
    <n v="82"/>
    <n v="2"/>
    <n v="4"/>
    <x v="3"/>
    <n v="2"/>
    <x v="1"/>
    <s v="Single"/>
    <x v="915"/>
    <x v="3"/>
    <n v="24439"/>
    <n v="3"/>
    <s v="Y"/>
    <x v="1"/>
    <n v="16"/>
    <x v="2"/>
    <x v="0"/>
    <n v="2"/>
    <n v="80"/>
    <n v="0"/>
    <n v="29"/>
    <n v="1"/>
    <n v="2"/>
    <x v="8"/>
    <n v="2"/>
    <n v="0"/>
    <n v="3"/>
    <n v="0"/>
    <x v="1"/>
    <s v=""/>
    <s v=""/>
    <s v=""/>
  </r>
  <r>
    <x v="41"/>
    <x v="4"/>
    <x v="1"/>
    <n v="0"/>
    <s v="Non-Travel"/>
    <n v="1124"/>
    <x v="1"/>
    <n v="1"/>
    <n v="3"/>
    <s v="Life Sciences"/>
    <n v="1"/>
    <x v="972"/>
    <n v="4"/>
    <x v="2"/>
    <x v="0"/>
    <n v="97"/>
    <n v="3"/>
    <n v="1"/>
    <x v="2"/>
    <n v="4"/>
    <x v="0"/>
    <s v="Single"/>
    <x v="916"/>
    <x v="1"/>
    <n v="19305"/>
    <n v="1"/>
    <s v="Y"/>
    <x v="1"/>
    <n v="15"/>
    <x v="0"/>
    <x v="0"/>
    <n v="3"/>
    <n v="80"/>
    <n v="0"/>
    <n v="0"/>
    <n v="5"/>
    <n v="4"/>
    <x v="2"/>
    <n v="0"/>
    <n v="0"/>
    <n v="0"/>
    <n v="5"/>
    <x v="2"/>
    <s v=""/>
    <s v=""/>
    <s v=""/>
  </r>
  <r>
    <x v="10"/>
    <x v="0"/>
    <x v="1"/>
    <n v="0"/>
    <s v="Travel_Rarely"/>
    <n v="817"/>
    <x v="1"/>
    <n v="1"/>
    <n v="3"/>
    <s v="Medical"/>
    <n v="1"/>
    <x v="973"/>
    <n v="4"/>
    <x v="2"/>
    <x v="0"/>
    <n v="60"/>
    <n v="2"/>
    <n v="2"/>
    <x v="2"/>
    <n v="4"/>
    <x v="0"/>
    <s v="Married"/>
    <x v="917"/>
    <x v="0"/>
    <n v="10846"/>
    <n v="0"/>
    <s v="Y"/>
    <x v="1"/>
    <n v="12"/>
    <x v="0"/>
    <x v="0"/>
    <n v="2"/>
    <n v="80"/>
    <n v="1"/>
    <n v="10"/>
    <n v="0"/>
    <n v="3"/>
    <x v="7"/>
    <n v="7"/>
    <n v="0"/>
    <n v="0"/>
    <n v="2"/>
    <x v="1"/>
    <s v=""/>
    <s v=""/>
    <s v=""/>
  </r>
  <r>
    <x v="4"/>
    <x v="2"/>
    <x v="1"/>
    <n v="0"/>
    <s v="Travel_Frequently"/>
    <n v="793"/>
    <x v="0"/>
    <n v="2"/>
    <n v="1"/>
    <s v="Life Sciences"/>
    <n v="1"/>
    <x v="974"/>
    <n v="4"/>
    <x v="2"/>
    <x v="1"/>
    <n v="43"/>
    <n v="1"/>
    <n v="2"/>
    <x v="0"/>
    <n v="4"/>
    <x v="0"/>
    <s v="Single"/>
    <x v="918"/>
    <x v="0"/>
    <n v="20392"/>
    <n v="3"/>
    <s v="Y"/>
    <x v="1"/>
    <n v="20"/>
    <x v="2"/>
    <x v="1"/>
    <n v="2"/>
    <n v="80"/>
    <n v="0"/>
    <n v="8"/>
    <n v="3"/>
    <n v="3"/>
    <x v="0"/>
    <n v="2"/>
    <n v="0"/>
    <n v="0"/>
    <n v="2"/>
    <x v="1"/>
    <s v=""/>
    <s v=""/>
    <s v=""/>
  </r>
  <r>
    <x v="27"/>
    <x v="3"/>
    <x v="0"/>
    <n v="1"/>
    <s v="Travel_Rarely"/>
    <n v="267"/>
    <x v="0"/>
    <n v="13"/>
    <n v="4"/>
    <s v="Marketing"/>
    <n v="1"/>
    <x v="975"/>
    <n v="1"/>
    <x v="3"/>
    <x v="1"/>
    <n v="85"/>
    <n v="4"/>
    <n v="4"/>
    <x v="0"/>
    <n v="3"/>
    <x v="2"/>
    <s v="Single"/>
    <x v="919"/>
    <x v="3"/>
    <n v="9277"/>
    <n v="6"/>
    <s v="Y"/>
    <x v="0"/>
    <n v="17"/>
    <x v="2"/>
    <x v="0"/>
    <n v="3"/>
    <n v="80"/>
    <n v="0"/>
    <n v="24"/>
    <n v="2"/>
    <n v="2"/>
    <x v="27"/>
    <n v="7"/>
    <n v="3"/>
    <n v="8"/>
    <s v=""/>
    <x v="0"/>
    <s v=""/>
    <s v=""/>
    <s v=""/>
  </r>
  <r>
    <x v="29"/>
    <x v="3"/>
    <x v="1"/>
    <n v="0"/>
    <s v="Travel_Rarely"/>
    <n v="1369"/>
    <x v="1"/>
    <n v="23"/>
    <n v="3"/>
    <s v="Life Sciences"/>
    <n v="1"/>
    <x v="976"/>
    <n v="4"/>
    <x v="2"/>
    <x v="1"/>
    <n v="68"/>
    <n v="3"/>
    <n v="4"/>
    <x v="3"/>
    <n v="2"/>
    <x v="1"/>
    <s v="Married"/>
    <x v="920"/>
    <x v="3"/>
    <n v="18235"/>
    <n v="4"/>
    <s v="Y"/>
    <x v="0"/>
    <n v="12"/>
    <x v="0"/>
    <x v="0"/>
    <n v="1"/>
    <n v="80"/>
    <n v="1"/>
    <n v="33"/>
    <n v="0"/>
    <n v="3"/>
    <x v="27"/>
    <n v="16"/>
    <n v="15"/>
    <n v="9"/>
    <n v="2"/>
    <x v="1"/>
    <s v=""/>
    <s v=""/>
    <s v=""/>
  </r>
  <r>
    <x v="13"/>
    <x v="2"/>
    <x v="1"/>
    <n v="0"/>
    <s v="Non-Travel"/>
    <n v="999"/>
    <x v="1"/>
    <n v="26"/>
    <n v="1"/>
    <s v="Technical Degree"/>
    <n v="1"/>
    <x v="977"/>
    <n v="1"/>
    <x v="3"/>
    <x v="0"/>
    <n v="92"/>
    <n v="2"/>
    <n v="1"/>
    <x v="1"/>
    <n v="3"/>
    <x v="2"/>
    <s v="Divorced"/>
    <x v="921"/>
    <x v="1"/>
    <n v="15891"/>
    <n v="1"/>
    <s v="Y"/>
    <x v="1"/>
    <n v="20"/>
    <x v="2"/>
    <x v="1"/>
    <n v="3"/>
    <n v="80"/>
    <n v="3"/>
    <n v="5"/>
    <n v="2"/>
    <n v="3"/>
    <x v="8"/>
    <n v="4"/>
    <n v="0"/>
    <n v="0"/>
    <n v="3"/>
    <x v="2"/>
    <s v=""/>
    <s v=""/>
    <s v=""/>
  </r>
  <r>
    <x v="32"/>
    <x v="0"/>
    <x v="1"/>
    <n v="0"/>
    <s v="Travel_Rarely"/>
    <n v="1202"/>
    <x v="1"/>
    <n v="2"/>
    <n v="1"/>
    <s v="Medical"/>
    <n v="1"/>
    <x v="978"/>
    <n v="2"/>
    <x v="0"/>
    <x v="0"/>
    <n v="89"/>
    <n v="4"/>
    <n v="2"/>
    <x v="4"/>
    <n v="3"/>
    <x v="2"/>
    <s v="Divorced"/>
    <x v="922"/>
    <x v="0"/>
    <n v="13888"/>
    <n v="5"/>
    <s v="Y"/>
    <x v="1"/>
    <n v="20"/>
    <x v="2"/>
    <x v="1"/>
    <n v="2"/>
    <n v="80"/>
    <n v="3"/>
    <n v="15"/>
    <n v="0"/>
    <n v="3"/>
    <x v="12"/>
    <n v="11"/>
    <n v="11"/>
    <n v="8"/>
    <n v="1"/>
    <x v="1"/>
    <s v=""/>
    <s v=""/>
    <s v=""/>
  </r>
  <r>
    <x v="13"/>
    <x v="2"/>
    <x v="1"/>
    <n v="0"/>
    <s v="Travel_Rarely"/>
    <n v="285"/>
    <x v="1"/>
    <n v="29"/>
    <n v="3"/>
    <s v="Medical"/>
    <n v="1"/>
    <x v="979"/>
    <n v="2"/>
    <x v="0"/>
    <x v="1"/>
    <n v="86"/>
    <n v="3"/>
    <n v="2"/>
    <x v="2"/>
    <n v="3"/>
    <x v="2"/>
    <s v="Married"/>
    <x v="923"/>
    <x v="0"/>
    <n v="17491"/>
    <n v="4"/>
    <s v="Y"/>
    <x v="1"/>
    <n v="13"/>
    <x v="0"/>
    <x v="0"/>
    <n v="1"/>
    <n v="80"/>
    <n v="2"/>
    <n v="10"/>
    <n v="1"/>
    <n v="3"/>
    <x v="3"/>
    <n v="7"/>
    <n v="7"/>
    <n v="7"/>
    <n v="3"/>
    <x v="2"/>
    <s v=""/>
    <s v=""/>
    <s v=""/>
  </r>
  <r>
    <x v="12"/>
    <x v="2"/>
    <x v="0"/>
    <n v="1"/>
    <s v="Travel_Frequently"/>
    <n v="703"/>
    <x v="0"/>
    <n v="2"/>
    <n v="3"/>
    <s v="Life Sciences"/>
    <n v="1"/>
    <x v="980"/>
    <n v="3"/>
    <x v="1"/>
    <x v="0"/>
    <n v="90"/>
    <n v="2"/>
    <n v="1"/>
    <x v="6"/>
    <n v="4"/>
    <x v="0"/>
    <s v="Single"/>
    <x v="924"/>
    <x v="1"/>
    <n v="11882"/>
    <n v="7"/>
    <s v="Y"/>
    <x v="1"/>
    <n v="14"/>
    <x v="0"/>
    <x v="0"/>
    <n v="3"/>
    <n v="80"/>
    <n v="0"/>
    <n v="3"/>
    <n v="3"/>
    <n v="4"/>
    <x v="6"/>
    <n v="0"/>
    <n v="0"/>
    <n v="0"/>
    <s v=""/>
    <x v="0"/>
    <s v=""/>
    <s v=""/>
    <s v=""/>
  </r>
  <r>
    <x v="10"/>
    <x v="0"/>
    <x v="0"/>
    <n v="1"/>
    <s v="Travel_Frequently"/>
    <n v="662"/>
    <x v="0"/>
    <n v="18"/>
    <n v="4"/>
    <s v="Marketing"/>
    <n v="1"/>
    <x v="981"/>
    <n v="4"/>
    <x v="2"/>
    <x v="0"/>
    <n v="67"/>
    <n v="3"/>
    <n v="2"/>
    <x v="0"/>
    <n v="3"/>
    <x v="2"/>
    <s v="Married"/>
    <x v="925"/>
    <x v="0"/>
    <n v="23288"/>
    <n v="0"/>
    <s v="Y"/>
    <x v="0"/>
    <n v="18"/>
    <x v="2"/>
    <x v="0"/>
    <n v="3"/>
    <n v="80"/>
    <n v="1"/>
    <n v="5"/>
    <n v="0"/>
    <n v="2"/>
    <x v="9"/>
    <n v="2"/>
    <n v="3"/>
    <n v="2"/>
    <s v=""/>
    <x v="0"/>
    <s v=""/>
    <s v=""/>
    <s v=""/>
  </r>
  <r>
    <x v="8"/>
    <x v="0"/>
    <x v="1"/>
    <n v="0"/>
    <s v="Travel_Frequently"/>
    <n v="693"/>
    <x v="1"/>
    <n v="7"/>
    <n v="3"/>
    <s v="Life Sciences"/>
    <n v="1"/>
    <x v="982"/>
    <n v="4"/>
    <x v="2"/>
    <x v="1"/>
    <n v="57"/>
    <n v="4"/>
    <n v="1"/>
    <x v="1"/>
    <n v="3"/>
    <x v="2"/>
    <s v="Divorced"/>
    <x v="353"/>
    <x v="1"/>
    <n v="15748"/>
    <n v="1"/>
    <s v="Y"/>
    <x v="1"/>
    <n v="11"/>
    <x v="0"/>
    <x v="0"/>
    <n v="4"/>
    <n v="80"/>
    <n v="3"/>
    <n v="4"/>
    <n v="2"/>
    <n v="3"/>
    <x v="9"/>
    <n v="2"/>
    <n v="0"/>
    <n v="3"/>
    <n v="2"/>
    <x v="1"/>
    <s v=""/>
    <s v=""/>
    <s v=""/>
  </r>
  <r>
    <x v="13"/>
    <x v="2"/>
    <x v="1"/>
    <n v="0"/>
    <s v="Travel_Rarely"/>
    <n v="404"/>
    <x v="1"/>
    <n v="2"/>
    <n v="4"/>
    <s v="Technical Degree"/>
    <n v="1"/>
    <x v="983"/>
    <n v="3"/>
    <x v="1"/>
    <x v="0"/>
    <n v="98"/>
    <n v="3"/>
    <n v="2"/>
    <x v="4"/>
    <n v="4"/>
    <x v="0"/>
    <s v="Single"/>
    <x v="926"/>
    <x v="0"/>
    <n v="6163"/>
    <n v="1"/>
    <s v="Y"/>
    <x v="1"/>
    <n v="11"/>
    <x v="0"/>
    <x v="0"/>
    <n v="4"/>
    <n v="80"/>
    <n v="0"/>
    <n v="14"/>
    <n v="2"/>
    <n v="4"/>
    <x v="13"/>
    <n v="11"/>
    <n v="4"/>
    <n v="11"/>
    <n v="2"/>
    <x v="1"/>
    <s v=""/>
    <s v=""/>
    <s v=""/>
  </r>
  <r>
    <x v="14"/>
    <x v="2"/>
    <x v="1"/>
    <n v="0"/>
    <s v="Travel_Rarely"/>
    <n v="736"/>
    <x v="0"/>
    <n v="26"/>
    <n v="3"/>
    <s v="Life Sciences"/>
    <n v="1"/>
    <x v="984"/>
    <n v="3"/>
    <x v="1"/>
    <x v="1"/>
    <n v="48"/>
    <n v="2"/>
    <n v="2"/>
    <x v="0"/>
    <n v="1"/>
    <x v="3"/>
    <s v="Married"/>
    <x v="927"/>
    <x v="0"/>
    <n v="24232"/>
    <n v="1"/>
    <s v="Y"/>
    <x v="1"/>
    <n v="11"/>
    <x v="0"/>
    <x v="0"/>
    <n v="3"/>
    <n v="80"/>
    <n v="1"/>
    <n v="5"/>
    <n v="0"/>
    <n v="3"/>
    <x v="8"/>
    <n v="3"/>
    <n v="0"/>
    <n v="4"/>
    <n v="4"/>
    <x v="2"/>
    <s v=""/>
    <s v=""/>
    <s v=""/>
  </r>
  <r>
    <x v="12"/>
    <x v="2"/>
    <x v="0"/>
    <n v="1"/>
    <s v="Travel_Rarely"/>
    <n v="330"/>
    <x v="1"/>
    <n v="22"/>
    <n v="4"/>
    <s v="Medical"/>
    <n v="1"/>
    <x v="985"/>
    <n v="4"/>
    <x v="2"/>
    <x v="1"/>
    <n v="98"/>
    <n v="3"/>
    <n v="2"/>
    <x v="3"/>
    <n v="3"/>
    <x v="2"/>
    <s v="Married"/>
    <x v="928"/>
    <x v="0"/>
    <n v="21057"/>
    <n v="1"/>
    <s v="Y"/>
    <x v="0"/>
    <n v="15"/>
    <x v="0"/>
    <x v="0"/>
    <n v="4"/>
    <n v="80"/>
    <n v="2"/>
    <n v="10"/>
    <n v="3"/>
    <n v="2"/>
    <x v="1"/>
    <n v="2"/>
    <n v="6"/>
    <n v="7"/>
    <s v=""/>
    <x v="0"/>
    <s v=""/>
    <s v=""/>
    <s v=""/>
  </r>
  <r>
    <x v="22"/>
    <x v="0"/>
    <x v="1"/>
    <n v="0"/>
    <s v="Travel_Rarely"/>
    <n v="1498"/>
    <x v="0"/>
    <n v="21"/>
    <n v="4"/>
    <s v="Life Sciences"/>
    <n v="1"/>
    <x v="986"/>
    <n v="1"/>
    <x v="3"/>
    <x v="1"/>
    <n v="44"/>
    <n v="2"/>
    <n v="2"/>
    <x v="0"/>
    <n v="4"/>
    <x v="0"/>
    <s v="Married"/>
    <x v="929"/>
    <x v="0"/>
    <n v="3567"/>
    <n v="3"/>
    <s v="Y"/>
    <x v="0"/>
    <n v="12"/>
    <x v="0"/>
    <x v="0"/>
    <n v="4"/>
    <n v="80"/>
    <n v="2"/>
    <n v="8"/>
    <n v="2"/>
    <n v="4"/>
    <x v="8"/>
    <n v="4"/>
    <n v="1"/>
    <n v="4"/>
    <n v="3"/>
    <x v="2"/>
    <s v=""/>
    <s v=""/>
    <s v=""/>
  </r>
  <r>
    <x v="31"/>
    <x v="1"/>
    <x v="1"/>
    <n v="0"/>
    <s v="Travel_Frequently"/>
    <n v="541"/>
    <x v="0"/>
    <n v="2"/>
    <n v="3"/>
    <s v="Marketing"/>
    <n v="1"/>
    <x v="987"/>
    <n v="2"/>
    <x v="0"/>
    <x v="1"/>
    <n v="52"/>
    <n v="3"/>
    <n v="3"/>
    <x v="0"/>
    <n v="2"/>
    <x v="1"/>
    <s v="Married"/>
    <x v="930"/>
    <x v="2"/>
    <n v="15395"/>
    <n v="2"/>
    <s v="Y"/>
    <x v="1"/>
    <n v="11"/>
    <x v="0"/>
    <x v="0"/>
    <n v="2"/>
    <n v="80"/>
    <n v="0"/>
    <n v="14"/>
    <n v="5"/>
    <n v="3"/>
    <x v="9"/>
    <n v="2"/>
    <n v="3"/>
    <n v="2"/>
    <n v="0"/>
    <x v="1"/>
    <s v=""/>
    <s v=""/>
    <s v=""/>
  </r>
  <r>
    <x v="0"/>
    <x v="0"/>
    <x v="1"/>
    <n v="0"/>
    <s v="Travel_Frequently"/>
    <n v="1200"/>
    <x v="1"/>
    <n v="22"/>
    <n v="3"/>
    <s v="Life Sciences"/>
    <n v="1"/>
    <x v="988"/>
    <n v="4"/>
    <x v="2"/>
    <x v="0"/>
    <n v="75"/>
    <n v="3"/>
    <n v="2"/>
    <x v="1"/>
    <n v="4"/>
    <x v="0"/>
    <s v="Divorced"/>
    <x v="931"/>
    <x v="0"/>
    <n v="13953"/>
    <n v="3"/>
    <s v="Y"/>
    <x v="0"/>
    <n v="14"/>
    <x v="0"/>
    <x v="0"/>
    <n v="1"/>
    <n v="80"/>
    <n v="2"/>
    <n v="12"/>
    <n v="4"/>
    <n v="2"/>
    <x v="0"/>
    <n v="2"/>
    <n v="3"/>
    <n v="3"/>
    <n v="3"/>
    <x v="2"/>
    <s v=""/>
    <s v=""/>
    <s v=""/>
  </r>
  <r>
    <x v="2"/>
    <x v="0"/>
    <x v="1"/>
    <n v="0"/>
    <s v="Travel_Rarely"/>
    <n v="1439"/>
    <x v="1"/>
    <n v="4"/>
    <n v="1"/>
    <s v="Life Sciences"/>
    <n v="1"/>
    <x v="989"/>
    <n v="3"/>
    <x v="1"/>
    <x v="1"/>
    <n v="54"/>
    <n v="3"/>
    <n v="1"/>
    <x v="1"/>
    <n v="3"/>
    <x v="2"/>
    <s v="Married"/>
    <x v="932"/>
    <x v="1"/>
    <n v="5182"/>
    <n v="7"/>
    <s v="Y"/>
    <x v="0"/>
    <n v="15"/>
    <x v="0"/>
    <x v="0"/>
    <n v="4"/>
    <n v="80"/>
    <n v="0"/>
    <n v="8"/>
    <n v="2"/>
    <n v="3"/>
    <x v="0"/>
    <n v="4"/>
    <n v="1"/>
    <n v="3"/>
    <n v="4"/>
    <x v="2"/>
    <s v=""/>
    <s v=""/>
    <s v=""/>
  </r>
  <r>
    <x v="3"/>
    <x v="2"/>
    <x v="1"/>
    <n v="0"/>
    <s v="Travel_Frequently"/>
    <n v="1111"/>
    <x v="0"/>
    <n v="5"/>
    <n v="1"/>
    <s v="Life Sciences"/>
    <n v="1"/>
    <x v="990"/>
    <n v="2"/>
    <x v="0"/>
    <x v="1"/>
    <n v="61"/>
    <n v="3"/>
    <n v="2"/>
    <x v="0"/>
    <n v="4"/>
    <x v="0"/>
    <s v="Married"/>
    <x v="933"/>
    <x v="2"/>
    <n v="19293"/>
    <n v="6"/>
    <s v="Y"/>
    <x v="1"/>
    <n v="13"/>
    <x v="0"/>
    <x v="0"/>
    <n v="1"/>
    <n v="80"/>
    <n v="0"/>
    <n v="8"/>
    <n v="2"/>
    <n v="4"/>
    <x v="8"/>
    <n v="4"/>
    <n v="1"/>
    <n v="2"/>
    <n v="1"/>
    <x v="1"/>
    <s v=""/>
    <s v=""/>
    <s v=""/>
  </r>
  <r>
    <x v="5"/>
    <x v="2"/>
    <x v="1"/>
    <n v="0"/>
    <s v="Travel_Rarely"/>
    <n v="499"/>
    <x v="0"/>
    <n v="2"/>
    <n v="1"/>
    <s v="Marketing"/>
    <n v="1"/>
    <x v="991"/>
    <n v="3"/>
    <x v="1"/>
    <x v="1"/>
    <n v="36"/>
    <n v="3"/>
    <n v="2"/>
    <x v="0"/>
    <n v="2"/>
    <x v="1"/>
    <s v="Married"/>
    <x v="934"/>
    <x v="0"/>
    <n v="20497"/>
    <n v="0"/>
    <s v="Y"/>
    <x v="0"/>
    <n v="13"/>
    <x v="0"/>
    <x v="0"/>
    <n v="1"/>
    <n v="80"/>
    <n v="3"/>
    <n v="4"/>
    <n v="3"/>
    <n v="2"/>
    <x v="11"/>
    <n v="2"/>
    <n v="1"/>
    <n v="2"/>
    <n v="4"/>
    <x v="2"/>
    <s v=""/>
    <s v=""/>
    <s v=""/>
  </r>
  <r>
    <x v="22"/>
    <x v="0"/>
    <x v="1"/>
    <n v="0"/>
    <s v="Non-Travel"/>
    <n v="1485"/>
    <x v="1"/>
    <n v="25"/>
    <n v="2"/>
    <s v="Life Sciences"/>
    <n v="1"/>
    <x v="992"/>
    <n v="3"/>
    <x v="1"/>
    <x v="1"/>
    <n v="71"/>
    <n v="3"/>
    <n v="3"/>
    <x v="4"/>
    <n v="3"/>
    <x v="2"/>
    <s v="Married"/>
    <x v="935"/>
    <x v="2"/>
    <n v="3449"/>
    <n v="3"/>
    <s v="Y"/>
    <x v="1"/>
    <n v="21"/>
    <x v="1"/>
    <x v="1"/>
    <n v="2"/>
    <n v="80"/>
    <n v="1"/>
    <n v="13"/>
    <n v="2"/>
    <n v="3"/>
    <x v="0"/>
    <n v="4"/>
    <n v="0"/>
    <n v="5"/>
    <n v="0"/>
    <x v="1"/>
    <s v=""/>
    <s v=""/>
    <s v=""/>
  </r>
  <r>
    <x v="36"/>
    <x v="2"/>
    <x v="1"/>
    <n v="0"/>
    <s v="Travel_Rarely"/>
    <n v="1372"/>
    <x v="0"/>
    <n v="18"/>
    <n v="1"/>
    <s v="Life Sciences"/>
    <n v="1"/>
    <x v="993"/>
    <n v="1"/>
    <x v="3"/>
    <x v="1"/>
    <n v="93"/>
    <n v="4"/>
    <n v="2"/>
    <x v="0"/>
    <n v="3"/>
    <x v="2"/>
    <s v="Married"/>
    <x v="936"/>
    <x v="0"/>
    <n v="12477"/>
    <n v="2"/>
    <s v="Y"/>
    <x v="1"/>
    <n v="11"/>
    <x v="0"/>
    <x v="0"/>
    <n v="2"/>
    <n v="80"/>
    <n v="0"/>
    <n v="6"/>
    <n v="3"/>
    <n v="2"/>
    <x v="11"/>
    <n v="2"/>
    <n v="1"/>
    <n v="2"/>
    <n v="2"/>
    <x v="1"/>
    <s v=""/>
    <s v=""/>
    <s v=""/>
  </r>
  <r>
    <x v="39"/>
    <x v="1"/>
    <x v="1"/>
    <n v="0"/>
    <s v="Travel_Frequently"/>
    <n v="322"/>
    <x v="1"/>
    <n v="28"/>
    <n v="2"/>
    <s v="Medical"/>
    <n v="1"/>
    <x v="994"/>
    <n v="4"/>
    <x v="2"/>
    <x v="0"/>
    <n v="59"/>
    <n v="4"/>
    <n v="4"/>
    <x v="3"/>
    <n v="3"/>
    <x v="2"/>
    <s v="Married"/>
    <x v="937"/>
    <x v="3"/>
    <n v="9731"/>
    <n v="2"/>
    <s v="Y"/>
    <x v="0"/>
    <n v="11"/>
    <x v="0"/>
    <x v="0"/>
    <n v="2"/>
    <n v="80"/>
    <n v="1"/>
    <n v="24"/>
    <n v="3"/>
    <n v="2"/>
    <x v="8"/>
    <n v="3"/>
    <n v="0"/>
    <n v="2"/>
    <n v="2"/>
    <x v="1"/>
    <s v=""/>
    <s v=""/>
    <s v=""/>
  </r>
  <r>
    <x v="23"/>
    <x v="0"/>
    <x v="1"/>
    <n v="0"/>
    <s v="Travel_Rarely"/>
    <n v="930"/>
    <x v="1"/>
    <n v="6"/>
    <n v="3"/>
    <s v="Medical"/>
    <n v="1"/>
    <x v="995"/>
    <n v="1"/>
    <x v="3"/>
    <x v="0"/>
    <n v="73"/>
    <n v="2"/>
    <n v="2"/>
    <x v="1"/>
    <n v="3"/>
    <x v="2"/>
    <s v="Single"/>
    <x v="938"/>
    <x v="0"/>
    <n v="20003"/>
    <n v="1"/>
    <s v="Y"/>
    <x v="0"/>
    <n v="14"/>
    <x v="0"/>
    <x v="0"/>
    <n v="1"/>
    <n v="80"/>
    <n v="0"/>
    <n v="20"/>
    <n v="3"/>
    <n v="1"/>
    <x v="23"/>
    <n v="7"/>
    <n v="1"/>
    <n v="8"/>
    <n v="3"/>
    <x v="2"/>
    <s v=""/>
    <s v=""/>
    <s v=""/>
  </r>
  <r>
    <x v="4"/>
    <x v="2"/>
    <x v="1"/>
    <n v="0"/>
    <s v="Travel_Rarely"/>
    <n v="205"/>
    <x v="0"/>
    <n v="10"/>
    <n v="3"/>
    <s v="Marketing"/>
    <n v="1"/>
    <x v="996"/>
    <n v="4"/>
    <x v="2"/>
    <x v="0"/>
    <n v="98"/>
    <n v="2"/>
    <n v="2"/>
    <x v="0"/>
    <n v="4"/>
    <x v="0"/>
    <s v="Married"/>
    <x v="939"/>
    <x v="0"/>
    <n v="7100"/>
    <n v="1"/>
    <s v="Y"/>
    <x v="0"/>
    <n v="11"/>
    <x v="0"/>
    <x v="0"/>
    <n v="4"/>
    <n v="80"/>
    <n v="0"/>
    <n v="6"/>
    <n v="3"/>
    <n v="3"/>
    <x v="0"/>
    <n v="2"/>
    <n v="4"/>
    <n v="4"/>
    <n v="4"/>
    <x v="2"/>
    <s v=""/>
    <s v=""/>
    <s v=""/>
  </r>
  <r>
    <x v="4"/>
    <x v="2"/>
    <x v="0"/>
    <n v="1"/>
    <s v="Travel_Rarely"/>
    <n v="135"/>
    <x v="1"/>
    <n v="17"/>
    <n v="4"/>
    <s v="Life Sciences"/>
    <n v="1"/>
    <x v="997"/>
    <n v="4"/>
    <x v="2"/>
    <x v="0"/>
    <n v="51"/>
    <n v="3"/>
    <n v="1"/>
    <x v="1"/>
    <n v="3"/>
    <x v="2"/>
    <s v="Single"/>
    <x v="940"/>
    <x v="1"/>
    <n v="25681"/>
    <n v="1"/>
    <s v="Y"/>
    <x v="0"/>
    <n v="13"/>
    <x v="0"/>
    <x v="0"/>
    <n v="4"/>
    <n v="80"/>
    <n v="0"/>
    <n v="8"/>
    <n v="2"/>
    <n v="3"/>
    <x v="3"/>
    <n v="2"/>
    <n v="7"/>
    <n v="7"/>
    <s v=""/>
    <x v="0"/>
    <s v=""/>
    <s v=""/>
    <s v=""/>
  </r>
  <r>
    <x v="25"/>
    <x v="2"/>
    <x v="1"/>
    <n v="0"/>
    <s v="Travel_Rarely"/>
    <n v="683"/>
    <x v="1"/>
    <n v="2"/>
    <n v="1"/>
    <s v="Medical"/>
    <n v="1"/>
    <x v="998"/>
    <n v="1"/>
    <x v="3"/>
    <x v="1"/>
    <n v="36"/>
    <n v="2"/>
    <n v="1"/>
    <x v="1"/>
    <n v="4"/>
    <x v="0"/>
    <s v="Single"/>
    <x v="885"/>
    <x v="1"/>
    <n v="4050"/>
    <n v="0"/>
    <s v="Y"/>
    <x v="1"/>
    <n v="12"/>
    <x v="0"/>
    <x v="0"/>
    <n v="4"/>
    <n v="80"/>
    <n v="0"/>
    <n v="5"/>
    <n v="2"/>
    <n v="3"/>
    <x v="9"/>
    <n v="3"/>
    <n v="1"/>
    <n v="1"/>
    <n v="3"/>
    <x v="2"/>
    <s v=""/>
    <s v=""/>
    <s v=""/>
  </r>
  <r>
    <x v="19"/>
    <x v="0"/>
    <x v="1"/>
    <n v="0"/>
    <s v="Travel_Rarely"/>
    <n v="1147"/>
    <x v="2"/>
    <n v="10"/>
    <n v="3"/>
    <s v="Human Resources"/>
    <n v="1"/>
    <x v="999"/>
    <n v="3"/>
    <x v="1"/>
    <x v="0"/>
    <n v="31"/>
    <n v="3"/>
    <n v="4"/>
    <x v="5"/>
    <n v="1"/>
    <x v="3"/>
    <s v="Married"/>
    <x v="941"/>
    <x v="4"/>
    <n v="16616"/>
    <n v="0"/>
    <s v="Y"/>
    <x v="1"/>
    <n v="14"/>
    <x v="0"/>
    <x v="0"/>
    <n v="3"/>
    <n v="80"/>
    <n v="1"/>
    <n v="21"/>
    <n v="5"/>
    <n v="3"/>
    <x v="23"/>
    <n v="7"/>
    <n v="0"/>
    <n v="9"/>
    <n v="2"/>
    <x v="1"/>
    <s v=""/>
    <s v=""/>
    <s v=""/>
  </r>
  <r>
    <x v="39"/>
    <x v="1"/>
    <x v="1"/>
    <n v="0"/>
    <s v="Travel_Rarely"/>
    <n v="258"/>
    <x v="1"/>
    <n v="8"/>
    <n v="4"/>
    <s v="Other"/>
    <n v="1"/>
    <x v="1000"/>
    <n v="3"/>
    <x v="1"/>
    <x v="0"/>
    <n v="54"/>
    <n v="3"/>
    <n v="1"/>
    <x v="2"/>
    <n v="1"/>
    <x v="3"/>
    <s v="Married"/>
    <x v="942"/>
    <x v="1"/>
    <n v="17363"/>
    <n v="9"/>
    <s v="Y"/>
    <x v="1"/>
    <n v="13"/>
    <x v="0"/>
    <x v="0"/>
    <n v="3"/>
    <n v="80"/>
    <n v="0"/>
    <n v="12"/>
    <n v="2"/>
    <n v="1"/>
    <x v="8"/>
    <n v="4"/>
    <n v="0"/>
    <n v="4"/>
    <n v="5"/>
    <x v="2"/>
    <s v=""/>
    <s v=""/>
    <s v=""/>
  </r>
  <r>
    <x v="2"/>
    <x v="0"/>
    <x v="1"/>
    <n v="0"/>
    <s v="Travel_Rarely"/>
    <n v="1462"/>
    <x v="1"/>
    <n v="11"/>
    <n v="3"/>
    <s v="Medical"/>
    <n v="1"/>
    <x v="1001"/>
    <n v="1"/>
    <x v="3"/>
    <x v="0"/>
    <n v="94"/>
    <n v="3"/>
    <n v="1"/>
    <x v="2"/>
    <n v="3"/>
    <x v="2"/>
    <s v="Single"/>
    <x v="943"/>
    <x v="1"/>
    <n v="19106"/>
    <n v="4"/>
    <s v="Y"/>
    <x v="1"/>
    <n v="18"/>
    <x v="2"/>
    <x v="0"/>
    <n v="1"/>
    <n v="80"/>
    <n v="0"/>
    <n v="8"/>
    <n v="6"/>
    <n v="3"/>
    <x v="11"/>
    <n v="2"/>
    <n v="0"/>
    <n v="2"/>
    <n v="3"/>
    <x v="2"/>
    <s v=""/>
    <s v=""/>
    <s v=""/>
  </r>
  <r>
    <x v="10"/>
    <x v="0"/>
    <x v="1"/>
    <n v="0"/>
    <s v="Travel_Frequently"/>
    <n v="200"/>
    <x v="1"/>
    <n v="18"/>
    <n v="2"/>
    <s v="Life Sciences"/>
    <n v="1"/>
    <x v="1002"/>
    <n v="3"/>
    <x v="1"/>
    <x v="1"/>
    <n v="60"/>
    <n v="3"/>
    <n v="3"/>
    <x v="3"/>
    <n v="4"/>
    <x v="0"/>
    <s v="Single"/>
    <x v="944"/>
    <x v="2"/>
    <n v="19944"/>
    <n v="2"/>
    <s v="Y"/>
    <x v="1"/>
    <n v="11"/>
    <x v="0"/>
    <x v="0"/>
    <n v="3"/>
    <n v="80"/>
    <n v="0"/>
    <n v="10"/>
    <n v="2"/>
    <n v="3"/>
    <x v="4"/>
    <n v="2"/>
    <n v="2"/>
    <n v="2"/>
    <n v="0"/>
    <x v="1"/>
    <s v=""/>
    <s v=""/>
    <s v=""/>
  </r>
  <r>
    <x v="36"/>
    <x v="2"/>
    <x v="1"/>
    <n v="0"/>
    <s v="Travel_Rarely"/>
    <n v="949"/>
    <x v="1"/>
    <n v="1"/>
    <n v="3"/>
    <s v="Technical Degree"/>
    <n v="1"/>
    <x v="1003"/>
    <n v="1"/>
    <x v="3"/>
    <x v="1"/>
    <n v="81"/>
    <n v="3"/>
    <n v="1"/>
    <x v="2"/>
    <n v="4"/>
    <x v="0"/>
    <s v="Married"/>
    <x v="945"/>
    <x v="1"/>
    <n v="4910"/>
    <n v="4"/>
    <s v="Y"/>
    <x v="1"/>
    <n v="11"/>
    <x v="0"/>
    <x v="0"/>
    <n v="2"/>
    <n v="80"/>
    <n v="1"/>
    <n v="7"/>
    <n v="2"/>
    <n v="2"/>
    <x v="11"/>
    <n v="2"/>
    <n v="0"/>
    <n v="2"/>
    <n v="4"/>
    <x v="2"/>
    <s v=""/>
    <s v=""/>
    <s v=""/>
  </r>
  <r>
    <x v="25"/>
    <x v="2"/>
    <x v="1"/>
    <n v="0"/>
    <s v="Travel_Rarely"/>
    <n v="652"/>
    <x v="1"/>
    <n v="7"/>
    <n v="3"/>
    <s v="Other"/>
    <n v="1"/>
    <x v="1004"/>
    <n v="3"/>
    <x v="1"/>
    <x v="1"/>
    <n v="100"/>
    <n v="4"/>
    <n v="1"/>
    <x v="2"/>
    <n v="1"/>
    <x v="3"/>
    <s v="Single"/>
    <x v="946"/>
    <x v="1"/>
    <n v="23577"/>
    <n v="0"/>
    <s v="Y"/>
    <x v="1"/>
    <n v="12"/>
    <x v="0"/>
    <x v="0"/>
    <n v="4"/>
    <n v="80"/>
    <n v="0"/>
    <n v="8"/>
    <n v="2"/>
    <n v="3"/>
    <x v="5"/>
    <n v="7"/>
    <n v="0"/>
    <n v="7"/>
    <n v="6"/>
    <x v="3"/>
    <n v="54"/>
    <s v=""/>
    <n v="58583"/>
  </r>
  <r>
    <x v="11"/>
    <x v="2"/>
    <x v="1"/>
    <n v="0"/>
    <s v="Travel_Rarely"/>
    <n v="332"/>
    <x v="2"/>
    <n v="17"/>
    <n v="3"/>
    <s v="Other"/>
    <n v="1"/>
    <x v="1005"/>
    <n v="2"/>
    <x v="0"/>
    <x v="1"/>
    <n v="51"/>
    <n v="2"/>
    <n v="3"/>
    <x v="8"/>
    <n v="1"/>
    <x v="3"/>
    <s v="Single"/>
    <x v="947"/>
    <x v="0"/>
    <n v="9769"/>
    <n v="1"/>
    <s v="Y"/>
    <x v="1"/>
    <n v="13"/>
    <x v="0"/>
    <x v="0"/>
    <n v="1"/>
    <n v="80"/>
    <n v="0"/>
    <n v="10"/>
    <n v="3"/>
    <n v="2"/>
    <x v="1"/>
    <n v="9"/>
    <n v="0"/>
    <n v="9"/>
    <n v="5"/>
    <x v="2"/>
    <s v=""/>
    <s v=""/>
    <s v=""/>
  </r>
  <r>
    <x v="1"/>
    <x v="1"/>
    <x v="0"/>
    <n v="1"/>
    <s v="Travel_Frequently"/>
    <n v="1475"/>
    <x v="1"/>
    <n v="28"/>
    <n v="2"/>
    <s v="Life Sciences"/>
    <n v="1"/>
    <x v="1006"/>
    <n v="1"/>
    <x v="3"/>
    <x v="1"/>
    <n v="97"/>
    <n v="2"/>
    <n v="2"/>
    <x v="2"/>
    <n v="1"/>
    <x v="3"/>
    <s v="Single"/>
    <x v="948"/>
    <x v="0"/>
    <n v="22710"/>
    <n v="3"/>
    <s v="Y"/>
    <x v="1"/>
    <n v="20"/>
    <x v="2"/>
    <x v="1"/>
    <n v="1"/>
    <n v="80"/>
    <n v="0"/>
    <n v="20"/>
    <n v="2"/>
    <n v="3"/>
    <x v="9"/>
    <n v="3"/>
    <n v="1"/>
    <n v="3"/>
    <s v=""/>
    <x v="0"/>
    <s v=""/>
    <s v=""/>
    <s v=""/>
  </r>
  <r>
    <x v="11"/>
    <x v="2"/>
    <x v="0"/>
    <n v="1"/>
    <s v="Travel_Frequently"/>
    <n v="337"/>
    <x v="1"/>
    <n v="14"/>
    <n v="1"/>
    <s v="Other"/>
    <n v="1"/>
    <x v="1007"/>
    <n v="3"/>
    <x v="1"/>
    <x v="0"/>
    <n v="84"/>
    <n v="3"/>
    <n v="3"/>
    <x v="4"/>
    <n v="4"/>
    <x v="0"/>
    <s v="Single"/>
    <x v="949"/>
    <x v="0"/>
    <n v="22930"/>
    <n v="0"/>
    <s v="Y"/>
    <x v="0"/>
    <n v="12"/>
    <x v="0"/>
    <x v="0"/>
    <n v="1"/>
    <n v="80"/>
    <n v="0"/>
    <n v="9"/>
    <n v="1"/>
    <n v="3"/>
    <x v="3"/>
    <n v="7"/>
    <n v="7"/>
    <n v="7"/>
    <s v=""/>
    <x v="0"/>
    <s v=""/>
    <s v=""/>
    <s v=""/>
  </r>
  <r>
    <x v="33"/>
    <x v="1"/>
    <x v="1"/>
    <n v="0"/>
    <s v="Travel_Rarely"/>
    <n v="971"/>
    <x v="1"/>
    <n v="1"/>
    <n v="3"/>
    <s v="Medical"/>
    <n v="1"/>
    <x v="1008"/>
    <n v="4"/>
    <x v="2"/>
    <x v="0"/>
    <n v="54"/>
    <n v="3"/>
    <n v="4"/>
    <x v="7"/>
    <n v="4"/>
    <x v="0"/>
    <s v="Single"/>
    <x v="109"/>
    <x v="4"/>
    <n v="5652"/>
    <n v="6"/>
    <s v="Y"/>
    <x v="1"/>
    <n v="19"/>
    <x v="2"/>
    <x v="0"/>
    <n v="4"/>
    <n v="80"/>
    <n v="0"/>
    <n v="29"/>
    <n v="3"/>
    <n v="2"/>
    <x v="23"/>
    <n v="7"/>
    <n v="12"/>
    <n v="7"/>
    <n v="0"/>
    <x v="1"/>
    <s v=""/>
    <s v=""/>
    <s v=""/>
  </r>
  <r>
    <x v="34"/>
    <x v="3"/>
    <x v="1"/>
    <n v="0"/>
    <s v="Travel_Rarely"/>
    <n v="1055"/>
    <x v="1"/>
    <n v="1"/>
    <n v="3"/>
    <s v="Medical"/>
    <n v="1"/>
    <x v="1009"/>
    <n v="4"/>
    <x v="2"/>
    <x v="0"/>
    <n v="76"/>
    <n v="3"/>
    <n v="5"/>
    <x v="7"/>
    <n v="1"/>
    <x v="3"/>
    <s v="Married"/>
    <x v="950"/>
    <x v="4"/>
    <n v="22456"/>
    <n v="3"/>
    <s v="Y"/>
    <x v="0"/>
    <n v="21"/>
    <x v="1"/>
    <x v="1"/>
    <n v="3"/>
    <n v="80"/>
    <n v="1"/>
    <n v="32"/>
    <n v="3"/>
    <n v="3"/>
    <x v="7"/>
    <n v="8"/>
    <n v="1"/>
    <n v="5"/>
    <n v="4"/>
    <x v="2"/>
    <s v=""/>
    <s v=""/>
    <s v=""/>
  </r>
  <r>
    <x v="27"/>
    <x v="3"/>
    <x v="1"/>
    <n v="0"/>
    <s v="Travel_Rarely"/>
    <n v="1136"/>
    <x v="1"/>
    <n v="1"/>
    <n v="4"/>
    <s v="Medical"/>
    <n v="1"/>
    <x v="1010"/>
    <n v="2"/>
    <x v="0"/>
    <x v="1"/>
    <n v="81"/>
    <n v="4"/>
    <n v="4"/>
    <x v="7"/>
    <n v="4"/>
    <x v="0"/>
    <s v="Divorced"/>
    <x v="951"/>
    <x v="3"/>
    <n v="12414"/>
    <n v="2"/>
    <s v="Y"/>
    <x v="1"/>
    <n v="13"/>
    <x v="0"/>
    <x v="0"/>
    <n v="4"/>
    <n v="80"/>
    <n v="2"/>
    <n v="31"/>
    <n v="4"/>
    <n v="4"/>
    <x v="5"/>
    <n v="7"/>
    <n v="0"/>
    <n v="0"/>
    <n v="0"/>
    <x v="1"/>
    <s v=""/>
    <s v=""/>
    <s v=""/>
  </r>
  <r>
    <x v="9"/>
    <x v="0"/>
    <x v="1"/>
    <n v="0"/>
    <s v="Travel_Rarely"/>
    <n v="1174"/>
    <x v="0"/>
    <n v="3"/>
    <n v="4"/>
    <s v="Marketing"/>
    <n v="1"/>
    <x v="1011"/>
    <n v="1"/>
    <x v="3"/>
    <x v="0"/>
    <n v="99"/>
    <n v="3"/>
    <n v="2"/>
    <x v="0"/>
    <n v="2"/>
    <x v="1"/>
    <s v="Single"/>
    <x v="952"/>
    <x v="2"/>
    <n v="20763"/>
    <n v="3"/>
    <s v="Y"/>
    <x v="0"/>
    <n v="16"/>
    <x v="2"/>
    <x v="0"/>
    <n v="4"/>
    <n v="80"/>
    <n v="0"/>
    <n v="15"/>
    <n v="3"/>
    <n v="3"/>
    <x v="8"/>
    <n v="4"/>
    <n v="0"/>
    <n v="1"/>
    <n v="2"/>
    <x v="1"/>
    <s v=""/>
    <s v=""/>
    <s v=""/>
  </r>
  <r>
    <x v="12"/>
    <x v="2"/>
    <x v="0"/>
    <n v="1"/>
    <s v="Travel_Frequently"/>
    <n v="667"/>
    <x v="0"/>
    <n v="1"/>
    <n v="4"/>
    <s v="Life Sciences"/>
    <n v="1"/>
    <x v="1012"/>
    <n v="2"/>
    <x v="0"/>
    <x v="0"/>
    <n v="50"/>
    <n v="1"/>
    <n v="1"/>
    <x v="6"/>
    <n v="3"/>
    <x v="2"/>
    <s v="Single"/>
    <x v="953"/>
    <x v="1"/>
    <n v="16154"/>
    <n v="1"/>
    <s v="Y"/>
    <x v="1"/>
    <n v="12"/>
    <x v="0"/>
    <x v="0"/>
    <n v="2"/>
    <n v="80"/>
    <n v="0"/>
    <n v="1"/>
    <n v="3"/>
    <n v="3"/>
    <x v="6"/>
    <n v="0"/>
    <n v="0"/>
    <n v="0"/>
    <s v=""/>
    <x v="0"/>
    <s v=""/>
    <s v=""/>
    <s v=""/>
  </r>
  <r>
    <x v="7"/>
    <x v="2"/>
    <x v="1"/>
    <n v="0"/>
    <s v="Travel_Rarely"/>
    <n v="855"/>
    <x v="0"/>
    <n v="7"/>
    <n v="4"/>
    <s v="Marketing"/>
    <n v="1"/>
    <x v="1013"/>
    <n v="4"/>
    <x v="2"/>
    <x v="0"/>
    <n v="73"/>
    <n v="3"/>
    <n v="2"/>
    <x v="0"/>
    <n v="1"/>
    <x v="3"/>
    <s v="Divorced"/>
    <x v="586"/>
    <x v="0"/>
    <n v="12761"/>
    <n v="7"/>
    <s v="Y"/>
    <x v="1"/>
    <n v="14"/>
    <x v="0"/>
    <x v="0"/>
    <n v="2"/>
    <n v="80"/>
    <n v="2"/>
    <n v="8"/>
    <n v="3"/>
    <n v="3"/>
    <x v="11"/>
    <n v="2"/>
    <n v="0"/>
    <n v="2"/>
    <n v="4"/>
    <x v="2"/>
    <s v=""/>
    <s v=""/>
    <s v=""/>
  </r>
  <r>
    <x v="12"/>
    <x v="2"/>
    <x v="1"/>
    <n v="0"/>
    <s v="Travel_Rarely"/>
    <n v="182"/>
    <x v="1"/>
    <n v="8"/>
    <n v="5"/>
    <s v="Life Sciences"/>
    <n v="1"/>
    <x v="1014"/>
    <n v="1"/>
    <x v="3"/>
    <x v="0"/>
    <n v="93"/>
    <n v="3"/>
    <n v="4"/>
    <x v="7"/>
    <n v="2"/>
    <x v="1"/>
    <s v="Single"/>
    <x v="954"/>
    <x v="4"/>
    <n v="8847"/>
    <n v="3"/>
    <s v="Y"/>
    <x v="1"/>
    <n v="11"/>
    <x v="0"/>
    <x v="0"/>
    <n v="3"/>
    <n v="80"/>
    <n v="0"/>
    <n v="9"/>
    <n v="3"/>
    <n v="4"/>
    <x v="11"/>
    <n v="2"/>
    <n v="1"/>
    <n v="0"/>
    <n v="1"/>
    <x v="1"/>
    <s v=""/>
    <s v=""/>
    <s v=""/>
  </r>
  <r>
    <x v="13"/>
    <x v="2"/>
    <x v="1"/>
    <n v="0"/>
    <s v="Travel_Frequently"/>
    <n v="560"/>
    <x v="1"/>
    <n v="1"/>
    <n v="4"/>
    <s v="Other"/>
    <n v="1"/>
    <x v="1015"/>
    <n v="4"/>
    <x v="2"/>
    <x v="1"/>
    <n v="91"/>
    <n v="3"/>
    <n v="1"/>
    <x v="1"/>
    <n v="1"/>
    <x v="3"/>
    <s v="Divorced"/>
    <x v="932"/>
    <x v="1"/>
    <n v="20284"/>
    <n v="5"/>
    <s v="Y"/>
    <x v="1"/>
    <n v="14"/>
    <x v="0"/>
    <x v="0"/>
    <n v="3"/>
    <n v="80"/>
    <n v="2"/>
    <n v="10"/>
    <n v="2"/>
    <n v="3"/>
    <x v="9"/>
    <n v="3"/>
    <n v="1"/>
    <n v="3"/>
    <n v="5"/>
    <x v="2"/>
    <s v=""/>
    <s v=""/>
    <s v=""/>
  </r>
  <r>
    <x v="12"/>
    <x v="2"/>
    <x v="0"/>
    <n v="1"/>
    <s v="Travel_Rarely"/>
    <n v="202"/>
    <x v="1"/>
    <n v="8"/>
    <n v="3"/>
    <s v="Life Sciences"/>
    <n v="1"/>
    <x v="1016"/>
    <n v="1"/>
    <x v="3"/>
    <x v="0"/>
    <n v="34"/>
    <n v="2"/>
    <n v="1"/>
    <x v="1"/>
    <n v="2"/>
    <x v="1"/>
    <s v="Single"/>
    <x v="955"/>
    <x v="1"/>
    <n v="22262"/>
    <n v="1"/>
    <s v="Y"/>
    <x v="1"/>
    <n v="12"/>
    <x v="0"/>
    <x v="0"/>
    <n v="3"/>
    <n v="80"/>
    <n v="0"/>
    <n v="1"/>
    <n v="3"/>
    <n v="4"/>
    <x v="6"/>
    <n v="0"/>
    <n v="0"/>
    <n v="0"/>
    <s v=""/>
    <x v="0"/>
    <s v=""/>
    <s v=""/>
    <s v=""/>
  </r>
  <r>
    <x v="4"/>
    <x v="2"/>
    <x v="1"/>
    <n v="0"/>
    <s v="Travel_Rarely"/>
    <n v="1377"/>
    <x v="1"/>
    <n v="11"/>
    <n v="1"/>
    <s v="Life Sciences"/>
    <n v="1"/>
    <x v="1017"/>
    <n v="2"/>
    <x v="0"/>
    <x v="1"/>
    <n v="91"/>
    <n v="3"/>
    <n v="1"/>
    <x v="2"/>
    <n v="1"/>
    <x v="3"/>
    <s v="Married"/>
    <x v="956"/>
    <x v="1"/>
    <n v="7679"/>
    <n v="0"/>
    <s v="Y"/>
    <x v="1"/>
    <n v="14"/>
    <x v="0"/>
    <x v="0"/>
    <n v="2"/>
    <n v="80"/>
    <n v="0"/>
    <n v="6"/>
    <n v="3"/>
    <n v="4"/>
    <x v="8"/>
    <n v="0"/>
    <n v="1"/>
    <n v="4"/>
    <n v="6"/>
    <x v="3"/>
    <n v="55"/>
    <s v=""/>
    <n v="58566"/>
  </r>
  <r>
    <x v="9"/>
    <x v="0"/>
    <x v="1"/>
    <n v="0"/>
    <s v="Travel_Rarely"/>
    <n v="172"/>
    <x v="1"/>
    <n v="4"/>
    <n v="4"/>
    <s v="Life Sciences"/>
    <n v="1"/>
    <x v="1018"/>
    <n v="1"/>
    <x v="3"/>
    <x v="1"/>
    <n v="37"/>
    <n v="2"/>
    <n v="2"/>
    <x v="2"/>
    <n v="4"/>
    <x v="0"/>
    <s v="Single"/>
    <x v="957"/>
    <x v="0"/>
    <n v="22604"/>
    <n v="1"/>
    <s v="Y"/>
    <x v="1"/>
    <n v="16"/>
    <x v="2"/>
    <x v="0"/>
    <n v="3"/>
    <n v="80"/>
    <n v="0"/>
    <n v="10"/>
    <n v="2"/>
    <n v="2"/>
    <x v="1"/>
    <n v="4"/>
    <n v="1"/>
    <n v="8"/>
    <n v="2"/>
    <x v="1"/>
    <s v=""/>
    <s v=""/>
    <s v=""/>
  </r>
  <r>
    <x v="9"/>
    <x v="0"/>
    <x v="1"/>
    <n v="0"/>
    <s v="Travel_Rarely"/>
    <n v="329"/>
    <x v="0"/>
    <n v="16"/>
    <n v="4"/>
    <s v="Marketing"/>
    <n v="1"/>
    <x v="1019"/>
    <n v="3"/>
    <x v="1"/>
    <x v="0"/>
    <n v="98"/>
    <n v="2"/>
    <n v="2"/>
    <x v="0"/>
    <n v="1"/>
    <x v="3"/>
    <s v="Married"/>
    <x v="958"/>
    <x v="0"/>
    <n v="13494"/>
    <n v="4"/>
    <s v="Y"/>
    <x v="1"/>
    <n v="13"/>
    <x v="0"/>
    <x v="0"/>
    <n v="1"/>
    <n v="80"/>
    <n v="2"/>
    <n v="11"/>
    <n v="3"/>
    <n v="2"/>
    <x v="11"/>
    <n v="2"/>
    <n v="0"/>
    <n v="2"/>
    <n v="3"/>
    <x v="2"/>
    <s v=""/>
    <s v=""/>
    <s v=""/>
  </r>
  <r>
    <x v="40"/>
    <x v="1"/>
    <x v="1"/>
    <n v="0"/>
    <s v="Travel_Rarely"/>
    <n v="465"/>
    <x v="1"/>
    <n v="1"/>
    <n v="3"/>
    <s v="Technical Degree"/>
    <n v="1"/>
    <x v="1020"/>
    <n v="1"/>
    <x v="3"/>
    <x v="1"/>
    <n v="74"/>
    <n v="3"/>
    <n v="1"/>
    <x v="1"/>
    <n v="4"/>
    <x v="0"/>
    <s v="Married"/>
    <x v="959"/>
    <x v="1"/>
    <n v="10205"/>
    <n v="7"/>
    <s v="Y"/>
    <x v="1"/>
    <n v="12"/>
    <x v="0"/>
    <x v="0"/>
    <n v="3"/>
    <n v="80"/>
    <n v="1"/>
    <n v="17"/>
    <n v="2"/>
    <n v="2"/>
    <x v="0"/>
    <n v="5"/>
    <n v="1"/>
    <n v="2"/>
    <n v="2"/>
    <x v="1"/>
    <s v=""/>
    <s v=""/>
    <s v=""/>
  </r>
  <r>
    <x v="36"/>
    <x v="2"/>
    <x v="0"/>
    <n v="1"/>
    <s v="Travel_Rarely"/>
    <n v="383"/>
    <x v="0"/>
    <n v="9"/>
    <n v="2"/>
    <s v="Life Sciences"/>
    <n v="1"/>
    <x v="1021"/>
    <n v="1"/>
    <x v="3"/>
    <x v="1"/>
    <n v="68"/>
    <n v="2"/>
    <n v="1"/>
    <x v="6"/>
    <n v="1"/>
    <x v="3"/>
    <s v="Married"/>
    <x v="960"/>
    <x v="0"/>
    <n v="15182"/>
    <n v="3"/>
    <s v="Y"/>
    <x v="1"/>
    <n v="12"/>
    <x v="0"/>
    <x v="0"/>
    <n v="1"/>
    <n v="80"/>
    <n v="0"/>
    <n v="6"/>
    <n v="2"/>
    <n v="3"/>
    <x v="11"/>
    <n v="2"/>
    <n v="2"/>
    <n v="2"/>
    <s v=""/>
    <x v="0"/>
    <s v=""/>
    <s v=""/>
    <s v=""/>
  </r>
  <r>
    <x v="2"/>
    <x v="0"/>
    <x v="1"/>
    <n v="0"/>
    <s v="Non-Travel"/>
    <n v="1413"/>
    <x v="1"/>
    <n v="5"/>
    <n v="2"/>
    <s v="Technical Degree"/>
    <n v="1"/>
    <x v="1022"/>
    <n v="3"/>
    <x v="1"/>
    <x v="1"/>
    <n v="84"/>
    <n v="4"/>
    <n v="1"/>
    <x v="2"/>
    <n v="3"/>
    <x v="2"/>
    <s v="Single"/>
    <x v="961"/>
    <x v="1"/>
    <n v="25470"/>
    <n v="0"/>
    <s v="Y"/>
    <x v="1"/>
    <n v="14"/>
    <x v="0"/>
    <x v="0"/>
    <n v="1"/>
    <n v="80"/>
    <n v="0"/>
    <n v="7"/>
    <n v="2"/>
    <n v="1"/>
    <x v="0"/>
    <n v="5"/>
    <n v="1"/>
    <n v="3"/>
    <n v="3"/>
    <x v="2"/>
    <s v=""/>
    <s v=""/>
    <s v=""/>
  </r>
  <r>
    <x v="29"/>
    <x v="3"/>
    <x v="1"/>
    <n v="0"/>
    <s v="Travel_Rarely"/>
    <n v="1255"/>
    <x v="1"/>
    <n v="1"/>
    <n v="2"/>
    <s v="Life Sciences"/>
    <n v="1"/>
    <x v="1023"/>
    <n v="1"/>
    <x v="3"/>
    <x v="0"/>
    <n v="90"/>
    <n v="3"/>
    <n v="1"/>
    <x v="1"/>
    <n v="1"/>
    <x v="3"/>
    <s v="Married"/>
    <x v="962"/>
    <x v="1"/>
    <n v="10494"/>
    <n v="2"/>
    <s v="Y"/>
    <x v="1"/>
    <n v="22"/>
    <x v="1"/>
    <x v="1"/>
    <n v="4"/>
    <n v="80"/>
    <n v="1"/>
    <n v="5"/>
    <n v="3"/>
    <n v="4"/>
    <x v="11"/>
    <n v="2"/>
    <n v="1"/>
    <n v="0"/>
    <n v="4"/>
    <x v="2"/>
    <s v=""/>
    <s v=""/>
    <s v=""/>
  </r>
  <r>
    <x v="40"/>
    <x v="1"/>
    <x v="1"/>
    <n v="0"/>
    <s v="Travel_Rarely"/>
    <n v="359"/>
    <x v="1"/>
    <n v="2"/>
    <n v="4"/>
    <s v="Medical"/>
    <n v="1"/>
    <x v="1024"/>
    <n v="1"/>
    <x v="3"/>
    <x v="0"/>
    <n v="82"/>
    <n v="3"/>
    <n v="4"/>
    <x v="7"/>
    <n v="3"/>
    <x v="2"/>
    <s v="Married"/>
    <x v="963"/>
    <x v="4"/>
    <n v="26703"/>
    <n v="3"/>
    <s v="Y"/>
    <x v="1"/>
    <n v="19"/>
    <x v="2"/>
    <x v="0"/>
    <n v="2"/>
    <n v="80"/>
    <n v="2"/>
    <n v="26"/>
    <n v="2"/>
    <n v="4"/>
    <x v="23"/>
    <n v="17"/>
    <n v="5"/>
    <n v="6"/>
    <n v="0"/>
    <x v="1"/>
    <s v=""/>
    <s v=""/>
    <s v=""/>
  </r>
  <r>
    <x v="17"/>
    <x v="4"/>
    <x v="1"/>
    <n v="0"/>
    <s v="Travel_Rarely"/>
    <n v="1476"/>
    <x v="0"/>
    <n v="4"/>
    <n v="1"/>
    <s v="Medical"/>
    <n v="1"/>
    <x v="1025"/>
    <n v="4"/>
    <x v="2"/>
    <x v="0"/>
    <n v="42"/>
    <n v="3"/>
    <n v="2"/>
    <x v="0"/>
    <n v="3"/>
    <x v="2"/>
    <s v="Married"/>
    <x v="964"/>
    <x v="0"/>
    <n v="15211"/>
    <n v="1"/>
    <s v="Y"/>
    <x v="0"/>
    <n v="12"/>
    <x v="0"/>
    <x v="0"/>
    <n v="3"/>
    <n v="80"/>
    <n v="2"/>
    <n v="5"/>
    <n v="3"/>
    <n v="3"/>
    <x v="8"/>
    <n v="4"/>
    <n v="0"/>
    <n v="3"/>
    <n v="5"/>
    <x v="2"/>
    <s v=""/>
    <s v=""/>
    <s v=""/>
  </r>
  <r>
    <x v="5"/>
    <x v="2"/>
    <x v="1"/>
    <n v="0"/>
    <s v="Travel_Rarely"/>
    <n v="601"/>
    <x v="0"/>
    <n v="7"/>
    <n v="5"/>
    <s v="Marketing"/>
    <n v="1"/>
    <x v="1026"/>
    <n v="4"/>
    <x v="2"/>
    <x v="1"/>
    <n v="97"/>
    <n v="3"/>
    <n v="2"/>
    <x v="0"/>
    <n v="4"/>
    <x v="0"/>
    <s v="Married"/>
    <x v="965"/>
    <x v="2"/>
    <n v="23343"/>
    <n v="4"/>
    <s v="Y"/>
    <x v="1"/>
    <n v="12"/>
    <x v="0"/>
    <x v="0"/>
    <n v="3"/>
    <n v="80"/>
    <n v="1"/>
    <n v="7"/>
    <n v="3"/>
    <n v="2"/>
    <x v="9"/>
    <n v="3"/>
    <n v="0"/>
    <n v="3"/>
    <n v="1"/>
    <x v="1"/>
    <s v=""/>
    <s v=""/>
    <s v=""/>
  </r>
  <r>
    <x v="13"/>
    <x v="2"/>
    <x v="1"/>
    <n v="0"/>
    <s v="Travel_Rarely"/>
    <n v="401"/>
    <x v="1"/>
    <n v="1"/>
    <n v="3"/>
    <s v="Life Sciences"/>
    <n v="1"/>
    <x v="1027"/>
    <n v="4"/>
    <x v="2"/>
    <x v="0"/>
    <n v="86"/>
    <n v="2"/>
    <n v="1"/>
    <x v="2"/>
    <n v="2"/>
    <x v="1"/>
    <s v="Married"/>
    <x v="635"/>
    <x v="1"/>
    <n v="3708"/>
    <n v="5"/>
    <s v="Y"/>
    <x v="1"/>
    <n v="17"/>
    <x v="2"/>
    <x v="0"/>
    <n v="1"/>
    <n v="80"/>
    <n v="1"/>
    <n v="7"/>
    <n v="2"/>
    <n v="2"/>
    <x v="8"/>
    <n v="4"/>
    <n v="0"/>
    <n v="2"/>
    <n v="4"/>
    <x v="2"/>
    <s v=""/>
    <s v=""/>
    <s v=""/>
  </r>
  <r>
    <x v="0"/>
    <x v="0"/>
    <x v="1"/>
    <n v="0"/>
    <s v="Travel_Rarely"/>
    <n v="1283"/>
    <x v="1"/>
    <n v="5"/>
    <n v="5"/>
    <s v="Medical"/>
    <n v="1"/>
    <x v="1028"/>
    <n v="2"/>
    <x v="0"/>
    <x v="1"/>
    <n v="90"/>
    <n v="4"/>
    <n v="1"/>
    <x v="1"/>
    <n v="3"/>
    <x v="2"/>
    <s v="Married"/>
    <x v="459"/>
    <x v="1"/>
    <n v="5561"/>
    <n v="2"/>
    <s v="Y"/>
    <x v="0"/>
    <n v="12"/>
    <x v="0"/>
    <x v="0"/>
    <n v="1"/>
    <n v="80"/>
    <n v="0"/>
    <n v="7"/>
    <n v="5"/>
    <n v="2"/>
    <x v="9"/>
    <n v="2"/>
    <n v="0"/>
    <n v="3"/>
    <n v="4"/>
    <x v="2"/>
    <s v=""/>
    <s v=""/>
    <s v=""/>
  </r>
  <r>
    <x v="32"/>
    <x v="0"/>
    <x v="1"/>
    <n v="0"/>
    <s v="Non-Travel"/>
    <n v="663"/>
    <x v="1"/>
    <n v="9"/>
    <n v="4"/>
    <s v="Other"/>
    <n v="1"/>
    <x v="1029"/>
    <n v="3"/>
    <x v="1"/>
    <x v="1"/>
    <n v="81"/>
    <n v="3"/>
    <n v="2"/>
    <x v="2"/>
    <n v="3"/>
    <x v="2"/>
    <s v="Divorced"/>
    <x v="966"/>
    <x v="1"/>
    <n v="23099"/>
    <n v="3"/>
    <s v="Y"/>
    <x v="1"/>
    <n v="11"/>
    <x v="0"/>
    <x v="0"/>
    <n v="3"/>
    <n v="80"/>
    <n v="2"/>
    <n v="11"/>
    <n v="2"/>
    <n v="4"/>
    <x v="3"/>
    <n v="7"/>
    <n v="0"/>
    <n v="7"/>
    <n v="3"/>
    <x v="2"/>
    <s v=""/>
    <s v=""/>
    <s v=""/>
  </r>
  <r>
    <x v="12"/>
    <x v="2"/>
    <x v="1"/>
    <n v="0"/>
    <s v="Travel_Rarely"/>
    <n v="326"/>
    <x v="0"/>
    <n v="8"/>
    <n v="2"/>
    <s v="Life Sciences"/>
    <n v="1"/>
    <x v="1030"/>
    <n v="1"/>
    <x v="3"/>
    <x v="1"/>
    <n v="31"/>
    <n v="3"/>
    <n v="3"/>
    <x v="0"/>
    <n v="4"/>
    <x v="0"/>
    <s v="Divorced"/>
    <x v="967"/>
    <x v="2"/>
    <n v="8386"/>
    <n v="1"/>
    <s v="Y"/>
    <x v="1"/>
    <n v="18"/>
    <x v="2"/>
    <x v="0"/>
    <n v="1"/>
    <n v="80"/>
    <n v="1"/>
    <n v="13"/>
    <n v="5"/>
    <n v="3"/>
    <x v="20"/>
    <n v="7"/>
    <n v="9"/>
    <n v="9"/>
    <n v="1"/>
    <x v="1"/>
    <s v=""/>
    <s v=""/>
    <s v=""/>
  </r>
  <r>
    <x v="21"/>
    <x v="1"/>
    <x v="0"/>
    <n v="1"/>
    <s v="Travel_Rarely"/>
    <n v="377"/>
    <x v="0"/>
    <n v="9"/>
    <n v="3"/>
    <s v="Marketing"/>
    <n v="1"/>
    <x v="1031"/>
    <n v="1"/>
    <x v="3"/>
    <x v="1"/>
    <n v="52"/>
    <n v="3"/>
    <n v="3"/>
    <x v="0"/>
    <n v="4"/>
    <x v="0"/>
    <s v="Divorced"/>
    <x v="61"/>
    <x v="2"/>
    <n v="15986"/>
    <n v="4"/>
    <s v="Y"/>
    <x v="1"/>
    <n v="11"/>
    <x v="0"/>
    <x v="0"/>
    <n v="1"/>
    <n v="80"/>
    <n v="1"/>
    <n v="28"/>
    <n v="1"/>
    <n v="4"/>
    <x v="5"/>
    <n v="7"/>
    <n v="4"/>
    <n v="3"/>
    <s v=""/>
    <x v="0"/>
    <s v=""/>
    <s v=""/>
    <s v=""/>
  </r>
  <r>
    <x v="22"/>
    <x v="0"/>
    <x v="0"/>
    <n v="1"/>
    <s v="Non-Travel"/>
    <n v="592"/>
    <x v="1"/>
    <n v="2"/>
    <n v="3"/>
    <s v="Life Sciences"/>
    <n v="1"/>
    <x v="1032"/>
    <n v="1"/>
    <x v="3"/>
    <x v="0"/>
    <n v="54"/>
    <n v="2"/>
    <n v="1"/>
    <x v="2"/>
    <n v="1"/>
    <x v="3"/>
    <s v="Single"/>
    <x v="968"/>
    <x v="1"/>
    <n v="17181"/>
    <n v="2"/>
    <s v="Y"/>
    <x v="0"/>
    <n v="23"/>
    <x v="1"/>
    <x v="1"/>
    <n v="2"/>
    <n v="80"/>
    <n v="0"/>
    <n v="11"/>
    <n v="2"/>
    <n v="4"/>
    <x v="6"/>
    <n v="0"/>
    <n v="0"/>
    <n v="0"/>
    <s v=""/>
    <x v="0"/>
    <s v=""/>
    <s v=""/>
    <s v=""/>
  </r>
  <r>
    <x v="12"/>
    <x v="2"/>
    <x v="0"/>
    <n v="1"/>
    <s v="Travel_Frequently"/>
    <n v="1445"/>
    <x v="1"/>
    <n v="1"/>
    <n v="5"/>
    <s v="Life Sciences"/>
    <n v="1"/>
    <x v="1033"/>
    <n v="3"/>
    <x v="1"/>
    <x v="0"/>
    <n v="100"/>
    <n v="4"/>
    <n v="3"/>
    <x v="3"/>
    <n v="2"/>
    <x v="1"/>
    <s v="Single"/>
    <x v="969"/>
    <x v="0"/>
    <n v="8931"/>
    <n v="1"/>
    <s v="Y"/>
    <x v="1"/>
    <n v="11"/>
    <x v="0"/>
    <x v="0"/>
    <n v="1"/>
    <n v="80"/>
    <n v="0"/>
    <n v="10"/>
    <n v="2"/>
    <n v="3"/>
    <x v="1"/>
    <n v="8"/>
    <n v="4"/>
    <n v="7"/>
    <s v=""/>
    <x v="0"/>
    <s v=""/>
    <s v=""/>
    <s v=""/>
  </r>
  <r>
    <x v="28"/>
    <x v="1"/>
    <x v="1"/>
    <n v="0"/>
    <s v="Travel_Rarely"/>
    <n v="1038"/>
    <x v="1"/>
    <n v="20"/>
    <n v="3"/>
    <s v="Medical"/>
    <n v="1"/>
    <x v="1034"/>
    <n v="2"/>
    <x v="0"/>
    <x v="1"/>
    <n v="95"/>
    <n v="1"/>
    <n v="3"/>
    <x v="4"/>
    <n v="1"/>
    <x v="3"/>
    <s v="Divorced"/>
    <x v="970"/>
    <x v="2"/>
    <n v="19863"/>
    <n v="2"/>
    <s v="Y"/>
    <x v="0"/>
    <n v="18"/>
    <x v="2"/>
    <x v="0"/>
    <n v="2"/>
    <n v="80"/>
    <n v="1"/>
    <n v="24"/>
    <n v="2"/>
    <n v="3"/>
    <x v="5"/>
    <n v="7"/>
    <n v="0"/>
    <n v="7"/>
    <n v="4"/>
    <x v="2"/>
    <s v=""/>
    <s v=""/>
    <s v=""/>
  </r>
  <r>
    <x v="12"/>
    <x v="2"/>
    <x v="1"/>
    <n v="0"/>
    <s v="Travel_Rarely"/>
    <n v="1398"/>
    <x v="2"/>
    <n v="8"/>
    <n v="2"/>
    <s v="Medical"/>
    <n v="1"/>
    <x v="1035"/>
    <n v="4"/>
    <x v="2"/>
    <x v="0"/>
    <n v="96"/>
    <n v="4"/>
    <n v="1"/>
    <x v="8"/>
    <n v="2"/>
    <x v="1"/>
    <s v="Single"/>
    <x v="971"/>
    <x v="1"/>
    <n v="24609"/>
    <n v="9"/>
    <s v="Y"/>
    <x v="1"/>
    <n v="18"/>
    <x v="2"/>
    <x v="0"/>
    <n v="4"/>
    <n v="80"/>
    <n v="0"/>
    <n v="8"/>
    <n v="3"/>
    <n v="3"/>
    <x v="11"/>
    <n v="2"/>
    <n v="0"/>
    <n v="2"/>
    <n v="4"/>
    <x v="2"/>
    <s v=""/>
    <s v=""/>
    <s v=""/>
  </r>
  <r>
    <x v="12"/>
    <x v="2"/>
    <x v="0"/>
    <n v="1"/>
    <s v="Travel_Frequently"/>
    <n v="523"/>
    <x v="1"/>
    <n v="2"/>
    <n v="3"/>
    <s v="Life Sciences"/>
    <n v="1"/>
    <x v="1036"/>
    <n v="2"/>
    <x v="0"/>
    <x v="1"/>
    <n v="94"/>
    <n v="3"/>
    <n v="1"/>
    <x v="2"/>
    <n v="4"/>
    <x v="0"/>
    <s v="Married"/>
    <x v="972"/>
    <x v="1"/>
    <n v="21081"/>
    <n v="6"/>
    <s v="Y"/>
    <x v="0"/>
    <n v="13"/>
    <x v="0"/>
    <x v="0"/>
    <n v="3"/>
    <n v="80"/>
    <n v="1"/>
    <n v="7"/>
    <n v="2"/>
    <n v="1"/>
    <x v="4"/>
    <n v="2"/>
    <n v="2"/>
    <n v="2"/>
    <s v=""/>
    <x v="0"/>
    <s v=""/>
    <s v=""/>
    <s v=""/>
  </r>
  <r>
    <x v="28"/>
    <x v="1"/>
    <x v="1"/>
    <n v="0"/>
    <s v="Travel_Rarely"/>
    <n v="1448"/>
    <x v="1"/>
    <n v="29"/>
    <n v="3"/>
    <s v="Technical Degree"/>
    <n v="1"/>
    <x v="1037"/>
    <n v="2"/>
    <x v="0"/>
    <x v="1"/>
    <n v="55"/>
    <n v="3"/>
    <n v="3"/>
    <x v="3"/>
    <n v="4"/>
    <x v="0"/>
    <s v="Married"/>
    <x v="973"/>
    <x v="2"/>
    <n v="14720"/>
    <n v="4"/>
    <s v="Y"/>
    <x v="0"/>
    <n v="18"/>
    <x v="2"/>
    <x v="0"/>
    <n v="4"/>
    <n v="80"/>
    <n v="2"/>
    <n v="10"/>
    <n v="4"/>
    <n v="4"/>
    <x v="11"/>
    <n v="1"/>
    <n v="1"/>
    <n v="2"/>
    <n v="2"/>
    <x v="1"/>
    <s v=""/>
    <s v=""/>
    <s v=""/>
  </r>
  <r>
    <x v="26"/>
    <x v="1"/>
    <x v="1"/>
    <n v="0"/>
    <s v="Travel_Rarely"/>
    <n v="1221"/>
    <x v="0"/>
    <n v="7"/>
    <n v="3"/>
    <s v="Marketing"/>
    <n v="1"/>
    <x v="1038"/>
    <n v="3"/>
    <x v="1"/>
    <x v="1"/>
    <n v="96"/>
    <n v="3"/>
    <n v="2"/>
    <x v="0"/>
    <n v="1"/>
    <x v="3"/>
    <s v="Divorced"/>
    <x v="974"/>
    <x v="0"/>
    <n v="24795"/>
    <n v="4"/>
    <s v="Y"/>
    <x v="1"/>
    <n v="11"/>
    <x v="0"/>
    <x v="0"/>
    <n v="1"/>
    <n v="80"/>
    <n v="3"/>
    <n v="15"/>
    <n v="3"/>
    <n v="3"/>
    <x v="4"/>
    <n v="2"/>
    <n v="2"/>
    <n v="2"/>
    <n v="3"/>
    <x v="2"/>
    <s v=""/>
    <s v=""/>
    <s v=""/>
  </r>
  <r>
    <x v="13"/>
    <x v="2"/>
    <x v="0"/>
    <n v="1"/>
    <s v="Travel_Rarely"/>
    <n v="1107"/>
    <x v="2"/>
    <n v="9"/>
    <n v="4"/>
    <s v="Technical Degree"/>
    <n v="1"/>
    <x v="1039"/>
    <n v="1"/>
    <x v="3"/>
    <x v="0"/>
    <n v="52"/>
    <n v="3"/>
    <n v="1"/>
    <x v="8"/>
    <n v="3"/>
    <x v="2"/>
    <s v="Married"/>
    <x v="975"/>
    <x v="1"/>
    <n v="3072"/>
    <n v="1"/>
    <s v="Y"/>
    <x v="1"/>
    <n v="15"/>
    <x v="0"/>
    <x v="0"/>
    <n v="4"/>
    <n v="80"/>
    <n v="0"/>
    <n v="2"/>
    <n v="0"/>
    <n v="3"/>
    <x v="4"/>
    <n v="2"/>
    <n v="2"/>
    <n v="2"/>
    <s v=""/>
    <x v="0"/>
    <s v=""/>
    <s v=""/>
    <s v=""/>
  </r>
  <r>
    <x v="32"/>
    <x v="0"/>
    <x v="1"/>
    <n v="0"/>
    <s v="Non-Travel"/>
    <n v="218"/>
    <x v="1"/>
    <n v="8"/>
    <n v="1"/>
    <s v="Medical"/>
    <n v="1"/>
    <x v="1040"/>
    <n v="4"/>
    <x v="2"/>
    <x v="1"/>
    <n v="55"/>
    <n v="2"/>
    <n v="3"/>
    <x v="7"/>
    <n v="2"/>
    <x v="1"/>
    <s v="Divorced"/>
    <x v="976"/>
    <x v="3"/>
    <n v="25178"/>
    <n v="2"/>
    <s v="Y"/>
    <x v="1"/>
    <n v="11"/>
    <x v="0"/>
    <x v="0"/>
    <n v="3"/>
    <n v="80"/>
    <n v="1"/>
    <n v="16"/>
    <n v="5"/>
    <n v="3"/>
    <x v="7"/>
    <n v="8"/>
    <n v="4"/>
    <n v="8"/>
    <n v="0"/>
    <x v="1"/>
    <s v=""/>
    <s v=""/>
    <s v=""/>
  </r>
  <r>
    <x v="14"/>
    <x v="2"/>
    <x v="1"/>
    <n v="0"/>
    <s v="Travel_Rarely"/>
    <n v="866"/>
    <x v="0"/>
    <n v="5"/>
    <n v="3"/>
    <s v="Medical"/>
    <n v="1"/>
    <x v="1041"/>
    <n v="4"/>
    <x v="2"/>
    <x v="1"/>
    <n v="84"/>
    <n v="3"/>
    <n v="2"/>
    <x v="0"/>
    <n v="1"/>
    <x v="3"/>
    <s v="Single"/>
    <x v="977"/>
    <x v="2"/>
    <n v="23490"/>
    <n v="0"/>
    <s v="Y"/>
    <x v="1"/>
    <n v="18"/>
    <x v="2"/>
    <x v="0"/>
    <n v="4"/>
    <n v="80"/>
    <n v="0"/>
    <n v="6"/>
    <n v="4"/>
    <n v="3"/>
    <x v="8"/>
    <n v="4"/>
    <n v="1"/>
    <n v="3"/>
    <n v="3"/>
    <x v="2"/>
    <s v=""/>
    <s v=""/>
    <s v=""/>
  </r>
  <r>
    <x v="20"/>
    <x v="0"/>
    <x v="1"/>
    <n v="0"/>
    <s v="Non-Travel"/>
    <n v="981"/>
    <x v="1"/>
    <n v="5"/>
    <n v="3"/>
    <s v="Life Sciences"/>
    <n v="1"/>
    <x v="1042"/>
    <n v="3"/>
    <x v="1"/>
    <x v="1"/>
    <n v="90"/>
    <n v="2"/>
    <n v="1"/>
    <x v="2"/>
    <n v="3"/>
    <x v="2"/>
    <s v="Single"/>
    <x v="612"/>
    <x v="1"/>
    <n v="7973"/>
    <n v="3"/>
    <s v="Y"/>
    <x v="1"/>
    <n v="14"/>
    <x v="0"/>
    <x v="0"/>
    <n v="4"/>
    <n v="80"/>
    <n v="0"/>
    <n v="7"/>
    <n v="5"/>
    <n v="3"/>
    <x v="8"/>
    <n v="2"/>
    <n v="0"/>
    <n v="3"/>
    <n v="3"/>
    <x v="2"/>
    <s v=""/>
    <s v=""/>
    <s v=""/>
  </r>
  <r>
    <x v="16"/>
    <x v="1"/>
    <x v="1"/>
    <n v="0"/>
    <s v="Travel_Rarely"/>
    <n v="447"/>
    <x v="1"/>
    <n v="2"/>
    <n v="3"/>
    <s v="Medical"/>
    <n v="1"/>
    <x v="1043"/>
    <n v="4"/>
    <x v="2"/>
    <x v="1"/>
    <n v="39"/>
    <n v="4"/>
    <n v="4"/>
    <x v="7"/>
    <n v="2"/>
    <x v="1"/>
    <s v="Single"/>
    <x v="978"/>
    <x v="4"/>
    <n v="19764"/>
    <n v="4"/>
    <s v="Y"/>
    <x v="1"/>
    <n v="12"/>
    <x v="0"/>
    <x v="0"/>
    <n v="2"/>
    <n v="80"/>
    <n v="0"/>
    <n v="35"/>
    <n v="2"/>
    <n v="2"/>
    <x v="7"/>
    <n v="8"/>
    <n v="8"/>
    <n v="8"/>
    <n v="0"/>
    <x v="1"/>
    <s v=""/>
    <s v=""/>
    <s v=""/>
  </r>
  <r>
    <x v="1"/>
    <x v="1"/>
    <x v="1"/>
    <n v="0"/>
    <s v="Travel_Rarely"/>
    <n v="1495"/>
    <x v="1"/>
    <n v="5"/>
    <n v="4"/>
    <s v="Technical Degree"/>
    <n v="1"/>
    <x v="1044"/>
    <n v="1"/>
    <x v="3"/>
    <x v="1"/>
    <n v="96"/>
    <n v="3"/>
    <n v="2"/>
    <x v="4"/>
    <n v="3"/>
    <x v="2"/>
    <s v="Married"/>
    <x v="979"/>
    <x v="0"/>
    <n v="21534"/>
    <n v="2"/>
    <s v="Y"/>
    <x v="1"/>
    <n v="14"/>
    <x v="0"/>
    <x v="0"/>
    <n v="2"/>
    <n v="80"/>
    <n v="1"/>
    <n v="20"/>
    <n v="0"/>
    <n v="2"/>
    <x v="11"/>
    <n v="2"/>
    <n v="1"/>
    <n v="2"/>
    <n v="1"/>
    <x v="1"/>
    <s v=""/>
    <s v=""/>
    <s v=""/>
  </r>
  <r>
    <x v="32"/>
    <x v="0"/>
    <x v="1"/>
    <n v="0"/>
    <s v="Travel_Rarely"/>
    <n v="896"/>
    <x v="1"/>
    <n v="2"/>
    <n v="3"/>
    <s v="Medical"/>
    <n v="1"/>
    <x v="1045"/>
    <n v="3"/>
    <x v="1"/>
    <x v="1"/>
    <n v="68"/>
    <n v="3"/>
    <n v="1"/>
    <x v="1"/>
    <n v="3"/>
    <x v="2"/>
    <s v="Divorced"/>
    <x v="980"/>
    <x v="1"/>
    <n v="8045"/>
    <n v="2"/>
    <s v="Y"/>
    <x v="1"/>
    <n v="14"/>
    <x v="0"/>
    <x v="0"/>
    <n v="3"/>
    <n v="80"/>
    <n v="1"/>
    <n v="8"/>
    <n v="3"/>
    <n v="4"/>
    <x v="11"/>
    <n v="1"/>
    <n v="1"/>
    <n v="2"/>
    <n v="2"/>
    <x v="1"/>
    <s v=""/>
    <s v=""/>
    <s v=""/>
  </r>
  <r>
    <x v="20"/>
    <x v="0"/>
    <x v="1"/>
    <n v="0"/>
    <s v="Travel_Rarely"/>
    <n v="1467"/>
    <x v="1"/>
    <n v="20"/>
    <n v="3"/>
    <s v="Life Sciences"/>
    <n v="1"/>
    <x v="1046"/>
    <n v="4"/>
    <x v="2"/>
    <x v="1"/>
    <n v="49"/>
    <n v="3"/>
    <n v="1"/>
    <x v="1"/>
    <n v="2"/>
    <x v="1"/>
    <s v="Single"/>
    <x v="959"/>
    <x v="1"/>
    <n v="21158"/>
    <n v="1"/>
    <s v="Y"/>
    <x v="1"/>
    <n v="13"/>
    <x v="0"/>
    <x v="0"/>
    <n v="3"/>
    <n v="80"/>
    <n v="0"/>
    <n v="6"/>
    <n v="3"/>
    <n v="2"/>
    <x v="8"/>
    <n v="2"/>
    <n v="1"/>
    <n v="3"/>
    <n v="2"/>
    <x v="1"/>
    <s v=""/>
    <s v=""/>
    <s v=""/>
  </r>
  <r>
    <x v="3"/>
    <x v="2"/>
    <x v="1"/>
    <n v="0"/>
    <s v="Travel_Frequently"/>
    <n v="430"/>
    <x v="0"/>
    <n v="7"/>
    <n v="3"/>
    <s v="Medical"/>
    <n v="1"/>
    <x v="1047"/>
    <n v="4"/>
    <x v="2"/>
    <x v="1"/>
    <n v="54"/>
    <n v="3"/>
    <n v="2"/>
    <x v="0"/>
    <n v="1"/>
    <x v="3"/>
    <s v="Married"/>
    <x v="981"/>
    <x v="0"/>
    <n v="17456"/>
    <n v="0"/>
    <s v="Y"/>
    <x v="1"/>
    <n v="14"/>
    <x v="0"/>
    <x v="0"/>
    <n v="1"/>
    <n v="80"/>
    <n v="2"/>
    <n v="5"/>
    <n v="2"/>
    <n v="3"/>
    <x v="9"/>
    <n v="3"/>
    <n v="0"/>
    <n v="3"/>
    <n v="4"/>
    <x v="2"/>
    <s v=""/>
    <s v=""/>
    <s v=""/>
  </r>
  <r>
    <x v="13"/>
    <x v="2"/>
    <x v="1"/>
    <n v="0"/>
    <s v="Travel_Rarely"/>
    <n v="1326"/>
    <x v="0"/>
    <n v="3"/>
    <n v="3"/>
    <s v="Other"/>
    <n v="1"/>
    <x v="1048"/>
    <n v="4"/>
    <x v="2"/>
    <x v="1"/>
    <n v="81"/>
    <n v="1"/>
    <n v="2"/>
    <x v="0"/>
    <n v="1"/>
    <x v="3"/>
    <s v="Single"/>
    <x v="982"/>
    <x v="0"/>
    <n v="15891"/>
    <n v="3"/>
    <s v="Y"/>
    <x v="1"/>
    <n v="18"/>
    <x v="2"/>
    <x v="0"/>
    <n v="4"/>
    <n v="80"/>
    <n v="0"/>
    <n v="15"/>
    <n v="2"/>
    <n v="3"/>
    <x v="20"/>
    <n v="9"/>
    <n v="3"/>
    <n v="12"/>
    <n v="4"/>
    <x v="2"/>
    <s v=""/>
    <s v=""/>
    <s v=""/>
  </r>
  <r>
    <x v="7"/>
    <x v="2"/>
    <x v="1"/>
    <n v="0"/>
    <s v="Travel_Rarely"/>
    <n v="1358"/>
    <x v="0"/>
    <n v="16"/>
    <n v="1"/>
    <s v="Life Sciences"/>
    <n v="1"/>
    <x v="1049"/>
    <n v="4"/>
    <x v="2"/>
    <x v="1"/>
    <n v="96"/>
    <n v="3"/>
    <n v="2"/>
    <x v="0"/>
    <n v="3"/>
    <x v="2"/>
    <s v="Married"/>
    <x v="983"/>
    <x v="0"/>
    <n v="2939"/>
    <n v="8"/>
    <s v="Y"/>
    <x v="1"/>
    <n v="15"/>
    <x v="0"/>
    <x v="0"/>
    <n v="3"/>
    <n v="80"/>
    <n v="2"/>
    <n v="4"/>
    <n v="2"/>
    <n v="2"/>
    <x v="4"/>
    <n v="1"/>
    <n v="2"/>
    <n v="2"/>
    <n v="2"/>
    <x v="1"/>
    <s v=""/>
    <s v=""/>
    <s v=""/>
  </r>
  <r>
    <x v="19"/>
    <x v="0"/>
    <x v="1"/>
    <n v="0"/>
    <s v="Travel_Frequently"/>
    <n v="748"/>
    <x v="1"/>
    <n v="9"/>
    <n v="2"/>
    <s v="Medical"/>
    <n v="1"/>
    <x v="1050"/>
    <n v="1"/>
    <x v="3"/>
    <x v="0"/>
    <n v="74"/>
    <n v="3"/>
    <n v="1"/>
    <x v="2"/>
    <n v="4"/>
    <x v="0"/>
    <s v="Single"/>
    <x v="984"/>
    <x v="1"/>
    <n v="16458"/>
    <n v="1"/>
    <s v="Y"/>
    <x v="1"/>
    <n v="13"/>
    <x v="0"/>
    <x v="0"/>
    <n v="3"/>
    <n v="80"/>
    <n v="0"/>
    <n v="12"/>
    <n v="3"/>
    <n v="3"/>
    <x v="12"/>
    <n v="9"/>
    <n v="5"/>
    <n v="8"/>
    <n v="3"/>
    <x v="2"/>
    <s v=""/>
    <s v=""/>
    <s v=""/>
  </r>
  <r>
    <x v="20"/>
    <x v="0"/>
    <x v="1"/>
    <n v="0"/>
    <s v="Travel_Frequently"/>
    <n v="383"/>
    <x v="0"/>
    <n v="1"/>
    <n v="5"/>
    <s v="Marketing"/>
    <n v="1"/>
    <x v="1051"/>
    <n v="1"/>
    <x v="3"/>
    <x v="0"/>
    <n v="79"/>
    <n v="3"/>
    <n v="2"/>
    <x v="0"/>
    <n v="3"/>
    <x v="2"/>
    <s v="Married"/>
    <x v="985"/>
    <x v="0"/>
    <n v="9282"/>
    <n v="7"/>
    <s v="Y"/>
    <x v="1"/>
    <n v="12"/>
    <x v="0"/>
    <x v="0"/>
    <n v="3"/>
    <n v="80"/>
    <n v="1"/>
    <n v="11"/>
    <n v="4"/>
    <n v="2"/>
    <x v="6"/>
    <n v="0"/>
    <n v="0"/>
    <n v="0"/>
    <n v="1"/>
    <x v="1"/>
    <s v=""/>
    <s v=""/>
    <s v=""/>
  </r>
  <r>
    <x v="7"/>
    <x v="2"/>
    <x v="1"/>
    <n v="0"/>
    <s v="Non-Travel"/>
    <n v="990"/>
    <x v="1"/>
    <n v="7"/>
    <n v="3"/>
    <s v="Technical Degree"/>
    <n v="1"/>
    <x v="1052"/>
    <n v="3"/>
    <x v="1"/>
    <x v="1"/>
    <n v="64"/>
    <n v="3"/>
    <n v="1"/>
    <x v="1"/>
    <n v="3"/>
    <x v="2"/>
    <s v="Divorced"/>
    <x v="986"/>
    <x v="1"/>
    <n v="7152"/>
    <n v="1"/>
    <s v="Y"/>
    <x v="1"/>
    <n v="13"/>
    <x v="0"/>
    <x v="0"/>
    <n v="2"/>
    <n v="80"/>
    <n v="2"/>
    <n v="1"/>
    <n v="2"/>
    <n v="2"/>
    <x v="6"/>
    <n v="0"/>
    <n v="0"/>
    <n v="0"/>
    <n v="3"/>
    <x v="2"/>
    <s v=""/>
    <s v=""/>
    <s v=""/>
  </r>
  <r>
    <x v="38"/>
    <x v="3"/>
    <x v="1"/>
    <n v="0"/>
    <s v="Travel_Rarely"/>
    <n v="405"/>
    <x v="1"/>
    <n v="1"/>
    <n v="2"/>
    <s v="Life Sciences"/>
    <n v="1"/>
    <x v="1053"/>
    <n v="2"/>
    <x v="0"/>
    <x v="1"/>
    <n v="93"/>
    <n v="4"/>
    <n v="2"/>
    <x v="1"/>
    <n v="3"/>
    <x v="2"/>
    <s v="Married"/>
    <x v="987"/>
    <x v="0"/>
    <n v="2721"/>
    <n v="0"/>
    <s v="Y"/>
    <x v="1"/>
    <n v="24"/>
    <x v="1"/>
    <x v="1"/>
    <n v="1"/>
    <n v="80"/>
    <n v="1"/>
    <n v="13"/>
    <n v="2"/>
    <n v="2"/>
    <x v="12"/>
    <n v="9"/>
    <n v="2"/>
    <n v="8"/>
    <n v="1"/>
    <x v="1"/>
    <s v=""/>
    <s v=""/>
    <s v=""/>
  </r>
  <r>
    <x v="1"/>
    <x v="1"/>
    <x v="1"/>
    <n v="0"/>
    <s v="Travel_Rarely"/>
    <n v="1490"/>
    <x v="1"/>
    <n v="7"/>
    <n v="4"/>
    <s v="Life Sciences"/>
    <n v="1"/>
    <x v="1054"/>
    <n v="3"/>
    <x v="1"/>
    <x v="1"/>
    <n v="35"/>
    <n v="3"/>
    <n v="3"/>
    <x v="4"/>
    <n v="2"/>
    <x v="1"/>
    <s v="Divorced"/>
    <x v="988"/>
    <x v="2"/>
    <n v="20948"/>
    <n v="3"/>
    <s v="Y"/>
    <x v="1"/>
    <n v="14"/>
    <x v="0"/>
    <x v="0"/>
    <n v="2"/>
    <n v="80"/>
    <n v="2"/>
    <n v="29"/>
    <n v="3"/>
    <n v="3"/>
    <x v="3"/>
    <n v="7"/>
    <n v="0"/>
    <n v="7"/>
    <n v="0"/>
    <x v="1"/>
    <s v=""/>
    <s v=""/>
    <s v=""/>
  </r>
  <r>
    <x v="13"/>
    <x v="2"/>
    <x v="1"/>
    <n v="0"/>
    <s v="Travel_Frequently"/>
    <n v="829"/>
    <x v="1"/>
    <n v="15"/>
    <n v="3"/>
    <s v="Medical"/>
    <n v="1"/>
    <x v="1055"/>
    <n v="2"/>
    <x v="0"/>
    <x v="1"/>
    <n v="71"/>
    <n v="3"/>
    <n v="4"/>
    <x v="7"/>
    <n v="1"/>
    <x v="3"/>
    <s v="Divorced"/>
    <x v="989"/>
    <x v="4"/>
    <n v="11929"/>
    <n v="7"/>
    <s v="Y"/>
    <x v="1"/>
    <n v="14"/>
    <x v="0"/>
    <x v="0"/>
    <n v="4"/>
    <n v="80"/>
    <n v="2"/>
    <n v="16"/>
    <n v="3"/>
    <n v="2"/>
    <x v="13"/>
    <n v="8"/>
    <n v="6"/>
    <n v="9"/>
    <n v="3"/>
    <x v="2"/>
    <s v=""/>
    <s v=""/>
    <s v=""/>
  </r>
  <r>
    <x v="14"/>
    <x v="2"/>
    <x v="0"/>
    <n v="1"/>
    <s v="Travel_Frequently"/>
    <n v="1496"/>
    <x v="0"/>
    <n v="1"/>
    <n v="3"/>
    <s v="Technical Degree"/>
    <n v="1"/>
    <x v="1056"/>
    <n v="1"/>
    <x v="3"/>
    <x v="1"/>
    <n v="92"/>
    <n v="3"/>
    <n v="1"/>
    <x v="6"/>
    <n v="3"/>
    <x v="2"/>
    <s v="Married"/>
    <x v="3"/>
    <x v="1"/>
    <n v="15747"/>
    <n v="3"/>
    <s v="Y"/>
    <x v="1"/>
    <n v="15"/>
    <x v="0"/>
    <x v="0"/>
    <n v="4"/>
    <n v="80"/>
    <n v="1"/>
    <n v="5"/>
    <n v="3"/>
    <n v="4"/>
    <x v="11"/>
    <n v="2"/>
    <n v="1"/>
    <n v="2"/>
    <s v=""/>
    <x v="0"/>
    <s v=""/>
    <s v=""/>
    <s v=""/>
  </r>
  <r>
    <x v="11"/>
    <x v="2"/>
    <x v="0"/>
    <n v="1"/>
    <s v="Travel_Frequently"/>
    <n v="115"/>
    <x v="0"/>
    <n v="13"/>
    <n v="3"/>
    <s v="Technical Degree"/>
    <n v="1"/>
    <x v="1057"/>
    <n v="1"/>
    <x v="3"/>
    <x v="0"/>
    <n v="51"/>
    <n v="3"/>
    <n v="2"/>
    <x v="0"/>
    <n v="2"/>
    <x v="1"/>
    <s v="Single"/>
    <x v="990"/>
    <x v="0"/>
    <n v="17485"/>
    <n v="5"/>
    <s v="Y"/>
    <x v="1"/>
    <n v="11"/>
    <x v="0"/>
    <x v="0"/>
    <n v="1"/>
    <n v="80"/>
    <n v="0"/>
    <n v="7"/>
    <n v="4"/>
    <n v="1"/>
    <x v="8"/>
    <n v="3"/>
    <n v="0"/>
    <n v="0"/>
    <s v=""/>
    <x v="0"/>
    <s v=""/>
    <s v=""/>
    <s v=""/>
  </r>
  <r>
    <x v="13"/>
    <x v="2"/>
    <x v="0"/>
    <n v="1"/>
    <s v="Travel_Rarely"/>
    <n v="790"/>
    <x v="0"/>
    <n v="24"/>
    <n v="4"/>
    <s v="Medical"/>
    <n v="1"/>
    <x v="1058"/>
    <n v="1"/>
    <x v="3"/>
    <x v="0"/>
    <n v="40"/>
    <n v="2"/>
    <n v="2"/>
    <x v="0"/>
    <n v="2"/>
    <x v="1"/>
    <s v="Single"/>
    <x v="991"/>
    <x v="0"/>
    <n v="7815"/>
    <n v="0"/>
    <s v="Y"/>
    <x v="0"/>
    <n v="23"/>
    <x v="1"/>
    <x v="1"/>
    <n v="3"/>
    <n v="80"/>
    <n v="0"/>
    <n v="16"/>
    <n v="2"/>
    <n v="4"/>
    <x v="15"/>
    <n v="9"/>
    <n v="10"/>
    <n v="10"/>
    <s v=""/>
    <x v="0"/>
    <s v=""/>
    <s v=""/>
    <s v=""/>
  </r>
  <r>
    <x v="10"/>
    <x v="0"/>
    <x v="1"/>
    <n v="0"/>
    <s v="Travel_Rarely"/>
    <n v="660"/>
    <x v="0"/>
    <n v="7"/>
    <n v="1"/>
    <s v="Life Sciences"/>
    <n v="1"/>
    <x v="1059"/>
    <n v="4"/>
    <x v="2"/>
    <x v="1"/>
    <n v="76"/>
    <n v="3"/>
    <n v="1"/>
    <x v="6"/>
    <n v="3"/>
    <x v="2"/>
    <s v="Married"/>
    <x v="639"/>
    <x v="1"/>
    <n v="16192"/>
    <n v="1"/>
    <s v="Y"/>
    <x v="1"/>
    <n v="13"/>
    <x v="0"/>
    <x v="0"/>
    <n v="1"/>
    <n v="80"/>
    <n v="1"/>
    <n v="1"/>
    <n v="3"/>
    <n v="3"/>
    <x v="6"/>
    <n v="0"/>
    <n v="0"/>
    <n v="0"/>
    <n v="4"/>
    <x v="2"/>
    <s v=""/>
    <s v=""/>
    <s v=""/>
  </r>
  <r>
    <x v="17"/>
    <x v="4"/>
    <x v="0"/>
    <n v="1"/>
    <s v="Travel_Frequently"/>
    <n v="381"/>
    <x v="1"/>
    <n v="9"/>
    <n v="3"/>
    <s v="Medical"/>
    <n v="1"/>
    <x v="1060"/>
    <n v="2"/>
    <x v="0"/>
    <x v="1"/>
    <n v="89"/>
    <n v="3"/>
    <n v="1"/>
    <x v="2"/>
    <n v="1"/>
    <x v="3"/>
    <s v="Single"/>
    <x v="992"/>
    <x v="1"/>
    <n v="16998"/>
    <n v="2"/>
    <s v="Y"/>
    <x v="0"/>
    <n v="11"/>
    <x v="0"/>
    <x v="0"/>
    <n v="3"/>
    <n v="80"/>
    <n v="0"/>
    <n v="4"/>
    <n v="2"/>
    <n v="2"/>
    <x v="2"/>
    <n v="0"/>
    <n v="0"/>
    <n v="0"/>
    <s v=""/>
    <x v="0"/>
    <s v=""/>
    <s v=""/>
    <s v=""/>
  </r>
  <r>
    <x v="17"/>
    <x v="4"/>
    <x v="1"/>
    <n v="0"/>
    <s v="Non-Travel"/>
    <n v="830"/>
    <x v="0"/>
    <n v="13"/>
    <n v="2"/>
    <s v="Life Sciences"/>
    <n v="1"/>
    <x v="1061"/>
    <n v="4"/>
    <x v="2"/>
    <x v="0"/>
    <n v="78"/>
    <n v="3"/>
    <n v="1"/>
    <x v="6"/>
    <n v="2"/>
    <x v="1"/>
    <s v="Married"/>
    <x v="462"/>
    <x v="1"/>
    <n v="7103"/>
    <n v="1"/>
    <s v="Y"/>
    <x v="1"/>
    <n v="13"/>
    <x v="0"/>
    <x v="0"/>
    <n v="3"/>
    <n v="80"/>
    <n v="1"/>
    <n v="1"/>
    <n v="2"/>
    <n v="3"/>
    <x v="6"/>
    <n v="0"/>
    <n v="0"/>
    <n v="0"/>
    <n v="6"/>
    <x v="3"/>
    <n v="56"/>
    <s v=""/>
    <n v="58505"/>
  </r>
  <r>
    <x v="20"/>
    <x v="0"/>
    <x v="1"/>
    <n v="0"/>
    <s v="Travel_Frequently"/>
    <n v="1193"/>
    <x v="1"/>
    <n v="2"/>
    <n v="1"/>
    <s v="Medical"/>
    <n v="1"/>
    <x v="1062"/>
    <n v="2"/>
    <x v="0"/>
    <x v="1"/>
    <n v="86"/>
    <n v="3"/>
    <n v="3"/>
    <x v="3"/>
    <n v="3"/>
    <x v="2"/>
    <s v="Single"/>
    <x v="993"/>
    <x v="2"/>
    <n v="19719"/>
    <n v="5"/>
    <s v="Y"/>
    <x v="0"/>
    <n v="18"/>
    <x v="2"/>
    <x v="0"/>
    <n v="2"/>
    <n v="80"/>
    <n v="0"/>
    <n v="16"/>
    <n v="2"/>
    <n v="2"/>
    <x v="4"/>
    <n v="2"/>
    <n v="2"/>
    <n v="2"/>
    <n v="2"/>
    <x v="1"/>
    <s v=""/>
    <s v=""/>
    <s v=""/>
  </r>
  <r>
    <x v="11"/>
    <x v="2"/>
    <x v="1"/>
    <n v="0"/>
    <s v="Travel_Rarely"/>
    <n v="1246"/>
    <x v="0"/>
    <n v="19"/>
    <n v="3"/>
    <s v="Life Sciences"/>
    <n v="1"/>
    <x v="1063"/>
    <n v="3"/>
    <x v="1"/>
    <x v="1"/>
    <n v="77"/>
    <n v="2"/>
    <n v="2"/>
    <x v="0"/>
    <n v="3"/>
    <x v="2"/>
    <s v="Divorced"/>
    <x v="994"/>
    <x v="2"/>
    <n v="23757"/>
    <n v="1"/>
    <s v="Y"/>
    <x v="1"/>
    <n v="14"/>
    <x v="0"/>
    <x v="0"/>
    <n v="3"/>
    <n v="80"/>
    <n v="2"/>
    <n v="10"/>
    <n v="3"/>
    <n v="3"/>
    <x v="1"/>
    <n v="7"/>
    <n v="0"/>
    <n v="4"/>
    <n v="1"/>
    <x v="1"/>
    <s v=""/>
    <s v=""/>
    <s v=""/>
  </r>
  <r>
    <x v="7"/>
    <x v="2"/>
    <x v="1"/>
    <n v="0"/>
    <s v="Travel_Rarely"/>
    <n v="330"/>
    <x v="2"/>
    <n v="1"/>
    <n v="3"/>
    <s v="Life Sciences"/>
    <n v="1"/>
    <x v="1064"/>
    <n v="3"/>
    <x v="1"/>
    <x v="1"/>
    <n v="46"/>
    <n v="3"/>
    <n v="1"/>
    <x v="8"/>
    <n v="3"/>
    <x v="2"/>
    <s v="Divorced"/>
    <x v="995"/>
    <x v="1"/>
    <n v="15428"/>
    <n v="0"/>
    <s v="Y"/>
    <x v="1"/>
    <n v="21"/>
    <x v="1"/>
    <x v="1"/>
    <n v="1"/>
    <n v="80"/>
    <n v="1"/>
    <n v="6"/>
    <n v="3"/>
    <n v="4"/>
    <x v="8"/>
    <n v="3"/>
    <n v="1"/>
    <n v="3"/>
    <n v="4"/>
    <x v="2"/>
    <s v=""/>
    <s v=""/>
    <s v=""/>
  </r>
  <r>
    <x v="27"/>
    <x v="3"/>
    <x v="1"/>
    <n v="0"/>
    <s v="Travel_Rarely"/>
    <n v="1229"/>
    <x v="1"/>
    <n v="4"/>
    <n v="4"/>
    <s v="Life Sciences"/>
    <n v="1"/>
    <x v="1065"/>
    <n v="4"/>
    <x v="2"/>
    <x v="1"/>
    <n v="30"/>
    <n v="3"/>
    <n v="2"/>
    <x v="4"/>
    <n v="3"/>
    <x v="2"/>
    <s v="Married"/>
    <x v="996"/>
    <x v="0"/>
    <n v="16143"/>
    <n v="0"/>
    <s v="Y"/>
    <x v="0"/>
    <n v="16"/>
    <x v="2"/>
    <x v="0"/>
    <n v="2"/>
    <n v="80"/>
    <n v="0"/>
    <n v="4"/>
    <n v="2"/>
    <n v="3"/>
    <x v="11"/>
    <n v="2"/>
    <n v="1"/>
    <n v="2"/>
    <n v="3"/>
    <x v="2"/>
    <s v=""/>
    <s v=""/>
    <s v=""/>
  </r>
  <r>
    <x v="3"/>
    <x v="2"/>
    <x v="1"/>
    <n v="0"/>
    <s v="Travel_Rarely"/>
    <n v="1099"/>
    <x v="1"/>
    <n v="4"/>
    <n v="4"/>
    <s v="Medical"/>
    <n v="1"/>
    <x v="1066"/>
    <n v="1"/>
    <x v="3"/>
    <x v="0"/>
    <n v="82"/>
    <n v="2"/>
    <n v="1"/>
    <x v="2"/>
    <n v="2"/>
    <x v="1"/>
    <s v="Married"/>
    <x v="997"/>
    <x v="1"/>
    <n v="8192"/>
    <n v="8"/>
    <s v="Y"/>
    <x v="1"/>
    <n v="11"/>
    <x v="0"/>
    <x v="0"/>
    <n v="4"/>
    <n v="80"/>
    <n v="0"/>
    <n v="8"/>
    <n v="5"/>
    <n v="3"/>
    <x v="8"/>
    <n v="4"/>
    <n v="0"/>
    <n v="2"/>
    <n v="4"/>
    <x v="2"/>
    <s v=""/>
    <s v=""/>
    <s v=""/>
  </r>
  <r>
    <x v="40"/>
    <x v="1"/>
    <x v="1"/>
    <n v="0"/>
    <s v="Travel_Rarely"/>
    <n v="571"/>
    <x v="0"/>
    <n v="14"/>
    <n v="3"/>
    <s v="Medical"/>
    <n v="1"/>
    <x v="1067"/>
    <n v="3"/>
    <x v="1"/>
    <x v="0"/>
    <n v="78"/>
    <n v="3"/>
    <n v="2"/>
    <x v="0"/>
    <n v="3"/>
    <x v="2"/>
    <s v="Married"/>
    <x v="998"/>
    <x v="0"/>
    <n v="24200"/>
    <n v="3"/>
    <s v="Y"/>
    <x v="0"/>
    <n v="17"/>
    <x v="2"/>
    <x v="0"/>
    <n v="3"/>
    <n v="80"/>
    <n v="1"/>
    <n v="11"/>
    <n v="4"/>
    <n v="2"/>
    <x v="8"/>
    <n v="4"/>
    <n v="1"/>
    <n v="2"/>
    <n v="3"/>
    <x v="2"/>
    <s v=""/>
    <s v=""/>
    <s v=""/>
  </r>
  <r>
    <x v="14"/>
    <x v="2"/>
    <x v="0"/>
    <n v="1"/>
    <s v="Travel_Frequently"/>
    <n v="289"/>
    <x v="1"/>
    <n v="2"/>
    <n v="2"/>
    <s v="Medical"/>
    <n v="1"/>
    <x v="1068"/>
    <n v="3"/>
    <x v="1"/>
    <x v="1"/>
    <n v="38"/>
    <n v="2"/>
    <n v="1"/>
    <x v="2"/>
    <n v="1"/>
    <x v="3"/>
    <s v="Single"/>
    <x v="999"/>
    <x v="1"/>
    <n v="5355"/>
    <n v="7"/>
    <s v="Y"/>
    <x v="1"/>
    <n v="11"/>
    <x v="0"/>
    <x v="0"/>
    <n v="3"/>
    <n v="80"/>
    <n v="0"/>
    <n v="8"/>
    <n v="2"/>
    <n v="2"/>
    <x v="2"/>
    <n v="0"/>
    <n v="0"/>
    <n v="0"/>
    <s v=""/>
    <x v="0"/>
    <s v=""/>
    <s v=""/>
    <s v=""/>
  </r>
  <r>
    <x v="14"/>
    <x v="2"/>
    <x v="1"/>
    <n v="0"/>
    <s v="Travel_Rarely"/>
    <n v="1423"/>
    <x v="1"/>
    <n v="1"/>
    <n v="3"/>
    <s v="Life Sciences"/>
    <n v="1"/>
    <x v="1069"/>
    <n v="1"/>
    <x v="3"/>
    <x v="1"/>
    <n v="72"/>
    <n v="2"/>
    <n v="1"/>
    <x v="1"/>
    <n v="3"/>
    <x v="2"/>
    <s v="Divorced"/>
    <x v="1000"/>
    <x v="1"/>
    <n v="12530"/>
    <n v="1"/>
    <s v="Y"/>
    <x v="1"/>
    <n v="14"/>
    <x v="0"/>
    <x v="0"/>
    <n v="4"/>
    <n v="80"/>
    <n v="1"/>
    <n v="1"/>
    <n v="2"/>
    <n v="1"/>
    <x v="6"/>
    <n v="0"/>
    <n v="0"/>
    <n v="0"/>
    <n v="3"/>
    <x v="2"/>
    <s v=""/>
    <s v=""/>
    <s v=""/>
  </r>
  <r>
    <x v="14"/>
    <x v="2"/>
    <x v="1"/>
    <n v="0"/>
    <s v="Travel_Frequently"/>
    <n v="467"/>
    <x v="0"/>
    <n v="7"/>
    <n v="3"/>
    <s v="Life Sciences"/>
    <n v="1"/>
    <x v="1070"/>
    <n v="3"/>
    <x v="1"/>
    <x v="1"/>
    <n v="55"/>
    <n v="3"/>
    <n v="2"/>
    <x v="0"/>
    <n v="1"/>
    <x v="3"/>
    <s v="Single"/>
    <x v="249"/>
    <x v="0"/>
    <n v="11827"/>
    <n v="0"/>
    <s v="Y"/>
    <x v="1"/>
    <n v="14"/>
    <x v="0"/>
    <x v="0"/>
    <n v="4"/>
    <n v="80"/>
    <n v="0"/>
    <n v="5"/>
    <n v="5"/>
    <n v="3"/>
    <x v="9"/>
    <n v="2"/>
    <n v="1"/>
    <n v="3"/>
    <n v="4"/>
    <x v="2"/>
    <s v=""/>
    <s v=""/>
    <s v=""/>
  </r>
  <r>
    <x v="1"/>
    <x v="1"/>
    <x v="1"/>
    <n v="0"/>
    <s v="Travel_Rarely"/>
    <n v="271"/>
    <x v="1"/>
    <n v="3"/>
    <n v="2"/>
    <s v="Medical"/>
    <n v="1"/>
    <x v="1071"/>
    <n v="3"/>
    <x v="1"/>
    <x v="0"/>
    <n v="43"/>
    <n v="2"/>
    <n v="2"/>
    <x v="2"/>
    <n v="1"/>
    <x v="3"/>
    <s v="Married"/>
    <x v="1001"/>
    <x v="0"/>
    <n v="23070"/>
    <n v="4"/>
    <s v="Y"/>
    <x v="1"/>
    <n v="25"/>
    <x v="1"/>
    <x v="1"/>
    <n v="1"/>
    <n v="80"/>
    <n v="1"/>
    <n v="10"/>
    <n v="3"/>
    <n v="3"/>
    <x v="11"/>
    <n v="2"/>
    <n v="1"/>
    <n v="2"/>
    <n v="4"/>
    <x v="2"/>
    <s v=""/>
    <s v=""/>
    <s v=""/>
  </r>
  <r>
    <x v="11"/>
    <x v="2"/>
    <x v="1"/>
    <n v="0"/>
    <s v="Travel_Frequently"/>
    <n v="410"/>
    <x v="1"/>
    <n v="2"/>
    <n v="1"/>
    <s v="Life Sciences"/>
    <n v="1"/>
    <x v="1072"/>
    <n v="4"/>
    <x v="2"/>
    <x v="0"/>
    <n v="97"/>
    <n v="3"/>
    <n v="1"/>
    <x v="2"/>
    <n v="2"/>
    <x v="1"/>
    <s v="Married"/>
    <x v="1002"/>
    <x v="1"/>
    <n v="4668"/>
    <n v="0"/>
    <s v="Y"/>
    <x v="1"/>
    <n v="13"/>
    <x v="0"/>
    <x v="0"/>
    <n v="3"/>
    <n v="80"/>
    <n v="3"/>
    <n v="4"/>
    <n v="3"/>
    <n v="3"/>
    <x v="11"/>
    <n v="2"/>
    <n v="0"/>
    <n v="2"/>
    <n v="4"/>
    <x v="2"/>
    <s v=""/>
    <s v=""/>
    <s v=""/>
  </r>
  <r>
    <x v="14"/>
    <x v="2"/>
    <x v="1"/>
    <n v="0"/>
    <s v="Travel_Rarely"/>
    <n v="1083"/>
    <x v="1"/>
    <n v="29"/>
    <n v="1"/>
    <s v="Life Sciences"/>
    <n v="1"/>
    <x v="1073"/>
    <n v="3"/>
    <x v="1"/>
    <x v="1"/>
    <n v="96"/>
    <n v="1"/>
    <n v="2"/>
    <x v="3"/>
    <n v="2"/>
    <x v="1"/>
    <s v="Married"/>
    <x v="1003"/>
    <x v="0"/>
    <n v="3173"/>
    <n v="1"/>
    <s v="Y"/>
    <x v="1"/>
    <n v="14"/>
    <x v="0"/>
    <x v="0"/>
    <n v="2"/>
    <n v="80"/>
    <n v="2"/>
    <n v="8"/>
    <n v="2"/>
    <n v="2"/>
    <x v="3"/>
    <n v="6"/>
    <n v="1"/>
    <n v="7"/>
    <n v="2"/>
    <x v="1"/>
    <s v=""/>
    <s v=""/>
    <s v=""/>
  </r>
  <r>
    <x v="3"/>
    <x v="2"/>
    <x v="1"/>
    <n v="0"/>
    <s v="Travel_Rarely"/>
    <n v="516"/>
    <x v="1"/>
    <n v="8"/>
    <n v="5"/>
    <s v="Life Sciences"/>
    <n v="1"/>
    <x v="1074"/>
    <n v="4"/>
    <x v="2"/>
    <x v="1"/>
    <n v="69"/>
    <n v="3"/>
    <n v="2"/>
    <x v="4"/>
    <n v="3"/>
    <x v="2"/>
    <s v="Single"/>
    <x v="1004"/>
    <x v="0"/>
    <n v="22049"/>
    <n v="2"/>
    <s v="Y"/>
    <x v="0"/>
    <n v="17"/>
    <x v="2"/>
    <x v="0"/>
    <n v="1"/>
    <n v="80"/>
    <n v="0"/>
    <n v="14"/>
    <n v="6"/>
    <n v="3"/>
    <x v="2"/>
    <n v="0"/>
    <n v="0"/>
    <n v="0"/>
    <n v="4"/>
    <x v="2"/>
    <s v=""/>
    <s v=""/>
    <s v=""/>
  </r>
  <r>
    <x v="5"/>
    <x v="2"/>
    <x v="1"/>
    <n v="0"/>
    <s v="Travel_Rarely"/>
    <n v="495"/>
    <x v="1"/>
    <n v="10"/>
    <n v="3"/>
    <s v="Medical"/>
    <n v="1"/>
    <x v="1075"/>
    <n v="3"/>
    <x v="1"/>
    <x v="1"/>
    <n v="64"/>
    <n v="3"/>
    <n v="3"/>
    <x v="5"/>
    <n v="4"/>
    <x v="0"/>
    <s v="Single"/>
    <x v="1005"/>
    <x v="2"/>
    <n v="21072"/>
    <n v="2"/>
    <s v="Y"/>
    <x v="1"/>
    <n v="25"/>
    <x v="1"/>
    <x v="1"/>
    <n v="2"/>
    <n v="80"/>
    <n v="0"/>
    <n v="10"/>
    <n v="5"/>
    <n v="4"/>
    <x v="8"/>
    <n v="2"/>
    <n v="0"/>
    <n v="0"/>
    <n v="1"/>
    <x v="1"/>
    <s v=""/>
    <s v=""/>
    <s v=""/>
  </r>
  <r>
    <x v="33"/>
    <x v="1"/>
    <x v="1"/>
    <n v="0"/>
    <s v="Travel_Frequently"/>
    <n v="1050"/>
    <x v="1"/>
    <n v="11"/>
    <n v="4"/>
    <s v="Medical"/>
    <n v="1"/>
    <x v="1076"/>
    <n v="2"/>
    <x v="0"/>
    <x v="0"/>
    <n v="87"/>
    <n v="3"/>
    <n v="4"/>
    <x v="5"/>
    <n v="4"/>
    <x v="0"/>
    <s v="Divorced"/>
    <x v="1006"/>
    <x v="4"/>
    <n v="24456"/>
    <n v="3"/>
    <s v="Y"/>
    <x v="1"/>
    <n v="20"/>
    <x v="2"/>
    <x v="1"/>
    <n v="1"/>
    <n v="80"/>
    <n v="1"/>
    <n v="26"/>
    <n v="2"/>
    <n v="3"/>
    <x v="13"/>
    <n v="9"/>
    <n v="1"/>
    <n v="12"/>
    <n v="0"/>
    <x v="1"/>
    <s v=""/>
    <s v=""/>
    <s v=""/>
  </r>
  <r>
    <x v="11"/>
    <x v="2"/>
    <x v="0"/>
    <n v="1"/>
    <s v="Travel_Rarely"/>
    <n v="224"/>
    <x v="1"/>
    <n v="1"/>
    <n v="4"/>
    <s v="Technical Degree"/>
    <n v="1"/>
    <x v="1077"/>
    <n v="1"/>
    <x v="3"/>
    <x v="1"/>
    <n v="100"/>
    <n v="2"/>
    <n v="1"/>
    <x v="1"/>
    <n v="1"/>
    <x v="3"/>
    <s v="Single"/>
    <x v="898"/>
    <x v="1"/>
    <n v="7568"/>
    <n v="6"/>
    <s v="Y"/>
    <x v="1"/>
    <n v="13"/>
    <x v="0"/>
    <x v="0"/>
    <n v="3"/>
    <n v="80"/>
    <n v="0"/>
    <n v="11"/>
    <n v="2"/>
    <n v="1"/>
    <x v="7"/>
    <n v="7"/>
    <n v="0"/>
    <n v="7"/>
    <s v=""/>
    <x v="0"/>
    <s v=""/>
    <s v=""/>
    <s v=""/>
  </r>
  <r>
    <x v="20"/>
    <x v="0"/>
    <x v="1"/>
    <n v="0"/>
    <s v="Travel_Rarely"/>
    <n v="136"/>
    <x v="1"/>
    <n v="28"/>
    <n v="3"/>
    <s v="Life Sciences"/>
    <n v="1"/>
    <x v="1078"/>
    <n v="4"/>
    <x v="2"/>
    <x v="1"/>
    <n v="32"/>
    <n v="3"/>
    <n v="4"/>
    <x v="7"/>
    <n v="1"/>
    <x v="3"/>
    <s v="Married"/>
    <x v="1007"/>
    <x v="4"/>
    <n v="22074"/>
    <n v="3"/>
    <s v="Y"/>
    <x v="1"/>
    <n v="13"/>
    <x v="0"/>
    <x v="0"/>
    <n v="3"/>
    <n v="80"/>
    <n v="1"/>
    <n v="24"/>
    <n v="1"/>
    <n v="4"/>
    <x v="23"/>
    <n v="6"/>
    <n v="14"/>
    <n v="17"/>
    <n v="2"/>
    <x v="1"/>
    <s v=""/>
    <s v=""/>
    <s v=""/>
  </r>
  <r>
    <x v="22"/>
    <x v="0"/>
    <x v="1"/>
    <n v="0"/>
    <s v="Travel_Rarely"/>
    <n v="1089"/>
    <x v="1"/>
    <n v="6"/>
    <n v="3"/>
    <s v="Life Sciences"/>
    <n v="1"/>
    <x v="1079"/>
    <n v="2"/>
    <x v="0"/>
    <x v="0"/>
    <n v="32"/>
    <n v="3"/>
    <n v="3"/>
    <x v="3"/>
    <n v="2"/>
    <x v="1"/>
    <s v="Single"/>
    <x v="1008"/>
    <x v="2"/>
    <n v="9150"/>
    <n v="4"/>
    <s v="Y"/>
    <x v="1"/>
    <n v="18"/>
    <x v="2"/>
    <x v="0"/>
    <n v="4"/>
    <n v="80"/>
    <n v="0"/>
    <n v="9"/>
    <n v="3"/>
    <n v="3"/>
    <x v="4"/>
    <n v="0"/>
    <n v="2"/>
    <n v="2"/>
    <n v="0"/>
    <x v="1"/>
    <s v=""/>
    <s v=""/>
    <s v=""/>
  </r>
  <r>
    <x v="21"/>
    <x v="1"/>
    <x v="1"/>
    <n v="0"/>
    <s v="Travel_Rarely"/>
    <n v="228"/>
    <x v="0"/>
    <n v="3"/>
    <n v="3"/>
    <s v="Life Sciences"/>
    <n v="1"/>
    <x v="1080"/>
    <n v="3"/>
    <x v="1"/>
    <x v="0"/>
    <n v="51"/>
    <n v="3"/>
    <n v="4"/>
    <x v="5"/>
    <n v="2"/>
    <x v="1"/>
    <s v="Married"/>
    <x v="1009"/>
    <x v="4"/>
    <n v="11380"/>
    <n v="8"/>
    <s v="Y"/>
    <x v="1"/>
    <n v="12"/>
    <x v="0"/>
    <x v="0"/>
    <n v="4"/>
    <n v="80"/>
    <n v="1"/>
    <n v="23"/>
    <n v="2"/>
    <n v="4"/>
    <x v="20"/>
    <n v="12"/>
    <n v="5"/>
    <n v="1"/>
    <n v="0"/>
    <x v="1"/>
    <s v=""/>
    <s v=""/>
    <s v=""/>
  </r>
  <r>
    <x v="10"/>
    <x v="0"/>
    <x v="1"/>
    <n v="0"/>
    <s v="Travel_Rarely"/>
    <n v="1029"/>
    <x v="1"/>
    <n v="16"/>
    <n v="3"/>
    <s v="Life Sciences"/>
    <n v="1"/>
    <x v="1081"/>
    <n v="4"/>
    <x v="2"/>
    <x v="0"/>
    <n v="91"/>
    <n v="2"/>
    <n v="3"/>
    <x v="4"/>
    <n v="2"/>
    <x v="1"/>
    <s v="Single"/>
    <x v="1010"/>
    <x v="2"/>
    <n v="21195"/>
    <n v="1"/>
    <s v="Y"/>
    <x v="1"/>
    <n v="19"/>
    <x v="2"/>
    <x v="0"/>
    <n v="4"/>
    <n v="80"/>
    <n v="0"/>
    <n v="11"/>
    <n v="3"/>
    <n v="1"/>
    <x v="19"/>
    <n v="8"/>
    <n v="3"/>
    <n v="3"/>
    <n v="0"/>
    <x v="1"/>
    <s v=""/>
    <s v=""/>
    <s v=""/>
  </r>
  <r>
    <x v="30"/>
    <x v="4"/>
    <x v="1"/>
    <n v="0"/>
    <s v="Travel_Rarely"/>
    <n v="507"/>
    <x v="1"/>
    <n v="20"/>
    <n v="1"/>
    <s v="Life Sciences"/>
    <n v="1"/>
    <x v="1082"/>
    <n v="1"/>
    <x v="3"/>
    <x v="1"/>
    <n v="97"/>
    <n v="3"/>
    <n v="2"/>
    <x v="2"/>
    <n v="3"/>
    <x v="2"/>
    <s v="Single"/>
    <x v="1011"/>
    <x v="1"/>
    <n v="24812"/>
    <n v="0"/>
    <s v="Y"/>
    <x v="1"/>
    <n v="14"/>
    <x v="0"/>
    <x v="0"/>
    <n v="2"/>
    <n v="80"/>
    <n v="0"/>
    <n v="5"/>
    <n v="2"/>
    <n v="3"/>
    <x v="9"/>
    <n v="3"/>
    <n v="1"/>
    <n v="2"/>
    <n v="5"/>
    <x v="2"/>
    <s v=""/>
    <s v=""/>
    <s v=""/>
  </r>
  <r>
    <x v="32"/>
    <x v="0"/>
    <x v="0"/>
    <n v="1"/>
    <s v="Travel_Rarely"/>
    <n v="676"/>
    <x v="1"/>
    <n v="9"/>
    <n v="4"/>
    <s v="Life Sciences"/>
    <n v="1"/>
    <x v="1083"/>
    <n v="4"/>
    <x v="2"/>
    <x v="1"/>
    <n v="86"/>
    <n v="3"/>
    <n v="1"/>
    <x v="2"/>
    <n v="1"/>
    <x v="3"/>
    <s v="Single"/>
    <x v="1012"/>
    <x v="1"/>
    <n v="21831"/>
    <n v="3"/>
    <s v="Y"/>
    <x v="1"/>
    <n v="14"/>
    <x v="0"/>
    <x v="0"/>
    <n v="2"/>
    <n v="80"/>
    <n v="0"/>
    <n v="15"/>
    <n v="3"/>
    <n v="1"/>
    <x v="8"/>
    <n v="4"/>
    <n v="1"/>
    <n v="0"/>
    <s v=""/>
    <x v="0"/>
    <s v=""/>
    <s v=""/>
    <s v=""/>
  </r>
  <r>
    <x v="13"/>
    <x v="2"/>
    <x v="1"/>
    <n v="0"/>
    <s v="Travel_Rarely"/>
    <n v="971"/>
    <x v="0"/>
    <n v="1"/>
    <n v="3"/>
    <s v="Technical Degree"/>
    <n v="1"/>
    <x v="1084"/>
    <n v="4"/>
    <x v="2"/>
    <x v="1"/>
    <n v="64"/>
    <n v="2"/>
    <n v="3"/>
    <x v="0"/>
    <n v="3"/>
    <x v="2"/>
    <s v="Married"/>
    <x v="1013"/>
    <x v="0"/>
    <n v="12288"/>
    <n v="1"/>
    <s v="Y"/>
    <x v="0"/>
    <n v="14"/>
    <x v="0"/>
    <x v="0"/>
    <n v="4"/>
    <n v="80"/>
    <n v="0"/>
    <n v="10"/>
    <n v="3"/>
    <n v="3"/>
    <x v="1"/>
    <n v="9"/>
    <n v="8"/>
    <n v="6"/>
    <n v="4"/>
    <x v="2"/>
    <s v=""/>
    <s v=""/>
    <s v=""/>
  </r>
  <r>
    <x v="12"/>
    <x v="2"/>
    <x v="0"/>
    <n v="1"/>
    <s v="Travel_Frequently"/>
    <n v="561"/>
    <x v="1"/>
    <n v="3"/>
    <n v="3"/>
    <s v="Life Sciences"/>
    <n v="1"/>
    <x v="1085"/>
    <n v="4"/>
    <x v="2"/>
    <x v="0"/>
    <n v="33"/>
    <n v="3"/>
    <n v="1"/>
    <x v="1"/>
    <n v="3"/>
    <x v="2"/>
    <s v="Single"/>
    <x v="1014"/>
    <x v="0"/>
    <n v="4156"/>
    <n v="1"/>
    <s v="Y"/>
    <x v="1"/>
    <n v="12"/>
    <x v="0"/>
    <x v="0"/>
    <n v="1"/>
    <n v="80"/>
    <n v="0"/>
    <n v="7"/>
    <n v="2"/>
    <n v="1"/>
    <x v="5"/>
    <n v="2"/>
    <n v="7"/>
    <n v="7"/>
    <s v=""/>
    <x v="0"/>
    <s v=""/>
    <s v=""/>
    <s v=""/>
  </r>
  <r>
    <x v="24"/>
    <x v="1"/>
    <x v="1"/>
    <n v="0"/>
    <s v="Travel_Frequently"/>
    <n v="333"/>
    <x v="1"/>
    <n v="22"/>
    <n v="5"/>
    <s v="Medical"/>
    <n v="1"/>
    <x v="1086"/>
    <n v="3"/>
    <x v="1"/>
    <x v="1"/>
    <n v="88"/>
    <n v="1"/>
    <n v="4"/>
    <x v="7"/>
    <n v="4"/>
    <x v="0"/>
    <s v="Single"/>
    <x v="1015"/>
    <x v="3"/>
    <n v="24450"/>
    <n v="1"/>
    <s v="Y"/>
    <x v="0"/>
    <n v="13"/>
    <x v="0"/>
    <x v="0"/>
    <n v="4"/>
    <n v="80"/>
    <n v="0"/>
    <n v="32"/>
    <n v="2"/>
    <n v="3"/>
    <x v="32"/>
    <n v="6"/>
    <n v="13"/>
    <n v="9"/>
    <n v="2"/>
    <x v="1"/>
    <s v=""/>
    <s v=""/>
    <s v=""/>
  </r>
  <r>
    <x v="13"/>
    <x v="2"/>
    <x v="1"/>
    <n v="0"/>
    <s v="Travel_Rarely"/>
    <n v="1440"/>
    <x v="0"/>
    <n v="7"/>
    <n v="2"/>
    <s v="Technical Degree"/>
    <n v="1"/>
    <x v="1087"/>
    <n v="2"/>
    <x v="0"/>
    <x v="1"/>
    <n v="55"/>
    <n v="3"/>
    <n v="1"/>
    <x v="6"/>
    <n v="3"/>
    <x v="2"/>
    <s v="Married"/>
    <x v="1016"/>
    <x v="1"/>
    <n v="4944"/>
    <n v="0"/>
    <s v="Y"/>
    <x v="0"/>
    <n v="25"/>
    <x v="1"/>
    <x v="1"/>
    <n v="2"/>
    <n v="80"/>
    <n v="1"/>
    <n v="12"/>
    <n v="4"/>
    <n v="3"/>
    <x v="19"/>
    <n v="10"/>
    <n v="5"/>
    <n v="7"/>
    <n v="7"/>
    <x v="3"/>
    <n v="15"/>
    <s v=""/>
    <n v="68459"/>
  </r>
  <r>
    <x v="19"/>
    <x v="0"/>
    <x v="1"/>
    <n v="0"/>
    <s v="Travel_Rarely"/>
    <n v="1210"/>
    <x v="1"/>
    <n v="2"/>
    <n v="3"/>
    <s v="Medical"/>
    <n v="1"/>
    <x v="1088"/>
    <n v="3"/>
    <x v="1"/>
    <x v="1"/>
    <n v="68"/>
    <n v="2"/>
    <n v="1"/>
    <x v="2"/>
    <n v="2"/>
    <x v="1"/>
    <s v="Married"/>
    <x v="1017"/>
    <x v="0"/>
    <n v="24052"/>
    <n v="4"/>
    <s v="Y"/>
    <x v="1"/>
    <n v="14"/>
    <x v="0"/>
    <x v="0"/>
    <n v="2"/>
    <n v="80"/>
    <n v="1"/>
    <n v="4"/>
    <n v="3"/>
    <n v="3"/>
    <x v="6"/>
    <n v="0"/>
    <n v="0"/>
    <n v="0"/>
    <n v="2"/>
    <x v="1"/>
    <s v=""/>
    <s v=""/>
    <s v=""/>
  </r>
  <r>
    <x v="2"/>
    <x v="0"/>
    <x v="1"/>
    <n v="0"/>
    <s v="Travel_Rarely"/>
    <n v="674"/>
    <x v="1"/>
    <n v="13"/>
    <n v="3"/>
    <s v="Medical"/>
    <n v="1"/>
    <x v="1089"/>
    <n v="1"/>
    <x v="3"/>
    <x v="1"/>
    <n v="47"/>
    <n v="3"/>
    <n v="2"/>
    <x v="1"/>
    <n v="4"/>
    <x v="0"/>
    <s v="Married"/>
    <x v="1018"/>
    <x v="0"/>
    <n v="3031"/>
    <n v="1"/>
    <s v="Y"/>
    <x v="1"/>
    <n v="17"/>
    <x v="2"/>
    <x v="0"/>
    <n v="1"/>
    <n v="80"/>
    <n v="0"/>
    <n v="10"/>
    <n v="2"/>
    <n v="3"/>
    <x v="1"/>
    <n v="8"/>
    <n v="3"/>
    <n v="7"/>
    <n v="1"/>
    <x v="1"/>
    <s v=""/>
    <s v=""/>
    <s v=""/>
  </r>
  <r>
    <x v="11"/>
    <x v="2"/>
    <x v="1"/>
    <n v="0"/>
    <s v="Travel_Rarely"/>
    <n v="441"/>
    <x v="1"/>
    <n v="8"/>
    <n v="1"/>
    <s v="Other"/>
    <n v="1"/>
    <x v="1090"/>
    <n v="3"/>
    <x v="1"/>
    <x v="0"/>
    <n v="39"/>
    <n v="1"/>
    <n v="2"/>
    <x v="4"/>
    <n v="1"/>
    <x v="3"/>
    <s v="Married"/>
    <x v="1019"/>
    <x v="2"/>
    <n v="7288"/>
    <n v="3"/>
    <s v="Y"/>
    <x v="1"/>
    <n v="13"/>
    <x v="0"/>
    <x v="0"/>
    <n v="3"/>
    <n v="80"/>
    <n v="1"/>
    <n v="9"/>
    <n v="3"/>
    <n v="3"/>
    <x v="5"/>
    <n v="7"/>
    <n v="0"/>
    <n v="7"/>
    <n v="3"/>
    <x v="2"/>
    <s v=""/>
    <s v=""/>
    <s v=""/>
  </r>
  <r>
    <x v="3"/>
    <x v="2"/>
    <x v="1"/>
    <n v="0"/>
    <s v="Travel_Rarely"/>
    <n v="575"/>
    <x v="1"/>
    <n v="25"/>
    <n v="3"/>
    <s v="Life Sciences"/>
    <n v="1"/>
    <x v="1091"/>
    <n v="4"/>
    <x v="2"/>
    <x v="1"/>
    <n v="44"/>
    <n v="2"/>
    <n v="2"/>
    <x v="3"/>
    <n v="2"/>
    <x v="1"/>
    <s v="Single"/>
    <x v="1020"/>
    <x v="0"/>
    <n v="24152"/>
    <n v="1"/>
    <s v="Y"/>
    <x v="1"/>
    <n v="13"/>
    <x v="0"/>
    <x v="0"/>
    <n v="4"/>
    <n v="80"/>
    <n v="0"/>
    <n v="5"/>
    <n v="2"/>
    <n v="3"/>
    <x v="8"/>
    <n v="3"/>
    <n v="0"/>
    <n v="2"/>
    <n v="2"/>
    <x v="1"/>
    <s v=""/>
    <s v=""/>
    <s v=""/>
  </r>
  <r>
    <x v="28"/>
    <x v="1"/>
    <x v="1"/>
    <n v="0"/>
    <s v="Travel_Rarely"/>
    <n v="950"/>
    <x v="1"/>
    <n v="28"/>
    <n v="3"/>
    <s v="Technical Degree"/>
    <n v="1"/>
    <x v="1092"/>
    <n v="4"/>
    <x v="2"/>
    <x v="1"/>
    <n v="97"/>
    <n v="3"/>
    <n v="1"/>
    <x v="1"/>
    <n v="4"/>
    <x v="0"/>
    <s v="Married"/>
    <x v="685"/>
    <x v="1"/>
    <n v="4585"/>
    <n v="4"/>
    <s v="Y"/>
    <x v="1"/>
    <n v="20"/>
    <x v="2"/>
    <x v="1"/>
    <n v="4"/>
    <n v="80"/>
    <n v="1"/>
    <n v="8"/>
    <n v="3"/>
    <n v="3"/>
    <x v="8"/>
    <n v="4"/>
    <n v="0"/>
    <n v="3"/>
    <n v="2"/>
    <x v="1"/>
    <s v=""/>
    <s v=""/>
    <s v=""/>
  </r>
  <r>
    <x v="19"/>
    <x v="0"/>
    <x v="1"/>
    <n v="0"/>
    <s v="Travel_Frequently"/>
    <n v="288"/>
    <x v="1"/>
    <n v="2"/>
    <n v="3"/>
    <s v="Life Sciences"/>
    <n v="1"/>
    <x v="1093"/>
    <n v="4"/>
    <x v="2"/>
    <x v="1"/>
    <n v="40"/>
    <n v="3"/>
    <n v="3"/>
    <x v="4"/>
    <n v="4"/>
    <x v="0"/>
    <s v="Married"/>
    <x v="1021"/>
    <x v="2"/>
    <n v="18611"/>
    <n v="2"/>
    <s v="Y"/>
    <x v="0"/>
    <n v="14"/>
    <x v="0"/>
    <x v="0"/>
    <n v="3"/>
    <n v="80"/>
    <n v="1"/>
    <n v="24"/>
    <n v="3"/>
    <n v="1"/>
    <x v="23"/>
    <n v="8"/>
    <n v="13"/>
    <n v="9"/>
    <n v="2"/>
    <x v="1"/>
    <s v=""/>
    <s v=""/>
    <s v=""/>
  </r>
  <r>
    <x v="32"/>
    <x v="0"/>
    <x v="1"/>
    <n v="0"/>
    <s v="Travel_Rarely"/>
    <n v="1342"/>
    <x v="0"/>
    <n v="9"/>
    <n v="2"/>
    <s v="Medical"/>
    <n v="1"/>
    <x v="1094"/>
    <n v="1"/>
    <x v="3"/>
    <x v="1"/>
    <n v="47"/>
    <n v="3"/>
    <n v="2"/>
    <x v="0"/>
    <n v="1"/>
    <x v="3"/>
    <s v="Married"/>
    <x v="67"/>
    <x v="0"/>
    <n v="19345"/>
    <n v="0"/>
    <s v="Y"/>
    <x v="1"/>
    <n v="12"/>
    <x v="0"/>
    <x v="0"/>
    <n v="4"/>
    <n v="80"/>
    <n v="0"/>
    <n v="9"/>
    <n v="5"/>
    <n v="4"/>
    <x v="3"/>
    <n v="4"/>
    <n v="7"/>
    <n v="1"/>
    <n v="3"/>
    <x v="2"/>
    <s v=""/>
    <s v=""/>
    <s v=""/>
  </r>
  <r>
    <x v="3"/>
    <x v="2"/>
    <x v="1"/>
    <n v="0"/>
    <s v="Travel_Rarely"/>
    <n v="589"/>
    <x v="1"/>
    <n v="28"/>
    <n v="4"/>
    <s v="Life Sciences"/>
    <n v="1"/>
    <x v="1095"/>
    <n v="2"/>
    <x v="0"/>
    <x v="1"/>
    <n v="79"/>
    <n v="3"/>
    <n v="2"/>
    <x v="2"/>
    <n v="3"/>
    <x v="2"/>
    <s v="Married"/>
    <x v="1022"/>
    <x v="0"/>
    <n v="22949"/>
    <n v="1"/>
    <s v="Y"/>
    <x v="0"/>
    <n v="12"/>
    <x v="0"/>
    <x v="0"/>
    <n v="2"/>
    <n v="80"/>
    <n v="1"/>
    <n v="15"/>
    <n v="3"/>
    <n v="3"/>
    <x v="15"/>
    <n v="14"/>
    <n v="5"/>
    <n v="7"/>
    <n v="5"/>
    <x v="2"/>
    <s v=""/>
    <s v=""/>
    <s v=""/>
  </r>
  <r>
    <x v="32"/>
    <x v="0"/>
    <x v="1"/>
    <n v="0"/>
    <s v="Travel_Rarely"/>
    <n v="898"/>
    <x v="2"/>
    <n v="6"/>
    <n v="2"/>
    <s v="Medical"/>
    <n v="1"/>
    <x v="1096"/>
    <n v="3"/>
    <x v="1"/>
    <x v="1"/>
    <n v="38"/>
    <n v="3"/>
    <n v="4"/>
    <x v="5"/>
    <n v="4"/>
    <x v="0"/>
    <s v="Single"/>
    <x v="1023"/>
    <x v="4"/>
    <n v="17381"/>
    <n v="1"/>
    <s v="Y"/>
    <x v="0"/>
    <n v="21"/>
    <x v="1"/>
    <x v="1"/>
    <n v="4"/>
    <n v="80"/>
    <n v="0"/>
    <n v="21"/>
    <n v="2"/>
    <n v="3"/>
    <x v="17"/>
    <n v="7"/>
    <n v="7"/>
    <n v="7"/>
    <n v="2"/>
    <x v="1"/>
    <s v=""/>
    <s v=""/>
    <s v=""/>
  </r>
  <r>
    <x v="17"/>
    <x v="4"/>
    <x v="1"/>
    <n v="0"/>
    <s v="Travel_Rarely"/>
    <n v="350"/>
    <x v="1"/>
    <n v="21"/>
    <n v="2"/>
    <s v="Technical Degree"/>
    <n v="1"/>
    <x v="1097"/>
    <n v="3"/>
    <x v="1"/>
    <x v="1"/>
    <n v="57"/>
    <n v="2"/>
    <n v="1"/>
    <x v="2"/>
    <n v="1"/>
    <x v="3"/>
    <s v="Divorced"/>
    <x v="1024"/>
    <x v="1"/>
    <n v="10036"/>
    <n v="0"/>
    <s v="Y"/>
    <x v="1"/>
    <n v="14"/>
    <x v="0"/>
    <x v="0"/>
    <n v="2"/>
    <n v="80"/>
    <n v="3"/>
    <n v="2"/>
    <n v="3"/>
    <n v="3"/>
    <x v="6"/>
    <n v="1"/>
    <n v="0"/>
    <n v="0"/>
    <n v="7"/>
    <x v="3"/>
    <n v="16"/>
    <s v=""/>
    <n v="68449"/>
  </r>
  <r>
    <x v="32"/>
    <x v="0"/>
    <x v="1"/>
    <n v="0"/>
    <s v="Non-Travel"/>
    <n v="1142"/>
    <x v="1"/>
    <n v="8"/>
    <n v="2"/>
    <s v="Life Sciences"/>
    <n v="1"/>
    <x v="1098"/>
    <n v="4"/>
    <x v="2"/>
    <x v="1"/>
    <n v="72"/>
    <n v="3"/>
    <n v="2"/>
    <x v="4"/>
    <n v="4"/>
    <x v="0"/>
    <s v="Divorced"/>
    <x v="1025"/>
    <x v="0"/>
    <n v="8841"/>
    <n v="3"/>
    <s v="Y"/>
    <x v="0"/>
    <n v="18"/>
    <x v="2"/>
    <x v="0"/>
    <n v="3"/>
    <n v="80"/>
    <n v="0"/>
    <n v="8"/>
    <n v="2"/>
    <n v="3"/>
    <x v="4"/>
    <n v="2"/>
    <n v="2"/>
    <n v="2"/>
    <n v="3"/>
    <x v="2"/>
    <s v=""/>
    <s v=""/>
    <s v=""/>
  </r>
  <r>
    <x v="28"/>
    <x v="1"/>
    <x v="1"/>
    <n v="0"/>
    <s v="Travel_Rarely"/>
    <n v="538"/>
    <x v="1"/>
    <n v="1"/>
    <n v="4"/>
    <s v="Technical Degree"/>
    <n v="1"/>
    <x v="1099"/>
    <n v="1"/>
    <x v="3"/>
    <x v="1"/>
    <n v="66"/>
    <n v="3"/>
    <n v="3"/>
    <x v="4"/>
    <n v="2"/>
    <x v="1"/>
    <s v="Divorced"/>
    <x v="1026"/>
    <x v="0"/>
    <n v="20933"/>
    <n v="1"/>
    <s v="Y"/>
    <x v="1"/>
    <n v="12"/>
    <x v="0"/>
    <x v="0"/>
    <n v="1"/>
    <n v="80"/>
    <n v="3"/>
    <n v="10"/>
    <n v="4"/>
    <n v="3"/>
    <x v="1"/>
    <n v="8"/>
    <n v="7"/>
    <n v="7"/>
    <n v="1"/>
    <x v="1"/>
    <s v=""/>
    <s v=""/>
    <s v=""/>
  </r>
  <r>
    <x v="10"/>
    <x v="0"/>
    <x v="1"/>
    <n v="0"/>
    <s v="Travel_Rarely"/>
    <n v="1402"/>
    <x v="0"/>
    <n v="28"/>
    <n v="4"/>
    <s v="Life Sciences"/>
    <n v="1"/>
    <x v="1100"/>
    <n v="2"/>
    <x v="0"/>
    <x v="0"/>
    <n v="98"/>
    <n v="2"/>
    <n v="1"/>
    <x v="6"/>
    <n v="3"/>
    <x v="2"/>
    <s v="Married"/>
    <x v="1027"/>
    <x v="1"/>
    <n v="26204"/>
    <n v="0"/>
    <s v="Y"/>
    <x v="1"/>
    <n v="23"/>
    <x v="1"/>
    <x v="1"/>
    <n v="1"/>
    <n v="80"/>
    <n v="2"/>
    <n v="6"/>
    <n v="5"/>
    <n v="3"/>
    <x v="8"/>
    <n v="3"/>
    <n v="4"/>
    <n v="2"/>
    <n v="4"/>
    <x v="2"/>
    <s v=""/>
    <s v=""/>
    <s v=""/>
  </r>
  <r>
    <x v="5"/>
    <x v="2"/>
    <x v="1"/>
    <n v="0"/>
    <s v="Travel_Rarely"/>
    <n v="824"/>
    <x v="1"/>
    <n v="5"/>
    <n v="2"/>
    <s v="Life Sciences"/>
    <n v="1"/>
    <x v="1101"/>
    <n v="4"/>
    <x v="2"/>
    <x v="0"/>
    <n v="67"/>
    <n v="2"/>
    <n v="2"/>
    <x v="1"/>
    <n v="2"/>
    <x v="1"/>
    <s v="Married"/>
    <x v="1028"/>
    <x v="0"/>
    <n v="15624"/>
    <n v="3"/>
    <s v="Y"/>
    <x v="1"/>
    <n v="12"/>
    <x v="0"/>
    <x v="0"/>
    <n v="1"/>
    <n v="80"/>
    <n v="1"/>
    <n v="12"/>
    <n v="2"/>
    <n v="3"/>
    <x v="5"/>
    <n v="1"/>
    <n v="2"/>
    <n v="5"/>
    <n v="2"/>
    <x v="1"/>
    <s v=""/>
    <s v=""/>
    <s v=""/>
  </r>
  <r>
    <x v="9"/>
    <x v="0"/>
    <x v="1"/>
    <n v="0"/>
    <s v="Travel_Rarely"/>
    <n v="1157"/>
    <x v="0"/>
    <n v="2"/>
    <n v="4"/>
    <s v="Life Sciences"/>
    <n v="1"/>
    <x v="1102"/>
    <n v="3"/>
    <x v="1"/>
    <x v="1"/>
    <n v="70"/>
    <n v="3"/>
    <n v="1"/>
    <x v="6"/>
    <n v="4"/>
    <x v="0"/>
    <s v="Single"/>
    <x v="1029"/>
    <x v="1"/>
    <n v="17001"/>
    <n v="3"/>
    <s v="Y"/>
    <x v="0"/>
    <n v="21"/>
    <x v="1"/>
    <x v="1"/>
    <n v="4"/>
    <n v="80"/>
    <n v="0"/>
    <n v="7"/>
    <n v="3"/>
    <n v="2"/>
    <x v="11"/>
    <n v="2"/>
    <n v="1"/>
    <n v="2"/>
    <n v="6"/>
    <x v="3"/>
    <n v="57"/>
    <s v=""/>
    <n v="58444"/>
  </r>
  <r>
    <x v="26"/>
    <x v="1"/>
    <x v="1"/>
    <n v="0"/>
    <s v="Travel_Rarely"/>
    <n v="492"/>
    <x v="0"/>
    <n v="16"/>
    <n v="4"/>
    <s v="Life Sciences"/>
    <n v="1"/>
    <x v="1103"/>
    <n v="3"/>
    <x v="1"/>
    <x v="0"/>
    <n v="96"/>
    <n v="3"/>
    <n v="2"/>
    <x v="0"/>
    <n v="3"/>
    <x v="2"/>
    <s v="Divorced"/>
    <x v="1030"/>
    <x v="0"/>
    <n v="13693"/>
    <n v="8"/>
    <s v="Y"/>
    <x v="1"/>
    <n v="14"/>
    <x v="0"/>
    <x v="0"/>
    <n v="3"/>
    <n v="80"/>
    <n v="1"/>
    <n v="18"/>
    <n v="2"/>
    <n v="3"/>
    <x v="3"/>
    <n v="7"/>
    <n v="7"/>
    <n v="7"/>
    <n v="1"/>
    <x v="1"/>
    <s v=""/>
    <s v=""/>
    <s v=""/>
  </r>
  <r>
    <x v="11"/>
    <x v="2"/>
    <x v="1"/>
    <n v="0"/>
    <s v="Travel_Rarely"/>
    <n v="598"/>
    <x v="1"/>
    <n v="9"/>
    <n v="3"/>
    <s v="Life Sciences"/>
    <n v="1"/>
    <x v="1104"/>
    <n v="3"/>
    <x v="1"/>
    <x v="1"/>
    <n v="91"/>
    <n v="4"/>
    <n v="1"/>
    <x v="1"/>
    <n v="3"/>
    <x v="2"/>
    <s v="Married"/>
    <x v="163"/>
    <x v="1"/>
    <n v="22376"/>
    <n v="6"/>
    <s v="Y"/>
    <x v="1"/>
    <n v="18"/>
    <x v="2"/>
    <x v="0"/>
    <n v="1"/>
    <n v="80"/>
    <n v="2"/>
    <n v="5"/>
    <n v="2"/>
    <n v="2"/>
    <x v="6"/>
    <n v="0"/>
    <n v="0"/>
    <n v="0"/>
    <n v="3"/>
    <x v="2"/>
    <s v=""/>
    <s v=""/>
    <s v=""/>
  </r>
  <r>
    <x v="3"/>
    <x v="2"/>
    <x v="1"/>
    <n v="0"/>
    <s v="Travel_Rarely"/>
    <n v="1242"/>
    <x v="0"/>
    <n v="8"/>
    <n v="4"/>
    <s v="Life Sciences"/>
    <n v="1"/>
    <x v="1105"/>
    <n v="1"/>
    <x v="3"/>
    <x v="1"/>
    <n v="46"/>
    <n v="3"/>
    <n v="2"/>
    <x v="0"/>
    <n v="1"/>
    <x v="3"/>
    <s v="Married"/>
    <x v="1031"/>
    <x v="0"/>
    <n v="10589"/>
    <n v="2"/>
    <s v="Y"/>
    <x v="1"/>
    <n v="13"/>
    <x v="0"/>
    <x v="0"/>
    <n v="4"/>
    <n v="80"/>
    <n v="1"/>
    <n v="8"/>
    <n v="6"/>
    <n v="1"/>
    <x v="4"/>
    <n v="2"/>
    <n v="2"/>
    <n v="2"/>
    <n v="4"/>
    <x v="2"/>
    <s v=""/>
    <s v=""/>
    <s v=""/>
  </r>
  <r>
    <x v="7"/>
    <x v="2"/>
    <x v="0"/>
    <n v="1"/>
    <s v="Travel_Rarely"/>
    <n v="740"/>
    <x v="0"/>
    <n v="1"/>
    <n v="3"/>
    <s v="Life Sciences"/>
    <n v="1"/>
    <x v="1106"/>
    <n v="2"/>
    <x v="0"/>
    <x v="1"/>
    <n v="64"/>
    <n v="2"/>
    <n v="2"/>
    <x v="0"/>
    <n v="1"/>
    <x v="3"/>
    <s v="Married"/>
    <x v="1032"/>
    <x v="2"/>
    <n v="5323"/>
    <n v="1"/>
    <s v="Y"/>
    <x v="1"/>
    <n v="11"/>
    <x v="0"/>
    <x v="0"/>
    <n v="4"/>
    <n v="80"/>
    <n v="1"/>
    <n v="10"/>
    <n v="4"/>
    <n v="3"/>
    <x v="1"/>
    <n v="8"/>
    <n v="6"/>
    <n v="7"/>
    <s v=""/>
    <x v="0"/>
    <s v=""/>
    <s v=""/>
    <s v=""/>
  </r>
  <r>
    <x v="8"/>
    <x v="0"/>
    <x v="1"/>
    <n v="0"/>
    <s v="Travel_Frequently"/>
    <n v="888"/>
    <x v="2"/>
    <n v="10"/>
    <n v="4"/>
    <s v="Human Resources"/>
    <n v="1"/>
    <x v="1107"/>
    <n v="3"/>
    <x v="1"/>
    <x v="1"/>
    <n v="71"/>
    <n v="3"/>
    <n v="2"/>
    <x v="8"/>
    <n v="3"/>
    <x v="2"/>
    <s v="Married"/>
    <x v="1033"/>
    <x v="0"/>
    <n v="14814"/>
    <n v="3"/>
    <s v="Y"/>
    <x v="1"/>
    <n v="11"/>
    <x v="0"/>
    <x v="0"/>
    <n v="3"/>
    <n v="80"/>
    <n v="0"/>
    <n v="10"/>
    <n v="2"/>
    <n v="3"/>
    <x v="0"/>
    <n v="3"/>
    <n v="1"/>
    <n v="2"/>
    <n v="2"/>
    <x v="1"/>
    <s v=""/>
    <s v=""/>
    <s v=""/>
  </r>
  <r>
    <x v="10"/>
    <x v="0"/>
    <x v="1"/>
    <n v="0"/>
    <s v="Travel_Rarely"/>
    <n v="992"/>
    <x v="1"/>
    <n v="1"/>
    <n v="3"/>
    <s v="Medical"/>
    <n v="1"/>
    <x v="1108"/>
    <n v="4"/>
    <x v="2"/>
    <x v="1"/>
    <n v="68"/>
    <n v="2"/>
    <n v="1"/>
    <x v="2"/>
    <n v="1"/>
    <x v="3"/>
    <s v="Single"/>
    <x v="533"/>
    <x v="1"/>
    <n v="21731"/>
    <n v="1"/>
    <s v="Y"/>
    <x v="1"/>
    <n v="19"/>
    <x v="2"/>
    <x v="0"/>
    <n v="2"/>
    <n v="80"/>
    <n v="0"/>
    <n v="3"/>
    <n v="3"/>
    <n v="3"/>
    <x v="11"/>
    <n v="0"/>
    <n v="1"/>
    <n v="2"/>
    <n v="5"/>
    <x v="2"/>
    <s v=""/>
    <s v=""/>
    <s v=""/>
  </r>
  <r>
    <x v="7"/>
    <x v="2"/>
    <x v="1"/>
    <n v="0"/>
    <s v="Travel_Rarely"/>
    <n v="1288"/>
    <x v="0"/>
    <n v="29"/>
    <n v="4"/>
    <s v="Technical Degree"/>
    <n v="1"/>
    <x v="1109"/>
    <n v="3"/>
    <x v="1"/>
    <x v="1"/>
    <n v="33"/>
    <n v="3"/>
    <n v="3"/>
    <x v="0"/>
    <n v="2"/>
    <x v="1"/>
    <s v="Married"/>
    <x v="1034"/>
    <x v="2"/>
    <n v="17799"/>
    <n v="3"/>
    <s v="Y"/>
    <x v="1"/>
    <n v="12"/>
    <x v="0"/>
    <x v="0"/>
    <n v="2"/>
    <n v="80"/>
    <n v="1"/>
    <n v="9"/>
    <n v="3"/>
    <n v="3"/>
    <x v="9"/>
    <n v="2"/>
    <n v="1"/>
    <n v="3"/>
    <n v="1"/>
    <x v="1"/>
    <s v=""/>
    <s v=""/>
    <s v=""/>
  </r>
  <r>
    <x v="10"/>
    <x v="0"/>
    <x v="0"/>
    <n v="1"/>
    <s v="Travel_Rarely"/>
    <n v="104"/>
    <x v="1"/>
    <n v="2"/>
    <n v="3"/>
    <s v="Life Sciences"/>
    <n v="1"/>
    <x v="1110"/>
    <n v="1"/>
    <x v="3"/>
    <x v="0"/>
    <n v="69"/>
    <n v="3"/>
    <n v="1"/>
    <x v="2"/>
    <n v="1"/>
    <x v="3"/>
    <s v="Divorced"/>
    <x v="1035"/>
    <x v="1"/>
    <n v="26619"/>
    <n v="1"/>
    <s v="Y"/>
    <x v="0"/>
    <n v="12"/>
    <x v="0"/>
    <x v="0"/>
    <n v="4"/>
    <n v="80"/>
    <n v="1"/>
    <n v="1"/>
    <n v="2"/>
    <n v="3"/>
    <x v="6"/>
    <n v="0"/>
    <n v="0"/>
    <n v="0"/>
    <s v=""/>
    <x v="0"/>
    <s v=""/>
    <s v=""/>
    <s v=""/>
  </r>
  <r>
    <x v="16"/>
    <x v="1"/>
    <x v="0"/>
    <n v="1"/>
    <s v="Travel_Rarely"/>
    <n v="607"/>
    <x v="1"/>
    <n v="2"/>
    <n v="5"/>
    <s v="Technical Degree"/>
    <n v="1"/>
    <x v="1111"/>
    <n v="3"/>
    <x v="1"/>
    <x v="0"/>
    <n v="78"/>
    <n v="2"/>
    <n v="3"/>
    <x v="3"/>
    <n v="4"/>
    <x v="0"/>
    <s v="Married"/>
    <x v="1036"/>
    <x v="2"/>
    <n v="14618"/>
    <n v="0"/>
    <s v="Y"/>
    <x v="1"/>
    <n v="16"/>
    <x v="2"/>
    <x v="0"/>
    <n v="2"/>
    <n v="80"/>
    <n v="1"/>
    <n v="34"/>
    <n v="4"/>
    <n v="3"/>
    <x v="26"/>
    <n v="7"/>
    <n v="1"/>
    <n v="9"/>
    <s v=""/>
    <x v="0"/>
    <s v=""/>
    <s v=""/>
    <s v=""/>
  </r>
  <r>
    <x v="8"/>
    <x v="0"/>
    <x v="0"/>
    <n v="1"/>
    <s v="Travel_Rarely"/>
    <n v="903"/>
    <x v="1"/>
    <n v="2"/>
    <n v="3"/>
    <s v="Medical"/>
    <n v="1"/>
    <x v="1112"/>
    <n v="3"/>
    <x v="1"/>
    <x v="1"/>
    <n v="81"/>
    <n v="3"/>
    <n v="2"/>
    <x v="3"/>
    <n v="2"/>
    <x v="1"/>
    <s v="Married"/>
    <x v="1037"/>
    <x v="0"/>
    <n v="7653"/>
    <n v="4"/>
    <s v="Y"/>
    <x v="1"/>
    <n v="11"/>
    <x v="0"/>
    <x v="0"/>
    <n v="1"/>
    <n v="80"/>
    <n v="2"/>
    <n v="7"/>
    <n v="2"/>
    <n v="3"/>
    <x v="8"/>
    <n v="2"/>
    <n v="1"/>
    <n v="4"/>
    <s v=""/>
    <x v="0"/>
    <s v=""/>
    <s v=""/>
    <s v=""/>
  </r>
  <r>
    <x v="5"/>
    <x v="2"/>
    <x v="1"/>
    <n v="0"/>
    <s v="Non-Travel"/>
    <n v="1200"/>
    <x v="1"/>
    <n v="1"/>
    <n v="4"/>
    <s v="Technical Degree"/>
    <n v="1"/>
    <x v="1113"/>
    <n v="4"/>
    <x v="2"/>
    <x v="1"/>
    <n v="62"/>
    <n v="3"/>
    <n v="2"/>
    <x v="1"/>
    <n v="1"/>
    <x v="3"/>
    <s v="Married"/>
    <x v="1038"/>
    <x v="0"/>
    <n v="25174"/>
    <n v="4"/>
    <s v="Y"/>
    <x v="1"/>
    <n v="14"/>
    <x v="0"/>
    <x v="0"/>
    <n v="2"/>
    <n v="80"/>
    <n v="1"/>
    <n v="9"/>
    <n v="3"/>
    <n v="2"/>
    <x v="0"/>
    <n v="5"/>
    <n v="1"/>
    <n v="2"/>
    <n v="4"/>
    <x v="2"/>
    <s v=""/>
    <s v=""/>
    <s v=""/>
  </r>
  <r>
    <x v="26"/>
    <x v="1"/>
    <x v="1"/>
    <n v="0"/>
    <s v="Travel_Rarely"/>
    <n v="1108"/>
    <x v="1"/>
    <n v="15"/>
    <n v="4"/>
    <s v="Other"/>
    <n v="1"/>
    <x v="1114"/>
    <n v="3"/>
    <x v="1"/>
    <x v="0"/>
    <n v="65"/>
    <n v="3"/>
    <n v="1"/>
    <x v="1"/>
    <n v="1"/>
    <x v="3"/>
    <s v="Married"/>
    <x v="1039"/>
    <x v="1"/>
    <n v="16530"/>
    <n v="8"/>
    <s v="Y"/>
    <x v="1"/>
    <n v="12"/>
    <x v="0"/>
    <x v="0"/>
    <n v="4"/>
    <n v="80"/>
    <n v="1"/>
    <n v="10"/>
    <n v="3"/>
    <n v="2"/>
    <x v="3"/>
    <n v="2"/>
    <n v="7"/>
    <n v="6"/>
    <n v="4"/>
    <x v="2"/>
    <s v=""/>
    <s v=""/>
    <s v=""/>
  </r>
  <r>
    <x v="13"/>
    <x v="2"/>
    <x v="1"/>
    <n v="0"/>
    <s v="Travel_Rarely"/>
    <n v="479"/>
    <x v="1"/>
    <n v="7"/>
    <n v="4"/>
    <s v="Medical"/>
    <n v="1"/>
    <x v="1115"/>
    <n v="1"/>
    <x v="3"/>
    <x v="1"/>
    <n v="35"/>
    <n v="3"/>
    <n v="1"/>
    <x v="1"/>
    <n v="4"/>
    <x v="0"/>
    <s v="Single"/>
    <x v="1040"/>
    <x v="1"/>
    <n v="22061"/>
    <n v="1"/>
    <s v="Y"/>
    <x v="1"/>
    <n v="13"/>
    <x v="0"/>
    <x v="0"/>
    <n v="3"/>
    <n v="80"/>
    <n v="0"/>
    <n v="1"/>
    <n v="4"/>
    <n v="1"/>
    <x v="6"/>
    <n v="0"/>
    <n v="0"/>
    <n v="0"/>
    <n v="3"/>
    <x v="2"/>
    <s v=""/>
    <s v=""/>
    <s v=""/>
  </r>
  <r>
    <x v="27"/>
    <x v="3"/>
    <x v="1"/>
    <n v="0"/>
    <s v="Travel_Rarely"/>
    <n v="685"/>
    <x v="0"/>
    <n v="26"/>
    <n v="5"/>
    <s v="Marketing"/>
    <n v="1"/>
    <x v="1116"/>
    <n v="3"/>
    <x v="1"/>
    <x v="1"/>
    <n v="60"/>
    <n v="2"/>
    <n v="5"/>
    <x v="5"/>
    <n v="4"/>
    <x v="0"/>
    <s v="Married"/>
    <x v="1041"/>
    <x v="4"/>
    <n v="23037"/>
    <n v="1"/>
    <s v="Y"/>
    <x v="1"/>
    <n v="21"/>
    <x v="1"/>
    <x v="1"/>
    <n v="3"/>
    <n v="80"/>
    <n v="1"/>
    <n v="36"/>
    <n v="3"/>
    <n v="3"/>
    <x v="28"/>
    <n v="6"/>
    <n v="2"/>
    <n v="13"/>
    <n v="0"/>
    <x v="1"/>
    <s v=""/>
    <s v=""/>
    <s v=""/>
  </r>
  <r>
    <x v="13"/>
    <x v="2"/>
    <x v="1"/>
    <n v="0"/>
    <s v="Travel_Rarely"/>
    <n v="1351"/>
    <x v="1"/>
    <n v="1"/>
    <n v="4"/>
    <s v="Life Sciences"/>
    <n v="1"/>
    <x v="1117"/>
    <n v="2"/>
    <x v="0"/>
    <x v="1"/>
    <n v="45"/>
    <n v="3"/>
    <n v="2"/>
    <x v="1"/>
    <n v="4"/>
    <x v="0"/>
    <s v="Married"/>
    <x v="299"/>
    <x v="0"/>
    <n v="13008"/>
    <n v="9"/>
    <s v="Y"/>
    <x v="1"/>
    <n v="17"/>
    <x v="2"/>
    <x v="0"/>
    <n v="2"/>
    <n v="80"/>
    <n v="1"/>
    <n v="9"/>
    <n v="3"/>
    <n v="2"/>
    <x v="4"/>
    <n v="2"/>
    <n v="2"/>
    <n v="1"/>
    <n v="2"/>
    <x v="1"/>
    <s v=""/>
    <s v=""/>
    <s v=""/>
  </r>
  <r>
    <x v="25"/>
    <x v="2"/>
    <x v="1"/>
    <n v="0"/>
    <s v="Travel_Rarely"/>
    <n v="474"/>
    <x v="1"/>
    <n v="3"/>
    <n v="3"/>
    <s v="Life Sciences"/>
    <n v="1"/>
    <x v="1118"/>
    <n v="1"/>
    <x v="3"/>
    <x v="0"/>
    <n v="89"/>
    <n v="3"/>
    <n v="1"/>
    <x v="1"/>
    <n v="4"/>
    <x v="0"/>
    <s v="Married"/>
    <x v="1042"/>
    <x v="1"/>
    <n v="11133"/>
    <n v="1"/>
    <s v="Y"/>
    <x v="1"/>
    <n v="21"/>
    <x v="1"/>
    <x v="1"/>
    <n v="1"/>
    <n v="80"/>
    <n v="0"/>
    <n v="1"/>
    <n v="5"/>
    <n v="3"/>
    <x v="6"/>
    <n v="0"/>
    <n v="0"/>
    <n v="0"/>
    <n v="3"/>
    <x v="2"/>
    <s v=""/>
    <s v=""/>
    <s v=""/>
  </r>
  <r>
    <x v="8"/>
    <x v="0"/>
    <x v="1"/>
    <n v="0"/>
    <s v="Travel_Rarely"/>
    <n v="1245"/>
    <x v="0"/>
    <n v="14"/>
    <n v="3"/>
    <s v="Life Sciences"/>
    <n v="1"/>
    <x v="1119"/>
    <n v="3"/>
    <x v="1"/>
    <x v="1"/>
    <n v="80"/>
    <n v="3"/>
    <n v="2"/>
    <x v="0"/>
    <n v="2"/>
    <x v="1"/>
    <s v="Married"/>
    <x v="1043"/>
    <x v="2"/>
    <n v="12355"/>
    <n v="0"/>
    <s v="Y"/>
    <x v="1"/>
    <n v="11"/>
    <x v="0"/>
    <x v="0"/>
    <n v="4"/>
    <n v="80"/>
    <n v="1"/>
    <n v="10"/>
    <n v="3"/>
    <n v="3"/>
    <x v="7"/>
    <n v="8"/>
    <n v="7"/>
    <n v="7"/>
    <n v="0"/>
    <x v="1"/>
    <s v=""/>
    <s v=""/>
    <s v=""/>
  </r>
  <r>
    <x v="8"/>
    <x v="0"/>
    <x v="1"/>
    <n v="0"/>
    <s v="Travel_Rarely"/>
    <n v="437"/>
    <x v="0"/>
    <n v="16"/>
    <n v="3"/>
    <s v="Life Sciences"/>
    <n v="1"/>
    <x v="1120"/>
    <n v="2"/>
    <x v="0"/>
    <x v="0"/>
    <n v="90"/>
    <n v="3"/>
    <n v="2"/>
    <x v="0"/>
    <n v="2"/>
    <x v="1"/>
    <s v="Single"/>
    <x v="1044"/>
    <x v="0"/>
    <n v="16379"/>
    <n v="2"/>
    <s v="Y"/>
    <x v="1"/>
    <n v="12"/>
    <x v="0"/>
    <x v="0"/>
    <n v="2"/>
    <n v="80"/>
    <n v="0"/>
    <n v="8"/>
    <n v="5"/>
    <n v="4"/>
    <x v="11"/>
    <n v="2"/>
    <n v="1"/>
    <n v="2"/>
    <n v="1"/>
    <x v="1"/>
    <s v=""/>
    <s v=""/>
    <s v=""/>
  </r>
  <r>
    <x v="9"/>
    <x v="0"/>
    <x v="1"/>
    <n v="0"/>
    <s v="Travel_Rarely"/>
    <n v="884"/>
    <x v="0"/>
    <n v="1"/>
    <n v="4"/>
    <s v="Life Sciences"/>
    <n v="1"/>
    <x v="1121"/>
    <n v="2"/>
    <x v="0"/>
    <x v="0"/>
    <n v="73"/>
    <n v="3"/>
    <n v="2"/>
    <x v="0"/>
    <n v="3"/>
    <x v="2"/>
    <s v="Single"/>
    <x v="1045"/>
    <x v="0"/>
    <n v="21447"/>
    <n v="6"/>
    <s v="Y"/>
    <x v="1"/>
    <n v="13"/>
    <x v="0"/>
    <x v="0"/>
    <n v="1"/>
    <n v="80"/>
    <n v="0"/>
    <n v="15"/>
    <n v="5"/>
    <n v="3"/>
    <x v="6"/>
    <n v="0"/>
    <n v="0"/>
    <n v="0"/>
    <n v="1"/>
    <x v="1"/>
    <s v=""/>
    <s v=""/>
    <s v=""/>
  </r>
  <r>
    <x v="11"/>
    <x v="2"/>
    <x v="1"/>
    <n v="0"/>
    <s v="Travel_Rarely"/>
    <n v="1370"/>
    <x v="1"/>
    <n v="3"/>
    <n v="1"/>
    <s v="Medical"/>
    <n v="1"/>
    <x v="1122"/>
    <n v="2"/>
    <x v="0"/>
    <x v="1"/>
    <n v="87"/>
    <n v="3"/>
    <n v="1"/>
    <x v="2"/>
    <n v="1"/>
    <x v="3"/>
    <s v="Single"/>
    <x v="1046"/>
    <x v="0"/>
    <n v="16213"/>
    <n v="1"/>
    <s v="Y"/>
    <x v="0"/>
    <n v="18"/>
    <x v="2"/>
    <x v="0"/>
    <n v="4"/>
    <n v="80"/>
    <n v="0"/>
    <n v="10"/>
    <n v="3"/>
    <n v="3"/>
    <x v="1"/>
    <n v="9"/>
    <n v="1"/>
    <n v="5"/>
    <n v="7"/>
    <x v="3"/>
    <n v="17"/>
    <s v=""/>
    <n v="68414"/>
  </r>
  <r>
    <x v="10"/>
    <x v="0"/>
    <x v="1"/>
    <n v="0"/>
    <s v="Travel_Rarely"/>
    <n v="670"/>
    <x v="1"/>
    <n v="10"/>
    <n v="4"/>
    <s v="Medical"/>
    <n v="1"/>
    <x v="1123"/>
    <n v="1"/>
    <x v="3"/>
    <x v="0"/>
    <n v="51"/>
    <n v="3"/>
    <n v="2"/>
    <x v="4"/>
    <n v="3"/>
    <x v="2"/>
    <s v="Single"/>
    <x v="528"/>
    <x v="0"/>
    <n v="4223"/>
    <n v="3"/>
    <s v="Y"/>
    <x v="0"/>
    <n v="16"/>
    <x v="2"/>
    <x v="0"/>
    <n v="3"/>
    <n v="80"/>
    <n v="0"/>
    <n v="10"/>
    <n v="4"/>
    <n v="3"/>
    <x v="8"/>
    <n v="2"/>
    <n v="0"/>
    <n v="4"/>
    <n v="3"/>
    <x v="2"/>
    <s v=""/>
    <s v=""/>
    <s v=""/>
  </r>
  <r>
    <x v="22"/>
    <x v="0"/>
    <x v="1"/>
    <n v="0"/>
    <s v="Travel_Rarely"/>
    <n v="1462"/>
    <x v="0"/>
    <n v="6"/>
    <n v="3"/>
    <s v="Medical"/>
    <n v="1"/>
    <x v="1124"/>
    <n v="4"/>
    <x v="2"/>
    <x v="1"/>
    <n v="38"/>
    <n v="4"/>
    <n v="3"/>
    <x v="0"/>
    <n v="3"/>
    <x v="2"/>
    <s v="Married"/>
    <x v="1047"/>
    <x v="2"/>
    <n v="4658"/>
    <n v="2"/>
    <s v="Y"/>
    <x v="1"/>
    <n v="11"/>
    <x v="0"/>
    <x v="0"/>
    <n v="1"/>
    <n v="80"/>
    <n v="1"/>
    <n v="11"/>
    <n v="3"/>
    <n v="3"/>
    <x v="5"/>
    <n v="6"/>
    <n v="7"/>
    <n v="6"/>
    <n v="0"/>
    <x v="1"/>
    <s v=""/>
    <s v=""/>
    <s v=""/>
  </r>
  <r>
    <x v="11"/>
    <x v="2"/>
    <x v="1"/>
    <n v="0"/>
    <s v="Travel_Frequently"/>
    <n v="995"/>
    <x v="1"/>
    <n v="2"/>
    <n v="1"/>
    <s v="Life Sciences"/>
    <n v="1"/>
    <x v="1125"/>
    <n v="1"/>
    <x v="3"/>
    <x v="1"/>
    <n v="87"/>
    <n v="3"/>
    <n v="2"/>
    <x v="4"/>
    <n v="4"/>
    <x v="0"/>
    <s v="Divorced"/>
    <x v="1048"/>
    <x v="2"/>
    <n v="24483"/>
    <n v="1"/>
    <s v="Y"/>
    <x v="1"/>
    <n v="19"/>
    <x v="2"/>
    <x v="0"/>
    <n v="4"/>
    <n v="80"/>
    <n v="1"/>
    <n v="6"/>
    <n v="0"/>
    <n v="4"/>
    <x v="0"/>
    <n v="4"/>
    <n v="1"/>
    <n v="3"/>
    <n v="1"/>
    <x v="1"/>
    <s v=""/>
    <s v=""/>
    <s v=""/>
  </r>
  <r>
    <x v="24"/>
    <x v="1"/>
    <x v="1"/>
    <n v="0"/>
    <s v="Travel_Rarely"/>
    <n v="264"/>
    <x v="0"/>
    <n v="9"/>
    <n v="3"/>
    <s v="Marketing"/>
    <n v="1"/>
    <x v="1126"/>
    <n v="3"/>
    <x v="1"/>
    <x v="1"/>
    <n v="59"/>
    <n v="3"/>
    <n v="5"/>
    <x v="5"/>
    <n v="3"/>
    <x v="2"/>
    <s v="Married"/>
    <x v="1049"/>
    <x v="4"/>
    <n v="19519"/>
    <n v="4"/>
    <s v="Y"/>
    <x v="0"/>
    <n v="16"/>
    <x v="2"/>
    <x v="0"/>
    <n v="3"/>
    <n v="80"/>
    <n v="1"/>
    <n v="27"/>
    <n v="2"/>
    <n v="3"/>
    <x v="6"/>
    <n v="0"/>
    <n v="0"/>
    <n v="0"/>
    <n v="2"/>
    <x v="1"/>
    <s v=""/>
    <s v=""/>
    <s v=""/>
  </r>
  <r>
    <x v="30"/>
    <x v="4"/>
    <x v="1"/>
    <n v="0"/>
    <s v="Travel_Rarely"/>
    <n v="977"/>
    <x v="1"/>
    <n v="10"/>
    <n v="3"/>
    <s v="Technical Degree"/>
    <n v="1"/>
    <x v="1127"/>
    <n v="4"/>
    <x v="2"/>
    <x v="1"/>
    <n v="45"/>
    <n v="4"/>
    <n v="1"/>
    <x v="1"/>
    <n v="3"/>
    <x v="2"/>
    <s v="Married"/>
    <x v="97"/>
    <x v="1"/>
    <n v="12826"/>
    <n v="2"/>
    <s v="Y"/>
    <x v="1"/>
    <n v="16"/>
    <x v="2"/>
    <x v="0"/>
    <n v="4"/>
    <n v="80"/>
    <n v="1"/>
    <n v="4"/>
    <n v="2"/>
    <n v="3"/>
    <x v="4"/>
    <n v="2"/>
    <n v="2"/>
    <n v="2"/>
    <n v="4"/>
    <x v="2"/>
    <s v=""/>
    <s v=""/>
    <s v=""/>
  </r>
  <r>
    <x v="9"/>
    <x v="0"/>
    <x v="1"/>
    <n v="0"/>
    <s v="Travel_Frequently"/>
    <n v="1302"/>
    <x v="1"/>
    <n v="6"/>
    <n v="4"/>
    <s v="Life Sciences"/>
    <n v="1"/>
    <x v="1128"/>
    <n v="1"/>
    <x v="3"/>
    <x v="1"/>
    <n v="80"/>
    <n v="4"/>
    <n v="2"/>
    <x v="2"/>
    <n v="1"/>
    <x v="3"/>
    <s v="Married"/>
    <x v="622"/>
    <x v="0"/>
    <n v="19711"/>
    <n v="3"/>
    <s v="Y"/>
    <x v="0"/>
    <n v="13"/>
    <x v="0"/>
    <x v="0"/>
    <n v="4"/>
    <n v="80"/>
    <n v="1"/>
    <n v="9"/>
    <n v="3"/>
    <n v="3"/>
    <x v="11"/>
    <n v="2"/>
    <n v="0"/>
    <n v="2"/>
    <n v="6"/>
    <x v="3"/>
    <n v="58"/>
    <s v=""/>
    <n v="58406"/>
  </r>
  <r>
    <x v="19"/>
    <x v="0"/>
    <x v="1"/>
    <n v="0"/>
    <s v="Travel_Rarely"/>
    <n v="1059"/>
    <x v="1"/>
    <n v="9"/>
    <n v="2"/>
    <s v="Other"/>
    <n v="1"/>
    <x v="1129"/>
    <n v="4"/>
    <x v="2"/>
    <x v="1"/>
    <n v="93"/>
    <n v="2"/>
    <n v="5"/>
    <x v="5"/>
    <n v="4"/>
    <x v="0"/>
    <s v="Single"/>
    <x v="1050"/>
    <x v="4"/>
    <n v="26362"/>
    <n v="8"/>
    <s v="Y"/>
    <x v="1"/>
    <n v="22"/>
    <x v="1"/>
    <x v="1"/>
    <n v="4"/>
    <n v="80"/>
    <n v="0"/>
    <n v="24"/>
    <n v="2"/>
    <n v="3"/>
    <x v="6"/>
    <n v="0"/>
    <n v="0"/>
    <n v="1"/>
    <n v="0"/>
    <x v="1"/>
    <s v=""/>
    <s v=""/>
    <s v=""/>
  </r>
  <r>
    <x v="10"/>
    <x v="0"/>
    <x v="1"/>
    <n v="0"/>
    <s v="Travel_Rarely"/>
    <n v="750"/>
    <x v="1"/>
    <n v="28"/>
    <n v="3"/>
    <s v="Life Sciences"/>
    <n v="1"/>
    <x v="1130"/>
    <n v="2"/>
    <x v="0"/>
    <x v="1"/>
    <n v="46"/>
    <n v="4"/>
    <n v="2"/>
    <x v="2"/>
    <n v="3"/>
    <x v="2"/>
    <s v="Married"/>
    <x v="21"/>
    <x v="1"/>
    <n v="25348"/>
    <n v="1"/>
    <s v="Y"/>
    <x v="1"/>
    <n v="17"/>
    <x v="2"/>
    <x v="0"/>
    <n v="4"/>
    <n v="80"/>
    <n v="2"/>
    <n v="10"/>
    <n v="3"/>
    <n v="2"/>
    <x v="1"/>
    <n v="9"/>
    <n v="6"/>
    <n v="8"/>
    <n v="3"/>
    <x v="2"/>
    <s v=""/>
    <s v=""/>
    <s v=""/>
  </r>
  <r>
    <x v="13"/>
    <x v="2"/>
    <x v="1"/>
    <n v="0"/>
    <s v="Travel_Frequently"/>
    <n v="653"/>
    <x v="1"/>
    <n v="10"/>
    <n v="4"/>
    <s v="Technical Degree"/>
    <n v="1"/>
    <x v="1131"/>
    <n v="4"/>
    <x v="2"/>
    <x v="1"/>
    <n v="92"/>
    <n v="2"/>
    <n v="2"/>
    <x v="4"/>
    <n v="3"/>
    <x v="2"/>
    <s v="Married"/>
    <x v="1051"/>
    <x v="0"/>
    <n v="15332"/>
    <n v="1"/>
    <s v="Y"/>
    <x v="1"/>
    <n v="14"/>
    <x v="0"/>
    <x v="0"/>
    <n v="2"/>
    <n v="80"/>
    <n v="1"/>
    <n v="8"/>
    <n v="3"/>
    <n v="2"/>
    <x v="3"/>
    <n v="2"/>
    <n v="7"/>
    <n v="7"/>
    <n v="2"/>
    <x v="1"/>
    <s v=""/>
    <s v=""/>
    <s v=""/>
  </r>
  <r>
    <x v="32"/>
    <x v="0"/>
    <x v="1"/>
    <n v="0"/>
    <s v="Travel_Rarely"/>
    <n v="118"/>
    <x v="0"/>
    <n v="14"/>
    <n v="2"/>
    <s v="Life Sciences"/>
    <n v="1"/>
    <x v="1132"/>
    <n v="4"/>
    <x v="2"/>
    <x v="0"/>
    <n v="84"/>
    <n v="3"/>
    <n v="2"/>
    <x v="0"/>
    <n v="1"/>
    <x v="3"/>
    <s v="Married"/>
    <x v="912"/>
    <x v="0"/>
    <n v="11262"/>
    <n v="1"/>
    <s v="Y"/>
    <x v="1"/>
    <n v="15"/>
    <x v="0"/>
    <x v="0"/>
    <n v="3"/>
    <n v="80"/>
    <n v="1"/>
    <n v="5"/>
    <n v="2"/>
    <n v="3"/>
    <x v="8"/>
    <n v="4"/>
    <n v="1"/>
    <n v="2"/>
    <n v="3"/>
    <x v="2"/>
    <s v=""/>
    <s v=""/>
    <s v=""/>
  </r>
  <r>
    <x v="23"/>
    <x v="0"/>
    <x v="1"/>
    <n v="0"/>
    <s v="Travel_Rarely"/>
    <n v="990"/>
    <x v="1"/>
    <n v="27"/>
    <n v="3"/>
    <s v="Technical Degree"/>
    <n v="1"/>
    <x v="1133"/>
    <n v="4"/>
    <x v="2"/>
    <x v="1"/>
    <n v="87"/>
    <n v="4"/>
    <n v="1"/>
    <x v="2"/>
    <n v="2"/>
    <x v="1"/>
    <s v="Divorced"/>
    <x v="204"/>
    <x v="0"/>
    <n v="5855"/>
    <n v="5"/>
    <s v="Y"/>
    <x v="1"/>
    <n v="12"/>
    <x v="0"/>
    <x v="0"/>
    <n v="3"/>
    <n v="80"/>
    <n v="1"/>
    <n v="8"/>
    <n v="0"/>
    <n v="3"/>
    <x v="0"/>
    <n v="4"/>
    <n v="0"/>
    <n v="2"/>
    <n v="2"/>
    <x v="1"/>
    <s v=""/>
    <s v=""/>
    <s v=""/>
  </r>
  <r>
    <x v="10"/>
    <x v="0"/>
    <x v="1"/>
    <n v="0"/>
    <s v="Travel_Rarely"/>
    <n v="1349"/>
    <x v="1"/>
    <n v="7"/>
    <n v="2"/>
    <s v="Life Sciences"/>
    <n v="1"/>
    <x v="1134"/>
    <n v="3"/>
    <x v="1"/>
    <x v="1"/>
    <n v="63"/>
    <n v="2"/>
    <n v="1"/>
    <x v="2"/>
    <n v="4"/>
    <x v="0"/>
    <s v="Married"/>
    <x v="1052"/>
    <x v="1"/>
    <n v="7713"/>
    <n v="1"/>
    <s v="Y"/>
    <x v="1"/>
    <n v="18"/>
    <x v="2"/>
    <x v="0"/>
    <n v="4"/>
    <n v="80"/>
    <n v="1"/>
    <n v="1"/>
    <n v="5"/>
    <n v="2"/>
    <x v="6"/>
    <n v="0"/>
    <n v="0"/>
    <n v="1"/>
    <n v="3"/>
    <x v="2"/>
    <s v=""/>
    <s v=""/>
    <s v=""/>
  </r>
  <r>
    <x v="21"/>
    <x v="1"/>
    <x v="1"/>
    <n v="0"/>
    <s v="Travel_Rarely"/>
    <n v="563"/>
    <x v="0"/>
    <n v="1"/>
    <n v="4"/>
    <s v="Life Sciences"/>
    <n v="1"/>
    <x v="1135"/>
    <n v="4"/>
    <x v="2"/>
    <x v="1"/>
    <n v="56"/>
    <n v="4"/>
    <n v="4"/>
    <x v="5"/>
    <n v="1"/>
    <x v="3"/>
    <s v="Single"/>
    <x v="1053"/>
    <x v="4"/>
    <n v="3156"/>
    <n v="1"/>
    <s v="Y"/>
    <x v="1"/>
    <n v="15"/>
    <x v="0"/>
    <x v="0"/>
    <n v="2"/>
    <n v="80"/>
    <n v="0"/>
    <n v="27"/>
    <n v="5"/>
    <n v="1"/>
    <x v="34"/>
    <n v="0"/>
    <n v="0"/>
    <n v="12"/>
    <n v="2"/>
    <x v="1"/>
    <s v=""/>
    <s v=""/>
    <s v=""/>
  </r>
  <r>
    <x v="14"/>
    <x v="2"/>
    <x v="0"/>
    <n v="1"/>
    <s v="Travel_Rarely"/>
    <n v="329"/>
    <x v="1"/>
    <n v="24"/>
    <n v="3"/>
    <s v="Medical"/>
    <n v="1"/>
    <x v="1136"/>
    <n v="3"/>
    <x v="1"/>
    <x v="1"/>
    <n v="51"/>
    <n v="3"/>
    <n v="1"/>
    <x v="2"/>
    <n v="2"/>
    <x v="1"/>
    <s v="Married"/>
    <x v="1054"/>
    <x v="1"/>
    <n v="7324"/>
    <n v="1"/>
    <s v="Y"/>
    <x v="0"/>
    <n v="17"/>
    <x v="2"/>
    <x v="0"/>
    <n v="3"/>
    <n v="80"/>
    <n v="3"/>
    <n v="1"/>
    <n v="3"/>
    <n v="3"/>
    <x v="6"/>
    <n v="1"/>
    <n v="0"/>
    <n v="0"/>
    <s v=""/>
    <x v="0"/>
    <s v=""/>
    <s v=""/>
    <s v=""/>
  </r>
  <r>
    <x v="15"/>
    <x v="4"/>
    <x v="1"/>
    <n v="0"/>
    <s v="Non-Travel"/>
    <n v="457"/>
    <x v="1"/>
    <n v="26"/>
    <n v="2"/>
    <s v="Other"/>
    <n v="1"/>
    <x v="1137"/>
    <n v="2"/>
    <x v="0"/>
    <x v="0"/>
    <n v="85"/>
    <n v="2"/>
    <n v="1"/>
    <x v="1"/>
    <n v="3"/>
    <x v="2"/>
    <s v="Married"/>
    <x v="1055"/>
    <x v="1"/>
    <n v="10293"/>
    <n v="1"/>
    <s v="Y"/>
    <x v="0"/>
    <n v="14"/>
    <x v="0"/>
    <x v="0"/>
    <n v="2"/>
    <n v="80"/>
    <n v="0"/>
    <n v="4"/>
    <n v="2"/>
    <n v="2"/>
    <x v="9"/>
    <n v="2"/>
    <n v="1"/>
    <n v="3"/>
    <n v="6"/>
    <x v="3"/>
    <n v="59"/>
    <s v=""/>
    <n v="58395"/>
  </r>
  <r>
    <x v="24"/>
    <x v="1"/>
    <x v="1"/>
    <n v="0"/>
    <s v="Travel_Frequently"/>
    <n v="1234"/>
    <x v="1"/>
    <n v="20"/>
    <n v="5"/>
    <s v="Medical"/>
    <n v="1"/>
    <x v="1138"/>
    <n v="2"/>
    <x v="0"/>
    <x v="1"/>
    <n v="41"/>
    <n v="3"/>
    <n v="4"/>
    <x v="4"/>
    <n v="3"/>
    <x v="2"/>
    <s v="Married"/>
    <x v="1056"/>
    <x v="2"/>
    <n v="20689"/>
    <n v="2"/>
    <s v="Y"/>
    <x v="0"/>
    <n v="15"/>
    <x v="0"/>
    <x v="0"/>
    <n v="3"/>
    <n v="80"/>
    <n v="1"/>
    <n v="32"/>
    <n v="3"/>
    <n v="3"/>
    <x v="35"/>
    <n v="8"/>
    <n v="12"/>
    <n v="13"/>
    <n v="2"/>
    <x v="1"/>
    <s v=""/>
    <s v=""/>
    <s v=""/>
  </r>
  <r>
    <x v="5"/>
    <x v="2"/>
    <x v="1"/>
    <n v="0"/>
    <s v="Travel_Rarely"/>
    <n v="634"/>
    <x v="1"/>
    <n v="5"/>
    <n v="4"/>
    <s v="Other"/>
    <n v="1"/>
    <x v="1139"/>
    <n v="2"/>
    <x v="0"/>
    <x v="0"/>
    <n v="35"/>
    <n v="4"/>
    <n v="1"/>
    <x v="1"/>
    <n v="4"/>
    <x v="0"/>
    <s v="Married"/>
    <x v="1057"/>
    <x v="1"/>
    <n v="18783"/>
    <n v="3"/>
    <s v="Y"/>
    <x v="1"/>
    <n v="17"/>
    <x v="2"/>
    <x v="0"/>
    <n v="4"/>
    <n v="80"/>
    <n v="2"/>
    <n v="6"/>
    <n v="3"/>
    <n v="3"/>
    <x v="11"/>
    <n v="2"/>
    <n v="0"/>
    <n v="2"/>
    <n v="3"/>
    <x v="2"/>
    <s v=""/>
    <s v=""/>
    <s v=""/>
  </r>
  <r>
    <x v="20"/>
    <x v="0"/>
    <x v="1"/>
    <n v="0"/>
    <s v="Travel_Rarely"/>
    <n v="1313"/>
    <x v="1"/>
    <n v="7"/>
    <n v="3"/>
    <s v="Medical"/>
    <n v="1"/>
    <x v="1140"/>
    <n v="2"/>
    <x v="0"/>
    <x v="0"/>
    <n v="31"/>
    <n v="3"/>
    <n v="5"/>
    <x v="7"/>
    <n v="4"/>
    <x v="0"/>
    <s v="Divorced"/>
    <x v="1058"/>
    <x v="4"/>
    <n v="3549"/>
    <n v="0"/>
    <s v="Y"/>
    <x v="0"/>
    <n v="14"/>
    <x v="0"/>
    <x v="0"/>
    <n v="4"/>
    <n v="80"/>
    <n v="1"/>
    <n v="23"/>
    <n v="4"/>
    <n v="2"/>
    <x v="14"/>
    <n v="7"/>
    <n v="1"/>
    <n v="10"/>
    <n v="2"/>
    <x v="1"/>
    <s v=""/>
    <s v=""/>
    <s v=""/>
  </r>
  <r>
    <x v="7"/>
    <x v="2"/>
    <x v="1"/>
    <n v="0"/>
    <s v="Travel_Rarely"/>
    <n v="241"/>
    <x v="1"/>
    <n v="7"/>
    <n v="3"/>
    <s v="Medical"/>
    <n v="1"/>
    <x v="1141"/>
    <n v="2"/>
    <x v="0"/>
    <x v="1"/>
    <n v="48"/>
    <n v="2"/>
    <n v="1"/>
    <x v="1"/>
    <n v="2"/>
    <x v="1"/>
    <s v="Married"/>
    <x v="1059"/>
    <x v="1"/>
    <n v="5348"/>
    <n v="1"/>
    <s v="Y"/>
    <x v="1"/>
    <n v="12"/>
    <x v="0"/>
    <x v="0"/>
    <n v="2"/>
    <n v="80"/>
    <n v="1"/>
    <n v="6"/>
    <n v="3"/>
    <n v="2"/>
    <x v="0"/>
    <n v="4"/>
    <n v="1"/>
    <n v="1"/>
    <n v="3"/>
    <x v="2"/>
    <s v=""/>
    <s v=""/>
    <s v=""/>
  </r>
  <r>
    <x v="28"/>
    <x v="1"/>
    <x v="1"/>
    <n v="0"/>
    <s v="Travel_Rarely"/>
    <n v="1015"/>
    <x v="1"/>
    <n v="5"/>
    <n v="5"/>
    <s v="Medical"/>
    <n v="1"/>
    <x v="1142"/>
    <n v="3"/>
    <x v="1"/>
    <x v="0"/>
    <n v="50"/>
    <n v="1"/>
    <n v="2"/>
    <x v="2"/>
    <n v="1"/>
    <x v="3"/>
    <s v="Single"/>
    <x v="939"/>
    <x v="0"/>
    <n v="23447"/>
    <n v="1"/>
    <s v="Y"/>
    <x v="0"/>
    <n v="14"/>
    <x v="0"/>
    <x v="0"/>
    <n v="1"/>
    <n v="80"/>
    <n v="0"/>
    <n v="10"/>
    <n v="3"/>
    <n v="3"/>
    <x v="1"/>
    <n v="7"/>
    <n v="1"/>
    <n v="4"/>
    <n v="6"/>
    <x v="3"/>
    <n v="60"/>
    <s v=""/>
    <n v="58389"/>
  </r>
  <r>
    <x v="28"/>
    <x v="1"/>
    <x v="1"/>
    <n v="0"/>
    <s v="Non-Travel"/>
    <n v="336"/>
    <x v="0"/>
    <n v="26"/>
    <n v="3"/>
    <s v="Marketing"/>
    <n v="1"/>
    <x v="1143"/>
    <n v="1"/>
    <x v="3"/>
    <x v="1"/>
    <n v="52"/>
    <n v="2"/>
    <n v="2"/>
    <x v="0"/>
    <n v="1"/>
    <x v="3"/>
    <s v="Married"/>
    <x v="1060"/>
    <x v="0"/>
    <n v="24162"/>
    <n v="1"/>
    <s v="Y"/>
    <x v="1"/>
    <n v="15"/>
    <x v="0"/>
    <x v="0"/>
    <n v="1"/>
    <n v="80"/>
    <n v="1"/>
    <n v="10"/>
    <n v="2"/>
    <n v="3"/>
    <x v="1"/>
    <n v="7"/>
    <n v="4"/>
    <n v="5"/>
    <n v="3"/>
    <x v="2"/>
    <s v=""/>
    <s v=""/>
    <s v=""/>
  </r>
  <r>
    <x v="12"/>
    <x v="2"/>
    <x v="1"/>
    <n v="0"/>
    <s v="Travel_Frequently"/>
    <n v="715"/>
    <x v="0"/>
    <n v="2"/>
    <n v="4"/>
    <s v="Other"/>
    <n v="1"/>
    <x v="1144"/>
    <n v="4"/>
    <x v="2"/>
    <x v="1"/>
    <n v="54"/>
    <n v="3"/>
    <n v="2"/>
    <x v="0"/>
    <n v="1"/>
    <x v="3"/>
    <s v="Single"/>
    <x v="1061"/>
    <x v="0"/>
    <n v="21602"/>
    <n v="7"/>
    <s v="Y"/>
    <x v="1"/>
    <n v="13"/>
    <x v="0"/>
    <x v="0"/>
    <n v="4"/>
    <n v="80"/>
    <n v="0"/>
    <n v="10"/>
    <n v="3"/>
    <n v="3"/>
    <x v="8"/>
    <n v="2"/>
    <n v="0"/>
    <n v="3"/>
    <n v="4"/>
    <x v="2"/>
    <s v=""/>
    <s v=""/>
    <s v=""/>
  </r>
  <r>
    <x v="9"/>
    <x v="0"/>
    <x v="1"/>
    <n v="0"/>
    <s v="Travel_Rarely"/>
    <n v="559"/>
    <x v="1"/>
    <n v="12"/>
    <n v="4"/>
    <s v="Life Sciences"/>
    <n v="1"/>
    <x v="1145"/>
    <n v="3"/>
    <x v="1"/>
    <x v="0"/>
    <n v="76"/>
    <n v="3"/>
    <n v="2"/>
    <x v="3"/>
    <n v="3"/>
    <x v="2"/>
    <s v="Married"/>
    <x v="1062"/>
    <x v="0"/>
    <n v="12421"/>
    <n v="9"/>
    <s v="Y"/>
    <x v="0"/>
    <n v="12"/>
    <x v="0"/>
    <x v="0"/>
    <n v="2"/>
    <n v="80"/>
    <n v="2"/>
    <n v="7"/>
    <n v="2"/>
    <n v="3"/>
    <x v="11"/>
    <n v="2"/>
    <n v="1"/>
    <n v="1"/>
    <n v="3"/>
    <x v="2"/>
    <s v=""/>
    <s v=""/>
    <s v=""/>
  </r>
  <r>
    <x v="13"/>
    <x v="2"/>
    <x v="1"/>
    <n v="0"/>
    <s v="Travel_Frequently"/>
    <n v="426"/>
    <x v="1"/>
    <n v="10"/>
    <n v="4"/>
    <s v="Life Sciences"/>
    <n v="1"/>
    <x v="1146"/>
    <n v="3"/>
    <x v="1"/>
    <x v="1"/>
    <n v="42"/>
    <n v="4"/>
    <n v="2"/>
    <x v="3"/>
    <n v="4"/>
    <x v="0"/>
    <s v="Divorced"/>
    <x v="927"/>
    <x v="0"/>
    <n v="17000"/>
    <n v="1"/>
    <s v="Y"/>
    <x v="1"/>
    <n v="13"/>
    <x v="0"/>
    <x v="0"/>
    <n v="1"/>
    <n v="80"/>
    <n v="1"/>
    <n v="9"/>
    <n v="3"/>
    <n v="3"/>
    <x v="7"/>
    <n v="7"/>
    <n v="7"/>
    <n v="2"/>
    <n v="2"/>
    <x v="1"/>
    <s v=""/>
    <s v=""/>
    <s v=""/>
  </r>
  <r>
    <x v="1"/>
    <x v="1"/>
    <x v="1"/>
    <n v="0"/>
    <s v="Travel_Rarely"/>
    <n v="722"/>
    <x v="1"/>
    <n v="25"/>
    <n v="4"/>
    <s v="Life Sciences"/>
    <n v="1"/>
    <x v="1147"/>
    <n v="3"/>
    <x v="1"/>
    <x v="0"/>
    <n v="84"/>
    <n v="3"/>
    <n v="1"/>
    <x v="2"/>
    <n v="1"/>
    <x v="3"/>
    <s v="Married"/>
    <x v="1063"/>
    <x v="1"/>
    <n v="22102"/>
    <n v="1"/>
    <s v="Y"/>
    <x v="1"/>
    <n v="14"/>
    <x v="0"/>
    <x v="0"/>
    <n v="4"/>
    <n v="80"/>
    <n v="1"/>
    <n v="10"/>
    <n v="3"/>
    <n v="2"/>
    <x v="7"/>
    <n v="6"/>
    <n v="1"/>
    <n v="4"/>
    <n v="5"/>
    <x v="2"/>
    <s v=""/>
    <s v=""/>
    <s v=""/>
  </r>
  <r>
    <x v="22"/>
    <x v="0"/>
    <x v="1"/>
    <n v="0"/>
    <s v="Travel_Rarely"/>
    <n v="1387"/>
    <x v="1"/>
    <n v="10"/>
    <n v="5"/>
    <s v="Medical"/>
    <n v="1"/>
    <x v="1148"/>
    <n v="2"/>
    <x v="0"/>
    <x v="1"/>
    <n v="76"/>
    <n v="3"/>
    <n v="2"/>
    <x v="3"/>
    <n v="1"/>
    <x v="3"/>
    <s v="Married"/>
    <x v="1064"/>
    <x v="0"/>
    <n v="3835"/>
    <n v="2"/>
    <s v="Y"/>
    <x v="1"/>
    <n v="13"/>
    <x v="0"/>
    <x v="0"/>
    <n v="4"/>
    <n v="80"/>
    <n v="3"/>
    <n v="10"/>
    <n v="3"/>
    <n v="3"/>
    <x v="5"/>
    <n v="7"/>
    <n v="7"/>
    <n v="7"/>
    <n v="3"/>
    <x v="2"/>
    <s v=""/>
    <s v=""/>
    <s v=""/>
  </r>
  <r>
    <x v="4"/>
    <x v="2"/>
    <x v="1"/>
    <n v="0"/>
    <s v="Travel_Rarely"/>
    <n v="1302"/>
    <x v="1"/>
    <n v="19"/>
    <n v="3"/>
    <s v="Other"/>
    <n v="1"/>
    <x v="1149"/>
    <n v="4"/>
    <x v="2"/>
    <x v="1"/>
    <n v="67"/>
    <n v="2"/>
    <n v="1"/>
    <x v="2"/>
    <n v="1"/>
    <x v="3"/>
    <s v="Divorced"/>
    <x v="1065"/>
    <x v="0"/>
    <n v="16290"/>
    <n v="1"/>
    <s v="Y"/>
    <x v="1"/>
    <n v="11"/>
    <x v="0"/>
    <x v="0"/>
    <n v="1"/>
    <n v="80"/>
    <n v="2"/>
    <n v="7"/>
    <n v="3"/>
    <n v="3"/>
    <x v="5"/>
    <n v="7"/>
    <n v="0"/>
    <n v="7"/>
    <n v="5"/>
    <x v="2"/>
    <s v=""/>
    <s v=""/>
    <s v=""/>
  </r>
  <r>
    <x v="10"/>
    <x v="0"/>
    <x v="1"/>
    <n v="0"/>
    <s v="Travel_Rarely"/>
    <n v="819"/>
    <x v="1"/>
    <n v="18"/>
    <n v="5"/>
    <s v="Life Sciences"/>
    <n v="1"/>
    <x v="1150"/>
    <n v="2"/>
    <x v="0"/>
    <x v="1"/>
    <n v="48"/>
    <n v="4"/>
    <n v="2"/>
    <x v="1"/>
    <n v="1"/>
    <x v="3"/>
    <s v="Married"/>
    <x v="1066"/>
    <x v="0"/>
    <n v="26312"/>
    <n v="1"/>
    <s v="Y"/>
    <x v="1"/>
    <n v="11"/>
    <x v="0"/>
    <x v="0"/>
    <n v="4"/>
    <n v="80"/>
    <n v="0"/>
    <n v="16"/>
    <n v="2"/>
    <n v="3"/>
    <x v="22"/>
    <n v="15"/>
    <n v="1"/>
    <n v="10"/>
    <n v="3"/>
    <x v="2"/>
    <s v=""/>
    <s v=""/>
    <s v=""/>
  </r>
  <r>
    <x v="14"/>
    <x v="2"/>
    <x v="1"/>
    <n v="0"/>
    <s v="Travel_Rarely"/>
    <n v="580"/>
    <x v="1"/>
    <n v="27"/>
    <n v="3"/>
    <s v="Medical"/>
    <n v="1"/>
    <x v="1151"/>
    <n v="2"/>
    <x v="0"/>
    <x v="0"/>
    <n v="39"/>
    <n v="1"/>
    <n v="2"/>
    <x v="3"/>
    <n v="1"/>
    <x v="3"/>
    <s v="Divorced"/>
    <x v="1067"/>
    <x v="0"/>
    <n v="20460"/>
    <n v="0"/>
    <s v="Y"/>
    <x v="1"/>
    <n v="21"/>
    <x v="1"/>
    <x v="1"/>
    <n v="2"/>
    <n v="80"/>
    <n v="1"/>
    <n v="6"/>
    <n v="5"/>
    <n v="2"/>
    <x v="8"/>
    <n v="3"/>
    <n v="0"/>
    <n v="0"/>
    <n v="4"/>
    <x v="2"/>
    <s v=""/>
    <s v=""/>
    <s v=""/>
  </r>
  <r>
    <x v="18"/>
    <x v="4"/>
    <x v="1"/>
    <n v="0"/>
    <s v="Travel_Rarely"/>
    <n v="546"/>
    <x v="1"/>
    <n v="5"/>
    <n v="1"/>
    <s v="Medical"/>
    <n v="1"/>
    <x v="1152"/>
    <n v="3"/>
    <x v="1"/>
    <x v="1"/>
    <n v="97"/>
    <n v="3"/>
    <n v="1"/>
    <x v="1"/>
    <n v="4"/>
    <x v="0"/>
    <s v="Single"/>
    <x v="1068"/>
    <x v="1"/>
    <n v="26009"/>
    <n v="1"/>
    <s v="Y"/>
    <x v="1"/>
    <n v="18"/>
    <x v="2"/>
    <x v="0"/>
    <n v="3"/>
    <n v="80"/>
    <n v="0"/>
    <n v="3"/>
    <n v="2"/>
    <n v="3"/>
    <x v="4"/>
    <n v="2"/>
    <n v="2"/>
    <n v="2"/>
    <n v="4"/>
    <x v="2"/>
    <s v=""/>
    <s v=""/>
    <s v=""/>
  </r>
  <r>
    <x v="41"/>
    <x v="4"/>
    <x v="0"/>
    <n v="1"/>
    <s v="Travel_Frequently"/>
    <n v="544"/>
    <x v="0"/>
    <n v="3"/>
    <n v="2"/>
    <s v="Medical"/>
    <n v="1"/>
    <x v="1153"/>
    <n v="2"/>
    <x v="0"/>
    <x v="0"/>
    <n v="70"/>
    <n v="3"/>
    <n v="1"/>
    <x v="6"/>
    <n v="4"/>
    <x v="0"/>
    <s v="Single"/>
    <x v="1069"/>
    <x v="1"/>
    <n v="18420"/>
    <n v="1"/>
    <s v="Y"/>
    <x v="0"/>
    <n v="12"/>
    <x v="0"/>
    <x v="0"/>
    <n v="3"/>
    <n v="80"/>
    <n v="0"/>
    <n v="0"/>
    <n v="2"/>
    <n v="4"/>
    <x v="2"/>
    <n v="0"/>
    <n v="0"/>
    <n v="0"/>
    <s v=""/>
    <x v="0"/>
    <s v=""/>
    <s v=""/>
    <s v=""/>
  </r>
  <r>
    <x v="40"/>
    <x v="1"/>
    <x v="1"/>
    <n v="0"/>
    <s v="Travel_Rarely"/>
    <n v="1176"/>
    <x v="2"/>
    <n v="26"/>
    <n v="4"/>
    <s v="Life Sciences"/>
    <n v="1"/>
    <x v="1154"/>
    <n v="4"/>
    <x v="2"/>
    <x v="0"/>
    <n v="98"/>
    <n v="3"/>
    <n v="5"/>
    <x v="5"/>
    <n v="3"/>
    <x v="2"/>
    <s v="Married"/>
    <x v="1070"/>
    <x v="4"/>
    <n v="5220"/>
    <n v="3"/>
    <s v="Y"/>
    <x v="1"/>
    <n v="11"/>
    <x v="0"/>
    <x v="0"/>
    <n v="3"/>
    <n v="80"/>
    <n v="1"/>
    <n v="27"/>
    <n v="2"/>
    <n v="3"/>
    <x v="8"/>
    <n v="2"/>
    <n v="1"/>
    <n v="0"/>
    <n v="0"/>
    <x v="1"/>
    <s v=""/>
    <s v=""/>
    <s v=""/>
  </r>
  <r>
    <x v="22"/>
    <x v="0"/>
    <x v="1"/>
    <n v="0"/>
    <s v="Travel_Rarely"/>
    <n v="170"/>
    <x v="1"/>
    <n v="3"/>
    <n v="2"/>
    <s v="Medical"/>
    <n v="1"/>
    <x v="1155"/>
    <n v="3"/>
    <x v="1"/>
    <x v="1"/>
    <n v="76"/>
    <n v="2"/>
    <n v="2"/>
    <x v="2"/>
    <n v="3"/>
    <x v="2"/>
    <s v="Divorced"/>
    <x v="1071"/>
    <x v="1"/>
    <n v="10302"/>
    <n v="0"/>
    <s v="Y"/>
    <x v="1"/>
    <n v="15"/>
    <x v="0"/>
    <x v="0"/>
    <n v="4"/>
    <n v="80"/>
    <n v="1"/>
    <n v="11"/>
    <n v="3"/>
    <n v="3"/>
    <x v="1"/>
    <n v="8"/>
    <n v="0"/>
    <n v="7"/>
    <n v="3"/>
    <x v="2"/>
    <s v=""/>
    <s v=""/>
    <s v=""/>
  </r>
  <r>
    <x v="32"/>
    <x v="0"/>
    <x v="1"/>
    <n v="0"/>
    <s v="Travel_Rarely"/>
    <n v="884"/>
    <x v="1"/>
    <n v="15"/>
    <n v="3"/>
    <s v="Life Sciences"/>
    <n v="1"/>
    <x v="1156"/>
    <n v="1"/>
    <x v="3"/>
    <x v="0"/>
    <n v="80"/>
    <n v="2"/>
    <n v="3"/>
    <x v="3"/>
    <n v="3"/>
    <x v="2"/>
    <s v="Married"/>
    <x v="1072"/>
    <x v="2"/>
    <n v="25800"/>
    <n v="1"/>
    <s v="Y"/>
    <x v="1"/>
    <n v="13"/>
    <x v="0"/>
    <x v="0"/>
    <n v="4"/>
    <n v="80"/>
    <n v="2"/>
    <n v="18"/>
    <n v="2"/>
    <n v="3"/>
    <x v="29"/>
    <n v="15"/>
    <n v="14"/>
    <n v="12"/>
    <n v="0"/>
    <x v="1"/>
    <s v=""/>
    <s v=""/>
    <s v=""/>
  </r>
  <r>
    <x v="10"/>
    <x v="0"/>
    <x v="1"/>
    <n v="0"/>
    <s v="Non-Travel"/>
    <n v="208"/>
    <x v="1"/>
    <n v="8"/>
    <n v="4"/>
    <s v="Life Sciences"/>
    <n v="1"/>
    <x v="1157"/>
    <n v="3"/>
    <x v="1"/>
    <x v="0"/>
    <n v="52"/>
    <n v="3"/>
    <n v="2"/>
    <x v="4"/>
    <n v="3"/>
    <x v="2"/>
    <s v="Married"/>
    <x v="691"/>
    <x v="0"/>
    <n v="12250"/>
    <n v="1"/>
    <s v="Y"/>
    <x v="1"/>
    <n v="12"/>
    <x v="0"/>
    <x v="0"/>
    <n v="4"/>
    <n v="80"/>
    <n v="1"/>
    <n v="15"/>
    <n v="5"/>
    <n v="3"/>
    <x v="13"/>
    <n v="11"/>
    <n v="2"/>
    <n v="9"/>
    <n v="1"/>
    <x v="1"/>
    <s v=""/>
    <s v=""/>
    <s v=""/>
  </r>
  <r>
    <x v="2"/>
    <x v="0"/>
    <x v="1"/>
    <n v="0"/>
    <s v="Travel_Rarely"/>
    <n v="671"/>
    <x v="1"/>
    <n v="19"/>
    <n v="3"/>
    <s v="Life Sciences"/>
    <n v="1"/>
    <x v="1158"/>
    <n v="3"/>
    <x v="1"/>
    <x v="1"/>
    <n v="85"/>
    <n v="3"/>
    <n v="2"/>
    <x v="3"/>
    <n v="3"/>
    <x v="2"/>
    <s v="Married"/>
    <x v="1073"/>
    <x v="0"/>
    <n v="26493"/>
    <n v="3"/>
    <s v="Y"/>
    <x v="1"/>
    <n v="17"/>
    <x v="2"/>
    <x v="0"/>
    <n v="1"/>
    <n v="80"/>
    <n v="3"/>
    <n v="9"/>
    <n v="2"/>
    <n v="2"/>
    <x v="9"/>
    <n v="3"/>
    <n v="0"/>
    <n v="2"/>
    <n v="1"/>
    <x v="1"/>
    <s v=""/>
    <s v=""/>
    <s v=""/>
  </r>
  <r>
    <x v="22"/>
    <x v="0"/>
    <x v="1"/>
    <n v="0"/>
    <s v="Travel_Frequently"/>
    <n v="711"/>
    <x v="1"/>
    <n v="4"/>
    <n v="3"/>
    <s v="Medical"/>
    <n v="1"/>
    <x v="1159"/>
    <n v="1"/>
    <x v="3"/>
    <x v="0"/>
    <n v="81"/>
    <n v="3"/>
    <n v="2"/>
    <x v="3"/>
    <n v="3"/>
    <x v="2"/>
    <s v="Single"/>
    <x v="1074"/>
    <x v="0"/>
    <n v="3140"/>
    <n v="0"/>
    <s v="Y"/>
    <x v="1"/>
    <n v="13"/>
    <x v="0"/>
    <x v="0"/>
    <n v="4"/>
    <n v="80"/>
    <n v="0"/>
    <n v="10"/>
    <n v="2"/>
    <n v="1"/>
    <x v="7"/>
    <n v="2"/>
    <n v="3"/>
    <n v="8"/>
    <n v="1"/>
    <x v="1"/>
    <s v=""/>
    <s v=""/>
    <s v=""/>
  </r>
  <r>
    <x v="28"/>
    <x v="1"/>
    <x v="1"/>
    <n v="0"/>
    <s v="Travel_Rarely"/>
    <n v="1329"/>
    <x v="1"/>
    <n v="2"/>
    <n v="2"/>
    <s v="Other"/>
    <n v="1"/>
    <x v="1160"/>
    <n v="4"/>
    <x v="2"/>
    <x v="0"/>
    <n v="59"/>
    <n v="2"/>
    <n v="2"/>
    <x v="3"/>
    <n v="4"/>
    <x v="0"/>
    <s v="Divorced"/>
    <x v="1075"/>
    <x v="0"/>
    <n v="5388"/>
    <n v="1"/>
    <s v="Y"/>
    <x v="1"/>
    <n v="19"/>
    <x v="2"/>
    <x v="0"/>
    <n v="1"/>
    <n v="80"/>
    <n v="2"/>
    <n v="10"/>
    <n v="3"/>
    <n v="3"/>
    <x v="1"/>
    <n v="7"/>
    <n v="3"/>
    <n v="9"/>
    <n v="1"/>
    <x v="1"/>
    <s v=""/>
    <s v=""/>
    <s v=""/>
  </r>
  <r>
    <x v="8"/>
    <x v="0"/>
    <x v="1"/>
    <n v="0"/>
    <s v="Travel_Rarely"/>
    <n v="397"/>
    <x v="1"/>
    <n v="2"/>
    <n v="2"/>
    <s v="Medical"/>
    <n v="1"/>
    <x v="1161"/>
    <n v="4"/>
    <x v="2"/>
    <x v="0"/>
    <n v="54"/>
    <n v="2"/>
    <n v="3"/>
    <x v="3"/>
    <n v="3"/>
    <x v="2"/>
    <s v="Married"/>
    <x v="751"/>
    <x v="0"/>
    <n v="14199"/>
    <n v="3"/>
    <s v="Y"/>
    <x v="0"/>
    <n v="19"/>
    <x v="2"/>
    <x v="0"/>
    <n v="4"/>
    <n v="80"/>
    <n v="1"/>
    <n v="10"/>
    <n v="6"/>
    <n v="4"/>
    <x v="8"/>
    <n v="4"/>
    <n v="0"/>
    <n v="2"/>
    <n v="3"/>
    <x v="2"/>
    <s v=""/>
    <s v=""/>
    <s v=""/>
  </r>
  <r>
    <x v="10"/>
    <x v="0"/>
    <x v="0"/>
    <n v="1"/>
    <s v="Travel_Rarely"/>
    <n v="737"/>
    <x v="0"/>
    <n v="10"/>
    <n v="3"/>
    <s v="Medical"/>
    <n v="1"/>
    <x v="1162"/>
    <n v="4"/>
    <x v="2"/>
    <x v="1"/>
    <n v="55"/>
    <n v="2"/>
    <n v="3"/>
    <x v="0"/>
    <n v="1"/>
    <x v="3"/>
    <s v="Married"/>
    <x v="1076"/>
    <x v="2"/>
    <n v="21530"/>
    <n v="9"/>
    <s v="Y"/>
    <x v="1"/>
    <n v="17"/>
    <x v="2"/>
    <x v="0"/>
    <n v="3"/>
    <n v="80"/>
    <n v="0"/>
    <n v="15"/>
    <n v="3"/>
    <n v="3"/>
    <x v="20"/>
    <n v="12"/>
    <n v="6"/>
    <n v="0"/>
    <s v=""/>
    <x v="0"/>
    <s v=""/>
    <s v=""/>
    <s v=""/>
  </r>
  <r>
    <x v="2"/>
    <x v="0"/>
    <x v="1"/>
    <n v="0"/>
    <s v="Travel_Rarely"/>
    <n v="1470"/>
    <x v="1"/>
    <n v="10"/>
    <n v="3"/>
    <s v="Medical"/>
    <n v="1"/>
    <x v="1163"/>
    <n v="2"/>
    <x v="0"/>
    <x v="0"/>
    <n v="71"/>
    <n v="3"/>
    <n v="1"/>
    <x v="1"/>
    <n v="2"/>
    <x v="1"/>
    <s v="Married"/>
    <x v="1077"/>
    <x v="1"/>
    <n v="9953"/>
    <n v="1"/>
    <s v="Y"/>
    <x v="1"/>
    <n v="11"/>
    <x v="0"/>
    <x v="0"/>
    <n v="1"/>
    <n v="80"/>
    <n v="1"/>
    <n v="8"/>
    <n v="2"/>
    <n v="1"/>
    <x v="3"/>
    <n v="4"/>
    <n v="7"/>
    <n v="7"/>
    <n v="2"/>
    <x v="1"/>
    <s v=""/>
    <s v=""/>
    <s v=""/>
  </r>
  <r>
    <x v="32"/>
    <x v="0"/>
    <x v="1"/>
    <n v="0"/>
    <s v="Travel_Rarely"/>
    <n v="448"/>
    <x v="1"/>
    <n v="16"/>
    <n v="3"/>
    <s v="Life Sciences"/>
    <n v="1"/>
    <x v="1164"/>
    <n v="3"/>
    <x v="1"/>
    <x v="0"/>
    <n v="84"/>
    <n v="3"/>
    <n v="3"/>
    <x v="3"/>
    <n v="4"/>
    <x v="0"/>
    <s v="Single"/>
    <x v="1078"/>
    <x v="0"/>
    <n v="19948"/>
    <n v="6"/>
    <s v="Y"/>
    <x v="0"/>
    <n v="15"/>
    <x v="0"/>
    <x v="0"/>
    <n v="4"/>
    <n v="80"/>
    <n v="0"/>
    <n v="18"/>
    <n v="2"/>
    <n v="2"/>
    <x v="9"/>
    <n v="2"/>
    <n v="3"/>
    <n v="3"/>
    <n v="3"/>
    <x v="2"/>
    <s v=""/>
    <s v=""/>
    <s v=""/>
  </r>
  <r>
    <x v="20"/>
    <x v="0"/>
    <x v="1"/>
    <n v="0"/>
    <s v="Travel_Frequently"/>
    <n v="602"/>
    <x v="2"/>
    <n v="1"/>
    <n v="5"/>
    <s v="Human Resources"/>
    <n v="1"/>
    <x v="1165"/>
    <n v="1"/>
    <x v="3"/>
    <x v="1"/>
    <n v="37"/>
    <n v="3"/>
    <n v="2"/>
    <x v="8"/>
    <n v="4"/>
    <x v="0"/>
    <s v="Married"/>
    <x v="1079"/>
    <x v="0"/>
    <n v="10503"/>
    <n v="4"/>
    <s v="Y"/>
    <x v="0"/>
    <n v="11"/>
    <x v="0"/>
    <x v="0"/>
    <n v="3"/>
    <n v="80"/>
    <n v="0"/>
    <n v="14"/>
    <n v="3"/>
    <n v="3"/>
    <x v="1"/>
    <n v="7"/>
    <n v="0"/>
    <n v="2"/>
    <n v="4"/>
    <x v="2"/>
    <s v=""/>
    <s v=""/>
    <s v=""/>
  </r>
  <r>
    <x v="26"/>
    <x v="1"/>
    <x v="1"/>
    <n v="0"/>
    <s v="Travel_Frequently"/>
    <n v="365"/>
    <x v="1"/>
    <n v="4"/>
    <n v="5"/>
    <s v="Medical"/>
    <n v="1"/>
    <x v="1166"/>
    <n v="3"/>
    <x v="1"/>
    <x v="1"/>
    <n v="89"/>
    <n v="2"/>
    <n v="4"/>
    <x v="5"/>
    <n v="4"/>
    <x v="0"/>
    <s v="Married"/>
    <x v="1080"/>
    <x v="3"/>
    <n v="5602"/>
    <n v="2"/>
    <s v="Y"/>
    <x v="1"/>
    <n v="25"/>
    <x v="1"/>
    <x v="1"/>
    <n v="2"/>
    <n v="80"/>
    <n v="1"/>
    <n v="23"/>
    <n v="3"/>
    <n v="3"/>
    <x v="4"/>
    <n v="2"/>
    <n v="2"/>
    <n v="2"/>
    <n v="0"/>
    <x v="1"/>
    <s v=""/>
    <s v=""/>
    <s v=""/>
  </r>
  <r>
    <x v="10"/>
    <x v="0"/>
    <x v="0"/>
    <n v="1"/>
    <s v="Travel_Rarely"/>
    <n v="763"/>
    <x v="0"/>
    <n v="15"/>
    <n v="2"/>
    <s v="Medical"/>
    <n v="1"/>
    <x v="1167"/>
    <n v="1"/>
    <x v="3"/>
    <x v="1"/>
    <n v="59"/>
    <n v="1"/>
    <n v="2"/>
    <x v="0"/>
    <n v="4"/>
    <x v="0"/>
    <s v="Divorced"/>
    <x v="1081"/>
    <x v="0"/>
    <n v="22098"/>
    <n v="6"/>
    <s v="Y"/>
    <x v="0"/>
    <n v="14"/>
    <x v="0"/>
    <x v="0"/>
    <n v="4"/>
    <n v="80"/>
    <n v="2"/>
    <n v="7"/>
    <n v="2"/>
    <n v="2"/>
    <x v="4"/>
    <n v="2"/>
    <n v="2"/>
    <n v="2"/>
    <s v=""/>
    <x v="0"/>
    <s v=""/>
    <s v=""/>
    <s v=""/>
  </r>
  <r>
    <x v="17"/>
    <x v="4"/>
    <x v="1"/>
    <n v="0"/>
    <s v="Travel_Frequently"/>
    <n v="567"/>
    <x v="1"/>
    <n v="2"/>
    <n v="1"/>
    <s v="Technical Degree"/>
    <n v="1"/>
    <x v="1168"/>
    <n v="1"/>
    <x v="3"/>
    <x v="0"/>
    <n v="32"/>
    <n v="3"/>
    <n v="1"/>
    <x v="1"/>
    <n v="4"/>
    <x v="0"/>
    <s v="Single"/>
    <x v="841"/>
    <x v="1"/>
    <n v="17218"/>
    <n v="1"/>
    <s v="Y"/>
    <x v="0"/>
    <n v="13"/>
    <x v="0"/>
    <x v="0"/>
    <n v="3"/>
    <n v="80"/>
    <n v="0"/>
    <n v="6"/>
    <n v="2"/>
    <n v="3"/>
    <x v="0"/>
    <n v="3"/>
    <n v="1"/>
    <n v="3"/>
    <n v="6"/>
    <x v="3"/>
    <n v="61"/>
    <s v=""/>
    <n v="58354"/>
  </r>
  <r>
    <x v="4"/>
    <x v="2"/>
    <x v="1"/>
    <n v="0"/>
    <s v="Travel_Rarely"/>
    <n v="486"/>
    <x v="1"/>
    <n v="8"/>
    <n v="3"/>
    <s v="Medical"/>
    <n v="1"/>
    <x v="1169"/>
    <n v="2"/>
    <x v="0"/>
    <x v="0"/>
    <n v="86"/>
    <n v="4"/>
    <n v="1"/>
    <x v="1"/>
    <n v="3"/>
    <x v="2"/>
    <s v="Married"/>
    <x v="1082"/>
    <x v="1"/>
    <n v="22490"/>
    <n v="7"/>
    <s v="Y"/>
    <x v="1"/>
    <n v="17"/>
    <x v="2"/>
    <x v="0"/>
    <n v="1"/>
    <n v="80"/>
    <n v="0"/>
    <n v="5"/>
    <n v="0"/>
    <n v="3"/>
    <x v="11"/>
    <n v="2"/>
    <n v="0"/>
    <n v="2"/>
    <n v="3"/>
    <x v="2"/>
    <s v=""/>
    <s v=""/>
    <s v=""/>
  </r>
  <r>
    <x v="4"/>
    <x v="2"/>
    <x v="1"/>
    <n v="0"/>
    <s v="Travel_Frequently"/>
    <n v="591"/>
    <x v="1"/>
    <n v="2"/>
    <n v="3"/>
    <s v="Medical"/>
    <n v="1"/>
    <x v="1170"/>
    <n v="4"/>
    <x v="2"/>
    <x v="1"/>
    <n v="87"/>
    <n v="3"/>
    <n v="1"/>
    <x v="1"/>
    <n v="4"/>
    <x v="0"/>
    <s v="Single"/>
    <x v="1083"/>
    <x v="1"/>
    <n v="6297"/>
    <n v="2"/>
    <s v="Y"/>
    <x v="1"/>
    <n v="13"/>
    <x v="0"/>
    <x v="0"/>
    <n v="3"/>
    <n v="80"/>
    <n v="0"/>
    <n v="6"/>
    <n v="0"/>
    <n v="2"/>
    <x v="9"/>
    <n v="2"/>
    <n v="1"/>
    <n v="2"/>
    <n v="3"/>
    <x v="2"/>
    <s v=""/>
    <s v=""/>
    <s v=""/>
  </r>
  <r>
    <x v="32"/>
    <x v="0"/>
    <x v="0"/>
    <n v="1"/>
    <s v="Travel_Rarely"/>
    <n v="1329"/>
    <x v="1"/>
    <n v="7"/>
    <n v="3"/>
    <s v="Life Sciences"/>
    <n v="1"/>
    <x v="1171"/>
    <n v="1"/>
    <x v="3"/>
    <x v="1"/>
    <n v="73"/>
    <n v="3"/>
    <n v="1"/>
    <x v="2"/>
    <n v="1"/>
    <x v="3"/>
    <s v="Single"/>
    <x v="1084"/>
    <x v="1"/>
    <n v="3339"/>
    <n v="3"/>
    <s v="Y"/>
    <x v="0"/>
    <n v="14"/>
    <x v="0"/>
    <x v="0"/>
    <n v="2"/>
    <n v="80"/>
    <n v="0"/>
    <n v="10"/>
    <n v="3"/>
    <n v="1"/>
    <x v="9"/>
    <n v="2"/>
    <n v="0"/>
    <n v="3"/>
    <s v=""/>
    <x v="0"/>
    <s v=""/>
    <s v=""/>
    <s v=""/>
  </r>
  <r>
    <x v="11"/>
    <x v="2"/>
    <x v="1"/>
    <n v="0"/>
    <s v="Travel_Rarely"/>
    <n v="469"/>
    <x v="0"/>
    <n v="10"/>
    <n v="3"/>
    <s v="Medical"/>
    <n v="1"/>
    <x v="1172"/>
    <n v="3"/>
    <x v="1"/>
    <x v="1"/>
    <n v="42"/>
    <n v="2"/>
    <n v="2"/>
    <x v="0"/>
    <n v="3"/>
    <x v="2"/>
    <s v="Single"/>
    <x v="1085"/>
    <x v="0"/>
    <n v="23413"/>
    <n v="9"/>
    <s v="Y"/>
    <x v="1"/>
    <n v="11"/>
    <x v="0"/>
    <x v="0"/>
    <n v="3"/>
    <n v="80"/>
    <n v="0"/>
    <n v="8"/>
    <n v="2"/>
    <n v="3"/>
    <x v="8"/>
    <n v="2"/>
    <n v="1"/>
    <n v="4"/>
    <n v="2"/>
    <x v="1"/>
    <s v=""/>
    <s v=""/>
    <s v=""/>
  </r>
  <r>
    <x v="9"/>
    <x v="0"/>
    <x v="1"/>
    <n v="0"/>
    <s v="Travel_Rarely"/>
    <n v="711"/>
    <x v="1"/>
    <n v="5"/>
    <n v="4"/>
    <s v="Life Sciences"/>
    <n v="1"/>
    <x v="1173"/>
    <n v="2"/>
    <x v="0"/>
    <x v="0"/>
    <n v="42"/>
    <n v="3"/>
    <n v="3"/>
    <x v="4"/>
    <n v="1"/>
    <x v="3"/>
    <s v="Married"/>
    <x v="1086"/>
    <x v="2"/>
    <n v="22792"/>
    <n v="4"/>
    <s v="Y"/>
    <x v="1"/>
    <n v="12"/>
    <x v="0"/>
    <x v="0"/>
    <n v="3"/>
    <n v="80"/>
    <n v="2"/>
    <n v="9"/>
    <n v="6"/>
    <n v="3"/>
    <x v="11"/>
    <n v="2"/>
    <n v="0"/>
    <n v="2"/>
    <n v="2"/>
    <x v="1"/>
    <s v=""/>
    <s v=""/>
    <s v=""/>
  </r>
  <r>
    <x v="36"/>
    <x v="2"/>
    <x v="1"/>
    <n v="0"/>
    <s v="Travel_Frequently"/>
    <n v="772"/>
    <x v="1"/>
    <n v="2"/>
    <n v="1"/>
    <s v="Life Sciences"/>
    <n v="1"/>
    <x v="1174"/>
    <n v="4"/>
    <x v="2"/>
    <x v="1"/>
    <n v="77"/>
    <n v="4"/>
    <n v="2"/>
    <x v="3"/>
    <n v="3"/>
    <x v="2"/>
    <s v="Divorced"/>
    <x v="1087"/>
    <x v="0"/>
    <n v="4973"/>
    <n v="1"/>
    <s v="Y"/>
    <x v="1"/>
    <n v="17"/>
    <x v="2"/>
    <x v="0"/>
    <n v="3"/>
    <n v="80"/>
    <n v="2"/>
    <n v="7"/>
    <n v="6"/>
    <n v="3"/>
    <x v="5"/>
    <n v="7"/>
    <n v="0"/>
    <n v="7"/>
    <n v="2"/>
    <x v="1"/>
    <s v=""/>
    <s v=""/>
    <s v=""/>
  </r>
  <r>
    <x v="22"/>
    <x v="0"/>
    <x v="1"/>
    <n v="0"/>
    <s v="Travel_Rarely"/>
    <n v="492"/>
    <x v="1"/>
    <n v="12"/>
    <n v="3"/>
    <s v="Medical"/>
    <n v="1"/>
    <x v="1175"/>
    <n v="4"/>
    <x v="2"/>
    <x v="1"/>
    <n v="66"/>
    <n v="3"/>
    <n v="2"/>
    <x v="3"/>
    <n v="2"/>
    <x v="1"/>
    <s v="Married"/>
    <x v="1088"/>
    <x v="0"/>
    <n v="7693"/>
    <n v="4"/>
    <s v="Y"/>
    <x v="1"/>
    <n v="21"/>
    <x v="1"/>
    <x v="1"/>
    <n v="3"/>
    <n v="80"/>
    <n v="0"/>
    <n v="7"/>
    <n v="3"/>
    <n v="3"/>
    <x v="8"/>
    <n v="4"/>
    <n v="1"/>
    <n v="0"/>
    <n v="1"/>
    <x v="1"/>
    <s v=""/>
    <s v=""/>
    <s v=""/>
  </r>
  <r>
    <x v="1"/>
    <x v="1"/>
    <x v="1"/>
    <n v="0"/>
    <s v="Travel_Rarely"/>
    <n v="301"/>
    <x v="1"/>
    <n v="22"/>
    <n v="4"/>
    <s v="Other"/>
    <n v="1"/>
    <x v="1176"/>
    <n v="1"/>
    <x v="3"/>
    <x v="0"/>
    <n v="72"/>
    <n v="3"/>
    <n v="4"/>
    <x v="7"/>
    <n v="2"/>
    <x v="1"/>
    <s v="Married"/>
    <x v="1089"/>
    <x v="4"/>
    <n v="3498"/>
    <n v="3"/>
    <s v="Y"/>
    <x v="1"/>
    <n v="16"/>
    <x v="2"/>
    <x v="0"/>
    <n v="2"/>
    <n v="80"/>
    <n v="2"/>
    <n v="27"/>
    <n v="2"/>
    <n v="3"/>
    <x v="9"/>
    <n v="2"/>
    <n v="1"/>
    <n v="2"/>
    <n v="0"/>
    <x v="1"/>
    <s v=""/>
    <s v=""/>
    <s v=""/>
  </r>
  <r>
    <x v="24"/>
    <x v="1"/>
    <x v="1"/>
    <n v="0"/>
    <s v="Travel_Rarely"/>
    <n v="813"/>
    <x v="1"/>
    <n v="17"/>
    <n v="5"/>
    <s v="Life Sciences"/>
    <n v="1"/>
    <x v="1177"/>
    <n v="4"/>
    <x v="2"/>
    <x v="0"/>
    <n v="50"/>
    <n v="2"/>
    <n v="3"/>
    <x v="7"/>
    <n v="1"/>
    <x v="3"/>
    <s v="Divorced"/>
    <x v="1090"/>
    <x v="3"/>
    <n v="21981"/>
    <n v="5"/>
    <s v="Y"/>
    <x v="1"/>
    <n v="15"/>
    <x v="0"/>
    <x v="0"/>
    <n v="3"/>
    <n v="80"/>
    <n v="3"/>
    <n v="19"/>
    <n v="3"/>
    <n v="3"/>
    <x v="13"/>
    <n v="11"/>
    <n v="1"/>
    <n v="11"/>
    <n v="2"/>
    <x v="1"/>
    <s v=""/>
    <s v=""/>
    <s v=""/>
  </r>
  <r>
    <x v="35"/>
    <x v="4"/>
    <x v="1"/>
    <n v="0"/>
    <s v="Travel_Rarely"/>
    <n v="1141"/>
    <x v="0"/>
    <n v="2"/>
    <n v="3"/>
    <s v="Medical"/>
    <n v="1"/>
    <x v="1178"/>
    <n v="3"/>
    <x v="1"/>
    <x v="0"/>
    <n v="31"/>
    <n v="3"/>
    <n v="1"/>
    <x v="6"/>
    <n v="3"/>
    <x v="2"/>
    <s v="Single"/>
    <x v="1091"/>
    <x v="1"/>
    <n v="13251"/>
    <n v="1"/>
    <s v="Y"/>
    <x v="1"/>
    <n v="19"/>
    <x v="2"/>
    <x v="0"/>
    <n v="1"/>
    <n v="80"/>
    <n v="0"/>
    <n v="2"/>
    <n v="3"/>
    <n v="3"/>
    <x v="4"/>
    <n v="2"/>
    <n v="2"/>
    <n v="2"/>
    <n v="6"/>
    <x v="3"/>
    <n v="62"/>
    <s v=""/>
    <n v="58343"/>
  </r>
  <r>
    <x v="13"/>
    <x v="2"/>
    <x v="1"/>
    <n v="0"/>
    <s v="Travel_Rarely"/>
    <n v="1130"/>
    <x v="1"/>
    <n v="3"/>
    <n v="3"/>
    <s v="Life Sciences"/>
    <n v="1"/>
    <x v="1179"/>
    <n v="4"/>
    <x v="2"/>
    <x v="0"/>
    <n v="66"/>
    <n v="3"/>
    <n v="2"/>
    <x v="1"/>
    <n v="2"/>
    <x v="1"/>
    <s v="Divorced"/>
    <x v="1092"/>
    <x v="0"/>
    <n v="19332"/>
    <n v="1"/>
    <s v="Y"/>
    <x v="1"/>
    <n v="12"/>
    <x v="0"/>
    <x v="0"/>
    <n v="3"/>
    <n v="80"/>
    <n v="1"/>
    <n v="11"/>
    <n v="2"/>
    <n v="3"/>
    <x v="19"/>
    <n v="8"/>
    <n v="7"/>
    <n v="9"/>
    <n v="2"/>
    <x v="1"/>
    <s v=""/>
    <s v=""/>
    <s v=""/>
  </r>
  <r>
    <x v="9"/>
    <x v="0"/>
    <x v="1"/>
    <n v="0"/>
    <s v="Travel_Rarely"/>
    <n v="311"/>
    <x v="1"/>
    <n v="7"/>
    <n v="3"/>
    <s v="Life Sciences"/>
    <n v="1"/>
    <x v="1180"/>
    <n v="1"/>
    <x v="3"/>
    <x v="1"/>
    <n v="77"/>
    <n v="3"/>
    <n v="1"/>
    <x v="2"/>
    <n v="2"/>
    <x v="1"/>
    <s v="Single"/>
    <x v="1093"/>
    <x v="1"/>
    <n v="10950"/>
    <n v="2"/>
    <s v="Y"/>
    <x v="1"/>
    <n v="11"/>
    <x v="0"/>
    <x v="0"/>
    <n v="3"/>
    <n v="80"/>
    <n v="0"/>
    <n v="15"/>
    <n v="4"/>
    <n v="3"/>
    <x v="9"/>
    <n v="3"/>
    <n v="1"/>
    <n v="3"/>
    <n v="3"/>
    <x v="2"/>
    <s v=""/>
    <s v=""/>
    <s v=""/>
  </r>
  <r>
    <x v="1"/>
    <x v="1"/>
    <x v="1"/>
    <n v="0"/>
    <s v="Travel_Rarely"/>
    <n v="465"/>
    <x v="1"/>
    <n v="6"/>
    <n v="1"/>
    <s v="Life Sciences"/>
    <n v="1"/>
    <x v="1181"/>
    <n v="3"/>
    <x v="1"/>
    <x v="0"/>
    <n v="41"/>
    <n v="2"/>
    <n v="4"/>
    <x v="4"/>
    <n v="3"/>
    <x v="2"/>
    <s v="Married"/>
    <x v="1094"/>
    <x v="3"/>
    <n v="11652"/>
    <n v="2"/>
    <s v="Y"/>
    <x v="0"/>
    <n v="19"/>
    <x v="2"/>
    <x v="0"/>
    <n v="2"/>
    <n v="80"/>
    <n v="1"/>
    <n v="30"/>
    <n v="3"/>
    <n v="3"/>
    <x v="15"/>
    <n v="11"/>
    <n v="2"/>
    <n v="12"/>
    <n v="2"/>
    <x v="1"/>
    <s v=""/>
    <s v=""/>
    <s v=""/>
  </r>
  <r>
    <x v="9"/>
    <x v="0"/>
    <x v="1"/>
    <n v="0"/>
    <s v="Non-Travel"/>
    <n v="894"/>
    <x v="1"/>
    <n v="1"/>
    <n v="4"/>
    <s v="Medical"/>
    <n v="1"/>
    <x v="1182"/>
    <n v="4"/>
    <x v="2"/>
    <x v="0"/>
    <n v="33"/>
    <n v="2"/>
    <n v="2"/>
    <x v="3"/>
    <n v="3"/>
    <x v="2"/>
    <s v="Married"/>
    <x v="1095"/>
    <x v="0"/>
    <n v="15411"/>
    <n v="0"/>
    <s v="Y"/>
    <x v="1"/>
    <n v="15"/>
    <x v="0"/>
    <x v="0"/>
    <n v="3"/>
    <n v="80"/>
    <n v="0"/>
    <n v="4"/>
    <n v="6"/>
    <n v="3"/>
    <x v="11"/>
    <n v="2"/>
    <n v="1"/>
    <n v="2"/>
    <n v="1"/>
    <x v="1"/>
    <s v=""/>
    <s v=""/>
    <s v=""/>
  </r>
  <r>
    <x v="9"/>
    <x v="0"/>
    <x v="1"/>
    <n v="0"/>
    <s v="Travel_Rarely"/>
    <n v="1040"/>
    <x v="1"/>
    <n v="3"/>
    <n v="2"/>
    <s v="Life Sciences"/>
    <n v="1"/>
    <x v="1183"/>
    <n v="4"/>
    <x v="2"/>
    <x v="1"/>
    <n v="79"/>
    <n v="4"/>
    <n v="2"/>
    <x v="4"/>
    <n v="1"/>
    <x v="3"/>
    <s v="Divorced"/>
    <x v="1096"/>
    <x v="0"/>
    <n v="26308"/>
    <n v="6"/>
    <s v="Y"/>
    <x v="1"/>
    <n v="20"/>
    <x v="2"/>
    <x v="1"/>
    <n v="1"/>
    <n v="80"/>
    <n v="1"/>
    <n v="13"/>
    <n v="3"/>
    <n v="3"/>
    <x v="8"/>
    <n v="4"/>
    <n v="0"/>
    <n v="4"/>
    <n v="3"/>
    <x v="2"/>
    <s v=""/>
    <s v=""/>
    <s v=""/>
  </r>
  <r>
    <x v="33"/>
    <x v="1"/>
    <x v="1"/>
    <n v="0"/>
    <s v="Travel_Rarely"/>
    <n v="584"/>
    <x v="1"/>
    <n v="22"/>
    <n v="5"/>
    <s v="Medical"/>
    <n v="1"/>
    <x v="1184"/>
    <n v="2"/>
    <x v="0"/>
    <x v="0"/>
    <n v="91"/>
    <n v="3"/>
    <n v="4"/>
    <x v="5"/>
    <n v="3"/>
    <x v="2"/>
    <s v="Married"/>
    <x v="1097"/>
    <x v="4"/>
    <n v="18685"/>
    <n v="3"/>
    <s v="Y"/>
    <x v="1"/>
    <n v="25"/>
    <x v="1"/>
    <x v="1"/>
    <n v="3"/>
    <n v="80"/>
    <n v="1"/>
    <n v="36"/>
    <n v="6"/>
    <n v="3"/>
    <x v="1"/>
    <n v="8"/>
    <n v="4"/>
    <n v="7"/>
    <n v="0"/>
    <x v="1"/>
    <s v=""/>
    <s v=""/>
    <s v=""/>
  </r>
  <r>
    <x v="23"/>
    <x v="0"/>
    <x v="1"/>
    <n v="0"/>
    <s v="Travel_Rarely"/>
    <n v="1291"/>
    <x v="1"/>
    <n v="15"/>
    <n v="2"/>
    <s v="Life Sciences"/>
    <n v="1"/>
    <x v="1185"/>
    <n v="3"/>
    <x v="1"/>
    <x v="1"/>
    <n v="65"/>
    <n v="2"/>
    <n v="4"/>
    <x v="7"/>
    <n v="3"/>
    <x v="2"/>
    <s v="Married"/>
    <x v="1098"/>
    <x v="4"/>
    <n v="3525"/>
    <n v="1"/>
    <s v="Y"/>
    <x v="1"/>
    <n v="24"/>
    <x v="1"/>
    <x v="1"/>
    <n v="1"/>
    <n v="80"/>
    <n v="1"/>
    <n v="14"/>
    <n v="3"/>
    <n v="3"/>
    <x v="13"/>
    <n v="10"/>
    <n v="6"/>
    <n v="11"/>
    <n v="0"/>
    <x v="1"/>
    <s v=""/>
    <s v=""/>
    <s v=""/>
  </r>
  <r>
    <x v="10"/>
    <x v="0"/>
    <x v="0"/>
    <n v="1"/>
    <s v="Travel_Frequently"/>
    <n v="880"/>
    <x v="0"/>
    <n v="12"/>
    <n v="4"/>
    <s v="Other"/>
    <n v="1"/>
    <x v="1186"/>
    <n v="4"/>
    <x v="2"/>
    <x v="1"/>
    <n v="36"/>
    <n v="3"/>
    <n v="2"/>
    <x v="0"/>
    <n v="4"/>
    <x v="0"/>
    <s v="Single"/>
    <x v="1099"/>
    <x v="0"/>
    <n v="10414"/>
    <n v="3"/>
    <s v="Y"/>
    <x v="0"/>
    <n v="24"/>
    <x v="1"/>
    <x v="1"/>
    <n v="1"/>
    <n v="80"/>
    <n v="0"/>
    <n v="13"/>
    <n v="2"/>
    <n v="4"/>
    <x v="19"/>
    <n v="9"/>
    <n v="6"/>
    <n v="7"/>
    <s v=""/>
    <x v="0"/>
    <s v=""/>
    <s v=""/>
    <s v=""/>
  </r>
  <r>
    <x v="8"/>
    <x v="0"/>
    <x v="1"/>
    <n v="0"/>
    <s v="Travel_Frequently"/>
    <n v="1189"/>
    <x v="1"/>
    <n v="1"/>
    <n v="3"/>
    <s v="Life Sciences"/>
    <n v="1"/>
    <x v="1187"/>
    <n v="4"/>
    <x v="2"/>
    <x v="1"/>
    <n v="90"/>
    <n v="3"/>
    <n v="2"/>
    <x v="1"/>
    <n v="4"/>
    <x v="0"/>
    <s v="Married"/>
    <x v="1100"/>
    <x v="0"/>
    <n v="9867"/>
    <n v="7"/>
    <s v="Y"/>
    <x v="1"/>
    <n v="15"/>
    <x v="0"/>
    <x v="0"/>
    <n v="4"/>
    <n v="80"/>
    <n v="2"/>
    <n v="19"/>
    <n v="4"/>
    <n v="4"/>
    <x v="20"/>
    <n v="11"/>
    <n v="2"/>
    <n v="9"/>
    <n v="1"/>
    <x v="1"/>
    <s v=""/>
    <s v=""/>
    <s v=""/>
  </r>
  <r>
    <x v="11"/>
    <x v="2"/>
    <x v="1"/>
    <n v="0"/>
    <s v="Travel_Rarely"/>
    <n v="991"/>
    <x v="0"/>
    <n v="5"/>
    <n v="3"/>
    <s v="Medical"/>
    <n v="1"/>
    <x v="1188"/>
    <n v="1"/>
    <x v="3"/>
    <x v="1"/>
    <n v="43"/>
    <n v="2"/>
    <n v="2"/>
    <x v="0"/>
    <n v="2"/>
    <x v="1"/>
    <s v="Divorced"/>
    <x v="1101"/>
    <x v="0"/>
    <n v="3356"/>
    <n v="1"/>
    <s v="Y"/>
    <x v="0"/>
    <n v="13"/>
    <x v="0"/>
    <x v="0"/>
    <n v="2"/>
    <n v="80"/>
    <n v="1"/>
    <n v="10"/>
    <n v="3"/>
    <n v="2"/>
    <x v="1"/>
    <n v="0"/>
    <n v="0"/>
    <n v="9"/>
    <n v="4"/>
    <x v="2"/>
    <s v=""/>
    <s v=""/>
    <s v=""/>
  </r>
  <r>
    <x v="3"/>
    <x v="2"/>
    <x v="1"/>
    <n v="0"/>
    <s v="Travel_Rarely"/>
    <n v="392"/>
    <x v="0"/>
    <n v="2"/>
    <n v="4"/>
    <s v="Medical"/>
    <n v="1"/>
    <x v="1189"/>
    <n v="4"/>
    <x v="2"/>
    <x v="1"/>
    <n v="93"/>
    <n v="3"/>
    <n v="2"/>
    <x v="0"/>
    <n v="4"/>
    <x v="0"/>
    <s v="Divorced"/>
    <x v="1102"/>
    <x v="0"/>
    <n v="3921"/>
    <n v="1"/>
    <s v="Y"/>
    <x v="1"/>
    <n v="14"/>
    <x v="0"/>
    <x v="0"/>
    <n v="3"/>
    <n v="80"/>
    <n v="2"/>
    <n v="6"/>
    <n v="5"/>
    <n v="3"/>
    <x v="0"/>
    <n v="2"/>
    <n v="0"/>
    <n v="4"/>
    <n v="2"/>
    <x v="1"/>
    <s v=""/>
    <s v=""/>
    <s v=""/>
  </r>
  <r>
    <x v="5"/>
    <x v="2"/>
    <x v="1"/>
    <n v="0"/>
    <s v="Travel_Rarely"/>
    <n v="977"/>
    <x v="1"/>
    <n v="2"/>
    <n v="3"/>
    <s v="Medical"/>
    <n v="1"/>
    <x v="1190"/>
    <n v="4"/>
    <x v="2"/>
    <x v="1"/>
    <n v="45"/>
    <n v="3"/>
    <n v="2"/>
    <x v="1"/>
    <n v="2"/>
    <x v="1"/>
    <s v="Divorced"/>
    <x v="1103"/>
    <x v="0"/>
    <n v="25518"/>
    <n v="0"/>
    <s v="Y"/>
    <x v="1"/>
    <n v="13"/>
    <x v="0"/>
    <x v="0"/>
    <n v="3"/>
    <n v="80"/>
    <n v="2"/>
    <n v="10"/>
    <n v="4"/>
    <n v="2"/>
    <x v="7"/>
    <n v="5"/>
    <n v="1"/>
    <n v="6"/>
    <n v="2"/>
    <x v="1"/>
    <s v=""/>
    <s v=""/>
    <s v=""/>
  </r>
  <r>
    <x v="12"/>
    <x v="2"/>
    <x v="1"/>
    <n v="0"/>
    <s v="Travel_Rarely"/>
    <n v="1112"/>
    <x v="0"/>
    <n v="5"/>
    <n v="4"/>
    <s v="Life Sciences"/>
    <n v="1"/>
    <x v="1191"/>
    <n v="1"/>
    <x v="3"/>
    <x v="0"/>
    <n v="67"/>
    <n v="3"/>
    <n v="2"/>
    <x v="0"/>
    <n v="4"/>
    <x v="0"/>
    <s v="Married"/>
    <x v="1104"/>
    <x v="0"/>
    <n v="22589"/>
    <n v="1"/>
    <s v="Y"/>
    <x v="1"/>
    <n v="11"/>
    <x v="0"/>
    <x v="0"/>
    <n v="1"/>
    <n v="80"/>
    <n v="2"/>
    <n v="10"/>
    <n v="2"/>
    <n v="3"/>
    <x v="1"/>
    <n v="0"/>
    <n v="0"/>
    <n v="2"/>
    <n v="2"/>
    <x v="1"/>
    <s v=""/>
    <s v=""/>
    <s v=""/>
  </r>
  <r>
    <x v="1"/>
    <x v="1"/>
    <x v="1"/>
    <n v="0"/>
    <s v="Travel_Rarely"/>
    <n v="464"/>
    <x v="1"/>
    <n v="16"/>
    <n v="3"/>
    <s v="Medical"/>
    <n v="1"/>
    <x v="1192"/>
    <n v="4"/>
    <x v="2"/>
    <x v="0"/>
    <n v="74"/>
    <n v="3"/>
    <n v="1"/>
    <x v="2"/>
    <n v="1"/>
    <x v="3"/>
    <s v="Divorced"/>
    <x v="1105"/>
    <x v="1"/>
    <n v="24941"/>
    <n v="4"/>
    <s v="Y"/>
    <x v="0"/>
    <n v="16"/>
    <x v="2"/>
    <x v="0"/>
    <n v="2"/>
    <n v="80"/>
    <n v="1"/>
    <n v="17"/>
    <n v="2"/>
    <n v="2"/>
    <x v="4"/>
    <n v="2"/>
    <n v="2"/>
    <n v="2"/>
    <n v="7"/>
    <x v="3"/>
    <n v="18"/>
    <s v=""/>
    <n v="68326"/>
  </r>
  <r>
    <x v="8"/>
    <x v="0"/>
    <x v="1"/>
    <n v="0"/>
    <s v="Travel_Frequently"/>
    <n v="148"/>
    <x v="1"/>
    <n v="2"/>
    <n v="3"/>
    <s v="Medical"/>
    <n v="1"/>
    <x v="1193"/>
    <n v="4"/>
    <x v="2"/>
    <x v="0"/>
    <n v="42"/>
    <n v="2"/>
    <n v="1"/>
    <x v="2"/>
    <n v="2"/>
    <x v="1"/>
    <s v="Single"/>
    <x v="1106"/>
    <x v="1"/>
    <n v="23826"/>
    <n v="1"/>
    <s v="Y"/>
    <x v="1"/>
    <n v="22"/>
    <x v="1"/>
    <x v="1"/>
    <n v="2"/>
    <n v="80"/>
    <n v="0"/>
    <n v="4"/>
    <n v="3"/>
    <n v="3"/>
    <x v="9"/>
    <n v="3"/>
    <n v="3"/>
    <n v="3"/>
    <n v="3"/>
    <x v="2"/>
    <s v=""/>
    <s v=""/>
    <s v=""/>
  </r>
  <r>
    <x v="40"/>
    <x v="1"/>
    <x v="1"/>
    <n v="0"/>
    <s v="Travel_Rarely"/>
    <n v="1225"/>
    <x v="0"/>
    <n v="2"/>
    <n v="4"/>
    <s v="Life Sciences"/>
    <n v="1"/>
    <x v="1194"/>
    <n v="2"/>
    <x v="0"/>
    <x v="0"/>
    <n v="47"/>
    <n v="4"/>
    <n v="4"/>
    <x v="5"/>
    <n v="2"/>
    <x v="1"/>
    <s v="Divorced"/>
    <x v="1107"/>
    <x v="3"/>
    <n v="21086"/>
    <n v="6"/>
    <s v="Y"/>
    <x v="1"/>
    <n v="14"/>
    <x v="0"/>
    <x v="0"/>
    <n v="3"/>
    <n v="80"/>
    <n v="3"/>
    <n v="29"/>
    <n v="2"/>
    <n v="3"/>
    <x v="11"/>
    <n v="2"/>
    <n v="1"/>
    <n v="2"/>
    <n v="0"/>
    <x v="1"/>
    <s v=""/>
    <s v=""/>
    <s v=""/>
  </r>
  <r>
    <x v="1"/>
    <x v="1"/>
    <x v="1"/>
    <n v="0"/>
    <s v="Travel_Rarely"/>
    <n v="809"/>
    <x v="1"/>
    <n v="1"/>
    <n v="3"/>
    <s v="Life Sciences"/>
    <n v="1"/>
    <x v="1195"/>
    <n v="3"/>
    <x v="1"/>
    <x v="1"/>
    <n v="36"/>
    <n v="3"/>
    <n v="4"/>
    <x v="5"/>
    <n v="3"/>
    <x v="2"/>
    <s v="Single"/>
    <x v="1108"/>
    <x v="3"/>
    <n v="22384"/>
    <n v="4"/>
    <s v="Y"/>
    <x v="1"/>
    <n v="14"/>
    <x v="0"/>
    <x v="0"/>
    <n v="1"/>
    <n v="80"/>
    <n v="0"/>
    <n v="23"/>
    <n v="2"/>
    <n v="3"/>
    <x v="3"/>
    <n v="7"/>
    <n v="0"/>
    <n v="0"/>
    <n v="0"/>
    <x v="1"/>
    <s v=""/>
    <s v=""/>
    <s v=""/>
  </r>
  <r>
    <x v="0"/>
    <x v="0"/>
    <x v="1"/>
    <n v="0"/>
    <s v="Travel_Rarely"/>
    <n v="1206"/>
    <x v="0"/>
    <n v="23"/>
    <n v="2"/>
    <s v="Life Sciences"/>
    <n v="1"/>
    <x v="1196"/>
    <n v="4"/>
    <x v="2"/>
    <x v="1"/>
    <n v="80"/>
    <n v="3"/>
    <n v="3"/>
    <x v="0"/>
    <n v="3"/>
    <x v="2"/>
    <s v="Single"/>
    <x v="1109"/>
    <x v="0"/>
    <n v="11591"/>
    <n v="3"/>
    <s v="Y"/>
    <x v="0"/>
    <n v="16"/>
    <x v="2"/>
    <x v="0"/>
    <n v="4"/>
    <n v="80"/>
    <n v="0"/>
    <n v="21"/>
    <n v="2"/>
    <n v="3"/>
    <x v="4"/>
    <n v="0"/>
    <n v="0"/>
    <n v="2"/>
    <n v="3"/>
    <x v="2"/>
    <s v=""/>
    <s v=""/>
    <s v=""/>
  </r>
  <r>
    <x v="35"/>
    <x v="4"/>
    <x v="1"/>
    <n v="0"/>
    <s v="Travel_Rarely"/>
    <n v="727"/>
    <x v="0"/>
    <n v="9"/>
    <n v="1"/>
    <s v="Life Sciences"/>
    <n v="1"/>
    <x v="1197"/>
    <n v="4"/>
    <x v="2"/>
    <x v="1"/>
    <n v="54"/>
    <n v="3"/>
    <n v="1"/>
    <x v="6"/>
    <n v="1"/>
    <x v="3"/>
    <s v="Single"/>
    <x v="1110"/>
    <x v="1"/>
    <n v="21082"/>
    <n v="1"/>
    <s v="Y"/>
    <x v="1"/>
    <n v="11"/>
    <x v="0"/>
    <x v="0"/>
    <n v="1"/>
    <n v="80"/>
    <n v="0"/>
    <n v="2"/>
    <n v="3"/>
    <n v="3"/>
    <x v="4"/>
    <n v="2"/>
    <n v="0"/>
    <n v="2"/>
    <n v="8"/>
    <x v="3"/>
    <n v="3"/>
    <s v="Top 10"/>
    <n v="78320"/>
  </r>
  <r>
    <x v="3"/>
    <x v="2"/>
    <x v="1"/>
    <n v="0"/>
    <s v="Non-Travel"/>
    <n v="530"/>
    <x v="0"/>
    <n v="16"/>
    <n v="3"/>
    <s v="Life Sciences"/>
    <n v="1"/>
    <x v="1198"/>
    <n v="3"/>
    <x v="1"/>
    <x v="0"/>
    <n v="36"/>
    <n v="3"/>
    <n v="2"/>
    <x v="0"/>
    <n v="4"/>
    <x v="0"/>
    <s v="Divorced"/>
    <x v="1111"/>
    <x v="0"/>
    <n v="16130"/>
    <n v="1"/>
    <s v="Y"/>
    <x v="0"/>
    <n v="25"/>
    <x v="1"/>
    <x v="1"/>
    <n v="3"/>
    <n v="80"/>
    <n v="1"/>
    <n v="7"/>
    <n v="2"/>
    <n v="3"/>
    <x v="0"/>
    <n v="5"/>
    <n v="1"/>
    <n v="2"/>
    <n v="4"/>
    <x v="2"/>
    <s v=""/>
    <s v=""/>
    <s v=""/>
  </r>
  <r>
    <x v="9"/>
    <x v="0"/>
    <x v="1"/>
    <n v="0"/>
    <s v="Travel_Rarely"/>
    <n v="1351"/>
    <x v="1"/>
    <n v="26"/>
    <n v="4"/>
    <s v="Life Sciences"/>
    <n v="1"/>
    <x v="1199"/>
    <n v="1"/>
    <x v="3"/>
    <x v="1"/>
    <n v="80"/>
    <n v="3"/>
    <n v="2"/>
    <x v="4"/>
    <n v="3"/>
    <x v="2"/>
    <s v="Married"/>
    <x v="1112"/>
    <x v="0"/>
    <n v="7419"/>
    <n v="6"/>
    <s v="Y"/>
    <x v="1"/>
    <n v="14"/>
    <x v="0"/>
    <x v="0"/>
    <n v="2"/>
    <n v="80"/>
    <n v="2"/>
    <n v="10"/>
    <n v="2"/>
    <n v="2"/>
    <x v="11"/>
    <n v="2"/>
    <n v="0"/>
    <n v="2"/>
    <n v="1"/>
    <x v="1"/>
    <s v=""/>
    <s v=""/>
    <s v=""/>
  </r>
  <r>
    <x v="20"/>
    <x v="0"/>
    <x v="1"/>
    <n v="0"/>
    <s v="Travel_Rarely"/>
    <n v="528"/>
    <x v="2"/>
    <n v="1"/>
    <n v="3"/>
    <s v="Life Sciences"/>
    <n v="1"/>
    <x v="1200"/>
    <n v="3"/>
    <x v="1"/>
    <x v="0"/>
    <n v="44"/>
    <n v="3"/>
    <n v="1"/>
    <x v="8"/>
    <n v="4"/>
    <x v="0"/>
    <s v="Divorced"/>
    <x v="1113"/>
    <x v="1"/>
    <n v="4167"/>
    <n v="4"/>
    <s v="Y"/>
    <x v="0"/>
    <n v="18"/>
    <x v="2"/>
    <x v="0"/>
    <n v="1"/>
    <n v="80"/>
    <n v="3"/>
    <n v="8"/>
    <n v="2"/>
    <n v="3"/>
    <x v="4"/>
    <n v="2"/>
    <n v="2"/>
    <n v="2"/>
    <n v="5"/>
    <x v="2"/>
    <s v=""/>
    <s v=""/>
    <s v=""/>
  </r>
  <r>
    <x v="30"/>
    <x v="4"/>
    <x v="0"/>
    <n v="1"/>
    <s v="Travel_Rarely"/>
    <n v="1320"/>
    <x v="1"/>
    <n v="8"/>
    <n v="1"/>
    <s v="Medical"/>
    <n v="1"/>
    <x v="1201"/>
    <n v="4"/>
    <x v="2"/>
    <x v="1"/>
    <n v="93"/>
    <n v="2"/>
    <n v="1"/>
    <x v="2"/>
    <n v="3"/>
    <x v="2"/>
    <s v="Single"/>
    <x v="1114"/>
    <x v="1"/>
    <n v="20586"/>
    <n v="1"/>
    <s v="Y"/>
    <x v="0"/>
    <n v="11"/>
    <x v="0"/>
    <x v="0"/>
    <n v="1"/>
    <n v="80"/>
    <n v="0"/>
    <n v="5"/>
    <n v="2"/>
    <n v="3"/>
    <x v="8"/>
    <n v="4"/>
    <n v="1"/>
    <n v="2"/>
    <s v=""/>
    <x v="0"/>
    <s v=""/>
    <s v=""/>
    <s v=""/>
  </r>
  <r>
    <x v="8"/>
    <x v="0"/>
    <x v="1"/>
    <n v="0"/>
    <s v="Travel_Rarely"/>
    <n v="1495"/>
    <x v="1"/>
    <n v="4"/>
    <n v="2"/>
    <s v="Medical"/>
    <n v="1"/>
    <x v="1202"/>
    <n v="4"/>
    <x v="2"/>
    <x v="0"/>
    <n v="87"/>
    <n v="3"/>
    <n v="1"/>
    <x v="2"/>
    <n v="3"/>
    <x v="2"/>
    <s v="Married"/>
    <x v="1115"/>
    <x v="1"/>
    <n v="26176"/>
    <n v="7"/>
    <s v="Y"/>
    <x v="1"/>
    <n v="19"/>
    <x v="2"/>
    <x v="0"/>
    <n v="4"/>
    <n v="80"/>
    <n v="1"/>
    <n v="7"/>
    <n v="5"/>
    <n v="2"/>
    <x v="2"/>
    <n v="0"/>
    <n v="0"/>
    <n v="0"/>
    <n v="3"/>
    <x v="2"/>
    <s v=""/>
    <s v=""/>
    <s v=""/>
  </r>
  <r>
    <x v="16"/>
    <x v="1"/>
    <x v="1"/>
    <n v="0"/>
    <s v="Travel_Rarely"/>
    <n v="1395"/>
    <x v="1"/>
    <n v="24"/>
    <n v="4"/>
    <s v="Medical"/>
    <n v="1"/>
    <x v="1203"/>
    <n v="2"/>
    <x v="0"/>
    <x v="1"/>
    <n v="48"/>
    <n v="4"/>
    <n v="3"/>
    <x v="4"/>
    <n v="4"/>
    <x v="0"/>
    <s v="Married"/>
    <x v="1116"/>
    <x v="0"/>
    <n v="3458"/>
    <n v="3"/>
    <s v="Y"/>
    <x v="1"/>
    <n v="15"/>
    <x v="0"/>
    <x v="0"/>
    <n v="3"/>
    <n v="80"/>
    <n v="0"/>
    <n v="11"/>
    <n v="2"/>
    <n v="3"/>
    <x v="9"/>
    <n v="3"/>
    <n v="1"/>
    <n v="2"/>
    <n v="1"/>
    <x v="1"/>
    <s v=""/>
    <s v=""/>
    <s v=""/>
  </r>
  <r>
    <x v="26"/>
    <x v="1"/>
    <x v="0"/>
    <n v="1"/>
    <s v="Travel_Frequently"/>
    <n v="708"/>
    <x v="0"/>
    <n v="7"/>
    <n v="2"/>
    <s v="Medical"/>
    <n v="1"/>
    <x v="1204"/>
    <n v="4"/>
    <x v="2"/>
    <x v="0"/>
    <n v="95"/>
    <n v="3"/>
    <n v="1"/>
    <x v="6"/>
    <n v="3"/>
    <x v="2"/>
    <s v="Married"/>
    <x v="1117"/>
    <x v="1"/>
    <n v="11740"/>
    <n v="2"/>
    <s v="Y"/>
    <x v="0"/>
    <n v="11"/>
    <x v="0"/>
    <x v="0"/>
    <n v="3"/>
    <n v="80"/>
    <n v="2"/>
    <n v="19"/>
    <n v="3"/>
    <n v="3"/>
    <x v="7"/>
    <n v="7"/>
    <n v="7"/>
    <n v="7"/>
    <s v=""/>
    <x v="0"/>
    <s v=""/>
    <s v=""/>
    <s v=""/>
  </r>
  <r>
    <x v="5"/>
    <x v="2"/>
    <x v="0"/>
    <n v="1"/>
    <s v="Travel_Rarely"/>
    <n v="1259"/>
    <x v="1"/>
    <n v="2"/>
    <n v="4"/>
    <s v="Life Sciences"/>
    <n v="1"/>
    <x v="1205"/>
    <n v="4"/>
    <x v="2"/>
    <x v="1"/>
    <n v="95"/>
    <n v="3"/>
    <n v="1"/>
    <x v="2"/>
    <n v="2"/>
    <x v="1"/>
    <s v="Single"/>
    <x v="1118"/>
    <x v="1"/>
    <n v="24852"/>
    <n v="1"/>
    <s v="Y"/>
    <x v="1"/>
    <n v="12"/>
    <x v="0"/>
    <x v="0"/>
    <n v="1"/>
    <n v="80"/>
    <n v="0"/>
    <n v="1"/>
    <n v="2"/>
    <n v="3"/>
    <x v="6"/>
    <n v="0"/>
    <n v="0"/>
    <n v="0"/>
    <s v=""/>
    <x v="0"/>
    <s v=""/>
    <s v=""/>
    <s v=""/>
  </r>
  <r>
    <x v="25"/>
    <x v="2"/>
    <x v="1"/>
    <n v="0"/>
    <s v="Non-Travel"/>
    <n v="786"/>
    <x v="1"/>
    <n v="7"/>
    <n v="3"/>
    <s v="Medical"/>
    <n v="1"/>
    <x v="1206"/>
    <n v="4"/>
    <x v="2"/>
    <x v="1"/>
    <n v="76"/>
    <n v="3"/>
    <n v="1"/>
    <x v="2"/>
    <n v="4"/>
    <x v="0"/>
    <s v="Single"/>
    <x v="1119"/>
    <x v="1"/>
    <n v="11925"/>
    <n v="1"/>
    <s v="Y"/>
    <x v="1"/>
    <n v="20"/>
    <x v="2"/>
    <x v="1"/>
    <n v="3"/>
    <n v="80"/>
    <n v="0"/>
    <n v="7"/>
    <n v="5"/>
    <n v="3"/>
    <x v="5"/>
    <n v="7"/>
    <n v="5"/>
    <n v="7"/>
    <n v="4"/>
    <x v="2"/>
    <s v=""/>
    <s v=""/>
    <s v=""/>
  </r>
  <r>
    <x v="27"/>
    <x v="3"/>
    <x v="1"/>
    <n v="0"/>
    <s v="Travel_Rarely"/>
    <n v="1441"/>
    <x v="1"/>
    <n v="22"/>
    <n v="3"/>
    <s v="Technical Degree"/>
    <n v="1"/>
    <x v="1207"/>
    <n v="1"/>
    <x v="3"/>
    <x v="1"/>
    <n v="94"/>
    <n v="2"/>
    <n v="1"/>
    <x v="1"/>
    <n v="2"/>
    <x v="1"/>
    <s v="Divorced"/>
    <x v="1120"/>
    <x v="1"/>
    <n v="23737"/>
    <n v="5"/>
    <s v="Y"/>
    <x v="1"/>
    <n v="12"/>
    <x v="0"/>
    <x v="0"/>
    <n v="4"/>
    <n v="80"/>
    <n v="1"/>
    <n v="8"/>
    <n v="1"/>
    <n v="3"/>
    <x v="9"/>
    <n v="2"/>
    <n v="1"/>
    <n v="2"/>
    <n v="2"/>
    <x v="1"/>
    <s v=""/>
    <s v=""/>
    <s v=""/>
  </r>
  <r>
    <x v="13"/>
    <x v="2"/>
    <x v="1"/>
    <n v="0"/>
    <s v="Travel_Rarely"/>
    <n v="1157"/>
    <x v="1"/>
    <n v="5"/>
    <n v="2"/>
    <s v="Medical"/>
    <n v="1"/>
    <x v="1208"/>
    <n v="2"/>
    <x v="0"/>
    <x v="1"/>
    <n v="57"/>
    <n v="2"/>
    <n v="2"/>
    <x v="2"/>
    <n v="4"/>
    <x v="0"/>
    <s v="Married"/>
    <x v="1121"/>
    <x v="1"/>
    <n v="11912"/>
    <n v="1"/>
    <s v="Y"/>
    <x v="1"/>
    <n v="14"/>
    <x v="0"/>
    <x v="0"/>
    <n v="3"/>
    <n v="80"/>
    <n v="1"/>
    <n v="15"/>
    <n v="3"/>
    <n v="4"/>
    <x v="15"/>
    <n v="10"/>
    <n v="4"/>
    <n v="13"/>
    <n v="4"/>
    <x v="2"/>
    <s v=""/>
    <s v=""/>
    <s v=""/>
  </r>
  <r>
    <x v="42"/>
    <x v="3"/>
    <x v="1"/>
    <n v="0"/>
    <s v="Travel_Rarely"/>
    <n v="370"/>
    <x v="1"/>
    <n v="1"/>
    <n v="4"/>
    <s v="Medical"/>
    <n v="1"/>
    <x v="1209"/>
    <n v="3"/>
    <x v="1"/>
    <x v="1"/>
    <n v="92"/>
    <n v="1"/>
    <n v="3"/>
    <x v="4"/>
    <n v="4"/>
    <x v="0"/>
    <s v="Divorced"/>
    <x v="1122"/>
    <x v="2"/>
    <n v="20467"/>
    <n v="3"/>
    <s v="Y"/>
    <x v="1"/>
    <n v="20"/>
    <x v="2"/>
    <x v="1"/>
    <n v="3"/>
    <n v="80"/>
    <n v="1"/>
    <n v="19"/>
    <n v="2"/>
    <n v="4"/>
    <x v="6"/>
    <n v="0"/>
    <n v="0"/>
    <n v="0"/>
    <n v="0"/>
    <x v="1"/>
    <s v=""/>
    <s v=""/>
    <s v=""/>
  </r>
  <r>
    <x v="3"/>
    <x v="2"/>
    <x v="1"/>
    <n v="0"/>
    <s v="Travel_Rarely"/>
    <n v="267"/>
    <x v="1"/>
    <n v="21"/>
    <n v="3"/>
    <s v="Medical"/>
    <n v="1"/>
    <x v="1210"/>
    <n v="2"/>
    <x v="0"/>
    <x v="1"/>
    <n v="79"/>
    <n v="4"/>
    <n v="1"/>
    <x v="2"/>
    <n v="2"/>
    <x v="1"/>
    <s v="Married"/>
    <x v="14"/>
    <x v="1"/>
    <n v="13637"/>
    <n v="1"/>
    <s v="Y"/>
    <x v="1"/>
    <n v="18"/>
    <x v="2"/>
    <x v="0"/>
    <n v="4"/>
    <n v="80"/>
    <n v="3"/>
    <n v="14"/>
    <n v="6"/>
    <n v="3"/>
    <x v="13"/>
    <n v="11"/>
    <n v="2"/>
    <n v="13"/>
    <n v="4"/>
    <x v="2"/>
    <s v=""/>
    <s v=""/>
    <s v=""/>
  </r>
  <r>
    <x v="2"/>
    <x v="0"/>
    <x v="1"/>
    <n v="0"/>
    <s v="Travel_Frequently"/>
    <n v="1278"/>
    <x v="0"/>
    <n v="1"/>
    <n v="4"/>
    <s v="Medical"/>
    <n v="1"/>
    <x v="1211"/>
    <n v="3"/>
    <x v="1"/>
    <x v="1"/>
    <n v="31"/>
    <n v="1"/>
    <n v="2"/>
    <x v="0"/>
    <n v="4"/>
    <x v="0"/>
    <s v="Divorced"/>
    <x v="1123"/>
    <x v="2"/>
    <n v="7677"/>
    <n v="1"/>
    <s v="Y"/>
    <x v="1"/>
    <n v="14"/>
    <x v="0"/>
    <x v="0"/>
    <n v="3"/>
    <n v="80"/>
    <n v="2"/>
    <n v="6"/>
    <n v="2"/>
    <n v="2"/>
    <x v="0"/>
    <n v="3"/>
    <n v="1"/>
    <n v="3"/>
    <n v="0"/>
    <x v="1"/>
    <s v=""/>
    <s v=""/>
    <s v=""/>
  </r>
  <r>
    <x v="13"/>
    <x v="2"/>
    <x v="1"/>
    <n v="0"/>
    <s v="Travel_Rarely"/>
    <n v="678"/>
    <x v="1"/>
    <n v="19"/>
    <n v="3"/>
    <s v="Life Sciences"/>
    <n v="1"/>
    <x v="1212"/>
    <n v="2"/>
    <x v="0"/>
    <x v="0"/>
    <n v="35"/>
    <n v="2"/>
    <n v="1"/>
    <x v="1"/>
    <n v="4"/>
    <x v="0"/>
    <s v="Married"/>
    <x v="1124"/>
    <x v="1"/>
    <n v="20338"/>
    <n v="1"/>
    <s v="Y"/>
    <x v="1"/>
    <n v="12"/>
    <x v="0"/>
    <x v="0"/>
    <n v="2"/>
    <n v="80"/>
    <n v="0"/>
    <n v="10"/>
    <n v="3"/>
    <n v="3"/>
    <x v="1"/>
    <n v="9"/>
    <n v="8"/>
    <n v="7"/>
    <n v="3"/>
    <x v="2"/>
    <s v=""/>
    <s v=""/>
    <s v=""/>
  </r>
  <r>
    <x v="30"/>
    <x v="4"/>
    <x v="0"/>
    <n v="1"/>
    <s v="Travel_Rarely"/>
    <n v="427"/>
    <x v="0"/>
    <n v="7"/>
    <n v="3"/>
    <s v="Life Sciences"/>
    <n v="1"/>
    <x v="1213"/>
    <n v="3"/>
    <x v="1"/>
    <x v="1"/>
    <n v="99"/>
    <n v="3"/>
    <n v="1"/>
    <x v="6"/>
    <n v="4"/>
    <x v="0"/>
    <s v="Divorced"/>
    <x v="1125"/>
    <x v="1"/>
    <n v="25103"/>
    <n v="1"/>
    <s v="Y"/>
    <x v="0"/>
    <n v="21"/>
    <x v="1"/>
    <x v="1"/>
    <n v="2"/>
    <n v="80"/>
    <n v="1"/>
    <n v="3"/>
    <n v="2"/>
    <n v="3"/>
    <x v="11"/>
    <n v="2"/>
    <n v="0"/>
    <n v="2"/>
    <s v=""/>
    <x v="0"/>
    <s v=""/>
    <s v=""/>
    <s v=""/>
  </r>
  <r>
    <x v="20"/>
    <x v="0"/>
    <x v="1"/>
    <n v="0"/>
    <s v="Travel_Rarely"/>
    <n v="921"/>
    <x v="1"/>
    <n v="2"/>
    <n v="3"/>
    <s v="Life Sciences"/>
    <n v="1"/>
    <x v="1214"/>
    <n v="3"/>
    <x v="1"/>
    <x v="0"/>
    <n v="96"/>
    <n v="4"/>
    <n v="3"/>
    <x v="4"/>
    <n v="4"/>
    <x v="0"/>
    <s v="Married"/>
    <x v="1126"/>
    <x v="0"/>
    <n v="14810"/>
    <n v="1"/>
    <s v="Y"/>
    <x v="0"/>
    <n v="19"/>
    <x v="2"/>
    <x v="0"/>
    <n v="2"/>
    <n v="80"/>
    <n v="1"/>
    <n v="9"/>
    <n v="2"/>
    <n v="3"/>
    <x v="3"/>
    <n v="7"/>
    <n v="6"/>
    <n v="7"/>
    <n v="3"/>
    <x v="2"/>
    <s v=""/>
    <s v=""/>
    <s v=""/>
  </r>
  <r>
    <x v="10"/>
    <x v="0"/>
    <x v="1"/>
    <n v="0"/>
    <s v="Travel_Frequently"/>
    <n v="146"/>
    <x v="1"/>
    <n v="2"/>
    <n v="4"/>
    <s v="Medical"/>
    <n v="1"/>
    <x v="1215"/>
    <n v="1"/>
    <x v="3"/>
    <x v="1"/>
    <n v="79"/>
    <n v="2"/>
    <n v="1"/>
    <x v="1"/>
    <n v="4"/>
    <x v="0"/>
    <s v="Single"/>
    <x v="1127"/>
    <x v="0"/>
    <n v="13970"/>
    <n v="0"/>
    <s v="Y"/>
    <x v="0"/>
    <n v="14"/>
    <x v="0"/>
    <x v="0"/>
    <n v="3"/>
    <n v="80"/>
    <n v="0"/>
    <n v="6"/>
    <n v="2"/>
    <n v="4"/>
    <x v="8"/>
    <n v="4"/>
    <n v="1"/>
    <n v="4"/>
    <n v="3"/>
    <x v="2"/>
    <s v=""/>
    <s v=""/>
    <s v=""/>
  </r>
  <r>
    <x v="23"/>
    <x v="0"/>
    <x v="1"/>
    <n v="0"/>
    <s v="Travel_Rarely"/>
    <n v="1179"/>
    <x v="0"/>
    <n v="2"/>
    <n v="3"/>
    <s v="Medical"/>
    <n v="1"/>
    <x v="1216"/>
    <n v="4"/>
    <x v="2"/>
    <x v="1"/>
    <n v="73"/>
    <n v="3"/>
    <n v="2"/>
    <x v="0"/>
    <n v="4"/>
    <x v="0"/>
    <s v="Married"/>
    <x v="1128"/>
    <x v="0"/>
    <n v="6069"/>
    <n v="1"/>
    <s v="Y"/>
    <x v="0"/>
    <n v="17"/>
    <x v="2"/>
    <x v="0"/>
    <n v="1"/>
    <n v="80"/>
    <n v="1"/>
    <n v="10"/>
    <n v="3"/>
    <n v="3"/>
    <x v="1"/>
    <n v="9"/>
    <n v="8"/>
    <n v="8"/>
    <n v="3"/>
    <x v="2"/>
    <s v=""/>
    <s v=""/>
    <s v=""/>
  </r>
  <r>
    <x v="17"/>
    <x v="4"/>
    <x v="1"/>
    <n v="0"/>
    <s v="Travel_Rarely"/>
    <n v="581"/>
    <x v="1"/>
    <n v="9"/>
    <n v="3"/>
    <s v="Medical"/>
    <n v="1"/>
    <x v="1217"/>
    <n v="3"/>
    <x v="1"/>
    <x v="1"/>
    <n v="62"/>
    <n v="4"/>
    <n v="1"/>
    <x v="1"/>
    <n v="3"/>
    <x v="2"/>
    <s v="Married"/>
    <x v="1129"/>
    <x v="0"/>
    <n v="17616"/>
    <n v="1"/>
    <s v="Y"/>
    <x v="1"/>
    <n v="16"/>
    <x v="2"/>
    <x v="0"/>
    <n v="4"/>
    <n v="80"/>
    <n v="1"/>
    <n v="5"/>
    <n v="1"/>
    <n v="3"/>
    <x v="8"/>
    <n v="3"/>
    <n v="0"/>
    <n v="4"/>
    <n v="3"/>
    <x v="2"/>
    <s v=""/>
    <s v=""/>
    <s v=""/>
  </r>
  <r>
    <x v="0"/>
    <x v="0"/>
    <x v="1"/>
    <n v="0"/>
    <s v="Travel_Rarely"/>
    <n v="918"/>
    <x v="0"/>
    <n v="6"/>
    <n v="3"/>
    <s v="Marketing"/>
    <n v="1"/>
    <x v="1218"/>
    <n v="4"/>
    <x v="2"/>
    <x v="1"/>
    <n v="35"/>
    <n v="3"/>
    <n v="3"/>
    <x v="0"/>
    <n v="3"/>
    <x v="2"/>
    <s v="Single"/>
    <x v="1130"/>
    <x v="2"/>
    <n v="15869"/>
    <n v="1"/>
    <s v="Y"/>
    <x v="1"/>
    <n v="12"/>
    <x v="0"/>
    <x v="0"/>
    <n v="2"/>
    <n v="80"/>
    <n v="0"/>
    <n v="10"/>
    <n v="3"/>
    <n v="3"/>
    <x v="1"/>
    <n v="8"/>
    <n v="8"/>
    <n v="7"/>
    <n v="0"/>
    <x v="1"/>
    <s v=""/>
    <s v=""/>
    <s v=""/>
  </r>
  <r>
    <x v="11"/>
    <x v="2"/>
    <x v="1"/>
    <n v="0"/>
    <s v="Travel_Rarely"/>
    <n v="1082"/>
    <x v="1"/>
    <n v="9"/>
    <n v="4"/>
    <s v="Medical"/>
    <n v="1"/>
    <x v="1219"/>
    <n v="4"/>
    <x v="2"/>
    <x v="0"/>
    <n v="43"/>
    <n v="3"/>
    <n v="1"/>
    <x v="2"/>
    <n v="3"/>
    <x v="2"/>
    <s v="Married"/>
    <x v="1131"/>
    <x v="1"/>
    <n v="25412"/>
    <n v="9"/>
    <s v="Y"/>
    <x v="1"/>
    <n v="17"/>
    <x v="2"/>
    <x v="0"/>
    <n v="3"/>
    <n v="80"/>
    <n v="1"/>
    <n v="9"/>
    <n v="2"/>
    <n v="3"/>
    <x v="8"/>
    <n v="3"/>
    <n v="1"/>
    <n v="2"/>
    <n v="4"/>
    <x v="2"/>
    <s v=""/>
    <s v=""/>
    <s v=""/>
  </r>
  <r>
    <x v="9"/>
    <x v="0"/>
    <x v="1"/>
    <n v="0"/>
    <s v="Travel_Rarely"/>
    <n v="530"/>
    <x v="0"/>
    <n v="2"/>
    <n v="4"/>
    <s v="Life Sciences"/>
    <n v="1"/>
    <x v="1220"/>
    <n v="3"/>
    <x v="1"/>
    <x v="0"/>
    <n v="51"/>
    <n v="3"/>
    <n v="2"/>
    <x v="6"/>
    <n v="4"/>
    <x v="0"/>
    <s v="Single"/>
    <x v="1132"/>
    <x v="0"/>
    <n v="7439"/>
    <n v="3"/>
    <s v="Y"/>
    <x v="1"/>
    <n v="15"/>
    <x v="0"/>
    <x v="0"/>
    <n v="3"/>
    <n v="80"/>
    <n v="0"/>
    <n v="17"/>
    <n v="2"/>
    <n v="2"/>
    <x v="20"/>
    <n v="7"/>
    <n v="6"/>
    <n v="7"/>
    <n v="3"/>
    <x v="2"/>
    <s v=""/>
    <s v=""/>
    <s v=""/>
  </r>
  <r>
    <x v="28"/>
    <x v="1"/>
    <x v="1"/>
    <n v="0"/>
    <s v="Non-Travel"/>
    <n v="1238"/>
    <x v="1"/>
    <n v="1"/>
    <n v="1"/>
    <s v="Life Sciences"/>
    <n v="1"/>
    <x v="1221"/>
    <n v="3"/>
    <x v="1"/>
    <x v="1"/>
    <n v="74"/>
    <n v="2"/>
    <n v="3"/>
    <x v="4"/>
    <n v="3"/>
    <x v="2"/>
    <s v="Married"/>
    <x v="1133"/>
    <x v="2"/>
    <n v="3395"/>
    <n v="3"/>
    <s v="Y"/>
    <x v="1"/>
    <n v="23"/>
    <x v="1"/>
    <x v="1"/>
    <n v="4"/>
    <n v="80"/>
    <n v="1"/>
    <n v="25"/>
    <n v="3"/>
    <n v="2"/>
    <x v="36"/>
    <n v="15"/>
    <n v="14"/>
    <n v="4"/>
    <n v="0"/>
    <x v="1"/>
    <s v=""/>
    <s v=""/>
    <s v=""/>
  </r>
  <r>
    <x v="17"/>
    <x v="4"/>
    <x v="0"/>
    <n v="1"/>
    <s v="Travel_Rarely"/>
    <n v="240"/>
    <x v="2"/>
    <n v="22"/>
    <n v="1"/>
    <s v="Human Resources"/>
    <n v="1"/>
    <x v="1222"/>
    <n v="4"/>
    <x v="2"/>
    <x v="1"/>
    <n v="58"/>
    <n v="1"/>
    <n v="1"/>
    <x v="8"/>
    <n v="3"/>
    <x v="2"/>
    <s v="Married"/>
    <x v="1134"/>
    <x v="1"/>
    <n v="11585"/>
    <n v="1"/>
    <s v="Y"/>
    <x v="1"/>
    <n v="11"/>
    <x v="0"/>
    <x v="0"/>
    <n v="3"/>
    <n v="80"/>
    <n v="1"/>
    <n v="1"/>
    <n v="2"/>
    <n v="3"/>
    <x v="6"/>
    <n v="0"/>
    <n v="0"/>
    <n v="0"/>
    <s v=""/>
    <x v="0"/>
    <s v=""/>
    <s v=""/>
    <s v=""/>
  </r>
  <r>
    <x v="40"/>
    <x v="1"/>
    <x v="0"/>
    <n v="1"/>
    <s v="Travel_Frequently"/>
    <n v="1093"/>
    <x v="0"/>
    <n v="9"/>
    <n v="3"/>
    <s v="Life Sciences"/>
    <n v="1"/>
    <x v="1223"/>
    <n v="3"/>
    <x v="1"/>
    <x v="1"/>
    <n v="82"/>
    <n v="1"/>
    <n v="4"/>
    <x v="0"/>
    <n v="3"/>
    <x v="2"/>
    <s v="Married"/>
    <x v="1135"/>
    <x v="3"/>
    <n v="24164"/>
    <n v="7"/>
    <s v="Y"/>
    <x v="1"/>
    <n v="11"/>
    <x v="0"/>
    <x v="0"/>
    <n v="3"/>
    <n v="80"/>
    <n v="0"/>
    <n v="25"/>
    <n v="3"/>
    <n v="1"/>
    <x v="36"/>
    <n v="5"/>
    <n v="14"/>
    <n v="10"/>
    <s v=""/>
    <x v="0"/>
    <s v=""/>
    <s v=""/>
    <s v=""/>
  </r>
  <r>
    <x v="25"/>
    <x v="2"/>
    <x v="1"/>
    <n v="0"/>
    <s v="Travel_Rarely"/>
    <n v="390"/>
    <x v="1"/>
    <n v="17"/>
    <n v="4"/>
    <s v="Medical"/>
    <n v="1"/>
    <x v="1224"/>
    <n v="4"/>
    <x v="2"/>
    <x v="1"/>
    <n v="62"/>
    <n v="1"/>
    <n v="1"/>
    <x v="2"/>
    <n v="3"/>
    <x v="2"/>
    <s v="Married"/>
    <x v="1136"/>
    <x v="1"/>
    <n v="6217"/>
    <n v="1"/>
    <s v="Y"/>
    <x v="1"/>
    <n v="15"/>
    <x v="0"/>
    <x v="0"/>
    <n v="3"/>
    <n v="80"/>
    <n v="3"/>
    <n v="3"/>
    <n v="3"/>
    <n v="4"/>
    <x v="11"/>
    <n v="2"/>
    <n v="0"/>
    <n v="2"/>
    <n v="4"/>
    <x v="2"/>
    <s v=""/>
    <s v=""/>
    <s v=""/>
  </r>
  <r>
    <x v="28"/>
    <x v="1"/>
    <x v="1"/>
    <n v="0"/>
    <s v="Travel_Rarely"/>
    <n v="1005"/>
    <x v="1"/>
    <n v="28"/>
    <n v="2"/>
    <s v="Technical Degree"/>
    <n v="1"/>
    <x v="1225"/>
    <n v="4"/>
    <x v="2"/>
    <x v="0"/>
    <n v="48"/>
    <n v="2"/>
    <n v="4"/>
    <x v="7"/>
    <n v="2"/>
    <x v="1"/>
    <s v="Single"/>
    <x v="1137"/>
    <x v="4"/>
    <n v="17119"/>
    <n v="1"/>
    <s v="Y"/>
    <x v="1"/>
    <n v="11"/>
    <x v="0"/>
    <x v="0"/>
    <n v="3"/>
    <n v="80"/>
    <n v="0"/>
    <n v="21"/>
    <n v="2"/>
    <n v="3"/>
    <x v="17"/>
    <n v="6"/>
    <n v="8"/>
    <n v="6"/>
    <n v="0"/>
    <x v="1"/>
    <s v=""/>
    <s v=""/>
    <s v=""/>
  </r>
  <r>
    <x v="5"/>
    <x v="2"/>
    <x v="1"/>
    <n v="0"/>
    <s v="Travel_Frequently"/>
    <n v="585"/>
    <x v="1"/>
    <n v="10"/>
    <n v="3"/>
    <s v="Life Sciences"/>
    <n v="1"/>
    <x v="1226"/>
    <n v="1"/>
    <x v="3"/>
    <x v="1"/>
    <n v="56"/>
    <n v="3"/>
    <n v="1"/>
    <x v="1"/>
    <n v="3"/>
    <x v="2"/>
    <s v="Married"/>
    <x v="1138"/>
    <x v="1"/>
    <n v="17360"/>
    <n v="6"/>
    <s v="Y"/>
    <x v="1"/>
    <n v="13"/>
    <x v="0"/>
    <x v="0"/>
    <n v="1"/>
    <n v="80"/>
    <n v="1"/>
    <n v="10"/>
    <n v="3"/>
    <n v="2"/>
    <x v="8"/>
    <n v="2"/>
    <n v="1"/>
    <n v="3"/>
    <n v="3"/>
    <x v="2"/>
    <s v=""/>
    <s v=""/>
    <s v=""/>
  </r>
  <r>
    <x v="12"/>
    <x v="2"/>
    <x v="1"/>
    <n v="0"/>
    <s v="Travel_Rarely"/>
    <n v="741"/>
    <x v="1"/>
    <n v="2"/>
    <n v="4"/>
    <s v="Life Sciences"/>
    <n v="1"/>
    <x v="1227"/>
    <n v="2"/>
    <x v="0"/>
    <x v="1"/>
    <n v="69"/>
    <n v="3"/>
    <n v="1"/>
    <x v="2"/>
    <n v="3"/>
    <x v="2"/>
    <s v="Married"/>
    <x v="1139"/>
    <x v="1"/>
    <n v="18103"/>
    <n v="1"/>
    <s v="Y"/>
    <x v="1"/>
    <n v="14"/>
    <x v="0"/>
    <x v="0"/>
    <n v="4"/>
    <n v="80"/>
    <n v="1"/>
    <n v="6"/>
    <n v="2"/>
    <n v="4"/>
    <x v="8"/>
    <n v="2"/>
    <n v="0"/>
    <n v="3"/>
    <n v="4"/>
    <x v="2"/>
    <s v=""/>
    <s v=""/>
    <s v=""/>
  </r>
  <r>
    <x v="0"/>
    <x v="0"/>
    <x v="1"/>
    <n v="0"/>
    <s v="Non-Travel"/>
    <n v="552"/>
    <x v="2"/>
    <n v="4"/>
    <n v="3"/>
    <s v="Human Resources"/>
    <n v="1"/>
    <x v="1228"/>
    <n v="3"/>
    <x v="1"/>
    <x v="1"/>
    <n v="60"/>
    <n v="1"/>
    <n v="2"/>
    <x v="8"/>
    <n v="2"/>
    <x v="1"/>
    <s v="Married"/>
    <x v="1140"/>
    <x v="0"/>
    <n v="20794"/>
    <n v="6"/>
    <s v="Y"/>
    <x v="1"/>
    <n v="19"/>
    <x v="2"/>
    <x v="0"/>
    <n v="2"/>
    <n v="80"/>
    <n v="1"/>
    <n v="10"/>
    <n v="4"/>
    <n v="3"/>
    <x v="11"/>
    <n v="2"/>
    <n v="1"/>
    <n v="2"/>
    <n v="2"/>
    <x v="1"/>
    <s v=""/>
    <s v=""/>
    <s v=""/>
  </r>
  <r>
    <x v="32"/>
    <x v="0"/>
    <x v="1"/>
    <n v="0"/>
    <s v="Travel_Rarely"/>
    <n v="369"/>
    <x v="1"/>
    <n v="8"/>
    <n v="2"/>
    <s v="Life Sciences"/>
    <n v="1"/>
    <x v="1229"/>
    <n v="2"/>
    <x v="0"/>
    <x v="0"/>
    <n v="92"/>
    <n v="3"/>
    <n v="2"/>
    <x v="3"/>
    <n v="1"/>
    <x v="3"/>
    <s v="Married"/>
    <x v="1141"/>
    <x v="0"/>
    <n v="5041"/>
    <n v="2"/>
    <s v="Y"/>
    <x v="0"/>
    <n v="16"/>
    <x v="2"/>
    <x v="0"/>
    <n v="2"/>
    <n v="80"/>
    <n v="1"/>
    <n v="18"/>
    <n v="3"/>
    <n v="3"/>
    <x v="6"/>
    <n v="0"/>
    <n v="0"/>
    <n v="0"/>
    <n v="5"/>
    <x v="2"/>
    <s v=""/>
    <s v=""/>
    <s v=""/>
  </r>
  <r>
    <x v="17"/>
    <x v="4"/>
    <x v="1"/>
    <n v="0"/>
    <s v="Travel_Rarely"/>
    <n v="506"/>
    <x v="1"/>
    <n v="29"/>
    <n v="1"/>
    <s v="Medical"/>
    <n v="1"/>
    <x v="1230"/>
    <n v="2"/>
    <x v="0"/>
    <x v="1"/>
    <n v="91"/>
    <n v="3"/>
    <n v="1"/>
    <x v="2"/>
    <n v="1"/>
    <x v="3"/>
    <s v="Divorced"/>
    <x v="1142"/>
    <x v="1"/>
    <n v="3622"/>
    <n v="1"/>
    <s v="Y"/>
    <x v="1"/>
    <n v="13"/>
    <x v="0"/>
    <x v="0"/>
    <n v="2"/>
    <n v="80"/>
    <n v="3"/>
    <n v="6"/>
    <n v="2"/>
    <n v="4"/>
    <x v="0"/>
    <n v="2"/>
    <n v="1"/>
    <n v="2"/>
    <n v="7"/>
    <x v="3"/>
    <n v="19"/>
    <s v=""/>
    <n v="68275"/>
  </r>
  <r>
    <x v="21"/>
    <x v="1"/>
    <x v="1"/>
    <n v="0"/>
    <s v="Travel_Rarely"/>
    <n v="717"/>
    <x v="1"/>
    <n v="13"/>
    <n v="4"/>
    <s v="Life Sciences"/>
    <n v="1"/>
    <x v="1231"/>
    <n v="3"/>
    <x v="1"/>
    <x v="1"/>
    <n v="34"/>
    <n v="3"/>
    <n v="2"/>
    <x v="4"/>
    <n v="2"/>
    <x v="1"/>
    <s v="Single"/>
    <x v="622"/>
    <x v="0"/>
    <n v="9697"/>
    <n v="6"/>
    <s v="Y"/>
    <x v="1"/>
    <n v="14"/>
    <x v="0"/>
    <x v="0"/>
    <n v="4"/>
    <n v="80"/>
    <n v="0"/>
    <n v="19"/>
    <n v="3"/>
    <n v="3"/>
    <x v="1"/>
    <n v="7"/>
    <n v="0"/>
    <n v="9"/>
    <n v="1"/>
    <x v="1"/>
    <s v=""/>
    <s v=""/>
    <s v=""/>
  </r>
  <r>
    <x v="10"/>
    <x v="0"/>
    <x v="1"/>
    <n v="0"/>
    <s v="Travel_Rarely"/>
    <n v="1370"/>
    <x v="1"/>
    <n v="27"/>
    <n v="4"/>
    <s v="Life Sciences"/>
    <n v="1"/>
    <x v="1232"/>
    <n v="4"/>
    <x v="2"/>
    <x v="1"/>
    <n v="49"/>
    <n v="3"/>
    <n v="2"/>
    <x v="3"/>
    <n v="3"/>
    <x v="2"/>
    <s v="Married"/>
    <x v="1143"/>
    <x v="0"/>
    <n v="5151"/>
    <n v="2"/>
    <s v="Y"/>
    <x v="1"/>
    <n v="16"/>
    <x v="2"/>
    <x v="0"/>
    <n v="2"/>
    <n v="80"/>
    <n v="1"/>
    <n v="17"/>
    <n v="3"/>
    <n v="3"/>
    <x v="5"/>
    <n v="7"/>
    <n v="0"/>
    <n v="7"/>
    <n v="1"/>
    <x v="1"/>
    <s v=""/>
    <s v=""/>
    <s v=""/>
  </r>
  <r>
    <x v="7"/>
    <x v="2"/>
    <x v="1"/>
    <n v="0"/>
    <s v="Travel_Rarely"/>
    <n v="793"/>
    <x v="1"/>
    <n v="16"/>
    <n v="1"/>
    <s v="Life Sciences"/>
    <n v="1"/>
    <x v="1233"/>
    <n v="2"/>
    <x v="0"/>
    <x v="1"/>
    <n v="33"/>
    <n v="3"/>
    <n v="1"/>
    <x v="1"/>
    <n v="4"/>
    <x v="0"/>
    <s v="Married"/>
    <x v="1144"/>
    <x v="1"/>
    <n v="3811"/>
    <n v="1"/>
    <s v="Y"/>
    <x v="1"/>
    <n v="12"/>
    <x v="0"/>
    <x v="0"/>
    <n v="2"/>
    <n v="80"/>
    <n v="1"/>
    <n v="10"/>
    <n v="2"/>
    <n v="2"/>
    <x v="1"/>
    <n v="0"/>
    <n v="0"/>
    <n v="8"/>
    <n v="3"/>
    <x v="2"/>
    <s v=""/>
    <s v=""/>
    <s v=""/>
  </r>
  <r>
    <x v="40"/>
    <x v="1"/>
    <x v="1"/>
    <n v="0"/>
    <s v="Non-Travel"/>
    <n v="543"/>
    <x v="0"/>
    <n v="2"/>
    <n v="4"/>
    <s v="Marketing"/>
    <n v="1"/>
    <x v="1234"/>
    <n v="3"/>
    <x v="1"/>
    <x v="1"/>
    <n v="87"/>
    <n v="3"/>
    <n v="2"/>
    <x v="0"/>
    <n v="2"/>
    <x v="1"/>
    <s v="Married"/>
    <x v="1145"/>
    <x v="0"/>
    <n v="3536"/>
    <n v="7"/>
    <s v="Y"/>
    <x v="1"/>
    <n v="11"/>
    <x v="0"/>
    <x v="0"/>
    <n v="4"/>
    <n v="80"/>
    <n v="1"/>
    <n v="4"/>
    <n v="3"/>
    <n v="1"/>
    <x v="6"/>
    <n v="0"/>
    <n v="0"/>
    <n v="0"/>
    <n v="1"/>
    <x v="1"/>
    <s v=""/>
    <s v=""/>
    <s v=""/>
  </r>
  <r>
    <x v="21"/>
    <x v="1"/>
    <x v="1"/>
    <n v="0"/>
    <s v="Travel_Rarely"/>
    <n v="1277"/>
    <x v="0"/>
    <n v="2"/>
    <n v="3"/>
    <s v="Life Sciences"/>
    <n v="1"/>
    <x v="1235"/>
    <n v="3"/>
    <x v="1"/>
    <x v="1"/>
    <n v="74"/>
    <n v="3"/>
    <n v="3"/>
    <x v="0"/>
    <n v="4"/>
    <x v="0"/>
    <s v="Divorced"/>
    <x v="1146"/>
    <x v="2"/>
    <n v="5596"/>
    <n v="4"/>
    <s v="Y"/>
    <x v="0"/>
    <n v="12"/>
    <x v="0"/>
    <x v="0"/>
    <n v="2"/>
    <n v="80"/>
    <n v="1"/>
    <n v="13"/>
    <n v="5"/>
    <n v="2"/>
    <x v="1"/>
    <n v="6"/>
    <n v="0"/>
    <n v="3"/>
    <n v="2"/>
    <x v="1"/>
    <s v=""/>
    <s v=""/>
    <s v=""/>
  </r>
  <r>
    <x v="9"/>
    <x v="0"/>
    <x v="0"/>
    <n v="1"/>
    <s v="Travel_Rarely"/>
    <n v="1456"/>
    <x v="0"/>
    <n v="13"/>
    <n v="5"/>
    <s v="Marketing"/>
    <n v="1"/>
    <x v="1236"/>
    <n v="2"/>
    <x v="0"/>
    <x v="1"/>
    <n v="96"/>
    <n v="2"/>
    <n v="2"/>
    <x v="0"/>
    <n v="1"/>
    <x v="3"/>
    <s v="Divorced"/>
    <x v="1147"/>
    <x v="0"/>
    <n v="8658"/>
    <n v="5"/>
    <s v="Y"/>
    <x v="0"/>
    <n v="13"/>
    <x v="0"/>
    <x v="0"/>
    <n v="2"/>
    <n v="80"/>
    <n v="3"/>
    <n v="16"/>
    <n v="3"/>
    <n v="3"/>
    <x v="4"/>
    <n v="2"/>
    <n v="2"/>
    <n v="2"/>
    <s v=""/>
    <x v="0"/>
    <s v=""/>
    <s v=""/>
    <s v=""/>
  </r>
  <r>
    <x v="5"/>
    <x v="2"/>
    <x v="0"/>
    <n v="1"/>
    <s v="Travel_Rarely"/>
    <n v="964"/>
    <x v="0"/>
    <n v="1"/>
    <n v="2"/>
    <s v="Life Sciences"/>
    <n v="1"/>
    <x v="1237"/>
    <n v="1"/>
    <x v="3"/>
    <x v="1"/>
    <n v="34"/>
    <n v="1"/>
    <n v="2"/>
    <x v="0"/>
    <n v="2"/>
    <x v="1"/>
    <s v="Single"/>
    <x v="1148"/>
    <x v="0"/>
    <n v="12147"/>
    <n v="6"/>
    <s v="Y"/>
    <x v="1"/>
    <n v="15"/>
    <x v="0"/>
    <x v="0"/>
    <n v="2"/>
    <n v="80"/>
    <n v="0"/>
    <n v="10"/>
    <n v="2"/>
    <n v="3"/>
    <x v="2"/>
    <n v="0"/>
    <n v="0"/>
    <n v="0"/>
    <s v=""/>
    <x v="0"/>
    <s v=""/>
    <s v=""/>
    <s v=""/>
  </r>
  <r>
    <x v="30"/>
    <x v="4"/>
    <x v="1"/>
    <n v="0"/>
    <s v="Travel_Rarely"/>
    <n v="160"/>
    <x v="1"/>
    <n v="4"/>
    <n v="1"/>
    <s v="Medical"/>
    <n v="1"/>
    <x v="1238"/>
    <n v="3"/>
    <x v="1"/>
    <x v="0"/>
    <n v="51"/>
    <n v="3"/>
    <n v="1"/>
    <x v="2"/>
    <n v="2"/>
    <x v="1"/>
    <s v="Single"/>
    <x v="1149"/>
    <x v="1"/>
    <n v="12862"/>
    <n v="1"/>
    <s v="Y"/>
    <x v="1"/>
    <n v="13"/>
    <x v="0"/>
    <x v="0"/>
    <n v="3"/>
    <n v="80"/>
    <n v="0"/>
    <n v="3"/>
    <n v="3"/>
    <n v="1"/>
    <x v="11"/>
    <n v="2"/>
    <n v="1"/>
    <n v="2"/>
    <n v="5"/>
    <x v="2"/>
    <s v=""/>
    <s v=""/>
    <s v=""/>
  </r>
  <r>
    <x v="12"/>
    <x v="2"/>
    <x v="1"/>
    <n v="0"/>
    <s v="Travel_Frequently"/>
    <n v="163"/>
    <x v="1"/>
    <n v="24"/>
    <n v="1"/>
    <s v="Technical Degree"/>
    <n v="1"/>
    <x v="1239"/>
    <n v="4"/>
    <x v="2"/>
    <x v="0"/>
    <n v="30"/>
    <n v="3"/>
    <n v="2"/>
    <x v="3"/>
    <n v="4"/>
    <x v="0"/>
    <s v="Single"/>
    <x v="319"/>
    <x v="0"/>
    <n v="6670"/>
    <n v="2"/>
    <s v="Y"/>
    <x v="1"/>
    <n v="20"/>
    <x v="2"/>
    <x v="1"/>
    <n v="4"/>
    <n v="80"/>
    <n v="0"/>
    <n v="9"/>
    <n v="3"/>
    <n v="2"/>
    <x v="8"/>
    <n v="4"/>
    <n v="1"/>
    <n v="4"/>
    <n v="2"/>
    <x v="1"/>
    <s v=""/>
    <s v=""/>
    <s v=""/>
  </r>
  <r>
    <x v="22"/>
    <x v="0"/>
    <x v="1"/>
    <n v="0"/>
    <s v="Non-Travel"/>
    <n v="792"/>
    <x v="1"/>
    <n v="1"/>
    <n v="3"/>
    <s v="Life Sciences"/>
    <n v="1"/>
    <x v="1240"/>
    <n v="4"/>
    <x v="2"/>
    <x v="1"/>
    <n v="77"/>
    <n v="3"/>
    <n v="2"/>
    <x v="2"/>
    <n v="4"/>
    <x v="0"/>
    <s v="Married"/>
    <x v="1150"/>
    <x v="0"/>
    <n v="8989"/>
    <n v="1"/>
    <s v="Y"/>
    <x v="0"/>
    <n v="15"/>
    <x v="0"/>
    <x v="0"/>
    <n v="4"/>
    <n v="80"/>
    <n v="1"/>
    <n v="9"/>
    <n v="2"/>
    <n v="3"/>
    <x v="7"/>
    <n v="8"/>
    <n v="5"/>
    <n v="8"/>
    <n v="4"/>
    <x v="2"/>
    <s v=""/>
    <s v=""/>
    <s v=""/>
  </r>
  <r>
    <x v="5"/>
    <x v="2"/>
    <x v="1"/>
    <n v="0"/>
    <s v="Travel_Rarely"/>
    <n v="371"/>
    <x v="0"/>
    <n v="19"/>
    <n v="3"/>
    <s v="Life Sciences"/>
    <n v="1"/>
    <x v="1241"/>
    <n v="4"/>
    <x v="2"/>
    <x v="1"/>
    <n v="80"/>
    <n v="1"/>
    <n v="3"/>
    <x v="0"/>
    <n v="3"/>
    <x v="2"/>
    <s v="Married"/>
    <x v="1151"/>
    <x v="2"/>
    <n v="3840"/>
    <n v="3"/>
    <s v="Y"/>
    <x v="1"/>
    <n v="13"/>
    <x v="0"/>
    <x v="0"/>
    <n v="3"/>
    <n v="80"/>
    <n v="1"/>
    <n v="10"/>
    <n v="2"/>
    <n v="1"/>
    <x v="9"/>
    <n v="3"/>
    <n v="0"/>
    <n v="2"/>
    <n v="1"/>
    <x v="1"/>
    <s v=""/>
    <s v=""/>
    <s v=""/>
  </r>
  <r>
    <x v="32"/>
    <x v="0"/>
    <x v="1"/>
    <n v="0"/>
    <s v="Travel_Rarely"/>
    <n v="611"/>
    <x v="0"/>
    <n v="7"/>
    <n v="4"/>
    <s v="Medical"/>
    <n v="1"/>
    <x v="1242"/>
    <n v="2"/>
    <x v="0"/>
    <x v="1"/>
    <n v="88"/>
    <n v="3"/>
    <n v="5"/>
    <x v="5"/>
    <n v="2"/>
    <x v="1"/>
    <s v="Single"/>
    <x v="1152"/>
    <x v="4"/>
    <n v="4349"/>
    <n v="1"/>
    <s v="Y"/>
    <x v="1"/>
    <n v="14"/>
    <x v="0"/>
    <x v="0"/>
    <n v="2"/>
    <n v="80"/>
    <n v="0"/>
    <n v="21"/>
    <n v="3"/>
    <n v="2"/>
    <x v="17"/>
    <n v="8"/>
    <n v="12"/>
    <n v="8"/>
    <n v="0"/>
    <x v="1"/>
    <s v=""/>
    <s v=""/>
    <s v=""/>
  </r>
  <r>
    <x v="28"/>
    <x v="1"/>
    <x v="1"/>
    <n v="0"/>
    <s v="Travel_Rarely"/>
    <n v="176"/>
    <x v="2"/>
    <n v="4"/>
    <n v="3"/>
    <s v="Life Sciences"/>
    <n v="1"/>
    <x v="1243"/>
    <n v="3"/>
    <x v="1"/>
    <x v="0"/>
    <n v="56"/>
    <n v="1"/>
    <n v="3"/>
    <x v="8"/>
    <n v="3"/>
    <x v="2"/>
    <s v="Married"/>
    <x v="1153"/>
    <x v="2"/>
    <n v="6595"/>
    <n v="4"/>
    <s v="Y"/>
    <x v="1"/>
    <n v="21"/>
    <x v="1"/>
    <x v="1"/>
    <n v="3"/>
    <n v="80"/>
    <n v="2"/>
    <n v="9"/>
    <n v="2"/>
    <n v="4"/>
    <x v="8"/>
    <n v="0"/>
    <n v="0"/>
    <n v="3"/>
    <n v="1"/>
    <x v="1"/>
    <s v=""/>
    <s v=""/>
    <s v=""/>
  </r>
  <r>
    <x v="7"/>
    <x v="2"/>
    <x v="1"/>
    <n v="0"/>
    <s v="Travel_Frequently"/>
    <n v="1312"/>
    <x v="1"/>
    <n v="2"/>
    <n v="4"/>
    <s v="Technical Degree"/>
    <n v="1"/>
    <x v="1244"/>
    <n v="4"/>
    <x v="2"/>
    <x v="0"/>
    <n v="78"/>
    <n v="2"/>
    <n v="1"/>
    <x v="1"/>
    <n v="1"/>
    <x v="3"/>
    <s v="Single"/>
    <x v="775"/>
    <x v="0"/>
    <n v="26427"/>
    <n v="0"/>
    <s v="Y"/>
    <x v="1"/>
    <n v="16"/>
    <x v="2"/>
    <x v="0"/>
    <n v="4"/>
    <n v="80"/>
    <n v="0"/>
    <n v="10"/>
    <n v="2"/>
    <n v="3"/>
    <x v="7"/>
    <n v="7"/>
    <n v="0"/>
    <n v="7"/>
    <n v="4"/>
    <x v="2"/>
    <s v=""/>
    <s v=""/>
    <s v=""/>
  </r>
  <r>
    <x v="17"/>
    <x v="4"/>
    <x v="1"/>
    <n v="0"/>
    <s v="Travel_Frequently"/>
    <n v="897"/>
    <x v="2"/>
    <n v="10"/>
    <n v="3"/>
    <s v="Medical"/>
    <n v="1"/>
    <x v="1245"/>
    <n v="1"/>
    <x v="3"/>
    <x v="1"/>
    <n v="59"/>
    <n v="3"/>
    <n v="1"/>
    <x v="8"/>
    <n v="4"/>
    <x v="0"/>
    <s v="Married"/>
    <x v="1154"/>
    <x v="1"/>
    <n v="2097"/>
    <n v="0"/>
    <s v="Y"/>
    <x v="1"/>
    <n v="14"/>
    <x v="0"/>
    <x v="0"/>
    <n v="4"/>
    <n v="80"/>
    <n v="1"/>
    <n v="3"/>
    <n v="2"/>
    <n v="3"/>
    <x v="4"/>
    <n v="2"/>
    <n v="2"/>
    <n v="1"/>
    <n v="5"/>
    <x v="2"/>
    <s v=""/>
    <s v=""/>
    <s v=""/>
  </r>
  <r>
    <x v="7"/>
    <x v="2"/>
    <x v="0"/>
    <n v="1"/>
    <s v="Travel_Frequently"/>
    <n v="600"/>
    <x v="2"/>
    <n v="8"/>
    <n v="3"/>
    <s v="Human Resources"/>
    <n v="1"/>
    <x v="1246"/>
    <n v="3"/>
    <x v="1"/>
    <x v="0"/>
    <n v="66"/>
    <n v="2"/>
    <n v="1"/>
    <x v="8"/>
    <n v="4"/>
    <x v="0"/>
    <s v="Divorced"/>
    <x v="1155"/>
    <x v="1"/>
    <n v="9732"/>
    <n v="6"/>
    <s v="Y"/>
    <x v="1"/>
    <n v="11"/>
    <x v="0"/>
    <x v="0"/>
    <n v="3"/>
    <n v="80"/>
    <n v="1"/>
    <n v="6"/>
    <n v="0"/>
    <n v="2"/>
    <x v="9"/>
    <n v="2"/>
    <n v="1"/>
    <n v="2"/>
    <s v=""/>
    <x v="0"/>
    <s v=""/>
    <s v=""/>
    <s v=""/>
  </r>
  <r>
    <x v="12"/>
    <x v="2"/>
    <x v="1"/>
    <n v="0"/>
    <s v="Travel_Rarely"/>
    <n v="1003"/>
    <x v="0"/>
    <n v="5"/>
    <n v="3"/>
    <s v="Technical Degree"/>
    <n v="1"/>
    <x v="1247"/>
    <n v="1"/>
    <x v="3"/>
    <x v="1"/>
    <n v="51"/>
    <n v="3"/>
    <n v="2"/>
    <x v="0"/>
    <n v="3"/>
    <x v="2"/>
    <s v="Married"/>
    <x v="1156"/>
    <x v="2"/>
    <n v="20943"/>
    <n v="1"/>
    <s v="Y"/>
    <x v="1"/>
    <n v="19"/>
    <x v="2"/>
    <x v="0"/>
    <n v="3"/>
    <n v="80"/>
    <n v="1"/>
    <n v="6"/>
    <n v="3"/>
    <n v="3"/>
    <x v="8"/>
    <n v="2"/>
    <n v="0"/>
    <n v="2"/>
    <n v="1"/>
    <x v="1"/>
    <s v=""/>
    <s v=""/>
    <s v=""/>
  </r>
  <r>
    <x v="4"/>
    <x v="2"/>
    <x v="1"/>
    <n v="0"/>
    <s v="Travel_Rarely"/>
    <n v="1054"/>
    <x v="1"/>
    <n v="8"/>
    <n v="3"/>
    <s v="Medical"/>
    <n v="1"/>
    <x v="1248"/>
    <n v="3"/>
    <x v="1"/>
    <x v="0"/>
    <n v="67"/>
    <n v="3"/>
    <n v="1"/>
    <x v="1"/>
    <n v="4"/>
    <x v="0"/>
    <s v="Single"/>
    <x v="1157"/>
    <x v="1"/>
    <n v="6152"/>
    <n v="1"/>
    <s v="Y"/>
    <x v="1"/>
    <n v="11"/>
    <x v="0"/>
    <x v="0"/>
    <n v="3"/>
    <n v="80"/>
    <n v="0"/>
    <n v="6"/>
    <n v="5"/>
    <n v="2"/>
    <x v="0"/>
    <n v="2"/>
    <n v="1"/>
    <n v="4"/>
    <n v="3"/>
    <x v="2"/>
    <s v=""/>
    <s v=""/>
    <s v=""/>
  </r>
  <r>
    <x v="11"/>
    <x v="2"/>
    <x v="0"/>
    <n v="1"/>
    <s v="Travel_Rarely"/>
    <n v="428"/>
    <x v="0"/>
    <n v="9"/>
    <n v="3"/>
    <s v="Marketing"/>
    <n v="1"/>
    <x v="1249"/>
    <n v="2"/>
    <x v="0"/>
    <x v="0"/>
    <n v="52"/>
    <n v="1"/>
    <n v="1"/>
    <x v="6"/>
    <n v="2"/>
    <x v="1"/>
    <s v="Single"/>
    <x v="1158"/>
    <x v="1"/>
    <n v="14630"/>
    <n v="1"/>
    <s v="Y"/>
    <x v="1"/>
    <n v="13"/>
    <x v="0"/>
    <x v="0"/>
    <n v="3"/>
    <n v="80"/>
    <n v="0"/>
    <n v="2"/>
    <n v="3"/>
    <n v="3"/>
    <x v="4"/>
    <n v="2"/>
    <n v="2"/>
    <n v="2"/>
    <s v=""/>
    <x v="0"/>
    <s v=""/>
    <s v=""/>
    <s v=""/>
  </r>
  <r>
    <x v="11"/>
    <x v="2"/>
    <x v="1"/>
    <n v="0"/>
    <s v="Travel_Frequently"/>
    <n v="461"/>
    <x v="1"/>
    <n v="1"/>
    <n v="3"/>
    <s v="Life Sciences"/>
    <n v="1"/>
    <x v="1250"/>
    <n v="4"/>
    <x v="2"/>
    <x v="1"/>
    <n v="70"/>
    <n v="4"/>
    <n v="2"/>
    <x v="4"/>
    <n v="3"/>
    <x v="2"/>
    <s v="Single"/>
    <x v="1159"/>
    <x v="0"/>
    <n v="23060"/>
    <n v="8"/>
    <s v="Y"/>
    <x v="0"/>
    <n v="12"/>
    <x v="0"/>
    <x v="0"/>
    <n v="4"/>
    <n v="80"/>
    <n v="0"/>
    <n v="10"/>
    <n v="5"/>
    <n v="4"/>
    <x v="11"/>
    <n v="2"/>
    <n v="0"/>
    <n v="2"/>
    <n v="4"/>
    <x v="2"/>
    <s v=""/>
    <s v=""/>
    <s v=""/>
  </r>
  <r>
    <x v="7"/>
    <x v="2"/>
    <x v="1"/>
    <n v="0"/>
    <s v="Travel_Rarely"/>
    <n v="979"/>
    <x v="0"/>
    <n v="15"/>
    <n v="2"/>
    <s v="Marketing"/>
    <n v="1"/>
    <x v="1251"/>
    <n v="3"/>
    <x v="1"/>
    <x v="1"/>
    <n v="94"/>
    <n v="2"/>
    <n v="3"/>
    <x v="0"/>
    <n v="1"/>
    <x v="3"/>
    <s v="Divorced"/>
    <x v="1160"/>
    <x v="0"/>
    <n v="3088"/>
    <n v="2"/>
    <s v="Y"/>
    <x v="1"/>
    <n v="11"/>
    <x v="0"/>
    <x v="0"/>
    <n v="1"/>
    <n v="80"/>
    <n v="1"/>
    <n v="12"/>
    <n v="2"/>
    <n v="3"/>
    <x v="5"/>
    <n v="7"/>
    <n v="1"/>
    <n v="7"/>
    <n v="4"/>
    <x v="2"/>
    <s v=""/>
    <s v=""/>
    <s v=""/>
  </r>
  <r>
    <x v="13"/>
    <x v="2"/>
    <x v="1"/>
    <n v="0"/>
    <s v="Travel_Rarely"/>
    <n v="181"/>
    <x v="1"/>
    <n v="2"/>
    <n v="4"/>
    <s v="Medical"/>
    <n v="1"/>
    <x v="1252"/>
    <n v="4"/>
    <x v="2"/>
    <x v="1"/>
    <n v="97"/>
    <n v="4"/>
    <n v="1"/>
    <x v="1"/>
    <n v="4"/>
    <x v="0"/>
    <s v="Married"/>
    <x v="1161"/>
    <x v="1"/>
    <n v="5586"/>
    <n v="0"/>
    <s v="Y"/>
    <x v="0"/>
    <n v="14"/>
    <x v="0"/>
    <x v="0"/>
    <n v="1"/>
    <n v="80"/>
    <n v="3"/>
    <n v="6"/>
    <n v="3"/>
    <n v="3"/>
    <x v="8"/>
    <n v="0"/>
    <n v="1"/>
    <n v="2"/>
    <n v="5"/>
    <x v="2"/>
    <s v=""/>
    <s v=""/>
    <s v=""/>
  </r>
  <r>
    <x v="3"/>
    <x v="2"/>
    <x v="1"/>
    <n v="0"/>
    <s v="Non-Travel"/>
    <n v="1283"/>
    <x v="0"/>
    <n v="2"/>
    <n v="3"/>
    <s v="Marketing"/>
    <n v="1"/>
    <x v="1253"/>
    <n v="4"/>
    <x v="2"/>
    <x v="0"/>
    <n v="62"/>
    <n v="3"/>
    <n v="2"/>
    <x v="0"/>
    <n v="2"/>
    <x v="1"/>
    <s v="Single"/>
    <x v="1162"/>
    <x v="0"/>
    <n v="10697"/>
    <n v="8"/>
    <s v="Y"/>
    <x v="1"/>
    <n v="15"/>
    <x v="0"/>
    <x v="0"/>
    <n v="4"/>
    <n v="80"/>
    <n v="0"/>
    <n v="13"/>
    <n v="2"/>
    <n v="2"/>
    <x v="19"/>
    <n v="7"/>
    <n v="1"/>
    <n v="7"/>
    <n v="2"/>
    <x v="1"/>
    <s v=""/>
    <s v=""/>
    <s v=""/>
  </r>
  <r>
    <x v="1"/>
    <x v="1"/>
    <x v="1"/>
    <n v="0"/>
    <s v="Travel_Rarely"/>
    <n v="1313"/>
    <x v="0"/>
    <n v="11"/>
    <n v="4"/>
    <s v="Marketing"/>
    <n v="1"/>
    <x v="1254"/>
    <n v="4"/>
    <x v="2"/>
    <x v="0"/>
    <n v="80"/>
    <n v="3"/>
    <n v="2"/>
    <x v="0"/>
    <n v="4"/>
    <x v="0"/>
    <s v="Single"/>
    <x v="1163"/>
    <x v="0"/>
    <n v="8191"/>
    <n v="3"/>
    <s v="Y"/>
    <x v="1"/>
    <n v="12"/>
    <x v="0"/>
    <x v="0"/>
    <n v="3"/>
    <n v="80"/>
    <n v="0"/>
    <n v="8"/>
    <n v="1"/>
    <n v="4"/>
    <x v="8"/>
    <n v="1"/>
    <n v="0"/>
    <n v="4"/>
    <n v="1"/>
    <x v="1"/>
    <s v=""/>
    <s v=""/>
    <s v=""/>
  </r>
  <r>
    <x v="3"/>
    <x v="2"/>
    <x v="0"/>
    <n v="1"/>
    <s v="Travel_Rarely"/>
    <n v="211"/>
    <x v="0"/>
    <n v="16"/>
    <n v="3"/>
    <s v="Life Sciences"/>
    <n v="1"/>
    <x v="1255"/>
    <n v="1"/>
    <x v="3"/>
    <x v="0"/>
    <n v="74"/>
    <n v="3"/>
    <n v="3"/>
    <x v="0"/>
    <n v="1"/>
    <x v="3"/>
    <s v="Single"/>
    <x v="1164"/>
    <x v="2"/>
    <n v="10092"/>
    <n v="2"/>
    <s v="Y"/>
    <x v="0"/>
    <n v="20"/>
    <x v="2"/>
    <x v="1"/>
    <n v="3"/>
    <n v="80"/>
    <n v="0"/>
    <n v="11"/>
    <n v="2"/>
    <n v="2"/>
    <x v="2"/>
    <n v="0"/>
    <n v="0"/>
    <n v="0"/>
    <s v=""/>
    <x v="0"/>
    <s v=""/>
    <s v=""/>
    <s v=""/>
  </r>
  <r>
    <x v="8"/>
    <x v="0"/>
    <x v="1"/>
    <n v="0"/>
    <s v="Travel_Frequently"/>
    <n v="594"/>
    <x v="1"/>
    <n v="2"/>
    <n v="2"/>
    <s v="Medical"/>
    <n v="1"/>
    <x v="1256"/>
    <n v="3"/>
    <x v="1"/>
    <x v="0"/>
    <n v="75"/>
    <n v="2"/>
    <n v="1"/>
    <x v="2"/>
    <n v="2"/>
    <x v="1"/>
    <s v="Married"/>
    <x v="1165"/>
    <x v="1"/>
    <n v="15963"/>
    <n v="4"/>
    <s v="Y"/>
    <x v="1"/>
    <n v="14"/>
    <x v="0"/>
    <x v="0"/>
    <n v="2"/>
    <n v="80"/>
    <n v="1"/>
    <n v="9"/>
    <n v="4"/>
    <n v="2"/>
    <x v="0"/>
    <n v="1"/>
    <n v="0"/>
    <n v="5"/>
    <n v="3"/>
    <x v="2"/>
    <s v=""/>
    <s v=""/>
    <s v=""/>
  </r>
  <r>
    <x v="12"/>
    <x v="2"/>
    <x v="0"/>
    <n v="1"/>
    <s v="Travel_Rarely"/>
    <n v="1079"/>
    <x v="0"/>
    <n v="16"/>
    <n v="4"/>
    <s v="Marketing"/>
    <n v="1"/>
    <x v="1257"/>
    <n v="1"/>
    <x v="3"/>
    <x v="1"/>
    <n v="70"/>
    <n v="3"/>
    <n v="3"/>
    <x v="0"/>
    <n v="3"/>
    <x v="2"/>
    <s v="Married"/>
    <x v="1166"/>
    <x v="2"/>
    <n v="19002"/>
    <n v="2"/>
    <s v="Y"/>
    <x v="1"/>
    <n v="13"/>
    <x v="0"/>
    <x v="0"/>
    <n v="1"/>
    <n v="80"/>
    <n v="3"/>
    <n v="10"/>
    <n v="2"/>
    <n v="3"/>
    <x v="6"/>
    <n v="0"/>
    <n v="0"/>
    <n v="0"/>
    <s v=""/>
    <x v="0"/>
    <s v=""/>
    <s v=""/>
    <s v=""/>
  </r>
  <r>
    <x v="11"/>
    <x v="2"/>
    <x v="1"/>
    <n v="0"/>
    <s v="Travel_Rarely"/>
    <n v="590"/>
    <x v="1"/>
    <n v="4"/>
    <n v="3"/>
    <s v="Technical Degree"/>
    <n v="1"/>
    <x v="1258"/>
    <n v="4"/>
    <x v="2"/>
    <x v="0"/>
    <n v="91"/>
    <n v="2"/>
    <n v="1"/>
    <x v="1"/>
    <n v="1"/>
    <x v="3"/>
    <s v="Divorced"/>
    <x v="971"/>
    <x v="1"/>
    <n v="10007"/>
    <n v="1"/>
    <s v="Y"/>
    <x v="1"/>
    <n v="13"/>
    <x v="0"/>
    <x v="0"/>
    <n v="3"/>
    <n v="80"/>
    <n v="1"/>
    <n v="1"/>
    <n v="2"/>
    <n v="3"/>
    <x v="6"/>
    <n v="0"/>
    <n v="0"/>
    <n v="0"/>
    <n v="5"/>
    <x v="2"/>
    <s v=""/>
    <s v=""/>
    <s v=""/>
  </r>
  <r>
    <x v="7"/>
    <x v="2"/>
    <x v="1"/>
    <n v="0"/>
    <s v="Travel_Rarely"/>
    <n v="305"/>
    <x v="1"/>
    <n v="16"/>
    <n v="3"/>
    <s v="Life Sciences"/>
    <n v="1"/>
    <x v="1259"/>
    <n v="3"/>
    <x v="1"/>
    <x v="1"/>
    <n v="58"/>
    <n v="4"/>
    <n v="2"/>
    <x v="4"/>
    <n v="3"/>
    <x v="2"/>
    <s v="Married"/>
    <x v="1167"/>
    <x v="0"/>
    <n v="9128"/>
    <n v="3"/>
    <s v="Y"/>
    <x v="1"/>
    <n v="16"/>
    <x v="2"/>
    <x v="0"/>
    <n v="3"/>
    <n v="80"/>
    <n v="1"/>
    <n v="10"/>
    <n v="3"/>
    <n v="3"/>
    <x v="5"/>
    <n v="0"/>
    <n v="1"/>
    <n v="7"/>
    <n v="2"/>
    <x v="1"/>
    <s v=""/>
    <s v=""/>
    <s v=""/>
  </r>
  <r>
    <x v="5"/>
    <x v="2"/>
    <x v="1"/>
    <n v="0"/>
    <s v="Non-Travel"/>
    <n v="953"/>
    <x v="1"/>
    <n v="5"/>
    <n v="4"/>
    <s v="Technical Degree"/>
    <n v="1"/>
    <x v="1260"/>
    <n v="2"/>
    <x v="0"/>
    <x v="1"/>
    <n v="65"/>
    <n v="3"/>
    <n v="1"/>
    <x v="1"/>
    <n v="2"/>
    <x v="1"/>
    <s v="Single"/>
    <x v="1168"/>
    <x v="1"/>
    <n v="17674"/>
    <n v="2"/>
    <s v="Y"/>
    <x v="1"/>
    <n v="14"/>
    <x v="0"/>
    <x v="0"/>
    <n v="2"/>
    <n v="80"/>
    <n v="0"/>
    <n v="12"/>
    <n v="3"/>
    <n v="3"/>
    <x v="5"/>
    <n v="7"/>
    <n v="0"/>
    <n v="7"/>
    <n v="3"/>
    <x v="2"/>
    <s v=""/>
    <s v=""/>
    <s v=""/>
  </r>
  <r>
    <x v="8"/>
    <x v="0"/>
    <x v="1"/>
    <n v="0"/>
    <s v="Travel_Rarely"/>
    <n v="833"/>
    <x v="1"/>
    <n v="18"/>
    <n v="3"/>
    <s v="Medical"/>
    <n v="1"/>
    <x v="1261"/>
    <n v="2"/>
    <x v="0"/>
    <x v="1"/>
    <n v="60"/>
    <n v="1"/>
    <n v="2"/>
    <x v="4"/>
    <n v="4"/>
    <x v="0"/>
    <s v="Married"/>
    <x v="1169"/>
    <x v="0"/>
    <n v="24539"/>
    <n v="3"/>
    <s v="Y"/>
    <x v="0"/>
    <n v="16"/>
    <x v="2"/>
    <x v="0"/>
    <n v="3"/>
    <n v="80"/>
    <n v="1"/>
    <n v="15"/>
    <n v="2"/>
    <n v="3"/>
    <x v="6"/>
    <n v="0"/>
    <n v="1"/>
    <n v="0"/>
    <n v="3"/>
    <x v="2"/>
    <s v=""/>
    <s v=""/>
    <s v=""/>
  </r>
  <r>
    <x v="23"/>
    <x v="0"/>
    <x v="0"/>
    <n v="1"/>
    <s v="Travel_Frequently"/>
    <n v="807"/>
    <x v="1"/>
    <n v="17"/>
    <n v="3"/>
    <s v="Technical Degree"/>
    <n v="1"/>
    <x v="1262"/>
    <n v="3"/>
    <x v="1"/>
    <x v="1"/>
    <n v="38"/>
    <n v="2"/>
    <n v="1"/>
    <x v="1"/>
    <n v="3"/>
    <x v="2"/>
    <s v="Married"/>
    <x v="1170"/>
    <x v="1"/>
    <n v="15587"/>
    <n v="9"/>
    <s v="Y"/>
    <x v="0"/>
    <n v="16"/>
    <x v="2"/>
    <x v="0"/>
    <n v="4"/>
    <n v="80"/>
    <n v="1"/>
    <n v="6"/>
    <n v="4"/>
    <n v="3"/>
    <x v="6"/>
    <n v="0"/>
    <n v="0"/>
    <n v="0"/>
    <s v=""/>
    <x v="0"/>
    <s v=""/>
    <s v=""/>
    <s v=""/>
  </r>
  <r>
    <x v="19"/>
    <x v="0"/>
    <x v="1"/>
    <n v="0"/>
    <s v="Travel_Rarely"/>
    <n v="855"/>
    <x v="1"/>
    <n v="12"/>
    <n v="3"/>
    <s v="Medical"/>
    <n v="1"/>
    <x v="1263"/>
    <n v="2"/>
    <x v="0"/>
    <x v="1"/>
    <n v="57"/>
    <n v="3"/>
    <n v="1"/>
    <x v="2"/>
    <n v="2"/>
    <x v="1"/>
    <s v="Divorced"/>
    <x v="1171"/>
    <x v="1"/>
    <n v="8952"/>
    <n v="8"/>
    <s v="Y"/>
    <x v="1"/>
    <n v="22"/>
    <x v="1"/>
    <x v="1"/>
    <n v="2"/>
    <n v="80"/>
    <n v="3"/>
    <n v="7"/>
    <n v="6"/>
    <n v="2"/>
    <x v="8"/>
    <n v="3"/>
    <n v="0"/>
    <n v="4"/>
    <n v="3"/>
    <x v="2"/>
    <s v=""/>
    <s v=""/>
    <s v=""/>
  </r>
  <r>
    <x v="27"/>
    <x v="3"/>
    <x v="1"/>
    <n v="0"/>
    <s v="Travel_Rarely"/>
    <n v="478"/>
    <x v="1"/>
    <n v="2"/>
    <n v="3"/>
    <s v="Medical"/>
    <n v="1"/>
    <x v="1264"/>
    <n v="3"/>
    <x v="1"/>
    <x v="1"/>
    <n v="60"/>
    <n v="2"/>
    <n v="5"/>
    <x v="7"/>
    <n v="1"/>
    <x v="3"/>
    <s v="Married"/>
    <x v="1172"/>
    <x v="4"/>
    <n v="19805"/>
    <n v="8"/>
    <s v="Y"/>
    <x v="1"/>
    <n v="12"/>
    <x v="0"/>
    <x v="0"/>
    <n v="2"/>
    <n v="80"/>
    <n v="3"/>
    <n v="34"/>
    <n v="2"/>
    <n v="3"/>
    <x v="6"/>
    <n v="0"/>
    <n v="0"/>
    <n v="0"/>
    <n v="2"/>
    <x v="1"/>
    <s v=""/>
    <s v=""/>
    <s v=""/>
  </r>
  <r>
    <x v="3"/>
    <x v="2"/>
    <x v="1"/>
    <n v="0"/>
    <s v="Non-Travel"/>
    <n v="775"/>
    <x v="1"/>
    <n v="4"/>
    <n v="3"/>
    <s v="Technical Degree"/>
    <n v="1"/>
    <x v="1265"/>
    <n v="4"/>
    <x v="2"/>
    <x v="1"/>
    <n v="90"/>
    <n v="3"/>
    <n v="2"/>
    <x v="1"/>
    <n v="2"/>
    <x v="1"/>
    <s v="Divorced"/>
    <x v="1173"/>
    <x v="1"/>
    <n v="6194"/>
    <n v="5"/>
    <s v="Y"/>
    <x v="1"/>
    <n v="15"/>
    <x v="0"/>
    <x v="0"/>
    <n v="4"/>
    <n v="80"/>
    <n v="2"/>
    <n v="11"/>
    <n v="2"/>
    <n v="2"/>
    <x v="7"/>
    <n v="8"/>
    <n v="1"/>
    <n v="7"/>
    <n v="3"/>
    <x v="2"/>
    <s v=""/>
    <s v=""/>
    <s v=""/>
  </r>
  <r>
    <x v="0"/>
    <x v="0"/>
    <x v="1"/>
    <n v="0"/>
    <s v="Travel_Rarely"/>
    <n v="548"/>
    <x v="1"/>
    <n v="9"/>
    <n v="4"/>
    <s v="Life Sciences"/>
    <n v="1"/>
    <x v="1266"/>
    <n v="3"/>
    <x v="1"/>
    <x v="1"/>
    <n v="94"/>
    <n v="3"/>
    <n v="1"/>
    <x v="2"/>
    <n v="1"/>
    <x v="3"/>
    <s v="Divorced"/>
    <x v="1174"/>
    <x v="1"/>
    <n v="20520"/>
    <n v="1"/>
    <s v="Y"/>
    <x v="1"/>
    <n v="20"/>
    <x v="2"/>
    <x v="1"/>
    <n v="2"/>
    <n v="80"/>
    <n v="2"/>
    <n v="5"/>
    <n v="2"/>
    <n v="3"/>
    <x v="8"/>
    <n v="3"/>
    <n v="0"/>
    <n v="4"/>
    <n v="5"/>
    <x v="2"/>
    <s v=""/>
    <s v=""/>
    <s v=""/>
  </r>
  <r>
    <x v="13"/>
    <x v="2"/>
    <x v="1"/>
    <n v="0"/>
    <s v="Non-Travel"/>
    <n v="1375"/>
    <x v="0"/>
    <n v="10"/>
    <n v="3"/>
    <s v="Life Sciences"/>
    <n v="1"/>
    <x v="1267"/>
    <n v="4"/>
    <x v="2"/>
    <x v="1"/>
    <n v="87"/>
    <n v="3"/>
    <n v="2"/>
    <x v="0"/>
    <n v="3"/>
    <x v="2"/>
    <s v="Divorced"/>
    <x v="1175"/>
    <x v="0"/>
    <n v="12313"/>
    <n v="1"/>
    <s v="Y"/>
    <x v="0"/>
    <n v="14"/>
    <x v="0"/>
    <x v="0"/>
    <n v="3"/>
    <n v="80"/>
    <n v="1"/>
    <n v="15"/>
    <n v="3"/>
    <n v="3"/>
    <x v="15"/>
    <n v="14"/>
    <n v="0"/>
    <n v="7"/>
    <n v="4"/>
    <x v="2"/>
    <s v=""/>
    <s v=""/>
    <s v=""/>
  </r>
  <r>
    <x v="16"/>
    <x v="1"/>
    <x v="1"/>
    <n v="0"/>
    <s v="Non-Travel"/>
    <n v="661"/>
    <x v="1"/>
    <n v="1"/>
    <n v="4"/>
    <s v="Medical"/>
    <n v="1"/>
    <x v="1268"/>
    <n v="1"/>
    <x v="3"/>
    <x v="0"/>
    <n v="60"/>
    <n v="2"/>
    <n v="4"/>
    <x v="3"/>
    <n v="3"/>
    <x v="2"/>
    <s v="Married"/>
    <x v="1176"/>
    <x v="3"/>
    <n v="22308"/>
    <n v="4"/>
    <s v="Y"/>
    <x v="0"/>
    <n v="20"/>
    <x v="2"/>
    <x v="1"/>
    <n v="4"/>
    <n v="80"/>
    <n v="3"/>
    <n v="27"/>
    <n v="2"/>
    <n v="2"/>
    <x v="11"/>
    <n v="2"/>
    <n v="0"/>
    <n v="2"/>
    <n v="2"/>
    <x v="1"/>
    <s v=""/>
    <s v=""/>
    <s v=""/>
  </r>
  <r>
    <x v="23"/>
    <x v="0"/>
    <x v="1"/>
    <n v="0"/>
    <s v="Travel_Rarely"/>
    <n v="244"/>
    <x v="2"/>
    <n v="2"/>
    <n v="3"/>
    <s v="Life Sciences"/>
    <n v="1"/>
    <x v="1269"/>
    <n v="2"/>
    <x v="0"/>
    <x v="1"/>
    <n v="97"/>
    <n v="3"/>
    <n v="1"/>
    <x v="8"/>
    <n v="4"/>
    <x v="0"/>
    <s v="Single"/>
    <x v="1177"/>
    <x v="1"/>
    <n v="5033"/>
    <n v="0"/>
    <s v="Y"/>
    <x v="1"/>
    <n v="13"/>
    <x v="0"/>
    <x v="0"/>
    <n v="2"/>
    <n v="80"/>
    <n v="0"/>
    <n v="10"/>
    <n v="5"/>
    <n v="3"/>
    <x v="7"/>
    <n v="7"/>
    <n v="1"/>
    <n v="8"/>
    <n v="3"/>
    <x v="2"/>
    <s v=""/>
    <s v=""/>
    <s v=""/>
  </r>
  <r>
    <x v="13"/>
    <x v="2"/>
    <x v="1"/>
    <n v="0"/>
    <s v="Travel_Rarely"/>
    <n v="511"/>
    <x v="0"/>
    <n v="3"/>
    <n v="2"/>
    <s v="Life Sciences"/>
    <n v="1"/>
    <x v="1270"/>
    <n v="4"/>
    <x v="2"/>
    <x v="0"/>
    <n v="32"/>
    <n v="1"/>
    <n v="2"/>
    <x v="0"/>
    <n v="4"/>
    <x v="0"/>
    <s v="Single"/>
    <x v="1178"/>
    <x v="0"/>
    <n v="25353"/>
    <n v="5"/>
    <s v="Y"/>
    <x v="1"/>
    <n v="12"/>
    <x v="0"/>
    <x v="0"/>
    <n v="1"/>
    <n v="80"/>
    <n v="0"/>
    <n v="6"/>
    <n v="3"/>
    <n v="3"/>
    <x v="4"/>
    <n v="2"/>
    <n v="2"/>
    <n v="2"/>
    <n v="2"/>
    <x v="1"/>
    <s v=""/>
    <s v=""/>
    <s v=""/>
  </r>
  <r>
    <x v="18"/>
    <x v="4"/>
    <x v="0"/>
    <n v="1"/>
    <s v="Travel_Rarely"/>
    <n v="337"/>
    <x v="0"/>
    <n v="7"/>
    <n v="1"/>
    <s v="Marketing"/>
    <n v="1"/>
    <x v="1271"/>
    <n v="2"/>
    <x v="0"/>
    <x v="1"/>
    <n v="31"/>
    <n v="3"/>
    <n v="1"/>
    <x v="6"/>
    <n v="2"/>
    <x v="1"/>
    <s v="Single"/>
    <x v="1179"/>
    <x v="1"/>
    <n v="4567"/>
    <n v="1"/>
    <s v="Y"/>
    <x v="1"/>
    <n v="13"/>
    <x v="0"/>
    <x v="0"/>
    <n v="2"/>
    <n v="80"/>
    <n v="0"/>
    <n v="1"/>
    <n v="3"/>
    <n v="3"/>
    <x v="6"/>
    <n v="0"/>
    <n v="1"/>
    <n v="0"/>
    <s v=""/>
    <x v="0"/>
    <s v=""/>
    <s v=""/>
    <s v=""/>
  </r>
  <r>
    <x v="8"/>
    <x v="0"/>
    <x v="1"/>
    <n v="0"/>
    <s v="Travel_Rarely"/>
    <n v="1153"/>
    <x v="1"/>
    <n v="6"/>
    <n v="2"/>
    <s v="Other"/>
    <n v="1"/>
    <x v="1272"/>
    <n v="4"/>
    <x v="2"/>
    <x v="0"/>
    <n v="40"/>
    <n v="2"/>
    <n v="1"/>
    <x v="2"/>
    <n v="3"/>
    <x v="2"/>
    <s v="Married"/>
    <x v="1180"/>
    <x v="1"/>
    <n v="16376"/>
    <n v="1"/>
    <s v="Y"/>
    <x v="1"/>
    <n v="11"/>
    <x v="0"/>
    <x v="0"/>
    <n v="2"/>
    <n v="80"/>
    <n v="1"/>
    <n v="5"/>
    <n v="3"/>
    <n v="3"/>
    <x v="8"/>
    <n v="4"/>
    <n v="0"/>
    <n v="4"/>
    <n v="3"/>
    <x v="2"/>
    <s v=""/>
    <s v=""/>
    <s v=""/>
  </r>
  <r>
    <x v="15"/>
    <x v="4"/>
    <x v="0"/>
    <n v="1"/>
    <s v="Travel_Rarely"/>
    <n v="1294"/>
    <x v="1"/>
    <n v="8"/>
    <n v="1"/>
    <s v="Medical"/>
    <n v="1"/>
    <x v="1273"/>
    <n v="3"/>
    <x v="1"/>
    <x v="0"/>
    <n v="79"/>
    <n v="3"/>
    <n v="1"/>
    <x v="2"/>
    <n v="1"/>
    <x v="3"/>
    <s v="Married"/>
    <x v="1181"/>
    <x v="1"/>
    <n v="15999"/>
    <n v="1"/>
    <s v="Y"/>
    <x v="0"/>
    <n v="17"/>
    <x v="2"/>
    <x v="0"/>
    <n v="3"/>
    <n v="80"/>
    <n v="0"/>
    <n v="1"/>
    <n v="6"/>
    <n v="3"/>
    <x v="6"/>
    <n v="0"/>
    <n v="0"/>
    <n v="0"/>
    <s v=""/>
    <x v="0"/>
    <s v=""/>
    <s v=""/>
    <s v=""/>
  </r>
  <r>
    <x v="12"/>
    <x v="2"/>
    <x v="1"/>
    <n v="0"/>
    <s v="Travel_Rarely"/>
    <n v="196"/>
    <x v="0"/>
    <n v="29"/>
    <n v="4"/>
    <s v="Marketing"/>
    <n v="1"/>
    <x v="1274"/>
    <n v="1"/>
    <x v="3"/>
    <x v="0"/>
    <n v="91"/>
    <n v="2"/>
    <n v="2"/>
    <x v="0"/>
    <n v="4"/>
    <x v="0"/>
    <s v="Married"/>
    <x v="1182"/>
    <x v="0"/>
    <n v="13402"/>
    <n v="1"/>
    <s v="Y"/>
    <x v="1"/>
    <n v="14"/>
    <x v="0"/>
    <x v="0"/>
    <n v="1"/>
    <n v="80"/>
    <n v="2"/>
    <n v="13"/>
    <n v="3"/>
    <n v="3"/>
    <x v="12"/>
    <n v="7"/>
    <n v="5"/>
    <n v="7"/>
    <n v="2"/>
    <x v="1"/>
    <s v=""/>
    <s v=""/>
    <s v=""/>
  </r>
  <r>
    <x v="31"/>
    <x v="1"/>
    <x v="1"/>
    <n v="0"/>
    <s v="Travel_Rarely"/>
    <n v="942"/>
    <x v="1"/>
    <n v="3"/>
    <n v="3"/>
    <s v="Technical Degree"/>
    <n v="1"/>
    <x v="1275"/>
    <n v="1"/>
    <x v="3"/>
    <x v="0"/>
    <n v="53"/>
    <n v="3"/>
    <n v="3"/>
    <x v="5"/>
    <n v="3"/>
    <x v="2"/>
    <s v="Married"/>
    <x v="1183"/>
    <x v="3"/>
    <n v="22984"/>
    <n v="2"/>
    <s v="Y"/>
    <x v="1"/>
    <n v="11"/>
    <x v="0"/>
    <x v="0"/>
    <n v="4"/>
    <n v="80"/>
    <n v="0"/>
    <n v="15"/>
    <n v="2"/>
    <n v="3"/>
    <x v="4"/>
    <n v="2"/>
    <n v="2"/>
    <n v="2"/>
    <n v="0"/>
    <x v="1"/>
    <s v=""/>
    <s v=""/>
    <s v=""/>
  </r>
  <r>
    <x v="2"/>
    <x v="0"/>
    <x v="1"/>
    <n v="0"/>
    <s v="Travel_Rarely"/>
    <n v="589"/>
    <x v="0"/>
    <n v="9"/>
    <n v="2"/>
    <s v="Marketing"/>
    <n v="1"/>
    <x v="1276"/>
    <n v="2"/>
    <x v="0"/>
    <x v="1"/>
    <n v="46"/>
    <n v="2"/>
    <n v="2"/>
    <x v="0"/>
    <n v="2"/>
    <x v="1"/>
    <s v="Married"/>
    <x v="1184"/>
    <x v="0"/>
    <n v="8800"/>
    <n v="1"/>
    <s v="Y"/>
    <x v="1"/>
    <n v="14"/>
    <x v="0"/>
    <x v="0"/>
    <n v="1"/>
    <n v="80"/>
    <n v="2"/>
    <n v="5"/>
    <n v="2"/>
    <n v="3"/>
    <x v="8"/>
    <n v="2"/>
    <n v="0"/>
    <n v="3"/>
    <n v="1"/>
    <x v="1"/>
    <s v=""/>
    <s v=""/>
    <s v=""/>
  </r>
  <r>
    <x v="21"/>
    <x v="1"/>
    <x v="1"/>
    <n v="0"/>
    <s v="Travel_Rarely"/>
    <n v="734"/>
    <x v="1"/>
    <n v="2"/>
    <n v="4"/>
    <s v="Medical"/>
    <n v="1"/>
    <x v="1277"/>
    <n v="3"/>
    <x v="1"/>
    <x v="1"/>
    <n v="46"/>
    <n v="3"/>
    <n v="5"/>
    <x v="7"/>
    <n v="4"/>
    <x v="0"/>
    <s v="Divorced"/>
    <x v="1185"/>
    <x v="4"/>
    <n v="14218"/>
    <n v="7"/>
    <s v="Y"/>
    <x v="0"/>
    <n v="17"/>
    <x v="2"/>
    <x v="0"/>
    <n v="3"/>
    <n v="80"/>
    <n v="1"/>
    <n v="24"/>
    <n v="3"/>
    <n v="3"/>
    <x v="4"/>
    <n v="1"/>
    <n v="2"/>
    <n v="2"/>
    <n v="2"/>
    <x v="1"/>
    <s v=""/>
    <s v=""/>
    <s v=""/>
  </r>
  <r>
    <x v="9"/>
    <x v="0"/>
    <x v="1"/>
    <n v="0"/>
    <s v="Travel_Rarely"/>
    <n v="1383"/>
    <x v="1"/>
    <n v="10"/>
    <n v="3"/>
    <s v="Life Sciences"/>
    <n v="1"/>
    <x v="1278"/>
    <n v="4"/>
    <x v="2"/>
    <x v="1"/>
    <n v="90"/>
    <n v="3"/>
    <n v="3"/>
    <x v="4"/>
    <n v="1"/>
    <x v="3"/>
    <s v="Married"/>
    <x v="1186"/>
    <x v="2"/>
    <n v="25949"/>
    <n v="7"/>
    <s v="Y"/>
    <x v="0"/>
    <n v="13"/>
    <x v="0"/>
    <x v="0"/>
    <n v="4"/>
    <n v="80"/>
    <n v="1"/>
    <n v="15"/>
    <n v="1"/>
    <n v="3"/>
    <x v="12"/>
    <n v="8"/>
    <n v="5"/>
    <n v="7"/>
    <n v="4"/>
    <x v="2"/>
    <s v=""/>
    <s v=""/>
    <s v=""/>
  </r>
  <r>
    <x v="20"/>
    <x v="0"/>
    <x v="0"/>
    <n v="1"/>
    <s v="Travel_Frequently"/>
    <n v="429"/>
    <x v="1"/>
    <n v="1"/>
    <n v="2"/>
    <s v="Medical"/>
    <n v="1"/>
    <x v="1279"/>
    <n v="3"/>
    <x v="1"/>
    <x v="1"/>
    <n v="99"/>
    <n v="3"/>
    <n v="1"/>
    <x v="1"/>
    <n v="2"/>
    <x v="1"/>
    <s v="Divorced"/>
    <x v="531"/>
    <x v="1"/>
    <n v="11092"/>
    <n v="1"/>
    <s v="Y"/>
    <x v="0"/>
    <n v="12"/>
    <x v="0"/>
    <x v="0"/>
    <n v="3"/>
    <n v="80"/>
    <n v="3"/>
    <n v="6"/>
    <n v="2"/>
    <n v="2"/>
    <x v="8"/>
    <n v="3"/>
    <n v="2"/>
    <n v="3"/>
    <s v=""/>
    <x v="0"/>
    <s v=""/>
    <s v=""/>
    <s v=""/>
  </r>
  <r>
    <x v="2"/>
    <x v="0"/>
    <x v="1"/>
    <n v="0"/>
    <s v="Travel_Rarely"/>
    <n v="1239"/>
    <x v="2"/>
    <n v="8"/>
    <n v="2"/>
    <s v="Other"/>
    <n v="1"/>
    <x v="1280"/>
    <n v="3"/>
    <x v="1"/>
    <x v="1"/>
    <n v="89"/>
    <n v="3"/>
    <n v="2"/>
    <x v="8"/>
    <n v="2"/>
    <x v="1"/>
    <s v="Divorced"/>
    <x v="1187"/>
    <x v="0"/>
    <n v="12832"/>
    <n v="2"/>
    <s v="Y"/>
    <x v="1"/>
    <n v="13"/>
    <x v="0"/>
    <x v="0"/>
    <n v="3"/>
    <n v="80"/>
    <n v="0"/>
    <n v="19"/>
    <n v="4"/>
    <n v="2"/>
    <x v="1"/>
    <n v="0"/>
    <n v="4"/>
    <n v="7"/>
    <n v="2"/>
    <x v="1"/>
    <s v=""/>
    <s v=""/>
    <s v=""/>
  </r>
  <r>
    <x v="10"/>
    <x v="0"/>
    <x v="0"/>
    <n v="1"/>
    <s v="Travel_Rarely"/>
    <n v="303"/>
    <x v="0"/>
    <n v="27"/>
    <n v="3"/>
    <s v="Life Sciences"/>
    <n v="1"/>
    <x v="1281"/>
    <n v="3"/>
    <x v="1"/>
    <x v="1"/>
    <n v="84"/>
    <n v="3"/>
    <n v="2"/>
    <x v="0"/>
    <n v="4"/>
    <x v="0"/>
    <s v="Single"/>
    <x v="1188"/>
    <x v="0"/>
    <n v="13492"/>
    <n v="1"/>
    <s v="Y"/>
    <x v="0"/>
    <n v="18"/>
    <x v="2"/>
    <x v="0"/>
    <n v="4"/>
    <n v="80"/>
    <n v="0"/>
    <n v="10"/>
    <n v="2"/>
    <n v="3"/>
    <x v="1"/>
    <n v="7"/>
    <n v="7"/>
    <n v="7"/>
    <s v=""/>
    <x v="0"/>
    <s v=""/>
    <s v=""/>
    <s v=""/>
  </r>
  <r>
    <x v="3"/>
    <x v="2"/>
    <x v="1"/>
    <n v="0"/>
    <s v="Travel_Rarely"/>
    <n v="867"/>
    <x v="1"/>
    <n v="8"/>
    <n v="4"/>
    <s v="Life Sciences"/>
    <n v="1"/>
    <x v="1282"/>
    <n v="4"/>
    <x v="2"/>
    <x v="1"/>
    <n v="90"/>
    <n v="4"/>
    <n v="1"/>
    <x v="1"/>
    <n v="1"/>
    <x v="3"/>
    <s v="Married"/>
    <x v="1189"/>
    <x v="1"/>
    <n v="6076"/>
    <n v="6"/>
    <s v="Y"/>
    <x v="1"/>
    <n v="19"/>
    <x v="2"/>
    <x v="0"/>
    <n v="2"/>
    <n v="80"/>
    <n v="1"/>
    <n v="14"/>
    <n v="1"/>
    <n v="3"/>
    <x v="1"/>
    <n v="8"/>
    <n v="7"/>
    <n v="6"/>
    <n v="5"/>
    <x v="2"/>
    <s v=""/>
    <s v=""/>
    <s v=""/>
  </r>
  <r>
    <x v="14"/>
    <x v="2"/>
    <x v="1"/>
    <n v="0"/>
    <s v="Travel_Rarely"/>
    <n v="1181"/>
    <x v="1"/>
    <n v="1"/>
    <n v="3"/>
    <s v="Life Sciences"/>
    <n v="1"/>
    <x v="1283"/>
    <n v="3"/>
    <x v="1"/>
    <x v="1"/>
    <n v="82"/>
    <n v="3"/>
    <n v="1"/>
    <x v="1"/>
    <n v="4"/>
    <x v="0"/>
    <s v="Married"/>
    <x v="633"/>
    <x v="1"/>
    <n v="5531"/>
    <n v="1"/>
    <s v="Y"/>
    <x v="1"/>
    <n v="11"/>
    <x v="0"/>
    <x v="0"/>
    <n v="3"/>
    <n v="80"/>
    <n v="1"/>
    <n v="5"/>
    <n v="6"/>
    <n v="4"/>
    <x v="8"/>
    <n v="3"/>
    <n v="0"/>
    <n v="3"/>
    <n v="3"/>
    <x v="2"/>
    <s v=""/>
    <s v=""/>
    <s v=""/>
  </r>
  <r>
    <x v="22"/>
    <x v="0"/>
    <x v="1"/>
    <n v="0"/>
    <s v="Travel_Rarely"/>
    <n v="1253"/>
    <x v="1"/>
    <n v="10"/>
    <n v="1"/>
    <s v="Medical"/>
    <n v="1"/>
    <x v="1284"/>
    <n v="3"/>
    <x v="1"/>
    <x v="1"/>
    <n v="65"/>
    <n v="3"/>
    <n v="3"/>
    <x v="7"/>
    <n v="3"/>
    <x v="2"/>
    <s v="Single"/>
    <x v="1190"/>
    <x v="3"/>
    <n v="7914"/>
    <n v="7"/>
    <s v="Y"/>
    <x v="1"/>
    <n v="21"/>
    <x v="1"/>
    <x v="1"/>
    <n v="3"/>
    <n v="80"/>
    <n v="0"/>
    <n v="9"/>
    <n v="3"/>
    <n v="3"/>
    <x v="9"/>
    <n v="3"/>
    <n v="2"/>
    <n v="2"/>
    <n v="0"/>
    <x v="1"/>
    <s v=""/>
    <s v=""/>
    <s v=""/>
  </r>
  <r>
    <x v="21"/>
    <x v="1"/>
    <x v="1"/>
    <n v="0"/>
    <s v="Non-Travel"/>
    <n v="849"/>
    <x v="0"/>
    <n v="26"/>
    <n v="2"/>
    <s v="Life Sciences"/>
    <n v="1"/>
    <x v="1285"/>
    <n v="2"/>
    <x v="0"/>
    <x v="1"/>
    <n v="98"/>
    <n v="2"/>
    <n v="2"/>
    <x v="0"/>
    <n v="2"/>
    <x v="1"/>
    <s v="Single"/>
    <x v="1191"/>
    <x v="0"/>
    <n v="25166"/>
    <n v="8"/>
    <s v="Y"/>
    <x v="1"/>
    <n v="15"/>
    <x v="0"/>
    <x v="0"/>
    <n v="3"/>
    <n v="80"/>
    <n v="0"/>
    <n v="6"/>
    <n v="3"/>
    <n v="3"/>
    <x v="4"/>
    <n v="2"/>
    <n v="2"/>
    <n v="2"/>
    <n v="1"/>
    <x v="1"/>
    <s v=""/>
    <s v=""/>
    <s v=""/>
  </r>
  <r>
    <x v="32"/>
    <x v="0"/>
    <x v="1"/>
    <n v="0"/>
    <s v="Travel_Rarely"/>
    <n v="616"/>
    <x v="1"/>
    <n v="2"/>
    <n v="2"/>
    <s v="Life Sciences"/>
    <n v="1"/>
    <x v="1286"/>
    <n v="3"/>
    <x v="1"/>
    <x v="0"/>
    <n v="99"/>
    <n v="3"/>
    <n v="1"/>
    <x v="2"/>
    <n v="1"/>
    <x v="3"/>
    <s v="Married"/>
    <x v="1192"/>
    <x v="1"/>
    <n v="25605"/>
    <n v="4"/>
    <s v="Y"/>
    <x v="1"/>
    <n v="17"/>
    <x v="2"/>
    <x v="0"/>
    <n v="4"/>
    <n v="80"/>
    <n v="1"/>
    <n v="7"/>
    <n v="5"/>
    <n v="2"/>
    <x v="9"/>
    <n v="3"/>
    <n v="0"/>
    <n v="2"/>
    <n v="5"/>
    <x v="2"/>
    <s v=""/>
    <s v=""/>
    <s v=""/>
  </r>
  <r>
    <x v="19"/>
    <x v="0"/>
    <x v="1"/>
    <n v="0"/>
    <s v="Travel_Rarely"/>
    <n v="1128"/>
    <x v="1"/>
    <n v="13"/>
    <n v="3"/>
    <s v="Medical"/>
    <n v="1"/>
    <x v="1287"/>
    <n v="2"/>
    <x v="0"/>
    <x v="1"/>
    <n v="95"/>
    <n v="4"/>
    <n v="2"/>
    <x v="4"/>
    <n v="1"/>
    <x v="3"/>
    <s v="Married"/>
    <x v="1193"/>
    <x v="0"/>
    <n v="5696"/>
    <n v="5"/>
    <s v="Y"/>
    <x v="1"/>
    <n v="18"/>
    <x v="2"/>
    <x v="0"/>
    <n v="3"/>
    <n v="80"/>
    <n v="2"/>
    <n v="10"/>
    <n v="2"/>
    <n v="2"/>
    <x v="2"/>
    <n v="0"/>
    <n v="0"/>
    <n v="0"/>
    <n v="3"/>
    <x v="2"/>
    <s v=""/>
    <s v=""/>
    <s v=""/>
  </r>
  <r>
    <x v="10"/>
    <x v="0"/>
    <x v="1"/>
    <n v="0"/>
    <s v="Non-Travel"/>
    <n v="1180"/>
    <x v="1"/>
    <n v="2"/>
    <n v="2"/>
    <s v="Medical"/>
    <n v="1"/>
    <x v="1288"/>
    <n v="2"/>
    <x v="0"/>
    <x v="1"/>
    <n v="90"/>
    <n v="3"/>
    <n v="2"/>
    <x v="3"/>
    <n v="4"/>
    <x v="0"/>
    <s v="Divorced"/>
    <x v="1194"/>
    <x v="0"/>
    <n v="24442"/>
    <n v="2"/>
    <s v="Y"/>
    <x v="1"/>
    <n v="14"/>
    <x v="0"/>
    <x v="0"/>
    <n v="3"/>
    <n v="80"/>
    <n v="1"/>
    <n v="15"/>
    <n v="6"/>
    <n v="3"/>
    <x v="5"/>
    <n v="7"/>
    <n v="1"/>
    <n v="7"/>
    <n v="1"/>
    <x v="1"/>
    <s v=""/>
    <s v=""/>
    <s v=""/>
  </r>
  <r>
    <x v="8"/>
    <x v="0"/>
    <x v="1"/>
    <n v="0"/>
    <s v="Non-Travel"/>
    <n v="1336"/>
    <x v="2"/>
    <n v="2"/>
    <n v="3"/>
    <s v="Human Resources"/>
    <n v="1"/>
    <x v="1289"/>
    <n v="1"/>
    <x v="3"/>
    <x v="1"/>
    <n v="100"/>
    <n v="3"/>
    <n v="1"/>
    <x v="8"/>
    <n v="2"/>
    <x v="1"/>
    <s v="Divorced"/>
    <x v="1195"/>
    <x v="1"/>
    <n v="7129"/>
    <n v="5"/>
    <s v="Y"/>
    <x v="1"/>
    <n v="13"/>
    <x v="0"/>
    <x v="0"/>
    <n v="4"/>
    <n v="80"/>
    <n v="3"/>
    <n v="13"/>
    <n v="3"/>
    <n v="3"/>
    <x v="19"/>
    <n v="10"/>
    <n v="3"/>
    <n v="8"/>
    <n v="3"/>
    <x v="2"/>
    <s v=""/>
    <s v=""/>
    <s v=""/>
  </r>
  <r>
    <x v="13"/>
    <x v="2"/>
    <x v="0"/>
    <n v="1"/>
    <s v="Travel_Frequently"/>
    <n v="234"/>
    <x v="1"/>
    <n v="9"/>
    <n v="4"/>
    <s v="Life Sciences"/>
    <n v="1"/>
    <x v="1290"/>
    <n v="4"/>
    <x v="2"/>
    <x v="1"/>
    <n v="93"/>
    <n v="3"/>
    <n v="2"/>
    <x v="2"/>
    <n v="1"/>
    <x v="3"/>
    <s v="Married"/>
    <x v="800"/>
    <x v="0"/>
    <n v="6208"/>
    <n v="4"/>
    <s v="Y"/>
    <x v="1"/>
    <n v="17"/>
    <x v="2"/>
    <x v="0"/>
    <n v="3"/>
    <n v="80"/>
    <n v="1"/>
    <n v="11"/>
    <n v="3"/>
    <n v="2"/>
    <x v="5"/>
    <n v="1"/>
    <n v="0"/>
    <n v="7"/>
    <s v=""/>
    <x v="0"/>
    <s v=""/>
    <s v=""/>
    <s v=""/>
  </r>
  <r>
    <x v="2"/>
    <x v="0"/>
    <x v="0"/>
    <n v="1"/>
    <s v="Travel_Rarely"/>
    <n v="370"/>
    <x v="1"/>
    <n v="10"/>
    <n v="4"/>
    <s v="Medical"/>
    <n v="1"/>
    <x v="1291"/>
    <n v="4"/>
    <x v="2"/>
    <x v="1"/>
    <n v="58"/>
    <n v="3"/>
    <n v="2"/>
    <x v="3"/>
    <n v="1"/>
    <x v="3"/>
    <s v="Single"/>
    <x v="1196"/>
    <x v="0"/>
    <n v="4992"/>
    <n v="1"/>
    <s v="Y"/>
    <x v="1"/>
    <n v="15"/>
    <x v="0"/>
    <x v="0"/>
    <n v="2"/>
    <n v="80"/>
    <n v="0"/>
    <n v="10"/>
    <n v="4"/>
    <n v="1"/>
    <x v="1"/>
    <n v="3"/>
    <n v="0"/>
    <n v="8"/>
    <s v=""/>
    <x v="0"/>
    <s v=""/>
    <s v=""/>
    <s v=""/>
  </r>
  <r>
    <x v="22"/>
    <x v="0"/>
    <x v="1"/>
    <n v="0"/>
    <s v="Travel_Frequently"/>
    <n v="766"/>
    <x v="0"/>
    <n v="20"/>
    <n v="3"/>
    <s v="Life Sciences"/>
    <n v="1"/>
    <x v="1292"/>
    <n v="3"/>
    <x v="1"/>
    <x v="1"/>
    <n v="83"/>
    <n v="3"/>
    <n v="2"/>
    <x v="0"/>
    <n v="4"/>
    <x v="0"/>
    <s v="Divorced"/>
    <x v="1197"/>
    <x v="0"/>
    <n v="19188"/>
    <n v="2"/>
    <s v="Y"/>
    <x v="1"/>
    <n v="18"/>
    <x v="2"/>
    <x v="0"/>
    <n v="4"/>
    <n v="80"/>
    <n v="1"/>
    <n v="7"/>
    <n v="6"/>
    <n v="3"/>
    <x v="4"/>
    <n v="1"/>
    <n v="2"/>
    <n v="2"/>
    <n v="1"/>
    <x v="1"/>
    <s v=""/>
    <s v=""/>
    <s v=""/>
  </r>
  <r>
    <x v="23"/>
    <x v="0"/>
    <x v="1"/>
    <n v="0"/>
    <s v="Non-Travel"/>
    <n v="343"/>
    <x v="1"/>
    <n v="9"/>
    <n v="3"/>
    <s v="Life Sciences"/>
    <n v="1"/>
    <x v="1293"/>
    <n v="1"/>
    <x v="3"/>
    <x v="1"/>
    <n v="52"/>
    <n v="3"/>
    <n v="1"/>
    <x v="1"/>
    <n v="3"/>
    <x v="2"/>
    <s v="Single"/>
    <x v="1198"/>
    <x v="1"/>
    <n v="24978"/>
    <n v="4"/>
    <s v="Y"/>
    <x v="1"/>
    <n v="13"/>
    <x v="0"/>
    <x v="0"/>
    <n v="3"/>
    <n v="80"/>
    <n v="0"/>
    <n v="7"/>
    <n v="2"/>
    <n v="2"/>
    <x v="11"/>
    <n v="2"/>
    <n v="1"/>
    <n v="2"/>
    <n v="2"/>
    <x v="1"/>
    <s v=""/>
    <s v=""/>
    <s v=""/>
  </r>
  <r>
    <x v="0"/>
    <x v="0"/>
    <x v="1"/>
    <n v="0"/>
    <s v="Travel_Rarely"/>
    <n v="447"/>
    <x v="1"/>
    <n v="5"/>
    <n v="3"/>
    <s v="Life Sciences"/>
    <n v="1"/>
    <x v="1294"/>
    <n v="2"/>
    <x v="0"/>
    <x v="1"/>
    <n v="85"/>
    <n v="4"/>
    <n v="2"/>
    <x v="4"/>
    <n v="2"/>
    <x v="1"/>
    <s v="Single"/>
    <x v="1199"/>
    <x v="0"/>
    <n v="15530"/>
    <n v="3"/>
    <s v="Y"/>
    <x v="1"/>
    <n v="12"/>
    <x v="0"/>
    <x v="0"/>
    <n v="1"/>
    <n v="80"/>
    <n v="0"/>
    <n v="11"/>
    <n v="3"/>
    <n v="1"/>
    <x v="11"/>
    <n v="2"/>
    <n v="1"/>
    <n v="2"/>
    <n v="1"/>
    <x v="1"/>
    <s v=""/>
    <s v=""/>
    <s v=""/>
  </r>
  <r>
    <x v="0"/>
    <x v="0"/>
    <x v="1"/>
    <n v="0"/>
    <s v="Travel_Rarely"/>
    <n v="796"/>
    <x v="0"/>
    <n v="4"/>
    <n v="1"/>
    <s v="Marketing"/>
    <n v="1"/>
    <x v="1295"/>
    <n v="3"/>
    <x v="1"/>
    <x v="0"/>
    <n v="81"/>
    <n v="3"/>
    <n v="3"/>
    <x v="0"/>
    <n v="3"/>
    <x v="2"/>
    <s v="Divorced"/>
    <x v="1200"/>
    <x v="2"/>
    <n v="26458"/>
    <n v="0"/>
    <s v="Y"/>
    <x v="0"/>
    <n v="13"/>
    <x v="0"/>
    <x v="0"/>
    <n v="4"/>
    <n v="80"/>
    <n v="1"/>
    <n v="23"/>
    <n v="3"/>
    <n v="4"/>
    <x v="14"/>
    <n v="14"/>
    <n v="13"/>
    <n v="5"/>
    <n v="2"/>
    <x v="1"/>
    <s v=""/>
    <s v=""/>
    <s v=""/>
  </r>
  <r>
    <x v="7"/>
    <x v="2"/>
    <x v="1"/>
    <n v="0"/>
    <s v="Travel_Rarely"/>
    <n v="1092"/>
    <x v="1"/>
    <n v="10"/>
    <n v="3"/>
    <s v="Medical"/>
    <n v="1"/>
    <x v="1296"/>
    <n v="1"/>
    <x v="3"/>
    <x v="0"/>
    <n v="64"/>
    <n v="3"/>
    <n v="3"/>
    <x v="3"/>
    <n v="3"/>
    <x v="2"/>
    <s v="Single"/>
    <x v="1201"/>
    <x v="2"/>
    <n v="2739"/>
    <n v="9"/>
    <s v="Y"/>
    <x v="1"/>
    <n v="14"/>
    <x v="0"/>
    <x v="0"/>
    <n v="2"/>
    <n v="80"/>
    <n v="0"/>
    <n v="9"/>
    <n v="3"/>
    <n v="3"/>
    <x v="5"/>
    <n v="7"/>
    <n v="0"/>
    <n v="2"/>
    <n v="1"/>
    <x v="1"/>
    <s v=""/>
    <s v=""/>
    <s v=""/>
  </r>
  <r>
    <x v="25"/>
    <x v="2"/>
    <x v="0"/>
    <n v="1"/>
    <s v="Travel_Rarely"/>
    <n v="920"/>
    <x v="2"/>
    <n v="20"/>
    <n v="2"/>
    <s v="Medical"/>
    <n v="1"/>
    <x v="1297"/>
    <n v="4"/>
    <x v="2"/>
    <x v="0"/>
    <n v="69"/>
    <n v="3"/>
    <n v="1"/>
    <x v="8"/>
    <n v="2"/>
    <x v="1"/>
    <s v="Married"/>
    <x v="1202"/>
    <x v="1"/>
    <n v="6889"/>
    <n v="0"/>
    <s v="Y"/>
    <x v="0"/>
    <n v="11"/>
    <x v="0"/>
    <x v="0"/>
    <n v="3"/>
    <n v="80"/>
    <n v="0"/>
    <n v="6"/>
    <n v="3"/>
    <n v="3"/>
    <x v="8"/>
    <n v="1"/>
    <n v="1"/>
    <n v="4"/>
    <s v=""/>
    <x v="0"/>
    <s v=""/>
    <s v=""/>
    <s v=""/>
  </r>
  <r>
    <x v="21"/>
    <x v="1"/>
    <x v="0"/>
    <n v="1"/>
    <s v="Travel_Rarely"/>
    <n v="261"/>
    <x v="1"/>
    <n v="21"/>
    <n v="2"/>
    <s v="Medical"/>
    <n v="1"/>
    <x v="1298"/>
    <n v="4"/>
    <x v="2"/>
    <x v="0"/>
    <n v="66"/>
    <n v="3"/>
    <n v="2"/>
    <x v="4"/>
    <n v="2"/>
    <x v="1"/>
    <s v="Married"/>
    <x v="1203"/>
    <x v="2"/>
    <n v="10842"/>
    <n v="4"/>
    <s v="Y"/>
    <x v="1"/>
    <n v="22"/>
    <x v="1"/>
    <x v="1"/>
    <n v="4"/>
    <n v="80"/>
    <n v="1"/>
    <n v="13"/>
    <n v="2"/>
    <n v="4"/>
    <x v="7"/>
    <n v="7"/>
    <n v="3"/>
    <n v="7"/>
    <s v=""/>
    <x v="0"/>
    <s v=""/>
    <s v=""/>
    <s v=""/>
  </r>
  <r>
    <x v="32"/>
    <x v="0"/>
    <x v="1"/>
    <n v="0"/>
    <s v="Travel_Rarely"/>
    <n v="1194"/>
    <x v="1"/>
    <n v="1"/>
    <n v="3"/>
    <s v="Life Sciences"/>
    <n v="1"/>
    <x v="1299"/>
    <n v="3"/>
    <x v="1"/>
    <x v="0"/>
    <n v="52"/>
    <n v="3"/>
    <n v="2"/>
    <x v="4"/>
    <n v="4"/>
    <x v="0"/>
    <s v="Divorced"/>
    <x v="1204"/>
    <x v="0"/>
    <n v="9060"/>
    <n v="4"/>
    <s v="Y"/>
    <x v="1"/>
    <n v="17"/>
    <x v="2"/>
    <x v="0"/>
    <n v="4"/>
    <n v="80"/>
    <n v="1"/>
    <n v="12"/>
    <n v="3"/>
    <n v="3"/>
    <x v="8"/>
    <n v="3"/>
    <n v="0"/>
    <n v="3"/>
    <n v="1"/>
    <x v="1"/>
    <s v=""/>
    <s v=""/>
    <s v=""/>
  </r>
  <r>
    <x v="13"/>
    <x v="2"/>
    <x v="1"/>
    <n v="0"/>
    <s v="Travel_Rarely"/>
    <n v="810"/>
    <x v="0"/>
    <n v="8"/>
    <n v="2"/>
    <s v="Technical Degree"/>
    <n v="1"/>
    <x v="1300"/>
    <n v="2"/>
    <x v="0"/>
    <x v="1"/>
    <n v="92"/>
    <n v="4"/>
    <n v="2"/>
    <x v="0"/>
    <n v="3"/>
    <x v="2"/>
    <s v="Married"/>
    <x v="1205"/>
    <x v="0"/>
    <n v="22128"/>
    <n v="1"/>
    <s v="Y"/>
    <x v="1"/>
    <n v="21"/>
    <x v="1"/>
    <x v="1"/>
    <n v="3"/>
    <n v="80"/>
    <n v="2"/>
    <n v="10"/>
    <n v="5"/>
    <n v="3"/>
    <x v="1"/>
    <n v="8"/>
    <n v="4"/>
    <n v="8"/>
    <n v="2"/>
    <x v="1"/>
    <s v=""/>
    <s v=""/>
    <s v=""/>
  </r>
  <r>
    <x v="34"/>
    <x v="3"/>
    <x v="1"/>
    <n v="0"/>
    <s v="Non-Travel"/>
    <n v="350"/>
    <x v="0"/>
    <n v="2"/>
    <n v="3"/>
    <s v="Medical"/>
    <n v="1"/>
    <x v="1301"/>
    <n v="2"/>
    <x v="0"/>
    <x v="1"/>
    <n v="52"/>
    <n v="3"/>
    <n v="4"/>
    <x v="5"/>
    <n v="2"/>
    <x v="1"/>
    <s v="Divorced"/>
    <x v="1206"/>
    <x v="4"/>
    <n v="22577"/>
    <n v="4"/>
    <s v="Y"/>
    <x v="1"/>
    <n v="22"/>
    <x v="1"/>
    <x v="1"/>
    <n v="4"/>
    <n v="80"/>
    <n v="1"/>
    <n v="37"/>
    <n v="0"/>
    <n v="2"/>
    <x v="22"/>
    <n v="9"/>
    <n v="14"/>
    <n v="14"/>
    <n v="0"/>
    <x v="1"/>
    <s v=""/>
    <s v=""/>
    <s v=""/>
  </r>
  <r>
    <x v="10"/>
    <x v="0"/>
    <x v="1"/>
    <n v="0"/>
    <s v="Travel_Rarely"/>
    <n v="185"/>
    <x v="1"/>
    <n v="23"/>
    <n v="4"/>
    <s v="Medical"/>
    <n v="1"/>
    <x v="1302"/>
    <n v="2"/>
    <x v="0"/>
    <x v="1"/>
    <n v="91"/>
    <n v="1"/>
    <n v="1"/>
    <x v="2"/>
    <n v="3"/>
    <x v="2"/>
    <s v="Married"/>
    <x v="1207"/>
    <x v="1"/>
    <n v="9696"/>
    <n v="0"/>
    <s v="Y"/>
    <x v="1"/>
    <n v="16"/>
    <x v="2"/>
    <x v="0"/>
    <n v="2"/>
    <n v="80"/>
    <n v="1"/>
    <n v="6"/>
    <n v="2"/>
    <n v="4"/>
    <x v="8"/>
    <n v="4"/>
    <n v="0"/>
    <n v="3"/>
    <n v="3"/>
    <x v="2"/>
    <s v=""/>
    <s v=""/>
    <s v=""/>
  </r>
  <r>
    <x v="40"/>
    <x v="1"/>
    <x v="1"/>
    <n v="0"/>
    <s v="Travel_Rarely"/>
    <n v="1001"/>
    <x v="1"/>
    <n v="4"/>
    <n v="3"/>
    <s v="Life Sciences"/>
    <n v="1"/>
    <x v="1303"/>
    <n v="3"/>
    <x v="1"/>
    <x v="0"/>
    <n v="92"/>
    <n v="2"/>
    <n v="3"/>
    <x v="3"/>
    <n v="2"/>
    <x v="1"/>
    <s v="Divorced"/>
    <x v="1208"/>
    <x v="2"/>
    <n v="19271"/>
    <n v="8"/>
    <s v="Y"/>
    <x v="0"/>
    <n v="12"/>
    <x v="0"/>
    <x v="0"/>
    <n v="3"/>
    <n v="80"/>
    <n v="1"/>
    <n v="28"/>
    <n v="4"/>
    <n v="3"/>
    <x v="14"/>
    <n v="11"/>
    <n v="14"/>
    <n v="10"/>
    <n v="2"/>
    <x v="1"/>
    <s v=""/>
    <s v=""/>
    <s v=""/>
  </r>
  <r>
    <x v="32"/>
    <x v="0"/>
    <x v="1"/>
    <n v="0"/>
    <s v="Travel_Rarely"/>
    <n v="750"/>
    <x v="1"/>
    <n v="12"/>
    <n v="3"/>
    <s v="Life Sciences"/>
    <n v="1"/>
    <x v="1304"/>
    <n v="2"/>
    <x v="0"/>
    <x v="0"/>
    <n v="47"/>
    <n v="3"/>
    <n v="2"/>
    <x v="4"/>
    <n v="1"/>
    <x v="3"/>
    <s v="Divorced"/>
    <x v="1209"/>
    <x v="0"/>
    <n v="10748"/>
    <n v="2"/>
    <s v="Y"/>
    <x v="1"/>
    <n v="12"/>
    <x v="0"/>
    <x v="0"/>
    <n v="2"/>
    <n v="80"/>
    <n v="1"/>
    <n v="15"/>
    <n v="3"/>
    <n v="3"/>
    <x v="5"/>
    <n v="4"/>
    <n v="7"/>
    <n v="7"/>
    <n v="3"/>
    <x v="2"/>
    <s v=""/>
    <s v=""/>
    <s v=""/>
  </r>
  <r>
    <x v="33"/>
    <x v="1"/>
    <x v="1"/>
    <n v="0"/>
    <s v="Travel_Rarely"/>
    <n v="431"/>
    <x v="1"/>
    <n v="7"/>
    <n v="4"/>
    <s v="Medical"/>
    <n v="1"/>
    <x v="1305"/>
    <n v="4"/>
    <x v="2"/>
    <x v="0"/>
    <n v="68"/>
    <n v="3"/>
    <n v="2"/>
    <x v="1"/>
    <n v="4"/>
    <x v="0"/>
    <s v="Married"/>
    <x v="1210"/>
    <x v="0"/>
    <n v="15696"/>
    <n v="4"/>
    <s v="Y"/>
    <x v="1"/>
    <n v="15"/>
    <x v="0"/>
    <x v="0"/>
    <n v="2"/>
    <n v="80"/>
    <n v="1"/>
    <n v="14"/>
    <n v="2"/>
    <n v="2"/>
    <x v="5"/>
    <n v="1"/>
    <n v="1"/>
    <n v="7"/>
    <n v="1"/>
    <x v="1"/>
    <s v=""/>
    <s v=""/>
    <s v=""/>
  </r>
  <r>
    <x v="12"/>
    <x v="2"/>
    <x v="1"/>
    <n v="0"/>
    <s v="Travel_Frequently"/>
    <n v="1125"/>
    <x v="0"/>
    <n v="7"/>
    <n v="4"/>
    <s v="Marketing"/>
    <n v="1"/>
    <x v="1306"/>
    <n v="1"/>
    <x v="3"/>
    <x v="0"/>
    <n v="68"/>
    <n v="3"/>
    <n v="3"/>
    <x v="0"/>
    <n v="1"/>
    <x v="3"/>
    <s v="Married"/>
    <x v="1211"/>
    <x v="2"/>
    <n v="8277"/>
    <n v="2"/>
    <s v="Y"/>
    <x v="1"/>
    <n v="14"/>
    <x v="0"/>
    <x v="0"/>
    <n v="4"/>
    <n v="80"/>
    <n v="2"/>
    <n v="9"/>
    <n v="3"/>
    <n v="3"/>
    <x v="11"/>
    <n v="2"/>
    <n v="2"/>
    <n v="2"/>
    <n v="3"/>
    <x v="2"/>
    <s v=""/>
    <s v=""/>
    <s v=""/>
  </r>
  <r>
    <x v="14"/>
    <x v="2"/>
    <x v="1"/>
    <n v="0"/>
    <s v="Travel_Rarely"/>
    <n v="1217"/>
    <x v="1"/>
    <n v="1"/>
    <n v="3"/>
    <s v="Medical"/>
    <n v="1"/>
    <x v="1307"/>
    <n v="3"/>
    <x v="1"/>
    <x v="0"/>
    <n v="67"/>
    <n v="3"/>
    <n v="1"/>
    <x v="1"/>
    <n v="1"/>
    <x v="3"/>
    <s v="Married"/>
    <x v="1212"/>
    <x v="1"/>
    <n v="12719"/>
    <n v="1"/>
    <s v="Y"/>
    <x v="1"/>
    <n v="25"/>
    <x v="1"/>
    <x v="1"/>
    <n v="3"/>
    <n v="80"/>
    <n v="1"/>
    <n v="3"/>
    <n v="3"/>
    <n v="3"/>
    <x v="11"/>
    <n v="2"/>
    <n v="1"/>
    <n v="2"/>
    <n v="5"/>
    <x v="2"/>
    <s v=""/>
    <s v=""/>
    <s v=""/>
  </r>
  <r>
    <x v="8"/>
    <x v="0"/>
    <x v="1"/>
    <n v="0"/>
    <s v="Travel_Rarely"/>
    <n v="723"/>
    <x v="0"/>
    <n v="2"/>
    <n v="4"/>
    <s v="Marketing"/>
    <n v="1"/>
    <x v="1308"/>
    <n v="2"/>
    <x v="0"/>
    <x v="0"/>
    <n v="77"/>
    <n v="1"/>
    <n v="2"/>
    <x v="6"/>
    <n v="4"/>
    <x v="0"/>
    <s v="Married"/>
    <x v="517"/>
    <x v="0"/>
    <n v="4244"/>
    <n v="2"/>
    <s v="Y"/>
    <x v="0"/>
    <n v="20"/>
    <x v="2"/>
    <x v="1"/>
    <n v="1"/>
    <n v="80"/>
    <n v="2"/>
    <n v="20"/>
    <n v="4"/>
    <n v="2"/>
    <x v="9"/>
    <n v="2"/>
    <n v="0"/>
    <n v="3"/>
    <n v="5"/>
    <x v="2"/>
    <s v=""/>
    <s v=""/>
    <s v=""/>
  </r>
  <r>
    <x v="25"/>
    <x v="2"/>
    <x v="1"/>
    <n v="0"/>
    <s v="Travel_Rarely"/>
    <n v="572"/>
    <x v="0"/>
    <n v="10"/>
    <n v="3"/>
    <s v="Medical"/>
    <n v="1"/>
    <x v="1309"/>
    <n v="3"/>
    <x v="1"/>
    <x v="1"/>
    <n v="46"/>
    <n v="3"/>
    <n v="2"/>
    <x v="0"/>
    <n v="4"/>
    <x v="0"/>
    <s v="Single"/>
    <x v="1213"/>
    <x v="0"/>
    <n v="9125"/>
    <n v="1"/>
    <s v="Y"/>
    <x v="1"/>
    <n v="13"/>
    <x v="0"/>
    <x v="0"/>
    <n v="1"/>
    <n v="80"/>
    <n v="0"/>
    <n v="5"/>
    <n v="4"/>
    <n v="3"/>
    <x v="8"/>
    <n v="3"/>
    <n v="1"/>
    <n v="2"/>
    <n v="2"/>
    <x v="1"/>
    <s v=""/>
    <s v=""/>
    <s v=""/>
  </r>
  <r>
    <x v="34"/>
    <x v="3"/>
    <x v="1"/>
    <n v="0"/>
    <s v="Travel_Frequently"/>
    <n v="1216"/>
    <x v="1"/>
    <n v="15"/>
    <n v="4"/>
    <s v="Life Sciences"/>
    <n v="1"/>
    <x v="1310"/>
    <n v="1"/>
    <x v="3"/>
    <x v="1"/>
    <n v="87"/>
    <n v="3"/>
    <n v="4"/>
    <x v="7"/>
    <n v="3"/>
    <x v="2"/>
    <s v="Married"/>
    <x v="1214"/>
    <x v="3"/>
    <n v="21624"/>
    <n v="2"/>
    <s v="Y"/>
    <x v="0"/>
    <n v="14"/>
    <x v="0"/>
    <x v="0"/>
    <n v="2"/>
    <n v="80"/>
    <n v="0"/>
    <n v="23"/>
    <n v="3"/>
    <n v="3"/>
    <x v="4"/>
    <n v="2"/>
    <n v="2"/>
    <n v="2"/>
    <n v="2"/>
    <x v="1"/>
    <s v=""/>
    <s v=""/>
    <s v=""/>
  </r>
  <r>
    <x v="41"/>
    <x v="4"/>
    <x v="1"/>
    <n v="0"/>
    <s v="Non-Travel"/>
    <n v="1431"/>
    <x v="1"/>
    <n v="14"/>
    <n v="3"/>
    <s v="Medical"/>
    <n v="1"/>
    <x v="1311"/>
    <n v="2"/>
    <x v="0"/>
    <x v="0"/>
    <n v="33"/>
    <n v="3"/>
    <n v="1"/>
    <x v="1"/>
    <n v="3"/>
    <x v="2"/>
    <s v="Single"/>
    <x v="1215"/>
    <x v="1"/>
    <n v="8018"/>
    <n v="1"/>
    <s v="Y"/>
    <x v="1"/>
    <n v="16"/>
    <x v="2"/>
    <x v="0"/>
    <n v="3"/>
    <n v="80"/>
    <n v="0"/>
    <n v="0"/>
    <n v="4"/>
    <n v="1"/>
    <x v="2"/>
    <n v="0"/>
    <n v="0"/>
    <n v="0"/>
    <n v="4"/>
    <x v="2"/>
    <s v=""/>
    <s v=""/>
    <s v=""/>
  </r>
  <r>
    <x v="12"/>
    <x v="2"/>
    <x v="0"/>
    <n v="1"/>
    <s v="Travel_Rarely"/>
    <n v="359"/>
    <x v="2"/>
    <n v="18"/>
    <n v="5"/>
    <s v="Human Resources"/>
    <n v="1"/>
    <x v="1312"/>
    <n v="4"/>
    <x v="2"/>
    <x v="1"/>
    <n v="89"/>
    <n v="4"/>
    <n v="1"/>
    <x v="8"/>
    <n v="1"/>
    <x v="3"/>
    <s v="Married"/>
    <x v="98"/>
    <x v="1"/>
    <n v="21495"/>
    <n v="0"/>
    <s v="Y"/>
    <x v="1"/>
    <n v="17"/>
    <x v="2"/>
    <x v="0"/>
    <n v="3"/>
    <n v="80"/>
    <n v="0"/>
    <n v="2"/>
    <n v="4"/>
    <n v="3"/>
    <x v="6"/>
    <n v="0"/>
    <n v="0"/>
    <n v="0"/>
    <s v=""/>
    <x v="0"/>
    <s v=""/>
    <s v=""/>
    <s v=""/>
  </r>
  <r>
    <x v="11"/>
    <x v="2"/>
    <x v="0"/>
    <n v="1"/>
    <s v="Travel_Rarely"/>
    <n v="350"/>
    <x v="2"/>
    <n v="13"/>
    <n v="3"/>
    <s v="Human Resources"/>
    <n v="1"/>
    <x v="1313"/>
    <n v="1"/>
    <x v="3"/>
    <x v="1"/>
    <n v="56"/>
    <n v="2"/>
    <n v="1"/>
    <x v="8"/>
    <n v="1"/>
    <x v="3"/>
    <s v="Divorced"/>
    <x v="1216"/>
    <x v="1"/>
    <n v="3157"/>
    <n v="4"/>
    <s v="Y"/>
    <x v="0"/>
    <n v="15"/>
    <x v="0"/>
    <x v="0"/>
    <n v="4"/>
    <n v="80"/>
    <n v="3"/>
    <n v="4"/>
    <n v="3"/>
    <n v="3"/>
    <x v="4"/>
    <n v="2"/>
    <n v="2"/>
    <n v="0"/>
    <s v=""/>
    <x v="0"/>
    <s v=""/>
    <s v=""/>
    <s v=""/>
  </r>
  <r>
    <x v="28"/>
    <x v="1"/>
    <x v="1"/>
    <n v="0"/>
    <s v="Non-Travel"/>
    <n v="589"/>
    <x v="0"/>
    <n v="2"/>
    <n v="4"/>
    <s v="Life Sciences"/>
    <n v="1"/>
    <x v="1314"/>
    <n v="3"/>
    <x v="1"/>
    <x v="0"/>
    <n v="67"/>
    <n v="3"/>
    <n v="2"/>
    <x v="0"/>
    <n v="3"/>
    <x v="2"/>
    <s v="Married"/>
    <x v="1217"/>
    <x v="0"/>
    <n v="19665"/>
    <n v="4"/>
    <s v="Y"/>
    <x v="1"/>
    <n v="22"/>
    <x v="1"/>
    <x v="1"/>
    <n v="2"/>
    <n v="80"/>
    <n v="2"/>
    <n v="10"/>
    <n v="3"/>
    <n v="4"/>
    <x v="3"/>
    <n v="7"/>
    <n v="5"/>
    <n v="7"/>
    <n v="1"/>
    <x v="1"/>
    <s v=""/>
    <s v=""/>
    <s v=""/>
  </r>
  <r>
    <x v="9"/>
    <x v="0"/>
    <x v="1"/>
    <n v="0"/>
    <s v="Travel_Rarely"/>
    <n v="430"/>
    <x v="1"/>
    <n v="2"/>
    <n v="4"/>
    <s v="Other"/>
    <n v="1"/>
    <x v="1315"/>
    <n v="4"/>
    <x v="2"/>
    <x v="0"/>
    <n v="73"/>
    <n v="3"/>
    <n v="2"/>
    <x v="1"/>
    <n v="2"/>
    <x v="1"/>
    <s v="Married"/>
    <x v="1218"/>
    <x v="0"/>
    <n v="19573"/>
    <n v="4"/>
    <s v="Y"/>
    <x v="0"/>
    <n v="22"/>
    <x v="1"/>
    <x v="1"/>
    <n v="4"/>
    <n v="80"/>
    <n v="1"/>
    <n v="15"/>
    <n v="2"/>
    <n v="3"/>
    <x v="6"/>
    <n v="0"/>
    <n v="0"/>
    <n v="0"/>
    <n v="3"/>
    <x v="2"/>
    <s v=""/>
    <s v=""/>
    <s v=""/>
  </r>
  <r>
    <x v="23"/>
    <x v="0"/>
    <x v="1"/>
    <n v="0"/>
    <s v="Travel_Frequently"/>
    <n v="1422"/>
    <x v="0"/>
    <n v="2"/>
    <n v="4"/>
    <s v="Life Sciences"/>
    <n v="1"/>
    <x v="1316"/>
    <n v="1"/>
    <x v="3"/>
    <x v="1"/>
    <n v="92"/>
    <n v="3"/>
    <n v="2"/>
    <x v="0"/>
    <n v="4"/>
    <x v="0"/>
    <s v="Married"/>
    <x v="1219"/>
    <x v="0"/>
    <n v="19246"/>
    <n v="1"/>
    <s v="Y"/>
    <x v="1"/>
    <n v="20"/>
    <x v="2"/>
    <x v="1"/>
    <n v="3"/>
    <n v="80"/>
    <n v="1"/>
    <n v="7"/>
    <n v="5"/>
    <n v="3"/>
    <x v="5"/>
    <n v="7"/>
    <n v="7"/>
    <n v="7"/>
    <n v="1"/>
    <x v="1"/>
    <s v=""/>
    <s v=""/>
    <s v=""/>
  </r>
  <r>
    <x v="4"/>
    <x v="2"/>
    <x v="1"/>
    <n v="0"/>
    <s v="Travel_Frequently"/>
    <n v="1297"/>
    <x v="1"/>
    <n v="5"/>
    <n v="2"/>
    <s v="Life Sciences"/>
    <n v="1"/>
    <x v="1317"/>
    <n v="4"/>
    <x v="2"/>
    <x v="0"/>
    <n v="53"/>
    <n v="3"/>
    <n v="1"/>
    <x v="2"/>
    <n v="4"/>
    <x v="0"/>
    <s v="Single"/>
    <x v="1220"/>
    <x v="1"/>
    <n v="19826"/>
    <n v="0"/>
    <s v="Y"/>
    <x v="0"/>
    <n v="14"/>
    <x v="0"/>
    <x v="0"/>
    <n v="3"/>
    <n v="80"/>
    <n v="0"/>
    <n v="6"/>
    <n v="3"/>
    <n v="2"/>
    <x v="8"/>
    <n v="4"/>
    <n v="0"/>
    <n v="2"/>
    <n v="6"/>
    <x v="3"/>
    <n v="63"/>
    <s v=""/>
    <n v="58150"/>
  </r>
  <r>
    <x v="11"/>
    <x v="2"/>
    <x v="1"/>
    <n v="0"/>
    <s v="Travel_Frequently"/>
    <n v="574"/>
    <x v="1"/>
    <n v="20"/>
    <n v="1"/>
    <s v="Medical"/>
    <n v="1"/>
    <x v="1318"/>
    <n v="4"/>
    <x v="2"/>
    <x v="1"/>
    <n v="40"/>
    <n v="3"/>
    <n v="1"/>
    <x v="2"/>
    <n v="4"/>
    <x v="0"/>
    <s v="Married"/>
    <x v="1221"/>
    <x v="1"/>
    <n v="7003"/>
    <n v="1"/>
    <s v="Y"/>
    <x v="1"/>
    <n v="13"/>
    <x v="0"/>
    <x v="0"/>
    <n v="2"/>
    <n v="80"/>
    <n v="0"/>
    <n v="11"/>
    <n v="3"/>
    <n v="4"/>
    <x v="19"/>
    <n v="8"/>
    <n v="3"/>
    <n v="10"/>
    <n v="4"/>
    <x v="2"/>
    <s v=""/>
    <s v=""/>
    <s v=""/>
  </r>
  <r>
    <x v="5"/>
    <x v="2"/>
    <x v="1"/>
    <n v="0"/>
    <s v="Travel_Frequently"/>
    <n v="1318"/>
    <x v="0"/>
    <n v="10"/>
    <n v="4"/>
    <s v="Marketing"/>
    <n v="1"/>
    <x v="1319"/>
    <n v="4"/>
    <x v="2"/>
    <x v="1"/>
    <n v="79"/>
    <n v="3"/>
    <n v="2"/>
    <x v="0"/>
    <n v="4"/>
    <x v="0"/>
    <s v="Single"/>
    <x v="1222"/>
    <x v="0"/>
    <n v="26075"/>
    <n v="8"/>
    <s v="Y"/>
    <x v="1"/>
    <n v="13"/>
    <x v="0"/>
    <x v="0"/>
    <n v="3"/>
    <n v="80"/>
    <n v="0"/>
    <n v="4"/>
    <n v="2"/>
    <n v="4"/>
    <x v="2"/>
    <n v="0"/>
    <n v="0"/>
    <n v="0"/>
    <n v="2"/>
    <x v="1"/>
    <s v=""/>
    <s v=""/>
    <s v=""/>
  </r>
  <r>
    <x v="19"/>
    <x v="0"/>
    <x v="1"/>
    <n v="0"/>
    <s v="Non-Travel"/>
    <n v="355"/>
    <x v="1"/>
    <n v="10"/>
    <n v="4"/>
    <s v="Technical Degree"/>
    <n v="1"/>
    <x v="1320"/>
    <n v="3"/>
    <x v="1"/>
    <x v="1"/>
    <n v="38"/>
    <n v="3"/>
    <n v="1"/>
    <x v="1"/>
    <n v="3"/>
    <x v="2"/>
    <s v="Married"/>
    <x v="808"/>
    <x v="1"/>
    <n v="6161"/>
    <n v="3"/>
    <s v="Y"/>
    <x v="1"/>
    <n v="22"/>
    <x v="1"/>
    <x v="1"/>
    <n v="2"/>
    <n v="80"/>
    <n v="2"/>
    <n v="10"/>
    <n v="1"/>
    <n v="2"/>
    <x v="0"/>
    <n v="3"/>
    <n v="3"/>
    <n v="3"/>
    <n v="2"/>
    <x v="1"/>
    <s v=""/>
    <s v=""/>
    <s v=""/>
  </r>
  <r>
    <x v="40"/>
    <x v="1"/>
    <x v="1"/>
    <n v="0"/>
    <s v="Travel_Rarely"/>
    <n v="207"/>
    <x v="1"/>
    <n v="9"/>
    <n v="4"/>
    <s v="Life Sciences"/>
    <n v="1"/>
    <x v="1321"/>
    <n v="2"/>
    <x v="0"/>
    <x v="0"/>
    <n v="64"/>
    <n v="3"/>
    <n v="1"/>
    <x v="2"/>
    <n v="3"/>
    <x v="2"/>
    <s v="Single"/>
    <x v="1223"/>
    <x v="1"/>
    <n v="5411"/>
    <n v="4"/>
    <s v="Y"/>
    <x v="1"/>
    <n v="12"/>
    <x v="0"/>
    <x v="0"/>
    <n v="3"/>
    <n v="80"/>
    <n v="0"/>
    <n v="7"/>
    <n v="2"/>
    <n v="3"/>
    <x v="4"/>
    <n v="2"/>
    <n v="2"/>
    <n v="0"/>
    <n v="3"/>
    <x v="2"/>
    <s v=""/>
    <s v=""/>
    <s v=""/>
  </r>
  <r>
    <x v="21"/>
    <x v="1"/>
    <x v="1"/>
    <n v="0"/>
    <s v="Travel_Rarely"/>
    <n v="706"/>
    <x v="1"/>
    <n v="2"/>
    <n v="2"/>
    <s v="Life Sciences"/>
    <n v="1"/>
    <x v="1322"/>
    <n v="4"/>
    <x v="2"/>
    <x v="1"/>
    <n v="82"/>
    <n v="3"/>
    <n v="3"/>
    <x v="3"/>
    <n v="4"/>
    <x v="0"/>
    <s v="Divorced"/>
    <x v="1224"/>
    <x v="2"/>
    <n v="19989"/>
    <n v="3"/>
    <s v="Y"/>
    <x v="1"/>
    <n v="14"/>
    <x v="0"/>
    <x v="0"/>
    <n v="3"/>
    <n v="80"/>
    <n v="1"/>
    <n v="12"/>
    <n v="4"/>
    <n v="2"/>
    <x v="7"/>
    <n v="8"/>
    <n v="4"/>
    <n v="7"/>
    <n v="0"/>
    <x v="1"/>
    <s v=""/>
    <s v=""/>
    <s v=""/>
  </r>
  <r>
    <x v="14"/>
    <x v="2"/>
    <x v="1"/>
    <n v="0"/>
    <s v="Non-Travel"/>
    <n v="280"/>
    <x v="2"/>
    <n v="1"/>
    <n v="2"/>
    <s v="Life Sciences"/>
    <n v="1"/>
    <x v="1323"/>
    <n v="3"/>
    <x v="1"/>
    <x v="1"/>
    <n v="43"/>
    <n v="3"/>
    <n v="1"/>
    <x v="8"/>
    <n v="4"/>
    <x v="0"/>
    <s v="Divorced"/>
    <x v="1225"/>
    <x v="1"/>
    <n v="10494"/>
    <n v="1"/>
    <s v="Y"/>
    <x v="1"/>
    <n v="15"/>
    <x v="0"/>
    <x v="0"/>
    <n v="2"/>
    <n v="80"/>
    <n v="1"/>
    <n v="3"/>
    <n v="2"/>
    <n v="3"/>
    <x v="11"/>
    <n v="2"/>
    <n v="2"/>
    <n v="2"/>
    <n v="4"/>
    <x v="2"/>
    <s v=""/>
    <s v=""/>
    <s v=""/>
  </r>
  <r>
    <x v="11"/>
    <x v="2"/>
    <x v="1"/>
    <n v="0"/>
    <s v="Travel_Rarely"/>
    <n v="726"/>
    <x v="1"/>
    <n v="29"/>
    <n v="1"/>
    <s v="Life Sciences"/>
    <n v="1"/>
    <x v="1324"/>
    <n v="4"/>
    <x v="2"/>
    <x v="1"/>
    <n v="93"/>
    <n v="1"/>
    <n v="2"/>
    <x v="4"/>
    <n v="3"/>
    <x v="2"/>
    <s v="Divorced"/>
    <x v="1226"/>
    <x v="0"/>
    <n v="21143"/>
    <n v="8"/>
    <s v="Y"/>
    <x v="1"/>
    <n v="17"/>
    <x v="2"/>
    <x v="0"/>
    <n v="4"/>
    <n v="80"/>
    <n v="2"/>
    <n v="11"/>
    <n v="3"/>
    <n v="3"/>
    <x v="5"/>
    <n v="0"/>
    <n v="1"/>
    <n v="6"/>
    <n v="2"/>
    <x v="1"/>
    <s v=""/>
    <s v=""/>
    <s v=""/>
  </r>
  <r>
    <x v="19"/>
    <x v="0"/>
    <x v="1"/>
    <n v="0"/>
    <s v="Travel_Rarely"/>
    <n v="1142"/>
    <x v="1"/>
    <n v="8"/>
    <n v="3"/>
    <s v="Life Sciences"/>
    <n v="1"/>
    <x v="1325"/>
    <n v="4"/>
    <x v="2"/>
    <x v="1"/>
    <n v="81"/>
    <n v="3"/>
    <n v="1"/>
    <x v="2"/>
    <n v="3"/>
    <x v="2"/>
    <s v="Single"/>
    <x v="1227"/>
    <x v="1"/>
    <n v="13624"/>
    <n v="4"/>
    <s v="Y"/>
    <x v="1"/>
    <n v="13"/>
    <x v="0"/>
    <x v="0"/>
    <n v="4"/>
    <n v="80"/>
    <n v="0"/>
    <n v="8"/>
    <n v="3"/>
    <n v="3"/>
    <x v="2"/>
    <n v="0"/>
    <n v="0"/>
    <n v="0"/>
    <n v="3"/>
    <x v="2"/>
    <s v=""/>
    <s v=""/>
    <s v=""/>
  </r>
  <r>
    <x v="5"/>
    <x v="2"/>
    <x v="0"/>
    <n v="1"/>
    <s v="Travel_Rarely"/>
    <n v="414"/>
    <x v="0"/>
    <n v="2"/>
    <n v="4"/>
    <s v="Marketing"/>
    <n v="1"/>
    <x v="1326"/>
    <n v="3"/>
    <x v="1"/>
    <x v="1"/>
    <n v="82"/>
    <n v="2"/>
    <n v="2"/>
    <x v="0"/>
    <n v="2"/>
    <x v="1"/>
    <s v="Single"/>
    <x v="1228"/>
    <x v="2"/>
    <n v="26186"/>
    <n v="7"/>
    <s v="Y"/>
    <x v="0"/>
    <n v="12"/>
    <x v="0"/>
    <x v="0"/>
    <n v="3"/>
    <n v="80"/>
    <n v="0"/>
    <n v="7"/>
    <n v="3"/>
    <n v="2"/>
    <x v="4"/>
    <n v="2"/>
    <n v="2"/>
    <n v="2"/>
    <s v=""/>
    <x v="0"/>
    <s v=""/>
    <s v=""/>
    <s v=""/>
  </r>
  <r>
    <x v="21"/>
    <x v="1"/>
    <x v="1"/>
    <n v="0"/>
    <s v="Travel_Rarely"/>
    <n v="1319"/>
    <x v="0"/>
    <n v="3"/>
    <n v="3"/>
    <s v="Technical Degree"/>
    <n v="1"/>
    <x v="1327"/>
    <n v="1"/>
    <x v="3"/>
    <x v="0"/>
    <n v="45"/>
    <n v="4"/>
    <n v="4"/>
    <x v="0"/>
    <n v="1"/>
    <x v="3"/>
    <s v="Divorced"/>
    <x v="1229"/>
    <x v="3"/>
    <n v="7739"/>
    <n v="2"/>
    <s v="Y"/>
    <x v="1"/>
    <n v="12"/>
    <x v="0"/>
    <x v="0"/>
    <n v="4"/>
    <n v="80"/>
    <n v="1"/>
    <n v="25"/>
    <n v="5"/>
    <n v="3"/>
    <x v="27"/>
    <n v="17"/>
    <n v="2"/>
    <n v="8"/>
    <n v="2"/>
    <x v="1"/>
    <s v=""/>
    <s v=""/>
    <s v=""/>
  </r>
  <r>
    <x v="4"/>
    <x v="2"/>
    <x v="1"/>
    <n v="0"/>
    <s v="Travel_Rarely"/>
    <n v="728"/>
    <x v="0"/>
    <n v="23"/>
    <n v="1"/>
    <s v="Medical"/>
    <n v="1"/>
    <x v="1328"/>
    <n v="2"/>
    <x v="0"/>
    <x v="0"/>
    <n v="36"/>
    <n v="2"/>
    <n v="2"/>
    <x v="6"/>
    <n v="3"/>
    <x v="2"/>
    <s v="Married"/>
    <x v="1230"/>
    <x v="1"/>
    <n v="7018"/>
    <n v="1"/>
    <s v="Y"/>
    <x v="1"/>
    <n v="21"/>
    <x v="1"/>
    <x v="1"/>
    <n v="4"/>
    <n v="80"/>
    <n v="1"/>
    <n v="9"/>
    <n v="5"/>
    <n v="3"/>
    <x v="7"/>
    <n v="8"/>
    <n v="5"/>
    <n v="8"/>
    <n v="5"/>
    <x v="2"/>
    <s v=""/>
    <s v=""/>
    <s v=""/>
  </r>
  <r>
    <x v="11"/>
    <x v="2"/>
    <x v="1"/>
    <n v="0"/>
    <s v="Travel_Rarely"/>
    <n v="352"/>
    <x v="2"/>
    <n v="6"/>
    <n v="1"/>
    <s v="Medical"/>
    <n v="1"/>
    <x v="1329"/>
    <n v="4"/>
    <x v="2"/>
    <x v="1"/>
    <n v="87"/>
    <n v="2"/>
    <n v="1"/>
    <x v="8"/>
    <n v="2"/>
    <x v="1"/>
    <s v="Married"/>
    <x v="1231"/>
    <x v="1"/>
    <n v="15434"/>
    <n v="1"/>
    <s v="Y"/>
    <x v="1"/>
    <n v="11"/>
    <x v="0"/>
    <x v="0"/>
    <n v="4"/>
    <n v="80"/>
    <n v="0"/>
    <n v="1"/>
    <n v="3"/>
    <n v="3"/>
    <x v="6"/>
    <n v="0"/>
    <n v="0"/>
    <n v="0"/>
    <n v="4"/>
    <x v="2"/>
    <s v=""/>
    <s v=""/>
    <s v=""/>
  </r>
  <r>
    <x v="23"/>
    <x v="0"/>
    <x v="1"/>
    <n v="0"/>
    <s v="Travel_Rarely"/>
    <n v="823"/>
    <x v="1"/>
    <n v="6"/>
    <n v="3"/>
    <s v="Medical"/>
    <n v="1"/>
    <x v="1330"/>
    <n v="1"/>
    <x v="3"/>
    <x v="0"/>
    <n v="81"/>
    <n v="2"/>
    <n v="5"/>
    <x v="5"/>
    <n v="3"/>
    <x v="2"/>
    <s v="Married"/>
    <x v="1232"/>
    <x v="4"/>
    <n v="22539"/>
    <n v="7"/>
    <s v="Y"/>
    <x v="1"/>
    <n v="13"/>
    <x v="0"/>
    <x v="0"/>
    <n v="4"/>
    <n v="80"/>
    <n v="0"/>
    <n v="21"/>
    <n v="2"/>
    <n v="3"/>
    <x v="22"/>
    <n v="12"/>
    <n v="6"/>
    <n v="14"/>
    <n v="0"/>
    <x v="1"/>
    <s v=""/>
    <s v=""/>
    <s v=""/>
  </r>
  <r>
    <x v="26"/>
    <x v="1"/>
    <x v="1"/>
    <n v="0"/>
    <s v="Travel_Rarely"/>
    <n v="1224"/>
    <x v="1"/>
    <n v="10"/>
    <n v="3"/>
    <s v="Life Sciences"/>
    <n v="1"/>
    <x v="1331"/>
    <n v="4"/>
    <x v="2"/>
    <x v="1"/>
    <n v="91"/>
    <n v="2"/>
    <n v="5"/>
    <x v="7"/>
    <n v="2"/>
    <x v="1"/>
    <s v="Married"/>
    <x v="1233"/>
    <x v="4"/>
    <n v="13583"/>
    <n v="4"/>
    <s v="Y"/>
    <x v="1"/>
    <n v="12"/>
    <x v="0"/>
    <x v="0"/>
    <n v="4"/>
    <n v="80"/>
    <n v="0"/>
    <n v="29"/>
    <n v="3"/>
    <n v="3"/>
    <x v="14"/>
    <n v="10"/>
    <n v="12"/>
    <n v="9"/>
    <n v="0"/>
    <x v="1"/>
    <s v=""/>
    <s v=""/>
    <s v=""/>
  </r>
  <r>
    <x v="11"/>
    <x v="2"/>
    <x v="0"/>
    <n v="1"/>
    <s v="Travel_Frequently"/>
    <n v="459"/>
    <x v="1"/>
    <n v="24"/>
    <n v="2"/>
    <s v="Life Sciences"/>
    <n v="1"/>
    <x v="1332"/>
    <n v="4"/>
    <x v="2"/>
    <x v="1"/>
    <n v="73"/>
    <n v="2"/>
    <n v="1"/>
    <x v="1"/>
    <n v="4"/>
    <x v="0"/>
    <s v="Single"/>
    <x v="1234"/>
    <x v="1"/>
    <n v="14753"/>
    <n v="1"/>
    <s v="Y"/>
    <x v="0"/>
    <n v="24"/>
    <x v="1"/>
    <x v="1"/>
    <n v="2"/>
    <n v="80"/>
    <n v="0"/>
    <n v="1"/>
    <n v="3"/>
    <n v="2"/>
    <x v="6"/>
    <n v="0"/>
    <n v="1"/>
    <n v="0"/>
    <s v=""/>
    <x v="0"/>
    <s v=""/>
    <s v=""/>
    <s v=""/>
  </r>
  <r>
    <x v="21"/>
    <x v="1"/>
    <x v="0"/>
    <n v="1"/>
    <s v="Travel_Rarely"/>
    <n v="1254"/>
    <x v="0"/>
    <n v="10"/>
    <n v="3"/>
    <s v="Life Sciences"/>
    <n v="1"/>
    <x v="1333"/>
    <n v="3"/>
    <x v="1"/>
    <x v="0"/>
    <n v="64"/>
    <n v="3"/>
    <n v="3"/>
    <x v="0"/>
    <n v="2"/>
    <x v="1"/>
    <s v="Married"/>
    <x v="1235"/>
    <x v="0"/>
    <n v="14011"/>
    <n v="5"/>
    <s v="Y"/>
    <x v="1"/>
    <n v="21"/>
    <x v="1"/>
    <x v="1"/>
    <n v="3"/>
    <n v="80"/>
    <n v="3"/>
    <n v="14"/>
    <n v="2"/>
    <n v="3"/>
    <x v="3"/>
    <n v="7"/>
    <n v="0"/>
    <n v="7"/>
    <s v=""/>
    <x v="0"/>
    <s v=""/>
    <s v=""/>
    <s v=""/>
  </r>
  <r>
    <x v="4"/>
    <x v="2"/>
    <x v="1"/>
    <n v="0"/>
    <s v="Travel_Frequently"/>
    <n v="1131"/>
    <x v="1"/>
    <n v="15"/>
    <n v="3"/>
    <s v="Life Sciences"/>
    <n v="1"/>
    <x v="1334"/>
    <n v="4"/>
    <x v="2"/>
    <x v="0"/>
    <n v="77"/>
    <n v="2"/>
    <n v="1"/>
    <x v="1"/>
    <n v="1"/>
    <x v="3"/>
    <s v="Married"/>
    <x v="1236"/>
    <x v="0"/>
    <n v="23844"/>
    <n v="0"/>
    <s v="Y"/>
    <x v="1"/>
    <n v="19"/>
    <x v="2"/>
    <x v="0"/>
    <n v="4"/>
    <n v="80"/>
    <n v="1"/>
    <n v="8"/>
    <n v="2"/>
    <n v="2"/>
    <x v="5"/>
    <n v="6"/>
    <n v="7"/>
    <n v="3"/>
    <n v="4"/>
    <x v="2"/>
    <s v=""/>
    <s v=""/>
    <s v=""/>
  </r>
  <r>
    <x v="22"/>
    <x v="0"/>
    <x v="1"/>
    <n v="0"/>
    <s v="Travel_Rarely"/>
    <n v="835"/>
    <x v="1"/>
    <n v="19"/>
    <n v="4"/>
    <s v="Other"/>
    <n v="1"/>
    <x v="1335"/>
    <n v="4"/>
    <x v="2"/>
    <x v="1"/>
    <n v="41"/>
    <n v="3"/>
    <n v="2"/>
    <x v="1"/>
    <n v="4"/>
    <x v="0"/>
    <s v="Divorced"/>
    <x v="1237"/>
    <x v="1"/>
    <n v="5141"/>
    <n v="8"/>
    <s v="Y"/>
    <x v="1"/>
    <n v="14"/>
    <x v="0"/>
    <x v="0"/>
    <n v="2"/>
    <n v="80"/>
    <n v="3"/>
    <n v="7"/>
    <n v="2"/>
    <n v="3"/>
    <x v="4"/>
    <n v="2"/>
    <n v="2"/>
    <n v="2"/>
    <n v="2"/>
    <x v="1"/>
    <s v=""/>
    <s v=""/>
    <s v=""/>
  </r>
  <r>
    <x v="27"/>
    <x v="3"/>
    <x v="1"/>
    <n v="0"/>
    <s v="Travel_Rarely"/>
    <n v="836"/>
    <x v="1"/>
    <n v="2"/>
    <n v="4"/>
    <s v="Technical Degree"/>
    <n v="1"/>
    <x v="1336"/>
    <n v="2"/>
    <x v="0"/>
    <x v="1"/>
    <n v="98"/>
    <n v="2"/>
    <n v="1"/>
    <x v="1"/>
    <n v="4"/>
    <x v="0"/>
    <s v="Married"/>
    <x v="1238"/>
    <x v="1"/>
    <n v="7975"/>
    <n v="8"/>
    <s v="Y"/>
    <x v="1"/>
    <n v="20"/>
    <x v="2"/>
    <x v="1"/>
    <n v="2"/>
    <n v="80"/>
    <n v="1"/>
    <n v="19"/>
    <n v="2"/>
    <n v="4"/>
    <x v="8"/>
    <n v="2"/>
    <n v="0"/>
    <n v="4"/>
    <n v="2"/>
    <x v="1"/>
    <s v=""/>
    <s v=""/>
    <s v=""/>
  </r>
  <r>
    <x v="14"/>
    <x v="2"/>
    <x v="1"/>
    <n v="0"/>
    <s v="Travel_Rarely"/>
    <n v="1172"/>
    <x v="0"/>
    <n v="3"/>
    <n v="3"/>
    <s v="Medical"/>
    <n v="1"/>
    <x v="1337"/>
    <n v="2"/>
    <x v="0"/>
    <x v="0"/>
    <n v="78"/>
    <n v="3"/>
    <n v="1"/>
    <x v="6"/>
    <n v="2"/>
    <x v="1"/>
    <s v="Married"/>
    <x v="1239"/>
    <x v="1"/>
    <n v="3692"/>
    <n v="1"/>
    <s v="Y"/>
    <x v="1"/>
    <n v="19"/>
    <x v="2"/>
    <x v="0"/>
    <n v="4"/>
    <n v="80"/>
    <n v="1"/>
    <n v="1"/>
    <n v="3"/>
    <n v="3"/>
    <x v="6"/>
    <n v="0"/>
    <n v="0"/>
    <n v="0"/>
    <n v="5"/>
    <x v="2"/>
    <s v=""/>
    <s v=""/>
    <s v=""/>
  </r>
  <r>
    <x v="7"/>
    <x v="2"/>
    <x v="0"/>
    <n v="1"/>
    <s v="Travel_Rarely"/>
    <n v="945"/>
    <x v="0"/>
    <n v="9"/>
    <n v="3"/>
    <s v="Medical"/>
    <n v="1"/>
    <x v="1338"/>
    <n v="2"/>
    <x v="0"/>
    <x v="1"/>
    <n v="89"/>
    <n v="3"/>
    <n v="1"/>
    <x v="6"/>
    <n v="4"/>
    <x v="0"/>
    <s v="Single"/>
    <x v="1240"/>
    <x v="1"/>
    <n v="16019"/>
    <n v="1"/>
    <s v="Y"/>
    <x v="1"/>
    <n v="13"/>
    <x v="0"/>
    <x v="0"/>
    <n v="3"/>
    <n v="80"/>
    <n v="0"/>
    <n v="1"/>
    <n v="3"/>
    <n v="2"/>
    <x v="6"/>
    <n v="0"/>
    <n v="0"/>
    <n v="0"/>
    <s v=""/>
    <x v="0"/>
    <s v=""/>
    <s v=""/>
    <s v=""/>
  </r>
  <r>
    <x v="15"/>
    <x v="4"/>
    <x v="0"/>
    <n v="1"/>
    <s v="Travel_Rarely"/>
    <n v="391"/>
    <x v="1"/>
    <n v="7"/>
    <n v="1"/>
    <s v="Life Sciences"/>
    <n v="1"/>
    <x v="1339"/>
    <n v="4"/>
    <x v="2"/>
    <x v="1"/>
    <n v="75"/>
    <n v="3"/>
    <n v="1"/>
    <x v="1"/>
    <n v="2"/>
    <x v="1"/>
    <s v="Single"/>
    <x v="1241"/>
    <x v="1"/>
    <n v="26092"/>
    <n v="1"/>
    <s v="Y"/>
    <x v="0"/>
    <n v="23"/>
    <x v="1"/>
    <x v="1"/>
    <n v="1"/>
    <n v="80"/>
    <n v="0"/>
    <n v="1"/>
    <n v="2"/>
    <n v="3"/>
    <x v="6"/>
    <n v="0"/>
    <n v="0"/>
    <n v="0"/>
    <s v=""/>
    <x v="0"/>
    <s v=""/>
    <s v=""/>
    <s v=""/>
  </r>
  <r>
    <x v="9"/>
    <x v="0"/>
    <x v="1"/>
    <n v="0"/>
    <s v="Travel_Rarely"/>
    <n v="1266"/>
    <x v="0"/>
    <n v="10"/>
    <n v="4"/>
    <s v="Technical Degree"/>
    <n v="1"/>
    <x v="1340"/>
    <n v="2"/>
    <x v="0"/>
    <x v="0"/>
    <n v="63"/>
    <n v="2"/>
    <n v="2"/>
    <x v="0"/>
    <n v="3"/>
    <x v="2"/>
    <s v="Married"/>
    <x v="1242"/>
    <x v="0"/>
    <n v="6060"/>
    <n v="1"/>
    <s v="Y"/>
    <x v="0"/>
    <n v="13"/>
    <x v="0"/>
    <x v="0"/>
    <n v="1"/>
    <n v="80"/>
    <n v="1"/>
    <n v="10"/>
    <n v="4"/>
    <n v="3"/>
    <x v="1"/>
    <n v="9"/>
    <n v="1"/>
    <n v="7"/>
    <n v="3"/>
    <x v="2"/>
    <s v=""/>
    <s v=""/>
    <s v=""/>
  </r>
  <r>
    <x v="12"/>
    <x v="2"/>
    <x v="1"/>
    <n v="0"/>
    <s v="Travel_Rarely"/>
    <n v="311"/>
    <x v="1"/>
    <n v="20"/>
    <n v="3"/>
    <s v="Life Sciences"/>
    <n v="1"/>
    <x v="1341"/>
    <n v="2"/>
    <x v="0"/>
    <x v="1"/>
    <n v="89"/>
    <n v="3"/>
    <n v="2"/>
    <x v="2"/>
    <n v="3"/>
    <x v="2"/>
    <s v="Divorced"/>
    <x v="378"/>
    <x v="0"/>
    <n v="18624"/>
    <n v="1"/>
    <s v="Y"/>
    <x v="1"/>
    <n v="11"/>
    <x v="0"/>
    <x v="0"/>
    <n v="1"/>
    <n v="80"/>
    <n v="1"/>
    <n v="10"/>
    <n v="2"/>
    <n v="3"/>
    <x v="1"/>
    <n v="8"/>
    <n v="0"/>
    <n v="2"/>
    <n v="3"/>
    <x v="2"/>
    <s v=""/>
    <s v=""/>
    <s v=""/>
  </r>
  <r>
    <x v="13"/>
    <x v="2"/>
    <x v="1"/>
    <n v="0"/>
    <s v="Travel_Rarely"/>
    <n v="1480"/>
    <x v="0"/>
    <n v="4"/>
    <n v="3"/>
    <s v="Life Sciences"/>
    <n v="1"/>
    <x v="1342"/>
    <n v="3"/>
    <x v="1"/>
    <x v="1"/>
    <n v="64"/>
    <n v="3"/>
    <n v="3"/>
    <x v="0"/>
    <n v="4"/>
    <x v="0"/>
    <s v="Married"/>
    <x v="1243"/>
    <x v="2"/>
    <n v="24444"/>
    <n v="2"/>
    <s v="Y"/>
    <x v="0"/>
    <n v="13"/>
    <x v="0"/>
    <x v="0"/>
    <n v="4"/>
    <n v="80"/>
    <n v="3"/>
    <n v="9"/>
    <n v="3"/>
    <n v="3"/>
    <x v="8"/>
    <n v="3"/>
    <n v="1"/>
    <n v="0"/>
    <n v="3"/>
    <x v="2"/>
    <s v=""/>
    <s v=""/>
    <s v=""/>
  </r>
  <r>
    <x v="11"/>
    <x v="2"/>
    <x v="1"/>
    <n v="0"/>
    <s v="Travel_Rarely"/>
    <n v="592"/>
    <x v="1"/>
    <n v="7"/>
    <n v="3"/>
    <s v="Life Sciences"/>
    <n v="1"/>
    <x v="1343"/>
    <n v="4"/>
    <x v="2"/>
    <x v="1"/>
    <n v="59"/>
    <n v="3"/>
    <n v="1"/>
    <x v="2"/>
    <n v="1"/>
    <x v="3"/>
    <s v="Single"/>
    <x v="1244"/>
    <x v="1"/>
    <n v="19384"/>
    <n v="3"/>
    <s v="Y"/>
    <x v="1"/>
    <n v="14"/>
    <x v="0"/>
    <x v="0"/>
    <n v="2"/>
    <n v="80"/>
    <n v="0"/>
    <n v="11"/>
    <n v="2"/>
    <n v="3"/>
    <x v="11"/>
    <n v="2"/>
    <n v="1"/>
    <n v="2"/>
    <n v="6"/>
    <x v="3"/>
    <n v="64"/>
    <s v=""/>
    <n v="58117"/>
  </r>
  <r>
    <x v="2"/>
    <x v="0"/>
    <x v="1"/>
    <n v="0"/>
    <s v="Travel_Rarely"/>
    <n v="783"/>
    <x v="1"/>
    <n v="7"/>
    <n v="4"/>
    <s v="Medical"/>
    <n v="1"/>
    <x v="1344"/>
    <n v="4"/>
    <x v="2"/>
    <x v="1"/>
    <n v="78"/>
    <n v="3"/>
    <n v="2"/>
    <x v="1"/>
    <n v="1"/>
    <x v="3"/>
    <s v="Married"/>
    <x v="948"/>
    <x v="0"/>
    <n v="13588"/>
    <n v="5"/>
    <s v="Y"/>
    <x v="0"/>
    <n v="22"/>
    <x v="1"/>
    <x v="1"/>
    <n v="3"/>
    <n v="80"/>
    <n v="1"/>
    <n v="16"/>
    <n v="2"/>
    <n v="3"/>
    <x v="8"/>
    <n v="3"/>
    <n v="0"/>
    <n v="4"/>
    <n v="5"/>
    <x v="2"/>
    <s v=""/>
    <s v=""/>
    <s v=""/>
  </r>
  <r>
    <x v="10"/>
    <x v="0"/>
    <x v="1"/>
    <n v="0"/>
    <s v="Travel_Rarely"/>
    <n v="219"/>
    <x v="1"/>
    <n v="16"/>
    <n v="2"/>
    <s v="Other"/>
    <n v="1"/>
    <x v="1345"/>
    <n v="4"/>
    <x v="2"/>
    <x v="0"/>
    <n v="44"/>
    <n v="2"/>
    <n v="2"/>
    <x v="3"/>
    <n v="2"/>
    <x v="1"/>
    <s v="Married"/>
    <x v="1245"/>
    <x v="0"/>
    <n v="25388"/>
    <n v="0"/>
    <s v="Y"/>
    <x v="0"/>
    <n v="11"/>
    <x v="0"/>
    <x v="0"/>
    <n v="4"/>
    <n v="80"/>
    <n v="0"/>
    <n v="4"/>
    <n v="2"/>
    <n v="3"/>
    <x v="11"/>
    <n v="2"/>
    <n v="0"/>
    <n v="2"/>
    <n v="3"/>
    <x v="2"/>
    <s v=""/>
    <s v=""/>
    <s v=""/>
  </r>
  <r>
    <x v="28"/>
    <x v="1"/>
    <x v="1"/>
    <n v="0"/>
    <s v="Travel_Rarely"/>
    <n v="556"/>
    <x v="1"/>
    <n v="25"/>
    <n v="2"/>
    <s v="Life Sciences"/>
    <n v="1"/>
    <x v="1346"/>
    <n v="2"/>
    <x v="0"/>
    <x v="0"/>
    <n v="93"/>
    <n v="2"/>
    <n v="2"/>
    <x v="3"/>
    <n v="4"/>
    <x v="0"/>
    <s v="Married"/>
    <x v="1246"/>
    <x v="0"/>
    <n v="23888"/>
    <n v="0"/>
    <s v="Y"/>
    <x v="1"/>
    <n v="13"/>
    <x v="0"/>
    <x v="0"/>
    <n v="4"/>
    <n v="80"/>
    <n v="2"/>
    <n v="10"/>
    <n v="2"/>
    <n v="2"/>
    <x v="7"/>
    <n v="8"/>
    <n v="3"/>
    <n v="8"/>
    <n v="1"/>
    <x v="1"/>
    <s v=""/>
    <s v=""/>
    <s v=""/>
  </r>
  <r>
    <x v="9"/>
    <x v="0"/>
    <x v="1"/>
    <n v="0"/>
    <s v="Travel_Frequently"/>
    <n v="1213"/>
    <x v="2"/>
    <n v="2"/>
    <n v="1"/>
    <s v="Human Resources"/>
    <n v="1"/>
    <x v="1347"/>
    <n v="2"/>
    <x v="0"/>
    <x v="1"/>
    <n v="94"/>
    <n v="2"/>
    <n v="2"/>
    <x v="8"/>
    <n v="4"/>
    <x v="0"/>
    <s v="Single"/>
    <x v="1247"/>
    <x v="1"/>
    <n v="4223"/>
    <n v="1"/>
    <s v="Y"/>
    <x v="1"/>
    <n v="21"/>
    <x v="1"/>
    <x v="1"/>
    <n v="4"/>
    <n v="80"/>
    <n v="0"/>
    <n v="10"/>
    <n v="2"/>
    <n v="2"/>
    <x v="1"/>
    <n v="1"/>
    <n v="0"/>
    <n v="8"/>
    <n v="3"/>
    <x v="2"/>
    <s v=""/>
    <s v=""/>
    <s v=""/>
  </r>
  <r>
    <x v="32"/>
    <x v="0"/>
    <x v="1"/>
    <n v="0"/>
    <s v="Travel_Rarely"/>
    <n v="1137"/>
    <x v="1"/>
    <n v="1"/>
    <n v="4"/>
    <s v="Life Sciences"/>
    <n v="1"/>
    <x v="1348"/>
    <n v="1"/>
    <x v="3"/>
    <x v="1"/>
    <n v="98"/>
    <n v="3"/>
    <n v="4"/>
    <x v="5"/>
    <n v="1"/>
    <x v="3"/>
    <s v="Divorced"/>
    <x v="1248"/>
    <x v="4"/>
    <n v="18991"/>
    <n v="2"/>
    <s v="Y"/>
    <x v="1"/>
    <n v="11"/>
    <x v="0"/>
    <x v="0"/>
    <n v="1"/>
    <n v="80"/>
    <n v="1"/>
    <n v="22"/>
    <n v="3"/>
    <n v="3"/>
    <x v="27"/>
    <n v="7"/>
    <n v="11"/>
    <n v="16"/>
    <n v="2"/>
    <x v="1"/>
    <s v=""/>
    <s v=""/>
    <s v=""/>
  </r>
  <r>
    <x v="25"/>
    <x v="2"/>
    <x v="1"/>
    <n v="0"/>
    <s v="Travel_Rarely"/>
    <n v="482"/>
    <x v="1"/>
    <n v="1"/>
    <n v="2"/>
    <s v="Life Sciences"/>
    <n v="1"/>
    <x v="1349"/>
    <n v="2"/>
    <x v="0"/>
    <x v="0"/>
    <n v="90"/>
    <n v="2"/>
    <n v="1"/>
    <x v="1"/>
    <n v="3"/>
    <x v="2"/>
    <s v="Married"/>
    <x v="1249"/>
    <x v="1"/>
    <n v="14908"/>
    <n v="1"/>
    <s v="Y"/>
    <x v="0"/>
    <n v="13"/>
    <x v="0"/>
    <x v="0"/>
    <n v="3"/>
    <n v="80"/>
    <n v="1"/>
    <n v="1"/>
    <n v="3"/>
    <n v="2"/>
    <x v="6"/>
    <n v="0"/>
    <n v="1"/>
    <n v="0"/>
    <n v="5"/>
    <x v="2"/>
    <s v=""/>
    <s v=""/>
    <s v=""/>
  </r>
  <r>
    <x v="4"/>
    <x v="2"/>
    <x v="1"/>
    <n v="0"/>
    <s v="Travel_Rarely"/>
    <n v="511"/>
    <x v="0"/>
    <n v="2"/>
    <n v="2"/>
    <s v="Medical"/>
    <n v="1"/>
    <x v="1350"/>
    <n v="1"/>
    <x v="3"/>
    <x v="0"/>
    <n v="89"/>
    <n v="4"/>
    <n v="2"/>
    <x v="0"/>
    <n v="3"/>
    <x v="2"/>
    <s v="Single"/>
    <x v="559"/>
    <x v="0"/>
    <n v="26997"/>
    <n v="0"/>
    <s v="Y"/>
    <x v="1"/>
    <n v="14"/>
    <x v="0"/>
    <x v="0"/>
    <n v="2"/>
    <n v="80"/>
    <n v="0"/>
    <n v="9"/>
    <n v="5"/>
    <n v="2"/>
    <x v="3"/>
    <n v="7"/>
    <n v="0"/>
    <n v="7"/>
    <n v="2"/>
    <x v="1"/>
    <s v=""/>
    <s v=""/>
    <s v=""/>
  </r>
  <r>
    <x v="26"/>
    <x v="1"/>
    <x v="1"/>
    <n v="0"/>
    <s v="Travel_Frequently"/>
    <n v="117"/>
    <x v="1"/>
    <n v="22"/>
    <n v="3"/>
    <s v="Medical"/>
    <n v="1"/>
    <x v="1351"/>
    <n v="4"/>
    <x v="2"/>
    <x v="0"/>
    <n v="58"/>
    <n v="3"/>
    <n v="4"/>
    <x v="5"/>
    <n v="4"/>
    <x v="0"/>
    <s v="Divorced"/>
    <x v="1250"/>
    <x v="4"/>
    <n v="2437"/>
    <n v="3"/>
    <s v="Y"/>
    <x v="1"/>
    <n v="11"/>
    <x v="0"/>
    <x v="0"/>
    <n v="2"/>
    <n v="80"/>
    <n v="1"/>
    <n v="24"/>
    <n v="3"/>
    <n v="3"/>
    <x v="14"/>
    <n v="17"/>
    <n v="4"/>
    <n v="7"/>
    <n v="0"/>
    <x v="1"/>
    <s v=""/>
    <s v=""/>
    <s v=""/>
  </r>
  <r>
    <x v="20"/>
    <x v="0"/>
    <x v="1"/>
    <n v="0"/>
    <s v="Travel_Rarely"/>
    <n v="170"/>
    <x v="1"/>
    <n v="1"/>
    <n v="4"/>
    <s v="Life Sciences"/>
    <n v="1"/>
    <x v="1352"/>
    <n v="2"/>
    <x v="0"/>
    <x v="1"/>
    <n v="78"/>
    <n v="4"/>
    <n v="2"/>
    <x v="4"/>
    <n v="1"/>
    <x v="3"/>
    <s v="Married"/>
    <x v="1251"/>
    <x v="0"/>
    <n v="9364"/>
    <n v="2"/>
    <s v="Y"/>
    <x v="1"/>
    <n v="15"/>
    <x v="0"/>
    <x v="0"/>
    <n v="4"/>
    <n v="80"/>
    <n v="1"/>
    <n v="10"/>
    <n v="5"/>
    <n v="3"/>
    <x v="4"/>
    <n v="0"/>
    <n v="2"/>
    <n v="2"/>
    <n v="3"/>
    <x v="2"/>
    <s v=""/>
    <s v=""/>
    <s v=""/>
  </r>
  <r>
    <x v="13"/>
    <x v="2"/>
    <x v="0"/>
    <n v="1"/>
    <s v="Non-Travel"/>
    <n v="967"/>
    <x v="1"/>
    <n v="16"/>
    <n v="4"/>
    <s v="Technical Degree"/>
    <n v="1"/>
    <x v="1353"/>
    <n v="4"/>
    <x v="2"/>
    <x v="1"/>
    <n v="85"/>
    <n v="1"/>
    <n v="1"/>
    <x v="1"/>
    <n v="1"/>
    <x v="3"/>
    <s v="Married"/>
    <x v="1252"/>
    <x v="1"/>
    <n v="14460"/>
    <n v="1"/>
    <s v="Y"/>
    <x v="0"/>
    <n v="23"/>
    <x v="1"/>
    <x v="1"/>
    <n v="2"/>
    <n v="80"/>
    <n v="1"/>
    <n v="5"/>
    <n v="2"/>
    <n v="3"/>
    <x v="8"/>
    <n v="2"/>
    <n v="3"/>
    <n v="0"/>
    <s v=""/>
    <x v="0"/>
    <s v=""/>
    <s v=""/>
    <s v=""/>
  </r>
  <r>
    <x v="29"/>
    <x v="3"/>
    <x v="0"/>
    <n v="1"/>
    <s v="Travel_Rarely"/>
    <n v="1162"/>
    <x v="1"/>
    <n v="24"/>
    <n v="2"/>
    <s v="Life Sciences"/>
    <n v="1"/>
    <x v="1354"/>
    <n v="1"/>
    <x v="3"/>
    <x v="1"/>
    <n v="97"/>
    <n v="3"/>
    <n v="1"/>
    <x v="2"/>
    <n v="4"/>
    <x v="0"/>
    <s v="Single"/>
    <x v="1105"/>
    <x v="1"/>
    <n v="10261"/>
    <n v="1"/>
    <s v="Y"/>
    <x v="1"/>
    <n v="16"/>
    <x v="2"/>
    <x v="0"/>
    <n v="4"/>
    <n v="80"/>
    <n v="0"/>
    <n v="5"/>
    <n v="3"/>
    <n v="3"/>
    <x v="9"/>
    <n v="2"/>
    <n v="1"/>
    <n v="0"/>
    <s v=""/>
    <x v="0"/>
    <s v=""/>
    <s v=""/>
    <s v=""/>
  </r>
  <r>
    <x v="9"/>
    <x v="0"/>
    <x v="1"/>
    <n v="0"/>
    <s v="Travel_Rarely"/>
    <n v="335"/>
    <x v="0"/>
    <n v="17"/>
    <n v="2"/>
    <s v="Marketing"/>
    <n v="1"/>
    <x v="1355"/>
    <n v="3"/>
    <x v="1"/>
    <x v="1"/>
    <n v="33"/>
    <n v="2"/>
    <n v="2"/>
    <x v="0"/>
    <n v="2"/>
    <x v="1"/>
    <s v="Married"/>
    <x v="1253"/>
    <x v="0"/>
    <n v="16822"/>
    <n v="2"/>
    <s v="Y"/>
    <x v="1"/>
    <n v="16"/>
    <x v="2"/>
    <x v="0"/>
    <n v="3"/>
    <n v="80"/>
    <n v="2"/>
    <n v="12"/>
    <n v="1"/>
    <n v="1"/>
    <x v="9"/>
    <n v="2"/>
    <n v="1"/>
    <n v="3"/>
    <n v="1"/>
    <x v="1"/>
    <s v=""/>
    <s v=""/>
    <s v=""/>
  </r>
  <r>
    <x v="0"/>
    <x v="0"/>
    <x v="1"/>
    <n v="0"/>
    <s v="Travel_Rarely"/>
    <n v="337"/>
    <x v="0"/>
    <n v="8"/>
    <n v="3"/>
    <s v="Marketing"/>
    <n v="1"/>
    <x v="1356"/>
    <n v="3"/>
    <x v="1"/>
    <x v="0"/>
    <n v="54"/>
    <n v="3"/>
    <n v="2"/>
    <x v="0"/>
    <n v="2"/>
    <x v="1"/>
    <s v="Married"/>
    <x v="1254"/>
    <x v="0"/>
    <n v="26841"/>
    <n v="5"/>
    <s v="Y"/>
    <x v="1"/>
    <n v="21"/>
    <x v="1"/>
    <x v="1"/>
    <n v="3"/>
    <n v="80"/>
    <n v="1"/>
    <n v="14"/>
    <n v="3"/>
    <n v="3"/>
    <x v="8"/>
    <n v="4"/>
    <n v="1"/>
    <n v="4"/>
    <n v="1"/>
    <x v="1"/>
    <s v=""/>
    <s v=""/>
    <s v=""/>
  </r>
  <r>
    <x v="19"/>
    <x v="0"/>
    <x v="1"/>
    <n v="0"/>
    <s v="Travel_Rarely"/>
    <n v="1396"/>
    <x v="1"/>
    <n v="6"/>
    <n v="3"/>
    <s v="Medical"/>
    <n v="1"/>
    <x v="1357"/>
    <n v="3"/>
    <x v="1"/>
    <x v="1"/>
    <n v="83"/>
    <n v="3"/>
    <n v="3"/>
    <x v="7"/>
    <n v="1"/>
    <x v="3"/>
    <s v="Married"/>
    <x v="1255"/>
    <x v="3"/>
    <n v="14842"/>
    <n v="9"/>
    <s v="Y"/>
    <x v="1"/>
    <n v="13"/>
    <x v="0"/>
    <x v="0"/>
    <n v="2"/>
    <n v="80"/>
    <n v="1"/>
    <n v="18"/>
    <n v="3"/>
    <n v="4"/>
    <x v="20"/>
    <n v="7"/>
    <n v="5"/>
    <n v="7"/>
    <n v="2"/>
    <x v="1"/>
    <s v=""/>
    <s v=""/>
    <s v=""/>
  </r>
  <r>
    <x v="12"/>
    <x v="2"/>
    <x v="1"/>
    <n v="0"/>
    <s v="Travel_Rarely"/>
    <n v="1079"/>
    <x v="0"/>
    <n v="10"/>
    <n v="2"/>
    <s v="Medical"/>
    <n v="1"/>
    <x v="1358"/>
    <n v="3"/>
    <x v="1"/>
    <x v="0"/>
    <n v="86"/>
    <n v="3"/>
    <n v="2"/>
    <x v="0"/>
    <n v="4"/>
    <x v="0"/>
    <s v="Divorced"/>
    <x v="1256"/>
    <x v="0"/>
    <n v="20115"/>
    <n v="2"/>
    <s v="Y"/>
    <x v="0"/>
    <n v="11"/>
    <x v="0"/>
    <x v="0"/>
    <n v="4"/>
    <n v="80"/>
    <n v="1"/>
    <n v="8"/>
    <n v="2"/>
    <n v="3"/>
    <x v="8"/>
    <n v="2"/>
    <n v="1"/>
    <n v="4"/>
    <n v="4"/>
    <x v="2"/>
    <s v=""/>
    <s v=""/>
    <s v=""/>
  </r>
  <r>
    <x v="13"/>
    <x v="2"/>
    <x v="1"/>
    <n v="0"/>
    <s v="Travel_Rarely"/>
    <n v="735"/>
    <x v="0"/>
    <n v="3"/>
    <n v="1"/>
    <s v="Medical"/>
    <n v="1"/>
    <x v="1359"/>
    <n v="4"/>
    <x v="2"/>
    <x v="0"/>
    <n v="75"/>
    <n v="2"/>
    <n v="2"/>
    <x v="0"/>
    <n v="4"/>
    <x v="0"/>
    <s v="Married"/>
    <x v="1257"/>
    <x v="2"/>
    <n v="16495"/>
    <n v="3"/>
    <s v="Y"/>
    <x v="0"/>
    <n v="12"/>
    <x v="0"/>
    <x v="0"/>
    <n v="3"/>
    <n v="80"/>
    <n v="0"/>
    <n v="9"/>
    <n v="3"/>
    <n v="2"/>
    <x v="9"/>
    <n v="2"/>
    <n v="0"/>
    <n v="1"/>
    <n v="3"/>
    <x v="2"/>
    <s v=""/>
    <s v=""/>
    <s v=""/>
  </r>
  <r>
    <x v="12"/>
    <x v="2"/>
    <x v="1"/>
    <n v="0"/>
    <s v="Travel_Rarely"/>
    <n v="471"/>
    <x v="1"/>
    <n v="4"/>
    <n v="3"/>
    <s v="Medical"/>
    <n v="1"/>
    <x v="1360"/>
    <n v="1"/>
    <x v="3"/>
    <x v="0"/>
    <n v="62"/>
    <n v="4"/>
    <n v="1"/>
    <x v="2"/>
    <n v="3"/>
    <x v="2"/>
    <s v="Divorced"/>
    <x v="1258"/>
    <x v="1"/>
    <n v="16031"/>
    <n v="8"/>
    <s v="Y"/>
    <x v="1"/>
    <n v="12"/>
    <x v="0"/>
    <x v="0"/>
    <n v="2"/>
    <n v="80"/>
    <n v="1"/>
    <n v="4"/>
    <n v="0"/>
    <n v="2"/>
    <x v="4"/>
    <n v="2"/>
    <n v="2"/>
    <n v="2"/>
    <n v="4"/>
    <x v="2"/>
    <s v=""/>
    <s v=""/>
    <s v=""/>
  </r>
  <r>
    <x v="25"/>
    <x v="2"/>
    <x v="1"/>
    <n v="0"/>
    <s v="Travel_Frequently"/>
    <n v="1096"/>
    <x v="1"/>
    <n v="6"/>
    <n v="3"/>
    <s v="Other"/>
    <n v="1"/>
    <x v="1361"/>
    <n v="3"/>
    <x v="1"/>
    <x v="1"/>
    <n v="61"/>
    <n v="4"/>
    <n v="1"/>
    <x v="2"/>
    <n v="4"/>
    <x v="0"/>
    <s v="Married"/>
    <x v="1259"/>
    <x v="1"/>
    <n v="7102"/>
    <n v="0"/>
    <s v="Y"/>
    <x v="1"/>
    <n v="18"/>
    <x v="2"/>
    <x v="0"/>
    <n v="1"/>
    <n v="80"/>
    <n v="1"/>
    <n v="8"/>
    <n v="3"/>
    <n v="3"/>
    <x v="5"/>
    <n v="7"/>
    <n v="7"/>
    <n v="7"/>
    <n v="4"/>
    <x v="2"/>
    <s v=""/>
    <s v=""/>
    <s v=""/>
  </r>
  <r>
    <x v="28"/>
    <x v="1"/>
    <x v="1"/>
    <n v="0"/>
    <s v="Travel_Frequently"/>
    <n v="1297"/>
    <x v="1"/>
    <n v="1"/>
    <n v="4"/>
    <s v="Medical"/>
    <n v="1"/>
    <x v="1362"/>
    <n v="2"/>
    <x v="0"/>
    <x v="1"/>
    <n v="44"/>
    <n v="3"/>
    <n v="2"/>
    <x v="4"/>
    <n v="3"/>
    <x v="2"/>
    <s v="Single"/>
    <x v="1260"/>
    <x v="0"/>
    <n v="14511"/>
    <n v="4"/>
    <s v="Y"/>
    <x v="1"/>
    <n v="12"/>
    <x v="0"/>
    <x v="0"/>
    <n v="3"/>
    <n v="80"/>
    <n v="0"/>
    <n v="12"/>
    <n v="3"/>
    <n v="3"/>
    <x v="9"/>
    <n v="2"/>
    <n v="0"/>
    <n v="3"/>
    <n v="1"/>
    <x v="1"/>
    <s v=""/>
    <s v=""/>
    <s v=""/>
  </r>
  <r>
    <x v="3"/>
    <x v="2"/>
    <x v="1"/>
    <n v="0"/>
    <s v="Travel_Rarely"/>
    <n v="217"/>
    <x v="0"/>
    <n v="10"/>
    <n v="4"/>
    <s v="Marketing"/>
    <n v="1"/>
    <x v="1363"/>
    <n v="2"/>
    <x v="0"/>
    <x v="1"/>
    <n v="43"/>
    <n v="3"/>
    <n v="2"/>
    <x v="0"/>
    <n v="3"/>
    <x v="2"/>
    <s v="Single"/>
    <x v="1261"/>
    <x v="0"/>
    <n v="10410"/>
    <n v="1"/>
    <s v="Y"/>
    <x v="1"/>
    <n v="14"/>
    <x v="0"/>
    <x v="0"/>
    <n v="2"/>
    <n v="80"/>
    <n v="0"/>
    <n v="10"/>
    <n v="2"/>
    <n v="2"/>
    <x v="1"/>
    <n v="4"/>
    <n v="0"/>
    <n v="9"/>
    <n v="2"/>
    <x v="1"/>
    <s v=""/>
    <s v=""/>
    <s v=""/>
  </r>
  <r>
    <x v="14"/>
    <x v="2"/>
    <x v="1"/>
    <n v="0"/>
    <s v="Travel_Frequently"/>
    <n v="783"/>
    <x v="0"/>
    <n v="1"/>
    <n v="2"/>
    <s v="Life Sciences"/>
    <n v="1"/>
    <x v="1364"/>
    <n v="3"/>
    <x v="1"/>
    <x v="1"/>
    <n v="42"/>
    <n v="2"/>
    <n v="2"/>
    <x v="0"/>
    <n v="4"/>
    <x v="0"/>
    <s v="Married"/>
    <x v="1262"/>
    <x v="0"/>
    <n v="19255"/>
    <n v="1"/>
    <s v="Y"/>
    <x v="0"/>
    <n v="12"/>
    <x v="0"/>
    <x v="0"/>
    <n v="3"/>
    <n v="80"/>
    <n v="1"/>
    <n v="7"/>
    <n v="2"/>
    <n v="3"/>
    <x v="5"/>
    <n v="7"/>
    <n v="0"/>
    <n v="7"/>
    <n v="4"/>
    <x v="2"/>
    <s v=""/>
    <s v=""/>
    <s v=""/>
  </r>
  <r>
    <x v="11"/>
    <x v="2"/>
    <x v="0"/>
    <n v="1"/>
    <s v="Travel_Frequently"/>
    <n v="746"/>
    <x v="0"/>
    <n v="24"/>
    <n v="3"/>
    <s v="Technical Degree"/>
    <n v="1"/>
    <x v="1365"/>
    <n v="3"/>
    <x v="1"/>
    <x v="1"/>
    <n v="45"/>
    <n v="4"/>
    <n v="1"/>
    <x v="6"/>
    <n v="1"/>
    <x v="3"/>
    <s v="Single"/>
    <x v="1263"/>
    <x v="1"/>
    <n v="10642"/>
    <n v="1"/>
    <s v="Y"/>
    <x v="1"/>
    <n v="17"/>
    <x v="2"/>
    <x v="0"/>
    <n v="4"/>
    <n v="80"/>
    <n v="0"/>
    <n v="1"/>
    <n v="3"/>
    <n v="3"/>
    <x v="6"/>
    <n v="0"/>
    <n v="0"/>
    <n v="0"/>
    <s v=""/>
    <x v="0"/>
    <s v=""/>
    <s v=""/>
    <s v=""/>
  </r>
  <r>
    <x v="22"/>
    <x v="0"/>
    <x v="1"/>
    <n v="0"/>
    <s v="Non-Travel"/>
    <n v="1251"/>
    <x v="0"/>
    <n v="21"/>
    <n v="4"/>
    <s v="Life Sciences"/>
    <n v="1"/>
    <x v="1366"/>
    <n v="1"/>
    <x v="3"/>
    <x v="0"/>
    <n v="32"/>
    <n v="1"/>
    <n v="2"/>
    <x v="0"/>
    <n v="3"/>
    <x v="2"/>
    <s v="Married"/>
    <x v="1264"/>
    <x v="0"/>
    <n v="3987"/>
    <n v="6"/>
    <s v="Y"/>
    <x v="1"/>
    <n v="19"/>
    <x v="2"/>
    <x v="0"/>
    <n v="3"/>
    <n v="80"/>
    <n v="1"/>
    <n v="10"/>
    <n v="1"/>
    <n v="3"/>
    <x v="11"/>
    <n v="2"/>
    <n v="1"/>
    <n v="2"/>
    <n v="1"/>
    <x v="1"/>
    <s v=""/>
    <s v=""/>
    <s v=""/>
  </r>
  <r>
    <x v="4"/>
    <x v="2"/>
    <x v="1"/>
    <n v="0"/>
    <s v="Travel_Rarely"/>
    <n v="1354"/>
    <x v="1"/>
    <n v="2"/>
    <n v="4"/>
    <s v="Technical Degree"/>
    <n v="1"/>
    <x v="1367"/>
    <n v="2"/>
    <x v="0"/>
    <x v="1"/>
    <n v="41"/>
    <n v="3"/>
    <n v="1"/>
    <x v="1"/>
    <n v="2"/>
    <x v="1"/>
    <s v="Married"/>
    <x v="1265"/>
    <x v="1"/>
    <n v="6073"/>
    <n v="1"/>
    <s v="Y"/>
    <x v="1"/>
    <n v="11"/>
    <x v="0"/>
    <x v="0"/>
    <n v="3"/>
    <n v="80"/>
    <n v="1"/>
    <n v="6"/>
    <n v="3"/>
    <n v="2"/>
    <x v="8"/>
    <n v="3"/>
    <n v="1"/>
    <n v="2"/>
    <n v="3"/>
    <x v="2"/>
    <s v=""/>
    <s v=""/>
    <s v=""/>
  </r>
  <r>
    <x v="13"/>
    <x v="2"/>
    <x v="1"/>
    <n v="0"/>
    <s v="Travel_Frequently"/>
    <n v="735"/>
    <x v="1"/>
    <n v="22"/>
    <n v="4"/>
    <s v="Other"/>
    <n v="1"/>
    <x v="1368"/>
    <n v="3"/>
    <x v="1"/>
    <x v="1"/>
    <n v="86"/>
    <n v="2"/>
    <n v="2"/>
    <x v="1"/>
    <n v="4"/>
    <x v="0"/>
    <s v="Married"/>
    <x v="1266"/>
    <x v="0"/>
    <n v="26496"/>
    <n v="1"/>
    <s v="Y"/>
    <x v="0"/>
    <n v="15"/>
    <x v="0"/>
    <x v="0"/>
    <n v="2"/>
    <n v="80"/>
    <n v="0"/>
    <n v="16"/>
    <n v="3"/>
    <n v="3"/>
    <x v="15"/>
    <n v="10"/>
    <n v="6"/>
    <n v="11"/>
    <n v="4"/>
    <x v="2"/>
    <s v=""/>
    <s v=""/>
    <s v=""/>
  </r>
  <r>
    <x v="14"/>
    <x v="2"/>
    <x v="0"/>
    <n v="1"/>
    <s v="Travel_Rarely"/>
    <n v="1475"/>
    <x v="0"/>
    <n v="13"/>
    <n v="2"/>
    <s v="Marketing"/>
    <n v="1"/>
    <x v="1369"/>
    <n v="4"/>
    <x v="2"/>
    <x v="0"/>
    <n v="84"/>
    <n v="3"/>
    <n v="2"/>
    <x v="0"/>
    <n v="3"/>
    <x v="2"/>
    <s v="Single"/>
    <x v="1267"/>
    <x v="2"/>
    <n v="23352"/>
    <n v="3"/>
    <s v="Y"/>
    <x v="0"/>
    <n v="11"/>
    <x v="0"/>
    <x v="0"/>
    <n v="4"/>
    <n v="80"/>
    <n v="0"/>
    <n v="6"/>
    <n v="0"/>
    <n v="3"/>
    <x v="4"/>
    <n v="0"/>
    <n v="2"/>
    <n v="2"/>
    <s v=""/>
    <x v="0"/>
    <s v=""/>
    <s v=""/>
    <s v=""/>
  </r>
  <r>
    <x v="40"/>
    <x v="1"/>
    <x v="1"/>
    <n v="0"/>
    <s v="Non-Travel"/>
    <n v="1169"/>
    <x v="1"/>
    <n v="14"/>
    <n v="4"/>
    <s v="Technical Degree"/>
    <n v="1"/>
    <x v="1370"/>
    <n v="3"/>
    <x v="1"/>
    <x v="1"/>
    <n v="64"/>
    <n v="3"/>
    <n v="2"/>
    <x v="1"/>
    <n v="2"/>
    <x v="1"/>
    <s v="Married"/>
    <x v="931"/>
    <x v="0"/>
    <n v="2125"/>
    <n v="8"/>
    <s v="Y"/>
    <x v="1"/>
    <n v="18"/>
    <x v="2"/>
    <x v="0"/>
    <n v="3"/>
    <n v="80"/>
    <n v="1"/>
    <n v="16"/>
    <n v="4"/>
    <n v="4"/>
    <x v="3"/>
    <n v="7"/>
    <n v="1"/>
    <n v="7"/>
    <n v="1"/>
    <x v="1"/>
    <s v=""/>
    <s v=""/>
    <s v=""/>
  </r>
  <r>
    <x v="29"/>
    <x v="3"/>
    <x v="1"/>
    <n v="0"/>
    <s v="Travel_Rarely"/>
    <n v="1443"/>
    <x v="0"/>
    <n v="11"/>
    <n v="5"/>
    <s v="Marketing"/>
    <n v="1"/>
    <x v="1371"/>
    <n v="4"/>
    <x v="2"/>
    <x v="0"/>
    <n v="89"/>
    <n v="2"/>
    <n v="2"/>
    <x v="0"/>
    <n v="1"/>
    <x v="3"/>
    <s v="Married"/>
    <x v="1268"/>
    <x v="0"/>
    <n v="20328"/>
    <n v="4"/>
    <s v="Y"/>
    <x v="1"/>
    <n v="16"/>
    <x v="2"/>
    <x v="0"/>
    <n v="3"/>
    <n v="80"/>
    <n v="1"/>
    <n v="6"/>
    <n v="3"/>
    <n v="3"/>
    <x v="2"/>
    <n v="0"/>
    <n v="0"/>
    <n v="0"/>
    <n v="3"/>
    <x v="2"/>
    <s v=""/>
    <s v=""/>
    <s v=""/>
  </r>
  <r>
    <x v="22"/>
    <x v="0"/>
    <x v="1"/>
    <n v="0"/>
    <s v="Travel_Rarely"/>
    <n v="867"/>
    <x v="1"/>
    <n v="9"/>
    <n v="2"/>
    <s v="Medical"/>
    <n v="1"/>
    <x v="1372"/>
    <n v="1"/>
    <x v="3"/>
    <x v="1"/>
    <n v="87"/>
    <n v="3"/>
    <n v="2"/>
    <x v="3"/>
    <n v="1"/>
    <x v="3"/>
    <s v="Married"/>
    <x v="1269"/>
    <x v="0"/>
    <n v="12315"/>
    <n v="1"/>
    <s v="Y"/>
    <x v="1"/>
    <n v="25"/>
    <x v="1"/>
    <x v="1"/>
    <n v="4"/>
    <n v="80"/>
    <n v="1"/>
    <n v="10"/>
    <n v="3"/>
    <n v="3"/>
    <x v="1"/>
    <n v="0"/>
    <n v="7"/>
    <n v="9"/>
    <n v="3"/>
    <x v="2"/>
    <s v=""/>
    <s v=""/>
    <s v=""/>
  </r>
  <r>
    <x v="8"/>
    <x v="0"/>
    <x v="1"/>
    <n v="0"/>
    <s v="Travel_Frequently"/>
    <n v="1394"/>
    <x v="1"/>
    <n v="8"/>
    <n v="3"/>
    <s v="Medical"/>
    <n v="1"/>
    <x v="1373"/>
    <n v="4"/>
    <x v="2"/>
    <x v="0"/>
    <n v="58"/>
    <n v="2"/>
    <n v="2"/>
    <x v="1"/>
    <n v="2"/>
    <x v="1"/>
    <s v="Divorced"/>
    <x v="1270"/>
    <x v="1"/>
    <n v="18115"/>
    <n v="1"/>
    <s v="Y"/>
    <x v="0"/>
    <n v="16"/>
    <x v="2"/>
    <x v="0"/>
    <n v="3"/>
    <n v="80"/>
    <n v="1"/>
    <n v="20"/>
    <n v="3"/>
    <n v="3"/>
    <x v="23"/>
    <n v="11"/>
    <n v="0"/>
    <n v="7"/>
    <n v="4"/>
    <x v="2"/>
    <s v=""/>
    <s v=""/>
    <s v=""/>
  </r>
  <r>
    <x v="34"/>
    <x v="3"/>
    <x v="1"/>
    <n v="0"/>
    <s v="Travel_Rarely"/>
    <n v="605"/>
    <x v="0"/>
    <n v="21"/>
    <n v="3"/>
    <s v="Life Sciences"/>
    <n v="1"/>
    <x v="1374"/>
    <n v="4"/>
    <x v="2"/>
    <x v="0"/>
    <n v="72"/>
    <n v="3"/>
    <n v="4"/>
    <x v="5"/>
    <n v="4"/>
    <x v="0"/>
    <s v="Married"/>
    <x v="1271"/>
    <x v="4"/>
    <n v="11761"/>
    <n v="4"/>
    <s v="Y"/>
    <x v="0"/>
    <n v="13"/>
    <x v="0"/>
    <x v="0"/>
    <n v="3"/>
    <n v="80"/>
    <n v="1"/>
    <n v="29"/>
    <n v="2"/>
    <n v="2"/>
    <x v="6"/>
    <n v="0"/>
    <n v="0"/>
    <n v="0"/>
    <n v="2"/>
    <x v="1"/>
    <s v=""/>
    <s v=""/>
    <s v=""/>
  </r>
  <r>
    <x v="5"/>
    <x v="2"/>
    <x v="0"/>
    <n v="1"/>
    <s v="Travel_Frequently"/>
    <n v="238"/>
    <x v="1"/>
    <n v="5"/>
    <n v="2"/>
    <s v="Life Sciences"/>
    <n v="1"/>
    <x v="1375"/>
    <n v="1"/>
    <x v="3"/>
    <x v="0"/>
    <n v="47"/>
    <n v="4"/>
    <n v="1"/>
    <x v="1"/>
    <n v="3"/>
    <x v="2"/>
    <s v="Single"/>
    <x v="1272"/>
    <x v="1"/>
    <n v="15318"/>
    <n v="3"/>
    <s v="Y"/>
    <x v="0"/>
    <n v="14"/>
    <x v="0"/>
    <x v="0"/>
    <n v="1"/>
    <n v="80"/>
    <n v="0"/>
    <n v="8"/>
    <n v="2"/>
    <n v="3"/>
    <x v="9"/>
    <n v="1"/>
    <n v="0"/>
    <n v="3"/>
    <s v=""/>
    <x v="0"/>
    <s v=""/>
    <s v=""/>
    <s v=""/>
  </r>
  <r>
    <x v="8"/>
    <x v="0"/>
    <x v="1"/>
    <n v="0"/>
    <s v="Travel_Rarely"/>
    <n v="1206"/>
    <x v="1"/>
    <n v="9"/>
    <n v="2"/>
    <s v="Life Sciences"/>
    <n v="1"/>
    <x v="1376"/>
    <n v="2"/>
    <x v="0"/>
    <x v="1"/>
    <n v="71"/>
    <n v="3"/>
    <n v="1"/>
    <x v="1"/>
    <n v="4"/>
    <x v="0"/>
    <s v="Divorced"/>
    <x v="1273"/>
    <x v="0"/>
    <n v="14293"/>
    <n v="2"/>
    <s v="Y"/>
    <x v="1"/>
    <n v="19"/>
    <x v="2"/>
    <x v="0"/>
    <n v="4"/>
    <n v="80"/>
    <n v="2"/>
    <n v="10"/>
    <n v="0"/>
    <n v="4"/>
    <x v="8"/>
    <n v="2"/>
    <n v="0"/>
    <n v="3"/>
    <n v="1"/>
    <x v="1"/>
    <s v=""/>
    <s v=""/>
    <s v=""/>
  </r>
  <r>
    <x v="1"/>
    <x v="1"/>
    <x v="1"/>
    <n v="0"/>
    <s v="Travel_Frequently"/>
    <n v="1064"/>
    <x v="1"/>
    <n v="2"/>
    <n v="1"/>
    <s v="Life Sciences"/>
    <n v="1"/>
    <x v="1377"/>
    <n v="2"/>
    <x v="0"/>
    <x v="1"/>
    <n v="42"/>
    <n v="3"/>
    <n v="5"/>
    <x v="7"/>
    <n v="4"/>
    <x v="0"/>
    <s v="Married"/>
    <x v="1274"/>
    <x v="4"/>
    <n v="13738"/>
    <n v="3"/>
    <s v="Y"/>
    <x v="1"/>
    <n v="15"/>
    <x v="0"/>
    <x v="0"/>
    <n v="4"/>
    <n v="80"/>
    <n v="0"/>
    <n v="28"/>
    <n v="3"/>
    <n v="3"/>
    <x v="8"/>
    <n v="4"/>
    <n v="4"/>
    <n v="3"/>
    <n v="0"/>
    <x v="1"/>
    <s v=""/>
    <s v=""/>
    <s v=""/>
  </r>
  <r>
    <x v="19"/>
    <x v="0"/>
    <x v="1"/>
    <n v="0"/>
    <s v="Travel_Rarely"/>
    <n v="419"/>
    <x v="0"/>
    <n v="12"/>
    <n v="4"/>
    <s v="Marketing"/>
    <n v="1"/>
    <x v="1378"/>
    <n v="2"/>
    <x v="0"/>
    <x v="1"/>
    <n v="77"/>
    <n v="3"/>
    <n v="2"/>
    <x v="0"/>
    <n v="4"/>
    <x v="0"/>
    <s v="Divorced"/>
    <x v="1275"/>
    <x v="0"/>
    <n v="2900"/>
    <n v="3"/>
    <s v="Y"/>
    <x v="0"/>
    <n v="12"/>
    <x v="0"/>
    <x v="0"/>
    <n v="3"/>
    <n v="80"/>
    <n v="2"/>
    <n v="14"/>
    <n v="4"/>
    <n v="3"/>
    <x v="2"/>
    <n v="0"/>
    <n v="0"/>
    <n v="0"/>
    <n v="3"/>
    <x v="2"/>
    <s v=""/>
    <s v=""/>
    <s v=""/>
  </r>
  <r>
    <x v="4"/>
    <x v="2"/>
    <x v="0"/>
    <n v="1"/>
    <s v="Travel_Frequently"/>
    <n v="1337"/>
    <x v="2"/>
    <n v="22"/>
    <n v="3"/>
    <s v="Human Resources"/>
    <n v="1"/>
    <x v="1379"/>
    <n v="1"/>
    <x v="3"/>
    <x v="0"/>
    <n v="58"/>
    <n v="2"/>
    <n v="1"/>
    <x v="8"/>
    <n v="2"/>
    <x v="1"/>
    <s v="Married"/>
    <x v="1276"/>
    <x v="1"/>
    <n v="19555"/>
    <n v="1"/>
    <s v="Y"/>
    <x v="1"/>
    <n v="12"/>
    <x v="0"/>
    <x v="0"/>
    <n v="1"/>
    <n v="80"/>
    <n v="0"/>
    <n v="1"/>
    <n v="2"/>
    <n v="3"/>
    <x v="6"/>
    <n v="0"/>
    <n v="0"/>
    <n v="0"/>
    <s v=""/>
    <x v="0"/>
    <s v=""/>
    <s v=""/>
    <s v=""/>
  </r>
  <r>
    <x v="10"/>
    <x v="0"/>
    <x v="1"/>
    <n v="0"/>
    <s v="Travel_Rarely"/>
    <n v="682"/>
    <x v="0"/>
    <n v="18"/>
    <n v="4"/>
    <s v="Medical"/>
    <n v="1"/>
    <x v="1380"/>
    <n v="2"/>
    <x v="0"/>
    <x v="1"/>
    <n v="71"/>
    <n v="3"/>
    <n v="2"/>
    <x v="0"/>
    <n v="1"/>
    <x v="3"/>
    <s v="Married"/>
    <x v="489"/>
    <x v="0"/>
    <n v="15975"/>
    <n v="0"/>
    <s v="Y"/>
    <x v="1"/>
    <n v="16"/>
    <x v="2"/>
    <x v="0"/>
    <n v="4"/>
    <n v="80"/>
    <n v="1"/>
    <n v="6"/>
    <n v="2"/>
    <n v="1"/>
    <x v="8"/>
    <n v="3"/>
    <n v="0"/>
    <n v="4"/>
    <n v="3"/>
    <x v="2"/>
    <s v=""/>
    <s v=""/>
    <s v=""/>
  </r>
  <r>
    <x v="14"/>
    <x v="2"/>
    <x v="1"/>
    <n v="0"/>
    <s v="Non-Travel"/>
    <n v="1103"/>
    <x v="1"/>
    <n v="16"/>
    <n v="3"/>
    <s v="Medical"/>
    <n v="1"/>
    <x v="1381"/>
    <n v="3"/>
    <x v="1"/>
    <x v="1"/>
    <n v="49"/>
    <n v="3"/>
    <n v="1"/>
    <x v="1"/>
    <n v="3"/>
    <x v="2"/>
    <s v="Single"/>
    <x v="1277"/>
    <x v="1"/>
    <n v="2122"/>
    <n v="1"/>
    <s v="Y"/>
    <x v="1"/>
    <n v="14"/>
    <x v="0"/>
    <x v="0"/>
    <n v="3"/>
    <n v="80"/>
    <n v="0"/>
    <n v="5"/>
    <n v="3"/>
    <n v="2"/>
    <x v="8"/>
    <n v="3"/>
    <n v="1"/>
    <n v="4"/>
    <n v="3"/>
    <x v="2"/>
    <s v=""/>
    <s v=""/>
    <s v=""/>
  </r>
  <r>
    <x v="12"/>
    <x v="2"/>
    <x v="1"/>
    <n v="0"/>
    <s v="Non-Travel"/>
    <n v="976"/>
    <x v="1"/>
    <n v="3"/>
    <n v="2"/>
    <s v="Medical"/>
    <n v="1"/>
    <x v="1382"/>
    <n v="3"/>
    <x v="1"/>
    <x v="1"/>
    <n v="48"/>
    <n v="3"/>
    <n v="1"/>
    <x v="1"/>
    <n v="1"/>
    <x v="3"/>
    <s v="Divorced"/>
    <x v="1278"/>
    <x v="1"/>
    <n v="3995"/>
    <n v="1"/>
    <s v="Y"/>
    <x v="0"/>
    <n v="13"/>
    <x v="0"/>
    <x v="0"/>
    <n v="4"/>
    <n v="80"/>
    <n v="1"/>
    <n v="4"/>
    <n v="3"/>
    <n v="4"/>
    <x v="9"/>
    <n v="2"/>
    <n v="2"/>
    <n v="3"/>
    <n v="7"/>
    <x v="3"/>
    <n v="20"/>
    <s v=""/>
    <n v="68052"/>
  </r>
  <r>
    <x v="9"/>
    <x v="0"/>
    <x v="1"/>
    <n v="0"/>
    <s v="Non-Travel"/>
    <n v="1351"/>
    <x v="1"/>
    <n v="9"/>
    <n v="4"/>
    <s v="Life Sciences"/>
    <n v="1"/>
    <x v="1383"/>
    <n v="1"/>
    <x v="3"/>
    <x v="1"/>
    <n v="66"/>
    <n v="4"/>
    <n v="1"/>
    <x v="2"/>
    <n v="2"/>
    <x v="1"/>
    <s v="Married"/>
    <x v="1279"/>
    <x v="1"/>
    <n v="9238"/>
    <n v="1"/>
    <s v="Y"/>
    <x v="1"/>
    <n v="22"/>
    <x v="1"/>
    <x v="1"/>
    <n v="2"/>
    <n v="80"/>
    <n v="0"/>
    <n v="5"/>
    <n v="3"/>
    <n v="3"/>
    <x v="8"/>
    <n v="4"/>
    <n v="0"/>
    <n v="2"/>
    <n v="3"/>
    <x v="2"/>
    <s v=""/>
    <s v=""/>
    <s v=""/>
  </r>
  <r>
    <x v="13"/>
    <x v="2"/>
    <x v="1"/>
    <n v="0"/>
    <s v="Travel_Rarely"/>
    <n v="937"/>
    <x v="0"/>
    <n v="1"/>
    <n v="3"/>
    <s v="Marketing"/>
    <n v="1"/>
    <x v="1384"/>
    <n v="1"/>
    <x v="3"/>
    <x v="1"/>
    <n v="32"/>
    <n v="3"/>
    <n v="3"/>
    <x v="0"/>
    <n v="4"/>
    <x v="0"/>
    <s v="Single"/>
    <x v="1280"/>
    <x v="2"/>
    <n v="6770"/>
    <n v="1"/>
    <s v="Y"/>
    <x v="1"/>
    <n v="21"/>
    <x v="1"/>
    <x v="1"/>
    <n v="1"/>
    <n v="80"/>
    <n v="0"/>
    <n v="14"/>
    <n v="3"/>
    <n v="2"/>
    <x v="13"/>
    <n v="8"/>
    <n v="2"/>
    <n v="1"/>
    <n v="1"/>
    <x v="1"/>
    <s v=""/>
    <s v=""/>
    <s v=""/>
  </r>
  <r>
    <x v="13"/>
    <x v="2"/>
    <x v="1"/>
    <n v="0"/>
    <s v="Travel_Rarely"/>
    <n v="1239"/>
    <x v="0"/>
    <n v="13"/>
    <n v="4"/>
    <s v="Medical"/>
    <n v="1"/>
    <x v="1385"/>
    <n v="4"/>
    <x v="2"/>
    <x v="1"/>
    <n v="39"/>
    <n v="3"/>
    <n v="3"/>
    <x v="0"/>
    <n v="3"/>
    <x v="2"/>
    <s v="Divorced"/>
    <x v="1281"/>
    <x v="2"/>
    <n v="22914"/>
    <n v="1"/>
    <s v="Y"/>
    <x v="1"/>
    <n v="18"/>
    <x v="2"/>
    <x v="0"/>
    <n v="3"/>
    <n v="80"/>
    <n v="1"/>
    <n v="9"/>
    <n v="2"/>
    <n v="2"/>
    <x v="3"/>
    <n v="7"/>
    <n v="1"/>
    <n v="1"/>
    <n v="1"/>
    <x v="1"/>
    <s v=""/>
    <s v=""/>
    <s v=""/>
  </r>
  <r>
    <x v="25"/>
    <x v="2"/>
    <x v="1"/>
    <n v="0"/>
    <s v="Travel_Rarely"/>
    <n v="157"/>
    <x v="1"/>
    <n v="1"/>
    <n v="3"/>
    <s v="Medical"/>
    <n v="1"/>
    <x v="1386"/>
    <n v="3"/>
    <x v="1"/>
    <x v="1"/>
    <n v="95"/>
    <n v="3"/>
    <n v="1"/>
    <x v="2"/>
    <n v="1"/>
    <x v="3"/>
    <s v="Single"/>
    <x v="1282"/>
    <x v="1"/>
    <n v="20006"/>
    <n v="0"/>
    <s v="Y"/>
    <x v="1"/>
    <n v="13"/>
    <x v="0"/>
    <x v="0"/>
    <n v="4"/>
    <n v="80"/>
    <n v="0"/>
    <n v="8"/>
    <n v="6"/>
    <n v="2"/>
    <x v="5"/>
    <n v="7"/>
    <n v="7"/>
    <n v="6"/>
    <n v="6"/>
    <x v="3"/>
    <n v="65"/>
    <s v=""/>
    <n v="58048"/>
  </r>
  <r>
    <x v="11"/>
    <x v="2"/>
    <x v="1"/>
    <n v="0"/>
    <s v="Travel_Rarely"/>
    <n v="136"/>
    <x v="1"/>
    <n v="1"/>
    <n v="3"/>
    <s v="Life Sciences"/>
    <n v="1"/>
    <x v="1387"/>
    <n v="1"/>
    <x v="3"/>
    <x v="1"/>
    <n v="89"/>
    <n v="3"/>
    <n v="2"/>
    <x v="4"/>
    <n v="1"/>
    <x v="3"/>
    <s v="Married"/>
    <x v="1283"/>
    <x v="0"/>
    <n v="6225"/>
    <n v="0"/>
    <s v="Y"/>
    <x v="1"/>
    <n v="12"/>
    <x v="0"/>
    <x v="0"/>
    <n v="1"/>
    <n v="80"/>
    <n v="1"/>
    <n v="6"/>
    <n v="5"/>
    <n v="2"/>
    <x v="8"/>
    <n v="3"/>
    <n v="0"/>
    <n v="2"/>
    <n v="4"/>
    <x v="2"/>
    <s v=""/>
    <s v=""/>
    <s v=""/>
  </r>
  <r>
    <x v="5"/>
    <x v="2"/>
    <x v="1"/>
    <n v="0"/>
    <s v="Non-Travel"/>
    <n v="1146"/>
    <x v="1"/>
    <n v="15"/>
    <n v="4"/>
    <s v="Medical"/>
    <n v="1"/>
    <x v="1388"/>
    <n v="3"/>
    <x v="1"/>
    <x v="0"/>
    <n v="34"/>
    <n v="3"/>
    <n v="2"/>
    <x v="4"/>
    <n v="4"/>
    <x v="0"/>
    <s v="Divorced"/>
    <x v="1284"/>
    <x v="0"/>
    <n v="16542"/>
    <n v="5"/>
    <s v="Y"/>
    <x v="1"/>
    <n v="18"/>
    <x v="2"/>
    <x v="0"/>
    <n v="2"/>
    <n v="80"/>
    <n v="1"/>
    <n v="9"/>
    <n v="6"/>
    <n v="3"/>
    <x v="8"/>
    <n v="1"/>
    <n v="1"/>
    <n v="2"/>
    <n v="2"/>
    <x v="1"/>
    <s v=""/>
    <s v=""/>
    <s v=""/>
  </r>
  <r>
    <x v="12"/>
    <x v="2"/>
    <x v="1"/>
    <n v="0"/>
    <s v="Travel_Frequently"/>
    <n v="1125"/>
    <x v="1"/>
    <n v="1"/>
    <n v="3"/>
    <s v="Life Sciences"/>
    <n v="1"/>
    <x v="1389"/>
    <n v="4"/>
    <x v="2"/>
    <x v="1"/>
    <n v="48"/>
    <n v="1"/>
    <n v="2"/>
    <x v="1"/>
    <n v="1"/>
    <x v="3"/>
    <s v="Married"/>
    <x v="701"/>
    <x v="0"/>
    <n v="5771"/>
    <n v="1"/>
    <s v="Y"/>
    <x v="1"/>
    <n v="21"/>
    <x v="1"/>
    <x v="1"/>
    <n v="2"/>
    <n v="80"/>
    <n v="0"/>
    <n v="10"/>
    <n v="6"/>
    <n v="3"/>
    <x v="1"/>
    <n v="8"/>
    <n v="8"/>
    <n v="7"/>
    <n v="4"/>
    <x v="2"/>
    <s v=""/>
    <s v=""/>
    <s v=""/>
  </r>
  <r>
    <x v="14"/>
    <x v="2"/>
    <x v="0"/>
    <n v="1"/>
    <s v="Travel_Rarely"/>
    <n v="1404"/>
    <x v="1"/>
    <n v="17"/>
    <n v="3"/>
    <s v="Technical Degree"/>
    <n v="1"/>
    <x v="1390"/>
    <n v="3"/>
    <x v="1"/>
    <x v="1"/>
    <n v="32"/>
    <n v="2"/>
    <n v="1"/>
    <x v="2"/>
    <n v="4"/>
    <x v="0"/>
    <s v="Divorced"/>
    <x v="1039"/>
    <x v="1"/>
    <n v="18779"/>
    <n v="5"/>
    <s v="Y"/>
    <x v="1"/>
    <n v="12"/>
    <x v="0"/>
    <x v="0"/>
    <n v="1"/>
    <n v="80"/>
    <n v="1"/>
    <n v="6"/>
    <n v="2"/>
    <n v="2"/>
    <x v="9"/>
    <n v="1"/>
    <n v="0"/>
    <n v="3"/>
    <s v=""/>
    <x v="0"/>
    <s v=""/>
    <s v=""/>
    <s v=""/>
  </r>
  <r>
    <x v="8"/>
    <x v="0"/>
    <x v="1"/>
    <n v="0"/>
    <s v="Travel_Rarely"/>
    <n v="1404"/>
    <x v="0"/>
    <n v="1"/>
    <n v="3"/>
    <s v="Life Sciences"/>
    <n v="1"/>
    <x v="1391"/>
    <n v="1"/>
    <x v="3"/>
    <x v="1"/>
    <n v="59"/>
    <n v="2"/>
    <n v="1"/>
    <x v="6"/>
    <n v="1"/>
    <x v="3"/>
    <s v="Single"/>
    <x v="1285"/>
    <x v="1"/>
    <n v="11473"/>
    <n v="4"/>
    <s v="Y"/>
    <x v="1"/>
    <n v="14"/>
    <x v="0"/>
    <x v="0"/>
    <n v="1"/>
    <n v="80"/>
    <n v="0"/>
    <n v="20"/>
    <n v="3"/>
    <n v="2"/>
    <x v="6"/>
    <n v="0"/>
    <n v="0"/>
    <n v="0"/>
    <n v="6"/>
    <x v="3"/>
    <n v="66"/>
    <s v=""/>
    <n v="58039"/>
  </r>
  <r>
    <x v="10"/>
    <x v="0"/>
    <x v="1"/>
    <n v="0"/>
    <s v="Travel_Rarely"/>
    <n v="1224"/>
    <x v="0"/>
    <n v="7"/>
    <n v="4"/>
    <s v="Life Sciences"/>
    <n v="1"/>
    <x v="1392"/>
    <n v="3"/>
    <x v="1"/>
    <x v="0"/>
    <n v="55"/>
    <n v="3"/>
    <n v="2"/>
    <x v="0"/>
    <n v="4"/>
    <x v="0"/>
    <s v="Married"/>
    <x v="626"/>
    <x v="0"/>
    <n v="13586"/>
    <n v="1"/>
    <s v="Y"/>
    <x v="0"/>
    <n v="11"/>
    <x v="0"/>
    <x v="0"/>
    <n v="4"/>
    <n v="80"/>
    <n v="0"/>
    <n v="10"/>
    <n v="2"/>
    <n v="3"/>
    <x v="1"/>
    <n v="8"/>
    <n v="0"/>
    <n v="9"/>
    <n v="3"/>
    <x v="2"/>
    <s v=""/>
    <s v=""/>
    <s v=""/>
  </r>
  <r>
    <x v="4"/>
    <x v="2"/>
    <x v="1"/>
    <n v="0"/>
    <s v="Travel_Rarely"/>
    <n v="954"/>
    <x v="0"/>
    <n v="9"/>
    <n v="3"/>
    <s v="Marketing"/>
    <n v="1"/>
    <x v="1393"/>
    <n v="4"/>
    <x v="2"/>
    <x v="1"/>
    <n v="44"/>
    <n v="3"/>
    <n v="2"/>
    <x v="0"/>
    <n v="4"/>
    <x v="0"/>
    <s v="Single"/>
    <x v="1286"/>
    <x v="0"/>
    <n v="5099"/>
    <n v="1"/>
    <s v="Y"/>
    <x v="1"/>
    <n v="14"/>
    <x v="0"/>
    <x v="0"/>
    <n v="1"/>
    <n v="80"/>
    <n v="0"/>
    <n v="7"/>
    <n v="5"/>
    <n v="3"/>
    <x v="5"/>
    <n v="7"/>
    <n v="0"/>
    <n v="7"/>
    <n v="2"/>
    <x v="1"/>
    <s v=""/>
    <s v=""/>
    <s v=""/>
  </r>
  <r>
    <x v="5"/>
    <x v="2"/>
    <x v="1"/>
    <n v="0"/>
    <s v="Travel_Rarely"/>
    <n v="1373"/>
    <x v="1"/>
    <n v="5"/>
    <n v="4"/>
    <s v="Life Sciences"/>
    <n v="1"/>
    <x v="1394"/>
    <n v="4"/>
    <x v="2"/>
    <x v="1"/>
    <n v="56"/>
    <n v="2"/>
    <n v="2"/>
    <x v="3"/>
    <n v="4"/>
    <x v="0"/>
    <s v="Single"/>
    <x v="1287"/>
    <x v="2"/>
    <n v="10138"/>
    <n v="8"/>
    <s v="Y"/>
    <x v="1"/>
    <n v="24"/>
    <x v="1"/>
    <x v="1"/>
    <n v="2"/>
    <n v="80"/>
    <n v="0"/>
    <n v="8"/>
    <n v="1"/>
    <n v="3"/>
    <x v="6"/>
    <n v="0"/>
    <n v="0"/>
    <n v="0"/>
    <n v="1"/>
    <x v="1"/>
    <s v=""/>
    <s v=""/>
    <s v=""/>
  </r>
  <r>
    <x v="12"/>
    <x v="2"/>
    <x v="0"/>
    <n v="1"/>
    <s v="Travel_Frequently"/>
    <n v="754"/>
    <x v="0"/>
    <n v="26"/>
    <n v="4"/>
    <s v="Marketing"/>
    <n v="1"/>
    <x v="1395"/>
    <n v="1"/>
    <x v="3"/>
    <x v="1"/>
    <n v="63"/>
    <n v="3"/>
    <n v="2"/>
    <x v="0"/>
    <n v="4"/>
    <x v="0"/>
    <s v="Married"/>
    <x v="1288"/>
    <x v="0"/>
    <n v="21075"/>
    <n v="1"/>
    <s v="Y"/>
    <x v="0"/>
    <n v="11"/>
    <x v="0"/>
    <x v="0"/>
    <n v="3"/>
    <n v="80"/>
    <n v="0"/>
    <n v="10"/>
    <n v="4"/>
    <n v="3"/>
    <x v="1"/>
    <n v="7"/>
    <n v="0"/>
    <n v="8"/>
    <s v=""/>
    <x v="0"/>
    <s v=""/>
    <s v=""/>
    <s v=""/>
  </r>
  <r>
    <x v="16"/>
    <x v="1"/>
    <x v="0"/>
    <n v="1"/>
    <s v="Travel_Rarely"/>
    <n v="1168"/>
    <x v="0"/>
    <n v="24"/>
    <n v="4"/>
    <s v="Life Sciences"/>
    <n v="1"/>
    <x v="1396"/>
    <n v="1"/>
    <x v="3"/>
    <x v="1"/>
    <n v="66"/>
    <n v="3"/>
    <n v="3"/>
    <x v="0"/>
    <n v="1"/>
    <x v="3"/>
    <s v="Single"/>
    <x v="1289"/>
    <x v="2"/>
    <n v="5843"/>
    <n v="6"/>
    <s v="Y"/>
    <x v="0"/>
    <n v="13"/>
    <x v="0"/>
    <x v="0"/>
    <n v="2"/>
    <n v="80"/>
    <n v="0"/>
    <n v="15"/>
    <n v="2"/>
    <n v="2"/>
    <x v="4"/>
    <n v="2"/>
    <n v="2"/>
    <n v="2"/>
    <s v=""/>
    <x v="0"/>
    <s v=""/>
    <s v=""/>
    <s v=""/>
  </r>
  <r>
    <x v="33"/>
    <x v="1"/>
    <x v="1"/>
    <n v="0"/>
    <s v="Travel_Rarely"/>
    <n v="155"/>
    <x v="1"/>
    <n v="9"/>
    <n v="2"/>
    <s v="Life Sciences"/>
    <n v="1"/>
    <x v="1397"/>
    <n v="1"/>
    <x v="3"/>
    <x v="0"/>
    <n v="67"/>
    <n v="3"/>
    <n v="2"/>
    <x v="1"/>
    <n v="3"/>
    <x v="2"/>
    <s v="Married"/>
    <x v="1290"/>
    <x v="1"/>
    <n v="22474"/>
    <n v="3"/>
    <s v="Y"/>
    <x v="1"/>
    <n v="11"/>
    <x v="0"/>
    <x v="0"/>
    <n v="3"/>
    <n v="80"/>
    <n v="2"/>
    <n v="9"/>
    <n v="6"/>
    <n v="2"/>
    <x v="9"/>
    <n v="3"/>
    <n v="2"/>
    <n v="3"/>
    <n v="2"/>
    <x v="1"/>
    <s v=""/>
    <s v=""/>
    <s v=""/>
  </r>
  <r>
    <x v="3"/>
    <x v="2"/>
    <x v="1"/>
    <n v="0"/>
    <s v="Travel_Frequently"/>
    <n v="1303"/>
    <x v="1"/>
    <n v="7"/>
    <n v="2"/>
    <s v="Life Sciences"/>
    <n v="1"/>
    <x v="1398"/>
    <n v="4"/>
    <x v="2"/>
    <x v="1"/>
    <n v="36"/>
    <n v="3"/>
    <n v="2"/>
    <x v="4"/>
    <n v="3"/>
    <x v="2"/>
    <s v="Divorced"/>
    <x v="1291"/>
    <x v="0"/>
    <n v="18079"/>
    <n v="1"/>
    <s v="Y"/>
    <x v="1"/>
    <n v="20"/>
    <x v="2"/>
    <x v="1"/>
    <n v="3"/>
    <n v="80"/>
    <n v="3"/>
    <n v="9"/>
    <n v="2"/>
    <n v="3"/>
    <x v="7"/>
    <n v="7"/>
    <n v="2"/>
    <n v="8"/>
    <n v="2"/>
    <x v="1"/>
    <s v=""/>
    <s v=""/>
    <s v=""/>
  </r>
  <r>
    <x v="23"/>
    <x v="0"/>
    <x v="1"/>
    <n v="0"/>
    <s v="Travel_Rarely"/>
    <n v="574"/>
    <x v="1"/>
    <n v="11"/>
    <n v="3"/>
    <s v="Life Sciences"/>
    <n v="1"/>
    <x v="1399"/>
    <n v="1"/>
    <x v="3"/>
    <x v="1"/>
    <n v="30"/>
    <n v="3"/>
    <n v="3"/>
    <x v="4"/>
    <n v="3"/>
    <x v="2"/>
    <s v="Married"/>
    <x v="1292"/>
    <x v="0"/>
    <n v="16873"/>
    <n v="1"/>
    <s v="Y"/>
    <x v="1"/>
    <n v="17"/>
    <x v="2"/>
    <x v="0"/>
    <n v="2"/>
    <n v="80"/>
    <n v="1"/>
    <n v="10"/>
    <n v="1"/>
    <n v="3"/>
    <x v="1"/>
    <n v="9"/>
    <n v="0"/>
    <n v="9"/>
    <n v="1"/>
    <x v="1"/>
    <s v=""/>
    <s v=""/>
    <s v=""/>
  </r>
  <r>
    <x v="8"/>
    <x v="0"/>
    <x v="1"/>
    <n v="0"/>
    <s v="Travel_Frequently"/>
    <n v="1444"/>
    <x v="2"/>
    <n v="1"/>
    <n v="4"/>
    <s v="Other"/>
    <n v="1"/>
    <x v="1400"/>
    <n v="4"/>
    <x v="2"/>
    <x v="1"/>
    <n v="88"/>
    <n v="3"/>
    <n v="1"/>
    <x v="8"/>
    <n v="2"/>
    <x v="1"/>
    <s v="Married"/>
    <x v="1293"/>
    <x v="1"/>
    <n v="5224"/>
    <n v="0"/>
    <s v="Y"/>
    <x v="0"/>
    <n v="11"/>
    <x v="0"/>
    <x v="0"/>
    <n v="2"/>
    <n v="80"/>
    <n v="1"/>
    <n v="7"/>
    <n v="2"/>
    <n v="3"/>
    <x v="0"/>
    <n v="2"/>
    <n v="1"/>
    <n v="2"/>
    <n v="5"/>
    <x v="2"/>
    <s v=""/>
    <s v=""/>
    <s v=""/>
  </r>
  <r>
    <x v="27"/>
    <x v="3"/>
    <x v="1"/>
    <n v="0"/>
    <s v="Travel_Rarely"/>
    <n v="189"/>
    <x v="2"/>
    <n v="26"/>
    <n v="4"/>
    <s v="Human Resources"/>
    <n v="1"/>
    <x v="1401"/>
    <n v="3"/>
    <x v="1"/>
    <x v="1"/>
    <n v="71"/>
    <n v="4"/>
    <n v="5"/>
    <x v="5"/>
    <n v="2"/>
    <x v="1"/>
    <s v="Married"/>
    <x v="1294"/>
    <x v="4"/>
    <n v="25811"/>
    <n v="4"/>
    <s v="Y"/>
    <x v="0"/>
    <n v="18"/>
    <x v="2"/>
    <x v="0"/>
    <n v="1"/>
    <n v="80"/>
    <n v="1"/>
    <n v="35"/>
    <n v="0"/>
    <n v="3"/>
    <x v="1"/>
    <n v="9"/>
    <n v="1"/>
    <n v="4"/>
    <n v="2"/>
    <x v="1"/>
    <s v=""/>
    <s v=""/>
    <s v=""/>
  </r>
  <r>
    <x v="12"/>
    <x v="2"/>
    <x v="1"/>
    <n v="0"/>
    <s v="Travel_Rarely"/>
    <n v="1276"/>
    <x v="1"/>
    <n v="2"/>
    <n v="1"/>
    <s v="Medical"/>
    <n v="1"/>
    <x v="1402"/>
    <n v="4"/>
    <x v="2"/>
    <x v="0"/>
    <n v="59"/>
    <n v="1"/>
    <n v="1"/>
    <x v="2"/>
    <n v="4"/>
    <x v="0"/>
    <s v="Divorced"/>
    <x v="1295"/>
    <x v="1"/>
    <n v="17536"/>
    <n v="1"/>
    <s v="Y"/>
    <x v="0"/>
    <n v="11"/>
    <x v="0"/>
    <x v="0"/>
    <n v="3"/>
    <n v="80"/>
    <n v="3"/>
    <n v="1"/>
    <n v="4"/>
    <n v="3"/>
    <x v="6"/>
    <n v="0"/>
    <n v="0"/>
    <n v="0"/>
    <n v="6"/>
    <x v="3"/>
    <n v="67"/>
    <s v=""/>
    <n v="58026"/>
  </r>
  <r>
    <x v="22"/>
    <x v="0"/>
    <x v="1"/>
    <n v="0"/>
    <s v="Travel_Rarely"/>
    <n v="119"/>
    <x v="0"/>
    <n v="15"/>
    <n v="4"/>
    <s v="Marketing"/>
    <n v="1"/>
    <x v="1403"/>
    <n v="2"/>
    <x v="0"/>
    <x v="1"/>
    <n v="77"/>
    <n v="3"/>
    <n v="4"/>
    <x v="0"/>
    <n v="1"/>
    <x v="3"/>
    <s v="Single"/>
    <x v="1296"/>
    <x v="3"/>
    <n v="25098"/>
    <n v="0"/>
    <s v="Y"/>
    <x v="1"/>
    <n v="12"/>
    <x v="0"/>
    <x v="0"/>
    <n v="1"/>
    <n v="80"/>
    <n v="0"/>
    <n v="21"/>
    <n v="3"/>
    <n v="3"/>
    <x v="23"/>
    <n v="8"/>
    <n v="11"/>
    <n v="10"/>
    <n v="2"/>
    <x v="1"/>
    <s v=""/>
    <s v=""/>
    <s v=""/>
  </r>
  <r>
    <x v="19"/>
    <x v="0"/>
    <x v="1"/>
    <n v="0"/>
    <s v="Non-Travel"/>
    <n v="335"/>
    <x v="1"/>
    <n v="23"/>
    <n v="2"/>
    <s v="Life Sciences"/>
    <n v="1"/>
    <x v="1404"/>
    <n v="4"/>
    <x v="2"/>
    <x v="1"/>
    <n v="37"/>
    <n v="2"/>
    <n v="2"/>
    <x v="1"/>
    <n v="3"/>
    <x v="2"/>
    <s v="Single"/>
    <x v="1297"/>
    <x v="0"/>
    <n v="14811"/>
    <n v="1"/>
    <s v="Y"/>
    <x v="1"/>
    <n v="12"/>
    <x v="0"/>
    <x v="0"/>
    <n v="4"/>
    <n v="80"/>
    <n v="0"/>
    <n v="20"/>
    <n v="2"/>
    <n v="3"/>
    <x v="23"/>
    <n v="9"/>
    <n v="3"/>
    <n v="7"/>
    <n v="1"/>
    <x v="1"/>
    <s v=""/>
    <s v=""/>
    <s v=""/>
  </r>
  <r>
    <x v="12"/>
    <x v="2"/>
    <x v="1"/>
    <n v="0"/>
    <s v="Non-Travel"/>
    <n v="697"/>
    <x v="1"/>
    <n v="10"/>
    <n v="3"/>
    <s v="Medical"/>
    <n v="1"/>
    <x v="1405"/>
    <n v="3"/>
    <x v="1"/>
    <x v="0"/>
    <n v="40"/>
    <n v="3"/>
    <n v="3"/>
    <x v="7"/>
    <n v="3"/>
    <x v="2"/>
    <s v="Married"/>
    <x v="1298"/>
    <x v="2"/>
    <n v="26862"/>
    <n v="4"/>
    <s v="Y"/>
    <x v="1"/>
    <n v="20"/>
    <x v="2"/>
    <x v="1"/>
    <n v="3"/>
    <n v="80"/>
    <n v="1"/>
    <n v="13"/>
    <n v="2"/>
    <n v="4"/>
    <x v="19"/>
    <n v="7"/>
    <n v="4"/>
    <n v="8"/>
    <n v="1"/>
    <x v="1"/>
    <s v=""/>
    <s v=""/>
    <s v=""/>
  </r>
  <r>
    <x v="33"/>
    <x v="1"/>
    <x v="1"/>
    <n v="0"/>
    <s v="Travel_Rarely"/>
    <n v="157"/>
    <x v="1"/>
    <n v="10"/>
    <n v="3"/>
    <s v="Medical"/>
    <n v="1"/>
    <x v="1406"/>
    <n v="3"/>
    <x v="1"/>
    <x v="0"/>
    <n v="77"/>
    <n v="3"/>
    <n v="2"/>
    <x v="3"/>
    <n v="1"/>
    <x v="3"/>
    <s v="Single"/>
    <x v="1299"/>
    <x v="0"/>
    <n v="25198"/>
    <n v="6"/>
    <s v="Y"/>
    <x v="0"/>
    <n v="19"/>
    <x v="2"/>
    <x v="0"/>
    <n v="4"/>
    <n v="80"/>
    <n v="0"/>
    <n v="9"/>
    <n v="3"/>
    <n v="3"/>
    <x v="8"/>
    <n v="2"/>
    <n v="1"/>
    <n v="4"/>
    <n v="5"/>
    <x v="2"/>
    <s v=""/>
    <s v=""/>
    <s v=""/>
  </r>
  <r>
    <x v="17"/>
    <x v="4"/>
    <x v="1"/>
    <n v="0"/>
    <s v="Travel_Rarely"/>
    <n v="771"/>
    <x v="1"/>
    <n v="1"/>
    <n v="2"/>
    <s v="Life Sciences"/>
    <n v="1"/>
    <x v="1407"/>
    <n v="2"/>
    <x v="0"/>
    <x v="1"/>
    <n v="45"/>
    <n v="2"/>
    <n v="2"/>
    <x v="4"/>
    <n v="3"/>
    <x v="2"/>
    <s v="Single"/>
    <x v="1300"/>
    <x v="0"/>
    <n v="14120"/>
    <n v="1"/>
    <s v="Y"/>
    <x v="1"/>
    <n v="12"/>
    <x v="0"/>
    <x v="0"/>
    <n v="2"/>
    <n v="80"/>
    <n v="0"/>
    <n v="4"/>
    <n v="2"/>
    <n v="2"/>
    <x v="9"/>
    <n v="3"/>
    <n v="1"/>
    <n v="2"/>
    <n v="3"/>
    <x v="2"/>
    <s v=""/>
    <s v=""/>
    <s v=""/>
  </r>
  <r>
    <x v="30"/>
    <x v="4"/>
    <x v="1"/>
    <n v="0"/>
    <s v="Travel_Rarely"/>
    <n v="571"/>
    <x v="1"/>
    <n v="12"/>
    <n v="2"/>
    <s v="Other"/>
    <n v="1"/>
    <x v="1408"/>
    <n v="4"/>
    <x v="2"/>
    <x v="1"/>
    <n v="78"/>
    <n v="3"/>
    <n v="1"/>
    <x v="2"/>
    <n v="4"/>
    <x v="0"/>
    <s v="Single"/>
    <x v="1301"/>
    <x v="1"/>
    <n v="13672"/>
    <n v="1"/>
    <s v="Y"/>
    <x v="1"/>
    <n v="13"/>
    <x v="0"/>
    <x v="0"/>
    <n v="3"/>
    <n v="80"/>
    <n v="0"/>
    <n v="5"/>
    <n v="6"/>
    <n v="4"/>
    <x v="8"/>
    <n v="2"/>
    <n v="1"/>
    <n v="4"/>
    <n v="5"/>
    <x v="2"/>
    <s v=""/>
    <s v=""/>
    <s v=""/>
  </r>
  <r>
    <x v="32"/>
    <x v="0"/>
    <x v="1"/>
    <n v="0"/>
    <s v="Travel_Frequently"/>
    <n v="692"/>
    <x v="1"/>
    <n v="11"/>
    <n v="3"/>
    <s v="Technical Degree"/>
    <n v="1"/>
    <x v="1409"/>
    <n v="4"/>
    <x v="2"/>
    <x v="0"/>
    <n v="73"/>
    <n v="3"/>
    <n v="2"/>
    <x v="2"/>
    <n v="3"/>
    <x v="2"/>
    <s v="Married"/>
    <x v="1302"/>
    <x v="0"/>
    <n v="26849"/>
    <n v="1"/>
    <s v="Y"/>
    <x v="1"/>
    <n v="11"/>
    <x v="0"/>
    <x v="0"/>
    <n v="1"/>
    <n v="80"/>
    <n v="1"/>
    <n v="10"/>
    <n v="2"/>
    <n v="4"/>
    <x v="1"/>
    <n v="9"/>
    <n v="9"/>
    <n v="4"/>
    <n v="2"/>
    <x v="1"/>
    <s v=""/>
    <s v=""/>
    <s v=""/>
  </r>
  <r>
    <x v="32"/>
    <x v="0"/>
    <x v="1"/>
    <n v="0"/>
    <s v="Travel_Rarely"/>
    <n v="444"/>
    <x v="0"/>
    <n v="2"/>
    <n v="2"/>
    <s v="Marketing"/>
    <n v="1"/>
    <x v="1410"/>
    <n v="2"/>
    <x v="0"/>
    <x v="0"/>
    <n v="92"/>
    <n v="3"/>
    <n v="2"/>
    <x v="0"/>
    <n v="2"/>
    <x v="1"/>
    <s v="Married"/>
    <x v="1303"/>
    <x v="0"/>
    <n v="4258"/>
    <n v="3"/>
    <s v="Y"/>
    <x v="1"/>
    <n v="14"/>
    <x v="0"/>
    <x v="0"/>
    <n v="3"/>
    <n v="80"/>
    <n v="1"/>
    <n v="15"/>
    <n v="4"/>
    <n v="3"/>
    <x v="19"/>
    <n v="8"/>
    <n v="5"/>
    <n v="10"/>
    <n v="1"/>
    <x v="1"/>
    <s v=""/>
    <s v=""/>
    <s v=""/>
  </r>
  <r>
    <x v="36"/>
    <x v="2"/>
    <x v="1"/>
    <n v="0"/>
    <s v="Travel_Rarely"/>
    <n v="309"/>
    <x v="2"/>
    <n v="2"/>
    <n v="3"/>
    <s v="Human Resources"/>
    <n v="1"/>
    <x v="1411"/>
    <n v="3"/>
    <x v="1"/>
    <x v="0"/>
    <n v="82"/>
    <n v="3"/>
    <n v="1"/>
    <x v="8"/>
    <n v="2"/>
    <x v="1"/>
    <s v="Married"/>
    <x v="467"/>
    <x v="1"/>
    <n v="19655"/>
    <n v="4"/>
    <s v="Y"/>
    <x v="1"/>
    <n v="14"/>
    <x v="0"/>
    <x v="0"/>
    <n v="3"/>
    <n v="80"/>
    <n v="0"/>
    <n v="6"/>
    <n v="3"/>
    <n v="3"/>
    <x v="4"/>
    <n v="0"/>
    <n v="1"/>
    <n v="2"/>
    <n v="4"/>
    <x v="2"/>
    <s v=""/>
    <s v=""/>
    <s v=""/>
  </r>
  <r>
    <x v="7"/>
    <x v="2"/>
    <x v="1"/>
    <n v="0"/>
    <s v="Travel_Rarely"/>
    <n v="911"/>
    <x v="1"/>
    <n v="1"/>
    <n v="2"/>
    <s v="Medical"/>
    <n v="1"/>
    <x v="1412"/>
    <n v="4"/>
    <x v="2"/>
    <x v="1"/>
    <n v="76"/>
    <n v="3"/>
    <n v="1"/>
    <x v="2"/>
    <n v="2"/>
    <x v="1"/>
    <s v="Married"/>
    <x v="1304"/>
    <x v="1"/>
    <n v="4077"/>
    <n v="1"/>
    <s v="Y"/>
    <x v="1"/>
    <n v="13"/>
    <x v="0"/>
    <x v="0"/>
    <n v="3"/>
    <n v="80"/>
    <n v="0"/>
    <n v="12"/>
    <n v="6"/>
    <n v="2"/>
    <x v="12"/>
    <n v="8"/>
    <n v="1"/>
    <n v="7"/>
    <n v="4"/>
    <x v="2"/>
    <s v=""/>
    <s v=""/>
    <s v=""/>
  </r>
  <r>
    <x v="36"/>
    <x v="2"/>
    <x v="1"/>
    <n v="0"/>
    <s v="Travel_Rarely"/>
    <n v="977"/>
    <x v="1"/>
    <n v="2"/>
    <n v="1"/>
    <s v="Other"/>
    <n v="1"/>
    <x v="1413"/>
    <n v="4"/>
    <x v="2"/>
    <x v="1"/>
    <n v="57"/>
    <n v="3"/>
    <n v="1"/>
    <x v="2"/>
    <n v="3"/>
    <x v="2"/>
    <s v="Divorced"/>
    <x v="1305"/>
    <x v="1"/>
    <n v="7298"/>
    <n v="6"/>
    <s v="Y"/>
    <x v="0"/>
    <n v="19"/>
    <x v="2"/>
    <x v="0"/>
    <n v="3"/>
    <n v="80"/>
    <n v="1"/>
    <n v="7"/>
    <n v="2"/>
    <n v="2"/>
    <x v="4"/>
    <n v="2"/>
    <n v="0"/>
    <n v="2"/>
    <n v="6"/>
    <x v="3"/>
    <n v="68"/>
    <s v=""/>
    <n v="58008"/>
  </r>
  <r>
    <x v="40"/>
    <x v="1"/>
    <x v="1"/>
    <n v="0"/>
    <s v="Travel_Rarely"/>
    <n v="1180"/>
    <x v="1"/>
    <n v="25"/>
    <n v="3"/>
    <s v="Medical"/>
    <n v="1"/>
    <x v="1414"/>
    <n v="1"/>
    <x v="3"/>
    <x v="1"/>
    <n v="84"/>
    <n v="3"/>
    <n v="3"/>
    <x v="4"/>
    <n v="3"/>
    <x v="2"/>
    <s v="Single"/>
    <x v="1306"/>
    <x v="2"/>
    <n v="13084"/>
    <n v="2"/>
    <s v="Y"/>
    <x v="1"/>
    <n v="23"/>
    <x v="1"/>
    <x v="1"/>
    <n v="2"/>
    <n v="80"/>
    <n v="0"/>
    <n v="25"/>
    <n v="3"/>
    <n v="3"/>
    <x v="18"/>
    <n v="14"/>
    <n v="12"/>
    <n v="11"/>
    <n v="0"/>
    <x v="1"/>
    <s v=""/>
    <s v=""/>
    <s v=""/>
  </r>
  <r>
    <x v="3"/>
    <x v="2"/>
    <x v="1"/>
    <n v="0"/>
    <s v="Non-Travel"/>
    <n v="1313"/>
    <x v="1"/>
    <n v="1"/>
    <n v="2"/>
    <s v="Medical"/>
    <n v="1"/>
    <x v="1415"/>
    <n v="2"/>
    <x v="0"/>
    <x v="1"/>
    <n v="59"/>
    <n v="2"/>
    <n v="1"/>
    <x v="2"/>
    <n v="3"/>
    <x v="2"/>
    <s v="Divorced"/>
    <x v="641"/>
    <x v="1"/>
    <n v="20439"/>
    <n v="1"/>
    <s v="Y"/>
    <x v="1"/>
    <n v="12"/>
    <x v="0"/>
    <x v="0"/>
    <n v="3"/>
    <n v="80"/>
    <n v="3"/>
    <n v="1"/>
    <n v="2"/>
    <n v="2"/>
    <x v="6"/>
    <n v="1"/>
    <n v="0"/>
    <n v="0"/>
    <n v="4"/>
    <x v="2"/>
    <s v=""/>
    <s v=""/>
    <s v=""/>
  </r>
  <r>
    <x v="8"/>
    <x v="0"/>
    <x v="1"/>
    <n v="0"/>
    <s v="Travel_Rarely"/>
    <n v="1321"/>
    <x v="0"/>
    <n v="1"/>
    <n v="4"/>
    <s v="Life Sciences"/>
    <n v="1"/>
    <x v="1416"/>
    <n v="4"/>
    <x v="2"/>
    <x v="1"/>
    <n v="86"/>
    <n v="3"/>
    <n v="2"/>
    <x v="0"/>
    <n v="2"/>
    <x v="1"/>
    <s v="Married"/>
    <x v="1299"/>
    <x v="0"/>
    <n v="7636"/>
    <n v="0"/>
    <s v="Y"/>
    <x v="1"/>
    <n v="15"/>
    <x v="0"/>
    <x v="0"/>
    <n v="1"/>
    <n v="80"/>
    <n v="2"/>
    <n v="16"/>
    <n v="3"/>
    <n v="3"/>
    <x v="15"/>
    <n v="13"/>
    <n v="5"/>
    <n v="8"/>
    <n v="1"/>
    <x v="1"/>
    <s v=""/>
    <s v=""/>
    <s v=""/>
  </r>
  <r>
    <x v="12"/>
    <x v="2"/>
    <x v="1"/>
    <n v="0"/>
    <s v="Travel_Rarely"/>
    <n v="1154"/>
    <x v="0"/>
    <n v="2"/>
    <n v="2"/>
    <s v="Life Sciences"/>
    <n v="1"/>
    <x v="1417"/>
    <n v="1"/>
    <x v="3"/>
    <x v="1"/>
    <n v="54"/>
    <n v="3"/>
    <n v="1"/>
    <x v="6"/>
    <n v="3"/>
    <x v="2"/>
    <s v="Married"/>
    <x v="1307"/>
    <x v="1"/>
    <n v="6393"/>
    <n v="0"/>
    <s v="Y"/>
    <x v="1"/>
    <n v="19"/>
    <x v="2"/>
    <x v="0"/>
    <n v="3"/>
    <n v="80"/>
    <n v="1"/>
    <n v="3"/>
    <n v="1"/>
    <n v="3"/>
    <x v="4"/>
    <n v="2"/>
    <n v="1"/>
    <n v="2"/>
    <n v="5"/>
    <x v="2"/>
    <s v=""/>
    <s v=""/>
    <s v=""/>
  </r>
  <r>
    <x v="8"/>
    <x v="0"/>
    <x v="1"/>
    <n v="0"/>
    <s v="Travel_Frequently"/>
    <n v="508"/>
    <x v="1"/>
    <n v="6"/>
    <n v="4"/>
    <s v="Life Sciences"/>
    <n v="1"/>
    <x v="1418"/>
    <n v="1"/>
    <x v="3"/>
    <x v="1"/>
    <n v="72"/>
    <n v="2"/>
    <n v="2"/>
    <x v="3"/>
    <n v="3"/>
    <x v="2"/>
    <s v="Married"/>
    <x v="1308"/>
    <x v="0"/>
    <n v="14284"/>
    <n v="2"/>
    <s v="Y"/>
    <x v="1"/>
    <n v="11"/>
    <x v="0"/>
    <x v="0"/>
    <n v="4"/>
    <n v="80"/>
    <n v="1"/>
    <n v="10"/>
    <n v="1"/>
    <n v="3"/>
    <x v="3"/>
    <n v="3"/>
    <n v="7"/>
    <n v="7"/>
    <n v="1"/>
    <x v="1"/>
    <s v=""/>
    <s v=""/>
    <s v=""/>
  </r>
  <r>
    <x v="19"/>
    <x v="0"/>
    <x v="1"/>
    <n v="0"/>
    <s v="Travel_Rarely"/>
    <n v="557"/>
    <x v="1"/>
    <n v="18"/>
    <n v="4"/>
    <s v="Life Sciences"/>
    <n v="1"/>
    <x v="1419"/>
    <n v="4"/>
    <x v="2"/>
    <x v="1"/>
    <n v="35"/>
    <n v="3"/>
    <n v="2"/>
    <x v="1"/>
    <n v="1"/>
    <x v="3"/>
    <s v="Divorced"/>
    <x v="874"/>
    <x v="0"/>
    <n v="11189"/>
    <n v="6"/>
    <s v="Y"/>
    <x v="0"/>
    <n v="17"/>
    <x v="2"/>
    <x v="0"/>
    <n v="3"/>
    <n v="80"/>
    <n v="1"/>
    <n v="9"/>
    <n v="3"/>
    <n v="2"/>
    <x v="9"/>
    <n v="3"/>
    <n v="1"/>
    <n v="2"/>
    <n v="5"/>
    <x v="2"/>
    <s v=""/>
    <s v=""/>
    <s v=""/>
  </r>
  <r>
    <x v="0"/>
    <x v="0"/>
    <x v="1"/>
    <n v="0"/>
    <s v="Travel_Rarely"/>
    <n v="642"/>
    <x v="1"/>
    <n v="1"/>
    <n v="3"/>
    <s v="Life Sciences"/>
    <n v="1"/>
    <x v="1420"/>
    <n v="4"/>
    <x v="2"/>
    <x v="1"/>
    <n v="76"/>
    <n v="3"/>
    <n v="1"/>
    <x v="1"/>
    <n v="4"/>
    <x v="0"/>
    <s v="Married"/>
    <x v="553"/>
    <x v="1"/>
    <n v="21412"/>
    <n v="3"/>
    <s v="Y"/>
    <x v="1"/>
    <n v="22"/>
    <x v="1"/>
    <x v="1"/>
    <n v="1"/>
    <n v="80"/>
    <n v="1"/>
    <n v="12"/>
    <n v="3"/>
    <n v="3"/>
    <x v="8"/>
    <n v="3"/>
    <n v="1"/>
    <n v="0"/>
    <n v="2"/>
    <x v="1"/>
    <s v=""/>
    <s v=""/>
    <s v=""/>
  </r>
  <r>
    <x v="40"/>
    <x v="1"/>
    <x v="1"/>
    <n v="0"/>
    <s v="Non-Travel"/>
    <n v="1162"/>
    <x v="1"/>
    <n v="1"/>
    <n v="1"/>
    <s v="Medical"/>
    <n v="1"/>
    <x v="1421"/>
    <n v="3"/>
    <x v="1"/>
    <x v="0"/>
    <n v="98"/>
    <n v="3"/>
    <n v="3"/>
    <x v="7"/>
    <n v="2"/>
    <x v="1"/>
    <s v="Married"/>
    <x v="1309"/>
    <x v="2"/>
    <n v="17231"/>
    <n v="0"/>
    <s v="Y"/>
    <x v="1"/>
    <n v="18"/>
    <x v="2"/>
    <x v="0"/>
    <n v="1"/>
    <n v="80"/>
    <n v="2"/>
    <n v="14"/>
    <n v="3"/>
    <n v="1"/>
    <x v="20"/>
    <n v="8"/>
    <n v="5"/>
    <n v="12"/>
    <n v="0"/>
    <x v="1"/>
    <s v=""/>
    <s v=""/>
    <s v=""/>
  </r>
  <r>
    <x v="10"/>
    <x v="0"/>
    <x v="1"/>
    <n v="0"/>
    <s v="Travel_Rarely"/>
    <n v="1490"/>
    <x v="1"/>
    <n v="11"/>
    <n v="4"/>
    <s v="Medical"/>
    <n v="1"/>
    <x v="1422"/>
    <n v="4"/>
    <x v="2"/>
    <x v="1"/>
    <n v="43"/>
    <n v="3"/>
    <n v="1"/>
    <x v="2"/>
    <n v="3"/>
    <x v="2"/>
    <s v="Married"/>
    <x v="1310"/>
    <x v="1"/>
    <n v="20232"/>
    <n v="7"/>
    <s v="Y"/>
    <x v="0"/>
    <n v="11"/>
    <x v="0"/>
    <x v="0"/>
    <n v="3"/>
    <n v="80"/>
    <n v="1"/>
    <n v="5"/>
    <n v="3"/>
    <n v="3"/>
    <x v="4"/>
    <n v="2"/>
    <n v="2"/>
    <n v="2"/>
    <n v="5"/>
    <x v="2"/>
    <s v=""/>
    <s v=""/>
    <s v=""/>
  </r>
  <r>
    <x v="15"/>
    <x v="4"/>
    <x v="1"/>
    <n v="0"/>
    <s v="Travel_Rarely"/>
    <n v="581"/>
    <x v="1"/>
    <n v="1"/>
    <n v="2"/>
    <s v="Life Sciences"/>
    <n v="1"/>
    <x v="1423"/>
    <n v="4"/>
    <x v="2"/>
    <x v="1"/>
    <n v="63"/>
    <n v="3"/>
    <n v="1"/>
    <x v="1"/>
    <n v="3"/>
    <x v="2"/>
    <s v="Single"/>
    <x v="1311"/>
    <x v="1"/>
    <n v="17624"/>
    <n v="0"/>
    <s v="Y"/>
    <x v="1"/>
    <n v="12"/>
    <x v="0"/>
    <x v="0"/>
    <n v="4"/>
    <n v="80"/>
    <n v="0"/>
    <n v="4"/>
    <n v="2"/>
    <n v="4"/>
    <x v="11"/>
    <n v="2"/>
    <n v="1"/>
    <n v="2"/>
    <n v="4"/>
    <x v="2"/>
    <s v=""/>
    <s v=""/>
    <s v=""/>
  </r>
  <r>
    <x v="10"/>
    <x v="0"/>
    <x v="1"/>
    <n v="0"/>
    <s v="Travel_Rarely"/>
    <n v="1395"/>
    <x v="1"/>
    <n v="9"/>
    <n v="4"/>
    <s v="Medical"/>
    <n v="1"/>
    <x v="1424"/>
    <n v="2"/>
    <x v="0"/>
    <x v="1"/>
    <n v="48"/>
    <n v="3"/>
    <n v="2"/>
    <x v="1"/>
    <n v="3"/>
    <x v="2"/>
    <s v="Single"/>
    <x v="1312"/>
    <x v="0"/>
    <n v="18698"/>
    <n v="1"/>
    <s v="Y"/>
    <x v="1"/>
    <n v="19"/>
    <x v="2"/>
    <x v="0"/>
    <n v="2"/>
    <n v="80"/>
    <n v="0"/>
    <n v="10"/>
    <n v="5"/>
    <n v="3"/>
    <x v="1"/>
    <n v="7"/>
    <n v="0"/>
    <n v="8"/>
    <n v="1"/>
    <x v="1"/>
    <s v=""/>
    <s v=""/>
    <s v=""/>
  </r>
  <r>
    <x v="3"/>
    <x v="2"/>
    <x v="1"/>
    <n v="0"/>
    <s v="Travel_Rarely"/>
    <n v="501"/>
    <x v="1"/>
    <n v="15"/>
    <n v="2"/>
    <s v="Medical"/>
    <n v="1"/>
    <x v="1425"/>
    <n v="2"/>
    <x v="0"/>
    <x v="0"/>
    <n v="95"/>
    <n v="3"/>
    <n v="2"/>
    <x v="4"/>
    <n v="4"/>
    <x v="0"/>
    <s v="Married"/>
    <x v="1313"/>
    <x v="0"/>
    <n v="21653"/>
    <n v="0"/>
    <s v="Y"/>
    <x v="0"/>
    <n v="13"/>
    <x v="0"/>
    <x v="0"/>
    <n v="1"/>
    <n v="80"/>
    <n v="1"/>
    <n v="10"/>
    <n v="6"/>
    <n v="3"/>
    <x v="7"/>
    <n v="7"/>
    <n v="8"/>
    <n v="1"/>
    <n v="4"/>
    <x v="2"/>
    <s v=""/>
    <s v=""/>
    <s v=""/>
  </r>
  <r>
    <x v="5"/>
    <x v="2"/>
    <x v="1"/>
    <n v="0"/>
    <s v="Travel_Rarely"/>
    <n v="267"/>
    <x v="1"/>
    <n v="29"/>
    <n v="4"/>
    <s v="Life Sciences"/>
    <n v="1"/>
    <x v="1426"/>
    <n v="3"/>
    <x v="1"/>
    <x v="0"/>
    <n v="49"/>
    <n v="2"/>
    <n v="1"/>
    <x v="2"/>
    <n v="2"/>
    <x v="1"/>
    <s v="Single"/>
    <x v="1314"/>
    <x v="1"/>
    <n v="15919"/>
    <n v="1"/>
    <s v="Y"/>
    <x v="1"/>
    <n v="13"/>
    <x v="0"/>
    <x v="0"/>
    <n v="3"/>
    <n v="80"/>
    <n v="0"/>
    <n v="6"/>
    <n v="3"/>
    <n v="3"/>
    <x v="0"/>
    <n v="2"/>
    <n v="4"/>
    <n v="1"/>
    <n v="4"/>
    <x v="2"/>
    <s v=""/>
    <s v=""/>
    <s v=""/>
  </r>
  <r>
    <x v="32"/>
    <x v="0"/>
    <x v="1"/>
    <n v="0"/>
    <s v="Travel_Rarely"/>
    <n v="543"/>
    <x v="1"/>
    <n v="1"/>
    <n v="4"/>
    <s v="Life Sciences"/>
    <n v="1"/>
    <x v="1427"/>
    <n v="1"/>
    <x v="3"/>
    <x v="1"/>
    <n v="83"/>
    <n v="3"/>
    <n v="1"/>
    <x v="2"/>
    <n v="4"/>
    <x v="0"/>
    <s v="Married"/>
    <x v="58"/>
    <x v="1"/>
    <n v="4060"/>
    <n v="8"/>
    <s v="Y"/>
    <x v="1"/>
    <n v="19"/>
    <x v="2"/>
    <x v="0"/>
    <n v="3"/>
    <n v="80"/>
    <n v="2"/>
    <n v="8"/>
    <n v="3"/>
    <n v="2"/>
    <x v="6"/>
    <n v="0"/>
    <n v="0"/>
    <n v="0"/>
    <n v="3"/>
    <x v="2"/>
    <s v=""/>
    <s v=""/>
    <s v=""/>
  </r>
  <r>
    <x v="5"/>
    <x v="2"/>
    <x v="1"/>
    <n v="0"/>
    <s v="Travel_Rarely"/>
    <n v="234"/>
    <x v="0"/>
    <n v="1"/>
    <n v="4"/>
    <s v="Medical"/>
    <n v="1"/>
    <x v="1428"/>
    <n v="2"/>
    <x v="0"/>
    <x v="1"/>
    <n v="68"/>
    <n v="2"/>
    <n v="1"/>
    <x v="6"/>
    <n v="2"/>
    <x v="1"/>
    <s v="Married"/>
    <x v="47"/>
    <x v="1"/>
    <n v="18024"/>
    <n v="0"/>
    <s v="Y"/>
    <x v="1"/>
    <n v="14"/>
    <x v="0"/>
    <x v="0"/>
    <n v="2"/>
    <n v="80"/>
    <n v="1"/>
    <n v="3"/>
    <n v="2"/>
    <n v="3"/>
    <x v="4"/>
    <n v="2"/>
    <n v="2"/>
    <n v="2"/>
    <n v="5"/>
    <x v="2"/>
    <s v=""/>
    <s v=""/>
    <s v=""/>
  </r>
  <r>
    <x v="22"/>
    <x v="0"/>
    <x v="1"/>
    <n v="0"/>
    <s v="Travel_Rarely"/>
    <n v="116"/>
    <x v="1"/>
    <n v="24"/>
    <n v="1"/>
    <s v="Life Sciences"/>
    <n v="1"/>
    <x v="1429"/>
    <n v="1"/>
    <x v="3"/>
    <x v="1"/>
    <n v="52"/>
    <n v="3"/>
    <n v="2"/>
    <x v="1"/>
    <n v="4"/>
    <x v="0"/>
    <s v="Single"/>
    <x v="1315"/>
    <x v="0"/>
    <n v="5340"/>
    <n v="7"/>
    <s v="Y"/>
    <x v="1"/>
    <n v="13"/>
    <x v="0"/>
    <x v="0"/>
    <n v="1"/>
    <n v="80"/>
    <n v="0"/>
    <n v="18"/>
    <n v="2"/>
    <n v="3"/>
    <x v="5"/>
    <n v="7"/>
    <n v="1"/>
    <n v="7"/>
    <n v="1"/>
    <x v="1"/>
    <s v=""/>
    <s v=""/>
    <s v=""/>
  </r>
  <r>
    <x v="8"/>
    <x v="0"/>
    <x v="1"/>
    <n v="0"/>
    <s v="Travel_Rarely"/>
    <n v="201"/>
    <x v="1"/>
    <n v="10"/>
    <n v="3"/>
    <s v="Medical"/>
    <n v="1"/>
    <x v="1430"/>
    <n v="2"/>
    <x v="0"/>
    <x v="0"/>
    <n v="99"/>
    <n v="1"/>
    <n v="3"/>
    <x v="7"/>
    <n v="3"/>
    <x v="2"/>
    <s v="Married"/>
    <x v="1316"/>
    <x v="3"/>
    <n v="3376"/>
    <n v="3"/>
    <s v="Y"/>
    <x v="1"/>
    <n v="12"/>
    <x v="0"/>
    <x v="0"/>
    <n v="1"/>
    <n v="80"/>
    <n v="1"/>
    <n v="20"/>
    <n v="3"/>
    <n v="3"/>
    <x v="29"/>
    <n v="16"/>
    <n v="1"/>
    <n v="11"/>
    <n v="0"/>
    <x v="1"/>
    <s v=""/>
    <s v=""/>
    <s v=""/>
  </r>
  <r>
    <x v="5"/>
    <x v="2"/>
    <x v="1"/>
    <n v="0"/>
    <s v="Travel_Rarely"/>
    <n v="801"/>
    <x v="0"/>
    <n v="1"/>
    <n v="4"/>
    <s v="Marketing"/>
    <n v="1"/>
    <x v="1431"/>
    <n v="3"/>
    <x v="1"/>
    <x v="0"/>
    <n v="48"/>
    <n v="3"/>
    <n v="3"/>
    <x v="0"/>
    <n v="4"/>
    <x v="0"/>
    <s v="Married"/>
    <x v="1317"/>
    <x v="2"/>
    <n v="24032"/>
    <n v="1"/>
    <s v="Y"/>
    <x v="1"/>
    <n v="19"/>
    <x v="2"/>
    <x v="0"/>
    <n v="3"/>
    <n v="80"/>
    <n v="2"/>
    <n v="14"/>
    <n v="3"/>
    <n v="3"/>
    <x v="13"/>
    <n v="10"/>
    <n v="5"/>
    <n v="7"/>
    <n v="1"/>
    <x v="1"/>
    <s v=""/>
    <s v=""/>
    <s v=""/>
  </r>
  <r>
    <x v="2"/>
    <x v="0"/>
    <x v="1"/>
    <n v="0"/>
    <s v="Travel_Rarely"/>
    <n v="161"/>
    <x v="1"/>
    <n v="10"/>
    <n v="3"/>
    <s v="Life Sciences"/>
    <n v="1"/>
    <x v="1432"/>
    <n v="3"/>
    <x v="1"/>
    <x v="0"/>
    <n v="42"/>
    <n v="4"/>
    <n v="3"/>
    <x v="7"/>
    <n v="4"/>
    <x v="0"/>
    <s v="Married"/>
    <x v="1318"/>
    <x v="3"/>
    <n v="15471"/>
    <n v="1"/>
    <s v="Y"/>
    <x v="0"/>
    <n v="25"/>
    <x v="1"/>
    <x v="1"/>
    <n v="1"/>
    <n v="80"/>
    <n v="1"/>
    <n v="16"/>
    <n v="2"/>
    <n v="3"/>
    <x v="22"/>
    <n v="11"/>
    <n v="6"/>
    <n v="8"/>
    <n v="2"/>
    <x v="1"/>
    <s v=""/>
    <s v=""/>
    <s v=""/>
  </r>
  <r>
    <x v="36"/>
    <x v="2"/>
    <x v="1"/>
    <n v="0"/>
    <s v="Travel_Rarely"/>
    <n v="1382"/>
    <x v="0"/>
    <n v="8"/>
    <n v="2"/>
    <s v="Other"/>
    <n v="1"/>
    <x v="1433"/>
    <n v="1"/>
    <x v="3"/>
    <x v="0"/>
    <n v="85"/>
    <n v="3"/>
    <n v="2"/>
    <x v="0"/>
    <n v="3"/>
    <x v="2"/>
    <s v="Divorced"/>
    <x v="274"/>
    <x v="0"/>
    <n v="13684"/>
    <n v="0"/>
    <s v="Y"/>
    <x v="0"/>
    <n v="22"/>
    <x v="1"/>
    <x v="1"/>
    <n v="2"/>
    <n v="80"/>
    <n v="1"/>
    <n v="6"/>
    <n v="3"/>
    <n v="2"/>
    <x v="8"/>
    <n v="3"/>
    <n v="0"/>
    <n v="4"/>
    <n v="4"/>
    <x v="2"/>
    <s v=""/>
    <s v=""/>
    <s v=""/>
  </r>
  <r>
    <x v="39"/>
    <x v="1"/>
    <x v="1"/>
    <n v="0"/>
    <s v="Non-Travel"/>
    <n v="585"/>
    <x v="0"/>
    <n v="29"/>
    <n v="4"/>
    <s v="Life Sciences"/>
    <n v="1"/>
    <x v="1434"/>
    <n v="1"/>
    <x v="3"/>
    <x v="1"/>
    <n v="40"/>
    <n v="3"/>
    <n v="1"/>
    <x v="6"/>
    <n v="4"/>
    <x v="0"/>
    <s v="Divorced"/>
    <x v="1319"/>
    <x v="1"/>
    <n v="19788"/>
    <n v="2"/>
    <s v="Y"/>
    <x v="1"/>
    <n v="15"/>
    <x v="0"/>
    <x v="0"/>
    <n v="2"/>
    <n v="80"/>
    <n v="2"/>
    <n v="16"/>
    <n v="3"/>
    <n v="2"/>
    <x v="7"/>
    <n v="8"/>
    <n v="0"/>
    <n v="0"/>
    <n v="4"/>
    <x v="2"/>
    <s v=""/>
    <s v=""/>
    <s v=""/>
  </r>
  <r>
    <x v="20"/>
    <x v="0"/>
    <x v="1"/>
    <n v="0"/>
    <s v="Travel_Rarely"/>
    <n v="1037"/>
    <x v="1"/>
    <n v="1"/>
    <n v="3"/>
    <s v="Medical"/>
    <n v="1"/>
    <x v="1435"/>
    <n v="2"/>
    <x v="0"/>
    <x v="1"/>
    <n v="42"/>
    <n v="3"/>
    <n v="1"/>
    <x v="1"/>
    <n v="4"/>
    <x v="0"/>
    <s v="Single"/>
    <x v="230"/>
    <x v="1"/>
    <n v="13422"/>
    <n v="6"/>
    <s v="Y"/>
    <x v="0"/>
    <n v="12"/>
    <x v="0"/>
    <x v="0"/>
    <n v="3"/>
    <n v="80"/>
    <n v="0"/>
    <n v="6"/>
    <n v="2"/>
    <n v="3"/>
    <x v="9"/>
    <n v="3"/>
    <n v="1"/>
    <n v="2"/>
    <n v="4"/>
    <x v="2"/>
    <s v=""/>
    <s v=""/>
    <s v=""/>
  </r>
  <r>
    <x v="18"/>
    <x v="4"/>
    <x v="1"/>
    <n v="0"/>
    <s v="Travel_Rarely"/>
    <n v="501"/>
    <x v="0"/>
    <n v="5"/>
    <n v="1"/>
    <s v="Medical"/>
    <n v="1"/>
    <x v="1436"/>
    <n v="3"/>
    <x v="1"/>
    <x v="1"/>
    <n v="58"/>
    <n v="3"/>
    <n v="1"/>
    <x v="6"/>
    <n v="1"/>
    <x v="3"/>
    <s v="Single"/>
    <x v="631"/>
    <x v="1"/>
    <n v="25479"/>
    <n v="1"/>
    <s v="Y"/>
    <x v="0"/>
    <n v="11"/>
    <x v="0"/>
    <x v="0"/>
    <n v="4"/>
    <n v="80"/>
    <n v="0"/>
    <n v="2"/>
    <n v="6"/>
    <n v="3"/>
    <x v="4"/>
    <n v="2"/>
    <n v="1"/>
    <n v="2"/>
    <n v="10"/>
    <x v="3"/>
    <n v="1"/>
    <s v="Top 10"/>
    <n v="97979"/>
  </r>
  <r>
    <x v="22"/>
    <x v="0"/>
    <x v="1"/>
    <n v="0"/>
    <s v="Non-Travel"/>
    <n v="105"/>
    <x v="1"/>
    <n v="9"/>
    <n v="3"/>
    <s v="Life Sciences"/>
    <n v="1"/>
    <x v="1437"/>
    <n v="4"/>
    <x v="2"/>
    <x v="1"/>
    <n v="87"/>
    <n v="3"/>
    <n v="5"/>
    <x v="5"/>
    <n v="4"/>
    <x v="0"/>
    <s v="Single"/>
    <x v="1320"/>
    <x v="4"/>
    <n v="15302"/>
    <n v="2"/>
    <s v="Y"/>
    <x v="1"/>
    <n v="13"/>
    <x v="0"/>
    <x v="0"/>
    <n v="3"/>
    <n v="80"/>
    <n v="0"/>
    <n v="21"/>
    <n v="3"/>
    <n v="2"/>
    <x v="0"/>
    <n v="0"/>
    <n v="1"/>
    <n v="3"/>
    <n v="0"/>
    <x v="1"/>
    <s v=""/>
    <s v=""/>
    <s v=""/>
  </r>
  <r>
    <x v="30"/>
    <x v="4"/>
    <x v="0"/>
    <n v="1"/>
    <s v="Travel_Frequently"/>
    <n v="638"/>
    <x v="0"/>
    <n v="9"/>
    <n v="3"/>
    <s v="Marketing"/>
    <n v="1"/>
    <x v="1438"/>
    <n v="4"/>
    <x v="2"/>
    <x v="1"/>
    <n v="33"/>
    <n v="3"/>
    <n v="1"/>
    <x v="6"/>
    <n v="1"/>
    <x v="3"/>
    <s v="Married"/>
    <x v="1321"/>
    <x v="1"/>
    <n v="26956"/>
    <n v="1"/>
    <s v="Y"/>
    <x v="1"/>
    <n v="19"/>
    <x v="2"/>
    <x v="0"/>
    <n v="1"/>
    <n v="80"/>
    <n v="1"/>
    <n v="1"/>
    <n v="3"/>
    <n v="2"/>
    <x v="6"/>
    <n v="0"/>
    <n v="1"/>
    <n v="0"/>
    <s v=""/>
    <x v="0"/>
    <s v=""/>
    <s v=""/>
    <s v=""/>
  </r>
  <r>
    <x v="9"/>
    <x v="0"/>
    <x v="1"/>
    <n v="0"/>
    <s v="Travel_Rarely"/>
    <n v="557"/>
    <x v="0"/>
    <n v="3"/>
    <n v="3"/>
    <s v="Medical"/>
    <n v="1"/>
    <x v="1439"/>
    <n v="1"/>
    <x v="3"/>
    <x v="0"/>
    <n v="94"/>
    <n v="2"/>
    <n v="3"/>
    <x v="0"/>
    <n v="4"/>
    <x v="0"/>
    <s v="Married"/>
    <x v="1322"/>
    <x v="0"/>
    <n v="12695"/>
    <n v="0"/>
    <s v="Y"/>
    <x v="1"/>
    <n v="19"/>
    <x v="2"/>
    <x v="0"/>
    <n v="3"/>
    <n v="80"/>
    <n v="2"/>
    <n v="10"/>
    <n v="2"/>
    <n v="3"/>
    <x v="7"/>
    <n v="7"/>
    <n v="3"/>
    <n v="4"/>
    <n v="1"/>
    <x v="1"/>
    <s v=""/>
    <s v=""/>
    <s v=""/>
  </r>
  <r>
    <x v="9"/>
    <x v="0"/>
    <x v="1"/>
    <n v="0"/>
    <s v="Travel_Frequently"/>
    <n v="688"/>
    <x v="1"/>
    <n v="4"/>
    <n v="2"/>
    <s v="Life Sciences"/>
    <n v="1"/>
    <x v="1440"/>
    <n v="4"/>
    <x v="2"/>
    <x v="0"/>
    <n v="97"/>
    <n v="3"/>
    <n v="2"/>
    <x v="3"/>
    <n v="2"/>
    <x v="1"/>
    <s v="Divorced"/>
    <x v="1323"/>
    <x v="0"/>
    <n v="9192"/>
    <n v="7"/>
    <s v="Y"/>
    <x v="1"/>
    <n v="13"/>
    <x v="0"/>
    <x v="0"/>
    <n v="2"/>
    <n v="80"/>
    <n v="3"/>
    <n v="18"/>
    <n v="3"/>
    <n v="3"/>
    <x v="9"/>
    <n v="2"/>
    <n v="0"/>
    <n v="2"/>
    <n v="1"/>
    <x v="1"/>
    <s v=""/>
    <s v=""/>
    <s v=""/>
  </r>
  <r>
    <x v="29"/>
    <x v="3"/>
    <x v="1"/>
    <n v="0"/>
    <s v="Non-Travel"/>
    <n v="667"/>
    <x v="1"/>
    <n v="1"/>
    <n v="4"/>
    <s v="Life Sciences"/>
    <n v="1"/>
    <x v="1441"/>
    <n v="3"/>
    <x v="1"/>
    <x v="1"/>
    <n v="57"/>
    <n v="3"/>
    <n v="2"/>
    <x v="4"/>
    <n v="3"/>
    <x v="2"/>
    <s v="Divorced"/>
    <x v="1324"/>
    <x v="0"/>
    <n v="26236"/>
    <n v="1"/>
    <s v="Y"/>
    <x v="1"/>
    <n v="21"/>
    <x v="1"/>
    <x v="1"/>
    <n v="1"/>
    <n v="80"/>
    <n v="1"/>
    <n v="13"/>
    <n v="2"/>
    <n v="2"/>
    <x v="20"/>
    <n v="12"/>
    <n v="1"/>
    <n v="9"/>
    <n v="1"/>
    <x v="1"/>
    <s v=""/>
    <s v=""/>
    <s v=""/>
  </r>
  <r>
    <x v="11"/>
    <x v="2"/>
    <x v="0"/>
    <n v="1"/>
    <s v="Travel_Rarely"/>
    <n v="1092"/>
    <x v="1"/>
    <n v="1"/>
    <n v="4"/>
    <s v="Medical"/>
    <n v="1"/>
    <x v="1442"/>
    <n v="1"/>
    <x v="3"/>
    <x v="1"/>
    <n v="36"/>
    <n v="3"/>
    <n v="1"/>
    <x v="1"/>
    <n v="4"/>
    <x v="0"/>
    <s v="Married"/>
    <x v="1325"/>
    <x v="0"/>
    <n v="26124"/>
    <n v="9"/>
    <s v="Y"/>
    <x v="0"/>
    <n v="14"/>
    <x v="0"/>
    <x v="0"/>
    <n v="2"/>
    <n v="80"/>
    <n v="3"/>
    <n v="4"/>
    <n v="3"/>
    <n v="4"/>
    <x v="4"/>
    <n v="2"/>
    <n v="2"/>
    <n v="2"/>
    <s v=""/>
    <x v="0"/>
    <s v=""/>
    <s v=""/>
    <s v=""/>
  </r>
  <r>
    <x v="19"/>
    <x v="0"/>
    <x v="1"/>
    <n v="0"/>
    <s v="Travel_Rarely"/>
    <n v="300"/>
    <x v="1"/>
    <n v="2"/>
    <n v="3"/>
    <s v="Life Sciences"/>
    <n v="1"/>
    <x v="1443"/>
    <n v="1"/>
    <x v="3"/>
    <x v="1"/>
    <n v="56"/>
    <n v="3"/>
    <n v="5"/>
    <x v="5"/>
    <n v="3"/>
    <x v="2"/>
    <s v="Married"/>
    <x v="1326"/>
    <x v="4"/>
    <n v="17312"/>
    <n v="5"/>
    <s v="Y"/>
    <x v="1"/>
    <n v="11"/>
    <x v="0"/>
    <x v="0"/>
    <n v="1"/>
    <n v="80"/>
    <n v="0"/>
    <n v="24"/>
    <n v="2"/>
    <n v="2"/>
    <x v="14"/>
    <n v="6"/>
    <n v="4"/>
    <n v="14"/>
    <n v="0"/>
    <x v="1"/>
    <s v=""/>
    <s v=""/>
    <s v=""/>
  </r>
  <r>
    <x v="29"/>
    <x v="3"/>
    <x v="0"/>
    <n v="1"/>
    <s v="Travel_Rarely"/>
    <n v="310"/>
    <x v="1"/>
    <n v="7"/>
    <n v="2"/>
    <s v="Technical Degree"/>
    <n v="1"/>
    <x v="1444"/>
    <n v="4"/>
    <x v="2"/>
    <x v="1"/>
    <n v="72"/>
    <n v="3"/>
    <n v="1"/>
    <x v="2"/>
    <n v="3"/>
    <x v="2"/>
    <s v="Married"/>
    <x v="1327"/>
    <x v="1"/>
    <n v="3666"/>
    <n v="8"/>
    <s v="Y"/>
    <x v="1"/>
    <n v="11"/>
    <x v="0"/>
    <x v="0"/>
    <n v="4"/>
    <n v="80"/>
    <n v="1"/>
    <n v="14"/>
    <n v="4"/>
    <n v="1"/>
    <x v="1"/>
    <n v="9"/>
    <n v="9"/>
    <n v="8"/>
    <s v=""/>
    <x v="0"/>
    <s v=""/>
    <s v=""/>
    <s v=""/>
  </r>
  <r>
    <x v="0"/>
    <x v="0"/>
    <x v="1"/>
    <n v="0"/>
    <s v="Travel_Rarely"/>
    <n v="582"/>
    <x v="1"/>
    <n v="28"/>
    <n v="4"/>
    <s v="Life Sciences"/>
    <n v="1"/>
    <x v="1445"/>
    <n v="1"/>
    <x v="3"/>
    <x v="0"/>
    <n v="60"/>
    <n v="2"/>
    <n v="4"/>
    <x v="3"/>
    <n v="2"/>
    <x v="1"/>
    <s v="Married"/>
    <x v="1328"/>
    <x v="3"/>
    <n v="5640"/>
    <n v="0"/>
    <s v="Y"/>
    <x v="1"/>
    <n v="23"/>
    <x v="1"/>
    <x v="1"/>
    <n v="3"/>
    <n v="80"/>
    <n v="1"/>
    <n v="21"/>
    <n v="3"/>
    <n v="3"/>
    <x v="23"/>
    <n v="7"/>
    <n v="0"/>
    <n v="10"/>
    <n v="0"/>
    <x v="1"/>
    <s v=""/>
    <s v=""/>
    <s v=""/>
  </r>
  <r>
    <x v="13"/>
    <x v="2"/>
    <x v="1"/>
    <n v="0"/>
    <s v="Travel_Rarely"/>
    <n v="704"/>
    <x v="0"/>
    <n v="28"/>
    <n v="3"/>
    <s v="Marketing"/>
    <n v="1"/>
    <x v="1446"/>
    <n v="4"/>
    <x v="2"/>
    <x v="0"/>
    <n v="95"/>
    <n v="2"/>
    <n v="2"/>
    <x v="0"/>
    <n v="3"/>
    <x v="2"/>
    <s v="Married"/>
    <x v="1329"/>
    <x v="0"/>
    <n v="8978"/>
    <n v="1"/>
    <s v="Y"/>
    <x v="1"/>
    <n v="21"/>
    <x v="1"/>
    <x v="1"/>
    <n v="4"/>
    <n v="80"/>
    <n v="2"/>
    <n v="8"/>
    <n v="2"/>
    <n v="3"/>
    <x v="3"/>
    <n v="7"/>
    <n v="1"/>
    <n v="7"/>
    <n v="2"/>
    <x v="1"/>
    <s v=""/>
    <s v=""/>
    <s v=""/>
  </r>
  <r>
    <x v="9"/>
    <x v="0"/>
    <x v="1"/>
    <n v="0"/>
    <s v="Non-Travel"/>
    <n v="301"/>
    <x v="0"/>
    <n v="15"/>
    <n v="4"/>
    <s v="Marketing"/>
    <n v="1"/>
    <x v="1447"/>
    <n v="4"/>
    <x v="2"/>
    <x v="1"/>
    <n v="88"/>
    <n v="1"/>
    <n v="2"/>
    <x v="0"/>
    <n v="4"/>
    <x v="0"/>
    <s v="Divorced"/>
    <x v="1330"/>
    <x v="0"/>
    <n v="10436"/>
    <n v="1"/>
    <s v="Y"/>
    <x v="1"/>
    <n v="24"/>
    <x v="1"/>
    <x v="1"/>
    <n v="1"/>
    <n v="80"/>
    <n v="1"/>
    <n v="15"/>
    <n v="4"/>
    <n v="2"/>
    <x v="15"/>
    <n v="12"/>
    <n v="11"/>
    <n v="11"/>
    <n v="1"/>
    <x v="1"/>
    <s v=""/>
    <s v=""/>
    <s v=""/>
  </r>
  <r>
    <x v="0"/>
    <x v="0"/>
    <x v="1"/>
    <n v="0"/>
    <s v="Travel_Rarely"/>
    <n v="930"/>
    <x v="0"/>
    <n v="3"/>
    <n v="3"/>
    <s v="Life Sciences"/>
    <n v="1"/>
    <x v="1448"/>
    <n v="3"/>
    <x v="1"/>
    <x v="1"/>
    <n v="57"/>
    <n v="2"/>
    <n v="2"/>
    <x v="0"/>
    <n v="2"/>
    <x v="1"/>
    <s v="Divorced"/>
    <x v="1331"/>
    <x v="2"/>
    <n v="12227"/>
    <n v="2"/>
    <s v="Y"/>
    <x v="1"/>
    <n v="11"/>
    <x v="0"/>
    <x v="0"/>
    <n v="3"/>
    <n v="80"/>
    <n v="1"/>
    <n v="14"/>
    <n v="5"/>
    <n v="3"/>
    <x v="8"/>
    <n v="4"/>
    <n v="0"/>
    <n v="4"/>
    <n v="0"/>
    <x v="1"/>
    <s v=""/>
    <s v=""/>
    <s v=""/>
  </r>
  <r>
    <x v="5"/>
    <x v="2"/>
    <x v="1"/>
    <n v="0"/>
    <s v="Travel_Rarely"/>
    <n v="529"/>
    <x v="1"/>
    <n v="2"/>
    <n v="3"/>
    <s v="Technical Degree"/>
    <n v="1"/>
    <x v="1449"/>
    <n v="4"/>
    <x v="2"/>
    <x v="1"/>
    <n v="78"/>
    <n v="3"/>
    <n v="1"/>
    <x v="1"/>
    <n v="1"/>
    <x v="3"/>
    <s v="Single"/>
    <x v="1234"/>
    <x v="1"/>
    <n v="11288"/>
    <n v="1"/>
    <s v="Y"/>
    <x v="1"/>
    <n v="14"/>
    <x v="0"/>
    <x v="0"/>
    <n v="4"/>
    <n v="80"/>
    <n v="0"/>
    <n v="4"/>
    <n v="4"/>
    <n v="3"/>
    <x v="9"/>
    <n v="2"/>
    <n v="1"/>
    <n v="2"/>
    <n v="5"/>
    <x v="2"/>
    <s v=""/>
    <s v=""/>
    <s v=""/>
  </r>
  <r>
    <x v="10"/>
    <x v="0"/>
    <x v="1"/>
    <n v="0"/>
    <s v="Travel_Rarely"/>
    <n v="1146"/>
    <x v="2"/>
    <n v="26"/>
    <n v="4"/>
    <s v="Life Sciences"/>
    <n v="1"/>
    <x v="1450"/>
    <n v="3"/>
    <x v="1"/>
    <x v="0"/>
    <n v="31"/>
    <n v="3"/>
    <n v="3"/>
    <x v="8"/>
    <n v="4"/>
    <x v="0"/>
    <s v="Single"/>
    <x v="1332"/>
    <x v="2"/>
    <n v="16642"/>
    <n v="1"/>
    <s v="Y"/>
    <x v="0"/>
    <n v="16"/>
    <x v="2"/>
    <x v="0"/>
    <n v="3"/>
    <n v="80"/>
    <n v="0"/>
    <n v="9"/>
    <n v="2"/>
    <n v="3"/>
    <x v="7"/>
    <n v="0"/>
    <n v="1"/>
    <n v="7"/>
    <n v="3"/>
    <x v="2"/>
    <s v=""/>
    <s v=""/>
    <s v=""/>
  </r>
  <r>
    <x v="8"/>
    <x v="0"/>
    <x v="1"/>
    <n v="0"/>
    <s v="Travel_Rarely"/>
    <n v="345"/>
    <x v="0"/>
    <n v="10"/>
    <n v="2"/>
    <s v="Life Sciences"/>
    <n v="1"/>
    <x v="1451"/>
    <n v="1"/>
    <x v="3"/>
    <x v="0"/>
    <n v="100"/>
    <n v="3"/>
    <n v="2"/>
    <x v="0"/>
    <n v="4"/>
    <x v="0"/>
    <s v="Married"/>
    <x v="798"/>
    <x v="0"/>
    <n v="5982"/>
    <n v="1"/>
    <s v="Y"/>
    <x v="1"/>
    <n v="11"/>
    <x v="0"/>
    <x v="0"/>
    <n v="3"/>
    <n v="80"/>
    <n v="1"/>
    <n v="10"/>
    <n v="1"/>
    <n v="3"/>
    <x v="1"/>
    <n v="7"/>
    <n v="1"/>
    <n v="9"/>
    <n v="1"/>
    <x v="1"/>
    <s v=""/>
    <s v=""/>
    <s v=""/>
  </r>
  <r>
    <x v="24"/>
    <x v="1"/>
    <x v="0"/>
    <n v="1"/>
    <s v="Travel_Frequently"/>
    <n v="878"/>
    <x v="0"/>
    <n v="1"/>
    <n v="4"/>
    <s v="Life Sciences"/>
    <n v="1"/>
    <x v="1452"/>
    <n v="2"/>
    <x v="0"/>
    <x v="1"/>
    <n v="94"/>
    <n v="3"/>
    <n v="2"/>
    <x v="0"/>
    <n v="3"/>
    <x v="2"/>
    <s v="Divorced"/>
    <x v="1333"/>
    <x v="0"/>
    <n v="14255"/>
    <n v="7"/>
    <s v="Y"/>
    <x v="1"/>
    <n v="12"/>
    <x v="0"/>
    <x v="0"/>
    <n v="4"/>
    <n v="80"/>
    <n v="2"/>
    <n v="12"/>
    <n v="3"/>
    <n v="3"/>
    <x v="0"/>
    <n v="3"/>
    <n v="0"/>
    <n v="1"/>
    <s v=""/>
    <x v="0"/>
    <s v=""/>
    <s v=""/>
    <s v=""/>
  </r>
  <r>
    <x v="9"/>
    <x v="0"/>
    <x v="1"/>
    <n v="0"/>
    <s v="Travel_Rarely"/>
    <n v="1120"/>
    <x v="0"/>
    <n v="11"/>
    <n v="4"/>
    <s v="Marketing"/>
    <n v="1"/>
    <x v="1453"/>
    <n v="2"/>
    <x v="0"/>
    <x v="0"/>
    <n v="100"/>
    <n v="2"/>
    <n v="2"/>
    <x v="0"/>
    <n v="4"/>
    <x v="0"/>
    <s v="Married"/>
    <x v="1334"/>
    <x v="0"/>
    <n v="14369"/>
    <n v="4"/>
    <s v="Y"/>
    <x v="1"/>
    <n v="13"/>
    <x v="0"/>
    <x v="0"/>
    <n v="1"/>
    <n v="80"/>
    <n v="1"/>
    <n v="8"/>
    <n v="2"/>
    <n v="2"/>
    <x v="0"/>
    <n v="3"/>
    <n v="0"/>
    <n v="0"/>
    <n v="1"/>
    <x v="1"/>
    <s v=""/>
    <s v=""/>
    <s v=""/>
  </r>
  <r>
    <x v="28"/>
    <x v="1"/>
    <x v="1"/>
    <n v="0"/>
    <s v="Travel_Rarely"/>
    <n v="374"/>
    <x v="0"/>
    <n v="20"/>
    <n v="3"/>
    <s v="Life Sciences"/>
    <n v="1"/>
    <x v="1454"/>
    <n v="4"/>
    <x v="2"/>
    <x v="0"/>
    <n v="50"/>
    <n v="3"/>
    <n v="2"/>
    <x v="0"/>
    <n v="3"/>
    <x v="2"/>
    <s v="Single"/>
    <x v="1335"/>
    <x v="0"/>
    <n v="23333"/>
    <n v="8"/>
    <s v="Y"/>
    <x v="1"/>
    <n v="15"/>
    <x v="0"/>
    <x v="0"/>
    <n v="3"/>
    <n v="80"/>
    <n v="0"/>
    <n v="8"/>
    <n v="3"/>
    <n v="3"/>
    <x v="8"/>
    <n v="3"/>
    <n v="0"/>
    <n v="1"/>
    <n v="1"/>
    <x v="1"/>
    <s v=""/>
    <s v=""/>
    <s v=""/>
  </r>
  <r>
    <x v="32"/>
    <x v="0"/>
    <x v="1"/>
    <n v="0"/>
    <s v="Travel_Rarely"/>
    <n v="1322"/>
    <x v="1"/>
    <n v="2"/>
    <n v="4"/>
    <s v="Life Sciences"/>
    <n v="1"/>
    <x v="1455"/>
    <n v="3"/>
    <x v="1"/>
    <x v="1"/>
    <n v="52"/>
    <n v="2"/>
    <n v="1"/>
    <x v="1"/>
    <n v="3"/>
    <x v="2"/>
    <s v="Single"/>
    <x v="1336"/>
    <x v="1"/>
    <n v="2725"/>
    <n v="2"/>
    <s v="Y"/>
    <x v="1"/>
    <n v="14"/>
    <x v="0"/>
    <x v="0"/>
    <n v="4"/>
    <n v="80"/>
    <n v="0"/>
    <n v="8"/>
    <n v="2"/>
    <n v="3"/>
    <x v="4"/>
    <n v="2"/>
    <n v="2"/>
    <n v="2"/>
    <n v="2"/>
    <x v="1"/>
    <s v=""/>
    <s v=""/>
    <s v=""/>
  </r>
  <r>
    <x v="10"/>
    <x v="0"/>
    <x v="1"/>
    <n v="0"/>
    <s v="Travel_Frequently"/>
    <n v="1199"/>
    <x v="1"/>
    <n v="18"/>
    <n v="4"/>
    <s v="Life Sciences"/>
    <n v="1"/>
    <x v="1456"/>
    <n v="3"/>
    <x v="1"/>
    <x v="1"/>
    <n v="80"/>
    <n v="3"/>
    <n v="2"/>
    <x v="4"/>
    <n v="3"/>
    <x v="2"/>
    <s v="Married"/>
    <x v="1337"/>
    <x v="0"/>
    <n v="24594"/>
    <n v="1"/>
    <s v="Y"/>
    <x v="0"/>
    <n v="14"/>
    <x v="0"/>
    <x v="0"/>
    <n v="4"/>
    <n v="80"/>
    <n v="2"/>
    <n v="10"/>
    <n v="2"/>
    <n v="4"/>
    <x v="1"/>
    <n v="2"/>
    <n v="0"/>
    <n v="2"/>
    <n v="3"/>
    <x v="2"/>
    <s v=""/>
    <s v=""/>
    <s v=""/>
  </r>
  <r>
    <x v="32"/>
    <x v="0"/>
    <x v="1"/>
    <n v="0"/>
    <s v="Travel_Rarely"/>
    <n v="1194"/>
    <x v="1"/>
    <n v="2"/>
    <n v="4"/>
    <s v="Medical"/>
    <n v="1"/>
    <x v="1457"/>
    <n v="3"/>
    <x v="1"/>
    <x v="0"/>
    <n v="98"/>
    <n v="3"/>
    <n v="1"/>
    <x v="1"/>
    <n v="3"/>
    <x v="2"/>
    <s v="Married"/>
    <x v="1338"/>
    <x v="1"/>
    <n v="12549"/>
    <n v="2"/>
    <s v="Y"/>
    <x v="1"/>
    <n v="14"/>
    <x v="0"/>
    <x v="0"/>
    <n v="2"/>
    <n v="80"/>
    <n v="3"/>
    <n v="20"/>
    <n v="2"/>
    <n v="3"/>
    <x v="8"/>
    <n v="3"/>
    <n v="0"/>
    <n v="2"/>
    <n v="2"/>
    <x v="1"/>
    <s v=""/>
    <s v=""/>
    <s v=""/>
  </r>
  <r>
    <x v="10"/>
    <x v="0"/>
    <x v="1"/>
    <n v="0"/>
    <s v="Travel_Rarely"/>
    <n v="287"/>
    <x v="1"/>
    <n v="1"/>
    <n v="4"/>
    <s v="Life Sciences"/>
    <n v="1"/>
    <x v="1458"/>
    <n v="3"/>
    <x v="1"/>
    <x v="0"/>
    <n v="62"/>
    <n v="1"/>
    <n v="1"/>
    <x v="1"/>
    <n v="4"/>
    <x v="0"/>
    <s v="Married"/>
    <x v="1339"/>
    <x v="1"/>
    <n v="8952"/>
    <n v="1"/>
    <s v="Y"/>
    <x v="1"/>
    <n v="12"/>
    <x v="0"/>
    <x v="0"/>
    <n v="4"/>
    <n v="80"/>
    <n v="1"/>
    <n v="4"/>
    <n v="5"/>
    <n v="3"/>
    <x v="9"/>
    <n v="3"/>
    <n v="1"/>
    <n v="1"/>
    <n v="2"/>
    <x v="1"/>
    <s v=""/>
    <s v=""/>
    <s v=""/>
  </r>
  <r>
    <x v="11"/>
    <x v="2"/>
    <x v="1"/>
    <n v="0"/>
    <s v="Travel_Rarely"/>
    <n v="1378"/>
    <x v="1"/>
    <n v="13"/>
    <n v="2"/>
    <s v="Other"/>
    <n v="1"/>
    <x v="1459"/>
    <n v="4"/>
    <x v="2"/>
    <x v="1"/>
    <n v="46"/>
    <n v="2"/>
    <n v="2"/>
    <x v="2"/>
    <n v="2"/>
    <x v="1"/>
    <s v="Married"/>
    <x v="717"/>
    <x v="0"/>
    <n v="23679"/>
    <n v="4"/>
    <s v="Y"/>
    <x v="0"/>
    <n v="13"/>
    <x v="0"/>
    <x v="0"/>
    <n v="1"/>
    <n v="80"/>
    <n v="1"/>
    <n v="10"/>
    <n v="2"/>
    <n v="3"/>
    <x v="9"/>
    <n v="3"/>
    <n v="0"/>
    <n v="3"/>
    <n v="5"/>
    <x v="2"/>
    <s v=""/>
    <s v=""/>
    <s v=""/>
  </r>
  <r>
    <x v="11"/>
    <x v="2"/>
    <x v="1"/>
    <n v="0"/>
    <s v="Travel_Rarely"/>
    <n v="468"/>
    <x v="1"/>
    <n v="28"/>
    <n v="4"/>
    <s v="Medical"/>
    <n v="1"/>
    <x v="1460"/>
    <n v="4"/>
    <x v="2"/>
    <x v="0"/>
    <n v="73"/>
    <n v="2"/>
    <n v="1"/>
    <x v="1"/>
    <n v="1"/>
    <x v="3"/>
    <s v="Single"/>
    <x v="1340"/>
    <x v="1"/>
    <n v="8489"/>
    <n v="1"/>
    <s v="Y"/>
    <x v="1"/>
    <n v="14"/>
    <x v="0"/>
    <x v="0"/>
    <n v="2"/>
    <n v="80"/>
    <n v="0"/>
    <n v="5"/>
    <n v="3"/>
    <n v="1"/>
    <x v="8"/>
    <n v="4"/>
    <n v="0"/>
    <n v="4"/>
    <n v="5"/>
    <x v="2"/>
    <s v=""/>
    <s v=""/>
    <s v=""/>
  </r>
  <r>
    <x v="24"/>
    <x v="1"/>
    <x v="0"/>
    <n v="1"/>
    <s v="Travel_Rarely"/>
    <n v="410"/>
    <x v="0"/>
    <n v="28"/>
    <n v="3"/>
    <s v="Marketing"/>
    <n v="1"/>
    <x v="1461"/>
    <n v="4"/>
    <x v="2"/>
    <x v="1"/>
    <n v="39"/>
    <n v="2"/>
    <n v="3"/>
    <x v="0"/>
    <n v="1"/>
    <x v="3"/>
    <s v="Divorced"/>
    <x v="1341"/>
    <x v="2"/>
    <n v="16586"/>
    <n v="4"/>
    <s v="Y"/>
    <x v="0"/>
    <n v="13"/>
    <x v="0"/>
    <x v="0"/>
    <n v="2"/>
    <n v="80"/>
    <n v="1"/>
    <n v="20"/>
    <n v="3"/>
    <n v="3"/>
    <x v="11"/>
    <n v="2"/>
    <n v="2"/>
    <n v="0"/>
    <s v=""/>
    <x v="0"/>
    <s v=""/>
    <s v=""/>
    <s v=""/>
  </r>
  <r>
    <x v="22"/>
    <x v="0"/>
    <x v="1"/>
    <n v="0"/>
    <s v="Travel_Rarely"/>
    <n v="722"/>
    <x v="0"/>
    <n v="24"/>
    <n v="1"/>
    <s v="Marketing"/>
    <n v="1"/>
    <x v="1462"/>
    <n v="2"/>
    <x v="0"/>
    <x v="0"/>
    <n v="60"/>
    <n v="2"/>
    <n v="4"/>
    <x v="0"/>
    <n v="4"/>
    <x v="0"/>
    <s v="Married"/>
    <x v="1342"/>
    <x v="3"/>
    <n v="8828"/>
    <n v="0"/>
    <s v="Y"/>
    <x v="1"/>
    <n v="11"/>
    <x v="0"/>
    <x v="0"/>
    <n v="1"/>
    <n v="80"/>
    <n v="1"/>
    <n v="21"/>
    <n v="2"/>
    <n v="2"/>
    <x v="23"/>
    <n v="9"/>
    <n v="9"/>
    <n v="6"/>
    <n v="0"/>
    <x v="1"/>
    <s v=""/>
    <s v=""/>
    <s v=""/>
  </r>
  <r>
    <x v="12"/>
    <x v="2"/>
    <x v="1"/>
    <n v="0"/>
    <s v="Non-Travel"/>
    <n v="325"/>
    <x v="1"/>
    <n v="5"/>
    <n v="3"/>
    <s v="Medical"/>
    <n v="1"/>
    <x v="1463"/>
    <n v="2"/>
    <x v="0"/>
    <x v="1"/>
    <n v="74"/>
    <n v="3"/>
    <n v="2"/>
    <x v="3"/>
    <n v="1"/>
    <x v="3"/>
    <s v="Single"/>
    <x v="1343"/>
    <x v="2"/>
    <n v="3787"/>
    <n v="0"/>
    <s v="Y"/>
    <x v="1"/>
    <n v="19"/>
    <x v="2"/>
    <x v="0"/>
    <n v="2"/>
    <n v="80"/>
    <n v="0"/>
    <n v="10"/>
    <n v="2"/>
    <n v="3"/>
    <x v="7"/>
    <n v="4"/>
    <n v="1"/>
    <n v="7"/>
    <n v="3"/>
    <x v="2"/>
    <s v=""/>
    <s v=""/>
    <s v=""/>
  </r>
  <r>
    <x v="25"/>
    <x v="2"/>
    <x v="1"/>
    <n v="0"/>
    <s v="Travel_Rarely"/>
    <n v="1167"/>
    <x v="0"/>
    <n v="5"/>
    <n v="3"/>
    <s v="Other"/>
    <n v="1"/>
    <x v="1464"/>
    <n v="4"/>
    <x v="2"/>
    <x v="0"/>
    <n v="30"/>
    <n v="2"/>
    <n v="1"/>
    <x v="6"/>
    <n v="3"/>
    <x v="2"/>
    <s v="Single"/>
    <x v="1344"/>
    <x v="1"/>
    <n v="21378"/>
    <n v="0"/>
    <s v="Y"/>
    <x v="1"/>
    <n v="18"/>
    <x v="2"/>
    <x v="0"/>
    <n v="4"/>
    <n v="80"/>
    <n v="0"/>
    <n v="5"/>
    <n v="2"/>
    <n v="3"/>
    <x v="9"/>
    <n v="2"/>
    <n v="0"/>
    <n v="0"/>
    <n v="5"/>
    <x v="2"/>
    <s v=""/>
    <s v=""/>
    <s v=""/>
  </r>
  <r>
    <x v="9"/>
    <x v="0"/>
    <x v="1"/>
    <n v="0"/>
    <s v="Travel_Frequently"/>
    <n v="884"/>
    <x v="1"/>
    <n v="23"/>
    <n v="2"/>
    <s v="Medical"/>
    <n v="1"/>
    <x v="1465"/>
    <n v="3"/>
    <x v="1"/>
    <x v="1"/>
    <n v="41"/>
    <n v="4"/>
    <n v="2"/>
    <x v="2"/>
    <n v="4"/>
    <x v="0"/>
    <s v="Married"/>
    <x v="1345"/>
    <x v="1"/>
    <n v="12290"/>
    <n v="4"/>
    <s v="Y"/>
    <x v="1"/>
    <n v="17"/>
    <x v="2"/>
    <x v="0"/>
    <n v="3"/>
    <n v="80"/>
    <n v="1"/>
    <n v="17"/>
    <n v="3"/>
    <n v="3"/>
    <x v="8"/>
    <n v="2"/>
    <n v="0"/>
    <n v="3"/>
    <n v="3"/>
    <x v="2"/>
    <s v=""/>
    <s v=""/>
    <s v=""/>
  </r>
  <r>
    <x v="22"/>
    <x v="0"/>
    <x v="1"/>
    <n v="0"/>
    <s v="Travel_Rarely"/>
    <n v="613"/>
    <x v="1"/>
    <n v="6"/>
    <n v="1"/>
    <s v="Medical"/>
    <n v="1"/>
    <x v="1466"/>
    <n v="4"/>
    <x v="2"/>
    <x v="1"/>
    <n v="42"/>
    <n v="2"/>
    <n v="3"/>
    <x v="4"/>
    <n v="1"/>
    <x v="3"/>
    <s v="Married"/>
    <x v="1346"/>
    <x v="2"/>
    <n v="21457"/>
    <n v="4"/>
    <s v="Y"/>
    <x v="1"/>
    <n v="15"/>
    <x v="0"/>
    <x v="0"/>
    <n v="1"/>
    <n v="80"/>
    <n v="1"/>
    <n v="9"/>
    <n v="5"/>
    <n v="3"/>
    <x v="5"/>
    <n v="7"/>
    <n v="1"/>
    <n v="7"/>
    <n v="2"/>
    <x v="1"/>
    <s v=""/>
    <s v=""/>
    <s v=""/>
  </r>
  <r>
    <x v="4"/>
    <x v="2"/>
    <x v="1"/>
    <n v="0"/>
    <s v="Travel_Rarely"/>
    <n v="155"/>
    <x v="1"/>
    <n v="4"/>
    <n v="3"/>
    <s v="Life Sciences"/>
    <n v="1"/>
    <x v="1467"/>
    <n v="2"/>
    <x v="0"/>
    <x v="1"/>
    <n v="87"/>
    <n v="4"/>
    <n v="2"/>
    <x v="3"/>
    <n v="2"/>
    <x v="1"/>
    <s v="Married"/>
    <x v="528"/>
    <x v="0"/>
    <n v="5174"/>
    <n v="1"/>
    <s v="Y"/>
    <x v="0"/>
    <n v="20"/>
    <x v="2"/>
    <x v="1"/>
    <n v="2"/>
    <n v="80"/>
    <n v="1"/>
    <n v="6"/>
    <n v="0"/>
    <n v="3"/>
    <x v="0"/>
    <n v="2"/>
    <n v="0"/>
    <n v="3"/>
    <n v="4"/>
    <x v="2"/>
    <s v=""/>
    <s v=""/>
    <s v=""/>
  </r>
  <r>
    <x v="1"/>
    <x v="1"/>
    <x v="1"/>
    <n v="0"/>
    <s v="Travel_Frequently"/>
    <n v="1023"/>
    <x v="0"/>
    <n v="2"/>
    <n v="3"/>
    <s v="Medical"/>
    <n v="1"/>
    <x v="1468"/>
    <n v="4"/>
    <x v="2"/>
    <x v="1"/>
    <n v="63"/>
    <n v="2"/>
    <n v="2"/>
    <x v="0"/>
    <n v="2"/>
    <x v="1"/>
    <s v="Married"/>
    <x v="1347"/>
    <x v="0"/>
    <n v="13243"/>
    <n v="2"/>
    <s v="Y"/>
    <x v="1"/>
    <n v="14"/>
    <x v="0"/>
    <x v="0"/>
    <n v="4"/>
    <n v="80"/>
    <n v="0"/>
    <n v="17"/>
    <n v="3"/>
    <n v="2"/>
    <x v="7"/>
    <n v="6"/>
    <n v="0"/>
    <n v="8"/>
    <n v="1"/>
    <x v="1"/>
    <s v=""/>
    <s v=""/>
    <s v=""/>
  </r>
  <r>
    <x v="13"/>
    <x v="2"/>
    <x v="1"/>
    <n v="0"/>
    <s v="Travel_Rarely"/>
    <n v="628"/>
    <x v="1"/>
    <n v="8"/>
    <n v="3"/>
    <s v="Medical"/>
    <n v="1"/>
    <x v="1469"/>
    <n v="2"/>
    <x v="0"/>
    <x v="1"/>
    <n v="82"/>
    <n v="4"/>
    <n v="2"/>
    <x v="2"/>
    <n v="3"/>
    <x v="2"/>
    <s v="Married"/>
    <x v="1348"/>
    <x v="0"/>
    <n v="10228"/>
    <n v="2"/>
    <s v="Y"/>
    <x v="1"/>
    <n v="12"/>
    <x v="0"/>
    <x v="0"/>
    <n v="1"/>
    <n v="80"/>
    <n v="0"/>
    <n v="6"/>
    <n v="3"/>
    <n v="4"/>
    <x v="9"/>
    <n v="3"/>
    <n v="1"/>
    <n v="2"/>
    <n v="3"/>
    <x v="2"/>
    <s v=""/>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E9498D-B8E0-4031-89C2-BA7BA4CA4ACC}" name="PivotTable22"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4:D27" firstHeaderRow="1" firstDataRow="1" firstDataCol="1"/>
  <pivotFields count="46">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EmployeeNumber" fld="11"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C5C678-FB79-440E-8BF8-AACD58147B79}" name="twoB"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oles">
  <location ref="I47:J57" firstHeaderRow="1" firstDataRow="1" firstDataCol="1"/>
  <pivotFields count="46">
    <pivotField showAll="0"/>
    <pivotField showAll="0">
      <items count="6">
        <item x="4"/>
        <item x="2"/>
        <item x="0"/>
        <item x="1"/>
        <item x="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items count="5">
        <item x="0"/>
        <item x="1"/>
        <item x="3"/>
        <item x="2"/>
        <item t="default"/>
      </items>
    </pivotField>
    <pivotField showAll="0">
      <items count="3">
        <item x="0"/>
        <item x="1"/>
        <item t="default"/>
      </items>
    </pivotField>
    <pivotField showAll="0"/>
    <pivotField showAll="0"/>
    <pivotField showAll="0"/>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10">
    <i>
      <x v="5"/>
    </i>
    <i>
      <x v="3"/>
    </i>
    <i>
      <x/>
    </i>
    <i>
      <x v="4"/>
    </i>
    <i>
      <x v="6"/>
    </i>
    <i>
      <x v="7"/>
    </i>
    <i>
      <x v="1"/>
    </i>
    <i>
      <x v="2"/>
    </i>
    <i>
      <x v="8"/>
    </i>
    <i t="grand">
      <x/>
    </i>
  </rowItems>
  <colItems count="1">
    <i/>
  </colItems>
  <dataFields count="1">
    <dataField name="Attrition Rate" fld="3" subtotal="average" baseField="16" baseItem="0" numFmtId="10"/>
  </dataFields>
  <formats count="1">
    <format dxfId="3067">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8" count="1" selected="0">
            <x v="6"/>
          </reference>
        </references>
      </pivotArea>
    </chartFormat>
    <chartFormat chart="3" format="4">
      <pivotArea type="data" outline="0" fieldPosition="0">
        <references count="2">
          <reference field="4294967294" count="1" selected="0">
            <x v="0"/>
          </reference>
          <reference field="18" count="1" selected="0">
            <x v="4"/>
          </reference>
        </references>
      </pivotArea>
    </chartFormat>
    <chartFormat chart="3" format="5">
      <pivotArea type="data" outline="0" fieldPosition="0">
        <references count="2">
          <reference field="4294967294" count="1" selected="0">
            <x v="0"/>
          </reference>
          <reference field="18" count="1" selected="0">
            <x v="0"/>
          </reference>
        </references>
      </pivotArea>
    </chartFormat>
    <chartFormat chart="3" format="6">
      <pivotArea type="data" outline="0" fieldPosition="0">
        <references count="2">
          <reference field="4294967294" count="1" selected="0">
            <x v="0"/>
          </reference>
          <reference field="18" count="1" selected="0">
            <x v="3"/>
          </reference>
        </references>
      </pivotArea>
    </chartFormat>
    <chartFormat chart="3" format="7">
      <pivotArea type="data" outline="0" fieldPosition="0">
        <references count="2">
          <reference field="4294967294" count="1" selected="0">
            <x v="0"/>
          </reference>
          <reference field="18" count="1" selected="0">
            <x v="5"/>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18" count="1" selected="0">
            <x v="5"/>
          </reference>
        </references>
      </pivotArea>
    </chartFormat>
    <chartFormat chart="5" format="16">
      <pivotArea type="data" outline="0" fieldPosition="0">
        <references count="2">
          <reference field="4294967294" count="1" selected="0">
            <x v="0"/>
          </reference>
          <reference field="18" count="1" selected="0">
            <x v="3"/>
          </reference>
        </references>
      </pivotArea>
    </chartFormat>
    <chartFormat chart="5" format="17">
      <pivotArea type="data" outline="0" fieldPosition="0">
        <references count="2">
          <reference field="4294967294" count="1" selected="0">
            <x v="0"/>
          </reference>
          <reference field="18" count="1" selected="0">
            <x v="0"/>
          </reference>
        </references>
      </pivotArea>
    </chartFormat>
    <chartFormat chart="5" format="18">
      <pivotArea type="data" outline="0" fieldPosition="0">
        <references count="2">
          <reference field="4294967294" count="1" selected="0">
            <x v="0"/>
          </reference>
          <reference field="18" count="1" selected="0">
            <x v="4"/>
          </reference>
        </references>
      </pivotArea>
    </chartFormat>
    <chartFormat chart="5" format="19">
      <pivotArea type="data" outline="0" fieldPosition="0">
        <references count="2">
          <reference field="4294967294" count="1" selected="0">
            <x v="0"/>
          </reference>
          <reference field="1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DEE124-913F-47B1-8FE5-7DA8D7F0D47E}" name="AveAgeIncome" cacheId="28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29:C30" firstHeaderRow="0" firstDataRow="1" firstDataCol="0"/>
  <pivotFields count="46">
    <pivotField dataField="1" showAll="0"/>
    <pivotField showAll="0">
      <items count="6">
        <item x="4"/>
        <item x="2"/>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0"/>
        <item x="1"/>
        <item x="3"/>
        <item x="2"/>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Average of Age" fld="0" subtotal="average" baseField="0" baseItem="1" numFmtId="1"/>
    <dataField name="Average of MonthlyIncome" fld="22" subtotal="average" baseField="0" baseItem="1" numFmtId="44"/>
  </dataFields>
  <formats count="4">
    <format dxfId="3070">
      <pivotArea outline="0" collapsedLevelsAreSubtotals="1" fieldPosition="0"/>
    </format>
    <format dxfId="3069">
      <pivotArea outline="0" collapsedLevelsAreSubtotals="1" fieldPosition="0">
        <references count="1">
          <reference field="4294967294" count="1" selected="0">
            <x v="0"/>
          </reference>
        </references>
      </pivotArea>
    </format>
    <format dxfId="3068">
      <pivotArea outline="0" fieldPosition="0">
        <references count="1">
          <reference field="4294967294" count="1">
            <x v="0"/>
          </reference>
        </references>
      </pivotArea>
    </format>
    <format dxfId="306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B9AC6D-EB69-4B77-8D09-FFD17EA9A35C}" name="seven"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Risk Level">
  <location ref="BL8:BM12" firstHeaderRow="1" firstDataRow="1" firstDataCol="1" rowPageCount="1" colPageCount="1"/>
  <pivotFields count="46">
    <pivotField showAll="0"/>
    <pivotField showAll="0">
      <items count="6">
        <item x="4"/>
        <item x="2"/>
        <item x="0"/>
        <item x="1"/>
        <item x="3"/>
        <item t="default"/>
      </items>
    </pivotField>
    <pivotField axis="axisPage"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 showAll="0">
      <items count="5">
        <item x="0"/>
        <item x="1"/>
        <item x="3"/>
        <item x="2"/>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42"/>
  </rowFields>
  <rowItems count="4">
    <i>
      <x v="1"/>
    </i>
    <i>
      <x v="2"/>
    </i>
    <i>
      <x/>
    </i>
    <i t="grand">
      <x/>
    </i>
  </rowItems>
  <colItems count="1">
    <i/>
  </colItems>
  <pageFields count="1">
    <pageField fld="2" item="0" hier="-1"/>
  </pageFields>
  <dataFields count="1">
    <dataField name="Current Employees" fld="11" subtotal="count" baseField="4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6B3164-49B5-46B3-97A2-28752FB6321A}" name="PivotTable7"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39:W42" firstHeaderRow="1" firstDataRow="1" firstDataCol="1"/>
  <pivotFields count="46">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7"/>
  </rowFields>
  <rowItems count="3">
    <i>
      <x/>
    </i>
    <i>
      <x v="1"/>
    </i>
    <i t="grand">
      <x/>
    </i>
  </rowItems>
  <colItems count="1">
    <i/>
  </colItems>
  <dataFields count="1">
    <dataField name="Sum of EmployeeNumber"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172A58-A4AB-4BD9-AB50-B1ABE8B743F3}" name="PivotTable2"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trrition">
  <location ref="B11:C14" firstHeaderRow="1" firstDataRow="1" firstDataCol="1"/>
  <pivotFields count="46">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No. of  Employees" fld="10" baseField="1" baseItem="0"/>
  </dataFields>
  <formats count="1">
    <format dxfId="3071">
      <pivotArea collapsedLevelsAreSubtotals="1" fieldPosition="0">
        <references count="1">
          <reference field="2"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936F87-6190-4DCF-96B8-31964C1488A3}" name="six"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Job Satisfaction">
  <location ref="BA14:BB19" firstHeaderRow="1" firstDataRow="1" firstDataCol="1"/>
  <pivotFields count="46">
    <pivotField showAll="0"/>
    <pivotField showAll="0">
      <items count="6">
        <item x="4"/>
        <item x="2"/>
        <item x="0"/>
        <item x="1"/>
        <item x="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items count="5">
        <item x="0"/>
        <item x="1"/>
        <item x="3"/>
        <item x="2"/>
        <item t="default"/>
      </items>
    </pivotField>
    <pivotField showAll="0">
      <items count="3">
        <item x="0"/>
        <item x="1"/>
        <item t="default"/>
      </items>
    </pivotField>
    <pivotField showAll="0"/>
    <pivotField showAll="0"/>
    <pivotField showAll="0"/>
    <pivotField showAll="0"/>
    <pivotField showAll="0"/>
    <pivotField axis="axisRow" showAll="0" sortType="descending">
      <items count="9">
        <item m="1" x="4"/>
        <item m="1" x="7"/>
        <item m="1" x="6"/>
        <item m="1" x="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5">
    <i>
      <x v="7"/>
    </i>
    <i>
      <x v="6"/>
    </i>
    <i>
      <x v="5"/>
    </i>
    <i>
      <x v="4"/>
    </i>
    <i t="grand">
      <x/>
    </i>
  </rowItems>
  <colItems count="1">
    <i/>
  </colItems>
  <dataFields count="1">
    <dataField name="Attrition Rate" fld="3" subtotal="average" baseField="19" baseItem="0" numFmtId="10"/>
  </dataFields>
  <formats count="1">
    <format dxfId="3072">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97327B-8CF6-4667-A168-FCBBF1DA4C59}" name="PivotTable11"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come Band">
  <location ref="AF6:AI12" firstHeaderRow="0" firstDataRow="1" firstDataCol="1"/>
  <pivotFields count="46">
    <pivotField showAll="0"/>
    <pivotField showAll="0"/>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m="1" x="8"/>
        <item m="1" x="6"/>
        <item m="1" x="7"/>
        <item m="1" x="5"/>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4"/>
    </i>
    <i>
      <x v="5"/>
    </i>
    <i>
      <x v="6"/>
    </i>
    <i>
      <x v="7"/>
    </i>
    <i>
      <x v="8"/>
    </i>
    <i t="grand">
      <x/>
    </i>
  </rowItems>
  <colFields count="1">
    <field x="-2"/>
  </colFields>
  <colItems count="3">
    <i>
      <x/>
    </i>
    <i i="1">
      <x v="1"/>
    </i>
    <i i="2">
      <x v="2"/>
    </i>
  </colItems>
  <dataFields count="3">
    <dataField name="Employees" fld="11" subtotal="count" baseField="20" baseItem="0"/>
    <dataField name="Employees Left" fld="3" baseField="20" baseItem="0"/>
    <dataField name="Attrition Rate" fld="3" subtotal="average" baseField="20" baseItem="0" numFmtId="10"/>
  </dataFields>
  <formats count="1">
    <format dxfId="3073">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00DC22-3F5E-47B8-9743-10FAA5D70028}" name="twoA"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Deaprtments">
  <location ref="I13:K17" firstHeaderRow="0" firstDataRow="1" firstDataCol="1"/>
  <pivotFields count="46">
    <pivotField showAll="0"/>
    <pivotField showAll="0">
      <items count="6">
        <item x="4"/>
        <item x="2"/>
        <item x="0"/>
        <item x="1"/>
        <item x="3"/>
        <item t="default"/>
      </items>
    </pivotField>
    <pivotField showAll="0"/>
    <pivotField dataField="1" showAll="0"/>
    <pivotField showAll="0"/>
    <pivotField showAll="0"/>
    <pivotField axis="axisRow" showAll="0" sortType="ascending">
      <items count="4">
        <item x="1"/>
        <item x="2"/>
        <item x="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items count="5">
        <item x="0"/>
        <item x="1"/>
        <item x="3"/>
        <item x="2"/>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Fields count="1">
    <field x="-2"/>
  </colFields>
  <colItems count="2">
    <i>
      <x/>
    </i>
    <i i="1">
      <x v="1"/>
    </i>
  </colItems>
  <dataFields count="2">
    <dataField name="Employees Left" fld="3" baseField="6" baseItem="0"/>
    <dataField name="Attrition Rate" fld="3" subtotal="average" baseField="5" baseItem="1" numFmtId="10"/>
  </dataFields>
  <formats count="5">
    <format dxfId="3078">
      <pivotArea collapsedLevelsAreSubtotals="1" fieldPosition="0">
        <references count="1">
          <reference field="6" count="1">
            <x v="1"/>
          </reference>
        </references>
      </pivotArea>
    </format>
    <format dxfId="3077">
      <pivotArea outline="0" collapsedLevelsAreSubtotals="1" fieldPosition="0"/>
    </format>
    <format dxfId="3076">
      <pivotArea collapsedLevelsAreSubtotals="1" fieldPosition="0">
        <references count="2">
          <reference field="4294967294" count="1" selected="0">
            <x v="0"/>
          </reference>
          <reference field="6" count="1">
            <x v="1"/>
          </reference>
        </references>
      </pivotArea>
    </format>
    <format dxfId="3075">
      <pivotArea outline="0" collapsedLevelsAreSubtotals="1" fieldPosition="0">
        <references count="1">
          <reference field="4294967294" count="1" selected="0">
            <x v="0"/>
          </reference>
        </references>
      </pivotArea>
    </format>
    <format dxfId="3074">
      <pivotArea dataOnly="0" labelOnly="1" outline="0" fieldPosition="0">
        <references count="1">
          <reference field="4294967294" count="1">
            <x v="0"/>
          </reference>
        </references>
      </pivotArea>
    </format>
  </formats>
  <chartFormats count="13">
    <chartFormat chart="0" format="0"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6" count="1" selected="0">
            <x v="1"/>
          </reference>
        </references>
      </pivotArea>
    </chartFormat>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1"/>
          </reference>
          <reference field="6" count="1" selected="0">
            <x v="2"/>
          </reference>
        </references>
      </pivotArea>
    </chartFormat>
    <chartFormat chart="0" format="5">
      <pivotArea type="data" outline="0" fieldPosition="0">
        <references count="2">
          <reference field="4294967294" count="1" selected="0">
            <x v="1"/>
          </reference>
          <reference field="6" count="1" selected="0">
            <x v="0"/>
          </reference>
        </references>
      </pivotArea>
    </chartFormat>
    <chartFormat chart="0" format="6">
      <pivotArea type="data" outline="0" fieldPosition="0">
        <references count="2">
          <reference field="4294967294" count="1" selected="0">
            <x v="0"/>
          </reference>
          <reference field="6" count="1" selected="0">
            <x v="2"/>
          </reference>
        </references>
      </pivotArea>
    </chartFormat>
    <chartFormat chart="13" format="21" series="1">
      <pivotArea type="data" outline="0" fieldPosition="0">
        <references count="1">
          <reference field="4294967294" count="1" selected="0">
            <x v="0"/>
          </reference>
        </references>
      </pivotArea>
    </chartFormat>
    <chartFormat chart="13" format="22">
      <pivotArea type="data" outline="0" fieldPosition="0">
        <references count="2">
          <reference field="4294967294" count="1" selected="0">
            <x v="0"/>
          </reference>
          <reference field="6" count="1" selected="0">
            <x v="0"/>
          </reference>
        </references>
      </pivotArea>
    </chartFormat>
    <chartFormat chart="13" format="23">
      <pivotArea type="data" outline="0" fieldPosition="0">
        <references count="2">
          <reference field="4294967294" count="1" selected="0">
            <x v="0"/>
          </reference>
          <reference field="6" count="1" selected="0">
            <x v="1"/>
          </reference>
        </references>
      </pivotArea>
    </chartFormat>
    <chartFormat chart="13" format="24">
      <pivotArea type="data" outline="0" fieldPosition="0">
        <references count="2">
          <reference field="4294967294" count="1" selected="0">
            <x v="0"/>
          </reference>
          <reference field="6" count="1" selected="0">
            <x v="2"/>
          </reference>
        </references>
      </pivotArea>
    </chartFormat>
    <chartFormat chart="13" format="25" series="1">
      <pivotArea type="data" outline="0" fieldPosition="0">
        <references count="1">
          <reference field="4294967294" count="1" selected="0">
            <x v="1"/>
          </reference>
        </references>
      </pivotArea>
    </chartFormat>
    <chartFormat chart="13" format="26">
      <pivotArea type="data" outline="0" fieldPosition="0">
        <references count="2">
          <reference field="4294967294" count="1" selected="0">
            <x v="1"/>
          </reference>
          <reference field="6" count="1" selected="0">
            <x v="1"/>
          </reference>
        </references>
      </pivotArea>
    </chartFormat>
    <chartFormat chart="13" format="27">
      <pivotArea type="data" outline="0" fieldPosition="0">
        <references count="2">
          <reference field="4294967294"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B02CB6-0426-42CB-822F-9921FEF2D679}" name="PivotTable3"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epartments">
  <location ref="I6:L10" firstHeaderRow="0" firstDataRow="1" firstDataCol="1"/>
  <pivotFields count="46">
    <pivotField showAll="0"/>
    <pivotField showAll="0"/>
    <pivotField showAll="0"/>
    <pivotField dataField="1" showAll="0"/>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Fields count="1">
    <field x="-2"/>
  </colFields>
  <colItems count="3">
    <i>
      <x/>
    </i>
    <i i="1">
      <x v="1"/>
    </i>
    <i i="2">
      <x v="2"/>
    </i>
  </colItems>
  <dataFields count="3">
    <dataField name="No. of  Employees" fld="11" subtotal="count" baseField="5" baseItem="0"/>
    <dataField name="Employees Left" fld="3" baseField="5" baseItem="0"/>
    <dataField name="Attrition Rate" fld="3" subtotal="average" baseField="5" baseItem="0"/>
  </dataFields>
  <formats count="2">
    <format dxfId="3080">
      <pivotArea collapsedLevelsAreSubtotals="1" fieldPosition="0">
        <references count="2">
          <reference field="4294967294" count="1" selected="0">
            <x v="2"/>
          </reference>
          <reference field="6" count="0"/>
        </references>
      </pivotArea>
    </format>
    <format dxfId="3079">
      <pivotArea field="6" grandRow="1" outline="0" collapsedLevelsAreSubtotals="1" axis="axisRow"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790644E-9CEE-4651-992C-F0ADD2F62BD9}" name="PivotTable14"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location ref="AP6:AS12" firstHeaderRow="0" firstDataRow="1" firstDataCol="1"/>
  <pivotFields count="46">
    <pivotField showAll="0"/>
    <pivotField axis="axisRow" showAll="0">
      <items count="6">
        <item x="4"/>
        <item x="2"/>
        <item x="0"/>
        <item x="1"/>
        <item x="3"/>
        <item t="default"/>
      </items>
    </pivotField>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Fields count="1">
    <field x="-2"/>
  </colFields>
  <colItems count="3">
    <i>
      <x/>
    </i>
    <i i="1">
      <x v="1"/>
    </i>
    <i i="2">
      <x v="2"/>
    </i>
  </colItems>
  <dataFields count="3">
    <dataField name="No. of Employees" fld="11" subtotal="count" baseField="1" baseItem="0"/>
    <dataField name="Employees Left" fld="3" baseField="0" baseItem="0"/>
    <dataField name="Attrition Rate" fld="3" subtotal="average" baseField="1" baseItem="0" numFmtId="10"/>
  </dataFields>
  <formats count="2">
    <format dxfId="3082">
      <pivotArea collapsedLevelsAreSubtotals="1" fieldPosition="0">
        <references count="2">
          <reference field="4294967294" count="1" selected="0">
            <x v="2"/>
          </reference>
          <reference field="1" count="1">
            <x v="0"/>
          </reference>
        </references>
      </pivotArea>
    </format>
    <format dxfId="308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A3710E8-2992-4BEC-BF65-B84E74C15F28}" name="PivotTable8"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vertime">
  <location ref="V6:Y9" firstHeaderRow="0" firstDataRow="1" firstDataCol="1"/>
  <pivotFields count="46">
    <pivotField showAll="0"/>
    <pivotField showAll="0"/>
    <pivotField showAll="0"/>
    <pivotField dataField="1"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7"/>
  </rowFields>
  <rowItems count="3">
    <i>
      <x/>
    </i>
    <i>
      <x v="1"/>
    </i>
    <i t="grand">
      <x/>
    </i>
  </rowItems>
  <colFields count="1">
    <field x="-2"/>
  </colFields>
  <colItems count="3">
    <i>
      <x/>
    </i>
    <i i="1">
      <x v="1"/>
    </i>
    <i i="2">
      <x v="2"/>
    </i>
  </colItems>
  <dataFields count="3">
    <dataField name="No. of Employees" fld="10" subtotal="count" baseField="23" baseItem="0" numFmtId="165"/>
    <dataField name="Employees" fld="3" baseField="23" baseItem="0"/>
    <dataField name="Attrition Rate" fld="3" subtotal="average" baseField="23" baseItem="0" numFmtId="10"/>
  </dataFields>
  <formats count="2">
    <format dxfId="3084">
      <pivotArea outline="0" collapsedLevelsAreSubtotals="1" fieldPosition="0">
        <references count="1">
          <reference field="4294967294" count="1" selected="0">
            <x v="2"/>
          </reference>
        </references>
      </pivotArea>
    </format>
    <format dxfId="308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FA3E070-139B-47E1-B7BE-6356C95ED341}" name="eight" cacheId="283"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location ref="BN65:BV75" firstHeaderRow="0" firstDataRow="1" firstDataCol="7" rowPageCount="2" colPageCount="1"/>
  <pivotFields count="46">
    <pivotField axis="axisRow" compact="0" outline="0" showAll="0" defaultSubtotal="0">
      <items count="43">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s>
      <extLst>
        <ext xmlns:x14="http://schemas.microsoft.com/office/spreadsheetml/2009/9/main" uri="{2946ED86-A175-432a-8AC1-64E0C546D7DE}">
          <x14:pivotField fillDownLabels="1"/>
        </ext>
      </extLst>
    </pivotField>
    <pivotField compact="0" outline="0" showAll="0" defaultSubtotal="0">
      <items count="5">
        <item x="4"/>
        <item x="2"/>
        <item x="0"/>
        <item x="1"/>
        <item x="3"/>
      </items>
      <extLst>
        <ext xmlns:x14="http://schemas.microsoft.com/office/spreadsheetml/2009/9/main" uri="{2946ED86-A175-432a-8AC1-64E0C546D7DE}">
          <x14:pivotField fillDownLabels="1"/>
        </ext>
      </extLst>
    </pivotField>
    <pivotField axis="axisPage"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sortType="descending" defaultSubtotal="0">
      <items count="3">
        <item x="2"/>
        <item x="1"/>
        <item x="0"/>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measureFilter="1" sortType="descending" defaultSubtotal="0">
      <items count="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autoSortScope>
        <pivotArea dataOnly="0" outline="0" fieldPosition="0">
          <references count="1">
            <reference field="4294967294" count="1" selected="0">
              <x v="1"/>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items count="4">
        <item x="0"/>
        <item x="1"/>
        <item x="3"/>
        <item x="2"/>
      </items>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9">
        <item x="4"/>
        <item x="8"/>
        <item x="2"/>
        <item x="5"/>
        <item x="3"/>
        <item x="7"/>
        <item x="1"/>
        <item x="0"/>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9">
        <item m="1" x="8"/>
        <item x="3"/>
        <item m="1" x="6"/>
        <item x="0"/>
        <item m="1" x="7"/>
        <item x="2"/>
        <item m="1" x="5"/>
        <item x="4"/>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7">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Page" compact="0" outline="0" showAll="0" defaultSubtotal="0">
      <items count="4">
        <item x="3"/>
        <item x="0"/>
        <item x="1"/>
        <item x="2"/>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7">
    <field x="11"/>
    <field x="18"/>
    <field x="6"/>
    <field x="27"/>
    <field x="23"/>
    <field x="0"/>
    <field x="37"/>
  </rowFields>
  <rowItems count="10">
    <i>
      <x v="33"/>
      <x v="8"/>
      <x v="2"/>
      <x v="1"/>
      <x v="8"/>
      <x v="3"/>
      <x v="2"/>
    </i>
    <i>
      <x v="1383"/>
      <x v="8"/>
      <x v="2"/>
      <x/>
      <x v="8"/>
      <x v="5"/>
      <x/>
    </i>
    <i>
      <x v="272"/>
      <x v="8"/>
      <x v="2"/>
      <x/>
      <x v="8"/>
      <x v="2"/>
      <x v="2"/>
    </i>
    <i>
      <x v="1463"/>
      <x v="2"/>
      <x v="1"/>
      <x v="1"/>
      <x v="8"/>
      <x v="41"/>
      <x v="1"/>
    </i>
    <i>
      <x v="1452"/>
      <x v="2"/>
      <x v="1"/>
      <x v="1"/>
      <x v="8"/>
      <x v="4"/>
      <x v="1"/>
    </i>
    <i>
      <x v="1213"/>
      <x v="2"/>
      <x v="1"/>
      <x v="1"/>
      <x v="8"/>
      <x v="24"/>
      <x v="9"/>
    </i>
    <i>
      <x v="975"/>
      <x v="8"/>
      <x v="2"/>
      <x v="1"/>
      <x v="8"/>
      <x v="16"/>
      <x v="8"/>
    </i>
    <i>
      <x v="919"/>
      <x v="2"/>
      <x v="1"/>
      <x/>
      <x v="8"/>
      <x v="5"/>
      <x v="4"/>
    </i>
    <i>
      <x v="796"/>
      <x v="6"/>
      <x v="1"/>
      <x v="1"/>
      <x v="8"/>
      <x v="15"/>
      <x v="3"/>
    </i>
    <i>
      <x v="751"/>
      <x v="2"/>
      <x v="1"/>
      <x v="1"/>
      <x v="8"/>
      <x v="27"/>
      <x v="9"/>
    </i>
  </rowItems>
  <colFields count="1">
    <field x="-2"/>
  </colFields>
  <colItems count="2">
    <i>
      <x/>
    </i>
    <i i="1">
      <x v="1"/>
    </i>
  </colItems>
  <pageFields count="2">
    <pageField fld="2" item="0" hier="-1"/>
    <pageField fld="42" item="0" hier="-1"/>
  </pageFields>
  <dataFields count="2">
    <dataField name="Risk Score" fld="41" subtotal="max" baseField="11" baseItem="6"/>
    <dataField name="Max. of Risk_Sort_Key" fld="45" subtotal="max" baseField="37" baseItem="2"/>
  </dataFields>
  <formats count="107">
    <format dxfId="3191">
      <pivotArea field="11" type="button" dataOnly="0" labelOnly="1" outline="0" axis="axisRow" fieldPosition="0"/>
    </format>
    <format dxfId="3190">
      <pivotArea field="18" type="button" dataOnly="0" labelOnly="1" outline="0" axis="axisRow" fieldPosition="1"/>
    </format>
    <format dxfId="3189">
      <pivotArea field="18" type="button" dataOnly="0" labelOnly="1" outline="0" axis="axisRow" fieldPosition="1"/>
    </format>
    <format dxfId="3188">
      <pivotArea field="6" type="button" dataOnly="0" labelOnly="1" outline="0" axis="axisRow" fieldPosition="2"/>
    </format>
    <format dxfId="3187">
      <pivotArea dataOnly="0" labelOnly="1" outline="0" axis="axisValues" fieldPosition="0"/>
    </format>
    <format dxfId="3186">
      <pivotArea field="11" type="button" dataOnly="0" labelOnly="1" outline="0" axis="axisRow" fieldPosition="0"/>
    </format>
    <format dxfId="3185">
      <pivotArea field="18" type="button" dataOnly="0" labelOnly="1" outline="0" axis="axisRow" fieldPosition="1"/>
    </format>
    <format dxfId="3184">
      <pivotArea field="6" type="button" dataOnly="0" labelOnly="1" outline="0" axis="axisRow" fieldPosition="2"/>
    </format>
    <format dxfId="3183">
      <pivotArea dataOnly="0" labelOnly="1" outline="0" axis="axisValues" fieldPosition="0"/>
    </format>
    <format dxfId="3182">
      <pivotArea outline="0" collapsedLevelsAreSubtotals="1" fieldPosition="0"/>
    </format>
    <format dxfId="3181">
      <pivotArea outline="0" collapsedLevelsAreSubtotals="1" fieldPosition="0"/>
    </format>
    <format dxfId="3180">
      <pivotArea dataOnly="0" labelOnly="1" outline="0" fieldPosition="0">
        <references count="1">
          <reference field="4294967294" count="1">
            <x v="0"/>
          </reference>
        </references>
      </pivotArea>
    </format>
    <format dxfId="3179">
      <pivotArea dataOnly="0" labelOnly="1" outline="0" fieldPosition="0">
        <references count="1">
          <reference field="4294967294" count="1">
            <x v="0"/>
          </reference>
        </references>
      </pivotArea>
    </format>
    <format dxfId="3178">
      <pivotArea field="23" type="button" dataOnly="0" labelOnly="1" outline="0" axis="axisRow" fieldPosition="4"/>
    </format>
    <format dxfId="3177">
      <pivotArea field="23" type="button" dataOnly="0" labelOnly="1" outline="0" axis="axisRow" fieldPosition="4"/>
    </format>
    <format dxfId="3176">
      <pivotArea field="27" type="button" dataOnly="0" labelOnly="1" outline="0" axis="axisRow" fieldPosition="3"/>
    </format>
    <format dxfId="3175">
      <pivotArea field="27" type="button" dataOnly="0" labelOnly="1" outline="0" axis="axisRow" fieldPosition="3"/>
    </format>
    <format dxfId="3174">
      <pivotArea field="0" type="button" dataOnly="0" labelOnly="1" outline="0" axis="axisRow" fieldPosition="5"/>
    </format>
    <format dxfId="3173">
      <pivotArea field="37" type="button" dataOnly="0" labelOnly="1" outline="0" axis="axisRow" fieldPosition="6"/>
    </format>
    <format dxfId="3172">
      <pivotArea field="37" type="button" dataOnly="0" labelOnly="1" outline="0" axis="axisRow" fieldPosition="6"/>
    </format>
    <format dxfId="3171">
      <pivotArea dataOnly="0" labelOnly="1" outline="0" fieldPosition="0">
        <references count="6">
          <reference field="0" count="1">
            <x v="3"/>
          </reference>
          <reference field="6" count="1" selected="0">
            <x v="2"/>
          </reference>
          <reference field="11" count="1" selected="0">
            <x v="33"/>
          </reference>
          <reference field="18" count="1" selected="0">
            <x v="8"/>
          </reference>
          <reference field="23" count="1" selected="0">
            <x v="8"/>
          </reference>
          <reference field="27" count="1" selected="0">
            <x v="1"/>
          </reference>
        </references>
      </pivotArea>
    </format>
    <format dxfId="3170">
      <pivotArea dataOnly="0" labelOnly="1" outline="0" fieldPosition="0">
        <references count="6">
          <reference field="0" count="1">
            <x v="5"/>
          </reference>
          <reference field="6" count="1" selected="0">
            <x v="2"/>
          </reference>
          <reference field="11" count="1" selected="0">
            <x v="1383"/>
          </reference>
          <reference field="18" count="1" selected="0">
            <x v="8"/>
          </reference>
          <reference field="23" count="1" selected="0">
            <x v="8"/>
          </reference>
          <reference field="27" count="1" selected="0">
            <x v="0"/>
          </reference>
        </references>
      </pivotArea>
    </format>
    <format dxfId="3169">
      <pivotArea dataOnly="0" labelOnly="1" outline="0" fieldPosition="0">
        <references count="6">
          <reference field="0" count="1">
            <x v="2"/>
          </reference>
          <reference field="6" count="1" selected="0">
            <x v="2"/>
          </reference>
          <reference field="11" count="1" selected="0">
            <x v="272"/>
          </reference>
          <reference field="18" count="1" selected="0">
            <x v="8"/>
          </reference>
          <reference field="23" count="1" selected="0">
            <x v="8"/>
          </reference>
          <reference field="27" count="1" selected="0">
            <x v="0"/>
          </reference>
        </references>
      </pivotArea>
    </format>
    <format dxfId="3168">
      <pivotArea dataOnly="0" labelOnly="1" outline="0" fieldPosition="0">
        <references count="6">
          <reference field="0" count="1">
            <x v="14"/>
          </reference>
          <reference field="6" count="1" selected="0">
            <x v="2"/>
          </reference>
          <reference field="11" count="1" selected="0">
            <x v="619"/>
          </reference>
          <reference field="18" count="1" selected="0">
            <x v="8"/>
          </reference>
          <reference field="23" count="1" selected="0">
            <x v="8"/>
          </reference>
          <reference field="27" count="1" selected="0">
            <x v="0"/>
          </reference>
        </references>
      </pivotArea>
    </format>
    <format dxfId="3167">
      <pivotArea dataOnly="0" labelOnly="1" outline="0" fieldPosition="0">
        <references count="6">
          <reference field="0" count="1">
            <x v="11"/>
          </reference>
          <reference field="6" count="1" selected="0">
            <x v="1"/>
          </reference>
          <reference field="11" count="1" selected="0">
            <x v="347"/>
          </reference>
          <reference field="18" count="1" selected="0">
            <x v="2"/>
          </reference>
          <reference field="23" count="1" selected="0">
            <x v="3"/>
          </reference>
          <reference field="27" count="1" selected="0">
            <x v="1"/>
          </reference>
        </references>
      </pivotArea>
    </format>
    <format dxfId="3166">
      <pivotArea dataOnly="0" labelOnly="1" outline="0" fieldPosition="0">
        <references count="6">
          <reference field="0" count="1">
            <x v="16"/>
          </reference>
          <reference field="6" count="1" selected="0">
            <x v="2"/>
          </reference>
          <reference field="11" count="1" selected="0">
            <x v="382"/>
          </reference>
          <reference field="18" count="1" selected="0">
            <x v="8"/>
          </reference>
          <reference field="23" count="1" selected="0">
            <x v="8"/>
          </reference>
          <reference field="27" count="1" selected="0">
            <x v="1"/>
          </reference>
        </references>
      </pivotArea>
    </format>
    <format dxfId="3165">
      <pivotArea dataOnly="0" labelOnly="1" outline="0" fieldPosition="0">
        <references count="6">
          <reference field="0" count="1">
            <x v="4"/>
          </reference>
          <reference field="6" count="1" selected="0">
            <x v="1"/>
          </reference>
          <reference field="11" count="1" selected="0">
            <x v="1452"/>
          </reference>
          <reference field="18" count="1" selected="0">
            <x v="2"/>
          </reference>
          <reference field="23" count="1" selected="0">
            <x v="8"/>
          </reference>
          <reference field="27" count="1" selected="0">
            <x v="1"/>
          </reference>
        </references>
      </pivotArea>
    </format>
    <format dxfId="3164">
      <pivotArea dataOnly="0" labelOnly="1" outline="0" fieldPosition="0">
        <references count="6">
          <reference field="0" count="1">
            <x v="5"/>
          </reference>
          <reference field="6" count="1" selected="0">
            <x v="1"/>
          </reference>
          <reference field="11" count="1" selected="0">
            <x v="919"/>
          </reference>
          <reference field="18" count="1" selected="0">
            <x v="2"/>
          </reference>
          <reference field="23" count="1" selected="0">
            <x v="8"/>
          </reference>
          <reference field="27" count="1" selected="0">
            <x v="0"/>
          </reference>
        </references>
      </pivotArea>
    </format>
    <format dxfId="3163">
      <pivotArea dataOnly="0" labelOnly="1" outline="0" fieldPosition="0">
        <references count="6">
          <reference field="0" count="1">
            <x v="9"/>
          </reference>
          <reference field="6" count="1" selected="0">
            <x v="1"/>
          </reference>
          <reference field="11" count="1" selected="0">
            <x v="580"/>
          </reference>
          <reference field="18" count="1" selected="0">
            <x v="6"/>
          </reference>
          <reference field="23" count="1" selected="0">
            <x v="8"/>
          </reference>
          <reference field="27" count="1" selected="0">
            <x v="1"/>
          </reference>
        </references>
      </pivotArea>
    </format>
    <format dxfId="3162">
      <pivotArea dataOnly="0" labelOnly="1" outline="0" fieldPosition="0">
        <references count="6">
          <reference field="0" count="1">
            <x v="15"/>
          </reference>
          <reference field="6" count="1" selected="0">
            <x v="1"/>
          </reference>
          <reference field="11" count="1" selected="0">
            <x v="796"/>
          </reference>
          <reference field="18" count="1" selected="0">
            <x v="6"/>
          </reference>
          <reference field="23" count="1" selected="0">
            <x v="8"/>
          </reference>
          <reference field="27" count="1" selected="0">
            <x v="1"/>
          </reference>
        </references>
      </pivotArea>
    </format>
    <format dxfId="3161">
      <pivotArea dataOnly="0" labelOnly="1" outline="0" fieldPosition="0">
        <references count="6">
          <reference field="0" count="1">
            <x v="6"/>
          </reference>
          <reference field="6" count="1" selected="0">
            <x v="1"/>
          </reference>
          <reference field="11" count="1" selected="0">
            <x v="372"/>
          </reference>
          <reference field="18" count="1" selected="0">
            <x v="2"/>
          </reference>
          <reference field="23" count="1" selected="0">
            <x v="8"/>
          </reference>
          <reference field="27" count="1" selected="0">
            <x v="0"/>
          </reference>
        </references>
      </pivotArea>
    </format>
    <format dxfId="3160">
      <pivotArea dataOnly="0" labelOnly="1" outline="0" fieldPosition="0">
        <references count="6">
          <reference field="0" count="1">
            <x v="31"/>
          </reference>
          <reference field="6" count="1" selected="0">
            <x v="1"/>
          </reference>
          <reference field="11" count="1" selected="0">
            <x v="277"/>
          </reference>
          <reference field="18" count="1" selected="0">
            <x v="2"/>
          </reference>
          <reference field="23" count="1" selected="0">
            <x v="8"/>
          </reference>
          <reference field="27" count="1" selected="0">
            <x v="1"/>
          </reference>
        </references>
      </pivotArea>
    </format>
    <format dxfId="3159">
      <pivotArea dataOnly="0" labelOnly="1" outline="0" fieldPosition="0">
        <references count="6">
          <reference field="0" count="1">
            <x v="24"/>
          </reference>
          <reference field="6" count="1" selected="0">
            <x v="1"/>
          </reference>
          <reference field="11" count="1" selected="0">
            <x v="1213"/>
          </reference>
          <reference field="18" count="1" selected="0">
            <x v="2"/>
          </reference>
          <reference field="23" count="1" selected="0">
            <x v="8"/>
          </reference>
          <reference field="27" count="1" selected="0">
            <x v="1"/>
          </reference>
        </references>
      </pivotArea>
    </format>
    <format dxfId="3158">
      <pivotArea dataOnly="0" labelOnly="1" outline="0" fieldPosition="0">
        <references count="6">
          <reference field="0" count="1">
            <x v="6"/>
          </reference>
          <reference field="6" count="1" selected="0">
            <x v="1"/>
          </reference>
          <reference field="11" count="1" selected="0">
            <x v="239"/>
          </reference>
          <reference field="18" count="1" selected="0">
            <x v="2"/>
          </reference>
          <reference field="23" count="1" selected="0">
            <x v="8"/>
          </reference>
          <reference field="27" count="1" selected="0">
            <x v="0"/>
          </reference>
        </references>
      </pivotArea>
    </format>
    <format dxfId="3157">
      <pivotArea dataOnly="0" labelOnly="1" outline="0" fieldPosition="0">
        <references count="6">
          <reference field="0" count="1">
            <x v="27"/>
          </reference>
          <reference field="6" count="1" selected="0">
            <x v="1"/>
          </reference>
          <reference field="11" count="1" selected="0">
            <x v="751"/>
          </reference>
          <reference field="18" count="1" selected="0">
            <x v="2"/>
          </reference>
          <reference field="23" count="1" selected="0">
            <x v="8"/>
          </reference>
          <reference field="27" count="1" selected="0">
            <x v="1"/>
          </reference>
        </references>
      </pivotArea>
    </format>
    <format dxfId="3156">
      <pivotArea dataOnly="0" labelOnly="1" outline="0" fieldPosition="0">
        <references count="6">
          <reference field="0" count="1">
            <x v="13"/>
          </reference>
          <reference field="6" count="1" selected="0">
            <x v="1"/>
          </reference>
          <reference field="11" count="1" selected="0">
            <x v="87"/>
          </reference>
          <reference field="18" count="1" selected="0">
            <x v="6"/>
          </reference>
          <reference field="23" count="1" selected="0">
            <x v="8"/>
          </reference>
          <reference field="27" count="1" selected="0">
            <x v="1"/>
          </reference>
        </references>
      </pivotArea>
    </format>
    <format dxfId="3155">
      <pivotArea dataOnly="0" labelOnly="1" outline="0" fieldPosition="0">
        <references count="6">
          <reference field="0" count="1">
            <x v="4"/>
          </reference>
          <reference field="6" count="1" selected="0">
            <x v="1"/>
          </reference>
          <reference field="11" count="1" selected="0">
            <x v="735"/>
          </reference>
          <reference field="18" count="1" selected="0">
            <x v="2"/>
          </reference>
          <reference field="23" count="1" selected="0">
            <x v="8"/>
          </reference>
          <reference field="27" count="1" selected="0">
            <x v="0"/>
          </reference>
        </references>
      </pivotArea>
    </format>
    <format dxfId="3154">
      <pivotArea dataOnly="0" labelOnly="1" outline="0" fieldPosition="0">
        <references count="6">
          <reference field="0" count="1">
            <x v="41"/>
          </reference>
          <reference field="6" count="1" selected="0">
            <x v="1"/>
          </reference>
          <reference field="11" count="1" selected="0">
            <x v="1463"/>
          </reference>
          <reference field="18" count="1" selected="0">
            <x v="2"/>
          </reference>
          <reference field="23" count="1" selected="0">
            <x v="8"/>
          </reference>
          <reference field="27" count="1" selected="0">
            <x v="1"/>
          </reference>
        </references>
      </pivotArea>
    </format>
    <format dxfId="3153">
      <pivotArea dataOnly="0" labelOnly="1" outline="0" fieldPosition="0">
        <references count="6">
          <reference field="0" count="1">
            <x v="16"/>
          </reference>
          <reference field="6" count="1" selected="0">
            <x v="2"/>
          </reference>
          <reference field="11" count="1" selected="0">
            <x v="706"/>
          </reference>
          <reference field="18" count="1" selected="0">
            <x v="8"/>
          </reference>
          <reference field="23" count="1" selected="0">
            <x v="8"/>
          </reference>
          <reference field="27" count="1" selected="0">
            <x v="1"/>
          </reference>
        </references>
      </pivotArea>
    </format>
    <format dxfId="3152">
      <pivotArea outline="0" collapsedLevelsAreSubtotals="1" fieldPosition="0"/>
    </format>
    <format dxfId="3151">
      <pivotArea dataOnly="0" labelOnly="1" outline="0" fieldPosition="0">
        <references count="7">
          <reference field="0" count="1" selected="0">
            <x v="3"/>
          </reference>
          <reference field="6" count="1" selected="0">
            <x v="2"/>
          </reference>
          <reference field="11" count="1" selected="0">
            <x v="33"/>
          </reference>
          <reference field="18" count="1" selected="0">
            <x v="8"/>
          </reference>
          <reference field="23" count="1" selected="0">
            <x v="8"/>
          </reference>
          <reference field="27" count="1" selected="0">
            <x v="1"/>
          </reference>
          <reference field="37" count="1">
            <x v="2"/>
          </reference>
        </references>
      </pivotArea>
    </format>
    <format dxfId="3150">
      <pivotArea dataOnly="0" labelOnly="1" outline="0" fieldPosition="0">
        <references count="7">
          <reference field="0" count="1" selected="0">
            <x v="5"/>
          </reference>
          <reference field="6" count="1" selected="0">
            <x v="2"/>
          </reference>
          <reference field="11" count="1" selected="0">
            <x v="1383"/>
          </reference>
          <reference field="18" count="1" selected="0">
            <x v="8"/>
          </reference>
          <reference field="23" count="1" selected="0">
            <x v="8"/>
          </reference>
          <reference field="27" count="1" selected="0">
            <x v="0"/>
          </reference>
          <reference field="37" count="1">
            <x v="0"/>
          </reference>
        </references>
      </pivotArea>
    </format>
    <format dxfId="3149">
      <pivotArea dataOnly="0" labelOnly="1" outline="0" fieldPosition="0">
        <references count="7">
          <reference field="0" count="1" selected="0">
            <x v="2"/>
          </reference>
          <reference field="6" count="1" selected="0">
            <x v="2"/>
          </reference>
          <reference field="11" count="1" selected="0">
            <x v="272"/>
          </reference>
          <reference field="18" count="1" selected="0">
            <x v="8"/>
          </reference>
          <reference field="23" count="1" selected="0">
            <x v="8"/>
          </reference>
          <reference field="27" count="1" selected="0">
            <x v="0"/>
          </reference>
          <reference field="37" count="1">
            <x v="2"/>
          </reference>
        </references>
      </pivotArea>
    </format>
    <format dxfId="3148">
      <pivotArea dataOnly="0" labelOnly="1" outline="0" fieldPosition="0">
        <references count="7">
          <reference field="0" count="1" selected="0">
            <x v="14"/>
          </reference>
          <reference field="6" count="1" selected="0">
            <x v="2"/>
          </reference>
          <reference field="11" count="1" selected="0">
            <x v="619"/>
          </reference>
          <reference field="18" count="1" selected="0">
            <x v="8"/>
          </reference>
          <reference field="23" count="1" selected="0">
            <x v="8"/>
          </reference>
          <reference field="27" count="1" selected="0">
            <x v="0"/>
          </reference>
          <reference field="37" count="1">
            <x v="1"/>
          </reference>
        </references>
      </pivotArea>
    </format>
    <format dxfId="3147">
      <pivotArea dataOnly="0" labelOnly="1" outline="0" fieldPosition="0">
        <references count="7">
          <reference field="0" count="1" selected="0">
            <x v="11"/>
          </reference>
          <reference field="6" count="1" selected="0">
            <x v="1"/>
          </reference>
          <reference field="11" count="1" selected="0">
            <x v="347"/>
          </reference>
          <reference field="18" count="1" selected="0">
            <x v="2"/>
          </reference>
          <reference field="23" count="1" selected="0">
            <x v="3"/>
          </reference>
          <reference field="27" count="1" selected="0">
            <x v="1"/>
          </reference>
          <reference field="37" count="1">
            <x v="10"/>
          </reference>
        </references>
      </pivotArea>
    </format>
    <format dxfId="3146">
      <pivotArea dataOnly="0" labelOnly="1" outline="0" fieldPosition="0">
        <references count="7">
          <reference field="0" count="1" selected="0">
            <x v="16"/>
          </reference>
          <reference field="6" count="1" selected="0">
            <x v="2"/>
          </reference>
          <reference field="11" count="1" selected="0">
            <x v="975"/>
          </reference>
          <reference field="18" count="1" selected="0">
            <x v="8"/>
          </reference>
          <reference field="23" count="1" selected="0">
            <x v="8"/>
          </reference>
          <reference field="27" count="1" selected="0">
            <x v="1"/>
          </reference>
          <reference field="37" count="1">
            <x v="8"/>
          </reference>
        </references>
      </pivotArea>
    </format>
    <format dxfId="3145">
      <pivotArea dataOnly="0" labelOnly="1" outline="0" fieldPosition="0">
        <references count="7">
          <reference field="0" count="1" selected="0">
            <x v="4"/>
          </reference>
          <reference field="6" count="1" selected="0">
            <x v="1"/>
          </reference>
          <reference field="11" count="1" selected="0">
            <x v="1452"/>
          </reference>
          <reference field="18" count="1" selected="0">
            <x v="2"/>
          </reference>
          <reference field="23" count="1" selected="0">
            <x v="8"/>
          </reference>
          <reference field="27" count="1" selected="0">
            <x v="1"/>
          </reference>
          <reference field="37" count="1">
            <x v="1"/>
          </reference>
        </references>
      </pivotArea>
    </format>
    <format dxfId="3144">
      <pivotArea dataOnly="0" labelOnly="1" outline="0" fieldPosition="0">
        <references count="7">
          <reference field="0" count="1" selected="0">
            <x v="5"/>
          </reference>
          <reference field="6" count="1" selected="0">
            <x v="1"/>
          </reference>
          <reference field="11" count="1" selected="0">
            <x v="919"/>
          </reference>
          <reference field="18" count="1" selected="0">
            <x v="2"/>
          </reference>
          <reference field="23" count="1" selected="0">
            <x v="8"/>
          </reference>
          <reference field="27" count="1" selected="0">
            <x v="0"/>
          </reference>
          <reference field="37" count="1">
            <x v="4"/>
          </reference>
        </references>
      </pivotArea>
    </format>
    <format dxfId="3143">
      <pivotArea dataOnly="0" labelOnly="1" outline="0" fieldPosition="0">
        <references count="7">
          <reference field="0" count="1" selected="0">
            <x v="9"/>
          </reference>
          <reference field="6" count="1" selected="0">
            <x v="1"/>
          </reference>
          <reference field="11" count="1" selected="0">
            <x v="580"/>
          </reference>
          <reference field="18" count="1" selected="0">
            <x v="6"/>
          </reference>
          <reference field="23" count="1" selected="0">
            <x v="8"/>
          </reference>
          <reference field="27" count="1" selected="0">
            <x v="1"/>
          </reference>
          <reference field="37" count="1">
            <x v="9"/>
          </reference>
        </references>
      </pivotArea>
    </format>
    <format dxfId="3142">
      <pivotArea dataOnly="0" labelOnly="1" outline="0" fieldPosition="0">
        <references count="7">
          <reference field="0" count="1" selected="0">
            <x v="15"/>
          </reference>
          <reference field="6" count="1" selected="0">
            <x v="1"/>
          </reference>
          <reference field="11" count="1" selected="0">
            <x v="796"/>
          </reference>
          <reference field="18" count="1" selected="0">
            <x v="6"/>
          </reference>
          <reference field="23" count="1" selected="0">
            <x v="8"/>
          </reference>
          <reference field="27" count="1" selected="0">
            <x v="1"/>
          </reference>
          <reference field="37" count="1">
            <x v="3"/>
          </reference>
        </references>
      </pivotArea>
    </format>
    <format dxfId="3141">
      <pivotArea dataOnly="0" labelOnly="1" outline="0" fieldPosition="0">
        <references count="7">
          <reference field="0" count="1" selected="0">
            <x v="6"/>
          </reference>
          <reference field="6" count="1" selected="0">
            <x v="1"/>
          </reference>
          <reference field="11" count="1" selected="0">
            <x v="372"/>
          </reference>
          <reference field="18" count="1" selected="0">
            <x v="2"/>
          </reference>
          <reference field="23" count="1" selected="0">
            <x v="8"/>
          </reference>
          <reference field="27" count="1" selected="0">
            <x v="0"/>
          </reference>
          <reference field="37" count="1">
            <x v="1"/>
          </reference>
        </references>
      </pivotArea>
    </format>
    <format dxfId="3140">
      <pivotArea dataOnly="0" labelOnly="1" outline="0" fieldPosition="0">
        <references count="7">
          <reference field="0" count="1" selected="0">
            <x v="31"/>
          </reference>
          <reference field="6" count="1" selected="0">
            <x v="1"/>
          </reference>
          <reference field="11" count="1" selected="0">
            <x v="277"/>
          </reference>
          <reference field="18" count="1" selected="0">
            <x v="2"/>
          </reference>
          <reference field="23" count="1" selected="0">
            <x v="8"/>
          </reference>
          <reference field="27" count="1" selected="0">
            <x v="1"/>
          </reference>
          <reference field="37" count="1">
            <x v="2"/>
          </reference>
        </references>
      </pivotArea>
    </format>
    <format dxfId="3139">
      <pivotArea dataOnly="0" labelOnly="1" outline="0" fieldPosition="0">
        <references count="7">
          <reference field="0" count="1" selected="0">
            <x v="24"/>
          </reference>
          <reference field="6" count="1" selected="0">
            <x v="1"/>
          </reference>
          <reference field="11" count="1" selected="0">
            <x v="1213"/>
          </reference>
          <reference field="18" count="1" selected="0">
            <x v="2"/>
          </reference>
          <reference field="23" count="1" selected="0">
            <x v="8"/>
          </reference>
          <reference field="27" count="1" selected="0">
            <x v="1"/>
          </reference>
          <reference field="37" count="1">
            <x v="9"/>
          </reference>
        </references>
      </pivotArea>
    </format>
    <format dxfId="3138">
      <pivotArea dataOnly="0" labelOnly="1" outline="0" fieldPosition="0">
        <references count="7">
          <reference field="0" count="1" selected="0">
            <x v="6"/>
          </reference>
          <reference field="6" count="1" selected="0">
            <x v="1"/>
          </reference>
          <reference field="11" count="1" selected="0">
            <x v="239"/>
          </reference>
          <reference field="18" count="1" selected="0">
            <x v="2"/>
          </reference>
          <reference field="23" count="1" selected="0">
            <x v="8"/>
          </reference>
          <reference field="27" count="1" selected="0">
            <x v="0"/>
          </reference>
          <reference field="37" count="1">
            <x v="6"/>
          </reference>
        </references>
      </pivotArea>
    </format>
    <format dxfId="3137">
      <pivotArea dataOnly="0" labelOnly="1" outline="0" fieldPosition="0">
        <references count="7">
          <reference field="0" count="1" selected="0">
            <x v="27"/>
          </reference>
          <reference field="6" count="1" selected="0">
            <x v="1"/>
          </reference>
          <reference field="11" count="1" selected="0">
            <x v="751"/>
          </reference>
          <reference field="18" count="1" selected="0">
            <x v="2"/>
          </reference>
          <reference field="23" count="1" selected="0">
            <x v="8"/>
          </reference>
          <reference field="27" count="1" selected="0">
            <x v="1"/>
          </reference>
          <reference field="37" count="1">
            <x v="9"/>
          </reference>
        </references>
      </pivotArea>
    </format>
    <format dxfId="3136">
      <pivotArea dataOnly="0" labelOnly="1" outline="0" fieldPosition="0">
        <references count="7">
          <reference field="0" count="1" selected="0">
            <x v="13"/>
          </reference>
          <reference field="6" count="1" selected="0">
            <x v="1"/>
          </reference>
          <reference field="11" count="1" selected="0">
            <x v="87"/>
          </reference>
          <reference field="18" count="1" selected="0">
            <x v="6"/>
          </reference>
          <reference field="23" count="1" selected="0">
            <x v="8"/>
          </reference>
          <reference field="27" count="1" selected="0">
            <x v="1"/>
          </reference>
          <reference field="37" count="1">
            <x v="4"/>
          </reference>
        </references>
      </pivotArea>
    </format>
    <format dxfId="3135">
      <pivotArea dataOnly="0" labelOnly="1" outline="0" fieldPosition="0">
        <references count="7">
          <reference field="0" count="1" selected="0">
            <x v="4"/>
          </reference>
          <reference field="6" count="1" selected="0">
            <x v="1"/>
          </reference>
          <reference field="11" count="1" selected="0">
            <x v="735"/>
          </reference>
          <reference field="18" count="1" selected="0">
            <x v="2"/>
          </reference>
          <reference field="23" count="1" selected="0">
            <x v="8"/>
          </reference>
          <reference field="27" count="1" selected="0">
            <x v="0"/>
          </reference>
          <reference field="37" count="1">
            <x v="4"/>
          </reference>
        </references>
      </pivotArea>
    </format>
    <format dxfId="3134">
      <pivotArea dataOnly="0" labelOnly="1" outline="0" fieldPosition="0">
        <references count="7">
          <reference field="0" count="1" selected="0">
            <x v="16"/>
          </reference>
          <reference field="6" count="1" selected="0">
            <x v="2"/>
          </reference>
          <reference field="11" count="1" selected="0">
            <x v="706"/>
          </reference>
          <reference field="18" count="1" selected="0">
            <x v="8"/>
          </reference>
          <reference field="23" count="1" selected="0">
            <x v="8"/>
          </reference>
          <reference field="27" count="1" selected="0">
            <x v="1"/>
          </reference>
          <reference field="37" count="1">
            <x v="1"/>
          </reference>
        </references>
      </pivotArea>
    </format>
    <format dxfId="3133">
      <pivotArea dataOnly="0" labelOnly="1" outline="0" fieldPosition="0">
        <references count="1">
          <reference field="11" count="20">
            <x v="33"/>
            <x v="87"/>
            <x v="239"/>
            <x v="272"/>
            <x v="277"/>
            <x v="347"/>
            <x v="372"/>
            <x v="382"/>
            <x v="580"/>
            <x v="619"/>
            <x v="706"/>
            <x v="735"/>
            <x v="751"/>
            <x v="796"/>
            <x v="919"/>
            <x v="975"/>
            <x v="1213"/>
            <x v="1383"/>
            <x v="1452"/>
            <x v="1463"/>
          </reference>
        </references>
      </pivotArea>
    </format>
    <format dxfId="3132">
      <pivotArea dataOnly="0" labelOnly="1" outline="0" fieldPosition="0">
        <references count="4">
          <reference field="6" count="1" selected="0">
            <x v="1"/>
          </reference>
          <reference field="11" count="1" selected="0">
            <x v="347"/>
          </reference>
          <reference field="18" count="1" selected="0">
            <x v="2"/>
          </reference>
          <reference field="27" count="1">
            <x v="1"/>
          </reference>
        </references>
      </pivotArea>
    </format>
    <format dxfId="3131">
      <pivotArea dataOnly="0" labelOnly="1" outline="0" fieldPosition="0">
        <references count="4">
          <reference field="6" count="1" selected="0">
            <x v="1"/>
          </reference>
          <reference field="11" count="1" selected="0">
            <x v="580"/>
          </reference>
          <reference field="18" count="1" selected="0">
            <x v="6"/>
          </reference>
          <reference field="27" count="1">
            <x v="1"/>
          </reference>
        </references>
      </pivotArea>
    </format>
    <format dxfId="3130">
      <pivotArea dataOnly="0" labelOnly="1" outline="0" fieldPosition="0">
        <references count="4">
          <reference field="6" count="1" selected="0">
            <x v="1"/>
          </reference>
          <reference field="11" count="1" selected="0">
            <x v="372"/>
          </reference>
          <reference field="18" count="1" selected="0">
            <x v="2"/>
          </reference>
          <reference field="27" count="1">
            <x v="0"/>
          </reference>
        </references>
      </pivotArea>
    </format>
    <format dxfId="3129">
      <pivotArea dataOnly="0" labelOnly="1" outline="0" fieldPosition="0">
        <references count="4">
          <reference field="6" count="1" selected="0">
            <x v="1"/>
          </reference>
          <reference field="11" count="1" selected="0">
            <x v="277"/>
          </reference>
          <reference field="18" count="1" selected="0">
            <x v="2"/>
          </reference>
          <reference field="27" count="1">
            <x v="1"/>
          </reference>
        </references>
      </pivotArea>
    </format>
    <format dxfId="3128">
      <pivotArea dataOnly="0" labelOnly="1" outline="0" fieldPosition="0">
        <references count="4">
          <reference field="6" count="1" selected="0">
            <x v="1"/>
          </reference>
          <reference field="11" count="1" selected="0">
            <x v="239"/>
          </reference>
          <reference field="18" count="1" selected="0">
            <x v="2"/>
          </reference>
          <reference field="27" count="1">
            <x v="0"/>
          </reference>
        </references>
      </pivotArea>
    </format>
    <format dxfId="3127">
      <pivotArea dataOnly="0" labelOnly="1" outline="0" fieldPosition="0">
        <references count="4">
          <reference field="6" count="1" selected="0">
            <x v="1"/>
          </reference>
          <reference field="11" count="1" selected="0">
            <x v="735"/>
          </reference>
          <reference field="18" count="1" selected="0">
            <x v="2"/>
          </reference>
          <reference field="27" count="1">
            <x v="0"/>
          </reference>
        </references>
      </pivotArea>
    </format>
    <format dxfId="3126">
      <pivotArea dataOnly="0" labelOnly="1" outline="0" fieldPosition="0">
        <references count="6">
          <reference field="0" count="1">
            <x v="14"/>
          </reference>
          <reference field="6" count="1" selected="0">
            <x v="2"/>
          </reference>
          <reference field="11" count="1" selected="0">
            <x v="619"/>
          </reference>
          <reference field="18" count="1" selected="0">
            <x v="8"/>
          </reference>
          <reference field="23" count="1" selected="0">
            <x v="8"/>
          </reference>
          <reference field="27" count="1" selected="0">
            <x v="0"/>
          </reference>
        </references>
      </pivotArea>
    </format>
    <format dxfId="3125">
      <pivotArea dataOnly="0" labelOnly="1" outline="0" fieldPosition="0">
        <references count="6">
          <reference field="0" count="1">
            <x v="11"/>
          </reference>
          <reference field="6" count="1" selected="0">
            <x v="1"/>
          </reference>
          <reference field="11" count="1" selected="0">
            <x v="347"/>
          </reference>
          <reference field="18" count="1" selected="0">
            <x v="2"/>
          </reference>
          <reference field="23" count="1" selected="0">
            <x v="3"/>
          </reference>
          <reference field="27" count="1" selected="0">
            <x v="1"/>
          </reference>
        </references>
      </pivotArea>
    </format>
    <format dxfId="3124">
      <pivotArea dataOnly="0" labelOnly="1" outline="0" fieldPosition="0">
        <references count="6">
          <reference field="0" count="1">
            <x v="9"/>
          </reference>
          <reference field="6" count="1" selected="0">
            <x v="1"/>
          </reference>
          <reference field="11" count="1" selected="0">
            <x v="580"/>
          </reference>
          <reference field="18" count="1" selected="0">
            <x v="6"/>
          </reference>
          <reference field="23" count="1" selected="0">
            <x v="8"/>
          </reference>
          <reference field="27" count="1" selected="0">
            <x v="1"/>
          </reference>
        </references>
      </pivotArea>
    </format>
    <format dxfId="3123">
      <pivotArea dataOnly="0" labelOnly="1" outline="0" fieldPosition="0">
        <references count="6">
          <reference field="0" count="1">
            <x v="6"/>
          </reference>
          <reference field="6" count="1" selected="0">
            <x v="1"/>
          </reference>
          <reference field="11" count="1" selected="0">
            <x v="372"/>
          </reference>
          <reference field="18" count="1" selected="0">
            <x v="2"/>
          </reference>
          <reference field="23" count="1" selected="0">
            <x v="8"/>
          </reference>
          <reference field="27" count="1" selected="0">
            <x v="0"/>
          </reference>
        </references>
      </pivotArea>
    </format>
    <format dxfId="3122">
      <pivotArea dataOnly="0" labelOnly="1" outline="0" fieldPosition="0">
        <references count="6">
          <reference field="0" count="1">
            <x v="31"/>
          </reference>
          <reference field="6" count="1" selected="0">
            <x v="1"/>
          </reference>
          <reference field="11" count="1" selected="0">
            <x v="277"/>
          </reference>
          <reference field="18" count="1" selected="0">
            <x v="2"/>
          </reference>
          <reference field="23" count="1" selected="0">
            <x v="8"/>
          </reference>
          <reference field="27" count="1" selected="0">
            <x v="1"/>
          </reference>
        </references>
      </pivotArea>
    </format>
    <format dxfId="3121">
      <pivotArea dataOnly="0" labelOnly="1" outline="0" fieldPosition="0">
        <references count="6">
          <reference field="0" count="1">
            <x v="6"/>
          </reference>
          <reference field="6" count="1" selected="0">
            <x v="1"/>
          </reference>
          <reference field="11" count="1" selected="0">
            <x v="239"/>
          </reference>
          <reference field="18" count="1" selected="0">
            <x v="2"/>
          </reference>
          <reference field="23" count="1" selected="0">
            <x v="8"/>
          </reference>
          <reference field="27" count="1" selected="0">
            <x v="0"/>
          </reference>
        </references>
      </pivotArea>
    </format>
    <format dxfId="3120">
      <pivotArea dataOnly="0" labelOnly="1" outline="0" fieldPosition="0">
        <references count="6">
          <reference field="0" count="1">
            <x v="13"/>
          </reference>
          <reference field="6" count="1" selected="0">
            <x v="1"/>
          </reference>
          <reference field="11" count="1" selected="0">
            <x v="87"/>
          </reference>
          <reference field="18" count="1" selected="0">
            <x v="6"/>
          </reference>
          <reference field="23" count="1" selected="0">
            <x v="8"/>
          </reference>
          <reference field="27" count="1" selected="0">
            <x v="1"/>
          </reference>
        </references>
      </pivotArea>
    </format>
    <format dxfId="3119">
      <pivotArea dataOnly="0" labelOnly="1" outline="0" fieldPosition="0">
        <references count="6">
          <reference field="0" count="1">
            <x v="4"/>
          </reference>
          <reference field="6" count="1" selected="0">
            <x v="1"/>
          </reference>
          <reference field="11" count="1" selected="0">
            <x v="735"/>
          </reference>
          <reference field="18" count="1" selected="0">
            <x v="2"/>
          </reference>
          <reference field="23" count="1" selected="0">
            <x v="8"/>
          </reference>
          <reference field="27" count="1" selected="0">
            <x v="0"/>
          </reference>
        </references>
      </pivotArea>
    </format>
    <format dxfId="3118">
      <pivotArea dataOnly="0" labelOnly="1" outline="0" fieldPosition="0">
        <references count="6">
          <reference field="0" count="1">
            <x v="16"/>
          </reference>
          <reference field="6" count="1" selected="0">
            <x v="2"/>
          </reference>
          <reference field="11" count="1" selected="0">
            <x v="706"/>
          </reference>
          <reference field="18" count="1" selected="0">
            <x v="8"/>
          </reference>
          <reference field="23" count="1" selected="0">
            <x v="8"/>
          </reference>
          <reference field="27" count="1" selected="0">
            <x v="1"/>
          </reference>
        </references>
      </pivotArea>
    </format>
    <format dxfId="3117">
      <pivotArea dataOnly="0" labelOnly="1" outline="0" fieldPosition="0">
        <references count="6">
          <reference field="0" count="1">
            <x v="3"/>
          </reference>
          <reference field="6" count="1" selected="0">
            <x v="2"/>
          </reference>
          <reference field="11" count="1" selected="0">
            <x v="33"/>
          </reference>
          <reference field="18" count="1" selected="0">
            <x v="8"/>
          </reference>
          <reference field="23" count="1" selected="0">
            <x v="8"/>
          </reference>
          <reference field="27" count="1" selected="0">
            <x v="1"/>
          </reference>
        </references>
      </pivotArea>
    </format>
    <format dxfId="3116">
      <pivotArea dataOnly="0" labelOnly="1" outline="0" fieldPosition="0">
        <references count="6">
          <reference field="0" count="1">
            <x v="2"/>
          </reference>
          <reference field="6" count="1" selected="0">
            <x v="2"/>
          </reference>
          <reference field="11" count="1" selected="0">
            <x v="272"/>
          </reference>
          <reference field="18" count="1" selected="0">
            <x v="8"/>
          </reference>
          <reference field="23" count="1" selected="0">
            <x v="8"/>
          </reference>
          <reference field="27" count="1" selected="0">
            <x v="0"/>
          </reference>
        </references>
      </pivotArea>
    </format>
    <format dxfId="3115">
      <pivotArea dataOnly="0" labelOnly="1" outline="0" fieldPosition="0">
        <references count="6">
          <reference field="0" count="1">
            <x v="27"/>
          </reference>
          <reference field="6" count="1" selected="0">
            <x v="1"/>
          </reference>
          <reference field="11" count="1" selected="0">
            <x v="751"/>
          </reference>
          <reference field="18" count="1" selected="0">
            <x v="2"/>
          </reference>
          <reference field="23" count="1" selected="0">
            <x v="8"/>
          </reference>
          <reference field="27" count="1" selected="0">
            <x v="1"/>
          </reference>
        </references>
      </pivotArea>
    </format>
    <format dxfId="3114">
      <pivotArea dataOnly="0" labelOnly="1" outline="0" fieldPosition="0">
        <references count="6">
          <reference field="0" count="1">
            <x v="15"/>
          </reference>
          <reference field="6" count="1" selected="0">
            <x v="1"/>
          </reference>
          <reference field="11" count="1" selected="0">
            <x v="796"/>
          </reference>
          <reference field="18" count="1" selected="0">
            <x v="6"/>
          </reference>
          <reference field="23" count="1" selected="0">
            <x v="8"/>
          </reference>
          <reference field="27" count="1" selected="0">
            <x v="1"/>
          </reference>
        </references>
      </pivotArea>
    </format>
    <format dxfId="3113">
      <pivotArea dataOnly="0" labelOnly="1" outline="0" fieldPosition="0">
        <references count="6">
          <reference field="0" count="1">
            <x v="5"/>
          </reference>
          <reference field="6" count="1" selected="0">
            <x v="1"/>
          </reference>
          <reference field="11" count="1" selected="0">
            <x v="919"/>
          </reference>
          <reference field="18" count="1" selected="0">
            <x v="2"/>
          </reference>
          <reference field="23" count="1" selected="0">
            <x v="8"/>
          </reference>
          <reference field="27" count="1" selected="0">
            <x v="0"/>
          </reference>
        </references>
      </pivotArea>
    </format>
    <format dxfId="3112">
      <pivotArea dataOnly="0" labelOnly="1" outline="0" fieldPosition="0">
        <references count="6">
          <reference field="0" count="1">
            <x v="16"/>
          </reference>
          <reference field="6" count="1" selected="0">
            <x v="2"/>
          </reference>
          <reference field="11" count="1" selected="0">
            <x v="975"/>
          </reference>
          <reference field="18" count="1" selected="0">
            <x v="8"/>
          </reference>
          <reference field="23" count="1" selected="0">
            <x v="8"/>
          </reference>
          <reference field="27" count="1" selected="0">
            <x v="1"/>
          </reference>
        </references>
      </pivotArea>
    </format>
    <format dxfId="3111">
      <pivotArea dataOnly="0" labelOnly="1" outline="0" fieldPosition="0">
        <references count="6">
          <reference field="0" count="1">
            <x v="24"/>
          </reference>
          <reference field="6" count="1" selected="0">
            <x v="1"/>
          </reference>
          <reference field="11" count="1" selected="0">
            <x v="1213"/>
          </reference>
          <reference field="18" count="1" selected="0">
            <x v="2"/>
          </reference>
          <reference field="23" count="1" selected="0">
            <x v="8"/>
          </reference>
          <reference field="27" count="1" selected="0">
            <x v="1"/>
          </reference>
        </references>
      </pivotArea>
    </format>
    <format dxfId="3110">
      <pivotArea dataOnly="0" labelOnly="1" outline="0" fieldPosition="0">
        <references count="6">
          <reference field="0" count="1">
            <x v="5"/>
          </reference>
          <reference field="6" count="1" selected="0">
            <x v="2"/>
          </reference>
          <reference field="11" count="1" selected="0">
            <x v="1383"/>
          </reference>
          <reference field="18" count="1" selected="0">
            <x v="8"/>
          </reference>
          <reference field="23" count="1" selected="0">
            <x v="8"/>
          </reference>
          <reference field="27" count="1" selected="0">
            <x v="0"/>
          </reference>
        </references>
      </pivotArea>
    </format>
    <format dxfId="3109">
      <pivotArea dataOnly="0" labelOnly="1" outline="0" fieldPosition="0">
        <references count="6">
          <reference field="0" count="1">
            <x v="4"/>
          </reference>
          <reference field="6" count="1" selected="0">
            <x v="1"/>
          </reference>
          <reference field="11" count="1" selected="0">
            <x v="1452"/>
          </reference>
          <reference field="18" count="1" selected="0">
            <x v="2"/>
          </reference>
          <reference field="23" count="1" selected="0">
            <x v="8"/>
          </reference>
          <reference field="27" count="1" selected="0">
            <x v="1"/>
          </reference>
        </references>
      </pivotArea>
    </format>
    <format dxfId="3108">
      <pivotArea dataOnly="0" labelOnly="1" outline="0" fieldPosition="0">
        <references count="4">
          <reference field="6" count="1" selected="0">
            <x v="2"/>
          </reference>
          <reference field="11" count="1" selected="0">
            <x v="33"/>
          </reference>
          <reference field="18" count="1" selected="0">
            <x v="8"/>
          </reference>
          <reference field="27" count="1">
            <x v="1"/>
          </reference>
        </references>
      </pivotArea>
    </format>
    <format dxfId="3107">
      <pivotArea dataOnly="0" labelOnly="1" outline="0" fieldPosition="0">
        <references count="4">
          <reference field="6" count="1" selected="0">
            <x v="2"/>
          </reference>
          <reference field="11" count="1" selected="0">
            <x v="272"/>
          </reference>
          <reference field="18" count="1" selected="0">
            <x v="8"/>
          </reference>
          <reference field="27" count="1">
            <x v="0"/>
          </reference>
        </references>
      </pivotArea>
    </format>
    <format dxfId="3106">
      <pivotArea dataOnly="0" labelOnly="1" outline="0" fieldPosition="0">
        <references count="4">
          <reference field="6" count="1" selected="0">
            <x v="1"/>
          </reference>
          <reference field="11" count="1" selected="0">
            <x v="751"/>
          </reference>
          <reference field="18" count="1" selected="0">
            <x v="2"/>
          </reference>
          <reference field="27" count="1">
            <x v="1"/>
          </reference>
        </references>
      </pivotArea>
    </format>
    <format dxfId="3105">
      <pivotArea dataOnly="0" labelOnly="1" outline="0" fieldPosition="0">
        <references count="4">
          <reference field="6" count="1" selected="0">
            <x v="1"/>
          </reference>
          <reference field="11" count="1" selected="0">
            <x v="919"/>
          </reference>
          <reference field="18" count="1" selected="0">
            <x v="2"/>
          </reference>
          <reference field="27" count="1">
            <x v="0"/>
          </reference>
        </references>
      </pivotArea>
    </format>
    <format dxfId="3104">
      <pivotArea dataOnly="0" labelOnly="1" outline="0" fieldPosition="0">
        <references count="4">
          <reference field="6" count="1" selected="0">
            <x v="2"/>
          </reference>
          <reference field="11" count="1" selected="0">
            <x v="975"/>
          </reference>
          <reference field="18" count="1" selected="0">
            <x v="8"/>
          </reference>
          <reference field="27" count="1">
            <x v="1"/>
          </reference>
        </references>
      </pivotArea>
    </format>
    <format dxfId="3103">
      <pivotArea dataOnly="0" labelOnly="1" outline="0" fieldPosition="0">
        <references count="4">
          <reference field="6" count="1" selected="0">
            <x v="2"/>
          </reference>
          <reference field="11" count="1" selected="0">
            <x v="1383"/>
          </reference>
          <reference field="18" count="1" selected="0">
            <x v="8"/>
          </reference>
          <reference field="27" count="1">
            <x v="0"/>
          </reference>
        </references>
      </pivotArea>
    </format>
    <format dxfId="3102">
      <pivotArea dataOnly="0" labelOnly="1" outline="0" fieldPosition="0">
        <references count="4">
          <reference field="6" count="1" selected="0">
            <x v="1"/>
          </reference>
          <reference field="11" count="1" selected="0">
            <x v="1452"/>
          </reference>
          <reference field="18" count="1" selected="0">
            <x v="2"/>
          </reference>
          <reference field="27" count="1">
            <x v="1"/>
          </reference>
        </references>
      </pivotArea>
    </format>
    <format dxfId="3101">
      <pivotArea dataOnly="0" labelOnly="1" outline="0" fieldPosition="0">
        <references count="1">
          <reference field="4294967294" count="1">
            <x v="1"/>
          </reference>
        </references>
      </pivotArea>
    </format>
    <format dxfId="3100">
      <pivotArea dataOnly="0" labelOnly="1" outline="0" fieldPosition="0">
        <references count="4">
          <reference field="6" count="1" selected="0">
            <x v="1"/>
          </reference>
          <reference field="11" count="1" selected="0">
            <x v="1463"/>
          </reference>
          <reference field="18" count="1" selected="0">
            <x v="2"/>
          </reference>
          <reference field="27" count="1">
            <x v="1"/>
          </reference>
        </references>
      </pivotArea>
    </format>
    <format dxfId="3099">
      <pivotArea dataOnly="0" labelOnly="1" outline="0" fieldPosition="0">
        <references count="4">
          <reference field="6" count="1" selected="0">
            <x v="2"/>
          </reference>
          <reference field="11" count="1" selected="0">
            <x v="1107"/>
          </reference>
          <reference field="18" count="1" selected="0">
            <x v="8"/>
          </reference>
          <reference field="27" count="1">
            <x v="0"/>
          </reference>
        </references>
      </pivotArea>
    </format>
    <format dxfId="3098">
      <pivotArea dataOnly="0" labelOnly="1" outline="0" fieldPosition="0">
        <references count="4">
          <reference field="6" count="1" selected="0">
            <x v="2"/>
          </reference>
          <reference field="11" count="1" selected="0">
            <x v="367"/>
          </reference>
          <reference field="18" count="1" selected="0">
            <x v="8"/>
          </reference>
          <reference field="27" count="1">
            <x v="1"/>
          </reference>
        </references>
      </pivotArea>
    </format>
    <format dxfId="3097">
      <pivotArea dataOnly="0" labelOnly="1" outline="0" fieldPosition="0">
        <references count="1">
          <reference field="11" count="6">
            <x v="367"/>
            <x v="382"/>
            <x v="616"/>
            <x v="1107"/>
            <x v="1317"/>
            <x v="1463"/>
          </reference>
        </references>
      </pivotArea>
    </format>
    <format dxfId="3096">
      <pivotArea dataOnly="0" labelOnly="1" outline="0" fieldPosition="0">
        <references count="7">
          <reference field="0" count="1" selected="0">
            <x v="41"/>
          </reference>
          <reference field="6" count="1" selected="0">
            <x v="1"/>
          </reference>
          <reference field="11" count="1" selected="0">
            <x v="1463"/>
          </reference>
          <reference field="18" count="1" selected="0">
            <x v="2"/>
          </reference>
          <reference field="23" count="1" selected="0">
            <x v="8"/>
          </reference>
          <reference field="27" count="1" selected="0">
            <x v="1"/>
          </reference>
          <reference field="37" count="1">
            <x v="1"/>
          </reference>
        </references>
      </pivotArea>
    </format>
    <format dxfId="3095">
      <pivotArea dataOnly="0" labelOnly="1" outline="0" fieldPosition="0">
        <references count="7">
          <reference field="0" count="1" selected="0">
            <x v="16"/>
          </reference>
          <reference field="6" count="1" selected="0">
            <x v="2"/>
          </reference>
          <reference field="11" count="1" selected="0">
            <x v="382"/>
          </reference>
          <reference field="18" count="1" selected="0">
            <x v="8"/>
          </reference>
          <reference field="23" count="1" selected="0">
            <x v="8"/>
          </reference>
          <reference field="27" count="1" selected="0">
            <x v="1"/>
          </reference>
          <reference field="37" count="1">
            <x v="11"/>
          </reference>
        </references>
      </pivotArea>
    </format>
    <format dxfId="3094">
      <pivotArea dataOnly="0" labelOnly="1" outline="0" fieldPosition="0">
        <references count="7">
          <reference field="0" count="1" selected="0">
            <x v="35"/>
          </reference>
          <reference field="6" count="1" selected="0">
            <x v="2"/>
          </reference>
          <reference field="11" count="1" selected="0">
            <x v="1317"/>
          </reference>
          <reference field="18" count="1" selected="0">
            <x v="8"/>
          </reference>
          <reference field="23" count="1" selected="0">
            <x v="8"/>
          </reference>
          <reference field="27" count="1" selected="0">
            <x v="1"/>
          </reference>
          <reference field="37" count="1">
            <x v="7"/>
          </reference>
        </references>
      </pivotArea>
    </format>
    <format dxfId="3093">
      <pivotArea dataOnly="0" labelOnly="1" outline="0" fieldPosition="0">
        <references count="7">
          <reference field="0" count="1" selected="0">
            <x v="3"/>
          </reference>
          <reference field="6" count="1" selected="0">
            <x v="2"/>
          </reference>
          <reference field="11" count="1" selected="0">
            <x v="1107"/>
          </reference>
          <reference field="18" count="1" selected="0">
            <x v="8"/>
          </reference>
          <reference field="23" count="1" selected="0">
            <x v="8"/>
          </reference>
          <reference field="27" count="1" selected="0">
            <x v="0"/>
          </reference>
          <reference field="37" count="1">
            <x v="3"/>
          </reference>
        </references>
      </pivotArea>
    </format>
    <format dxfId="3092">
      <pivotArea dataOnly="0" labelOnly="1" outline="0" fieldPosition="0">
        <references count="7">
          <reference field="0" count="1" selected="0">
            <x v="1"/>
          </reference>
          <reference field="6" count="1" selected="0">
            <x v="1"/>
          </reference>
          <reference field="11" count="1" selected="0">
            <x v="616"/>
          </reference>
          <reference field="18" count="1" selected="0">
            <x v="6"/>
          </reference>
          <reference field="23" count="1" selected="0">
            <x v="8"/>
          </reference>
          <reference field="27" count="1" selected="0">
            <x v="0"/>
          </reference>
          <reference field="37" count="1">
            <x v="1"/>
          </reference>
        </references>
      </pivotArea>
    </format>
    <format dxfId="3091">
      <pivotArea dataOnly="0" labelOnly="1" outline="0" fieldPosition="0">
        <references count="7">
          <reference field="0" count="1" selected="0">
            <x v="18"/>
          </reference>
          <reference field="6" count="1" selected="0">
            <x v="2"/>
          </reference>
          <reference field="11" count="1" selected="0">
            <x v="367"/>
          </reference>
          <reference field="18" count="1" selected="0">
            <x v="8"/>
          </reference>
          <reference field="23" count="1" selected="0">
            <x v="8"/>
          </reference>
          <reference field="27" count="1" selected="0">
            <x v="1"/>
          </reference>
          <reference field="37" count="1">
            <x v="3"/>
          </reference>
        </references>
      </pivotArea>
    </format>
    <format dxfId="3090">
      <pivotArea dataOnly="0" labelOnly="1" outline="0" fieldPosition="0">
        <references count="6">
          <reference field="0" count="1">
            <x v="41"/>
          </reference>
          <reference field="6" count="1" selected="0">
            <x v="1"/>
          </reference>
          <reference field="11" count="1" selected="0">
            <x v="1463"/>
          </reference>
          <reference field="18" count="1" selected="0">
            <x v="2"/>
          </reference>
          <reference field="23" count="1" selected="0">
            <x v="8"/>
          </reference>
          <reference field="27" count="1" selected="0">
            <x v="1"/>
          </reference>
        </references>
      </pivotArea>
    </format>
    <format dxfId="3089">
      <pivotArea dataOnly="0" labelOnly="1" outline="0" fieldPosition="0">
        <references count="6">
          <reference field="0" count="1">
            <x v="16"/>
          </reference>
          <reference field="6" count="1" selected="0">
            <x v="2"/>
          </reference>
          <reference field="11" count="1" selected="0">
            <x v="382"/>
          </reference>
          <reference field="18" count="1" selected="0">
            <x v="8"/>
          </reference>
          <reference field="23" count="1" selected="0">
            <x v="8"/>
          </reference>
          <reference field="27" count="1" selected="0">
            <x v="1"/>
          </reference>
        </references>
      </pivotArea>
    </format>
    <format dxfId="3088">
      <pivotArea dataOnly="0" labelOnly="1" outline="0" fieldPosition="0">
        <references count="6">
          <reference field="0" count="1">
            <x v="35"/>
          </reference>
          <reference field="6" count="1" selected="0">
            <x v="2"/>
          </reference>
          <reference field="11" count="1" selected="0">
            <x v="1317"/>
          </reference>
          <reference field="18" count="1" selected="0">
            <x v="8"/>
          </reference>
          <reference field="23" count="1" selected="0">
            <x v="8"/>
          </reference>
          <reference field="27" count="1" selected="0">
            <x v="1"/>
          </reference>
        </references>
      </pivotArea>
    </format>
    <format dxfId="3087">
      <pivotArea dataOnly="0" labelOnly="1" outline="0" fieldPosition="0">
        <references count="6">
          <reference field="0" count="1">
            <x v="3"/>
          </reference>
          <reference field="6" count="1" selected="0">
            <x v="2"/>
          </reference>
          <reference field="11" count="1" selected="0">
            <x v="1107"/>
          </reference>
          <reference field="18" count="1" selected="0">
            <x v="8"/>
          </reference>
          <reference field="23" count="1" selected="0">
            <x v="8"/>
          </reference>
          <reference field="27" count="1" selected="0">
            <x v="0"/>
          </reference>
        </references>
      </pivotArea>
    </format>
    <format dxfId="3086">
      <pivotArea dataOnly="0" labelOnly="1" outline="0" fieldPosition="0">
        <references count="6">
          <reference field="0" count="1">
            <x v="1"/>
          </reference>
          <reference field="6" count="1" selected="0">
            <x v="1"/>
          </reference>
          <reference field="11" count="1" selected="0">
            <x v="616"/>
          </reference>
          <reference field="18" count="1" selected="0">
            <x v="6"/>
          </reference>
          <reference field="23" count="1" selected="0">
            <x v="8"/>
          </reference>
          <reference field="27" count="1" selected="0">
            <x v="0"/>
          </reference>
        </references>
      </pivotArea>
    </format>
    <format dxfId="3085">
      <pivotArea dataOnly="0" labelOnly="1" outline="0" fieldPosition="0">
        <references count="6">
          <reference field="0" count="1">
            <x v="18"/>
          </reference>
          <reference field="6" count="1" selected="0">
            <x v="2"/>
          </reference>
          <reference field="11" count="1" selected="0">
            <x v="367"/>
          </reference>
          <reference field="18" count="1" selected="0">
            <x v="8"/>
          </reference>
          <reference field="23" count="1" selected="0">
            <x v="8"/>
          </reference>
          <reference field="27" count="1" selected="0">
            <x v="1"/>
          </reference>
        </references>
      </pivotArea>
    </format>
  </formats>
  <pivotTableStyleInfo name="PivotTable Style 1" showRowHeaders="1" showColHeaders="1" showRowStripes="0" showColStripes="0" showLastColumn="1"/>
  <filters count="1">
    <filter fld="11" type="count" evalOrder="-1" id="5"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D3B559D-49ED-4328-8C84-B68401E6C901}" name="five"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Group">
  <location ref="AP15:AQ21" firstHeaderRow="1" firstDataRow="1" firstDataCol="1"/>
  <pivotFields count="46">
    <pivotField showAll="0"/>
    <pivotField axis="axisRow" showAll="0" sortType="ascending">
      <items count="6">
        <item x="4"/>
        <item x="2"/>
        <item x="0"/>
        <item x="1"/>
        <item x="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items count="5">
        <item x="0"/>
        <item x="1"/>
        <item x="3"/>
        <item x="2"/>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Attrition Rate" fld="3" subtotal="average" baseField="1" baseItem="0" numFmtId="10"/>
  </dataFields>
  <formats count="1">
    <format dxfId="3192">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 chart="3" format="4">
      <pivotArea type="data" outline="0" fieldPosition="0">
        <references count="2">
          <reference field="4294967294" count="1" selected="0">
            <x v="0"/>
          </reference>
          <reference field="1" count="1" selected="0">
            <x v="3"/>
          </reference>
        </references>
      </pivotArea>
    </chartFormat>
    <chartFormat chart="3"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1CAE2ED-53ED-4F2C-AF42-1259CF5881AF}" name="one"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5:E8" firstHeaderRow="0" firstDataRow="1" firstDataCol="1"/>
  <pivotFields count="46">
    <pivotField showAll="0"/>
    <pivotField showAll="0">
      <items count="6">
        <item x="4"/>
        <item x="2"/>
        <item x="0"/>
        <item x="1"/>
        <item x="3"/>
        <item t="default"/>
      </items>
    </pivotField>
    <pivotField axis="axisRow" showAll="0">
      <items count="3">
        <item x="1"/>
        <item x="0"/>
        <item t="default"/>
      </items>
    </pivotField>
    <pivotField dataField="1" showAll="0"/>
    <pivotField showAll="0"/>
    <pivotField showAll="0"/>
    <pivotField showAll="0"/>
    <pivotField showAll="0"/>
    <pivotField showAll="0"/>
    <pivotField showAll="0"/>
    <pivotField showAll="0"/>
    <pivotField dataField="1" showAll="0"/>
    <pivotField showAll="0"/>
    <pivotField showAll="0">
      <items count="5">
        <item x="0"/>
        <item x="1"/>
        <item x="3"/>
        <item x="2"/>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Fields count="1">
    <field x="-2"/>
  </colFields>
  <colItems count="3">
    <i>
      <x/>
    </i>
    <i i="1">
      <x v="1"/>
    </i>
    <i i="2">
      <x v="2"/>
    </i>
  </colItems>
  <dataFields count="3">
    <dataField name="No. of  Employees" fld="11" subtotal="count" baseField="1" baseItem="0"/>
    <dataField name="Employees Left" fld="3" baseField="0" baseItem="0"/>
    <dataField name="Overall attrition rate" fld="3" subtotal="average" baseField="1" baseItem="0"/>
  </dataFields>
  <formats count="3">
    <format dxfId="3194">
      <pivotArea field="2" grandRow="1" outline="0" collapsedLevelsAreSubtotals="1" axis="axisRow" fieldPosition="0">
        <references count="1">
          <reference field="4294967294" count="1" selected="0">
            <x v="2"/>
          </reference>
        </references>
      </pivotArea>
    </format>
    <format dxfId="3193">
      <pivotArea field="2" grandRow="1" outline="0" collapsedLevelsAreSubtotals="1" axis="axisRow" fieldPosition="0">
        <references count="1">
          <reference field="4294967294" count="1" selected="0">
            <x v="0"/>
          </reference>
        </references>
      </pivotArea>
    </format>
    <format dxfId="1">
      <pivotArea collapsedLevelsAreSubtotals="1" fieldPosition="0">
        <references count="2">
          <reference field="4294967294" count="1" selected="0">
            <x v="0"/>
          </reference>
          <reference field="2"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BDD779F-0A93-4D76-A33D-8C5A8CDAB14F}" name="PivotTable4"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oles">
  <location ref="I34:L44" firstHeaderRow="0" firstDataRow="1" firstDataCol="1"/>
  <pivotFields count="46">
    <pivotField showAll="0"/>
    <pivotField showAll="0"/>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10">
    <i>
      <x/>
    </i>
    <i>
      <x v="1"/>
    </i>
    <i>
      <x v="2"/>
    </i>
    <i>
      <x v="3"/>
    </i>
    <i>
      <x v="4"/>
    </i>
    <i>
      <x v="5"/>
    </i>
    <i>
      <x v="6"/>
    </i>
    <i>
      <x v="7"/>
    </i>
    <i>
      <x v="8"/>
    </i>
    <i t="grand">
      <x/>
    </i>
  </rowItems>
  <colFields count="1">
    <field x="-2"/>
  </colFields>
  <colItems count="3">
    <i>
      <x/>
    </i>
    <i i="1">
      <x v="1"/>
    </i>
    <i i="2">
      <x v="2"/>
    </i>
  </colItems>
  <dataFields count="3">
    <dataField name="No. of  Employees" fld="11" subtotal="count" baseField="16" baseItem="0"/>
    <dataField name="Employee Left" fld="3" baseField="16" baseItem="0"/>
    <dataField name="Attrition Rate" fld="3" subtotal="average" baseField="16" baseItem="0"/>
  </dataFields>
  <formats count="2">
    <format dxfId="3196">
      <pivotArea collapsedLevelsAreSubtotals="1" fieldPosition="0">
        <references count="2">
          <reference field="4294967294" count="1" selected="0">
            <x v="2"/>
          </reference>
          <reference field="18" count="0"/>
        </references>
      </pivotArea>
    </format>
    <format dxfId="3195">
      <pivotArea field="18" grandRow="1" outline="0" collapsedLevelsAreSubtotals="1" axis="axisRow"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9470D6A-A80E-470F-8DD5-4D668078EF49}" name="PivotTable16"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Satisfaction">
  <location ref="BA6:BD11" firstHeaderRow="0" firstDataRow="1" firstDataCol="1"/>
  <pivotFields count="46">
    <pivotField showAll="0"/>
    <pivotField showAll="0"/>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9">
        <item m="1" x="4"/>
        <item m="1" x="7"/>
        <item m="1" x="6"/>
        <item m="1" x="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5">
    <i>
      <x v="4"/>
    </i>
    <i>
      <x v="5"/>
    </i>
    <i>
      <x v="6"/>
    </i>
    <i>
      <x v="7"/>
    </i>
    <i t="grand">
      <x/>
    </i>
  </rowItems>
  <colFields count="1">
    <field x="-2"/>
  </colFields>
  <colItems count="3">
    <i>
      <x/>
    </i>
    <i i="1">
      <x v="1"/>
    </i>
    <i i="2">
      <x v="2"/>
    </i>
  </colItems>
  <dataFields count="3">
    <dataField name="No. of EMployees" fld="11" subtotal="count" baseField="19" baseItem="0"/>
    <dataField name="Employees Left" fld="3" baseField="19" baseItem="0"/>
    <dataField name="Attrition Rate" fld="3" subtotal="average" baseField="19" baseItem="0" numFmtId="10"/>
  </dataFields>
  <formats count="2">
    <format dxfId="3198">
      <pivotArea collapsedLevelsAreSubtotals="1" fieldPosition="0">
        <references count="2">
          <reference field="4294967294" count="1" selected="0">
            <x v="2"/>
          </reference>
          <reference field="20" count="1">
            <x v="0"/>
          </reference>
        </references>
      </pivotArea>
    </format>
    <format dxfId="3197">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6F6B7CE-83BC-43F5-992C-A7A71EBE8EE9}" name="four"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Income Band">
  <location ref="AF15:AG21" firstHeaderRow="1" firstDataRow="1" firstDataCol="1"/>
  <pivotFields count="46">
    <pivotField showAll="0"/>
    <pivotField showAll="0">
      <items count="6">
        <item x="4"/>
        <item x="2"/>
        <item x="0"/>
        <item x="1"/>
        <item x="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items count="5">
        <item x="0"/>
        <item x="1"/>
        <item x="3"/>
        <item x="2"/>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axis="axisRow" showAll="0" sortType="ascending">
      <items count="10">
        <item m="1" x="8"/>
        <item m="1" x="6"/>
        <item m="1" x="7"/>
        <item m="1"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8"/>
    </i>
    <i>
      <x v="7"/>
    </i>
    <i>
      <x v="4"/>
    </i>
    <i>
      <x v="6"/>
    </i>
    <i>
      <x v="5"/>
    </i>
    <i t="grand">
      <x/>
    </i>
  </rowItems>
  <colItems count="1">
    <i/>
  </colItems>
  <dataFields count="1">
    <dataField name="Attrition Rate" fld="3" subtotal="average" baseField="22" baseItem="1" numFmtId="10"/>
  </dataFields>
  <formats count="1">
    <format dxfId="3199">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3" count="1" selected="0">
            <x v="4"/>
          </reference>
        </references>
      </pivotArea>
    </chartFormat>
    <chartFormat chart="4" format="4">
      <pivotArea type="data" outline="0" fieldPosition="0">
        <references count="2">
          <reference field="4294967294" count="1" selected="0">
            <x v="0"/>
          </reference>
          <reference field="23" count="1" selected="0">
            <x v="7"/>
          </reference>
        </references>
      </pivotArea>
    </chartFormat>
    <chartFormat chart="4" format="5">
      <pivotArea type="data" outline="0" fieldPosition="0">
        <references count="2">
          <reference field="4294967294" count="1" selected="0">
            <x v="0"/>
          </reference>
          <reference field="2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CD28C1C-3FE6-4F05-AB41-8E0BCD2E208E}" name="three"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V12:W15" firstHeaderRow="1" firstDataRow="1" firstDataCol="1"/>
  <pivotFields count="46">
    <pivotField showAll="0"/>
    <pivotField showAll="0">
      <items count="6">
        <item x="4"/>
        <item x="2"/>
        <item x="0"/>
        <item x="1"/>
        <item x="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items count="5">
        <item x="0"/>
        <item x="1"/>
        <item x="3"/>
        <item x="2"/>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7"/>
  </rowFields>
  <rowItems count="3">
    <i>
      <x/>
    </i>
    <i>
      <x v="1"/>
    </i>
    <i t="grand">
      <x/>
    </i>
  </rowItems>
  <colItems count="1">
    <i/>
  </colItems>
  <dataFields count="1">
    <dataField name="Average of Attrition_Flag" fld="3" subtotal="average" baseField="23" baseItem="0" numFmtId="10"/>
  </dataFields>
  <formats count="1">
    <format dxfId="320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8272BBDE-C035-4EA3-95F2-B11437F4F9F2}" sourceName="Age_Group">
  <pivotTables>
    <pivotTable tabId="2" name="seven"/>
    <pivotTable tabId="2" name="one"/>
    <pivotTable tabId="2" name="four"/>
    <pivotTable tabId="2" name="eight"/>
    <pivotTable tabId="2" name="twoA"/>
    <pivotTable tabId="2" name="twoB"/>
    <pivotTable tabId="2" name="three"/>
    <pivotTable tabId="2" name="six"/>
  </pivotTables>
  <data>
    <tabular pivotCacheId="729757709">
      <items count="5">
        <i x="4" s="1"/>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489E768-F5A5-4C19-895A-8F7FC56B5929}" sourceName="Gender">
  <pivotTables>
    <pivotTable tabId="2" name="eight"/>
    <pivotTable tabId="2" name="five"/>
    <pivotTable tabId="2" name="four"/>
    <pivotTable tabId="2" name="one"/>
    <pivotTable tabId="2" name="seven"/>
    <pivotTable tabId="2" name="six"/>
    <pivotTable tabId="2" name="three"/>
    <pivotTable tabId="2" name="twoA"/>
    <pivotTable tabId="2" name="twoB"/>
    <pivotTable tabId="2" name="AveAgeIncome"/>
  </pivotTables>
  <data>
    <tabular pivotCacheId="72975770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vironmentSatisfactionLabel" xr10:uid="{8625EEF8-3B94-4123-8D0A-577458787574}" sourceName="EnvironmentSatisfactionLabel">
  <pivotTables>
    <pivotTable tabId="2" name="eight"/>
    <pivotTable tabId="2" name="five"/>
    <pivotTable tabId="2" name="four"/>
    <pivotTable tabId="2" name="one"/>
    <pivotTable tabId="2" name="seven"/>
    <pivotTable tabId="2" name="six"/>
    <pivotTable tabId="2" name="three"/>
    <pivotTable tabId="2" name="twoA"/>
    <pivotTable tabId="2" name="twoB"/>
    <pivotTable tabId="2" name="AveAgeIncome"/>
  </pivotTables>
  <data>
    <tabular pivotCacheId="729757709">
      <items count="4">
        <i x="0"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Rating" xr10:uid="{D7EF1B07-4191-4C18-A631-904E058AEA39}" sourceName="PerformanceRating">
  <pivotTables>
    <pivotTable tabId="2" name="eight"/>
    <pivotTable tabId="2" name="five"/>
    <pivotTable tabId="2" name="four"/>
    <pivotTable tabId="2" name="one"/>
    <pivotTable tabId="2" name="seven"/>
    <pivotTable tabId="2" name="six"/>
    <pivotTable tabId="2" name="three"/>
    <pivotTable tabId="2" name="twoA"/>
    <pivotTable tabId="2" name="twoB"/>
    <pivotTable tabId="2" name="AveAgeIncome"/>
  </pivotTables>
  <data>
    <tabular pivotCacheId="729757709">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centSalaryHikeGroup" xr10:uid="{4650FD19-0F74-46B6-9160-91D18F024162}" sourceName="PercentSalaryHikeGroup">
  <pivotTables>
    <pivotTable tabId="2" name="twoA"/>
    <pivotTable tabId="2" name="eight"/>
    <pivotTable tabId="2" name="five"/>
    <pivotTable tabId="2" name="four"/>
    <pivotTable tabId="2" name="one"/>
    <pivotTable tabId="2" name="seven"/>
    <pivotTable tabId="2" name="six"/>
    <pivotTable tabId="2" name="three"/>
    <pivotTable tabId="2" name="twoB"/>
    <pivotTable tabId="2" name="AveAgeIncome"/>
  </pivotTables>
  <data>
    <tabular pivotCacheId="72975770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933B5055-EDA8-4CAA-BCC6-DE229D384700}" cache="Slicer_Age_Group" caption="Age_Group" columnCount="2" rowHeight="251883"/>
  <slicer name="Gender" xr10:uid="{A647A849-B48C-498B-AA82-7287EAC72706}" cache="Slicer_Gender" caption="Gender" columnCount="2" rowHeight="251883"/>
  <slicer name="EnvironmentSatisfactionLabel" xr10:uid="{722A26D7-112C-4BDA-AD09-0EDB39A8A263}" cache="Slicer_EnvironmentSatisfactionLabel" caption="Environ Satisfy" rowHeight="251883"/>
  <slicer name="PerformanceRating" xr10:uid="{021FC6B0-EA84-4208-87DD-BF473C5165BB}" cache="Slicer_PerformanceRating" caption="Perform. Rating" columnCount="2" rowHeight="251883"/>
  <slicer name="PercentSalaryHikeGroup" xr10:uid="{ACA0E361-D8B7-4D31-8336-F683D97A45CD}" cache="Slicer_PercentSalaryHikeGroup" caption="Salary Hik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1" xr10:uid="{D3DA8447-77AD-466D-94EB-40CC021A1AAF}" cache="Slicer_Age_Group" caption="Age_Group"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1F22A7-18F4-4B1E-AB59-5D4786C3AEB4}" name="HRData" displayName="HRData" ref="A1:AR1471" totalsRowShown="0">
  <autoFilter ref="A1:AR1471" xr:uid="{8A1F22A7-18F4-4B1E-AB59-5D4786C3AEB4}"/>
  <tableColumns count="44">
    <tableColumn id="1" xr3:uid="{9DCF9A3E-432E-4307-BC86-F30110253005}" name="Age"/>
    <tableColumn id="38" xr3:uid="{84C0D342-525D-4757-A7AB-8E216589AF07}" name="Age_Group" dataDxfId="3209">
      <calculatedColumnFormula array="1">_xlfn.IFS(
HRData[[#This Row],[Age]]&lt;=24,"18-24",
HRData[[#This Row],[Age]]&lt;=34,"25-34",
HRData[[#This Row],[Age]]&lt;=44,"35-44",
HRData[[#This Row],[Age]]&lt;=54,"45-54",
HRData[[#This Row],[Age]]&gt;=55,"55+"
)</calculatedColumnFormula>
    </tableColumn>
    <tableColumn id="2" xr3:uid="{B6854897-0B57-4F2C-8A3B-4B21253F0579}" name="Attrition"/>
    <tableColumn id="36" xr3:uid="{6232B334-FBE3-49C3-9648-A87DA08DA58E}" name="Attrition_Flag" dataDxfId="3208">
      <calculatedColumnFormula>IF(HRData[[#This Row],[Attrition]]="Yes",1,0)</calculatedColumnFormula>
    </tableColumn>
    <tableColumn id="3" xr3:uid="{CA622286-BEB4-4FA4-B0F3-31D9257CAE50}" name="BusinessTravel"/>
    <tableColumn id="4" xr3:uid="{BFD03118-9368-47E8-93DE-343E978B15FB}" name="DailyRate"/>
    <tableColumn id="5" xr3:uid="{5EC62309-B784-400A-9226-BA83E8D16AB9}" name="Department"/>
    <tableColumn id="6" xr3:uid="{206A7E4C-112C-42B2-836B-E48B80252AF5}" name="DistanceFromHome"/>
    <tableColumn id="7" xr3:uid="{0700CD47-29A7-4A6B-805F-69964995A0EA}" name="Education"/>
    <tableColumn id="8" xr3:uid="{50D4D22A-2A3C-4620-964C-A2E648633735}" name="EducationField"/>
    <tableColumn id="9" xr3:uid="{78232146-C7BC-4F2B-B179-E7386B3EFE25}" name="EmployeeCount"/>
    <tableColumn id="10" xr3:uid="{FC7627F9-A239-43AC-A966-D93B11F6AAC6}" name="EmployeeNumber"/>
    <tableColumn id="11" xr3:uid="{DE09C26E-7EB9-440A-8F4B-091E0045C11E}" name="EnvironmentSatisfaction"/>
    <tableColumn id="44" xr3:uid="{45B54310-5209-48A8-A969-A4AD4938B28F}" name="EnvironmentSatisfactionLabel" dataDxfId="3207">
      <calculatedColumnFormula array="1">_xlfn.IFS(HRData[[#This Row],[EnvironmentSatisfaction]]=1,"Very Dissatisfied",
HRData[[#This Row],[EnvironmentSatisfaction]]=2,"Dissatisfied",
HRData[[#This Row],[EnvironmentSatisfaction]]=3,"Satisfied",
HRData[[#This Row],[EnvironmentSatisfaction]]=4,"Very Satisfied"
)</calculatedColumnFormula>
    </tableColumn>
    <tableColumn id="12" xr3:uid="{5574931D-688C-4260-BCD5-0E7AB5E5DF6D}" name="Gender"/>
    <tableColumn id="13" xr3:uid="{23961166-3B32-49FB-B6DD-E598B33D93FB}" name="HourlyRate"/>
    <tableColumn id="14" xr3:uid="{CECB54D8-8338-46D1-A9C3-2E3DB546088A}" name="JobInvolvement"/>
    <tableColumn id="15" xr3:uid="{11CD39E7-0974-43F8-B2DC-11592EFCB558}" name="JobLevel"/>
    <tableColumn id="16" xr3:uid="{B480EFFE-366F-40B0-B579-24F802EDEB91}" name="JobRole"/>
    <tableColumn id="17" xr3:uid="{895FF312-9FA6-4DDF-920E-F392598A0BDC}" name="JobSatisfaction"/>
    <tableColumn id="39" xr3:uid="{6B70664F-790D-4C3C-8366-F45FBBF934D7}" name="Job_Satisfaction_Label" dataDxfId="3206">
      <calculatedColumnFormula array="1">_xlfn.IFS(
HRData[[#This Row],[JobSatisfaction]]=1,"Very Dissatisfied",
HRData[[#This Row],[JobSatisfaction]]=2,"Dissatisfied",
HRData[[#This Row],[JobSatisfaction]]=3,"Satisfied",
HRData[[#This Row],[JobSatisfaction]]=4,"Very Satisfied"
)</calculatedColumnFormula>
    </tableColumn>
    <tableColumn id="18" xr3:uid="{D1215428-A6C6-4482-B021-395FEAA20B54}" name="MaritalStatus"/>
    <tableColumn id="19" xr3:uid="{C67A2798-983F-435C-9EB6-A6EF2C14CF37}" name="MonthlyIncome"/>
    <tableColumn id="37" xr3:uid="{0FD7FB10-A612-47F9-A162-A932451D3DE1}" name="IncomeBand" dataDxfId="3205">
      <calculatedColumnFormula array="1">_xlfn.IFS(
HRData[[#This Row],[MonthlyIncome]]&lt;=4000,"Very Low Income",
HRData[[#This Row],[MonthlyIncome]]&lt;=8000,"Low Income",
HRData[[#This Row],[MonthlyIncome]]&lt;=12000,"Moderate Income",
HRData[[#This Row],[MonthlyIncome]]&lt;=16000,"High Income",
HRData[[#This Row],[MonthlyIncome]]&gt;16000,"Very High Income"
)</calculatedColumnFormula>
    </tableColumn>
    <tableColumn id="20" xr3:uid="{40F911E7-FB70-4917-A671-C1BE975E4CBD}" name="MonthlyRate"/>
    <tableColumn id="21" xr3:uid="{B157D4C8-C518-4D32-A6D9-DC353FEF6C00}" name="NumCompaniesWorked"/>
    <tableColumn id="22" xr3:uid="{CE91947F-1CC0-48A3-A890-44B4F13421E1}" name="Over18"/>
    <tableColumn id="23" xr3:uid="{B8C8EFA3-9A16-41D0-AB0E-E5F4FC44C2B4}" name="OverTime"/>
    <tableColumn id="24" xr3:uid="{D62E34F7-F4CB-4D44-A12D-BBF8912E84D8}" name="PercentSalaryHike"/>
    <tableColumn id="46" xr3:uid="{BAC3DCE7-3F92-43F6-B3FE-29603627C99F}" name="PercentSalaryHikeGroup" dataDxfId="3204">
      <calculatedColumnFormula array="1">_xlfn.IFS(HRData[[#This Row],[PercentSalaryHike]]&lt;=15,"11-15",HRData[[#This Row],[PercentSalaryHike]]&lt;=20,"16-20",HRData[[#This Row],[PercentSalaryHike]]&gt;=21,"21+")</calculatedColumnFormula>
    </tableColumn>
    <tableColumn id="25" xr3:uid="{80C1F83B-AB3E-47D9-A680-F0B31A05C53A}" name="PerformanceRating"/>
    <tableColumn id="26" xr3:uid="{9B65334B-6B0D-47EE-847D-FF7A4FD4A1F6}" name="RelationshipSatisfaction"/>
    <tableColumn id="27" xr3:uid="{7A48B472-FA12-4D03-9ADE-2FF024AAE3E1}" name="StandardHours"/>
    <tableColumn id="28" xr3:uid="{9FFFAA38-8FF7-4E2C-9E51-193A2F902178}" name="StockOptionLevel"/>
    <tableColumn id="29" xr3:uid="{3BA3CF6B-3D5E-4D84-A0EF-0954C6D1EB77}" name="TotalWorkingYears"/>
    <tableColumn id="30" xr3:uid="{6816CB33-E479-4786-B116-E8976DE7F232}" name="TrainingTimesLastYear"/>
    <tableColumn id="31" xr3:uid="{C7398F09-FEB3-4538-89B6-4B30C14EDCF3}" name="WorkLifeBalance"/>
    <tableColumn id="32" xr3:uid="{5814E307-365B-4C62-9775-0490339C5275}" name="YearsAtCompany"/>
    <tableColumn id="33" xr3:uid="{B986B3D7-4D33-4C2A-96D2-55FDDA9CEFCC}" name="YearsInCurrentRole"/>
    <tableColumn id="34" xr3:uid="{6D56F809-A0AD-45C4-9981-7730BE8884D5}" name="YearsSinceLastPromotion"/>
    <tableColumn id="35" xr3:uid="{2020787A-7D8B-4CFE-9316-3198B9778000}" name="YearsWithCurrManager"/>
    <tableColumn id="40" xr3:uid="{3BFF1B52-4E98-4B84-9A27-ED171B4FB5FC}" name="Attrition_Risk_Score" dataDxfId="3203">
      <calculatedColumnFormula>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calculatedColumnFormula>
    </tableColumn>
    <tableColumn id="41" xr3:uid="{9811E56C-AA00-4EB7-AE46-6FCF8C53844A}" name="Attrition_Risk_Level" dataDxfId="3202">
      <calculatedColumnFormula>IF(HRData[[#This Row],[Attrition]]="Yes","Left", IF(HRData[[#This Row],[Attrition_Risk_Score]]&gt;=6,"High",IF(HRData[[#This Row],[Attrition_Risk_Score]]&gt;=3,"Medium","Low")))</calculatedColumnFormula>
    </tableColumn>
    <tableColumn id="47" xr3:uid="{D8C9CE33-56B8-490F-BDE6-0936CF0C5FDA}" name="Risk_Sort_Key" dataDxfId="3201">
      <calculatedColumnFormula>IF(HRData[[#This Row],[Attrition_Risk_Level]]&lt;&gt;"High","",HRData[[#This Row],[Attrition_Risk_Score]]*10000-HRData[[#This Row],[EmployeeNumber]])</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FCB24-1178-4649-8415-FB8FD1BAD732}">
  <dimension ref="A1:AR1471"/>
  <sheetViews>
    <sheetView zoomScaleNormal="100" workbookViewId="0">
      <selection activeCell="AR4" sqref="AR4"/>
    </sheetView>
  </sheetViews>
  <sheetFormatPr defaultRowHeight="14.5"/>
  <cols>
    <col min="2" max="2" width="12" bestFit="1" customWidth="1"/>
    <col min="3" max="3" width="9.90625" bestFit="1" customWidth="1"/>
    <col min="4" max="4" width="14.1796875" bestFit="1" customWidth="1"/>
    <col min="5" max="5" width="15.36328125" customWidth="1"/>
    <col min="6" max="6" width="10.90625" customWidth="1"/>
    <col min="7" max="7" width="21.36328125" bestFit="1" customWidth="1"/>
    <col min="8" max="8" width="19.453125" customWidth="1"/>
    <col min="9" max="9" width="11.26953125" customWidth="1"/>
    <col min="10" max="10" width="15.453125" customWidth="1"/>
    <col min="11" max="11" width="16.08984375" customWidth="1"/>
    <col min="12" max="12" width="17.7265625" customWidth="1"/>
    <col min="13" max="13" width="23.54296875" customWidth="1"/>
    <col min="14" max="14" width="28.7265625" bestFit="1" customWidth="1"/>
    <col min="15" max="15" width="8.90625" customWidth="1"/>
    <col min="16" max="16" width="12.08984375" customWidth="1"/>
    <col min="17" max="17" width="15.90625" customWidth="1"/>
    <col min="18" max="18" width="9.90625" customWidth="1"/>
    <col min="19" max="19" width="9.26953125" customWidth="1"/>
    <col min="20" max="20" width="15.6328125" customWidth="1"/>
    <col min="21" max="21" width="22.26953125" bestFit="1" customWidth="1"/>
    <col min="22" max="22" width="14" customWidth="1"/>
    <col min="23" max="24" width="15.81640625" customWidth="1"/>
    <col min="25" max="25" width="13.36328125" customWidth="1"/>
    <col min="26" max="26" width="22.7265625" customWidth="1"/>
    <col min="27" max="27" width="8.90625" bestFit="1" customWidth="1"/>
    <col min="28" max="28" width="10.7265625" customWidth="1"/>
    <col min="29" max="29" width="18.26953125" customWidth="1"/>
    <col min="30" max="30" width="23.90625" bestFit="1" customWidth="1"/>
    <col min="31" max="31" width="18.90625" customWidth="1"/>
    <col min="32" max="32" width="23.54296875" customWidth="1"/>
    <col min="33" max="33" width="15.36328125" customWidth="1"/>
    <col min="34" max="34" width="17.54296875" customWidth="1"/>
    <col min="35" max="35" width="18.36328125" customWidth="1"/>
    <col min="36" max="36" width="21.7265625" customWidth="1"/>
    <col min="37" max="37" width="16.90625" customWidth="1"/>
    <col min="38" max="38" width="17.1796875" customWidth="1"/>
    <col min="39" max="39" width="19.1796875" customWidth="1"/>
    <col min="40" max="40" width="24.26953125" customWidth="1"/>
    <col min="41" max="41" width="22.08984375" customWidth="1"/>
    <col min="42" max="42" width="20.08984375" bestFit="1" customWidth="1"/>
    <col min="43" max="43" width="19.7265625" bestFit="1" customWidth="1"/>
    <col min="44" max="44" width="14.7265625" bestFit="1" customWidth="1"/>
  </cols>
  <sheetData>
    <row r="1" spans="1:44">
      <c r="A1" t="s">
        <v>0</v>
      </c>
      <c r="B1" t="s">
        <v>89</v>
      </c>
      <c r="C1" t="s">
        <v>1</v>
      </c>
      <c r="D1" t="s">
        <v>62</v>
      </c>
      <c r="E1" t="s">
        <v>2</v>
      </c>
      <c r="F1" t="s">
        <v>3</v>
      </c>
      <c r="G1" t="s">
        <v>4</v>
      </c>
      <c r="H1" t="s">
        <v>5</v>
      </c>
      <c r="I1" t="s">
        <v>6</v>
      </c>
      <c r="J1" t="s">
        <v>7</v>
      </c>
      <c r="K1" t="s">
        <v>8</v>
      </c>
      <c r="L1" t="s">
        <v>9</v>
      </c>
      <c r="M1" t="s">
        <v>10</v>
      </c>
      <c r="N1" t="s">
        <v>135</v>
      </c>
      <c r="O1" t="s">
        <v>11</v>
      </c>
      <c r="P1" t="s">
        <v>12</v>
      </c>
      <c r="Q1" t="s">
        <v>13</v>
      </c>
      <c r="R1" t="s">
        <v>14</v>
      </c>
      <c r="S1" t="s">
        <v>15</v>
      </c>
      <c r="T1" t="s">
        <v>16</v>
      </c>
      <c r="U1" t="s">
        <v>97</v>
      </c>
      <c r="V1" t="s">
        <v>17</v>
      </c>
      <c r="W1" t="s">
        <v>18</v>
      </c>
      <c r="X1" t="s">
        <v>84</v>
      </c>
      <c r="Y1" t="s">
        <v>19</v>
      </c>
      <c r="Z1" t="s">
        <v>20</v>
      </c>
      <c r="AA1" t="s">
        <v>21</v>
      </c>
      <c r="AB1" t="s">
        <v>22</v>
      </c>
      <c r="AC1" t="s">
        <v>23</v>
      </c>
      <c r="AD1" t="s">
        <v>136</v>
      </c>
      <c r="AE1" t="s">
        <v>24</v>
      </c>
      <c r="AF1" t="s">
        <v>25</v>
      </c>
      <c r="AG1" t="s">
        <v>26</v>
      </c>
      <c r="AH1" t="s">
        <v>27</v>
      </c>
      <c r="AI1" t="s">
        <v>28</v>
      </c>
      <c r="AJ1" t="s">
        <v>29</v>
      </c>
      <c r="AK1" t="s">
        <v>30</v>
      </c>
      <c r="AL1" t="s">
        <v>31</v>
      </c>
      <c r="AM1" t="s">
        <v>32</v>
      </c>
      <c r="AN1" t="s">
        <v>33</v>
      </c>
      <c r="AO1" t="s">
        <v>34</v>
      </c>
      <c r="AP1" t="s">
        <v>100</v>
      </c>
      <c r="AQ1" t="s">
        <v>101</v>
      </c>
      <c r="AR1" t="s">
        <v>137</v>
      </c>
    </row>
    <row r="2" spans="1:44">
      <c r="A2">
        <v>41</v>
      </c>
      <c r="B2" t="str" cm="1">
        <f t="array" ref="B2">_xlfn.IFS(
HRData[[#This Row],[Age]]&lt;=24,"18-24",
HRData[[#This Row],[Age]]&lt;=34,"25-34",
HRData[[#This Row],[Age]]&lt;=44,"35-44",
HRData[[#This Row],[Age]]&lt;=54,"45-54",
HRData[[#This Row],[Age]]&gt;=55,"55+"
)</f>
        <v>35-44</v>
      </c>
      <c r="C2" t="s">
        <v>35</v>
      </c>
      <c r="D2">
        <f>IF(HRData[[#This Row],[Attrition]]="Yes",1,0)</f>
        <v>1</v>
      </c>
      <c r="E2" t="s">
        <v>36</v>
      </c>
      <c r="F2">
        <v>1102</v>
      </c>
      <c r="G2" t="s">
        <v>37</v>
      </c>
      <c r="H2">
        <v>1</v>
      </c>
      <c r="I2">
        <v>2</v>
      </c>
      <c r="J2" t="s">
        <v>38</v>
      </c>
      <c r="K2">
        <v>1</v>
      </c>
      <c r="L2">
        <v>1</v>
      </c>
      <c r="M2">
        <v>2</v>
      </c>
      <c r="N2" t="str" cm="1">
        <f t="array" ref="N2">_xlfn.IFS(HRData[[#This Row],[EnvironmentSatisfaction]]=1,"Very Dissatisfied",
HRData[[#This Row],[EnvironmentSatisfaction]]=2,"Dissatisfied",
HRData[[#This Row],[EnvironmentSatisfaction]]=3,"Satisfied",
HRData[[#This Row],[EnvironmentSatisfaction]]=4,"Very Satisfied"
)</f>
        <v>Dissatisfied</v>
      </c>
      <c r="O2" t="s">
        <v>39</v>
      </c>
      <c r="P2">
        <v>94</v>
      </c>
      <c r="Q2">
        <v>3</v>
      </c>
      <c r="R2">
        <v>2</v>
      </c>
      <c r="S2" t="s">
        <v>40</v>
      </c>
      <c r="T2">
        <v>4</v>
      </c>
      <c r="U2" t="str" cm="1">
        <f t="array" ref="U2">_xlfn.IFS(
HRData[[#This Row],[JobSatisfaction]]=1,"Very Dissatisfied",
HRData[[#This Row],[JobSatisfaction]]=2,"Dissatisfied",
HRData[[#This Row],[JobSatisfaction]]=3,"Satisfied",
HRData[[#This Row],[JobSatisfaction]]=4,"Very Satisfied"
)</f>
        <v>Very Satisfied</v>
      </c>
      <c r="V2" t="s">
        <v>41</v>
      </c>
      <c r="W2">
        <v>5993</v>
      </c>
      <c r="X2" t="str" cm="1">
        <f t="array" ref="X2">_xlfn.IFS(
HRData[[#This Row],[MonthlyIncome]]&lt;=4000,"Very Low Income",
HRData[[#This Row],[MonthlyIncome]]&lt;=8000,"Low Income",
HRData[[#This Row],[MonthlyIncome]]&lt;=12000,"Moderate Income",
HRData[[#This Row],[MonthlyIncome]]&lt;=16000,"High Income",
HRData[[#This Row],[MonthlyIncome]]&gt;16000,"Very High Income"
)</f>
        <v>Low Income</v>
      </c>
      <c r="Y2">
        <v>19479</v>
      </c>
      <c r="Z2">
        <v>8</v>
      </c>
      <c r="AA2" t="s">
        <v>42</v>
      </c>
      <c r="AB2" t="s">
        <v>35</v>
      </c>
      <c r="AC2">
        <v>11</v>
      </c>
      <c r="AD2" t="str" cm="1">
        <f t="array" ref="AD2">_xlfn.IFS(HRData[[#This Row],[PercentSalaryHike]]&lt;=15,"11-15",HRData[[#This Row],[PercentSalaryHike]]&lt;=20,"16-20",HRData[[#This Row],[PercentSalaryHike]]&gt;=21,"21+")</f>
        <v>11-15</v>
      </c>
      <c r="AE2">
        <v>3</v>
      </c>
      <c r="AF2">
        <v>1</v>
      </c>
      <c r="AG2">
        <v>80</v>
      </c>
      <c r="AH2">
        <v>0</v>
      </c>
      <c r="AI2">
        <v>8</v>
      </c>
      <c r="AJ2">
        <v>0</v>
      </c>
      <c r="AK2">
        <v>1</v>
      </c>
      <c r="AL2">
        <v>6</v>
      </c>
      <c r="AM2">
        <v>4</v>
      </c>
      <c r="AN2">
        <v>0</v>
      </c>
      <c r="AO2">
        <v>5</v>
      </c>
      <c r="AP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 t="str">
        <f>IF(HRData[[#This Row],[Attrition]]="Yes","Left", IF(HRData[[#This Row],[Attrition_Risk_Score]]&gt;=6,"High",IF(HRData[[#This Row],[Attrition_Risk_Score]]&gt;=3,"Medium","Low")))</f>
        <v>Left</v>
      </c>
      <c r="AR2" t="str">
        <f>IF(HRData[[#This Row],[Attrition_Risk_Level]]&lt;&gt;"High","",HRData[[#This Row],[Attrition_Risk_Score]]*10000-HRData[[#This Row],[EmployeeNumber]])</f>
        <v/>
      </c>
    </row>
    <row r="3" spans="1:44">
      <c r="A3">
        <v>49</v>
      </c>
      <c r="B3" t="str" cm="1">
        <f t="array" ref="B3">_xlfn.IFS(
HRData[[#This Row],[Age]]&lt;=24,"18-24",
HRData[[#This Row],[Age]]&lt;=34,"25-34",
HRData[[#This Row],[Age]]&lt;=44,"35-44",
HRData[[#This Row],[Age]]&lt;=54,"45-54",
HRData[[#This Row],[Age]]&gt;=55,"55+"
)</f>
        <v>45-54</v>
      </c>
      <c r="C3" t="s">
        <v>43</v>
      </c>
      <c r="D3">
        <f>IF(HRData[[#This Row],[Attrition]]="Yes",1,0)</f>
        <v>0</v>
      </c>
      <c r="E3" t="s">
        <v>44</v>
      </c>
      <c r="F3">
        <v>279</v>
      </c>
      <c r="G3" t="s">
        <v>45</v>
      </c>
      <c r="H3">
        <v>8</v>
      </c>
      <c r="I3">
        <v>1</v>
      </c>
      <c r="J3" t="s">
        <v>38</v>
      </c>
      <c r="K3">
        <v>1</v>
      </c>
      <c r="L3">
        <v>2</v>
      </c>
      <c r="M3">
        <v>3</v>
      </c>
      <c r="N3" t="str" cm="1">
        <f t="array" ref="N3">_xlfn.IFS(HRData[[#This Row],[EnvironmentSatisfaction]]=1,"Very Dissatisfied",
HRData[[#This Row],[EnvironmentSatisfaction]]=2,"Dissatisfied",
HRData[[#This Row],[EnvironmentSatisfaction]]=3,"Satisfied",
HRData[[#This Row],[EnvironmentSatisfaction]]=4,"Very Satisfied"
)</f>
        <v>Satisfied</v>
      </c>
      <c r="O3" t="s">
        <v>46</v>
      </c>
      <c r="P3">
        <v>61</v>
      </c>
      <c r="Q3">
        <v>2</v>
      </c>
      <c r="R3">
        <v>2</v>
      </c>
      <c r="S3" t="s">
        <v>47</v>
      </c>
      <c r="T3">
        <v>2</v>
      </c>
      <c r="U3" t="str" cm="1">
        <f t="array" ref="U3">_xlfn.IFS(
HRData[[#This Row],[JobSatisfaction]]=1,"Very Dissatisfied",
HRData[[#This Row],[JobSatisfaction]]=2,"Dissatisfied",
HRData[[#This Row],[JobSatisfaction]]=3,"Satisfied",
HRData[[#This Row],[JobSatisfaction]]=4,"Very Satisfied"
)</f>
        <v>Dissatisfied</v>
      </c>
      <c r="V3" t="s">
        <v>48</v>
      </c>
      <c r="W3">
        <v>5130</v>
      </c>
      <c r="X3" t="str" cm="1">
        <f t="array" ref="X3">_xlfn.IFS(
HRData[[#This Row],[MonthlyIncome]]&lt;=4000,"Very Low Income",
HRData[[#This Row],[MonthlyIncome]]&lt;=8000,"Low Income",
HRData[[#This Row],[MonthlyIncome]]&lt;=12000,"Moderate Income",
HRData[[#This Row],[MonthlyIncome]]&lt;=16000,"High Income",
HRData[[#This Row],[MonthlyIncome]]&gt;16000,"Very High Income"
)</f>
        <v>Low Income</v>
      </c>
      <c r="Y3">
        <v>24907</v>
      </c>
      <c r="Z3">
        <v>1</v>
      </c>
      <c r="AA3" t="s">
        <v>42</v>
      </c>
      <c r="AB3" t="s">
        <v>43</v>
      </c>
      <c r="AC3">
        <v>23</v>
      </c>
      <c r="AD3" t="str" cm="1">
        <f t="array" ref="AD3">_xlfn.IFS(HRData[[#This Row],[PercentSalaryHike]]&lt;=15,"11-15",HRData[[#This Row],[PercentSalaryHike]]&lt;=20,"16-20",HRData[[#This Row],[PercentSalaryHike]]&gt;=21,"21+")</f>
        <v>21+</v>
      </c>
      <c r="AE3">
        <v>4</v>
      </c>
      <c r="AF3">
        <v>4</v>
      </c>
      <c r="AG3">
        <v>80</v>
      </c>
      <c r="AH3">
        <v>1</v>
      </c>
      <c r="AI3">
        <v>10</v>
      </c>
      <c r="AJ3">
        <v>3</v>
      </c>
      <c r="AK3">
        <v>3</v>
      </c>
      <c r="AL3">
        <v>10</v>
      </c>
      <c r="AM3">
        <v>7</v>
      </c>
      <c r="AN3">
        <v>1</v>
      </c>
      <c r="AO3">
        <v>7</v>
      </c>
      <c r="AP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3" t="str">
        <f>IF(HRData[[#This Row],[Attrition]]="Yes","Left", IF(HRData[[#This Row],[Attrition_Risk_Score]]&gt;=6,"High",IF(HRData[[#This Row],[Attrition_Risk_Score]]&gt;=3,"Medium","Low")))</f>
        <v>Low</v>
      </c>
      <c r="AR3" t="str">
        <f>IF(HRData[[#This Row],[Attrition_Risk_Level]]&lt;&gt;"High","",HRData[[#This Row],[Attrition_Risk_Score]]*10000-HRData[[#This Row],[EmployeeNumber]])</f>
        <v/>
      </c>
    </row>
    <row r="4" spans="1:44">
      <c r="A4">
        <v>37</v>
      </c>
      <c r="B4" t="str" cm="1">
        <f t="array" ref="B4">_xlfn.IFS(
HRData[[#This Row],[Age]]&lt;=24,"18-24",
HRData[[#This Row],[Age]]&lt;=34,"25-34",
HRData[[#This Row],[Age]]&lt;=44,"35-44",
HRData[[#This Row],[Age]]&lt;=54,"45-54",
HRData[[#This Row],[Age]]&gt;=55,"55+"
)</f>
        <v>35-44</v>
      </c>
      <c r="C4" t="s">
        <v>35</v>
      </c>
      <c r="D4">
        <f>IF(HRData[[#This Row],[Attrition]]="Yes",1,0)</f>
        <v>1</v>
      </c>
      <c r="E4" t="s">
        <v>36</v>
      </c>
      <c r="F4">
        <v>1373</v>
      </c>
      <c r="G4" t="s">
        <v>45</v>
      </c>
      <c r="H4">
        <v>2</v>
      </c>
      <c r="I4">
        <v>2</v>
      </c>
      <c r="J4" t="s">
        <v>49</v>
      </c>
      <c r="K4">
        <v>1</v>
      </c>
      <c r="L4">
        <v>4</v>
      </c>
      <c r="M4">
        <v>4</v>
      </c>
      <c r="N4" t="str" cm="1">
        <f t="array" ref="N4">_xlfn.IFS(HRData[[#This Row],[EnvironmentSatisfaction]]=1,"Very Dissatisfied",
HRData[[#This Row],[EnvironmentSatisfaction]]=2,"Dissatisfied",
HRData[[#This Row],[EnvironmentSatisfaction]]=3,"Satisfied",
HRData[[#This Row],[EnvironmentSatisfaction]]=4,"Very Satisfied"
)</f>
        <v>Very Satisfied</v>
      </c>
      <c r="O4" t="s">
        <v>46</v>
      </c>
      <c r="P4">
        <v>92</v>
      </c>
      <c r="Q4">
        <v>2</v>
      </c>
      <c r="R4">
        <v>1</v>
      </c>
      <c r="S4" t="s">
        <v>50</v>
      </c>
      <c r="T4">
        <v>3</v>
      </c>
      <c r="U4" t="str" cm="1">
        <f t="array" ref="U4">_xlfn.IFS(
HRData[[#This Row],[JobSatisfaction]]=1,"Very Dissatisfied",
HRData[[#This Row],[JobSatisfaction]]=2,"Dissatisfied",
HRData[[#This Row],[JobSatisfaction]]=3,"Satisfied",
HRData[[#This Row],[JobSatisfaction]]=4,"Very Satisfied"
)</f>
        <v>Satisfied</v>
      </c>
      <c r="V4" t="s">
        <v>41</v>
      </c>
      <c r="W4">
        <v>2090</v>
      </c>
      <c r="X4" t="str" cm="1">
        <f t="array" ref="X4">_xlfn.IFS(
HRData[[#This Row],[MonthlyIncome]]&lt;=4000,"Very Low Income",
HRData[[#This Row],[MonthlyIncome]]&lt;=8000,"Low Income",
HRData[[#This Row],[MonthlyIncome]]&lt;=12000,"Moderate Income",
HRData[[#This Row],[MonthlyIncome]]&lt;=16000,"High Income",
HRData[[#This Row],[MonthlyIncome]]&gt;16000,"Very High Income"
)</f>
        <v>Very Low Income</v>
      </c>
      <c r="Y4">
        <v>2396</v>
      </c>
      <c r="Z4">
        <v>6</v>
      </c>
      <c r="AA4" t="s">
        <v>42</v>
      </c>
      <c r="AB4" t="s">
        <v>35</v>
      </c>
      <c r="AC4">
        <v>15</v>
      </c>
      <c r="AD4" t="str" cm="1">
        <f t="array" ref="AD4">_xlfn.IFS(HRData[[#This Row],[PercentSalaryHike]]&lt;=15,"11-15",HRData[[#This Row],[PercentSalaryHike]]&lt;=20,"16-20",HRData[[#This Row],[PercentSalaryHike]]&gt;=21,"21+")</f>
        <v>11-15</v>
      </c>
      <c r="AE4">
        <v>3</v>
      </c>
      <c r="AF4">
        <v>2</v>
      </c>
      <c r="AG4">
        <v>80</v>
      </c>
      <c r="AH4">
        <v>0</v>
      </c>
      <c r="AI4">
        <v>7</v>
      </c>
      <c r="AJ4">
        <v>3</v>
      </c>
      <c r="AK4">
        <v>3</v>
      </c>
      <c r="AL4">
        <v>0</v>
      </c>
      <c r="AM4">
        <v>0</v>
      </c>
      <c r="AN4">
        <v>0</v>
      </c>
      <c r="AO4">
        <v>0</v>
      </c>
      <c r="AP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 t="str">
        <f>IF(HRData[[#This Row],[Attrition]]="Yes","Left", IF(HRData[[#This Row],[Attrition_Risk_Score]]&gt;=6,"High",IF(HRData[[#This Row],[Attrition_Risk_Score]]&gt;=3,"Medium","Low")))</f>
        <v>Left</v>
      </c>
      <c r="AR4" t="str">
        <f>IF(HRData[[#This Row],[Attrition_Risk_Level]]&lt;&gt;"High","",HRData[[#This Row],[Attrition_Risk_Score]]*10000-HRData[[#This Row],[EmployeeNumber]])</f>
        <v/>
      </c>
    </row>
    <row r="5" spans="1:44">
      <c r="A5">
        <v>33</v>
      </c>
      <c r="B5" t="str" cm="1">
        <f t="array" ref="B5">_xlfn.IFS(
HRData[[#This Row],[Age]]&lt;=24,"18-24",
HRData[[#This Row],[Age]]&lt;=34,"25-34",
HRData[[#This Row],[Age]]&lt;=44,"35-44",
HRData[[#This Row],[Age]]&lt;=54,"45-54",
HRData[[#This Row],[Age]]&gt;=55,"55+"
)</f>
        <v>25-34</v>
      </c>
      <c r="C5" t="s">
        <v>43</v>
      </c>
      <c r="D5">
        <f>IF(HRData[[#This Row],[Attrition]]="Yes",1,0)</f>
        <v>0</v>
      </c>
      <c r="E5" t="s">
        <v>44</v>
      </c>
      <c r="F5">
        <v>1392</v>
      </c>
      <c r="G5" t="s">
        <v>45</v>
      </c>
      <c r="H5">
        <v>3</v>
      </c>
      <c r="I5">
        <v>4</v>
      </c>
      <c r="J5" t="s">
        <v>38</v>
      </c>
      <c r="K5">
        <v>1</v>
      </c>
      <c r="L5">
        <v>5</v>
      </c>
      <c r="M5">
        <v>4</v>
      </c>
      <c r="N5" t="str" cm="1">
        <f t="array" ref="N5">_xlfn.IFS(HRData[[#This Row],[EnvironmentSatisfaction]]=1,"Very Dissatisfied",
HRData[[#This Row],[EnvironmentSatisfaction]]=2,"Dissatisfied",
HRData[[#This Row],[EnvironmentSatisfaction]]=3,"Satisfied",
HRData[[#This Row],[EnvironmentSatisfaction]]=4,"Very Satisfied"
)</f>
        <v>Very Satisfied</v>
      </c>
      <c r="O5" t="s">
        <v>39</v>
      </c>
      <c r="P5">
        <v>56</v>
      </c>
      <c r="Q5">
        <v>3</v>
      </c>
      <c r="R5">
        <v>1</v>
      </c>
      <c r="S5" t="s">
        <v>47</v>
      </c>
      <c r="T5">
        <v>3</v>
      </c>
      <c r="U5" t="str" cm="1">
        <f t="array" ref="U5">_xlfn.IFS(
HRData[[#This Row],[JobSatisfaction]]=1,"Very Dissatisfied",
HRData[[#This Row],[JobSatisfaction]]=2,"Dissatisfied",
HRData[[#This Row],[JobSatisfaction]]=3,"Satisfied",
HRData[[#This Row],[JobSatisfaction]]=4,"Very Satisfied"
)</f>
        <v>Satisfied</v>
      </c>
      <c r="V5" t="s">
        <v>48</v>
      </c>
      <c r="W5">
        <v>2909</v>
      </c>
      <c r="X5" t="str" cm="1">
        <f t="array" ref="X5">_xlfn.IFS(
HRData[[#This Row],[MonthlyIncome]]&lt;=4000,"Very Low Income",
HRData[[#This Row],[MonthlyIncome]]&lt;=8000,"Low Income",
HRData[[#This Row],[MonthlyIncome]]&lt;=12000,"Moderate Income",
HRData[[#This Row],[MonthlyIncome]]&lt;=16000,"High Income",
HRData[[#This Row],[MonthlyIncome]]&gt;16000,"Very High Income"
)</f>
        <v>Very Low Income</v>
      </c>
      <c r="Y5">
        <v>23159</v>
      </c>
      <c r="Z5">
        <v>1</v>
      </c>
      <c r="AA5" t="s">
        <v>42</v>
      </c>
      <c r="AB5" t="s">
        <v>35</v>
      </c>
      <c r="AC5">
        <v>11</v>
      </c>
      <c r="AD5" t="str" cm="1">
        <f t="array" ref="AD5">_xlfn.IFS(HRData[[#This Row],[PercentSalaryHike]]&lt;=15,"11-15",HRData[[#This Row],[PercentSalaryHike]]&lt;=20,"16-20",HRData[[#This Row],[PercentSalaryHike]]&gt;=21,"21+")</f>
        <v>11-15</v>
      </c>
      <c r="AE5">
        <v>3</v>
      </c>
      <c r="AF5">
        <v>3</v>
      </c>
      <c r="AG5">
        <v>80</v>
      </c>
      <c r="AH5">
        <v>0</v>
      </c>
      <c r="AI5">
        <v>8</v>
      </c>
      <c r="AJ5">
        <v>3</v>
      </c>
      <c r="AK5">
        <v>3</v>
      </c>
      <c r="AL5">
        <v>8</v>
      </c>
      <c r="AM5">
        <v>7</v>
      </c>
      <c r="AN5">
        <v>3</v>
      </c>
      <c r="AO5">
        <v>0</v>
      </c>
      <c r="AP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5" t="str">
        <f>IF(HRData[[#This Row],[Attrition]]="Yes","Left", IF(HRData[[#This Row],[Attrition_Risk_Score]]&gt;=6,"High",IF(HRData[[#This Row],[Attrition_Risk_Score]]&gt;=3,"Medium","Low")))</f>
        <v>Medium</v>
      </c>
      <c r="AR5" t="str">
        <f>IF(HRData[[#This Row],[Attrition_Risk_Level]]&lt;&gt;"High","",HRData[[#This Row],[Attrition_Risk_Score]]*10000-HRData[[#This Row],[EmployeeNumber]])</f>
        <v/>
      </c>
    </row>
    <row r="6" spans="1:44">
      <c r="A6">
        <v>27</v>
      </c>
      <c r="B6" t="str" cm="1">
        <f t="array" ref="B6">_xlfn.IFS(
HRData[[#This Row],[Age]]&lt;=24,"18-24",
HRData[[#This Row],[Age]]&lt;=34,"25-34",
HRData[[#This Row],[Age]]&lt;=44,"35-44",
HRData[[#This Row],[Age]]&lt;=54,"45-54",
HRData[[#This Row],[Age]]&gt;=55,"55+"
)</f>
        <v>25-34</v>
      </c>
      <c r="C6" t="s">
        <v>43</v>
      </c>
      <c r="D6">
        <f>IF(HRData[[#This Row],[Attrition]]="Yes",1,0)</f>
        <v>0</v>
      </c>
      <c r="E6" t="s">
        <v>36</v>
      </c>
      <c r="F6">
        <v>591</v>
      </c>
      <c r="G6" t="s">
        <v>45</v>
      </c>
      <c r="H6">
        <v>2</v>
      </c>
      <c r="I6">
        <v>1</v>
      </c>
      <c r="J6" t="s">
        <v>51</v>
      </c>
      <c r="K6">
        <v>1</v>
      </c>
      <c r="L6">
        <v>7</v>
      </c>
      <c r="M6">
        <v>1</v>
      </c>
      <c r="N6" t="str" cm="1">
        <f t="array" ref="N6">_xlfn.IFS(HRData[[#This Row],[EnvironmentSatisfaction]]=1,"Very Dissatisfied",
HRData[[#This Row],[EnvironmentSatisfaction]]=2,"Dissatisfied",
HRData[[#This Row],[EnvironmentSatisfaction]]=3,"Satisfied",
HRData[[#This Row],[EnvironmentSatisfaction]]=4,"Very Satisfied"
)</f>
        <v>Very Dissatisfied</v>
      </c>
      <c r="O6" t="s">
        <v>46</v>
      </c>
      <c r="P6">
        <v>40</v>
      </c>
      <c r="Q6">
        <v>3</v>
      </c>
      <c r="R6">
        <v>1</v>
      </c>
      <c r="S6" t="s">
        <v>50</v>
      </c>
      <c r="T6">
        <v>2</v>
      </c>
      <c r="U6" t="str" cm="1">
        <f t="array" ref="U6">_xlfn.IFS(
HRData[[#This Row],[JobSatisfaction]]=1,"Very Dissatisfied",
HRData[[#This Row],[JobSatisfaction]]=2,"Dissatisfied",
HRData[[#This Row],[JobSatisfaction]]=3,"Satisfied",
HRData[[#This Row],[JobSatisfaction]]=4,"Very Satisfied"
)</f>
        <v>Dissatisfied</v>
      </c>
      <c r="V6" t="s">
        <v>48</v>
      </c>
      <c r="W6">
        <v>3468</v>
      </c>
      <c r="X6" t="str" cm="1">
        <f t="array" ref="X6">_xlfn.IFS(
HRData[[#This Row],[MonthlyIncome]]&lt;=4000,"Very Low Income",
HRData[[#This Row],[MonthlyIncome]]&lt;=8000,"Low Income",
HRData[[#This Row],[MonthlyIncome]]&lt;=12000,"Moderate Income",
HRData[[#This Row],[MonthlyIncome]]&lt;=16000,"High Income",
HRData[[#This Row],[MonthlyIncome]]&gt;16000,"Very High Income"
)</f>
        <v>Very Low Income</v>
      </c>
      <c r="Y6">
        <v>16632</v>
      </c>
      <c r="Z6">
        <v>9</v>
      </c>
      <c r="AA6" t="s">
        <v>42</v>
      </c>
      <c r="AB6" t="s">
        <v>43</v>
      </c>
      <c r="AC6">
        <v>12</v>
      </c>
      <c r="AD6" t="str" cm="1">
        <f t="array" ref="AD6">_xlfn.IFS(HRData[[#This Row],[PercentSalaryHike]]&lt;=15,"11-15",HRData[[#This Row],[PercentSalaryHike]]&lt;=20,"16-20",HRData[[#This Row],[PercentSalaryHike]]&gt;=21,"21+")</f>
        <v>11-15</v>
      </c>
      <c r="AE6">
        <v>3</v>
      </c>
      <c r="AF6">
        <v>4</v>
      </c>
      <c r="AG6">
        <v>80</v>
      </c>
      <c r="AH6">
        <v>1</v>
      </c>
      <c r="AI6">
        <v>6</v>
      </c>
      <c r="AJ6">
        <v>3</v>
      </c>
      <c r="AK6">
        <v>3</v>
      </c>
      <c r="AL6">
        <v>2</v>
      </c>
      <c r="AM6">
        <v>2</v>
      </c>
      <c r="AN6">
        <v>2</v>
      </c>
      <c r="AO6">
        <v>2</v>
      </c>
      <c r="AP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 t="str">
        <f>IF(HRData[[#This Row],[Attrition]]="Yes","Left", IF(HRData[[#This Row],[Attrition_Risk_Score]]&gt;=6,"High",IF(HRData[[#This Row],[Attrition_Risk_Score]]&gt;=3,"Medium","Low")))</f>
        <v>Medium</v>
      </c>
      <c r="AR6" t="str">
        <f>IF(HRData[[#This Row],[Attrition_Risk_Level]]&lt;&gt;"High","",HRData[[#This Row],[Attrition_Risk_Score]]*10000-HRData[[#This Row],[EmployeeNumber]])</f>
        <v/>
      </c>
    </row>
    <row r="7" spans="1:44">
      <c r="A7">
        <v>32</v>
      </c>
      <c r="B7" t="str" cm="1">
        <f t="array" ref="B7">_xlfn.IFS(
HRData[[#This Row],[Age]]&lt;=24,"18-24",
HRData[[#This Row],[Age]]&lt;=34,"25-34",
HRData[[#This Row],[Age]]&lt;=44,"35-44",
HRData[[#This Row],[Age]]&lt;=54,"45-54",
HRData[[#This Row],[Age]]&gt;=55,"55+"
)</f>
        <v>25-34</v>
      </c>
      <c r="C7" t="s">
        <v>43</v>
      </c>
      <c r="D7">
        <f>IF(HRData[[#This Row],[Attrition]]="Yes",1,0)</f>
        <v>0</v>
      </c>
      <c r="E7" t="s">
        <v>44</v>
      </c>
      <c r="F7">
        <v>1005</v>
      </c>
      <c r="G7" t="s">
        <v>45</v>
      </c>
      <c r="H7">
        <v>2</v>
      </c>
      <c r="I7">
        <v>2</v>
      </c>
      <c r="J7" t="s">
        <v>38</v>
      </c>
      <c r="K7">
        <v>1</v>
      </c>
      <c r="L7">
        <v>8</v>
      </c>
      <c r="M7">
        <v>4</v>
      </c>
      <c r="N7" t="str" cm="1">
        <f t="array" ref="N7">_xlfn.IFS(HRData[[#This Row],[EnvironmentSatisfaction]]=1,"Very Dissatisfied",
HRData[[#This Row],[EnvironmentSatisfaction]]=2,"Dissatisfied",
HRData[[#This Row],[EnvironmentSatisfaction]]=3,"Satisfied",
HRData[[#This Row],[EnvironmentSatisfaction]]=4,"Very Satisfied"
)</f>
        <v>Very Satisfied</v>
      </c>
      <c r="O7" t="s">
        <v>46</v>
      </c>
      <c r="P7">
        <v>79</v>
      </c>
      <c r="Q7">
        <v>3</v>
      </c>
      <c r="R7">
        <v>1</v>
      </c>
      <c r="S7" t="s">
        <v>50</v>
      </c>
      <c r="T7">
        <v>4</v>
      </c>
      <c r="U7" t="str" cm="1">
        <f t="array" ref="U7">_xlfn.IFS(
HRData[[#This Row],[JobSatisfaction]]=1,"Very Dissatisfied",
HRData[[#This Row],[JobSatisfaction]]=2,"Dissatisfied",
HRData[[#This Row],[JobSatisfaction]]=3,"Satisfied",
HRData[[#This Row],[JobSatisfaction]]=4,"Very Satisfied"
)</f>
        <v>Very Satisfied</v>
      </c>
      <c r="V7" t="s">
        <v>41</v>
      </c>
      <c r="W7">
        <v>3068</v>
      </c>
      <c r="X7" t="str" cm="1">
        <f t="array" ref="X7">_xlfn.IFS(
HRData[[#This Row],[MonthlyIncome]]&lt;=4000,"Very Low Income",
HRData[[#This Row],[MonthlyIncome]]&lt;=8000,"Low Income",
HRData[[#This Row],[MonthlyIncome]]&lt;=12000,"Moderate Income",
HRData[[#This Row],[MonthlyIncome]]&lt;=16000,"High Income",
HRData[[#This Row],[MonthlyIncome]]&gt;16000,"Very High Income"
)</f>
        <v>Very Low Income</v>
      </c>
      <c r="Y7">
        <v>11864</v>
      </c>
      <c r="Z7">
        <v>0</v>
      </c>
      <c r="AA7" t="s">
        <v>42</v>
      </c>
      <c r="AB7" t="s">
        <v>43</v>
      </c>
      <c r="AC7">
        <v>13</v>
      </c>
      <c r="AD7" t="str" cm="1">
        <f t="array" ref="AD7">_xlfn.IFS(HRData[[#This Row],[PercentSalaryHike]]&lt;=15,"11-15",HRData[[#This Row],[PercentSalaryHike]]&lt;=20,"16-20",HRData[[#This Row],[PercentSalaryHike]]&gt;=21,"21+")</f>
        <v>11-15</v>
      </c>
      <c r="AE7">
        <v>3</v>
      </c>
      <c r="AF7">
        <v>3</v>
      </c>
      <c r="AG7">
        <v>80</v>
      </c>
      <c r="AH7">
        <v>0</v>
      </c>
      <c r="AI7">
        <v>8</v>
      </c>
      <c r="AJ7">
        <v>2</v>
      </c>
      <c r="AK7">
        <v>2</v>
      </c>
      <c r="AL7">
        <v>7</v>
      </c>
      <c r="AM7">
        <v>7</v>
      </c>
      <c r="AN7">
        <v>3</v>
      </c>
      <c r="AO7">
        <v>6</v>
      </c>
      <c r="AP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7" t="str">
        <f>IF(HRData[[#This Row],[Attrition]]="Yes","Left", IF(HRData[[#This Row],[Attrition_Risk_Score]]&gt;=6,"High",IF(HRData[[#This Row],[Attrition_Risk_Score]]&gt;=3,"Medium","Low")))</f>
        <v>Medium</v>
      </c>
      <c r="AR7" t="str">
        <f>IF(HRData[[#This Row],[Attrition_Risk_Level]]&lt;&gt;"High","",HRData[[#This Row],[Attrition_Risk_Score]]*10000-HRData[[#This Row],[EmployeeNumber]])</f>
        <v/>
      </c>
    </row>
    <row r="8" spans="1:44">
      <c r="A8">
        <v>59</v>
      </c>
      <c r="B8" t="str" cm="1">
        <f t="array" ref="B8">_xlfn.IFS(
HRData[[#This Row],[Age]]&lt;=24,"18-24",
HRData[[#This Row],[Age]]&lt;=34,"25-34",
HRData[[#This Row],[Age]]&lt;=44,"35-44",
HRData[[#This Row],[Age]]&lt;=54,"45-54",
HRData[[#This Row],[Age]]&gt;=55,"55+"
)</f>
        <v>55+</v>
      </c>
      <c r="C8" t="s">
        <v>43</v>
      </c>
      <c r="D8">
        <f>IF(HRData[[#This Row],[Attrition]]="Yes",1,0)</f>
        <v>0</v>
      </c>
      <c r="E8" t="s">
        <v>36</v>
      </c>
      <c r="F8">
        <v>1324</v>
      </c>
      <c r="G8" t="s">
        <v>45</v>
      </c>
      <c r="H8">
        <v>3</v>
      </c>
      <c r="I8">
        <v>3</v>
      </c>
      <c r="J8" t="s">
        <v>51</v>
      </c>
      <c r="K8">
        <v>1</v>
      </c>
      <c r="L8">
        <v>10</v>
      </c>
      <c r="M8">
        <v>3</v>
      </c>
      <c r="N8" t="str" cm="1">
        <f t="array" ref="N8">_xlfn.IFS(HRData[[#This Row],[EnvironmentSatisfaction]]=1,"Very Dissatisfied",
HRData[[#This Row],[EnvironmentSatisfaction]]=2,"Dissatisfied",
HRData[[#This Row],[EnvironmentSatisfaction]]=3,"Satisfied",
HRData[[#This Row],[EnvironmentSatisfaction]]=4,"Very Satisfied"
)</f>
        <v>Satisfied</v>
      </c>
      <c r="O8" t="s">
        <v>39</v>
      </c>
      <c r="P8">
        <v>81</v>
      </c>
      <c r="Q8">
        <v>4</v>
      </c>
      <c r="R8">
        <v>1</v>
      </c>
      <c r="S8" t="s">
        <v>50</v>
      </c>
      <c r="T8">
        <v>1</v>
      </c>
      <c r="U8" t="str" cm="1">
        <f t="array" ref="U8">_xlfn.IFS(
HRData[[#This Row],[JobSatisfaction]]=1,"Very Dissatisfied",
HRData[[#This Row],[JobSatisfaction]]=2,"Dissatisfied",
HRData[[#This Row],[JobSatisfaction]]=3,"Satisfied",
HRData[[#This Row],[JobSatisfaction]]=4,"Very Satisfied"
)</f>
        <v>Very Dissatisfied</v>
      </c>
      <c r="V8" t="s">
        <v>48</v>
      </c>
      <c r="W8">
        <v>2670</v>
      </c>
      <c r="X8" t="str" cm="1">
        <f t="array" ref="X8">_xlfn.IFS(
HRData[[#This Row],[MonthlyIncome]]&lt;=4000,"Very Low Income",
HRData[[#This Row],[MonthlyIncome]]&lt;=8000,"Low Income",
HRData[[#This Row],[MonthlyIncome]]&lt;=12000,"Moderate Income",
HRData[[#This Row],[MonthlyIncome]]&lt;=16000,"High Income",
HRData[[#This Row],[MonthlyIncome]]&gt;16000,"Very High Income"
)</f>
        <v>Very Low Income</v>
      </c>
      <c r="Y8">
        <v>9964</v>
      </c>
      <c r="Z8">
        <v>4</v>
      </c>
      <c r="AA8" t="s">
        <v>42</v>
      </c>
      <c r="AB8" t="s">
        <v>35</v>
      </c>
      <c r="AC8">
        <v>20</v>
      </c>
      <c r="AD8" t="str" cm="1">
        <f t="array" ref="AD8">_xlfn.IFS(HRData[[#This Row],[PercentSalaryHike]]&lt;=15,"11-15",HRData[[#This Row],[PercentSalaryHike]]&lt;=20,"16-20",HRData[[#This Row],[PercentSalaryHike]]&gt;=21,"21+")</f>
        <v>16-20</v>
      </c>
      <c r="AE8">
        <v>4</v>
      </c>
      <c r="AF8">
        <v>1</v>
      </c>
      <c r="AG8">
        <v>80</v>
      </c>
      <c r="AH8">
        <v>3</v>
      </c>
      <c r="AI8">
        <v>12</v>
      </c>
      <c r="AJ8">
        <v>3</v>
      </c>
      <c r="AK8">
        <v>2</v>
      </c>
      <c r="AL8">
        <v>1</v>
      </c>
      <c r="AM8">
        <v>0</v>
      </c>
      <c r="AN8">
        <v>0</v>
      </c>
      <c r="AO8">
        <v>0</v>
      </c>
      <c r="AP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8" t="str">
        <f>IF(HRData[[#This Row],[Attrition]]="Yes","Left", IF(HRData[[#This Row],[Attrition_Risk_Score]]&gt;=6,"High",IF(HRData[[#This Row],[Attrition_Risk_Score]]&gt;=3,"Medium","Low")))</f>
        <v>High</v>
      </c>
      <c r="AR8">
        <f>IF(HRData[[#This Row],[Attrition_Risk_Level]]&lt;&gt;"High","",HRData[[#This Row],[Attrition_Risk_Score]]*10000-HRData[[#This Row],[EmployeeNumber]])</f>
        <v>69990</v>
      </c>
    </row>
    <row r="9" spans="1:44">
      <c r="A9">
        <v>30</v>
      </c>
      <c r="B9" t="str" cm="1">
        <f t="array" ref="B9">_xlfn.IFS(
HRData[[#This Row],[Age]]&lt;=24,"18-24",
HRData[[#This Row],[Age]]&lt;=34,"25-34",
HRData[[#This Row],[Age]]&lt;=44,"35-44",
HRData[[#This Row],[Age]]&lt;=54,"45-54",
HRData[[#This Row],[Age]]&gt;=55,"55+"
)</f>
        <v>25-34</v>
      </c>
      <c r="C9" t="s">
        <v>43</v>
      </c>
      <c r="D9">
        <f>IF(HRData[[#This Row],[Attrition]]="Yes",1,0)</f>
        <v>0</v>
      </c>
      <c r="E9" t="s">
        <v>36</v>
      </c>
      <c r="F9">
        <v>1358</v>
      </c>
      <c r="G9" t="s">
        <v>45</v>
      </c>
      <c r="H9">
        <v>24</v>
      </c>
      <c r="I9">
        <v>1</v>
      </c>
      <c r="J9" t="s">
        <v>38</v>
      </c>
      <c r="K9">
        <v>1</v>
      </c>
      <c r="L9">
        <v>11</v>
      </c>
      <c r="M9">
        <v>4</v>
      </c>
      <c r="N9" t="str" cm="1">
        <f t="array" ref="N9">_xlfn.IFS(HRData[[#This Row],[EnvironmentSatisfaction]]=1,"Very Dissatisfied",
HRData[[#This Row],[EnvironmentSatisfaction]]=2,"Dissatisfied",
HRData[[#This Row],[EnvironmentSatisfaction]]=3,"Satisfied",
HRData[[#This Row],[EnvironmentSatisfaction]]=4,"Very Satisfied"
)</f>
        <v>Very Satisfied</v>
      </c>
      <c r="O9" t="s">
        <v>46</v>
      </c>
      <c r="P9">
        <v>67</v>
      </c>
      <c r="Q9">
        <v>3</v>
      </c>
      <c r="R9">
        <v>1</v>
      </c>
      <c r="S9" t="s">
        <v>50</v>
      </c>
      <c r="T9">
        <v>3</v>
      </c>
      <c r="U9" t="str" cm="1">
        <f t="array" ref="U9">_xlfn.IFS(
HRData[[#This Row],[JobSatisfaction]]=1,"Very Dissatisfied",
HRData[[#This Row],[JobSatisfaction]]=2,"Dissatisfied",
HRData[[#This Row],[JobSatisfaction]]=3,"Satisfied",
HRData[[#This Row],[JobSatisfaction]]=4,"Very Satisfied"
)</f>
        <v>Satisfied</v>
      </c>
      <c r="V9" t="s">
        <v>52</v>
      </c>
      <c r="W9">
        <v>2693</v>
      </c>
      <c r="X9" t="str" cm="1">
        <f t="array" ref="X9">_xlfn.IFS(
HRData[[#This Row],[MonthlyIncome]]&lt;=4000,"Very Low Income",
HRData[[#This Row],[MonthlyIncome]]&lt;=8000,"Low Income",
HRData[[#This Row],[MonthlyIncome]]&lt;=12000,"Moderate Income",
HRData[[#This Row],[MonthlyIncome]]&lt;=16000,"High Income",
HRData[[#This Row],[MonthlyIncome]]&gt;16000,"Very High Income"
)</f>
        <v>Very Low Income</v>
      </c>
      <c r="Y9">
        <v>13335</v>
      </c>
      <c r="Z9">
        <v>1</v>
      </c>
      <c r="AA9" t="s">
        <v>42</v>
      </c>
      <c r="AB9" t="s">
        <v>43</v>
      </c>
      <c r="AC9">
        <v>22</v>
      </c>
      <c r="AD9" t="str" cm="1">
        <f t="array" ref="AD9">_xlfn.IFS(HRData[[#This Row],[PercentSalaryHike]]&lt;=15,"11-15",HRData[[#This Row],[PercentSalaryHike]]&lt;=20,"16-20",HRData[[#This Row],[PercentSalaryHike]]&gt;=21,"21+")</f>
        <v>21+</v>
      </c>
      <c r="AE9">
        <v>4</v>
      </c>
      <c r="AF9">
        <v>2</v>
      </c>
      <c r="AG9">
        <v>80</v>
      </c>
      <c r="AH9">
        <v>1</v>
      </c>
      <c r="AI9">
        <v>1</v>
      </c>
      <c r="AJ9">
        <v>2</v>
      </c>
      <c r="AK9">
        <v>3</v>
      </c>
      <c r="AL9">
        <v>1</v>
      </c>
      <c r="AM9">
        <v>0</v>
      </c>
      <c r="AN9">
        <v>0</v>
      </c>
      <c r="AO9">
        <v>0</v>
      </c>
      <c r="AP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9" t="str">
        <f>IF(HRData[[#This Row],[Attrition]]="Yes","Left", IF(HRData[[#This Row],[Attrition_Risk_Score]]&gt;=6,"High",IF(HRData[[#This Row],[Attrition_Risk_Score]]&gt;=3,"Medium","Low")))</f>
        <v>Medium</v>
      </c>
      <c r="AR9" t="str">
        <f>IF(HRData[[#This Row],[Attrition_Risk_Level]]&lt;&gt;"High","",HRData[[#This Row],[Attrition_Risk_Score]]*10000-HRData[[#This Row],[EmployeeNumber]])</f>
        <v/>
      </c>
    </row>
    <row r="10" spans="1:44">
      <c r="A10">
        <v>38</v>
      </c>
      <c r="B10" t="str" cm="1">
        <f t="array" ref="B10">_xlfn.IFS(
HRData[[#This Row],[Age]]&lt;=24,"18-24",
HRData[[#This Row],[Age]]&lt;=34,"25-34",
HRData[[#This Row],[Age]]&lt;=44,"35-44",
HRData[[#This Row],[Age]]&lt;=54,"45-54",
HRData[[#This Row],[Age]]&gt;=55,"55+"
)</f>
        <v>35-44</v>
      </c>
      <c r="C10" t="s">
        <v>43</v>
      </c>
      <c r="D10">
        <f>IF(HRData[[#This Row],[Attrition]]="Yes",1,0)</f>
        <v>0</v>
      </c>
      <c r="E10" t="s">
        <v>44</v>
      </c>
      <c r="F10">
        <v>216</v>
      </c>
      <c r="G10" t="s">
        <v>45</v>
      </c>
      <c r="H10">
        <v>23</v>
      </c>
      <c r="I10">
        <v>3</v>
      </c>
      <c r="J10" t="s">
        <v>38</v>
      </c>
      <c r="K10">
        <v>1</v>
      </c>
      <c r="L10">
        <v>12</v>
      </c>
      <c r="M10">
        <v>4</v>
      </c>
      <c r="N10" t="str" cm="1">
        <f t="array" ref="N10">_xlfn.IFS(HRData[[#This Row],[EnvironmentSatisfaction]]=1,"Very Dissatisfied",
HRData[[#This Row],[EnvironmentSatisfaction]]=2,"Dissatisfied",
HRData[[#This Row],[EnvironmentSatisfaction]]=3,"Satisfied",
HRData[[#This Row],[EnvironmentSatisfaction]]=4,"Very Satisfied"
)</f>
        <v>Very Satisfied</v>
      </c>
      <c r="O10" t="s">
        <v>46</v>
      </c>
      <c r="P10">
        <v>44</v>
      </c>
      <c r="Q10">
        <v>2</v>
      </c>
      <c r="R10">
        <v>3</v>
      </c>
      <c r="S10" t="s">
        <v>53</v>
      </c>
      <c r="T10">
        <v>3</v>
      </c>
      <c r="U10" t="str" cm="1">
        <f t="array" ref="U10">_xlfn.IFS(
HRData[[#This Row],[JobSatisfaction]]=1,"Very Dissatisfied",
HRData[[#This Row],[JobSatisfaction]]=2,"Dissatisfied",
HRData[[#This Row],[JobSatisfaction]]=3,"Satisfied",
HRData[[#This Row],[JobSatisfaction]]=4,"Very Satisfied"
)</f>
        <v>Satisfied</v>
      </c>
      <c r="V10" t="s">
        <v>41</v>
      </c>
      <c r="W10">
        <v>9526</v>
      </c>
      <c r="X10" t="str" cm="1">
        <f t="array" ref="X10">_xlfn.IFS(
HRData[[#This Row],[MonthlyIncome]]&lt;=4000,"Very Low Income",
HRData[[#This Row],[MonthlyIncome]]&lt;=8000,"Low Income",
HRData[[#This Row],[MonthlyIncome]]&lt;=12000,"Moderate Income",
HRData[[#This Row],[MonthlyIncome]]&lt;=16000,"High Income",
HRData[[#This Row],[MonthlyIncome]]&gt;16000,"Very High Income"
)</f>
        <v>Moderate Income</v>
      </c>
      <c r="Y10">
        <v>8787</v>
      </c>
      <c r="Z10">
        <v>0</v>
      </c>
      <c r="AA10" t="s">
        <v>42</v>
      </c>
      <c r="AB10" t="s">
        <v>43</v>
      </c>
      <c r="AC10">
        <v>21</v>
      </c>
      <c r="AD10" t="str" cm="1">
        <f t="array" ref="AD10">_xlfn.IFS(HRData[[#This Row],[PercentSalaryHike]]&lt;=15,"11-15",HRData[[#This Row],[PercentSalaryHike]]&lt;=20,"16-20",HRData[[#This Row],[PercentSalaryHike]]&gt;=21,"21+")</f>
        <v>21+</v>
      </c>
      <c r="AE10">
        <v>4</v>
      </c>
      <c r="AF10">
        <v>2</v>
      </c>
      <c r="AG10">
        <v>80</v>
      </c>
      <c r="AH10">
        <v>0</v>
      </c>
      <c r="AI10">
        <v>10</v>
      </c>
      <c r="AJ10">
        <v>2</v>
      </c>
      <c r="AK10">
        <v>3</v>
      </c>
      <c r="AL10">
        <v>9</v>
      </c>
      <c r="AM10">
        <v>7</v>
      </c>
      <c r="AN10">
        <v>1</v>
      </c>
      <c r="AO10">
        <v>8</v>
      </c>
      <c r="AP1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0" t="str">
        <f>IF(HRData[[#This Row],[Attrition]]="Yes","Left", IF(HRData[[#This Row],[Attrition_Risk_Score]]&gt;=6,"High",IF(HRData[[#This Row],[Attrition_Risk_Score]]&gt;=3,"Medium","Low")))</f>
        <v>Low</v>
      </c>
      <c r="AR10" t="str">
        <f>IF(HRData[[#This Row],[Attrition_Risk_Level]]&lt;&gt;"High","",HRData[[#This Row],[Attrition_Risk_Score]]*10000-HRData[[#This Row],[EmployeeNumber]])</f>
        <v/>
      </c>
    </row>
    <row r="11" spans="1:44">
      <c r="A11">
        <v>36</v>
      </c>
      <c r="B11" t="str" cm="1">
        <f t="array" ref="B11">_xlfn.IFS(
HRData[[#This Row],[Age]]&lt;=24,"18-24",
HRData[[#This Row],[Age]]&lt;=34,"25-34",
HRData[[#This Row],[Age]]&lt;=44,"35-44",
HRData[[#This Row],[Age]]&lt;=54,"45-54",
HRData[[#This Row],[Age]]&gt;=55,"55+"
)</f>
        <v>35-44</v>
      </c>
      <c r="C11" t="s">
        <v>43</v>
      </c>
      <c r="D11">
        <f>IF(HRData[[#This Row],[Attrition]]="Yes",1,0)</f>
        <v>0</v>
      </c>
      <c r="E11" t="s">
        <v>36</v>
      </c>
      <c r="F11">
        <v>1299</v>
      </c>
      <c r="G11" t="s">
        <v>45</v>
      </c>
      <c r="H11">
        <v>27</v>
      </c>
      <c r="I11">
        <v>3</v>
      </c>
      <c r="J11" t="s">
        <v>51</v>
      </c>
      <c r="K11">
        <v>1</v>
      </c>
      <c r="L11">
        <v>13</v>
      </c>
      <c r="M11">
        <v>3</v>
      </c>
      <c r="N11" t="str" cm="1">
        <f t="array" ref="N11">_xlfn.IFS(HRData[[#This Row],[EnvironmentSatisfaction]]=1,"Very Dissatisfied",
HRData[[#This Row],[EnvironmentSatisfaction]]=2,"Dissatisfied",
HRData[[#This Row],[EnvironmentSatisfaction]]=3,"Satisfied",
HRData[[#This Row],[EnvironmentSatisfaction]]=4,"Very Satisfied"
)</f>
        <v>Satisfied</v>
      </c>
      <c r="O11" t="s">
        <v>46</v>
      </c>
      <c r="P11">
        <v>94</v>
      </c>
      <c r="Q11">
        <v>3</v>
      </c>
      <c r="R11">
        <v>2</v>
      </c>
      <c r="S11" t="s">
        <v>54</v>
      </c>
      <c r="T11">
        <v>3</v>
      </c>
      <c r="U11" t="str" cm="1">
        <f t="array" ref="U11">_xlfn.IFS(
HRData[[#This Row],[JobSatisfaction]]=1,"Very Dissatisfied",
HRData[[#This Row],[JobSatisfaction]]=2,"Dissatisfied",
HRData[[#This Row],[JobSatisfaction]]=3,"Satisfied",
HRData[[#This Row],[JobSatisfaction]]=4,"Very Satisfied"
)</f>
        <v>Satisfied</v>
      </c>
      <c r="V11" t="s">
        <v>48</v>
      </c>
      <c r="W11">
        <v>5237</v>
      </c>
      <c r="X11" t="str" cm="1">
        <f t="array" ref="X11">_xlfn.IFS(
HRData[[#This Row],[MonthlyIncome]]&lt;=4000,"Very Low Income",
HRData[[#This Row],[MonthlyIncome]]&lt;=8000,"Low Income",
HRData[[#This Row],[MonthlyIncome]]&lt;=12000,"Moderate Income",
HRData[[#This Row],[MonthlyIncome]]&lt;=16000,"High Income",
HRData[[#This Row],[MonthlyIncome]]&gt;16000,"Very High Income"
)</f>
        <v>Low Income</v>
      </c>
      <c r="Y11">
        <v>16577</v>
      </c>
      <c r="Z11">
        <v>6</v>
      </c>
      <c r="AA11" t="s">
        <v>42</v>
      </c>
      <c r="AB11" t="s">
        <v>43</v>
      </c>
      <c r="AC11">
        <v>13</v>
      </c>
      <c r="AD11" t="str" cm="1">
        <f t="array" ref="AD11">_xlfn.IFS(HRData[[#This Row],[PercentSalaryHike]]&lt;=15,"11-15",HRData[[#This Row],[PercentSalaryHike]]&lt;=20,"16-20",HRData[[#This Row],[PercentSalaryHike]]&gt;=21,"21+")</f>
        <v>11-15</v>
      </c>
      <c r="AE11">
        <v>3</v>
      </c>
      <c r="AF11">
        <v>2</v>
      </c>
      <c r="AG11">
        <v>80</v>
      </c>
      <c r="AH11">
        <v>2</v>
      </c>
      <c r="AI11">
        <v>17</v>
      </c>
      <c r="AJ11">
        <v>3</v>
      </c>
      <c r="AK11">
        <v>2</v>
      </c>
      <c r="AL11">
        <v>7</v>
      </c>
      <c r="AM11">
        <v>7</v>
      </c>
      <c r="AN11">
        <v>7</v>
      </c>
      <c r="AO11">
        <v>7</v>
      </c>
      <c r="AP1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1" t="str">
        <f>IF(HRData[[#This Row],[Attrition]]="Yes","Left", IF(HRData[[#This Row],[Attrition_Risk_Score]]&gt;=6,"High",IF(HRData[[#This Row],[Attrition_Risk_Score]]&gt;=3,"Medium","Low")))</f>
        <v>Low</v>
      </c>
      <c r="AR11" t="str">
        <f>IF(HRData[[#This Row],[Attrition_Risk_Level]]&lt;&gt;"High","",HRData[[#This Row],[Attrition_Risk_Score]]*10000-HRData[[#This Row],[EmployeeNumber]])</f>
        <v/>
      </c>
    </row>
    <row r="12" spans="1:44">
      <c r="A12">
        <v>35</v>
      </c>
      <c r="B12" t="str" cm="1">
        <f t="array" ref="B12">_xlfn.IFS(
HRData[[#This Row],[Age]]&lt;=24,"18-24",
HRData[[#This Row],[Age]]&lt;=34,"25-34",
HRData[[#This Row],[Age]]&lt;=44,"35-44",
HRData[[#This Row],[Age]]&lt;=54,"45-54",
HRData[[#This Row],[Age]]&gt;=55,"55+"
)</f>
        <v>35-44</v>
      </c>
      <c r="C12" t="s">
        <v>43</v>
      </c>
      <c r="D12">
        <f>IF(HRData[[#This Row],[Attrition]]="Yes",1,0)</f>
        <v>0</v>
      </c>
      <c r="E12" t="s">
        <v>36</v>
      </c>
      <c r="F12">
        <v>809</v>
      </c>
      <c r="G12" t="s">
        <v>45</v>
      </c>
      <c r="H12">
        <v>16</v>
      </c>
      <c r="I12">
        <v>3</v>
      </c>
      <c r="J12" t="s">
        <v>51</v>
      </c>
      <c r="K12">
        <v>1</v>
      </c>
      <c r="L12">
        <v>14</v>
      </c>
      <c r="M12">
        <v>1</v>
      </c>
      <c r="N12" t="str" cm="1">
        <f t="array" ref="N12">_xlfn.IFS(HRData[[#This Row],[EnvironmentSatisfaction]]=1,"Very Dissatisfied",
HRData[[#This Row],[EnvironmentSatisfaction]]=2,"Dissatisfied",
HRData[[#This Row],[EnvironmentSatisfaction]]=3,"Satisfied",
HRData[[#This Row],[EnvironmentSatisfaction]]=4,"Very Satisfied"
)</f>
        <v>Very Dissatisfied</v>
      </c>
      <c r="O12" t="s">
        <v>46</v>
      </c>
      <c r="P12">
        <v>84</v>
      </c>
      <c r="Q12">
        <v>4</v>
      </c>
      <c r="R12">
        <v>1</v>
      </c>
      <c r="S12" t="s">
        <v>50</v>
      </c>
      <c r="T12">
        <v>2</v>
      </c>
      <c r="U12" t="str" cm="1">
        <f t="array" ref="U12">_xlfn.IFS(
HRData[[#This Row],[JobSatisfaction]]=1,"Very Dissatisfied",
HRData[[#This Row],[JobSatisfaction]]=2,"Dissatisfied",
HRData[[#This Row],[JobSatisfaction]]=3,"Satisfied",
HRData[[#This Row],[JobSatisfaction]]=4,"Very Satisfied"
)</f>
        <v>Dissatisfied</v>
      </c>
      <c r="V12" t="s">
        <v>48</v>
      </c>
      <c r="W12">
        <v>2426</v>
      </c>
      <c r="X12" t="str" cm="1">
        <f t="array" ref="X12">_xlfn.IFS(
HRData[[#This Row],[MonthlyIncome]]&lt;=4000,"Very Low Income",
HRData[[#This Row],[MonthlyIncome]]&lt;=8000,"Low Income",
HRData[[#This Row],[MonthlyIncome]]&lt;=12000,"Moderate Income",
HRData[[#This Row],[MonthlyIncome]]&lt;=16000,"High Income",
HRData[[#This Row],[MonthlyIncome]]&gt;16000,"Very High Income"
)</f>
        <v>Very Low Income</v>
      </c>
      <c r="Y12">
        <v>16479</v>
      </c>
      <c r="Z12">
        <v>0</v>
      </c>
      <c r="AA12" t="s">
        <v>42</v>
      </c>
      <c r="AB12" t="s">
        <v>43</v>
      </c>
      <c r="AC12">
        <v>13</v>
      </c>
      <c r="AD12" t="str" cm="1">
        <f t="array" ref="AD12">_xlfn.IFS(HRData[[#This Row],[PercentSalaryHike]]&lt;=15,"11-15",HRData[[#This Row],[PercentSalaryHike]]&lt;=20,"16-20",HRData[[#This Row],[PercentSalaryHike]]&gt;=21,"21+")</f>
        <v>11-15</v>
      </c>
      <c r="AE12">
        <v>3</v>
      </c>
      <c r="AF12">
        <v>3</v>
      </c>
      <c r="AG12">
        <v>80</v>
      </c>
      <c r="AH12">
        <v>1</v>
      </c>
      <c r="AI12">
        <v>6</v>
      </c>
      <c r="AJ12">
        <v>5</v>
      </c>
      <c r="AK12">
        <v>3</v>
      </c>
      <c r="AL12">
        <v>5</v>
      </c>
      <c r="AM12">
        <v>4</v>
      </c>
      <c r="AN12">
        <v>0</v>
      </c>
      <c r="AO12">
        <v>3</v>
      </c>
      <c r="AP1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 t="str">
        <f>IF(HRData[[#This Row],[Attrition]]="Yes","Left", IF(HRData[[#This Row],[Attrition_Risk_Score]]&gt;=6,"High",IF(HRData[[#This Row],[Attrition_Risk_Score]]&gt;=3,"Medium","Low")))</f>
        <v>Medium</v>
      </c>
      <c r="AR12" t="str">
        <f>IF(HRData[[#This Row],[Attrition_Risk_Level]]&lt;&gt;"High","",HRData[[#This Row],[Attrition_Risk_Score]]*10000-HRData[[#This Row],[EmployeeNumber]])</f>
        <v/>
      </c>
    </row>
    <row r="13" spans="1:44">
      <c r="A13">
        <v>29</v>
      </c>
      <c r="B13" t="str" cm="1">
        <f t="array" ref="B13">_xlfn.IFS(
HRData[[#This Row],[Age]]&lt;=24,"18-24",
HRData[[#This Row],[Age]]&lt;=34,"25-34",
HRData[[#This Row],[Age]]&lt;=44,"35-44",
HRData[[#This Row],[Age]]&lt;=54,"45-54",
HRData[[#This Row],[Age]]&gt;=55,"55+"
)</f>
        <v>25-34</v>
      </c>
      <c r="C13" t="s">
        <v>43</v>
      </c>
      <c r="D13">
        <f>IF(HRData[[#This Row],[Attrition]]="Yes",1,0)</f>
        <v>0</v>
      </c>
      <c r="E13" t="s">
        <v>36</v>
      </c>
      <c r="F13">
        <v>153</v>
      </c>
      <c r="G13" t="s">
        <v>45</v>
      </c>
      <c r="H13">
        <v>15</v>
      </c>
      <c r="I13">
        <v>2</v>
      </c>
      <c r="J13" t="s">
        <v>38</v>
      </c>
      <c r="K13">
        <v>1</v>
      </c>
      <c r="L13">
        <v>15</v>
      </c>
      <c r="M13">
        <v>4</v>
      </c>
      <c r="N13" t="str" cm="1">
        <f t="array" ref="N13">_xlfn.IFS(HRData[[#This Row],[EnvironmentSatisfaction]]=1,"Very Dissatisfied",
HRData[[#This Row],[EnvironmentSatisfaction]]=2,"Dissatisfied",
HRData[[#This Row],[EnvironmentSatisfaction]]=3,"Satisfied",
HRData[[#This Row],[EnvironmentSatisfaction]]=4,"Very Satisfied"
)</f>
        <v>Very Satisfied</v>
      </c>
      <c r="O13" t="s">
        <v>39</v>
      </c>
      <c r="P13">
        <v>49</v>
      </c>
      <c r="Q13">
        <v>2</v>
      </c>
      <c r="R13">
        <v>2</v>
      </c>
      <c r="S13" t="s">
        <v>50</v>
      </c>
      <c r="T13">
        <v>3</v>
      </c>
      <c r="U13" t="str" cm="1">
        <f t="array" ref="U13">_xlfn.IFS(
HRData[[#This Row],[JobSatisfaction]]=1,"Very Dissatisfied",
HRData[[#This Row],[JobSatisfaction]]=2,"Dissatisfied",
HRData[[#This Row],[JobSatisfaction]]=3,"Satisfied",
HRData[[#This Row],[JobSatisfaction]]=4,"Very Satisfied"
)</f>
        <v>Satisfied</v>
      </c>
      <c r="V13" t="s">
        <v>41</v>
      </c>
      <c r="W13">
        <v>4193</v>
      </c>
      <c r="X13" t="str" cm="1">
        <f t="array" ref="X13">_xlfn.IFS(
HRData[[#This Row],[MonthlyIncome]]&lt;=4000,"Very Low Income",
HRData[[#This Row],[MonthlyIncome]]&lt;=8000,"Low Income",
HRData[[#This Row],[MonthlyIncome]]&lt;=12000,"Moderate Income",
HRData[[#This Row],[MonthlyIncome]]&lt;=16000,"High Income",
HRData[[#This Row],[MonthlyIncome]]&gt;16000,"Very High Income"
)</f>
        <v>Low Income</v>
      </c>
      <c r="Y13">
        <v>12682</v>
      </c>
      <c r="Z13">
        <v>0</v>
      </c>
      <c r="AA13" t="s">
        <v>42</v>
      </c>
      <c r="AB13" t="s">
        <v>35</v>
      </c>
      <c r="AC13">
        <v>12</v>
      </c>
      <c r="AD13" t="str" cm="1">
        <f t="array" ref="AD13">_xlfn.IFS(HRData[[#This Row],[PercentSalaryHike]]&lt;=15,"11-15",HRData[[#This Row],[PercentSalaryHike]]&lt;=20,"16-20",HRData[[#This Row],[PercentSalaryHike]]&gt;=21,"21+")</f>
        <v>11-15</v>
      </c>
      <c r="AE13">
        <v>3</v>
      </c>
      <c r="AF13">
        <v>4</v>
      </c>
      <c r="AG13">
        <v>80</v>
      </c>
      <c r="AH13">
        <v>0</v>
      </c>
      <c r="AI13">
        <v>10</v>
      </c>
      <c r="AJ13">
        <v>3</v>
      </c>
      <c r="AK13">
        <v>3</v>
      </c>
      <c r="AL13">
        <v>9</v>
      </c>
      <c r="AM13">
        <v>5</v>
      </c>
      <c r="AN13">
        <v>0</v>
      </c>
      <c r="AO13">
        <v>8</v>
      </c>
      <c r="AP1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3" t="str">
        <f>IF(HRData[[#This Row],[Attrition]]="Yes","Left", IF(HRData[[#This Row],[Attrition_Risk_Score]]&gt;=6,"High",IF(HRData[[#This Row],[Attrition_Risk_Score]]&gt;=3,"Medium","Low")))</f>
        <v>Medium</v>
      </c>
      <c r="AR13" t="str">
        <f>IF(HRData[[#This Row],[Attrition_Risk_Level]]&lt;&gt;"High","",HRData[[#This Row],[Attrition_Risk_Score]]*10000-HRData[[#This Row],[EmployeeNumber]])</f>
        <v/>
      </c>
    </row>
    <row r="14" spans="1:44">
      <c r="A14">
        <v>31</v>
      </c>
      <c r="B14" t="str" cm="1">
        <f t="array" ref="B14">_xlfn.IFS(
HRData[[#This Row],[Age]]&lt;=24,"18-24",
HRData[[#This Row],[Age]]&lt;=34,"25-34",
HRData[[#This Row],[Age]]&lt;=44,"35-44",
HRData[[#This Row],[Age]]&lt;=54,"45-54",
HRData[[#This Row],[Age]]&gt;=55,"55+"
)</f>
        <v>25-34</v>
      </c>
      <c r="C14" t="s">
        <v>43</v>
      </c>
      <c r="D14">
        <f>IF(HRData[[#This Row],[Attrition]]="Yes",1,0)</f>
        <v>0</v>
      </c>
      <c r="E14" t="s">
        <v>36</v>
      </c>
      <c r="F14">
        <v>670</v>
      </c>
      <c r="G14" t="s">
        <v>45</v>
      </c>
      <c r="H14">
        <v>26</v>
      </c>
      <c r="I14">
        <v>1</v>
      </c>
      <c r="J14" t="s">
        <v>38</v>
      </c>
      <c r="K14">
        <v>1</v>
      </c>
      <c r="L14">
        <v>16</v>
      </c>
      <c r="M14">
        <v>1</v>
      </c>
      <c r="N14" t="str" cm="1">
        <f t="array" ref="N14">_xlfn.IFS(HRData[[#This Row],[EnvironmentSatisfaction]]=1,"Very Dissatisfied",
HRData[[#This Row],[EnvironmentSatisfaction]]=2,"Dissatisfied",
HRData[[#This Row],[EnvironmentSatisfaction]]=3,"Satisfied",
HRData[[#This Row],[EnvironmentSatisfaction]]=4,"Very Satisfied"
)</f>
        <v>Very Dissatisfied</v>
      </c>
      <c r="O14" t="s">
        <v>46</v>
      </c>
      <c r="P14">
        <v>31</v>
      </c>
      <c r="Q14">
        <v>3</v>
      </c>
      <c r="R14">
        <v>1</v>
      </c>
      <c r="S14" t="s">
        <v>47</v>
      </c>
      <c r="T14">
        <v>3</v>
      </c>
      <c r="U14" t="str" cm="1">
        <f t="array" ref="U14">_xlfn.IFS(
HRData[[#This Row],[JobSatisfaction]]=1,"Very Dissatisfied",
HRData[[#This Row],[JobSatisfaction]]=2,"Dissatisfied",
HRData[[#This Row],[JobSatisfaction]]=3,"Satisfied",
HRData[[#This Row],[JobSatisfaction]]=4,"Very Satisfied"
)</f>
        <v>Satisfied</v>
      </c>
      <c r="V14" t="s">
        <v>52</v>
      </c>
      <c r="W14">
        <v>2911</v>
      </c>
      <c r="X14" t="str" cm="1">
        <f t="array" ref="X14">_xlfn.IFS(
HRData[[#This Row],[MonthlyIncome]]&lt;=4000,"Very Low Income",
HRData[[#This Row],[MonthlyIncome]]&lt;=8000,"Low Income",
HRData[[#This Row],[MonthlyIncome]]&lt;=12000,"Moderate Income",
HRData[[#This Row],[MonthlyIncome]]&lt;=16000,"High Income",
HRData[[#This Row],[MonthlyIncome]]&gt;16000,"Very High Income"
)</f>
        <v>Very Low Income</v>
      </c>
      <c r="Y14">
        <v>15170</v>
      </c>
      <c r="Z14">
        <v>1</v>
      </c>
      <c r="AA14" t="s">
        <v>42</v>
      </c>
      <c r="AB14" t="s">
        <v>43</v>
      </c>
      <c r="AC14">
        <v>17</v>
      </c>
      <c r="AD14" t="str" cm="1">
        <f t="array" ref="AD14">_xlfn.IFS(HRData[[#This Row],[PercentSalaryHike]]&lt;=15,"11-15",HRData[[#This Row],[PercentSalaryHike]]&lt;=20,"16-20",HRData[[#This Row],[PercentSalaryHike]]&gt;=21,"21+")</f>
        <v>16-20</v>
      </c>
      <c r="AE14">
        <v>3</v>
      </c>
      <c r="AF14">
        <v>4</v>
      </c>
      <c r="AG14">
        <v>80</v>
      </c>
      <c r="AH14">
        <v>1</v>
      </c>
      <c r="AI14">
        <v>5</v>
      </c>
      <c r="AJ14">
        <v>1</v>
      </c>
      <c r="AK14">
        <v>2</v>
      </c>
      <c r="AL14">
        <v>5</v>
      </c>
      <c r="AM14">
        <v>2</v>
      </c>
      <c r="AN14">
        <v>4</v>
      </c>
      <c r="AO14">
        <v>3</v>
      </c>
      <c r="AP1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4" t="str">
        <f>IF(HRData[[#This Row],[Attrition]]="Yes","Left", IF(HRData[[#This Row],[Attrition_Risk_Score]]&gt;=6,"High",IF(HRData[[#This Row],[Attrition_Risk_Score]]&gt;=3,"Medium","Low")))</f>
        <v>Medium</v>
      </c>
      <c r="AR14" t="str">
        <f>IF(HRData[[#This Row],[Attrition_Risk_Level]]&lt;&gt;"High","",HRData[[#This Row],[Attrition_Risk_Score]]*10000-HRData[[#This Row],[EmployeeNumber]])</f>
        <v/>
      </c>
    </row>
    <row r="15" spans="1:44">
      <c r="A15">
        <v>34</v>
      </c>
      <c r="B15" t="str" cm="1">
        <f t="array" ref="B15">_xlfn.IFS(
HRData[[#This Row],[Age]]&lt;=24,"18-24",
HRData[[#This Row],[Age]]&lt;=34,"25-34",
HRData[[#This Row],[Age]]&lt;=44,"35-44",
HRData[[#This Row],[Age]]&lt;=54,"45-54",
HRData[[#This Row],[Age]]&gt;=55,"55+"
)</f>
        <v>25-34</v>
      </c>
      <c r="C15" t="s">
        <v>43</v>
      </c>
      <c r="D15">
        <f>IF(HRData[[#This Row],[Attrition]]="Yes",1,0)</f>
        <v>0</v>
      </c>
      <c r="E15" t="s">
        <v>36</v>
      </c>
      <c r="F15">
        <v>1346</v>
      </c>
      <c r="G15" t="s">
        <v>45</v>
      </c>
      <c r="H15">
        <v>19</v>
      </c>
      <c r="I15">
        <v>2</v>
      </c>
      <c r="J15" t="s">
        <v>51</v>
      </c>
      <c r="K15">
        <v>1</v>
      </c>
      <c r="L15">
        <v>18</v>
      </c>
      <c r="M15">
        <v>2</v>
      </c>
      <c r="N15" t="str" cm="1">
        <f t="array" ref="N15">_xlfn.IFS(HRData[[#This Row],[EnvironmentSatisfaction]]=1,"Very Dissatisfied",
HRData[[#This Row],[EnvironmentSatisfaction]]=2,"Dissatisfied",
HRData[[#This Row],[EnvironmentSatisfaction]]=3,"Satisfied",
HRData[[#This Row],[EnvironmentSatisfaction]]=4,"Very Satisfied"
)</f>
        <v>Dissatisfied</v>
      </c>
      <c r="O15" t="s">
        <v>46</v>
      </c>
      <c r="P15">
        <v>93</v>
      </c>
      <c r="Q15">
        <v>3</v>
      </c>
      <c r="R15">
        <v>1</v>
      </c>
      <c r="S15" t="s">
        <v>50</v>
      </c>
      <c r="T15">
        <v>4</v>
      </c>
      <c r="U15" t="str" cm="1">
        <f t="array" ref="U15">_xlfn.IFS(
HRData[[#This Row],[JobSatisfaction]]=1,"Very Dissatisfied",
HRData[[#This Row],[JobSatisfaction]]=2,"Dissatisfied",
HRData[[#This Row],[JobSatisfaction]]=3,"Satisfied",
HRData[[#This Row],[JobSatisfaction]]=4,"Very Satisfied"
)</f>
        <v>Very Satisfied</v>
      </c>
      <c r="V15" t="s">
        <v>52</v>
      </c>
      <c r="W15">
        <v>2661</v>
      </c>
      <c r="X15" t="str" cm="1">
        <f t="array" ref="X15">_xlfn.IFS(
HRData[[#This Row],[MonthlyIncome]]&lt;=4000,"Very Low Income",
HRData[[#This Row],[MonthlyIncome]]&lt;=8000,"Low Income",
HRData[[#This Row],[MonthlyIncome]]&lt;=12000,"Moderate Income",
HRData[[#This Row],[MonthlyIncome]]&lt;=16000,"High Income",
HRData[[#This Row],[MonthlyIncome]]&gt;16000,"Very High Income"
)</f>
        <v>Very Low Income</v>
      </c>
      <c r="Y15">
        <v>8758</v>
      </c>
      <c r="Z15">
        <v>0</v>
      </c>
      <c r="AA15" t="s">
        <v>42</v>
      </c>
      <c r="AB15" t="s">
        <v>43</v>
      </c>
      <c r="AC15">
        <v>11</v>
      </c>
      <c r="AD15" t="str" cm="1">
        <f t="array" ref="AD15">_xlfn.IFS(HRData[[#This Row],[PercentSalaryHike]]&lt;=15,"11-15",HRData[[#This Row],[PercentSalaryHike]]&lt;=20,"16-20",HRData[[#This Row],[PercentSalaryHike]]&gt;=21,"21+")</f>
        <v>11-15</v>
      </c>
      <c r="AE15">
        <v>3</v>
      </c>
      <c r="AF15">
        <v>3</v>
      </c>
      <c r="AG15">
        <v>80</v>
      </c>
      <c r="AH15">
        <v>1</v>
      </c>
      <c r="AI15">
        <v>3</v>
      </c>
      <c r="AJ15">
        <v>2</v>
      </c>
      <c r="AK15">
        <v>3</v>
      </c>
      <c r="AL15">
        <v>2</v>
      </c>
      <c r="AM15">
        <v>2</v>
      </c>
      <c r="AN15">
        <v>1</v>
      </c>
      <c r="AO15">
        <v>2</v>
      </c>
      <c r="AP1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5" t="str">
        <f>IF(HRData[[#This Row],[Attrition]]="Yes","Left", IF(HRData[[#This Row],[Attrition_Risk_Score]]&gt;=6,"High",IF(HRData[[#This Row],[Attrition_Risk_Score]]&gt;=3,"Medium","Low")))</f>
        <v>Medium</v>
      </c>
      <c r="AR15" t="str">
        <f>IF(HRData[[#This Row],[Attrition_Risk_Level]]&lt;&gt;"High","",HRData[[#This Row],[Attrition_Risk_Score]]*10000-HRData[[#This Row],[EmployeeNumber]])</f>
        <v/>
      </c>
    </row>
    <row r="16" spans="1:44">
      <c r="A16">
        <v>28</v>
      </c>
      <c r="B16" t="str" cm="1">
        <f t="array" ref="B16">_xlfn.IFS(
HRData[[#This Row],[Age]]&lt;=24,"18-24",
HRData[[#This Row],[Age]]&lt;=34,"25-34",
HRData[[#This Row],[Age]]&lt;=44,"35-44",
HRData[[#This Row],[Age]]&lt;=54,"45-54",
HRData[[#This Row],[Age]]&gt;=55,"55+"
)</f>
        <v>25-34</v>
      </c>
      <c r="C16" t="s">
        <v>35</v>
      </c>
      <c r="D16">
        <f>IF(HRData[[#This Row],[Attrition]]="Yes",1,0)</f>
        <v>1</v>
      </c>
      <c r="E16" t="s">
        <v>36</v>
      </c>
      <c r="F16">
        <v>103</v>
      </c>
      <c r="G16" t="s">
        <v>45</v>
      </c>
      <c r="H16">
        <v>24</v>
      </c>
      <c r="I16">
        <v>3</v>
      </c>
      <c r="J16" t="s">
        <v>38</v>
      </c>
      <c r="K16">
        <v>1</v>
      </c>
      <c r="L16">
        <v>19</v>
      </c>
      <c r="M16">
        <v>3</v>
      </c>
      <c r="N16" t="str" cm="1">
        <f t="array" ref="N16">_xlfn.IFS(HRData[[#This Row],[EnvironmentSatisfaction]]=1,"Very Dissatisfied",
HRData[[#This Row],[EnvironmentSatisfaction]]=2,"Dissatisfied",
HRData[[#This Row],[EnvironmentSatisfaction]]=3,"Satisfied",
HRData[[#This Row],[EnvironmentSatisfaction]]=4,"Very Satisfied"
)</f>
        <v>Satisfied</v>
      </c>
      <c r="O16" t="s">
        <v>46</v>
      </c>
      <c r="P16">
        <v>50</v>
      </c>
      <c r="Q16">
        <v>2</v>
      </c>
      <c r="R16">
        <v>1</v>
      </c>
      <c r="S16" t="s">
        <v>50</v>
      </c>
      <c r="T16">
        <v>3</v>
      </c>
      <c r="U16" t="str" cm="1">
        <f t="array" ref="U16">_xlfn.IFS(
HRData[[#This Row],[JobSatisfaction]]=1,"Very Dissatisfied",
HRData[[#This Row],[JobSatisfaction]]=2,"Dissatisfied",
HRData[[#This Row],[JobSatisfaction]]=3,"Satisfied",
HRData[[#This Row],[JobSatisfaction]]=4,"Very Satisfied"
)</f>
        <v>Satisfied</v>
      </c>
      <c r="V16" t="s">
        <v>41</v>
      </c>
      <c r="W16">
        <v>2028</v>
      </c>
      <c r="X16" t="str" cm="1">
        <f t="array" ref="X16">_xlfn.IFS(
HRData[[#This Row],[MonthlyIncome]]&lt;=4000,"Very Low Income",
HRData[[#This Row],[MonthlyIncome]]&lt;=8000,"Low Income",
HRData[[#This Row],[MonthlyIncome]]&lt;=12000,"Moderate Income",
HRData[[#This Row],[MonthlyIncome]]&lt;=16000,"High Income",
HRData[[#This Row],[MonthlyIncome]]&gt;16000,"Very High Income"
)</f>
        <v>Very Low Income</v>
      </c>
      <c r="Y16">
        <v>12947</v>
      </c>
      <c r="Z16">
        <v>5</v>
      </c>
      <c r="AA16" t="s">
        <v>42</v>
      </c>
      <c r="AB16" t="s">
        <v>35</v>
      </c>
      <c r="AC16">
        <v>14</v>
      </c>
      <c r="AD16" t="str" cm="1">
        <f t="array" ref="AD16">_xlfn.IFS(HRData[[#This Row],[PercentSalaryHike]]&lt;=15,"11-15",HRData[[#This Row],[PercentSalaryHike]]&lt;=20,"16-20",HRData[[#This Row],[PercentSalaryHike]]&gt;=21,"21+")</f>
        <v>11-15</v>
      </c>
      <c r="AE16">
        <v>3</v>
      </c>
      <c r="AF16">
        <v>2</v>
      </c>
      <c r="AG16">
        <v>80</v>
      </c>
      <c r="AH16">
        <v>0</v>
      </c>
      <c r="AI16">
        <v>6</v>
      </c>
      <c r="AJ16">
        <v>4</v>
      </c>
      <c r="AK16">
        <v>3</v>
      </c>
      <c r="AL16">
        <v>4</v>
      </c>
      <c r="AM16">
        <v>2</v>
      </c>
      <c r="AN16">
        <v>0</v>
      </c>
      <c r="AO16">
        <v>3</v>
      </c>
      <c r="AP1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6" t="str">
        <f>IF(HRData[[#This Row],[Attrition]]="Yes","Left", IF(HRData[[#This Row],[Attrition_Risk_Score]]&gt;=6,"High",IF(HRData[[#This Row],[Attrition_Risk_Score]]&gt;=3,"Medium","Low")))</f>
        <v>Left</v>
      </c>
      <c r="AR16" t="str">
        <f>IF(HRData[[#This Row],[Attrition_Risk_Level]]&lt;&gt;"High","",HRData[[#This Row],[Attrition_Risk_Score]]*10000-HRData[[#This Row],[EmployeeNumber]])</f>
        <v/>
      </c>
    </row>
    <row r="17" spans="1:44">
      <c r="A17">
        <v>29</v>
      </c>
      <c r="B17" t="str" cm="1">
        <f t="array" ref="B17">_xlfn.IFS(
HRData[[#This Row],[Age]]&lt;=24,"18-24",
HRData[[#This Row],[Age]]&lt;=34,"25-34",
HRData[[#This Row],[Age]]&lt;=44,"35-44",
HRData[[#This Row],[Age]]&lt;=54,"45-54",
HRData[[#This Row],[Age]]&gt;=55,"55+"
)</f>
        <v>25-34</v>
      </c>
      <c r="C17" t="s">
        <v>43</v>
      </c>
      <c r="D17">
        <f>IF(HRData[[#This Row],[Attrition]]="Yes",1,0)</f>
        <v>0</v>
      </c>
      <c r="E17" t="s">
        <v>36</v>
      </c>
      <c r="F17">
        <v>1389</v>
      </c>
      <c r="G17" t="s">
        <v>45</v>
      </c>
      <c r="H17">
        <v>21</v>
      </c>
      <c r="I17">
        <v>4</v>
      </c>
      <c r="J17" t="s">
        <v>38</v>
      </c>
      <c r="K17">
        <v>1</v>
      </c>
      <c r="L17">
        <v>20</v>
      </c>
      <c r="M17">
        <v>2</v>
      </c>
      <c r="N17" t="str" cm="1">
        <f t="array" ref="N17">_xlfn.IFS(HRData[[#This Row],[EnvironmentSatisfaction]]=1,"Very Dissatisfied",
HRData[[#This Row],[EnvironmentSatisfaction]]=2,"Dissatisfied",
HRData[[#This Row],[EnvironmentSatisfaction]]=3,"Satisfied",
HRData[[#This Row],[EnvironmentSatisfaction]]=4,"Very Satisfied"
)</f>
        <v>Dissatisfied</v>
      </c>
      <c r="O17" t="s">
        <v>39</v>
      </c>
      <c r="P17">
        <v>51</v>
      </c>
      <c r="Q17">
        <v>4</v>
      </c>
      <c r="R17">
        <v>3</v>
      </c>
      <c r="S17" t="s">
        <v>53</v>
      </c>
      <c r="T17">
        <v>1</v>
      </c>
      <c r="U17" t="str" cm="1">
        <f t="array" ref="U17">_xlfn.IFS(
HRData[[#This Row],[JobSatisfaction]]=1,"Very Dissatisfied",
HRData[[#This Row],[JobSatisfaction]]=2,"Dissatisfied",
HRData[[#This Row],[JobSatisfaction]]=3,"Satisfied",
HRData[[#This Row],[JobSatisfaction]]=4,"Very Satisfied"
)</f>
        <v>Very Dissatisfied</v>
      </c>
      <c r="V17" t="s">
        <v>52</v>
      </c>
      <c r="W17">
        <v>9980</v>
      </c>
      <c r="X17" t="str" cm="1">
        <f t="array" ref="X17">_xlfn.IFS(
HRData[[#This Row],[MonthlyIncome]]&lt;=4000,"Very Low Income",
HRData[[#This Row],[MonthlyIncome]]&lt;=8000,"Low Income",
HRData[[#This Row],[MonthlyIncome]]&lt;=12000,"Moderate Income",
HRData[[#This Row],[MonthlyIncome]]&lt;=16000,"High Income",
HRData[[#This Row],[MonthlyIncome]]&gt;16000,"Very High Income"
)</f>
        <v>Moderate Income</v>
      </c>
      <c r="Y17">
        <v>10195</v>
      </c>
      <c r="Z17">
        <v>1</v>
      </c>
      <c r="AA17" t="s">
        <v>42</v>
      </c>
      <c r="AB17" t="s">
        <v>43</v>
      </c>
      <c r="AC17">
        <v>11</v>
      </c>
      <c r="AD17" t="str" cm="1">
        <f t="array" ref="AD17">_xlfn.IFS(HRData[[#This Row],[PercentSalaryHike]]&lt;=15,"11-15",HRData[[#This Row],[PercentSalaryHike]]&lt;=20,"16-20",HRData[[#This Row],[PercentSalaryHike]]&gt;=21,"21+")</f>
        <v>11-15</v>
      </c>
      <c r="AE17">
        <v>3</v>
      </c>
      <c r="AF17">
        <v>3</v>
      </c>
      <c r="AG17">
        <v>80</v>
      </c>
      <c r="AH17">
        <v>1</v>
      </c>
      <c r="AI17">
        <v>10</v>
      </c>
      <c r="AJ17">
        <v>1</v>
      </c>
      <c r="AK17">
        <v>3</v>
      </c>
      <c r="AL17">
        <v>10</v>
      </c>
      <c r="AM17">
        <v>9</v>
      </c>
      <c r="AN17">
        <v>8</v>
      </c>
      <c r="AO17">
        <v>8</v>
      </c>
      <c r="AP1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7" t="str">
        <f>IF(HRData[[#This Row],[Attrition]]="Yes","Left", IF(HRData[[#This Row],[Attrition_Risk_Score]]&gt;=6,"High",IF(HRData[[#This Row],[Attrition_Risk_Score]]&gt;=3,"Medium","Low")))</f>
        <v>Medium</v>
      </c>
      <c r="AR17" t="str">
        <f>IF(HRData[[#This Row],[Attrition_Risk_Level]]&lt;&gt;"High","",HRData[[#This Row],[Attrition_Risk_Score]]*10000-HRData[[#This Row],[EmployeeNumber]])</f>
        <v/>
      </c>
    </row>
    <row r="18" spans="1:44">
      <c r="A18">
        <v>32</v>
      </c>
      <c r="B18" t="str" cm="1">
        <f t="array" ref="B18">_xlfn.IFS(
HRData[[#This Row],[Age]]&lt;=24,"18-24",
HRData[[#This Row],[Age]]&lt;=34,"25-34",
HRData[[#This Row],[Age]]&lt;=44,"35-44",
HRData[[#This Row],[Age]]&lt;=54,"45-54",
HRData[[#This Row],[Age]]&gt;=55,"55+"
)</f>
        <v>25-34</v>
      </c>
      <c r="C18" t="s">
        <v>43</v>
      </c>
      <c r="D18">
        <f>IF(HRData[[#This Row],[Attrition]]="Yes",1,0)</f>
        <v>0</v>
      </c>
      <c r="E18" t="s">
        <v>36</v>
      </c>
      <c r="F18">
        <v>334</v>
      </c>
      <c r="G18" t="s">
        <v>45</v>
      </c>
      <c r="H18">
        <v>5</v>
      </c>
      <c r="I18">
        <v>2</v>
      </c>
      <c r="J18" t="s">
        <v>38</v>
      </c>
      <c r="K18">
        <v>1</v>
      </c>
      <c r="L18">
        <v>21</v>
      </c>
      <c r="M18">
        <v>1</v>
      </c>
      <c r="N18" t="str" cm="1">
        <f t="array" ref="N18">_xlfn.IFS(HRData[[#This Row],[EnvironmentSatisfaction]]=1,"Very Dissatisfied",
HRData[[#This Row],[EnvironmentSatisfaction]]=2,"Dissatisfied",
HRData[[#This Row],[EnvironmentSatisfaction]]=3,"Satisfied",
HRData[[#This Row],[EnvironmentSatisfaction]]=4,"Very Satisfied"
)</f>
        <v>Very Dissatisfied</v>
      </c>
      <c r="O18" t="s">
        <v>46</v>
      </c>
      <c r="P18">
        <v>80</v>
      </c>
      <c r="Q18">
        <v>4</v>
      </c>
      <c r="R18">
        <v>1</v>
      </c>
      <c r="S18" t="s">
        <v>47</v>
      </c>
      <c r="T18">
        <v>2</v>
      </c>
      <c r="U18" t="str" cm="1">
        <f t="array" ref="U18">_xlfn.IFS(
HRData[[#This Row],[JobSatisfaction]]=1,"Very Dissatisfied",
HRData[[#This Row],[JobSatisfaction]]=2,"Dissatisfied",
HRData[[#This Row],[JobSatisfaction]]=3,"Satisfied",
HRData[[#This Row],[JobSatisfaction]]=4,"Very Satisfied"
)</f>
        <v>Dissatisfied</v>
      </c>
      <c r="V18" t="s">
        <v>52</v>
      </c>
      <c r="W18">
        <v>3298</v>
      </c>
      <c r="X18" t="str" cm="1">
        <f t="array" ref="X18">_xlfn.IFS(
HRData[[#This Row],[MonthlyIncome]]&lt;=4000,"Very Low Income",
HRData[[#This Row],[MonthlyIncome]]&lt;=8000,"Low Income",
HRData[[#This Row],[MonthlyIncome]]&lt;=12000,"Moderate Income",
HRData[[#This Row],[MonthlyIncome]]&lt;=16000,"High Income",
HRData[[#This Row],[MonthlyIncome]]&gt;16000,"Very High Income"
)</f>
        <v>Very Low Income</v>
      </c>
      <c r="Y18">
        <v>15053</v>
      </c>
      <c r="Z18">
        <v>0</v>
      </c>
      <c r="AA18" t="s">
        <v>42</v>
      </c>
      <c r="AB18" t="s">
        <v>35</v>
      </c>
      <c r="AC18">
        <v>12</v>
      </c>
      <c r="AD18" t="str" cm="1">
        <f t="array" ref="AD18">_xlfn.IFS(HRData[[#This Row],[PercentSalaryHike]]&lt;=15,"11-15",HRData[[#This Row],[PercentSalaryHike]]&lt;=20,"16-20",HRData[[#This Row],[PercentSalaryHike]]&gt;=21,"21+")</f>
        <v>11-15</v>
      </c>
      <c r="AE18">
        <v>3</v>
      </c>
      <c r="AF18">
        <v>4</v>
      </c>
      <c r="AG18">
        <v>80</v>
      </c>
      <c r="AH18">
        <v>2</v>
      </c>
      <c r="AI18">
        <v>7</v>
      </c>
      <c r="AJ18">
        <v>5</v>
      </c>
      <c r="AK18">
        <v>2</v>
      </c>
      <c r="AL18">
        <v>6</v>
      </c>
      <c r="AM18">
        <v>2</v>
      </c>
      <c r="AN18">
        <v>0</v>
      </c>
      <c r="AO18">
        <v>5</v>
      </c>
      <c r="AP1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8" t="str">
        <f>IF(HRData[[#This Row],[Attrition]]="Yes","Left", IF(HRData[[#This Row],[Attrition_Risk_Score]]&gt;=6,"High",IF(HRData[[#This Row],[Attrition_Risk_Score]]&gt;=3,"Medium","Low")))</f>
        <v>Medium</v>
      </c>
      <c r="AR18" t="str">
        <f>IF(HRData[[#This Row],[Attrition_Risk_Level]]&lt;&gt;"High","",HRData[[#This Row],[Attrition_Risk_Score]]*10000-HRData[[#This Row],[EmployeeNumber]])</f>
        <v/>
      </c>
    </row>
    <row r="19" spans="1:44">
      <c r="A19">
        <v>22</v>
      </c>
      <c r="B19" t="str" cm="1">
        <f t="array" ref="B19">_xlfn.IFS(
HRData[[#This Row],[Age]]&lt;=24,"18-24",
HRData[[#This Row],[Age]]&lt;=34,"25-34",
HRData[[#This Row],[Age]]&lt;=44,"35-44",
HRData[[#This Row],[Age]]&lt;=54,"45-54",
HRData[[#This Row],[Age]]&gt;=55,"55+"
)</f>
        <v>18-24</v>
      </c>
      <c r="C19" t="s">
        <v>43</v>
      </c>
      <c r="D19">
        <f>IF(HRData[[#This Row],[Attrition]]="Yes",1,0)</f>
        <v>0</v>
      </c>
      <c r="E19" t="s">
        <v>55</v>
      </c>
      <c r="F19">
        <v>1123</v>
      </c>
      <c r="G19" t="s">
        <v>45</v>
      </c>
      <c r="H19">
        <v>16</v>
      </c>
      <c r="I19">
        <v>2</v>
      </c>
      <c r="J19" t="s">
        <v>51</v>
      </c>
      <c r="K19">
        <v>1</v>
      </c>
      <c r="L19">
        <v>22</v>
      </c>
      <c r="M19">
        <v>4</v>
      </c>
      <c r="N19" t="str" cm="1">
        <f t="array" ref="N19">_xlfn.IFS(HRData[[#This Row],[EnvironmentSatisfaction]]=1,"Very Dissatisfied",
HRData[[#This Row],[EnvironmentSatisfaction]]=2,"Dissatisfied",
HRData[[#This Row],[EnvironmentSatisfaction]]=3,"Satisfied",
HRData[[#This Row],[EnvironmentSatisfaction]]=4,"Very Satisfied"
)</f>
        <v>Very Satisfied</v>
      </c>
      <c r="O19" t="s">
        <v>46</v>
      </c>
      <c r="P19">
        <v>96</v>
      </c>
      <c r="Q19">
        <v>4</v>
      </c>
      <c r="R19">
        <v>1</v>
      </c>
      <c r="S19" t="s">
        <v>50</v>
      </c>
      <c r="T19">
        <v>4</v>
      </c>
      <c r="U19" t="str" cm="1">
        <f t="array" ref="U19">_xlfn.IFS(
HRData[[#This Row],[JobSatisfaction]]=1,"Very Dissatisfied",
HRData[[#This Row],[JobSatisfaction]]=2,"Dissatisfied",
HRData[[#This Row],[JobSatisfaction]]=3,"Satisfied",
HRData[[#This Row],[JobSatisfaction]]=4,"Very Satisfied"
)</f>
        <v>Very Satisfied</v>
      </c>
      <c r="V19" t="s">
        <v>52</v>
      </c>
      <c r="W19">
        <v>2935</v>
      </c>
      <c r="X19" t="str" cm="1">
        <f t="array" ref="X19">_xlfn.IFS(
HRData[[#This Row],[MonthlyIncome]]&lt;=4000,"Very Low Income",
HRData[[#This Row],[MonthlyIncome]]&lt;=8000,"Low Income",
HRData[[#This Row],[MonthlyIncome]]&lt;=12000,"Moderate Income",
HRData[[#This Row],[MonthlyIncome]]&lt;=16000,"High Income",
HRData[[#This Row],[MonthlyIncome]]&gt;16000,"Very High Income"
)</f>
        <v>Very Low Income</v>
      </c>
      <c r="Y19">
        <v>7324</v>
      </c>
      <c r="Z19">
        <v>1</v>
      </c>
      <c r="AA19" t="s">
        <v>42</v>
      </c>
      <c r="AB19" t="s">
        <v>35</v>
      </c>
      <c r="AC19">
        <v>13</v>
      </c>
      <c r="AD19" t="str" cm="1">
        <f t="array" ref="AD19">_xlfn.IFS(HRData[[#This Row],[PercentSalaryHike]]&lt;=15,"11-15",HRData[[#This Row],[PercentSalaryHike]]&lt;=20,"16-20",HRData[[#This Row],[PercentSalaryHike]]&gt;=21,"21+")</f>
        <v>11-15</v>
      </c>
      <c r="AE19">
        <v>3</v>
      </c>
      <c r="AF19">
        <v>2</v>
      </c>
      <c r="AG19">
        <v>80</v>
      </c>
      <c r="AH19">
        <v>2</v>
      </c>
      <c r="AI19">
        <v>1</v>
      </c>
      <c r="AJ19">
        <v>2</v>
      </c>
      <c r="AK19">
        <v>2</v>
      </c>
      <c r="AL19">
        <v>1</v>
      </c>
      <c r="AM19">
        <v>0</v>
      </c>
      <c r="AN19">
        <v>0</v>
      </c>
      <c r="AO19">
        <v>0</v>
      </c>
      <c r="AP1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19" t="str">
        <f>IF(HRData[[#This Row],[Attrition]]="Yes","Left", IF(HRData[[#This Row],[Attrition_Risk_Score]]&gt;=6,"High",IF(HRData[[#This Row],[Attrition_Risk_Score]]&gt;=3,"Medium","Low")))</f>
        <v>High</v>
      </c>
      <c r="AR19">
        <f>IF(HRData[[#This Row],[Attrition_Risk_Level]]&lt;&gt;"High","",HRData[[#This Row],[Attrition_Risk_Score]]*10000-HRData[[#This Row],[EmployeeNumber]])</f>
        <v>69978</v>
      </c>
    </row>
    <row r="20" spans="1:44">
      <c r="A20">
        <v>53</v>
      </c>
      <c r="B20" t="str" cm="1">
        <f t="array" ref="B20">_xlfn.IFS(
HRData[[#This Row],[Age]]&lt;=24,"18-24",
HRData[[#This Row],[Age]]&lt;=34,"25-34",
HRData[[#This Row],[Age]]&lt;=44,"35-44",
HRData[[#This Row],[Age]]&lt;=54,"45-54",
HRData[[#This Row],[Age]]&gt;=55,"55+"
)</f>
        <v>45-54</v>
      </c>
      <c r="C20" t="s">
        <v>43</v>
      </c>
      <c r="D20">
        <f>IF(HRData[[#This Row],[Attrition]]="Yes",1,0)</f>
        <v>0</v>
      </c>
      <c r="E20" t="s">
        <v>36</v>
      </c>
      <c r="F20">
        <v>1219</v>
      </c>
      <c r="G20" t="s">
        <v>37</v>
      </c>
      <c r="H20">
        <v>2</v>
      </c>
      <c r="I20">
        <v>4</v>
      </c>
      <c r="J20" t="s">
        <v>38</v>
      </c>
      <c r="K20">
        <v>1</v>
      </c>
      <c r="L20">
        <v>23</v>
      </c>
      <c r="M20">
        <v>1</v>
      </c>
      <c r="N20" t="str" cm="1">
        <f t="array" ref="N20">_xlfn.IFS(HRData[[#This Row],[EnvironmentSatisfaction]]=1,"Very Dissatisfied",
HRData[[#This Row],[EnvironmentSatisfaction]]=2,"Dissatisfied",
HRData[[#This Row],[EnvironmentSatisfaction]]=3,"Satisfied",
HRData[[#This Row],[EnvironmentSatisfaction]]=4,"Very Satisfied"
)</f>
        <v>Very Dissatisfied</v>
      </c>
      <c r="O20" t="s">
        <v>39</v>
      </c>
      <c r="P20">
        <v>78</v>
      </c>
      <c r="Q20">
        <v>2</v>
      </c>
      <c r="R20">
        <v>4</v>
      </c>
      <c r="S20" t="s">
        <v>56</v>
      </c>
      <c r="T20">
        <v>4</v>
      </c>
      <c r="U20" t="str" cm="1">
        <f t="array" ref="U20">_xlfn.IFS(
HRData[[#This Row],[JobSatisfaction]]=1,"Very Dissatisfied",
HRData[[#This Row],[JobSatisfaction]]=2,"Dissatisfied",
HRData[[#This Row],[JobSatisfaction]]=3,"Satisfied",
HRData[[#This Row],[JobSatisfaction]]=4,"Very Satisfied"
)</f>
        <v>Very Satisfied</v>
      </c>
      <c r="V20" t="s">
        <v>48</v>
      </c>
      <c r="W20">
        <v>15427</v>
      </c>
      <c r="X20" t="str" cm="1">
        <f t="array" ref="X20">_xlfn.IFS(
HRData[[#This Row],[MonthlyIncome]]&lt;=4000,"Very Low Income",
HRData[[#This Row],[MonthlyIncome]]&lt;=8000,"Low Income",
HRData[[#This Row],[MonthlyIncome]]&lt;=12000,"Moderate Income",
HRData[[#This Row],[MonthlyIncome]]&lt;=16000,"High Income",
HRData[[#This Row],[MonthlyIncome]]&gt;16000,"Very High Income"
)</f>
        <v>High Income</v>
      </c>
      <c r="Y20">
        <v>22021</v>
      </c>
      <c r="Z20">
        <v>2</v>
      </c>
      <c r="AA20" t="s">
        <v>42</v>
      </c>
      <c r="AB20" t="s">
        <v>43</v>
      </c>
      <c r="AC20">
        <v>16</v>
      </c>
      <c r="AD20" t="str" cm="1">
        <f t="array" ref="AD20">_xlfn.IFS(HRData[[#This Row],[PercentSalaryHike]]&lt;=15,"11-15",HRData[[#This Row],[PercentSalaryHike]]&lt;=20,"16-20",HRData[[#This Row],[PercentSalaryHike]]&gt;=21,"21+")</f>
        <v>16-20</v>
      </c>
      <c r="AE20">
        <v>3</v>
      </c>
      <c r="AF20">
        <v>3</v>
      </c>
      <c r="AG20">
        <v>80</v>
      </c>
      <c r="AH20">
        <v>0</v>
      </c>
      <c r="AI20">
        <v>31</v>
      </c>
      <c r="AJ20">
        <v>3</v>
      </c>
      <c r="AK20">
        <v>3</v>
      </c>
      <c r="AL20">
        <v>25</v>
      </c>
      <c r="AM20">
        <v>8</v>
      </c>
      <c r="AN20">
        <v>3</v>
      </c>
      <c r="AO20">
        <v>7</v>
      </c>
      <c r="AP2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20" t="str">
        <f>IF(HRData[[#This Row],[Attrition]]="Yes","Left", IF(HRData[[#This Row],[Attrition_Risk_Score]]&gt;=6,"High",IF(HRData[[#This Row],[Attrition_Risk_Score]]&gt;=3,"Medium","Low")))</f>
        <v>Low</v>
      </c>
      <c r="AR20" t="str">
        <f>IF(HRData[[#This Row],[Attrition_Risk_Level]]&lt;&gt;"High","",HRData[[#This Row],[Attrition_Risk_Score]]*10000-HRData[[#This Row],[EmployeeNumber]])</f>
        <v/>
      </c>
    </row>
    <row r="21" spans="1:44">
      <c r="A21">
        <v>38</v>
      </c>
      <c r="B21" t="str" cm="1">
        <f t="array" ref="B21">_xlfn.IFS(
HRData[[#This Row],[Age]]&lt;=24,"18-24",
HRData[[#This Row],[Age]]&lt;=34,"25-34",
HRData[[#This Row],[Age]]&lt;=44,"35-44",
HRData[[#This Row],[Age]]&lt;=54,"45-54",
HRData[[#This Row],[Age]]&gt;=55,"55+"
)</f>
        <v>35-44</v>
      </c>
      <c r="C21" t="s">
        <v>43</v>
      </c>
      <c r="D21">
        <f>IF(HRData[[#This Row],[Attrition]]="Yes",1,0)</f>
        <v>0</v>
      </c>
      <c r="E21" t="s">
        <v>36</v>
      </c>
      <c r="F21">
        <v>371</v>
      </c>
      <c r="G21" t="s">
        <v>45</v>
      </c>
      <c r="H21">
        <v>2</v>
      </c>
      <c r="I21">
        <v>3</v>
      </c>
      <c r="J21" t="s">
        <v>38</v>
      </c>
      <c r="K21">
        <v>1</v>
      </c>
      <c r="L21">
        <v>24</v>
      </c>
      <c r="M21">
        <v>4</v>
      </c>
      <c r="N21" t="str" cm="1">
        <f t="array" ref="N21">_xlfn.IFS(HRData[[#This Row],[EnvironmentSatisfaction]]=1,"Very Dissatisfied",
HRData[[#This Row],[EnvironmentSatisfaction]]=2,"Dissatisfied",
HRData[[#This Row],[EnvironmentSatisfaction]]=3,"Satisfied",
HRData[[#This Row],[EnvironmentSatisfaction]]=4,"Very Satisfied"
)</f>
        <v>Very Satisfied</v>
      </c>
      <c r="O21" t="s">
        <v>46</v>
      </c>
      <c r="P21">
        <v>45</v>
      </c>
      <c r="Q21">
        <v>3</v>
      </c>
      <c r="R21">
        <v>1</v>
      </c>
      <c r="S21" t="s">
        <v>47</v>
      </c>
      <c r="T21">
        <v>4</v>
      </c>
      <c r="U21" t="str" cm="1">
        <f t="array" ref="U21">_xlfn.IFS(
HRData[[#This Row],[JobSatisfaction]]=1,"Very Dissatisfied",
HRData[[#This Row],[JobSatisfaction]]=2,"Dissatisfied",
HRData[[#This Row],[JobSatisfaction]]=3,"Satisfied",
HRData[[#This Row],[JobSatisfaction]]=4,"Very Satisfied"
)</f>
        <v>Very Satisfied</v>
      </c>
      <c r="V21" t="s">
        <v>41</v>
      </c>
      <c r="W21">
        <v>3944</v>
      </c>
      <c r="X21" t="str" cm="1">
        <f t="array" ref="X21">_xlfn.IFS(
HRData[[#This Row],[MonthlyIncome]]&lt;=4000,"Very Low Income",
HRData[[#This Row],[MonthlyIncome]]&lt;=8000,"Low Income",
HRData[[#This Row],[MonthlyIncome]]&lt;=12000,"Moderate Income",
HRData[[#This Row],[MonthlyIncome]]&lt;=16000,"High Income",
HRData[[#This Row],[MonthlyIncome]]&gt;16000,"Very High Income"
)</f>
        <v>Very Low Income</v>
      </c>
      <c r="Y21">
        <v>4306</v>
      </c>
      <c r="Z21">
        <v>5</v>
      </c>
      <c r="AA21" t="s">
        <v>42</v>
      </c>
      <c r="AB21" t="s">
        <v>35</v>
      </c>
      <c r="AC21">
        <v>11</v>
      </c>
      <c r="AD21" t="str" cm="1">
        <f t="array" ref="AD21">_xlfn.IFS(HRData[[#This Row],[PercentSalaryHike]]&lt;=15,"11-15",HRData[[#This Row],[PercentSalaryHike]]&lt;=20,"16-20",HRData[[#This Row],[PercentSalaryHike]]&gt;=21,"21+")</f>
        <v>11-15</v>
      </c>
      <c r="AE21">
        <v>3</v>
      </c>
      <c r="AF21">
        <v>3</v>
      </c>
      <c r="AG21">
        <v>80</v>
      </c>
      <c r="AH21">
        <v>0</v>
      </c>
      <c r="AI21">
        <v>6</v>
      </c>
      <c r="AJ21">
        <v>3</v>
      </c>
      <c r="AK21">
        <v>3</v>
      </c>
      <c r="AL21">
        <v>3</v>
      </c>
      <c r="AM21">
        <v>2</v>
      </c>
      <c r="AN21">
        <v>1</v>
      </c>
      <c r="AO21">
        <v>2</v>
      </c>
      <c r="AP2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21" t="str">
        <f>IF(HRData[[#This Row],[Attrition]]="Yes","Left", IF(HRData[[#This Row],[Attrition_Risk_Score]]&gt;=6,"High",IF(HRData[[#This Row],[Attrition_Risk_Score]]&gt;=3,"Medium","Low")))</f>
        <v>Medium</v>
      </c>
      <c r="AR21" t="str">
        <f>IF(HRData[[#This Row],[Attrition_Risk_Level]]&lt;&gt;"High","",HRData[[#This Row],[Attrition_Risk_Score]]*10000-HRData[[#This Row],[EmployeeNumber]])</f>
        <v/>
      </c>
    </row>
    <row r="22" spans="1:44">
      <c r="A22">
        <v>24</v>
      </c>
      <c r="B22" t="str" cm="1">
        <f t="array" ref="B22">_xlfn.IFS(
HRData[[#This Row],[Age]]&lt;=24,"18-24",
HRData[[#This Row],[Age]]&lt;=34,"25-34",
HRData[[#This Row],[Age]]&lt;=44,"35-44",
HRData[[#This Row],[Age]]&lt;=54,"45-54",
HRData[[#This Row],[Age]]&gt;=55,"55+"
)</f>
        <v>18-24</v>
      </c>
      <c r="C22" t="s">
        <v>43</v>
      </c>
      <c r="D22">
        <f>IF(HRData[[#This Row],[Attrition]]="Yes",1,0)</f>
        <v>0</v>
      </c>
      <c r="E22" t="s">
        <v>55</v>
      </c>
      <c r="F22">
        <v>673</v>
      </c>
      <c r="G22" t="s">
        <v>45</v>
      </c>
      <c r="H22">
        <v>11</v>
      </c>
      <c r="I22">
        <v>2</v>
      </c>
      <c r="J22" t="s">
        <v>49</v>
      </c>
      <c r="K22">
        <v>1</v>
      </c>
      <c r="L22">
        <v>26</v>
      </c>
      <c r="M22">
        <v>1</v>
      </c>
      <c r="N22" t="str" cm="1">
        <f t="array" ref="N22">_xlfn.IFS(HRData[[#This Row],[EnvironmentSatisfaction]]=1,"Very Dissatisfied",
HRData[[#This Row],[EnvironmentSatisfaction]]=2,"Dissatisfied",
HRData[[#This Row],[EnvironmentSatisfaction]]=3,"Satisfied",
HRData[[#This Row],[EnvironmentSatisfaction]]=4,"Very Satisfied"
)</f>
        <v>Very Dissatisfied</v>
      </c>
      <c r="O22" t="s">
        <v>39</v>
      </c>
      <c r="P22">
        <v>96</v>
      </c>
      <c r="Q22">
        <v>4</v>
      </c>
      <c r="R22">
        <v>2</v>
      </c>
      <c r="S22" t="s">
        <v>53</v>
      </c>
      <c r="T22">
        <v>3</v>
      </c>
      <c r="U22" t="str" cm="1">
        <f t="array" ref="U22">_xlfn.IFS(
HRData[[#This Row],[JobSatisfaction]]=1,"Very Dissatisfied",
HRData[[#This Row],[JobSatisfaction]]=2,"Dissatisfied",
HRData[[#This Row],[JobSatisfaction]]=3,"Satisfied",
HRData[[#This Row],[JobSatisfaction]]=4,"Very Satisfied"
)</f>
        <v>Satisfied</v>
      </c>
      <c r="V22" t="s">
        <v>52</v>
      </c>
      <c r="W22">
        <v>4011</v>
      </c>
      <c r="X22" t="str" cm="1">
        <f t="array" ref="X22">_xlfn.IFS(
HRData[[#This Row],[MonthlyIncome]]&lt;=4000,"Very Low Income",
HRData[[#This Row],[MonthlyIncome]]&lt;=8000,"Low Income",
HRData[[#This Row],[MonthlyIncome]]&lt;=12000,"Moderate Income",
HRData[[#This Row],[MonthlyIncome]]&lt;=16000,"High Income",
HRData[[#This Row],[MonthlyIncome]]&gt;16000,"Very High Income"
)</f>
        <v>Low Income</v>
      </c>
      <c r="Y22">
        <v>8232</v>
      </c>
      <c r="Z22">
        <v>0</v>
      </c>
      <c r="AA22" t="s">
        <v>42</v>
      </c>
      <c r="AB22" t="s">
        <v>43</v>
      </c>
      <c r="AC22">
        <v>18</v>
      </c>
      <c r="AD22" t="str" cm="1">
        <f t="array" ref="AD22">_xlfn.IFS(HRData[[#This Row],[PercentSalaryHike]]&lt;=15,"11-15",HRData[[#This Row],[PercentSalaryHike]]&lt;=20,"16-20",HRData[[#This Row],[PercentSalaryHike]]&gt;=21,"21+")</f>
        <v>16-20</v>
      </c>
      <c r="AE22">
        <v>3</v>
      </c>
      <c r="AF22">
        <v>4</v>
      </c>
      <c r="AG22">
        <v>80</v>
      </c>
      <c r="AH22">
        <v>1</v>
      </c>
      <c r="AI22">
        <v>5</v>
      </c>
      <c r="AJ22">
        <v>5</v>
      </c>
      <c r="AK22">
        <v>2</v>
      </c>
      <c r="AL22">
        <v>4</v>
      </c>
      <c r="AM22">
        <v>2</v>
      </c>
      <c r="AN22">
        <v>1</v>
      </c>
      <c r="AO22">
        <v>3</v>
      </c>
      <c r="AP2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22" t="str">
        <f>IF(HRData[[#This Row],[Attrition]]="Yes","Left", IF(HRData[[#This Row],[Attrition_Risk_Score]]&gt;=6,"High",IF(HRData[[#This Row],[Attrition_Risk_Score]]&gt;=3,"Medium","Low")))</f>
        <v>Medium</v>
      </c>
      <c r="AR22" t="str">
        <f>IF(HRData[[#This Row],[Attrition_Risk_Level]]&lt;&gt;"High","",HRData[[#This Row],[Attrition_Risk_Score]]*10000-HRData[[#This Row],[EmployeeNumber]])</f>
        <v/>
      </c>
    </row>
    <row r="23" spans="1:44">
      <c r="A23">
        <v>36</v>
      </c>
      <c r="B23" t="str" cm="1">
        <f t="array" ref="B23">_xlfn.IFS(
HRData[[#This Row],[Age]]&lt;=24,"18-24",
HRData[[#This Row],[Age]]&lt;=34,"25-34",
HRData[[#This Row],[Age]]&lt;=44,"35-44",
HRData[[#This Row],[Age]]&lt;=54,"45-54",
HRData[[#This Row],[Age]]&gt;=55,"55+"
)</f>
        <v>35-44</v>
      </c>
      <c r="C23" t="s">
        <v>35</v>
      </c>
      <c r="D23">
        <f>IF(HRData[[#This Row],[Attrition]]="Yes",1,0)</f>
        <v>1</v>
      </c>
      <c r="E23" t="s">
        <v>36</v>
      </c>
      <c r="F23">
        <v>1218</v>
      </c>
      <c r="G23" t="s">
        <v>37</v>
      </c>
      <c r="H23">
        <v>9</v>
      </c>
      <c r="I23">
        <v>4</v>
      </c>
      <c r="J23" t="s">
        <v>38</v>
      </c>
      <c r="K23">
        <v>1</v>
      </c>
      <c r="L23">
        <v>27</v>
      </c>
      <c r="M23">
        <v>3</v>
      </c>
      <c r="N23" t="str" cm="1">
        <f t="array" ref="N23">_xlfn.IFS(HRData[[#This Row],[EnvironmentSatisfaction]]=1,"Very Dissatisfied",
HRData[[#This Row],[EnvironmentSatisfaction]]=2,"Dissatisfied",
HRData[[#This Row],[EnvironmentSatisfaction]]=3,"Satisfied",
HRData[[#This Row],[EnvironmentSatisfaction]]=4,"Very Satisfied"
)</f>
        <v>Satisfied</v>
      </c>
      <c r="O23" t="s">
        <v>46</v>
      </c>
      <c r="P23">
        <v>82</v>
      </c>
      <c r="Q23">
        <v>2</v>
      </c>
      <c r="R23">
        <v>1</v>
      </c>
      <c r="S23" t="s">
        <v>57</v>
      </c>
      <c r="T23">
        <v>1</v>
      </c>
      <c r="U23" t="str" cm="1">
        <f t="array" ref="U23">_xlfn.IFS(
HRData[[#This Row],[JobSatisfaction]]=1,"Very Dissatisfied",
HRData[[#This Row],[JobSatisfaction]]=2,"Dissatisfied",
HRData[[#This Row],[JobSatisfaction]]=3,"Satisfied",
HRData[[#This Row],[JobSatisfaction]]=4,"Very Satisfied"
)</f>
        <v>Very Dissatisfied</v>
      </c>
      <c r="V23" t="s">
        <v>41</v>
      </c>
      <c r="W23">
        <v>3407</v>
      </c>
      <c r="X23" t="str" cm="1">
        <f t="array" ref="X23">_xlfn.IFS(
HRData[[#This Row],[MonthlyIncome]]&lt;=4000,"Very Low Income",
HRData[[#This Row],[MonthlyIncome]]&lt;=8000,"Low Income",
HRData[[#This Row],[MonthlyIncome]]&lt;=12000,"Moderate Income",
HRData[[#This Row],[MonthlyIncome]]&lt;=16000,"High Income",
HRData[[#This Row],[MonthlyIncome]]&gt;16000,"Very High Income"
)</f>
        <v>Very Low Income</v>
      </c>
      <c r="Y23">
        <v>6986</v>
      </c>
      <c r="Z23">
        <v>7</v>
      </c>
      <c r="AA23" t="s">
        <v>42</v>
      </c>
      <c r="AB23" t="s">
        <v>43</v>
      </c>
      <c r="AC23">
        <v>23</v>
      </c>
      <c r="AD23" t="str" cm="1">
        <f t="array" ref="AD23">_xlfn.IFS(HRData[[#This Row],[PercentSalaryHike]]&lt;=15,"11-15",HRData[[#This Row],[PercentSalaryHike]]&lt;=20,"16-20",HRData[[#This Row],[PercentSalaryHike]]&gt;=21,"21+")</f>
        <v>21+</v>
      </c>
      <c r="AE23">
        <v>4</v>
      </c>
      <c r="AF23">
        <v>2</v>
      </c>
      <c r="AG23">
        <v>80</v>
      </c>
      <c r="AH23">
        <v>0</v>
      </c>
      <c r="AI23">
        <v>10</v>
      </c>
      <c r="AJ23">
        <v>4</v>
      </c>
      <c r="AK23">
        <v>3</v>
      </c>
      <c r="AL23">
        <v>5</v>
      </c>
      <c r="AM23">
        <v>3</v>
      </c>
      <c r="AN23">
        <v>0</v>
      </c>
      <c r="AO23">
        <v>3</v>
      </c>
      <c r="AP2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3" t="str">
        <f>IF(HRData[[#This Row],[Attrition]]="Yes","Left", IF(HRData[[#This Row],[Attrition_Risk_Score]]&gt;=6,"High",IF(HRData[[#This Row],[Attrition_Risk_Score]]&gt;=3,"Medium","Low")))</f>
        <v>Left</v>
      </c>
      <c r="AR23" t="str">
        <f>IF(HRData[[#This Row],[Attrition_Risk_Level]]&lt;&gt;"High","",HRData[[#This Row],[Attrition_Risk_Score]]*10000-HRData[[#This Row],[EmployeeNumber]])</f>
        <v/>
      </c>
    </row>
    <row r="24" spans="1:44">
      <c r="A24">
        <v>34</v>
      </c>
      <c r="B24" t="str" cm="1">
        <f t="array" ref="B24">_xlfn.IFS(
HRData[[#This Row],[Age]]&lt;=24,"18-24",
HRData[[#This Row],[Age]]&lt;=34,"25-34",
HRData[[#This Row],[Age]]&lt;=44,"35-44",
HRData[[#This Row],[Age]]&lt;=54,"45-54",
HRData[[#This Row],[Age]]&gt;=55,"55+"
)</f>
        <v>25-34</v>
      </c>
      <c r="C24" t="s">
        <v>43</v>
      </c>
      <c r="D24">
        <f>IF(HRData[[#This Row],[Attrition]]="Yes",1,0)</f>
        <v>0</v>
      </c>
      <c r="E24" t="s">
        <v>36</v>
      </c>
      <c r="F24">
        <v>419</v>
      </c>
      <c r="G24" t="s">
        <v>45</v>
      </c>
      <c r="H24">
        <v>7</v>
      </c>
      <c r="I24">
        <v>4</v>
      </c>
      <c r="J24" t="s">
        <v>38</v>
      </c>
      <c r="K24">
        <v>1</v>
      </c>
      <c r="L24">
        <v>28</v>
      </c>
      <c r="M24">
        <v>1</v>
      </c>
      <c r="N24" t="str" cm="1">
        <f t="array" ref="N24">_xlfn.IFS(HRData[[#This Row],[EnvironmentSatisfaction]]=1,"Very Dissatisfied",
HRData[[#This Row],[EnvironmentSatisfaction]]=2,"Dissatisfied",
HRData[[#This Row],[EnvironmentSatisfaction]]=3,"Satisfied",
HRData[[#This Row],[EnvironmentSatisfaction]]=4,"Very Satisfied"
)</f>
        <v>Very Dissatisfied</v>
      </c>
      <c r="O24" t="s">
        <v>39</v>
      </c>
      <c r="P24">
        <v>53</v>
      </c>
      <c r="Q24">
        <v>3</v>
      </c>
      <c r="R24">
        <v>3</v>
      </c>
      <c r="S24" t="s">
        <v>58</v>
      </c>
      <c r="T24">
        <v>2</v>
      </c>
      <c r="U24" t="str" cm="1">
        <f t="array" ref="U24">_xlfn.IFS(
HRData[[#This Row],[JobSatisfaction]]=1,"Very Dissatisfied",
HRData[[#This Row],[JobSatisfaction]]=2,"Dissatisfied",
HRData[[#This Row],[JobSatisfaction]]=3,"Satisfied",
HRData[[#This Row],[JobSatisfaction]]=4,"Very Satisfied"
)</f>
        <v>Dissatisfied</v>
      </c>
      <c r="V24" t="s">
        <v>41</v>
      </c>
      <c r="W24">
        <v>11994</v>
      </c>
      <c r="X24" t="str" cm="1">
        <f t="array" ref="X24">_xlfn.IFS(
HRData[[#This Row],[MonthlyIncome]]&lt;=4000,"Very Low Income",
HRData[[#This Row],[MonthlyIncome]]&lt;=8000,"Low Income",
HRData[[#This Row],[MonthlyIncome]]&lt;=12000,"Moderate Income",
HRData[[#This Row],[MonthlyIncome]]&lt;=16000,"High Income",
HRData[[#This Row],[MonthlyIncome]]&gt;16000,"Very High Income"
)</f>
        <v>Moderate Income</v>
      </c>
      <c r="Y24">
        <v>21293</v>
      </c>
      <c r="Z24">
        <v>0</v>
      </c>
      <c r="AA24" t="s">
        <v>42</v>
      </c>
      <c r="AB24" t="s">
        <v>43</v>
      </c>
      <c r="AC24">
        <v>11</v>
      </c>
      <c r="AD24" t="str" cm="1">
        <f t="array" ref="AD24">_xlfn.IFS(HRData[[#This Row],[PercentSalaryHike]]&lt;=15,"11-15",HRData[[#This Row],[PercentSalaryHike]]&lt;=20,"16-20",HRData[[#This Row],[PercentSalaryHike]]&gt;=21,"21+")</f>
        <v>11-15</v>
      </c>
      <c r="AE24">
        <v>3</v>
      </c>
      <c r="AF24">
        <v>3</v>
      </c>
      <c r="AG24">
        <v>80</v>
      </c>
      <c r="AH24">
        <v>0</v>
      </c>
      <c r="AI24">
        <v>13</v>
      </c>
      <c r="AJ24">
        <v>4</v>
      </c>
      <c r="AK24">
        <v>3</v>
      </c>
      <c r="AL24">
        <v>12</v>
      </c>
      <c r="AM24">
        <v>6</v>
      </c>
      <c r="AN24">
        <v>2</v>
      </c>
      <c r="AO24">
        <v>11</v>
      </c>
      <c r="AP2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24" t="str">
        <f>IF(HRData[[#This Row],[Attrition]]="Yes","Left", IF(HRData[[#This Row],[Attrition_Risk_Score]]&gt;=6,"High",IF(HRData[[#This Row],[Attrition_Risk_Score]]&gt;=3,"Medium","Low")))</f>
        <v>Low</v>
      </c>
      <c r="AR24" t="str">
        <f>IF(HRData[[#This Row],[Attrition_Risk_Level]]&lt;&gt;"High","",HRData[[#This Row],[Attrition_Risk_Score]]*10000-HRData[[#This Row],[EmployeeNumber]])</f>
        <v/>
      </c>
    </row>
    <row r="25" spans="1:44">
      <c r="A25">
        <v>21</v>
      </c>
      <c r="B25" t="str" cm="1">
        <f t="array" ref="B25">_xlfn.IFS(
HRData[[#This Row],[Age]]&lt;=24,"18-24",
HRData[[#This Row],[Age]]&lt;=34,"25-34",
HRData[[#This Row],[Age]]&lt;=44,"35-44",
HRData[[#This Row],[Age]]&lt;=54,"45-54",
HRData[[#This Row],[Age]]&gt;=55,"55+"
)</f>
        <v>18-24</v>
      </c>
      <c r="C25" t="s">
        <v>43</v>
      </c>
      <c r="D25">
        <f>IF(HRData[[#This Row],[Attrition]]="Yes",1,0)</f>
        <v>0</v>
      </c>
      <c r="E25" t="s">
        <v>36</v>
      </c>
      <c r="F25">
        <v>391</v>
      </c>
      <c r="G25" t="s">
        <v>45</v>
      </c>
      <c r="H25">
        <v>15</v>
      </c>
      <c r="I25">
        <v>2</v>
      </c>
      <c r="J25" t="s">
        <v>38</v>
      </c>
      <c r="K25">
        <v>1</v>
      </c>
      <c r="L25">
        <v>30</v>
      </c>
      <c r="M25">
        <v>3</v>
      </c>
      <c r="N25" t="str" cm="1">
        <f t="array" ref="N25">_xlfn.IFS(HRData[[#This Row],[EnvironmentSatisfaction]]=1,"Very Dissatisfied",
HRData[[#This Row],[EnvironmentSatisfaction]]=2,"Dissatisfied",
HRData[[#This Row],[EnvironmentSatisfaction]]=3,"Satisfied",
HRData[[#This Row],[EnvironmentSatisfaction]]=4,"Very Satisfied"
)</f>
        <v>Satisfied</v>
      </c>
      <c r="O25" t="s">
        <v>46</v>
      </c>
      <c r="P25">
        <v>96</v>
      </c>
      <c r="Q25">
        <v>3</v>
      </c>
      <c r="R25">
        <v>1</v>
      </c>
      <c r="S25" t="s">
        <v>47</v>
      </c>
      <c r="T25">
        <v>4</v>
      </c>
      <c r="U25" t="str" cm="1">
        <f t="array" ref="U25">_xlfn.IFS(
HRData[[#This Row],[JobSatisfaction]]=1,"Very Dissatisfied",
HRData[[#This Row],[JobSatisfaction]]=2,"Dissatisfied",
HRData[[#This Row],[JobSatisfaction]]=3,"Satisfied",
HRData[[#This Row],[JobSatisfaction]]=4,"Very Satisfied"
)</f>
        <v>Very Satisfied</v>
      </c>
      <c r="V25" t="s">
        <v>41</v>
      </c>
      <c r="W25">
        <v>1232</v>
      </c>
      <c r="X25" t="str" cm="1">
        <f t="array" ref="X25">_xlfn.IFS(
HRData[[#This Row],[MonthlyIncome]]&lt;=4000,"Very Low Income",
HRData[[#This Row],[MonthlyIncome]]&lt;=8000,"Low Income",
HRData[[#This Row],[MonthlyIncome]]&lt;=12000,"Moderate Income",
HRData[[#This Row],[MonthlyIncome]]&lt;=16000,"High Income",
HRData[[#This Row],[MonthlyIncome]]&gt;16000,"Very High Income"
)</f>
        <v>Very Low Income</v>
      </c>
      <c r="Y25">
        <v>19281</v>
      </c>
      <c r="Z25">
        <v>1</v>
      </c>
      <c r="AA25" t="s">
        <v>42</v>
      </c>
      <c r="AB25" t="s">
        <v>43</v>
      </c>
      <c r="AC25">
        <v>14</v>
      </c>
      <c r="AD25" t="str" cm="1">
        <f t="array" ref="AD25">_xlfn.IFS(HRData[[#This Row],[PercentSalaryHike]]&lt;=15,"11-15",HRData[[#This Row],[PercentSalaryHike]]&lt;=20,"16-20",HRData[[#This Row],[PercentSalaryHike]]&gt;=21,"21+")</f>
        <v>11-15</v>
      </c>
      <c r="AE25">
        <v>3</v>
      </c>
      <c r="AF25">
        <v>4</v>
      </c>
      <c r="AG25">
        <v>80</v>
      </c>
      <c r="AH25">
        <v>0</v>
      </c>
      <c r="AI25">
        <v>0</v>
      </c>
      <c r="AJ25">
        <v>6</v>
      </c>
      <c r="AK25">
        <v>3</v>
      </c>
      <c r="AL25">
        <v>0</v>
      </c>
      <c r="AM25">
        <v>0</v>
      </c>
      <c r="AN25">
        <v>0</v>
      </c>
      <c r="AO25">
        <v>0</v>
      </c>
      <c r="AP2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25" t="str">
        <f>IF(HRData[[#This Row],[Attrition]]="Yes","Left", IF(HRData[[#This Row],[Attrition_Risk_Score]]&gt;=6,"High",IF(HRData[[#This Row],[Attrition_Risk_Score]]&gt;=3,"Medium","Low")))</f>
        <v>Medium</v>
      </c>
      <c r="AR25" t="str">
        <f>IF(HRData[[#This Row],[Attrition_Risk_Level]]&lt;&gt;"High","",HRData[[#This Row],[Attrition_Risk_Score]]*10000-HRData[[#This Row],[EmployeeNumber]])</f>
        <v/>
      </c>
    </row>
    <row r="26" spans="1:44">
      <c r="A26">
        <v>34</v>
      </c>
      <c r="B26" t="str" cm="1">
        <f t="array" ref="B26">_xlfn.IFS(
HRData[[#This Row],[Age]]&lt;=24,"18-24",
HRData[[#This Row],[Age]]&lt;=34,"25-34",
HRData[[#This Row],[Age]]&lt;=44,"35-44",
HRData[[#This Row],[Age]]&lt;=54,"45-54",
HRData[[#This Row],[Age]]&gt;=55,"55+"
)</f>
        <v>25-34</v>
      </c>
      <c r="C26" t="s">
        <v>35</v>
      </c>
      <c r="D26">
        <f>IF(HRData[[#This Row],[Attrition]]="Yes",1,0)</f>
        <v>1</v>
      </c>
      <c r="E26" t="s">
        <v>36</v>
      </c>
      <c r="F26">
        <v>699</v>
      </c>
      <c r="G26" t="s">
        <v>45</v>
      </c>
      <c r="H26">
        <v>6</v>
      </c>
      <c r="I26">
        <v>1</v>
      </c>
      <c r="J26" t="s">
        <v>51</v>
      </c>
      <c r="K26">
        <v>1</v>
      </c>
      <c r="L26">
        <v>31</v>
      </c>
      <c r="M26">
        <v>2</v>
      </c>
      <c r="N26" t="str" cm="1">
        <f t="array" ref="N26">_xlfn.IFS(HRData[[#This Row],[EnvironmentSatisfaction]]=1,"Very Dissatisfied",
HRData[[#This Row],[EnvironmentSatisfaction]]=2,"Dissatisfied",
HRData[[#This Row],[EnvironmentSatisfaction]]=3,"Satisfied",
HRData[[#This Row],[EnvironmentSatisfaction]]=4,"Very Satisfied"
)</f>
        <v>Dissatisfied</v>
      </c>
      <c r="O26" t="s">
        <v>46</v>
      </c>
      <c r="P26">
        <v>83</v>
      </c>
      <c r="Q26">
        <v>3</v>
      </c>
      <c r="R26">
        <v>1</v>
      </c>
      <c r="S26" t="s">
        <v>47</v>
      </c>
      <c r="T26">
        <v>1</v>
      </c>
      <c r="U26" t="str" cm="1">
        <f t="array" ref="U26">_xlfn.IFS(
HRData[[#This Row],[JobSatisfaction]]=1,"Very Dissatisfied",
HRData[[#This Row],[JobSatisfaction]]=2,"Dissatisfied",
HRData[[#This Row],[JobSatisfaction]]=3,"Satisfied",
HRData[[#This Row],[JobSatisfaction]]=4,"Very Satisfied"
)</f>
        <v>Very Dissatisfied</v>
      </c>
      <c r="V26" t="s">
        <v>41</v>
      </c>
      <c r="W26">
        <v>2960</v>
      </c>
      <c r="X26" t="str" cm="1">
        <f t="array" ref="X26">_xlfn.IFS(
HRData[[#This Row],[MonthlyIncome]]&lt;=4000,"Very Low Income",
HRData[[#This Row],[MonthlyIncome]]&lt;=8000,"Low Income",
HRData[[#This Row],[MonthlyIncome]]&lt;=12000,"Moderate Income",
HRData[[#This Row],[MonthlyIncome]]&lt;=16000,"High Income",
HRData[[#This Row],[MonthlyIncome]]&gt;16000,"Very High Income"
)</f>
        <v>Very Low Income</v>
      </c>
      <c r="Y26">
        <v>17102</v>
      </c>
      <c r="Z26">
        <v>2</v>
      </c>
      <c r="AA26" t="s">
        <v>42</v>
      </c>
      <c r="AB26" t="s">
        <v>43</v>
      </c>
      <c r="AC26">
        <v>11</v>
      </c>
      <c r="AD26" t="str" cm="1">
        <f t="array" ref="AD26">_xlfn.IFS(HRData[[#This Row],[PercentSalaryHike]]&lt;=15,"11-15",HRData[[#This Row],[PercentSalaryHike]]&lt;=20,"16-20",HRData[[#This Row],[PercentSalaryHike]]&gt;=21,"21+")</f>
        <v>11-15</v>
      </c>
      <c r="AE26">
        <v>3</v>
      </c>
      <c r="AF26">
        <v>3</v>
      </c>
      <c r="AG26">
        <v>80</v>
      </c>
      <c r="AH26">
        <v>0</v>
      </c>
      <c r="AI26">
        <v>8</v>
      </c>
      <c r="AJ26">
        <v>2</v>
      </c>
      <c r="AK26">
        <v>3</v>
      </c>
      <c r="AL26">
        <v>4</v>
      </c>
      <c r="AM26">
        <v>2</v>
      </c>
      <c r="AN26">
        <v>1</v>
      </c>
      <c r="AO26">
        <v>3</v>
      </c>
      <c r="AP2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6" t="str">
        <f>IF(HRData[[#This Row],[Attrition]]="Yes","Left", IF(HRData[[#This Row],[Attrition_Risk_Score]]&gt;=6,"High",IF(HRData[[#This Row],[Attrition_Risk_Score]]&gt;=3,"Medium","Low")))</f>
        <v>Left</v>
      </c>
      <c r="AR26" t="str">
        <f>IF(HRData[[#This Row],[Attrition_Risk_Level]]&lt;&gt;"High","",HRData[[#This Row],[Attrition_Risk_Score]]*10000-HRData[[#This Row],[EmployeeNumber]])</f>
        <v/>
      </c>
    </row>
    <row r="27" spans="1:44">
      <c r="A27">
        <v>53</v>
      </c>
      <c r="B27" t="str" cm="1">
        <f t="array" ref="B27">_xlfn.IFS(
HRData[[#This Row],[Age]]&lt;=24,"18-24",
HRData[[#This Row],[Age]]&lt;=34,"25-34",
HRData[[#This Row],[Age]]&lt;=44,"35-44",
HRData[[#This Row],[Age]]&lt;=54,"45-54",
HRData[[#This Row],[Age]]&gt;=55,"55+"
)</f>
        <v>45-54</v>
      </c>
      <c r="C27" t="s">
        <v>43</v>
      </c>
      <c r="D27">
        <f>IF(HRData[[#This Row],[Attrition]]="Yes",1,0)</f>
        <v>0</v>
      </c>
      <c r="E27" t="s">
        <v>36</v>
      </c>
      <c r="F27">
        <v>1282</v>
      </c>
      <c r="G27" t="s">
        <v>45</v>
      </c>
      <c r="H27">
        <v>5</v>
      </c>
      <c r="I27">
        <v>3</v>
      </c>
      <c r="J27" t="s">
        <v>49</v>
      </c>
      <c r="K27">
        <v>1</v>
      </c>
      <c r="L27">
        <v>32</v>
      </c>
      <c r="M27">
        <v>3</v>
      </c>
      <c r="N27" t="str" cm="1">
        <f t="array" ref="N27">_xlfn.IFS(HRData[[#This Row],[EnvironmentSatisfaction]]=1,"Very Dissatisfied",
HRData[[#This Row],[EnvironmentSatisfaction]]=2,"Dissatisfied",
HRData[[#This Row],[EnvironmentSatisfaction]]=3,"Satisfied",
HRData[[#This Row],[EnvironmentSatisfaction]]=4,"Very Satisfied"
)</f>
        <v>Satisfied</v>
      </c>
      <c r="O27" t="s">
        <v>39</v>
      </c>
      <c r="P27">
        <v>58</v>
      </c>
      <c r="Q27">
        <v>3</v>
      </c>
      <c r="R27">
        <v>5</v>
      </c>
      <c r="S27" t="s">
        <v>56</v>
      </c>
      <c r="T27">
        <v>3</v>
      </c>
      <c r="U27" t="str" cm="1">
        <f t="array" ref="U27">_xlfn.IFS(
HRData[[#This Row],[JobSatisfaction]]=1,"Very Dissatisfied",
HRData[[#This Row],[JobSatisfaction]]=2,"Dissatisfied",
HRData[[#This Row],[JobSatisfaction]]=3,"Satisfied",
HRData[[#This Row],[JobSatisfaction]]=4,"Very Satisfied"
)</f>
        <v>Satisfied</v>
      </c>
      <c r="V27" t="s">
        <v>52</v>
      </c>
      <c r="W27">
        <v>19094</v>
      </c>
      <c r="X27" t="str" cm="1">
        <f t="array" ref="X27">_xlfn.IFS(
HRData[[#This Row],[MonthlyIncome]]&lt;=4000,"Very Low Income",
HRData[[#This Row],[MonthlyIncome]]&lt;=8000,"Low Income",
HRData[[#This Row],[MonthlyIncome]]&lt;=12000,"Moderate Income",
HRData[[#This Row],[MonthlyIncome]]&lt;=16000,"High Income",
HRData[[#This Row],[MonthlyIncome]]&gt;16000,"Very High Income"
)</f>
        <v>Very High Income</v>
      </c>
      <c r="Y27">
        <v>10735</v>
      </c>
      <c r="Z27">
        <v>4</v>
      </c>
      <c r="AA27" t="s">
        <v>42</v>
      </c>
      <c r="AB27" t="s">
        <v>43</v>
      </c>
      <c r="AC27">
        <v>11</v>
      </c>
      <c r="AD27" t="str" cm="1">
        <f t="array" ref="AD27">_xlfn.IFS(HRData[[#This Row],[PercentSalaryHike]]&lt;=15,"11-15",HRData[[#This Row],[PercentSalaryHike]]&lt;=20,"16-20",HRData[[#This Row],[PercentSalaryHike]]&gt;=21,"21+")</f>
        <v>11-15</v>
      </c>
      <c r="AE27">
        <v>3</v>
      </c>
      <c r="AF27">
        <v>4</v>
      </c>
      <c r="AG27">
        <v>80</v>
      </c>
      <c r="AH27">
        <v>1</v>
      </c>
      <c r="AI27">
        <v>26</v>
      </c>
      <c r="AJ27">
        <v>3</v>
      </c>
      <c r="AK27">
        <v>2</v>
      </c>
      <c r="AL27">
        <v>14</v>
      </c>
      <c r="AM27">
        <v>13</v>
      </c>
      <c r="AN27">
        <v>4</v>
      </c>
      <c r="AO27">
        <v>8</v>
      </c>
      <c r="AP2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27" t="str">
        <f>IF(HRData[[#This Row],[Attrition]]="Yes","Left", IF(HRData[[#This Row],[Attrition_Risk_Score]]&gt;=6,"High",IF(HRData[[#This Row],[Attrition_Risk_Score]]&gt;=3,"Medium","Low")))</f>
        <v>Low</v>
      </c>
      <c r="AR27" t="str">
        <f>IF(HRData[[#This Row],[Attrition_Risk_Level]]&lt;&gt;"High","",HRData[[#This Row],[Attrition_Risk_Score]]*10000-HRData[[#This Row],[EmployeeNumber]])</f>
        <v/>
      </c>
    </row>
    <row r="28" spans="1:44">
      <c r="A28">
        <v>32</v>
      </c>
      <c r="B28" t="str" cm="1">
        <f t="array" ref="B28">_xlfn.IFS(
HRData[[#This Row],[Age]]&lt;=24,"18-24",
HRData[[#This Row],[Age]]&lt;=34,"25-34",
HRData[[#This Row],[Age]]&lt;=44,"35-44",
HRData[[#This Row],[Age]]&lt;=54,"45-54",
HRData[[#This Row],[Age]]&gt;=55,"55+"
)</f>
        <v>25-34</v>
      </c>
      <c r="C28" t="s">
        <v>35</v>
      </c>
      <c r="D28">
        <f>IF(HRData[[#This Row],[Attrition]]="Yes",1,0)</f>
        <v>1</v>
      </c>
      <c r="E28" t="s">
        <v>44</v>
      </c>
      <c r="F28">
        <v>1125</v>
      </c>
      <c r="G28" t="s">
        <v>45</v>
      </c>
      <c r="H28">
        <v>16</v>
      </c>
      <c r="I28">
        <v>1</v>
      </c>
      <c r="J28" t="s">
        <v>38</v>
      </c>
      <c r="K28">
        <v>1</v>
      </c>
      <c r="L28">
        <v>33</v>
      </c>
      <c r="M28">
        <v>2</v>
      </c>
      <c r="N28" t="str" cm="1">
        <f t="array" ref="N28">_xlfn.IFS(HRData[[#This Row],[EnvironmentSatisfaction]]=1,"Very Dissatisfied",
HRData[[#This Row],[EnvironmentSatisfaction]]=2,"Dissatisfied",
HRData[[#This Row],[EnvironmentSatisfaction]]=3,"Satisfied",
HRData[[#This Row],[EnvironmentSatisfaction]]=4,"Very Satisfied"
)</f>
        <v>Dissatisfied</v>
      </c>
      <c r="O28" t="s">
        <v>39</v>
      </c>
      <c r="P28">
        <v>72</v>
      </c>
      <c r="Q28">
        <v>1</v>
      </c>
      <c r="R28">
        <v>1</v>
      </c>
      <c r="S28" t="s">
        <v>47</v>
      </c>
      <c r="T28">
        <v>1</v>
      </c>
      <c r="U28" t="str" cm="1">
        <f t="array" ref="U28">_xlfn.IFS(
HRData[[#This Row],[JobSatisfaction]]=1,"Very Dissatisfied",
HRData[[#This Row],[JobSatisfaction]]=2,"Dissatisfied",
HRData[[#This Row],[JobSatisfaction]]=3,"Satisfied",
HRData[[#This Row],[JobSatisfaction]]=4,"Very Satisfied"
)</f>
        <v>Very Dissatisfied</v>
      </c>
      <c r="V28" t="s">
        <v>41</v>
      </c>
      <c r="W28">
        <v>3919</v>
      </c>
      <c r="X28" t="str" cm="1">
        <f t="array" ref="X28">_xlfn.IFS(
HRData[[#This Row],[MonthlyIncome]]&lt;=4000,"Very Low Income",
HRData[[#This Row],[MonthlyIncome]]&lt;=8000,"Low Income",
HRData[[#This Row],[MonthlyIncome]]&lt;=12000,"Moderate Income",
HRData[[#This Row],[MonthlyIncome]]&lt;=16000,"High Income",
HRData[[#This Row],[MonthlyIncome]]&gt;16000,"Very High Income"
)</f>
        <v>Very Low Income</v>
      </c>
      <c r="Y28">
        <v>4681</v>
      </c>
      <c r="Z28">
        <v>1</v>
      </c>
      <c r="AA28" t="s">
        <v>42</v>
      </c>
      <c r="AB28" t="s">
        <v>35</v>
      </c>
      <c r="AC28">
        <v>22</v>
      </c>
      <c r="AD28" t="str" cm="1">
        <f t="array" ref="AD28">_xlfn.IFS(HRData[[#This Row],[PercentSalaryHike]]&lt;=15,"11-15",HRData[[#This Row],[PercentSalaryHike]]&lt;=20,"16-20",HRData[[#This Row],[PercentSalaryHike]]&gt;=21,"21+")</f>
        <v>21+</v>
      </c>
      <c r="AE28">
        <v>4</v>
      </c>
      <c r="AF28">
        <v>2</v>
      </c>
      <c r="AG28">
        <v>80</v>
      </c>
      <c r="AH28">
        <v>0</v>
      </c>
      <c r="AI28">
        <v>10</v>
      </c>
      <c r="AJ28">
        <v>5</v>
      </c>
      <c r="AK28">
        <v>3</v>
      </c>
      <c r="AL28">
        <v>10</v>
      </c>
      <c r="AM28">
        <v>2</v>
      </c>
      <c r="AN28">
        <v>6</v>
      </c>
      <c r="AO28">
        <v>7</v>
      </c>
      <c r="AP2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8" t="str">
        <f>IF(HRData[[#This Row],[Attrition]]="Yes","Left", IF(HRData[[#This Row],[Attrition_Risk_Score]]&gt;=6,"High",IF(HRData[[#This Row],[Attrition_Risk_Score]]&gt;=3,"Medium","Low")))</f>
        <v>Left</v>
      </c>
      <c r="AR28" t="str">
        <f>IF(HRData[[#This Row],[Attrition_Risk_Level]]&lt;&gt;"High","",HRData[[#This Row],[Attrition_Risk_Score]]*10000-HRData[[#This Row],[EmployeeNumber]])</f>
        <v/>
      </c>
    </row>
    <row r="29" spans="1:44">
      <c r="A29">
        <v>42</v>
      </c>
      <c r="B29" t="str" cm="1">
        <f t="array" ref="B29">_xlfn.IFS(
HRData[[#This Row],[Age]]&lt;=24,"18-24",
HRData[[#This Row],[Age]]&lt;=34,"25-34",
HRData[[#This Row],[Age]]&lt;=44,"35-44",
HRData[[#This Row],[Age]]&lt;=54,"45-54",
HRData[[#This Row],[Age]]&gt;=55,"55+"
)</f>
        <v>35-44</v>
      </c>
      <c r="C29" t="s">
        <v>43</v>
      </c>
      <c r="D29">
        <f>IF(HRData[[#This Row],[Attrition]]="Yes",1,0)</f>
        <v>0</v>
      </c>
      <c r="E29" t="s">
        <v>36</v>
      </c>
      <c r="F29">
        <v>691</v>
      </c>
      <c r="G29" t="s">
        <v>37</v>
      </c>
      <c r="H29">
        <v>8</v>
      </c>
      <c r="I29">
        <v>4</v>
      </c>
      <c r="J29" t="s">
        <v>59</v>
      </c>
      <c r="K29">
        <v>1</v>
      </c>
      <c r="L29">
        <v>35</v>
      </c>
      <c r="M29">
        <v>3</v>
      </c>
      <c r="N29" t="str" cm="1">
        <f t="array" ref="N29">_xlfn.IFS(HRData[[#This Row],[EnvironmentSatisfaction]]=1,"Very Dissatisfied",
HRData[[#This Row],[EnvironmentSatisfaction]]=2,"Dissatisfied",
HRData[[#This Row],[EnvironmentSatisfaction]]=3,"Satisfied",
HRData[[#This Row],[EnvironmentSatisfaction]]=4,"Very Satisfied"
)</f>
        <v>Satisfied</v>
      </c>
      <c r="O29" t="s">
        <v>46</v>
      </c>
      <c r="P29">
        <v>48</v>
      </c>
      <c r="Q29">
        <v>3</v>
      </c>
      <c r="R29">
        <v>2</v>
      </c>
      <c r="S29" t="s">
        <v>40</v>
      </c>
      <c r="T29">
        <v>2</v>
      </c>
      <c r="U29" t="str" cm="1">
        <f t="array" ref="U29">_xlfn.IFS(
HRData[[#This Row],[JobSatisfaction]]=1,"Very Dissatisfied",
HRData[[#This Row],[JobSatisfaction]]=2,"Dissatisfied",
HRData[[#This Row],[JobSatisfaction]]=3,"Satisfied",
HRData[[#This Row],[JobSatisfaction]]=4,"Very Satisfied"
)</f>
        <v>Dissatisfied</v>
      </c>
      <c r="V29" t="s">
        <v>48</v>
      </c>
      <c r="W29">
        <v>6825</v>
      </c>
      <c r="X29" t="str" cm="1">
        <f t="array" ref="X29">_xlfn.IFS(
HRData[[#This Row],[MonthlyIncome]]&lt;=4000,"Very Low Income",
HRData[[#This Row],[MonthlyIncome]]&lt;=8000,"Low Income",
HRData[[#This Row],[MonthlyIncome]]&lt;=12000,"Moderate Income",
HRData[[#This Row],[MonthlyIncome]]&lt;=16000,"High Income",
HRData[[#This Row],[MonthlyIncome]]&gt;16000,"Very High Income"
)</f>
        <v>Low Income</v>
      </c>
      <c r="Y29">
        <v>21173</v>
      </c>
      <c r="Z29">
        <v>0</v>
      </c>
      <c r="AA29" t="s">
        <v>42</v>
      </c>
      <c r="AB29" t="s">
        <v>43</v>
      </c>
      <c r="AC29">
        <v>11</v>
      </c>
      <c r="AD29" t="str" cm="1">
        <f t="array" ref="AD29">_xlfn.IFS(HRData[[#This Row],[PercentSalaryHike]]&lt;=15,"11-15",HRData[[#This Row],[PercentSalaryHike]]&lt;=20,"16-20",HRData[[#This Row],[PercentSalaryHike]]&gt;=21,"21+")</f>
        <v>11-15</v>
      </c>
      <c r="AE29">
        <v>3</v>
      </c>
      <c r="AF29">
        <v>4</v>
      </c>
      <c r="AG29">
        <v>80</v>
      </c>
      <c r="AH29">
        <v>1</v>
      </c>
      <c r="AI29">
        <v>10</v>
      </c>
      <c r="AJ29">
        <v>2</v>
      </c>
      <c r="AK29">
        <v>3</v>
      </c>
      <c r="AL29">
        <v>9</v>
      </c>
      <c r="AM29">
        <v>7</v>
      </c>
      <c r="AN29">
        <v>4</v>
      </c>
      <c r="AO29">
        <v>2</v>
      </c>
      <c r="AP2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29" t="str">
        <f>IF(HRData[[#This Row],[Attrition]]="Yes","Left", IF(HRData[[#This Row],[Attrition_Risk_Score]]&gt;=6,"High",IF(HRData[[#This Row],[Attrition_Risk_Score]]&gt;=3,"Medium","Low")))</f>
        <v>Low</v>
      </c>
      <c r="AR29" t="str">
        <f>IF(HRData[[#This Row],[Attrition_Risk_Level]]&lt;&gt;"High","",HRData[[#This Row],[Attrition_Risk_Score]]*10000-HRData[[#This Row],[EmployeeNumber]])</f>
        <v/>
      </c>
    </row>
    <row r="30" spans="1:44">
      <c r="A30">
        <v>44</v>
      </c>
      <c r="B30" t="str" cm="1">
        <f t="array" ref="B30">_xlfn.IFS(
HRData[[#This Row],[Age]]&lt;=24,"18-24",
HRData[[#This Row],[Age]]&lt;=34,"25-34",
HRData[[#This Row],[Age]]&lt;=44,"35-44",
HRData[[#This Row],[Age]]&lt;=54,"45-54",
HRData[[#This Row],[Age]]&gt;=55,"55+"
)</f>
        <v>35-44</v>
      </c>
      <c r="C30" t="s">
        <v>43</v>
      </c>
      <c r="D30">
        <f>IF(HRData[[#This Row],[Attrition]]="Yes",1,0)</f>
        <v>0</v>
      </c>
      <c r="E30" t="s">
        <v>36</v>
      </c>
      <c r="F30">
        <v>477</v>
      </c>
      <c r="G30" t="s">
        <v>45</v>
      </c>
      <c r="H30">
        <v>7</v>
      </c>
      <c r="I30">
        <v>4</v>
      </c>
      <c r="J30" t="s">
        <v>51</v>
      </c>
      <c r="K30">
        <v>1</v>
      </c>
      <c r="L30">
        <v>36</v>
      </c>
      <c r="M30">
        <v>1</v>
      </c>
      <c r="N30" t="str" cm="1">
        <f t="array" ref="N30">_xlfn.IFS(HRData[[#This Row],[EnvironmentSatisfaction]]=1,"Very Dissatisfied",
HRData[[#This Row],[EnvironmentSatisfaction]]=2,"Dissatisfied",
HRData[[#This Row],[EnvironmentSatisfaction]]=3,"Satisfied",
HRData[[#This Row],[EnvironmentSatisfaction]]=4,"Very Satisfied"
)</f>
        <v>Very Dissatisfied</v>
      </c>
      <c r="O30" t="s">
        <v>39</v>
      </c>
      <c r="P30">
        <v>42</v>
      </c>
      <c r="Q30">
        <v>2</v>
      </c>
      <c r="R30">
        <v>3</v>
      </c>
      <c r="S30" t="s">
        <v>54</v>
      </c>
      <c r="T30">
        <v>4</v>
      </c>
      <c r="U30" t="str" cm="1">
        <f t="array" ref="U30">_xlfn.IFS(
HRData[[#This Row],[JobSatisfaction]]=1,"Very Dissatisfied",
HRData[[#This Row],[JobSatisfaction]]=2,"Dissatisfied",
HRData[[#This Row],[JobSatisfaction]]=3,"Satisfied",
HRData[[#This Row],[JobSatisfaction]]=4,"Very Satisfied"
)</f>
        <v>Very Satisfied</v>
      </c>
      <c r="V30" t="s">
        <v>48</v>
      </c>
      <c r="W30">
        <v>10248</v>
      </c>
      <c r="X30" t="str" cm="1">
        <f t="array" ref="X30">_xlfn.IFS(
HRData[[#This Row],[MonthlyIncome]]&lt;=4000,"Very Low Income",
HRData[[#This Row],[MonthlyIncome]]&lt;=8000,"Low Income",
HRData[[#This Row],[MonthlyIncome]]&lt;=12000,"Moderate Income",
HRData[[#This Row],[MonthlyIncome]]&lt;=16000,"High Income",
HRData[[#This Row],[MonthlyIncome]]&gt;16000,"Very High Income"
)</f>
        <v>Moderate Income</v>
      </c>
      <c r="Y30">
        <v>2094</v>
      </c>
      <c r="Z30">
        <v>3</v>
      </c>
      <c r="AA30" t="s">
        <v>42</v>
      </c>
      <c r="AB30" t="s">
        <v>43</v>
      </c>
      <c r="AC30">
        <v>14</v>
      </c>
      <c r="AD30" t="str" cm="1">
        <f t="array" ref="AD30">_xlfn.IFS(HRData[[#This Row],[PercentSalaryHike]]&lt;=15,"11-15",HRData[[#This Row],[PercentSalaryHike]]&lt;=20,"16-20",HRData[[#This Row],[PercentSalaryHike]]&gt;=21,"21+")</f>
        <v>11-15</v>
      </c>
      <c r="AE30">
        <v>3</v>
      </c>
      <c r="AF30">
        <v>4</v>
      </c>
      <c r="AG30">
        <v>80</v>
      </c>
      <c r="AH30">
        <v>1</v>
      </c>
      <c r="AI30">
        <v>24</v>
      </c>
      <c r="AJ30">
        <v>4</v>
      </c>
      <c r="AK30">
        <v>3</v>
      </c>
      <c r="AL30">
        <v>22</v>
      </c>
      <c r="AM30">
        <v>6</v>
      </c>
      <c r="AN30">
        <v>5</v>
      </c>
      <c r="AO30">
        <v>17</v>
      </c>
      <c r="AP3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30" t="str">
        <f>IF(HRData[[#This Row],[Attrition]]="Yes","Left", IF(HRData[[#This Row],[Attrition_Risk_Score]]&gt;=6,"High",IF(HRData[[#This Row],[Attrition_Risk_Score]]&gt;=3,"Medium","Low")))</f>
        <v>Low</v>
      </c>
      <c r="AR30" t="str">
        <f>IF(HRData[[#This Row],[Attrition_Risk_Level]]&lt;&gt;"High","",HRData[[#This Row],[Attrition_Risk_Score]]*10000-HRData[[#This Row],[EmployeeNumber]])</f>
        <v/>
      </c>
    </row>
    <row r="31" spans="1:44">
      <c r="A31">
        <v>46</v>
      </c>
      <c r="B31" t="str" cm="1">
        <f t="array" ref="B31">_xlfn.IFS(
HRData[[#This Row],[Age]]&lt;=24,"18-24",
HRData[[#This Row],[Age]]&lt;=34,"25-34",
HRData[[#This Row],[Age]]&lt;=44,"35-44",
HRData[[#This Row],[Age]]&lt;=54,"45-54",
HRData[[#This Row],[Age]]&gt;=55,"55+"
)</f>
        <v>45-54</v>
      </c>
      <c r="C31" t="s">
        <v>43</v>
      </c>
      <c r="D31">
        <f>IF(HRData[[#This Row],[Attrition]]="Yes",1,0)</f>
        <v>0</v>
      </c>
      <c r="E31" t="s">
        <v>36</v>
      </c>
      <c r="F31">
        <v>705</v>
      </c>
      <c r="G31" t="s">
        <v>37</v>
      </c>
      <c r="H31">
        <v>2</v>
      </c>
      <c r="I31">
        <v>4</v>
      </c>
      <c r="J31" t="s">
        <v>59</v>
      </c>
      <c r="K31">
        <v>1</v>
      </c>
      <c r="L31">
        <v>38</v>
      </c>
      <c r="M31">
        <v>2</v>
      </c>
      <c r="N31" t="str" cm="1">
        <f t="array" ref="N31">_xlfn.IFS(HRData[[#This Row],[EnvironmentSatisfaction]]=1,"Very Dissatisfied",
HRData[[#This Row],[EnvironmentSatisfaction]]=2,"Dissatisfied",
HRData[[#This Row],[EnvironmentSatisfaction]]=3,"Satisfied",
HRData[[#This Row],[EnvironmentSatisfaction]]=4,"Very Satisfied"
)</f>
        <v>Dissatisfied</v>
      </c>
      <c r="O31" t="s">
        <v>39</v>
      </c>
      <c r="P31">
        <v>83</v>
      </c>
      <c r="Q31">
        <v>3</v>
      </c>
      <c r="R31">
        <v>5</v>
      </c>
      <c r="S31" t="s">
        <v>56</v>
      </c>
      <c r="T31">
        <v>1</v>
      </c>
      <c r="U31" t="str" cm="1">
        <f t="array" ref="U31">_xlfn.IFS(
HRData[[#This Row],[JobSatisfaction]]=1,"Very Dissatisfied",
HRData[[#This Row],[JobSatisfaction]]=2,"Dissatisfied",
HRData[[#This Row],[JobSatisfaction]]=3,"Satisfied",
HRData[[#This Row],[JobSatisfaction]]=4,"Very Satisfied"
)</f>
        <v>Very Dissatisfied</v>
      </c>
      <c r="V31" t="s">
        <v>41</v>
      </c>
      <c r="W31">
        <v>18947</v>
      </c>
      <c r="X31" t="str" cm="1">
        <f t="array" ref="X31">_xlfn.IFS(
HRData[[#This Row],[MonthlyIncome]]&lt;=4000,"Very Low Income",
HRData[[#This Row],[MonthlyIncome]]&lt;=8000,"Low Income",
HRData[[#This Row],[MonthlyIncome]]&lt;=12000,"Moderate Income",
HRData[[#This Row],[MonthlyIncome]]&lt;=16000,"High Income",
HRData[[#This Row],[MonthlyIncome]]&gt;16000,"Very High Income"
)</f>
        <v>Very High Income</v>
      </c>
      <c r="Y31">
        <v>22822</v>
      </c>
      <c r="Z31">
        <v>3</v>
      </c>
      <c r="AA31" t="s">
        <v>42</v>
      </c>
      <c r="AB31" t="s">
        <v>43</v>
      </c>
      <c r="AC31">
        <v>12</v>
      </c>
      <c r="AD31" t="str" cm="1">
        <f t="array" ref="AD31">_xlfn.IFS(HRData[[#This Row],[PercentSalaryHike]]&lt;=15,"11-15",HRData[[#This Row],[PercentSalaryHike]]&lt;=20,"16-20",HRData[[#This Row],[PercentSalaryHike]]&gt;=21,"21+")</f>
        <v>11-15</v>
      </c>
      <c r="AE31">
        <v>3</v>
      </c>
      <c r="AF31">
        <v>4</v>
      </c>
      <c r="AG31">
        <v>80</v>
      </c>
      <c r="AH31">
        <v>0</v>
      </c>
      <c r="AI31">
        <v>22</v>
      </c>
      <c r="AJ31">
        <v>2</v>
      </c>
      <c r="AK31">
        <v>2</v>
      </c>
      <c r="AL31">
        <v>2</v>
      </c>
      <c r="AM31">
        <v>2</v>
      </c>
      <c r="AN31">
        <v>2</v>
      </c>
      <c r="AO31">
        <v>1</v>
      </c>
      <c r="AP3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1" t="str">
        <f>IF(HRData[[#This Row],[Attrition]]="Yes","Left", IF(HRData[[#This Row],[Attrition_Risk_Score]]&gt;=6,"High",IF(HRData[[#This Row],[Attrition_Risk_Score]]&gt;=3,"Medium","Low")))</f>
        <v>Low</v>
      </c>
      <c r="AR31" t="str">
        <f>IF(HRData[[#This Row],[Attrition_Risk_Level]]&lt;&gt;"High","",HRData[[#This Row],[Attrition_Risk_Score]]*10000-HRData[[#This Row],[EmployeeNumber]])</f>
        <v/>
      </c>
    </row>
    <row r="32" spans="1:44">
      <c r="A32">
        <v>33</v>
      </c>
      <c r="B32" t="str" cm="1">
        <f t="array" ref="B32">_xlfn.IFS(
HRData[[#This Row],[Age]]&lt;=24,"18-24",
HRData[[#This Row],[Age]]&lt;=34,"25-34",
HRData[[#This Row],[Age]]&lt;=44,"35-44",
HRData[[#This Row],[Age]]&lt;=54,"45-54",
HRData[[#This Row],[Age]]&gt;=55,"55+"
)</f>
        <v>25-34</v>
      </c>
      <c r="C32" t="s">
        <v>43</v>
      </c>
      <c r="D32">
        <f>IF(HRData[[#This Row],[Attrition]]="Yes",1,0)</f>
        <v>0</v>
      </c>
      <c r="E32" t="s">
        <v>36</v>
      </c>
      <c r="F32">
        <v>924</v>
      </c>
      <c r="G32" t="s">
        <v>45</v>
      </c>
      <c r="H32">
        <v>2</v>
      </c>
      <c r="I32">
        <v>3</v>
      </c>
      <c r="J32" t="s">
        <v>51</v>
      </c>
      <c r="K32">
        <v>1</v>
      </c>
      <c r="L32">
        <v>39</v>
      </c>
      <c r="M32">
        <v>3</v>
      </c>
      <c r="N32" t="str" cm="1">
        <f t="array" ref="N32">_xlfn.IFS(HRData[[#This Row],[EnvironmentSatisfaction]]=1,"Very Dissatisfied",
HRData[[#This Row],[EnvironmentSatisfaction]]=2,"Dissatisfied",
HRData[[#This Row],[EnvironmentSatisfaction]]=3,"Satisfied",
HRData[[#This Row],[EnvironmentSatisfaction]]=4,"Very Satisfied"
)</f>
        <v>Satisfied</v>
      </c>
      <c r="O32" t="s">
        <v>46</v>
      </c>
      <c r="P32">
        <v>78</v>
      </c>
      <c r="Q32">
        <v>3</v>
      </c>
      <c r="R32">
        <v>1</v>
      </c>
      <c r="S32" t="s">
        <v>50</v>
      </c>
      <c r="T32">
        <v>4</v>
      </c>
      <c r="U32" t="str" cm="1">
        <f t="array" ref="U32">_xlfn.IFS(
HRData[[#This Row],[JobSatisfaction]]=1,"Very Dissatisfied",
HRData[[#This Row],[JobSatisfaction]]=2,"Dissatisfied",
HRData[[#This Row],[JobSatisfaction]]=3,"Satisfied",
HRData[[#This Row],[JobSatisfaction]]=4,"Very Satisfied"
)</f>
        <v>Very Satisfied</v>
      </c>
      <c r="V32" t="s">
        <v>41</v>
      </c>
      <c r="W32">
        <v>2496</v>
      </c>
      <c r="X32" t="str" cm="1">
        <f t="array" ref="X32">_xlfn.IFS(
HRData[[#This Row],[MonthlyIncome]]&lt;=4000,"Very Low Income",
HRData[[#This Row],[MonthlyIncome]]&lt;=8000,"Low Income",
HRData[[#This Row],[MonthlyIncome]]&lt;=12000,"Moderate Income",
HRData[[#This Row],[MonthlyIncome]]&lt;=16000,"High Income",
HRData[[#This Row],[MonthlyIncome]]&gt;16000,"Very High Income"
)</f>
        <v>Very Low Income</v>
      </c>
      <c r="Y32">
        <v>6670</v>
      </c>
      <c r="Z32">
        <v>4</v>
      </c>
      <c r="AA32" t="s">
        <v>42</v>
      </c>
      <c r="AB32" t="s">
        <v>43</v>
      </c>
      <c r="AC32">
        <v>11</v>
      </c>
      <c r="AD32" t="str" cm="1">
        <f t="array" ref="AD32">_xlfn.IFS(HRData[[#This Row],[PercentSalaryHike]]&lt;=15,"11-15",HRData[[#This Row],[PercentSalaryHike]]&lt;=20,"16-20",HRData[[#This Row],[PercentSalaryHike]]&gt;=21,"21+")</f>
        <v>11-15</v>
      </c>
      <c r="AE32">
        <v>3</v>
      </c>
      <c r="AF32">
        <v>4</v>
      </c>
      <c r="AG32">
        <v>80</v>
      </c>
      <c r="AH32">
        <v>0</v>
      </c>
      <c r="AI32">
        <v>7</v>
      </c>
      <c r="AJ32">
        <v>3</v>
      </c>
      <c r="AK32">
        <v>3</v>
      </c>
      <c r="AL32">
        <v>1</v>
      </c>
      <c r="AM32">
        <v>1</v>
      </c>
      <c r="AN32">
        <v>0</v>
      </c>
      <c r="AO32">
        <v>0</v>
      </c>
      <c r="AP3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2" t="str">
        <f>IF(HRData[[#This Row],[Attrition]]="Yes","Left", IF(HRData[[#This Row],[Attrition_Risk_Score]]&gt;=6,"High",IF(HRData[[#This Row],[Attrition_Risk_Score]]&gt;=3,"Medium","Low")))</f>
        <v>Medium</v>
      </c>
      <c r="AR32" t="str">
        <f>IF(HRData[[#This Row],[Attrition_Risk_Level]]&lt;&gt;"High","",HRData[[#This Row],[Attrition_Risk_Score]]*10000-HRData[[#This Row],[EmployeeNumber]])</f>
        <v/>
      </c>
    </row>
    <row r="33" spans="1:44">
      <c r="A33">
        <v>44</v>
      </c>
      <c r="B33" t="str" cm="1">
        <f t="array" ref="B33">_xlfn.IFS(
HRData[[#This Row],[Age]]&lt;=24,"18-24",
HRData[[#This Row],[Age]]&lt;=34,"25-34",
HRData[[#This Row],[Age]]&lt;=44,"35-44",
HRData[[#This Row],[Age]]&lt;=54,"45-54",
HRData[[#This Row],[Age]]&gt;=55,"55+"
)</f>
        <v>35-44</v>
      </c>
      <c r="C33" t="s">
        <v>43</v>
      </c>
      <c r="D33">
        <f>IF(HRData[[#This Row],[Attrition]]="Yes",1,0)</f>
        <v>0</v>
      </c>
      <c r="E33" t="s">
        <v>36</v>
      </c>
      <c r="F33">
        <v>1459</v>
      </c>
      <c r="G33" t="s">
        <v>45</v>
      </c>
      <c r="H33">
        <v>10</v>
      </c>
      <c r="I33">
        <v>4</v>
      </c>
      <c r="J33" t="s">
        <v>49</v>
      </c>
      <c r="K33">
        <v>1</v>
      </c>
      <c r="L33">
        <v>40</v>
      </c>
      <c r="M33">
        <v>4</v>
      </c>
      <c r="N33" t="str" cm="1">
        <f t="array" ref="N33">_xlfn.IFS(HRData[[#This Row],[EnvironmentSatisfaction]]=1,"Very Dissatisfied",
HRData[[#This Row],[EnvironmentSatisfaction]]=2,"Dissatisfied",
HRData[[#This Row],[EnvironmentSatisfaction]]=3,"Satisfied",
HRData[[#This Row],[EnvironmentSatisfaction]]=4,"Very Satisfied"
)</f>
        <v>Very Satisfied</v>
      </c>
      <c r="O33" t="s">
        <v>46</v>
      </c>
      <c r="P33">
        <v>41</v>
      </c>
      <c r="Q33">
        <v>3</v>
      </c>
      <c r="R33">
        <v>2</v>
      </c>
      <c r="S33" t="s">
        <v>54</v>
      </c>
      <c r="T33">
        <v>4</v>
      </c>
      <c r="U33" t="str" cm="1">
        <f t="array" ref="U33">_xlfn.IFS(
HRData[[#This Row],[JobSatisfaction]]=1,"Very Dissatisfied",
HRData[[#This Row],[JobSatisfaction]]=2,"Dissatisfied",
HRData[[#This Row],[JobSatisfaction]]=3,"Satisfied",
HRData[[#This Row],[JobSatisfaction]]=4,"Very Satisfied"
)</f>
        <v>Very Satisfied</v>
      </c>
      <c r="V33" t="s">
        <v>48</v>
      </c>
      <c r="W33">
        <v>6465</v>
      </c>
      <c r="X33" t="str" cm="1">
        <f t="array" ref="X33">_xlfn.IFS(
HRData[[#This Row],[MonthlyIncome]]&lt;=4000,"Very Low Income",
HRData[[#This Row],[MonthlyIncome]]&lt;=8000,"Low Income",
HRData[[#This Row],[MonthlyIncome]]&lt;=12000,"Moderate Income",
HRData[[#This Row],[MonthlyIncome]]&lt;=16000,"High Income",
HRData[[#This Row],[MonthlyIncome]]&gt;16000,"Very High Income"
)</f>
        <v>Low Income</v>
      </c>
      <c r="Y33">
        <v>19121</v>
      </c>
      <c r="Z33">
        <v>2</v>
      </c>
      <c r="AA33" t="s">
        <v>42</v>
      </c>
      <c r="AB33" t="s">
        <v>35</v>
      </c>
      <c r="AC33">
        <v>13</v>
      </c>
      <c r="AD33" t="str" cm="1">
        <f t="array" ref="AD33">_xlfn.IFS(HRData[[#This Row],[PercentSalaryHike]]&lt;=15,"11-15",HRData[[#This Row],[PercentSalaryHike]]&lt;=20,"16-20",HRData[[#This Row],[PercentSalaryHike]]&gt;=21,"21+")</f>
        <v>11-15</v>
      </c>
      <c r="AE33">
        <v>3</v>
      </c>
      <c r="AF33">
        <v>4</v>
      </c>
      <c r="AG33">
        <v>80</v>
      </c>
      <c r="AH33">
        <v>0</v>
      </c>
      <c r="AI33">
        <v>9</v>
      </c>
      <c r="AJ33">
        <v>5</v>
      </c>
      <c r="AK33">
        <v>4</v>
      </c>
      <c r="AL33">
        <v>4</v>
      </c>
      <c r="AM33">
        <v>2</v>
      </c>
      <c r="AN33">
        <v>1</v>
      </c>
      <c r="AO33">
        <v>3</v>
      </c>
      <c r="AP3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33" t="str">
        <f>IF(HRData[[#This Row],[Attrition]]="Yes","Left", IF(HRData[[#This Row],[Attrition_Risk_Score]]&gt;=6,"High",IF(HRData[[#This Row],[Attrition_Risk_Score]]&gt;=3,"Medium","Low")))</f>
        <v>Medium</v>
      </c>
      <c r="AR33" t="str">
        <f>IF(HRData[[#This Row],[Attrition_Risk_Level]]&lt;&gt;"High","",HRData[[#This Row],[Attrition_Risk_Score]]*10000-HRData[[#This Row],[EmployeeNumber]])</f>
        <v/>
      </c>
    </row>
    <row r="34" spans="1:44">
      <c r="A34">
        <v>30</v>
      </c>
      <c r="B34" t="str" cm="1">
        <f t="array" ref="B34">_xlfn.IFS(
HRData[[#This Row],[Age]]&lt;=24,"18-24",
HRData[[#This Row],[Age]]&lt;=34,"25-34",
HRData[[#This Row],[Age]]&lt;=44,"35-44",
HRData[[#This Row],[Age]]&lt;=54,"45-54",
HRData[[#This Row],[Age]]&gt;=55,"55+"
)</f>
        <v>25-34</v>
      </c>
      <c r="C34" t="s">
        <v>43</v>
      </c>
      <c r="D34">
        <f>IF(HRData[[#This Row],[Attrition]]="Yes",1,0)</f>
        <v>0</v>
      </c>
      <c r="E34" t="s">
        <v>36</v>
      </c>
      <c r="F34">
        <v>125</v>
      </c>
      <c r="G34" t="s">
        <v>45</v>
      </c>
      <c r="H34">
        <v>9</v>
      </c>
      <c r="I34">
        <v>2</v>
      </c>
      <c r="J34" t="s">
        <v>51</v>
      </c>
      <c r="K34">
        <v>1</v>
      </c>
      <c r="L34">
        <v>41</v>
      </c>
      <c r="M34">
        <v>4</v>
      </c>
      <c r="N34" t="str" cm="1">
        <f t="array" ref="N34">_xlfn.IFS(HRData[[#This Row],[EnvironmentSatisfaction]]=1,"Very Dissatisfied",
HRData[[#This Row],[EnvironmentSatisfaction]]=2,"Dissatisfied",
HRData[[#This Row],[EnvironmentSatisfaction]]=3,"Satisfied",
HRData[[#This Row],[EnvironmentSatisfaction]]=4,"Very Satisfied"
)</f>
        <v>Very Satisfied</v>
      </c>
      <c r="O34" t="s">
        <v>46</v>
      </c>
      <c r="P34">
        <v>83</v>
      </c>
      <c r="Q34">
        <v>2</v>
      </c>
      <c r="R34">
        <v>1</v>
      </c>
      <c r="S34" t="s">
        <v>50</v>
      </c>
      <c r="T34">
        <v>3</v>
      </c>
      <c r="U34" t="str" cm="1">
        <f t="array" ref="U34">_xlfn.IFS(
HRData[[#This Row],[JobSatisfaction]]=1,"Very Dissatisfied",
HRData[[#This Row],[JobSatisfaction]]=2,"Dissatisfied",
HRData[[#This Row],[JobSatisfaction]]=3,"Satisfied",
HRData[[#This Row],[JobSatisfaction]]=4,"Very Satisfied"
)</f>
        <v>Satisfied</v>
      </c>
      <c r="V34" t="s">
        <v>41</v>
      </c>
      <c r="W34">
        <v>2206</v>
      </c>
      <c r="X34" t="str" cm="1">
        <f t="array" ref="X34">_xlfn.IFS(
HRData[[#This Row],[MonthlyIncome]]&lt;=4000,"Very Low Income",
HRData[[#This Row],[MonthlyIncome]]&lt;=8000,"Low Income",
HRData[[#This Row],[MonthlyIncome]]&lt;=12000,"Moderate Income",
HRData[[#This Row],[MonthlyIncome]]&lt;=16000,"High Income",
HRData[[#This Row],[MonthlyIncome]]&gt;16000,"Very High Income"
)</f>
        <v>Very Low Income</v>
      </c>
      <c r="Y34">
        <v>16117</v>
      </c>
      <c r="Z34">
        <v>1</v>
      </c>
      <c r="AA34" t="s">
        <v>42</v>
      </c>
      <c r="AB34" t="s">
        <v>43</v>
      </c>
      <c r="AC34">
        <v>13</v>
      </c>
      <c r="AD34" t="str" cm="1">
        <f t="array" ref="AD34">_xlfn.IFS(HRData[[#This Row],[PercentSalaryHike]]&lt;=15,"11-15",HRData[[#This Row],[PercentSalaryHike]]&lt;=20,"16-20",HRData[[#This Row],[PercentSalaryHike]]&gt;=21,"21+")</f>
        <v>11-15</v>
      </c>
      <c r="AE34">
        <v>3</v>
      </c>
      <c r="AF34">
        <v>1</v>
      </c>
      <c r="AG34">
        <v>80</v>
      </c>
      <c r="AH34">
        <v>0</v>
      </c>
      <c r="AI34">
        <v>10</v>
      </c>
      <c r="AJ34">
        <v>5</v>
      </c>
      <c r="AK34">
        <v>3</v>
      </c>
      <c r="AL34">
        <v>10</v>
      </c>
      <c r="AM34">
        <v>0</v>
      </c>
      <c r="AN34">
        <v>1</v>
      </c>
      <c r="AO34">
        <v>8</v>
      </c>
      <c r="AP3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4" t="str">
        <f>IF(HRData[[#This Row],[Attrition]]="Yes","Left", IF(HRData[[#This Row],[Attrition_Risk_Score]]&gt;=6,"High",IF(HRData[[#This Row],[Attrition_Risk_Score]]&gt;=3,"Medium","Low")))</f>
        <v>Medium</v>
      </c>
      <c r="AR34" t="str">
        <f>IF(HRData[[#This Row],[Attrition_Risk_Level]]&lt;&gt;"High","",HRData[[#This Row],[Attrition_Risk_Score]]*10000-HRData[[#This Row],[EmployeeNumber]])</f>
        <v/>
      </c>
    </row>
    <row r="35" spans="1:44">
      <c r="A35">
        <v>39</v>
      </c>
      <c r="B35" t="str" cm="1">
        <f t="array" ref="B35">_xlfn.IFS(
HRData[[#This Row],[Age]]&lt;=24,"18-24",
HRData[[#This Row],[Age]]&lt;=34,"25-34",
HRData[[#This Row],[Age]]&lt;=44,"35-44",
HRData[[#This Row],[Age]]&lt;=54,"45-54",
HRData[[#This Row],[Age]]&gt;=55,"55+"
)</f>
        <v>35-44</v>
      </c>
      <c r="C35" t="s">
        <v>35</v>
      </c>
      <c r="D35">
        <f>IF(HRData[[#This Row],[Attrition]]="Yes",1,0)</f>
        <v>1</v>
      </c>
      <c r="E35" t="s">
        <v>36</v>
      </c>
      <c r="F35">
        <v>895</v>
      </c>
      <c r="G35" t="s">
        <v>37</v>
      </c>
      <c r="H35">
        <v>5</v>
      </c>
      <c r="I35">
        <v>3</v>
      </c>
      <c r="J35" t="s">
        <v>60</v>
      </c>
      <c r="K35">
        <v>1</v>
      </c>
      <c r="L35">
        <v>42</v>
      </c>
      <c r="M35">
        <v>4</v>
      </c>
      <c r="N35" t="str" cm="1">
        <f t="array" ref="N35">_xlfn.IFS(HRData[[#This Row],[EnvironmentSatisfaction]]=1,"Very Dissatisfied",
HRData[[#This Row],[EnvironmentSatisfaction]]=2,"Dissatisfied",
HRData[[#This Row],[EnvironmentSatisfaction]]=3,"Satisfied",
HRData[[#This Row],[EnvironmentSatisfaction]]=4,"Very Satisfied"
)</f>
        <v>Very Satisfied</v>
      </c>
      <c r="O35" t="s">
        <v>46</v>
      </c>
      <c r="P35">
        <v>56</v>
      </c>
      <c r="Q35">
        <v>3</v>
      </c>
      <c r="R35">
        <v>2</v>
      </c>
      <c r="S35" t="s">
        <v>57</v>
      </c>
      <c r="T35">
        <v>4</v>
      </c>
      <c r="U35" t="str" cm="1">
        <f t="array" ref="U35">_xlfn.IFS(
HRData[[#This Row],[JobSatisfaction]]=1,"Very Dissatisfied",
HRData[[#This Row],[JobSatisfaction]]=2,"Dissatisfied",
HRData[[#This Row],[JobSatisfaction]]=3,"Satisfied",
HRData[[#This Row],[JobSatisfaction]]=4,"Very Satisfied"
)</f>
        <v>Very Satisfied</v>
      </c>
      <c r="V35" t="s">
        <v>48</v>
      </c>
      <c r="W35">
        <v>2086</v>
      </c>
      <c r="X35" t="str" cm="1">
        <f t="array" ref="X35">_xlfn.IFS(
HRData[[#This Row],[MonthlyIncome]]&lt;=4000,"Very Low Income",
HRData[[#This Row],[MonthlyIncome]]&lt;=8000,"Low Income",
HRData[[#This Row],[MonthlyIncome]]&lt;=12000,"Moderate Income",
HRData[[#This Row],[MonthlyIncome]]&lt;=16000,"High Income",
HRData[[#This Row],[MonthlyIncome]]&gt;16000,"Very High Income"
)</f>
        <v>Very Low Income</v>
      </c>
      <c r="Y35">
        <v>3335</v>
      </c>
      <c r="Z35">
        <v>3</v>
      </c>
      <c r="AA35" t="s">
        <v>42</v>
      </c>
      <c r="AB35" t="s">
        <v>43</v>
      </c>
      <c r="AC35">
        <v>14</v>
      </c>
      <c r="AD35" t="str" cm="1">
        <f t="array" ref="AD35">_xlfn.IFS(HRData[[#This Row],[PercentSalaryHike]]&lt;=15,"11-15",HRData[[#This Row],[PercentSalaryHike]]&lt;=20,"16-20",HRData[[#This Row],[PercentSalaryHike]]&gt;=21,"21+")</f>
        <v>11-15</v>
      </c>
      <c r="AE35">
        <v>3</v>
      </c>
      <c r="AF35">
        <v>3</v>
      </c>
      <c r="AG35">
        <v>80</v>
      </c>
      <c r="AH35">
        <v>1</v>
      </c>
      <c r="AI35">
        <v>19</v>
      </c>
      <c r="AJ35">
        <v>6</v>
      </c>
      <c r="AK35">
        <v>4</v>
      </c>
      <c r="AL35">
        <v>1</v>
      </c>
      <c r="AM35">
        <v>0</v>
      </c>
      <c r="AN35">
        <v>0</v>
      </c>
      <c r="AO35">
        <v>0</v>
      </c>
      <c r="AP3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35" t="str">
        <f>IF(HRData[[#This Row],[Attrition]]="Yes","Left", IF(HRData[[#This Row],[Attrition_Risk_Score]]&gt;=6,"High",IF(HRData[[#This Row],[Attrition_Risk_Score]]&gt;=3,"Medium","Low")))</f>
        <v>Left</v>
      </c>
      <c r="AR35" t="str">
        <f>IF(HRData[[#This Row],[Attrition_Risk_Level]]&lt;&gt;"High","",HRData[[#This Row],[Attrition_Risk_Score]]*10000-HRData[[#This Row],[EmployeeNumber]])</f>
        <v/>
      </c>
    </row>
    <row r="36" spans="1:44">
      <c r="A36">
        <v>24</v>
      </c>
      <c r="B36" t="str" cm="1">
        <f t="array" ref="B36">_xlfn.IFS(
HRData[[#This Row],[Age]]&lt;=24,"18-24",
HRData[[#This Row],[Age]]&lt;=34,"25-34",
HRData[[#This Row],[Age]]&lt;=44,"35-44",
HRData[[#This Row],[Age]]&lt;=54,"45-54",
HRData[[#This Row],[Age]]&gt;=55,"55+"
)</f>
        <v>18-24</v>
      </c>
      <c r="C36" t="s">
        <v>35</v>
      </c>
      <c r="D36">
        <f>IF(HRData[[#This Row],[Attrition]]="Yes",1,0)</f>
        <v>1</v>
      </c>
      <c r="E36" t="s">
        <v>36</v>
      </c>
      <c r="F36">
        <v>813</v>
      </c>
      <c r="G36" t="s">
        <v>45</v>
      </c>
      <c r="H36">
        <v>1</v>
      </c>
      <c r="I36">
        <v>3</v>
      </c>
      <c r="J36" t="s">
        <v>51</v>
      </c>
      <c r="K36">
        <v>1</v>
      </c>
      <c r="L36">
        <v>45</v>
      </c>
      <c r="M36">
        <v>2</v>
      </c>
      <c r="N36" t="str" cm="1">
        <f t="array" ref="N36">_xlfn.IFS(HRData[[#This Row],[EnvironmentSatisfaction]]=1,"Very Dissatisfied",
HRData[[#This Row],[EnvironmentSatisfaction]]=2,"Dissatisfied",
HRData[[#This Row],[EnvironmentSatisfaction]]=3,"Satisfied",
HRData[[#This Row],[EnvironmentSatisfaction]]=4,"Very Satisfied"
)</f>
        <v>Dissatisfied</v>
      </c>
      <c r="O36" t="s">
        <v>46</v>
      </c>
      <c r="P36">
        <v>61</v>
      </c>
      <c r="Q36">
        <v>3</v>
      </c>
      <c r="R36">
        <v>1</v>
      </c>
      <c r="S36" t="s">
        <v>47</v>
      </c>
      <c r="T36">
        <v>4</v>
      </c>
      <c r="U36" t="str" cm="1">
        <f t="array" ref="U36">_xlfn.IFS(
HRData[[#This Row],[JobSatisfaction]]=1,"Very Dissatisfied",
HRData[[#This Row],[JobSatisfaction]]=2,"Dissatisfied",
HRData[[#This Row],[JobSatisfaction]]=3,"Satisfied",
HRData[[#This Row],[JobSatisfaction]]=4,"Very Satisfied"
)</f>
        <v>Very Satisfied</v>
      </c>
      <c r="V36" t="s">
        <v>48</v>
      </c>
      <c r="W36">
        <v>2293</v>
      </c>
      <c r="X36" t="str" cm="1">
        <f t="array" ref="X36">_xlfn.IFS(
HRData[[#This Row],[MonthlyIncome]]&lt;=4000,"Very Low Income",
HRData[[#This Row],[MonthlyIncome]]&lt;=8000,"Low Income",
HRData[[#This Row],[MonthlyIncome]]&lt;=12000,"Moderate Income",
HRData[[#This Row],[MonthlyIncome]]&lt;=16000,"High Income",
HRData[[#This Row],[MonthlyIncome]]&gt;16000,"Very High Income"
)</f>
        <v>Very Low Income</v>
      </c>
      <c r="Y36">
        <v>3020</v>
      </c>
      <c r="Z36">
        <v>2</v>
      </c>
      <c r="AA36" t="s">
        <v>42</v>
      </c>
      <c r="AB36" t="s">
        <v>35</v>
      </c>
      <c r="AC36">
        <v>16</v>
      </c>
      <c r="AD36" t="str" cm="1">
        <f t="array" ref="AD36">_xlfn.IFS(HRData[[#This Row],[PercentSalaryHike]]&lt;=15,"11-15",HRData[[#This Row],[PercentSalaryHike]]&lt;=20,"16-20",HRData[[#This Row],[PercentSalaryHike]]&gt;=21,"21+")</f>
        <v>16-20</v>
      </c>
      <c r="AE36">
        <v>3</v>
      </c>
      <c r="AF36">
        <v>1</v>
      </c>
      <c r="AG36">
        <v>80</v>
      </c>
      <c r="AH36">
        <v>1</v>
      </c>
      <c r="AI36">
        <v>6</v>
      </c>
      <c r="AJ36">
        <v>2</v>
      </c>
      <c r="AK36">
        <v>2</v>
      </c>
      <c r="AL36">
        <v>2</v>
      </c>
      <c r="AM36">
        <v>0</v>
      </c>
      <c r="AN36">
        <v>2</v>
      </c>
      <c r="AO36">
        <v>0</v>
      </c>
      <c r="AP3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36" t="str">
        <f>IF(HRData[[#This Row],[Attrition]]="Yes","Left", IF(HRData[[#This Row],[Attrition_Risk_Score]]&gt;=6,"High",IF(HRData[[#This Row],[Attrition_Risk_Score]]&gt;=3,"Medium","Low")))</f>
        <v>Left</v>
      </c>
      <c r="AR36" t="str">
        <f>IF(HRData[[#This Row],[Attrition_Risk_Level]]&lt;&gt;"High","",HRData[[#This Row],[Attrition_Risk_Score]]*10000-HRData[[#This Row],[EmployeeNumber]])</f>
        <v/>
      </c>
    </row>
    <row r="37" spans="1:44">
      <c r="A37">
        <v>43</v>
      </c>
      <c r="B37" t="str" cm="1">
        <f t="array" ref="B37">_xlfn.IFS(
HRData[[#This Row],[Age]]&lt;=24,"18-24",
HRData[[#This Row],[Age]]&lt;=34,"25-34",
HRData[[#This Row],[Age]]&lt;=44,"35-44",
HRData[[#This Row],[Age]]&lt;=54,"45-54",
HRData[[#This Row],[Age]]&gt;=55,"55+"
)</f>
        <v>35-44</v>
      </c>
      <c r="C37" t="s">
        <v>43</v>
      </c>
      <c r="D37">
        <f>IF(HRData[[#This Row],[Attrition]]="Yes",1,0)</f>
        <v>0</v>
      </c>
      <c r="E37" t="s">
        <v>36</v>
      </c>
      <c r="F37">
        <v>1273</v>
      </c>
      <c r="G37" t="s">
        <v>45</v>
      </c>
      <c r="H37">
        <v>2</v>
      </c>
      <c r="I37">
        <v>2</v>
      </c>
      <c r="J37" t="s">
        <v>51</v>
      </c>
      <c r="K37">
        <v>1</v>
      </c>
      <c r="L37">
        <v>46</v>
      </c>
      <c r="M37">
        <v>4</v>
      </c>
      <c r="N37" t="str" cm="1">
        <f t="array" ref="N37">_xlfn.IFS(HRData[[#This Row],[EnvironmentSatisfaction]]=1,"Very Dissatisfied",
HRData[[#This Row],[EnvironmentSatisfaction]]=2,"Dissatisfied",
HRData[[#This Row],[EnvironmentSatisfaction]]=3,"Satisfied",
HRData[[#This Row],[EnvironmentSatisfaction]]=4,"Very Satisfied"
)</f>
        <v>Very Satisfied</v>
      </c>
      <c r="O37" t="s">
        <v>39</v>
      </c>
      <c r="P37">
        <v>72</v>
      </c>
      <c r="Q37">
        <v>4</v>
      </c>
      <c r="R37">
        <v>1</v>
      </c>
      <c r="S37" t="s">
        <v>47</v>
      </c>
      <c r="T37">
        <v>3</v>
      </c>
      <c r="U37" t="str" cm="1">
        <f t="array" ref="U37">_xlfn.IFS(
HRData[[#This Row],[JobSatisfaction]]=1,"Very Dissatisfied",
HRData[[#This Row],[JobSatisfaction]]=2,"Dissatisfied",
HRData[[#This Row],[JobSatisfaction]]=3,"Satisfied",
HRData[[#This Row],[JobSatisfaction]]=4,"Very Satisfied"
)</f>
        <v>Satisfied</v>
      </c>
      <c r="V37" t="s">
        <v>52</v>
      </c>
      <c r="W37">
        <v>2645</v>
      </c>
      <c r="X37" t="str" cm="1">
        <f t="array" ref="X37">_xlfn.IFS(
HRData[[#This Row],[MonthlyIncome]]&lt;=4000,"Very Low Income",
HRData[[#This Row],[MonthlyIncome]]&lt;=8000,"Low Income",
HRData[[#This Row],[MonthlyIncome]]&lt;=12000,"Moderate Income",
HRData[[#This Row],[MonthlyIncome]]&lt;=16000,"High Income",
HRData[[#This Row],[MonthlyIncome]]&gt;16000,"Very High Income"
)</f>
        <v>Very Low Income</v>
      </c>
      <c r="Y37">
        <v>21923</v>
      </c>
      <c r="Z37">
        <v>1</v>
      </c>
      <c r="AA37" t="s">
        <v>42</v>
      </c>
      <c r="AB37" t="s">
        <v>43</v>
      </c>
      <c r="AC37">
        <v>12</v>
      </c>
      <c r="AD37" t="str" cm="1">
        <f t="array" ref="AD37">_xlfn.IFS(HRData[[#This Row],[PercentSalaryHike]]&lt;=15,"11-15",HRData[[#This Row],[PercentSalaryHike]]&lt;=20,"16-20",HRData[[#This Row],[PercentSalaryHike]]&gt;=21,"21+")</f>
        <v>11-15</v>
      </c>
      <c r="AE37">
        <v>3</v>
      </c>
      <c r="AF37">
        <v>4</v>
      </c>
      <c r="AG37">
        <v>80</v>
      </c>
      <c r="AH37">
        <v>2</v>
      </c>
      <c r="AI37">
        <v>6</v>
      </c>
      <c r="AJ37">
        <v>3</v>
      </c>
      <c r="AK37">
        <v>2</v>
      </c>
      <c r="AL37">
        <v>5</v>
      </c>
      <c r="AM37">
        <v>3</v>
      </c>
      <c r="AN37">
        <v>1</v>
      </c>
      <c r="AO37">
        <v>4</v>
      </c>
      <c r="AP3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7" t="str">
        <f>IF(HRData[[#This Row],[Attrition]]="Yes","Left", IF(HRData[[#This Row],[Attrition_Risk_Score]]&gt;=6,"High",IF(HRData[[#This Row],[Attrition_Risk_Score]]&gt;=3,"Medium","Low")))</f>
        <v>Low</v>
      </c>
      <c r="AR37" t="str">
        <f>IF(HRData[[#This Row],[Attrition_Risk_Level]]&lt;&gt;"High","",HRData[[#This Row],[Attrition_Risk_Score]]*10000-HRData[[#This Row],[EmployeeNumber]])</f>
        <v/>
      </c>
    </row>
    <row r="38" spans="1:44">
      <c r="A38">
        <v>50</v>
      </c>
      <c r="B38" t="str" cm="1">
        <f t="array" ref="B38">_xlfn.IFS(
HRData[[#This Row],[Age]]&lt;=24,"18-24",
HRData[[#This Row],[Age]]&lt;=34,"25-34",
HRData[[#This Row],[Age]]&lt;=44,"35-44",
HRData[[#This Row],[Age]]&lt;=54,"45-54",
HRData[[#This Row],[Age]]&gt;=55,"55+"
)</f>
        <v>45-54</v>
      </c>
      <c r="C38" t="s">
        <v>35</v>
      </c>
      <c r="D38">
        <f>IF(HRData[[#This Row],[Attrition]]="Yes",1,0)</f>
        <v>1</v>
      </c>
      <c r="E38" t="s">
        <v>36</v>
      </c>
      <c r="F38">
        <v>869</v>
      </c>
      <c r="G38" t="s">
        <v>37</v>
      </c>
      <c r="H38">
        <v>3</v>
      </c>
      <c r="I38">
        <v>2</v>
      </c>
      <c r="J38" t="s">
        <v>59</v>
      </c>
      <c r="K38">
        <v>1</v>
      </c>
      <c r="L38">
        <v>47</v>
      </c>
      <c r="M38">
        <v>1</v>
      </c>
      <c r="N38" t="str" cm="1">
        <f t="array" ref="N38">_xlfn.IFS(HRData[[#This Row],[EnvironmentSatisfaction]]=1,"Very Dissatisfied",
HRData[[#This Row],[EnvironmentSatisfaction]]=2,"Dissatisfied",
HRData[[#This Row],[EnvironmentSatisfaction]]=3,"Satisfied",
HRData[[#This Row],[EnvironmentSatisfaction]]=4,"Very Satisfied"
)</f>
        <v>Very Dissatisfied</v>
      </c>
      <c r="O38" t="s">
        <v>46</v>
      </c>
      <c r="P38">
        <v>86</v>
      </c>
      <c r="Q38">
        <v>2</v>
      </c>
      <c r="R38">
        <v>1</v>
      </c>
      <c r="S38" t="s">
        <v>57</v>
      </c>
      <c r="T38">
        <v>3</v>
      </c>
      <c r="U38" t="str" cm="1">
        <f t="array" ref="U38">_xlfn.IFS(
HRData[[#This Row],[JobSatisfaction]]=1,"Very Dissatisfied",
HRData[[#This Row],[JobSatisfaction]]=2,"Dissatisfied",
HRData[[#This Row],[JobSatisfaction]]=3,"Satisfied",
HRData[[#This Row],[JobSatisfaction]]=4,"Very Satisfied"
)</f>
        <v>Satisfied</v>
      </c>
      <c r="V38" t="s">
        <v>48</v>
      </c>
      <c r="W38">
        <v>2683</v>
      </c>
      <c r="X38" t="str" cm="1">
        <f t="array" ref="X38">_xlfn.IFS(
HRData[[#This Row],[MonthlyIncome]]&lt;=4000,"Very Low Income",
HRData[[#This Row],[MonthlyIncome]]&lt;=8000,"Low Income",
HRData[[#This Row],[MonthlyIncome]]&lt;=12000,"Moderate Income",
HRData[[#This Row],[MonthlyIncome]]&lt;=16000,"High Income",
HRData[[#This Row],[MonthlyIncome]]&gt;16000,"Very High Income"
)</f>
        <v>Very Low Income</v>
      </c>
      <c r="Y38">
        <v>3810</v>
      </c>
      <c r="Z38">
        <v>1</v>
      </c>
      <c r="AA38" t="s">
        <v>42</v>
      </c>
      <c r="AB38" t="s">
        <v>35</v>
      </c>
      <c r="AC38">
        <v>14</v>
      </c>
      <c r="AD38" t="str" cm="1">
        <f t="array" ref="AD38">_xlfn.IFS(HRData[[#This Row],[PercentSalaryHike]]&lt;=15,"11-15",HRData[[#This Row],[PercentSalaryHike]]&lt;=20,"16-20",HRData[[#This Row],[PercentSalaryHike]]&gt;=21,"21+")</f>
        <v>11-15</v>
      </c>
      <c r="AE38">
        <v>3</v>
      </c>
      <c r="AF38">
        <v>3</v>
      </c>
      <c r="AG38">
        <v>80</v>
      </c>
      <c r="AH38">
        <v>0</v>
      </c>
      <c r="AI38">
        <v>3</v>
      </c>
      <c r="AJ38">
        <v>2</v>
      </c>
      <c r="AK38">
        <v>3</v>
      </c>
      <c r="AL38">
        <v>3</v>
      </c>
      <c r="AM38">
        <v>2</v>
      </c>
      <c r="AN38">
        <v>0</v>
      </c>
      <c r="AO38">
        <v>2</v>
      </c>
      <c r="AP3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38" t="str">
        <f>IF(HRData[[#This Row],[Attrition]]="Yes","Left", IF(HRData[[#This Row],[Attrition_Risk_Score]]&gt;=6,"High",IF(HRData[[#This Row],[Attrition_Risk_Score]]&gt;=3,"Medium","Low")))</f>
        <v>Left</v>
      </c>
      <c r="AR38" t="str">
        <f>IF(HRData[[#This Row],[Attrition_Risk_Level]]&lt;&gt;"High","",HRData[[#This Row],[Attrition_Risk_Score]]*10000-HRData[[#This Row],[EmployeeNumber]])</f>
        <v/>
      </c>
    </row>
    <row r="39" spans="1:44">
      <c r="A39">
        <v>35</v>
      </c>
      <c r="B39" t="str" cm="1">
        <f t="array" ref="B39">_xlfn.IFS(
HRData[[#This Row],[Age]]&lt;=24,"18-24",
HRData[[#This Row],[Age]]&lt;=34,"25-34",
HRData[[#This Row],[Age]]&lt;=44,"35-44",
HRData[[#This Row],[Age]]&lt;=54,"45-54",
HRData[[#This Row],[Age]]&gt;=55,"55+"
)</f>
        <v>35-44</v>
      </c>
      <c r="C39" t="s">
        <v>43</v>
      </c>
      <c r="D39">
        <f>IF(HRData[[#This Row],[Attrition]]="Yes",1,0)</f>
        <v>0</v>
      </c>
      <c r="E39" t="s">
        <v>36</v>
      </c>
      <c r="F39">
        <v>890</v>
      </c>
      <c r="G39" t="s">
        <v>37</v>
      </c>
      <c r="H39">
        <v>2</v>
      </c>
      <c r="I39">
        <v>3</v>
      </c>
      <c r="J39" t="s">
        <v>59</v>
      </c>
      <c r="K39">
        <v>1</v>
      </c>
      <c r="L39">
        <v>49</v>
      </c>
      <c r="M39">
        <v>4</v>
      </c>
      <c r="N39" t="str" cm="1">
        <f t="array" ref="N39">_xlfn.IFS(HRData[[#This Row],[EnvironmentSatisfaction]]=1,"Very Dissatisfied",
HRData[[#This Row],[EnvironmentSatisfaction]]=2,"Dissatisfied",
HRData[[#This Row],[EnvironmentSatisfaction]]=3,"Satisfied",
HRData[[#This Row],[EnvironmentSatisfaction]]=4,"Very Satisfied"
)</f>
        <v>Very Satisfied</v>
      </c>
      <c r="O39" t="s">
        <v>39</v>
      </c>
      <c r="P39">
        <v>97</v>
      </c>
      <c r="Q39">
        <v>3</v>
      </c>
      <c r="R39">
        <v>1</v>
      </c>
      <c r="S39" t="s">
        <v>57</v>
      </c>
      <c r="T39">
        <v>4</v>
      </c>
      <c r="U39" t="str" cm="1">
        <f t="array" ref="U39">_xlfn.IFS(
HRData[[#This Row],[JobSatisfaction]]=1,"Very Dissatisfied",
HRData[[#This Row],[JobSatisfaction]]=2,"Dissatisfied",
HRData[[#This Row],[JobSatisfaction]]=3,"Satisfied",
HRData[[#This Row],[JobSatisfaction]]=4,"Very Satisfied"
)</f>
        <v>Very Satisfied</v>
      </c>
      <c r="V39" t="s">
        <v>48</v>
      </c>
      <c r="W39">
        <v>2014</v>
      </c>
      <c r="X39" t="str" cm="1">
        <f t="array" ref="X39">_xlfn.IFS(
HRData[[#This Row],[MonthlyIncome]]&lt;=4000,"Very Low Income",
HRData[[#This Row],[MonthlyIncome]]&lt;=8000,"Low Income",
HRData[[#This Row],[MonthlyIncome]]&lt;=12000,"Moderate Income",
HRData[[#This Row],[MonthlyIncome]]&lt;=16000,"High Income",
HRData[[#This Row],[MonthlyIncome]]&gt;16000,"Very High Income"
)</f>
        <v>Very Low Income</v>
      </c>
      <c r="Y39">
        <v>9687</v>
      </c>
      <c r="Z39">
        <v>1</v>
      </c>
      <c r="AA39" t="s">
        <v>42</v>
      </c>
      <c r="AB39" t="s">
        <v>43</v>
      </c>
      <c r="AC39">
        <v>13</v>
      </c>
      <c r="AD39" t="str" cm="1">
        <f t="array" ref="AD39">_xlfn.IFS(HRData[[#This Row],[PercentSalaryHike]]&lt;=15,"11-15",HRData[[#This Row],[PercentSalaryHike]]&lt;=20,"16-20",HRData[[#This Row],[PercentSalaryHike]]&gt;=21,"21+")</f>
        <v>11-15</v>
      </c>
      <c r="AE39">
        <v>3</v>
      </c>
      <c r="AF39">
        <v>1</v>
      </c>
      <c r="AG39">
        <v>80</v>
      </c>
      <c r="AH39">
        <v>0</v>
      </c>
      <c r="AI39">
        <v>2</v>
      </c>
      <c r="AJ39">
        <v>3</v>
      </c>
      <c r="AK39">
        <v>3</v>
      </c>
      <c r="AL39">
        <v>2</v>
      </c>
      <c r="AM39">
        <v>2</v>
      </c>
      <c r="AN39">
        <v>2</v>
      </c>
      <c r="AO39">
        <v>2</v>
      </c>
      <c r="AP3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9" t="str">
        <f>IF(HRData[[#This Row],[Attrition]]="Yes","Left", IF(HRData[[#This Row],[Attrition_Risk_Score]]&gt;=6,"High",IF(HRData[[#This Row],[Attrition_Risk_Score]]&gt;=3,"Medium","Low")))</f>
        <v>Medium</v>
      </c>
      <c r="AR39" t="str">
        <f>IF(HRData[[#This Row],[Attrition_Risk_Level]]&lt;&gt;"High","",HRData[[#This Row],[Attrition_Risk_Score]]*10000-HRData[[#This Row],[EmployeeNumber]])</f>
        <v/>
      </c>
    </row>
    <row r="40" spans="1:44">
      <c r="A40">
        <v>36</v>
      </c>
      <c r="B40" t="str" cm="1">
        <f t="array" ref="B40">_xlfn.IFS(
HRData[[#This Row],[Age]]&lt;=24,"18-24",
HRData[[#This Row],[Age]]&lt;=34,"25-34",
HRData[[#This Row],[Age]]&lt;=44,"35-44",
HRData[[#This Row],[Age]]&lt;=54,"45-54",
HRData[[#This Row],[Age]]&gt;=55,"55+"
)</f>
        <v>35-44</v>
      </c>
      <c r="C40" t="s">
        <v>43</v>
      </c>
      <c r="D40">
        <f>IF(HRData[[#This Row],[Attrition]]="Yes",1,0)</f>
        <v>0</v>
      </c>
      <c r="E40" t="s">
        <v>36</v>
      </c>
      <c r="F40">
        <v>852</v>
      </c>
      <c r="G40" t="s">
        <v>45</v>
      </c>
      <c r="H40">
        <v>5</v>
      </c>
      <c r="I40">
        <v>4</v>
      </c>
      <c r="J40" t="s">
        <v>38</v>
      </c>
      <c r="K40">
        <v>1</v>
      </c>
      <c r="L40">
        <v>51</v>
      </c>
      <c r="M40">
        <v>2</v>
      </c>
      <c r="N40" t="str" cm="1">
        <f t="array" ref="N40">_xlfn.IFS(HRData[[#This Row],[EnvironmentSatisfaction]]=1,"Very Dissatisfied",
HRData[[#This Row],[EnvironmentSatisfaction]]=2,"Dissatisfied",
HRData[[#This Row],[EnvironmentSatisfaction]]=3,"Satisfied",
HRData[[#This Row],[EnvironmentSatisfaction]]=4,"Very Satisfied"
)</f>
        <v>Dissatisfied</v>
      </c>
      <c r="O40" t="s">
        <v>39</v>
      </c>
      <c r="P40">
        <v>82</v>
      </c>
      <c r="Q40">
        <v>2</v>
      </c>
      <c r="R40">
        <v>1</v>
      </c>
      <c r="S40" t="s">
        <v>47</v>
      </c>
      <c r="T40">
        <v>1</v>
      </c>
      <c r="U40" t="str" cm="1">
        <f t="array" ref="U40">_xlfn.IFS(
HRData[[#This Row],[JobSatisfaction]]=1,"Very Dissatisfied",
HRData[[#This Row],[JobSatisfaction]]=2,"Dissatisfied",
HRData[[#This Row],[JobSatisfaction]]=3,"Satisfied",
HRData[[#This Row],[JobSatisfaction]]=4,"Very Satisfied"
)</f>
        <v>Very Dissatisfied</v>
      </c>
      <c r="V40" t="s">
        <v>48</v>
      </c>
      <c r="W40">
        <v>3419</v>
      </c>
      <c r="X40" t="str" cm="1">
        <f t="array" ref="X40">_xlfn.IFS(
HRData[[#This Row],[MonthlyIncome]]&lt;=4000,"Very Low Income",
HRData[[#This Row],[MonthlyIncome]]&lt;=8000,"Low Income",
HRData[[#This Row],[MonthlyIncome]]&lt;=12000,"Moderate Income",
HRData[[#This Row],[MonthlyIncome]]&lt;=16000,"High Income",
HRData[[#This Row],[MonthlyIncome]]&gt;16000,"Very High Income"
)</f>
        <v>Very Low Income</v>
      </c>
      <c r="Y40">
        <v>13072</v>
      </c>
      <c r="Z40">
        <v>9</v>
      </c>
      <c r="AA40" t="s">
        <v>42</v>
      </c>
      <c r="AB40" t="s">
        <v>35</v>
      </c>
      <c r="AC40">
        <v>14</v>
      </c>
      <c r="AD40" t="str" cm="1">
        <f t="array" ref="AD40">_xlfn.IFS(HRData[[#This Row],[PercentSalaryHike]]&lt;=15,"11-15",HRData[[#This Row],[PercentSalaryHike]]&lt;=20,"16-20",HRData[[#This Row],[PercentSalaryHike]]&gt;=21,"21+")</f>
        <v>11-15</v>
      </c>
      <c r="AE40">
        <v>3</v>
      </c>
      <c r="AF40">
        <v>4</v>
      </c>
      <c r="AG40">
        <v>80</v>
      </c>
      <c r="AH40">
        <v>1</v>
      </c>
      <c r="AI40">
        <v>6</v>
      </c>
      <c r="AJ40">
        <v>3</v>
      </c>
      <c r="AK40">
        <v>4</v>
      </c>
      <c r="AL40">
        <v>1</v>
      </c>
      <c r="AM40">
        <v>1</v>
      </c>
      <c r="AN40">
        <v>0</v>
      </c>
      <c r="AO40">
        <v>0</v>
      </c>
      <c r="AP4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40" t="str">
        <f>IF(HRData[[#This Row],[Attrition]]="Yes","Left", IF(HRData[[#This Row],[Attrition_Risk_Score]]&gt;=6,"High",IF(HRData[[#This Row],[Attrition_Risk_Score]]&gt;=3,"Medium","Low")))</f>
        <v>High</v>
      </c>
      <c r="AR40">
        <f>IF(HRData[[#This Row],[Attrition_Risk_Level]]&lt;&gt;"High","",HRData[[#This Row],[Attrition_Risk_Score]]*10000-HRData[[#This Row],[EmployeeNumber]])</f>
        <v>59949</v>
      </c>
    </row>
    <row r="41" spans="1:44">
      <c r="A41">
        <v>33</v>
      </c>
      <c r="B41" t="str" cm="1">
        <f t="array" ref="B41">_xlfn.IFS(
HRData[[#This Row],[Age]]&lt;=24,"18-24",
HRData[[#This Row],[Age]]&lt;=34,"25-34",
HRData[[#This Row],[Age]]&lt;=44,"35-44",
HRData[[#This Row],[Age]]&lt;=54,"45-54",
HRData[[#This Row],[Age]]&gt;=55,"55+"
)</f>
        <v>25-34</v>
      </c>
      <c r="C41" t="s">
        <v>43</v>
      </c>
      <c r="D41">
        <f>IF(HRData[[#This Row],[Attrition]]="Yes",1,0)</f>
        <v>0</v>
      </c>
      <c r="E41" t="s">
        <v>44</v>
      </c>
      <c r="F41">
        <v>1141</v>
      </c>
      <c r="G41" t="s">
        <v>37</v>
      </c>
      <c r="H41">
        <v>1</v>
      </c>
      <c r="I41">
        <v>3</v>
      </c>
      <c r="J41" t="s">
        <v>38</v>
      </c>
      <c r="K41">
        <v>1</v>
      </c>
      <c r="L41">
        <v>52</v>
      </c>
      <c r="M41">
        <v>3</v>
      </c>
      <c r="N41" t="str" cm="1">
        <f t="array" ref="N41">_xlfn.IFS(HRData[[#This Row],[EnvironmentSatisfaction]]=1,"Very Dissatisfied",
HRData[[#This Row],[EnvironmentSatisfaction]]=2,"Dissatisfied",
HRData[[#This Row],[EnvironmentSatisfaction]]=3,"Satisfied",
HRData[[#This Row],[EnvironmentSatisfaction]]=4,"Very Satisfied"
)</f>
        <v>Satisfied</v>
      </c>
      <c r="O41" t="s">
        <v>39</v>
      </c>
      <c r="P41">
        <v>42</v>
      </c>
      <c r="Q41">
        <v>4</v>
      </c>
      <c r="R41">
        <v>2</v>
      </c>
      <c r="S41" t="s">
        <v>40</v>
      </c>
      <c r="T41">
        <v>1</v>
      </c>
      <c r="U41" t="str" cm="1">
        <f t="array" ref="U41">_xlfn.IFS(
HRData[[#This Row],[JobSatisfaction]]=1,"Very Dissatisfied",
HRData[[#This Row],[JobSatisfaction]]=2,"Dissatisfied",
HRData[[#This Row],[JobSatisfaction]]=3,"Satisfied",
HRData[[#This Row],[JobSatisfaction]]=4,"Very Satisfied"
)</f>
        <v>Very Dissatisfied</v>
      </c>
      <c r="V41" t="s">
        <v>48</v>
      </c>
      <c r="W41">
        <v>5376</v>
      </c>
      <c r="X41" t="str" cm="1">
        <f t="array" ref="X41">_xlfn.IFS(
HRData[[#This Row],[MonthlyIncome]]&lt;=4000,"Very Low Income",
HRData[[#This Row],[MonthlyIncome]]&lt;=8000,"Low Income",
HRData[[#This Row],[MonthlyIncome]]&lt;=12000,"Moderate Income",
HRData[[#This Row],[MonthlyIncome]]&lt;=16000,"High Income",
HRData[[#This Row],[MonthlyIncome]]&gt;16000,"Very High Income"
)</f>
        <v>Low Income</v>
      </c>
      <c r="Y41">
        <v>3193</v>
      </c>
      <c r="Z41">
        <v>2</v>
      </c>
      <c r="AA41" t="s">
        <v>42</v>
      </c>
      <c r="AB41" t="s">
        <v>43</v>
      </c>
      <c r="AC41">
        <v>19</v>
      </c>
      <c r="AD41" t="str" cm="1">
        <f t="array" ref="AD41">_xlfn.IFS(HRData[[#This Row],[PercentSalaryHike]]&lt;=15,"11-15",HRData[[#This Row],[PercentSalaryHike]]&lt;=20,"16-20",HRData[[#This Row],[PercentSalaryHike]]&gt;=21,"21+")</f>
        <v>16-20</v>
      </c>
      <c r="AE41">
        <v>3</v>
      </c>
      <c r="AF41">
        <v>1</v>
      </c>
      <c r="AG41">
        <v>80</v>
      </c>
      <c r="AH41">
        <v>2</v>
      </c>
      <c r="AI41">
        <v>10</v>
      </c>
      <c r="AJ41">
        <v>3</v>
      </c>
      <c r="AK41">
        <v>3</v>
      </c>
      <c r="AL41">
        <v>5</v>
      </c>
      <c r="AM41">
        <v>3</v>
      </c>
      <c r="AN41">
        <v>1</v>
      </c>
      <c r="AO41">
        <v>3</v>
      </c>
      <c r="AP4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41" t="str">
        <f>IF(HRData[[#This Row],[Attrition]]="Yes","Left", IF(HRData[[#This Row],[Attrition_Risk_Score]]&gt;=6,"High",IF(HRData[[#This Row],[Attrition_Risk_Score]]&gt;=3,"Medium","Low")))</f>
        <v>Medium</v>
      </c>
      <c r="AR41" t="str">
        <f>IF(HRData[[#This Row],[Attrition_Risk_Level]]&lt;&gt;"High","",HRData[[#This Row],[Attrition_Risk_Score]]*10000-HRData[[#This Row],[EmployeeNumber]])</f>
        <v/>
      </c>
    </row>
    <row r="42" spans="1:44">
      <c r="A42">
        <v>35</v>
      </c>
      <c r="B42" t="str" cm="1">
        <f t="array" ref="B42">_xlfn.IFS(
HRData[[#This Row],[Age]]&lt;=24,"18-24",
HRData[[#This Row],[Age]]&lt;=34,"25-34",
HRData[[#This Row],[Age]]&lt;=44,"35-44",
HRData[[#This Row],[Age]]&lt;=54,"45-54",
HRData[[#This Row],[Age]]&gt;=55,"55+"
)</f>
        <v>35-44</v>
      </c>
      <c r="C42" t="s">
        <v>43</v>
      </c>
      <c r="D42">
        <f>IF(HRData[[#This Row],[Attrition]]="Yes",1,0)</f>
        <v>0</v>
      </c>
      <c r="E42" t="s">
        <v>36</v>
      </c>
      <c r="F42">
        <v>464</v>
      </c>
      <c r="G42" t="s">
        <v>45</v>
      </c>
      <c r="H42">
        <v>4</v>
      </c>
      <c r="I42">
        <v>2</v>
      </c>
      <c r="J42" t="s">
        <v>49</v>
      </c>
      <c r="K42">
        <v>1</v>
      </c>
      <c r="L42">
        <v>53</v>
      </c>
      <c r="M42">
        <v>3</v>
      </c>
      <c r="N42" t="str" cm="1">
        <f t="array" ref="N42">_xlfn.IFS(HRData[[#This Row],[EnvironmentSatisfaction]]=1,"Very Dissatisfied",
HRData[[#This Row],[EnvironmentSatisfaction]]=2,"Dissatisfied",
HRData[[#This Row],[EnvironmentSatisfaction]]=3,"Satisfied",
HRData[[#This Row],[EnvironmentSatisfaction]]=4,"Very Satisfied"
)</f>
        <v>Satisfied</v>
      </c>
      <c r="O42" t="s">
        <v>46</v>
      </c>
      <c r="P42">
        <v>75</v>
      </c>
      <c r="Q42">
        <v>3</v>
      </c>
      <c r="R42">
        <v>1</v>
      </c>
      <c r="S42" t="s">
        <v>50</v>
      </c>
      <c r="T42">
        <v>4</v>
      </c>
      <c r="U42" t="str" cm="1">
        <f t="array" ref="U42">_xlfn.IFS(
HRData[[#This Row],[JobSatisfaction]]=1,"Very Dissatisfied",
HRData[[#This Row],[JobSatisfaction]]=2,"Dissatisfied",
HRData[[#This Row],[JobSatisfaction]]=3,"Satisfied",
HRData[[#This Row],[JobSatisfaction]]=4,"Very Satisfied"
)</f>
        <v>Very Satisfied</v>
      </c>
      <c r="V42" t="s">
        <v>52</v>
      </c>
      <c r="W42">
        <v>1951</v>
      </c>
      <c r="X42" t="str" cm="1">
        <f t="array" ref="X42">_xlfn.IFS(
HRData[[#This Row],[MonthlyIncome]]&lt;=4000,"Very Low Income",
HRData[[#This Row],[MonthlyIncome]]&lt;=8000,"Low Income",
HRData[[#This Row],[MonthlyIncome]]&lt;=12000,"Moderate Income",
HRData[[#This Row],[MonthlyIncome]]&lt;=16000,"High Income",
HRData[[#This Row],[MonthlyIncome]]&gt;16000,"Very High Income"
)</f>
        <v>Very Low Income</v>
      </c>
      <c r="Y42">
        <v>10910</v>
      </c>
      <c r="Z42">
        <v>1</v>
      </c>
      <c r="AA42" t="s">
        <v>42</v>
      </c>
      <c r="AB42" t="s">
        <v>43</v>
      </c>
      <c r="AC42">
        <v>12</v>
      </c>
      <c r="AD42" t="str" cm="1">
        <f t="array" ref="AD42">_xlfn.IFS(HRData[[#This Row],[PercentSalaryHike]]&lt;=15,"11-15",HRData[[#This Row],[PercentSalaryHike]]&lt;=20,"16-20",HRData[[#This Row],[PercentSalaryHike]]&gt;=21,"21+")</f>
        <v>11-15</v>
      </c>
      <c r="AE42">
        <v>3</v>
      </c>
      <c r="AF42">
        <v>3</v>
      </c>
      <c r="AG42">
        <v>80</v>
      </c>
      <c r="AH42">
        <v>1</v>
      </c>
      <c r="AI42">
        <v>1</v>
      </c>
      <c r="AJ42">
        <v>3</v>
      </c>
      <c r="AK42">
        <v>3</v>
      </c>
      <c r="AL42">
        <v>1</v>
      </c>
      <c r="AM42">
        <v>0</v>
      </c>
      <c r="AN42">
        <v>0</v>
      </c>
      <c r="AO42">
        <v>0</v>
      </c>
      <c r="AP4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42" t="str">
        <f>IF(HRData[[#This Row],[Attrition]]="Yes","Left", IF(HRData[[#This Row],[Attrition_Risk_Score]]&gt;=6,"High",IF(HRData[[#This Row],[Attrition_Risk_Score]]&gt;=3,"Medium","Low")))</f>
        <v>Medium</v>
      </c>
      <c r="AR42" t="str">
        <f>IF(HRData[[#This Row],[Attrition_Risk_Level]]&lt;&gt;"High","",HRData[[#This Row],[Attrition_Risk_Score]]*10000-HRData[[#This Row],[EmployeeNumber]])</f>
        <v/>
      </c>
    </row>
    <row r="43" spans="1:44">
      <c r="A43">
        <v>27</v>
      </c>
      <c r="B43" t="str" cm="1">
        <f t="array" ref="B43">_xlfn.IFS(
HRData[[#This Row],[Age]]&lt;=24,"18-24",
HRData[[#This Row],[Age]]&lt;=34,"25-34",
HRData[[#This Row],[Age]]&lt;=44,"35-44",
HRData[[#This Row],[Age]]&lt;=54,"45-54",
HRData[[#This Row],[Age]]&gt;=55,"55+"
)</f>
        <v>25-34</v>
      </c>
      <c r="C43" t="s">
        <v>43</v>
      </c>
      <c r="D43">
        <f>IF(HRData[[#This Row],[Attrition]]="Yes",1,0)</f>
        <v>0</v>
      </c>
      <c r="E43" t="s">
        <v>36</v>
      </c>
      <c r="F43">
        <v>1240</v>
      </c>
      <c r="G43" t="s">
        <v>45</v>
      </c>
      <c r="H43">
        <v>2</v>
      </c>
      <c r="I43">
        <v>4</v>
      </c>
      <c r="J43" t="s">
        <v>38</v>
      </c>
      <c r="K43">
        <v>1</v>
      </c>
      <c r="L43">
        <v>54</v>
      </c>
      <c r="M43">
        <v>4</v>
      </c>
      <c r="N43" t="str" cm="1">
        <f t="array" ref="N43">_xlfn.IFS(HRData[[#This Row],[EnvironmentSatisfaction]]=1,"Very Dissatisfied",
HRData[[#This Row],[EnvironmentSatisfaction]]=2,"Dissatisfied",
HRData[[#This Row],[EnvironmentSatisfaction]]=3,"Satisfied",
HRData[[#This Row],[EnvironmentSatisfaction]]=4,"Very Satisfied"
)</f>
        <v>Very Satisfied</v>
      </c>
      <c r="O43" t="s">
        <v>39</v>
      </c>
      <c r="P43">
        <v>33</v>
      </c>
      <c r="Q43">
        <v>3</v>
      </c>
      <c r="R43">
        <v>1</v>
      </c>
      <c r="S43" t="s">
        <v>50</v>
      </c>
      <c r="T43">
        <v>1</v>
      </c>
      <c r="U43" t="str" cm="1">
        <f t="array" ref="U43">_xlfn.IFS(
HRData[[#This Row],[JobSatisfaction]]=1,"Very Dissatisfied",
HRData[[#This Row],[JobSatisfaction]]=2,"Dissatisfied",
HRData[[#This Row],[JobSatisfaction]]=3,"Satisfied",
HRData[[#This Row],[JobSatisfaction]]=4,"Very Satisfied"
)</f>
        <v>Very Dissatisfied</v>
      </c>
      <c r="V43" t="s">
        <v>52</v>
      </c>
      <c r="W43">
        <v>2341</v>
      </c>
      <c r="X43" t="str" cm="1">
        <f t="array" ref="X43">_xlfn.IFS(
HRData[[#This Row],[MonthlyIncome]]&lt;=4000,"Very Low Income",
HRData[[#This Row],[MonthlyIncome]]&lt;=8000,"Low Income",
HRData[[#This Row],[MonthlyIncome]]&lt;=12000,"Moderate Income",
HRData[[#This Row],[MonthlyIncome]]&lt;=16000,"High Income",
HRData[[#This Row],[MonthlyIncome]]&gt;16000,"Very High Income"
)</f>
        <v>Very Low Income</v>
      </c>
      <c r="Y43">
        <v>19715</v>
      </c>
      <c r="Z43">
        <v>1</v>
      </c>
      <c r="AA43" t="s">
        <v>42</v>
      </c>
      <c r="AB43" t="s">
        <v>43</v>
      </c>
      <c r="AC43">
        <v>13</v>
      </c>
      <c r="AD43" t="str" cm="1">
        <f t="array" ref="AD43">_xlfn.IFS(HRData[[#This Row],[PercentSalaryHike]]&lt;=15,"11-15",HRData[[#This Row],[PercentSalaryHike]]&lt;=20,"16-20",HRData[[#This Row],[PercentSalaryHike]]&gt;=21,"21+")</f>
        <v>11-15</v>
      </c>
      <c r="AE43">
        <v>3</v>
      </c>
      <c r="AF43">
        <v>4</v>
      </c>
      <c r="AG43">
        <v>80</v>
      </c>
      <c r="AH43">
        <v>1</v>
      </c>
      <c r="AI43">
        <v>1</v>
      </c>
      <c r="AJ43">
        <v>6</v>
      </c>
      <c r="AK43">
        <v>3</v>
      </c>
      <c r="AL43">
        <v>1</v>
      </c>
      <c r="AM43">
        <v>0</v>
      </c>
      <c r="AN43">
        <v>0</v>
      </c>
      <c r="AO43">
        <v>0</v>
      </c>
      <c r="AP4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43" t="str">
        <f>IF(HRData[[#This Row],[Attrition]]="Yes","Left", IF(HRData[[#This Row],[Attrition_Risk_Score]]&gt;=6,"High",IF(HRData[[#This Row],[Attrition_Risk_Score]]&gt;=3,"Medium","Low")))</f>
        <v>High</v>
      </c>
      <c r="AR43">
        <f>IF(HRData[[#This Row],[Attrition_Risk_Level]]&lt;&gt;"High","",HRData[[#This Row],[Attrition_Risk_Score]]*10000-HRData[[#This Row],[EmployeeNumber]])</f>
        <v>59946</v>
      </c>
    </row>
    <row r="44" spans="1:44">
      <c r="A44">
        <v>26</v>
      </c>
      <c r="B44" t="str" cm="1">
        <f t="array" ref="B44">_xlfn.IFS(
HRData[[#This Row],[Age]]&lt;=24,"18-24",
HRData[[#This Row],[Age]]&lt;=34,"25-34",
HRData[[#This Row],[Age]]&lt;=44,"35-44",
HRData[[#This Row],[Age]]&lt;=54,"45-54",
HRData[[#This Row],[Age]]&gt;=55,"55+"
)</f>
        <v>25-34</v>
      </c>
      <c r="C44" t="s">
        <v>35</v>
      </c>
      <c r="D44">
        <f>IF(HRData[[#This Row],[Attrition]]="Yes",1,0)</f>
        <v>1</v>
      </c>
      <c r="E44" t="s">
        <v>36</v>
      </c>
      <c r="F44">
        <v>1357</v>
      </c>
      <c r="G44" t="s">
        <v>45</v>
      </c>
      <c r="H44">
        <v>25</v>
      </c>
      <c r="I44">
        <v>3</v>
      </c>
      <c r="J44" t="s">
        <v>38</v>
      </c>
      <c r="K44">
        <v>1</v>
      </c>
      <c r="L44">
        <v>55</v>
      </c>
      <c r="M44">
        <v>1</v>
      </c>
      <c r="N44" t="str" cm="1">
        <f t="array" ref="N44">_xlfn.IFS(HRData[[#This Row],[EnvironmentSatisfaction]]=1,"Very Dissatisfied",
HRData[[#This Row],[EnvironmentSatisfaction]]=2,"Dissatisfied",
HRData[[#This Row],[EnvironmentSatisfaction]]=3,"Satisfied",
HRData[[#This Row],[EnvironmentSatisfaction]]=4,"Very Satisfied"
)</f>
        <v>Very Dissatisfied</v>
      </c>
      <c r="O44" t="s">
        <v>46</v>
      </c>
      <c r="P44">
        <v>48</v>
      </c>
      <c r="Q44">
        <v>1</v>
      </c>
      <c r="R44">
        <v>1</v>
      </c>
      <c r="S44" t="s">
        <v>50</v>
      </c>
      <c r="T44">
        <v>3</v>
      </c>
      <c r="U44" t="str" cm="1">
        <f t="array" ref="U44">_xlfn.IFS(
HRData[[#This Row],[JobSatisfaction]]=1,"Very Dissatisfied",
HRData[[#This Row],[JobSatisfaction]]=2,"Dissatisfied",
HRData[[#This Row],[JobSatisfaction]]=3,"Satisfied",
HRData[[#This Row],[JobSatisfaction]]=4,"Very Satisfied"
)</f>
        <v>Satisfied</v>
      </c>
      <c r="V44" t="s">
        <v>41</v>
      </c>
      <c r="W44">
        <v>2293</v>
      </c>
      <c r="X44" t="str" cm="1">
        <f t="array" ref="X44">_xlfn.IFS(
HRData[[#This Row],[MonthlyIncome]]&lt;=4000,"Very Low Income",
HRData[[#This Row],[MonthlyIncome]]&lt;=8000,"Low Income",
HRData[[#This Row],[MonthlyIncome]]&lt;=12000,"Moderate Income",
HRData[[#This Row],[MonthlyIncome]]&lt;=16000,"High Income",
HRData[[#This Row],[MonthlyIncome]]&gt;16000,"Very High Income"
)</f>
        <v>Very Low Income</v>
      </c>
      <c r="Y44">
        <v>10558</v>
      </c>
      <c r="Z44">
        <v>1</v>
      </c>
      <c r="AA44" t="s">
        <v>42</v>
      </c>
      <c r="AB44" t="s">
        <v>43</v>
      </c>
      <c r="AC44">
        <v>12</v>
      </c>
      <c r="AD44" t="str" cm="1">
        <f t="array" ref="AD44">_xlfn.IFS(HRData[[#This Row],[PercentSalaryHike]]&lt;=15,"11-15",HRData[[#This Row],[PercentSalaryHike]]&lt;=20,"16-20",HRData[[#This Row],[PercentSalaryHike]]&gt;=21,"21+")</f>
        <v>11-15</v>
      </c>
      <c r="AE44">
        <v>3</v>
      </c>
      <c r="AF44">
        <v>3</v>
      </c>
      <c r="AG44">
        <v>80</v>
      </c>
      <c r="AH44">
        <v>0</v>
      </c>
      <c r="AI44">
        <v>1</v>
      </c>
      <c r="AJ44">
        <v>2</v>
      </c>
      <c r="AK44">
        <v>2</v>
      </c>
      <c r="AL44">
        <v>1</v>
      </c>
      <c r="AM44">
        <v>0</v>
      </c>
      <c r="AN44">
        <v>0</v>
      </c>
      <c r="AO44">
        <v>1</v>
      </c>
      <c r="AP4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4" t="str">
        <f>IF(HRData[[#This Row],[Attrition]]="Yes","Left", IF(HRData[[#This Row],[Attrition_Risk_Score]]&gt;=6,"High",IF(HRData[[#This Row],[Attrition_Risk_Score]]&gt;=3,"Medium","Low")))</f>
        <v>Left</v>
      </c>
      <c r="AR44" t="str">
        <f>IF(HRData[[#This Row],[Attrition_Risk_Level]]&lt;&gt;"High","",HRData[[#This Row],[Attrition_Risk_Score]]*10000-HRData[[#This Row],[EmployeeNumber]])</f>
        <v/>
      </c>
    </row>
    <row r="45" spans="1:44">
      <c r="A45">
        <v>27</v>
      </c>
      <c r="B45" t="str" cm="1">
        <f t="array" ref="B45">_xlfn.IFS(
HRData[[#This Row],[Age]]&lt;=24,"18-24",
HRData[[#This Row],[Age]]&lt;=34,"25-34",
HRData[[#This Row],[Age]]&lt;=44,"35-44",
HRData[[#This Row],[Age]]&lt;=54,"45-54",
HRData[[#This Row],[Age]]&gt;=55,"55+"
)</f>
        <v>25-34</v>
      </c>
      <c r="C45" t="s">
        <v>43</v>
      </c>
      <c r="D45">
        <f>IF(HRData[[#This Row],[Attrition]]="Yes",1,0)</f>
        <v>0</v>
      </c>
      <c r="E45" t="s">
        <v>44</v>
      </c>
      <c r="F45">
        <v>994</v>
      </c>
      <c r="G45" t="s">
        <v>37</v>
      </c>
      <c r="H45">
        <v>8</v>
      </c>
      <c r="I45">
        <v>3</v>
      </c>
      <c r="J45" t="s">
        <v>38</v>
      </c>
      <c r="K45">
        <v>1</v>
      </c>
      <c r="L45">
        <v>56</v>
      </c>
      <c r="M45">
        <v>4</v>
      </c>
      <c r="N45" t="str" cm="1">
        <f t="array" ref="N45">_xlfn.IFS(HRData[[#This Row],[EnvironmentSatisfaction]]=1,"Very Dissatisfied",
HRData[[#This Row],[EnvironmentSatisfaction]]=2,"Dissatisfied",
HRData[[#This Row],[EnvironmentSatisfaction]]=3,"Satisfied",
HRData[[#This Row],[EnvironmentSatisfaction]]=4,"Very Satisfied"
)</f>
        <v>Very Satisfied</v>
      </c>
      <c r="O45" t="s">
        <v>46</v>
      </c>
      <c r="P45">
        <v>37</v>
      </c>
      <c r="Q45">
        <v>3</v>
      </c>
      <c r="R45">
        <v>3</v>
      </c>
      <c r="S45" t="s">
        <v>40</v>
      </c>
      <c r="T45">
        <v>3</v>
      </c>
      <c r="U45" t="str" cm="1">
        <f t="array" ref="U45">_xlfn.IFS(
HRData[[#This Row],[JobSatisfaction]]=1,"Very Dissatisfied",
HRData[[#This Row],[JobSatisfaction]]=2,"Dissatisfied",
HRData[[#This Row],[JobSatisfaction]]=3,"Satisfied",
HRData[[#This Row],[JobSatisfaction]]=4,"Very Satisfied"
)</f>
        <v>Satisfied</v>
      </c>
      <c r="V45" t="s">
        <v>41</v>
      </c>
      <c r="W45">
        <v>8726</v>
      </c>
      <c r="X45" t="str" cm="1">
        <f t="array" ref="X45">_xlfn.IFS(
HRData[[#This Row],[MonthlyIncome]]&lt;=4000,"Very Low Income",
HRData[[#This Row],[MonthlyIncome]]&lt;=8000,"Low Income",
HRData[[#This Row],[MonthlyIncome]]&lt;=12000,"Moderate Income",
HRData[[#This Row],[MonthlyIncome]]&lt;=16000,"High Income",
HRData[[#This Row],[MonthlyIncome]]&gt;16000,"Very High Income"
)</f>
        <v>Moderate Income</v>
      </c>
      <c r="Y45">
        <v>2975</v>
      </c>
      <c r="Z45">
        <v>1</v>
      </c>
      <c r="AA45" t="s">
        <v>42</v>
      </c>
      <c r="AB45" t="s">
        <v>43</v>
      </c>
      <c r="AC45">
        <v>15</v>
      </c>
      <c r="AD45" t="str" cm="1">
        <f t="array" ref="AD45">_xlfn.IFS(HRData[[#This Row],[PercentSalaryHike]]&lt;=15,"11-15",HRData[[#This Row],[PercentSalaryHike]]&lt;=20,"16-20",HRData[[#This Row],[PercentSalaryHike]]&gt;=21,"21+")</f>
        <v>11-15</v>
      </c>
      <c r="AE45">
        <v>3</v>
      </c>
      <c r="AF45">
        <v>4</v>
      </c>
      <c r="AG45">
        <v>80</v>
      </c>
      <c r="AH45">
        <v>0</v>
      </c>
      <c r="AI45">
        <v>9</v>
      </c>
      <c r="AJ45">
        <v>0</v>
      </c>
      <c r="AK45">
        <v>3</v>
      </c>
      <c r="AL45">
        <v>9</v>
      </c>
      <c r="AM45">
        <v>8</v>
      </c>
      <c r="AN45">
        <v>1</v>
      </c>
      <c r="AO45">
        <v>7</v>
      </c>
      <c r="AP4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5" t="str">
        <f>IF(HRData[[#This Row],[Attrition]]="Yes","Left", IF(HRData[[#This Row],[Attrition_Risk_Score]]&gt;=6,"High",IF(HRData[[#This Row],[Attrition_Risk_Score]]&gt;=3,"Medium","Low")))</f>
        <v>Low</v>
      </c>
      <c r="AR45" t="str">
        <f>IF(HRData[[#This Row],[Attrition_Risk_Level]]&lt;&gt;"High","",HRData[[#This Row],[Attrition_Risk_Score]]*10000-HRData[[#This Row],[EmployeeNumber]])</f>
        <v/>
      </c>
    </row>
    <row r="46" spans="1:44">
      <c r="A46">
        <v>30</v>
      </c>
      <c r="B46" t="str" cm="1">
        <f t="array" ref="B46">_xlfn.IFS(
HRData[[#This Row],[Age]]&lt;=24,"18-24",
HRData[[#This Row],[Age]]&lt;=34,"25-34",
HRData[[#This Row],[Age]]&lt;=44,"35-44",
HRData[[#This Row],[Age]]&lt;=54,"45-54",
HRData[[#This Row],[Age]]&gt;=55,"55+"
)</f>
        <v>25-34</v>
      </c>
      <c r="C46" t="s">
        <v>43</v>
      </c>
      <c r="D46">
        <f>IF(HRData[[#This Row],[Attrition]]="Yes",1,0)</f>
        <v>0</v>
      </c>
      <c r="E46" t="s">
        <v>44</v>
      </c>
      <c r="F46">
        <v>721</v>
      </c>
      <c r="G46" t="s">
        <v>45</v>
      </c>
      <c r="H46">
        <v>1</v>
      </c>
      <c r="I46">
        <v>2</v>
      </c>
      <c r="J46" t="s">
        <v>51</v>
      </c>
      <c r="K46">
        <v>1</v>
      </c>
      <c r="L46">
        <v>57</v>
      </c>
      <c r="M46">
        <v>3</v>
      </c>
      <c r="N46" t="str" cm="1">
        <f t="array" ref="N46">_xlfn.IFS(HRData[[#This Row],[EnvironmentSatisfaction]]=1,"Very Dissatisfied",
HRData[[#This Row],[EnvironmentSatisfaction]]=2,"Dissatisfied",
HRData[[#This Row],[EnvironmentSatisfaction]]=3,"Satisfied",
HRData[[#This Row],[EnvironmentSatisfaction]]=4,"Very Satisfied"
)</f>
        <v>Satisfied</v>
      </c>
      <c r="O46" t="s">
        <v>39</v>
      </c>
      <c r="P46">
        <v>58</v>
      </c>
      <c r="Q46">
        <v>3</v>
      </c>
      <c r="R46">
        <v>2</v>
      </c>
      <c r="S46" t="s">
        <v>50</v>
      </c>
      <c r="T46">
        <v>4</v>
      </c>
      <c r="U46" t="str" cm="1">
        <f t="array" ref="U46">_xlfn.IFS(
HRData[[#This Row],[JobSatisfaction]]=1,"Very Dissatisfied",
HRData[[#This Row],[JobSatisfaction]]=2,"Dissatisfied",
HRData[[#This Row],[JobSatisfaction]]=3,"Satisfied",
HRData[[#This Row],[JobSatisfaction]]=4,"Very Satisfied"
)</f>
        <v>Very Satisfied</v>
      </c>
      <c r="V46" t="s">
        <v>41</v>
      </c>
      <c r="W46">
        <v>4011</v>
      </c>
      <c r="X46" t="str" cm="1">
        <f t="array" ref="X46">_xlfn.IFS(
HRData[[#This Row],[MonthlyIncome]]&lt;=4000,"Very Low Income",
HRData[[#This Row],[MonthlyIncome]]&lt;=8000,"Low Income",
HRData[[#This Row],[MonthlyIncome]]&lt;=12000,"Moderate Income",
HRData[[#This Row],[MonthlyIncome]]&lt;=16000,"High Income",
HRData[[#This Row],[MonthlyIncome]]&gt;16000,"Very High Income"
)</f>
        <v>Low Income</v>
      </c>
      <c r="Y46">
        <v>10781</v>
      </c>
      <c r="Z46">
        <v>1</v>
      </c>
      <c r="AA46" t="s">
        <v>42</v>
      </c>
      <c r="AB46" t="s">
        <v>43</v>
      </c>
      <c r="AC46">
        <v>23</v>
      </c>
      <c r="AD46" t="str" cm="1">
        <f t="array" ref="AD46">_xlfn.IFS(HRData[[#This Row],[PercentSalaryHike]]&lt;=15,"11-15",HRData[[#This Row],[PercentSalaryHike]]&lt;=20,"16-20",HRData[[#This Row],[PercentSalaryHike]]&gt;=21,"21+")</f>
        <v>21+</v>
      </c>
      <c r="AE46">
        <v>4</v>
      </c>
      <c r="AF46">
        <v>4</v>
      </c>
      <c r="AG46">
        <v>80</v>
      </c>
      <c r="AH46">
        <v>0</v>
      </c>
      <c r="AI46">
        <v>12</v>
      </c>
      <c r="AJ46">
        <v>2</v>
      </c>
      <c r="AK46">
        <v>3</v>
      </c>
      <c r="AL46">
        <v>12</v>
      </c>
      <c r="AM46">
        <v>8</v>
      </c>
      <c r="AN46">
        <v>3</v>
      </c>
      <c r="AO46">
        <v>7</v>
      </c>
      <c r="AP4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46" t="str">
        <f>IF(HRData[[#This Row],[Attrition]]="Yes","Left", IF(HRData[[#This Row],[Attrition_Risk_Score]]&gt;=6,"High",IF(HRData[[#This Row],[Attrition_Risk_Score]]&gt;=3,"Medium","Low")))</f>
        <v>Medium</v>
      </c>
      <c r="AR46" t="str">
        <f>IF(HRData[[#This Row],[Attrition_Risk_Level]]&lt;&gt;"High","",HRData[[#This Row],[Attrition_Risk_Score]]*10000-HRData[[#This Row],[EmployeeNumber]])</f>
        <v/>
      </c>
    </row>
    <row r="47" spans="1:44">
      <c r="A47">
        <v>41</v>
      </c>
      <c r="B47" t="str" cm="1">
        <f t="array" ref="B47">_xlfn.IFS(
HRData[[#This Row],[Age]]&lt;=24,"18-24",
HRData[[#This Row],[Age]]&lt;=34,"25-34",
HRData[[#This Row],[Age]]&lt;=44,"35-44",
HRData[[#This Row],[Age]]&lt;=54,"45-54",
HRData[[#This Row],[Age]]&gt;=55,"55+"
)</f>
        <v>35-44</v>
      </c>
      <c r="C47" t="s">
        <v>35</v>
      </c>
      <c r="D47">
        <f>IF(HRData[[#This Row],[Attrition]]="Yes",1,0)</f>
        <v>1</v>
      </c>
      <c r="E47" t="s">
        <v>36</v>
      </c>
      <c r="F47">
        <v>1360</v>
      </c>
      <c r="G47" t="s">
        <v>45</v>
      </c>
      <c r="H47">
        <v>12</v>
      </c>
      <c r="I47">
        <v>3</v>
      </c>
      <c r="J47" t="s">
        <v>60</v>
      </c>
      <c r="K47">
        <v>1</v>
      </c>
      <c r="L47">
        <v>58</v>
      </c>
      <c r="M47">
        <v>2</v>
      </c>
      <c r="N47" t="str" cm="1">
        <f t="array" ref="N47">_xlfn.IFS(HRData[[#This Row],[EnvironmentSatisfaction]]=1,"Very Dissatisfied",
HRData[[#This Row],[EnvironmentSatisfaction]]=2,"Dissatisfied",
HRData[[#This Row],[EnvironmentSatisfaction]]=3,"Satisfied",
HRData[[#This Row],[EnvironmentSatisfaction]]=4,"Very Satisfied"
)</f>
        <v>Dissatisfied</v>
      </c>
      <c r="O47" t="s">
        <v>39</v>
      </c>
      <c r="P47">
        <v>49</v>
      </c>
      <c r="Q47">
        <v>3</v>
      </c>
      <c r="R47">
        <v>5</v>
      </c>
      <c r="S47" t="s">
        <v>58</v>
      </c>
      <c r="T47">
        <v>3</v>
      </c>
      <c r="U47" t="str" cm="1">
        <f t="array" ref="U47">_xlfn.IFS(
HRData[[#This Row],[JobSatisfaction]]=1,"Very Dissatisfied",
HRData[[#This Row],[JobSatisfaction]]=2,"Dissatisfied",
HRData[[#This Row],[JobSatisfaction]]=3,"Satisfied",
HRData[[#This Row],[JobSatisfaction]]=4,"Very Satisfied"
)</f>
        <v>Satisfied</v>
      </c>
      <c r="V47" t="s">
        <v>48</v>
      </c>
      <c r="W47">
        <v>19545</v>
      </c>
      <c r="X47" t="str" cm="1">
        <f t="array" ref="X47">_xlfn.IFS(
HRData[[#This Row],[MonthlyIncome]]&lt;=4000,"Very Low Income",
HRData[[#This Row],[MonthlyIncome]]&lt;=8000,"Low Income",
HRData[[#This Row],[MonthlyIncome]]&lt;=12000,"Moderate Income",
HRData[[#This Row],[MonthlyIncome]]&lt;=16000,"High Income",
HRData[[#This Row],[MonthlyIncome]]&gt;16000,"Very High Income"
)</f>
        <v>Very High Income</v>
      </c>
      <c r="Y47">
        <v>16280</v>
      </c>
      <c r="Z47">
        <v>1</v>
      </c>
      <c r="AA47" t="s">
        <v>42</v>
      </c>
      <c r="AB47" t="s">
        <v>43</v>
      </c>
      <c r="AC47">
        <v>12</v>
      </c>
      <c r="AD47" t="str" cm="1">
        <f t="array" ref="AD47">_xlfn.IFS(HRData[[#This Row],[PercentSalaryHike]]&lt;=15,"11-15",HRData[[#This Row],[PercentSalaryHike]]&lt;=20,"16-20",HRData[[#This Row],[PercentSalaryHike]]&gt;=21,"21+")</f>
        <v>11-15</v>
      </c>
      <c r="AE47">
        <v>3</v>
      </c>
      <c r="AF47">
        <v>4</v>
      </c>
      <c r="AG47">
        <v>80</v>
      </c>
      <c r="AH47">
        <v>0</v>
      </c>
      <c r="AI47">
        <v>23</v>
      </c>
      <c r="AJ47">
        <v>0</v>
      </c>
      <c r="AK47">
        <v>3</v>
      </c>
      <c r="AL47">
        <v>22</v>
      </c>
      <c r="AM47">
        <v>15</v>
      </c>
      <c r="AN47">
        <v>15</v>
      </c>
      <c r="AO47">
        <v>8</v>
      </c>
      <c r="AP4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7" t="str">
        <f>IF(HRData[[#This Row],[Attrition]]="Yes","Left", IF(HRData[[#This Row],[Attrition_Risk_Score]]&gt;=6,"High",IF(HRData[[#This Row],[Attrition_Risk_Score]]&gt;=3,"Medium","Low")))</f>
        <v>Left</v>
      </c>
      <c r="AR47" t="str">
        <f>IF(HRData[[#This Row],[Attrition_Risk_Level]]&lt;&gt;"High","",HRData[[#This Row],[Attrition_Risk_Score]]*10000-HRData[[#This Row],[EmployeeNumber]])</f>
        <v/>
      </c>
    </row>
    <row r="48" spans="1:44">
      <c r="A48">
        <v>34</v>
      </c>
      <c r="B48" t="str" cm="1">
        <f t="array" ref="B48">_xlfn.IFS(
HRData[[#This Row],[Age]]&lt;=24,"18-24",
HRData[[#This Row],[Age]]&lt;=34,"25-34",
HRData[[#This Row],[Age]]&lt;=44,"35-44",
HRData[[#This Row],[Age]]&lt;=54,"45-54",
HRData[[#This Row],[Age]]&gt;=55,"55+"
)</f>
        <v>25-34</v>
      </c>
      <c r="C48" t="s">
        <v>43</v>
      </c>
      <c r="D48">
        <f>IF(HRData[[#This Row],[Attrition]]="Yes",1,0)</f>
        <v>0</v>
      </c>
      <c r="E48" t="s">
        <v>55</v>
      </c>
      <c r="F48">
        <v>1065</v>
      </c>
      <c r="G48" t="s">
        <v>37</v>
      </c>
      <c r="H48">
        <v>23</v>
      </c>
      <c r="I48">
        <v>4</v>
      </c>
      <c r="J48" t="s">
        <v>59</v>
      </c>
      <c r="K48">
        <v>1</v>
      </c>
      <c r="L48">
        <v>60</v>
      </c>
      <c r="M48">
        <v>2</v>
      </c>
      <c r="N48" t="str" cm="1">
        <f t="array" ref="N48">_xlfn.IFS(HRData[[#This Row],[EnvironmentSatisfaction]]=1,"Very Dissatisfied",
HRData[[#This Row],[EnvironmentSatisfaction]]=2,"Dissatisfied",
HRData[[#This Row],[EnvironmentSatisfaction]]=3,"Satisfied",
HRData[[#This Row],[EnvironmentSatisfaction]]=4,"Very Satisfied"
)</f>
        <v>Dissatisfied</v>
      </c>
      <c r="O48" t="s">
        <v>46</v>
      </c>
      <c r="P48">
        <v>72</v>
      </c>
      <c r="Q48">
        <v>3</v>
      </c>
      <c r="R48">
        <v>2</v>
      </c>
      <c r="S48" t="s">
        <v>40</v>
      </c>
      <c r="T48">
        <v>3</v>
      </c>
      <c r="U48" t="str" cm="1">
        <f t="array" ref="U48">_xlfn.IFS(
HRData[[#This Row],[JobSatisfaction]]=1,"Very Dissatisfied",
HRData[[#This Row],[JobSatisfaction]]=2,"Dissatisfied",
HRData[[#This Row],[JobSatisfaction]]=3,"Satisfied",
HRData[[#This Row],[JobSatisfaction]]=4,"Very Satisfied"
)</f>
        <v>Satisfied</v>
      </c>
      <c r="V48" t="s">
        <v>41</v>
      </c>
      <c r="W48">
        <v>4568</v>
      </c>
      <c r="X48" t="str" cm="1">
        <f t="array" ref="X48">_xlfn.IFS(
HRData[[#This Row],[MonthlyIncome]]&lt;=4000,"Very Low Income",
HRData[[#This Row],[MonthlyIncome]]&lt;=8000,"Low Income",
HRData[[#This Row],[MonthlyIncome]]&lt;=12000,"Moderate Income",
HRData[[#This Row],[MonthlyIncome]]&lt;=16000,"High Income",
HRData[[#This Row],[MonthlyIncome]]&gt;16000,"Very High Income"
)</f>
        <v>Low Income</v>
      </c>
      <c r="Y48">
        <v>10034</v>
      </c>
      <c r="Z48">
        <v>0</v>
      </c>
      <c r="AA48" t="s">
        <v>42</v>
      </c>
      <c r="AB48" t="s">
        <v>43</v>
      </c>
      <c r="AC48">
        <v>20</v>
      </c>
      <c r="AD48" t="str" cm="1">
        <f t="array" ref="AD48">_xlfn.IFS(HRData[[#This Row],[PercentSalaryHike]]&lt;=15,"11-15",HRData[[#This Row],[PercentSalaryHike]]&lt;=20,"16-20",HRData[[#This Row],[PercentSalaryHike]]&gt;=21,"21+")</f>
        <v>16-20</v>
      </c>
      <c r="AE48">
        <v>4</v>
      </c>
      <c r="AF48">
        <v>3</v>
      </c>
      <c r="AG48">
        <v>80</v>
      </c>
      <c r="AH48">
        <v>0</v>
      </c>
      <c r="AI48">
        <v>10</v>
      </c>
      <c r="AJ48">
        <v>2</v>
      </c>
      <c r="AK48">
        <v>3</v>
      </c>
      <c r="AL48">
        <v>9</v>
      </c>
      <c r="AM48">
        <v>5</v>
      </c>
      <c r="AN48">
        <v>8</v>
      </c>
      <c r="AO48">
        <v>7</v>
      </c>
      <c r="AP4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8" t="str">
        <f>IF(HRData[[#This Row],[Attrition]]="Yes","Left", IF(HRData[[#This Row],[Attrition_Risk_Score]]&gt;=6,"High",IF(HRData[[#This Row],[Attrition_Risk_Score]]&gt;=3,"Medium","Low")))</f>
        <v>Low</v>
      </c>
      <c r="AR48" t="str">
        <f>IF(HRData[[#This Row],[Attrition_Risk_Level]]&lt;&gt;"High","",HRData[[#This Row],[Attrition_Risk_Score]]*10000-HRData[[#This Row],[EmployeeNumber]])</f>
        <v/>
      </c>
    </row>
    <row r="49" spans="1:44">
      <c r="A49">
        <v>37</v>
      </c>
      <c r="B49" t="str" cm="1">
        <f t="array" ref="B49">_xlfn.IFS(
HRData[[#This Row],[Age]]&lt;=24,"18-24",
HRData[[#This Row],[Age]]&lt;=34,"25-34",
HRData[[#This Row],[Age]]&lt;=44,"35-44",
HRData[[#This Row],[Age]]&lt;=54,"45-54",
HRData[[#This Row],[Age]]&gt;=55,"55+"
)</f>
        <v>35-44</v>
      </c>
      <c r="C49" t="s">
        <v>43</v>
      </c>
      <c r="D49">
        <f>IF(HRData[[#This Row],[Attrition]]="Yes",1,0)</f>
        <v>0</v>
      </c>
      <c r="E49" t="s">
        <v>36</v>
      </c>
      <c r="F49">
        <v>408</v>
      </c>
      <c r="G49" t="s">
        <v>45</v>
      </c>
      <c r="H49">
        <v>19</v>
      </c>
      <c r="I49">
        <v>2</v>
      </c>
      <c r="J49" t="s">
        <v>38</v>
      </c>
      <c r="K49">
        <v>1</v>
      </c>
      <c r="L49">
        <v>61</v>
      </c>
      <c r="M49">
        <v>2</v>
      </c>
      <c r="N49" t="str" cm="1">
        <f t="array" ref="N49">_xlfn.IFS(HRData[[#This Row],[EnvironmentSatisfaction]]=1,"Very Dissatisfied",
HRData[[#This Row],[EnvironmentSatisfaction]]=2,"Dissatisfied",
HRData[[#This Row],[EnvironmentSatisfaction]]=3,"Satisfied",
HRData[[#This Row],[EnvironmentSatisfaction]]=4,"Very Satisfied"
)</f>
        <v>Dissatisfied</v>
      </c>
      <c r="O49" t="s">
        <v>46</v>
      </c>
      <c r="P49">
        <v>73</v>
      </c>
      <c r="Q49">
        <v>3</v>
      </c>
      <c r="R49">
        <v>1</v>
      </c>
      <c r="S49" t="s">
        <v>47</v>
      </c>
      <c r="T49">
        <v>2</v>
      </c>
      <c r="U49" t="str" cm="1">
        <f t="array" ref="U49">_xlfn.IFS(
HRData[[#This Row],[JobSatisfaction]]=1,"Very Dissatisfied",
HRData[[#This Row],[JobSatisfaction]]=2,"Dissatisfied",
HRData[[#This Row],[JobSatisfaction]]=3,"Satisfied",
HRData[[#This Row],[JobSatisfaction]]=4,"Very Satisfied"
)</f>
        <v>Dissatisfied</v>
      </c>
      <c r="V49" t="s">
        <v>48</v>
      </c>
      <c r="W49">
        <v>3022</v>
      </c>
      <c r="X49" t="str" cm="1">
        <f t="array" ref="X49">_xlfn.IFS(
HRData[[#This Row],[MonthlyIncome]]&lt;=4000,"Very Low Income",
HRData[[#This Row],[MonthlyIncome]]&lt;=8000,"Low Income",
HRData[[#This Row],[MonthlyIncome]]&lt;=12000,"Moderate Income",
HRData[[#This Row],[MonthlyIncome]]&lt;=16000,"High Income",
HRData[[#This Row],[MonthlyIncome]]&gt;16000,"Very High Income"
)</f>
        <v>Very Low Income</v>
      </c>
      <c r="Y49">
        <v>10227</v>
      </c>
      <c r="Z49">
        <v>4</v>
      </c>
      <c r="AA49" t="s">
        <v>42</v>
      </c>
      <c r="AB49" t="s">
        <v>43</v>
      </c>
      <c r="AC49">
        <v>21</v>
      </c>
      <c r="AD49" t="str" cm="1">
        <f t="array" ref="AD49">_xlfn.IFS(HRData[[#This Row],[PercentSalaryHike]]&lt;=15,"11-15",HRData[[#This Row],[PercentSalaryHike]]&lt;=20,"16-20",HRData[[#This Row],[PercentSalaryHike]]&gt;=21,"21+")</f>
        <v>21+</v>
      </c>
      <c r="AE49">
        <v>4</v>
      </c>
      <c r="AF49">
        <v>1</v>
      </c>
      <c r="AG49">
        <v>80</v>
      </c>
      <c r="AH49">
        <v>0</v>
      </c>
      <c r="AI49">
        <v>8</v>
      </c>
      <c r="AJ49">
        <v>1</v>
      </c>
      <c r="AK49">
        <v>3</v>
      </c>
      <c r="AL49">
        <v>1</v>
      </c>
      <c r="AM49">
        <v>0</v>
      </c>
      <c r="AN49">
        <v>0</v>
      </c>
      <c r="AO49">
        <v>0</v>
      </c>
      <c r="AP4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9" t="str">
        <f>IF(HRData[[#This Row],[Attrition]]="Yes","Left", IF(HRData[[#This Row],[Attrition_Risk_Score]]&gt;=6,"High",IF(HRData[[#This Row],[Attrition_Risk_Score]]&gt;=3,"Medium","Low")))</f>
        <v>Low</v>
      </c>
      <c r="AR49" t="str">
        <f>IF(HRData[[#This Row],[Attrition_Risk_Level]]&lt;&gt;"High","",HRData[[#This Row],[Attrition_Risk_Score]]*10000-HRData[[#This Row],[EmployeeNumber]])</f>
        <v/>
      </c>
    </row>
    <row r="50" spans="1:44">
      <c r="A50">
        <v>46</v>
      </c>
      <c r="B50" t="str" cm="1">
        <f t="array" ref="B50">_xlfn.IFS(
HRData[[#This Row],[Age]]&lt;=24,"18-24",
HRData[[#This Row],[Age]]&lt;=34,"25-34",
HRData[[#This Row],[Age]]&lt;=44,"35-44",
HRData[[#This Row],[Age]]&lt;=54,"45-54",
HRData[[#This Row],[Age]]&gt;=55,"55+"
)</f>
        <v>45-54</v>
      </c>
      <c r="C50" t="s">
        <v>43</v>
      </c>
      <c r="D50">
        <f>IF(HRData[[#This Row],[Attrition]]="Yes",1,0)</f>
        <v>0</v>
      </c>
      <c r="E50" t="s">
        <v>44</v>
      </c>
      <c r="F50">
        <v>1211</v>
      </c>
      <c r="G50" t="s">
        <v>37</v>
      </c>
      <c r="H50">
        <v>5</v>
      </c>
      <c r="I50">
        <v>4</v>
      </c>
      <c r="J50" t="s">
        <v>59</v>
      </c>
      <c r="K50">
        <v>1</v>
      </c>
      <c r="L50">
        <v>62</v>
      </c>
      <c r="M50">
        <v>1</v>
      </c>
      <c r="N50" t="str" cm="1">
        <f t="array" ref="N50">_xlfn.IFS(HRData[[#This Row],[EnvironmentSatisfaction]]=1,"Very Dissatisfied",
HRData[[#This Row],[EnvironmentSatisfaction]]=2,"Dissatisfied",
HRData[[#This Row],[EnvironmentSatisfaction]]=3,"Satisfied",
HRData[[#This Row],[EnvironmentSatisfaction]]=4,"Very Satisfied"
)</f>
        <v>Very Dissatisfied</v>
      </c>
      <c r="O50" t="s">
        <v>46</v>
      </c>
      <c r="P50">
        <v>98</v>
      </c>
      <c r="Q50">
        <v>3</v>
      </c>
      <c r="R50">
        <v>2</v>
      </c>
      <c r="S50" t="s">
        <v>40</v>
      </c>
      <c r="T50">
        <v>4</v>
      </c>
      <c r="U50" t="str" cm="1">
        <f t="array" ref="U50">_xlfn.IFS(
HRData[[#This Row],[JobSatisfaction]]=1,"Very Dissatisfied",
HRData[[#This Row],[JobSatisfaction]]=2,"Dissatisfied",
HRData[[#This Row],[JobSatisfaction]]=3,"Satisfied",
HRData[[#This Row],[JobSatisfaction]]=4,"Very Satisfied"
)</f>
        <v>Very Satisfied</v>
      </c>
      <c r="V50" t="s">
        <v>41</v>
      </c>
      <c r="W50">
        <v>5772</v>
      </c>
      <c r="X50" t="str" cm="1">
        <f t="array" ref="X50">_xlfn.IFS(
HRData[[#This Row],[MonthlyIncome]]&lt;=4000,"Very Low Income",
HRData[[#This Row],[MonthlyIncome]]&lt;=8000,"Low Income",
HRData[[#This Row],[MonthlyIncome]]&lt;=12000,"Moderate Income",
HRData[[#This Row],[MonthlyIncome]]&lt;=16000,"High Income",
HRData[[#This Row],[MonthlyIncome]]&gt;16000,"Very High Income"
)</f>
        <v>Low Income</v>
      </c>
      <c r="Y50">
        <v>20445</v>
      </c>
      <c r="Z50">
        <v>4</v>
      </c>
      <c r="AA50" t="s">
        <v>42</v>
      </c>
      <c r="AB50" t="s">
        <v>35</v>
      </c>
      <c r="AC50">
        <v>21</v>
      </c>
      <c r="AD50" t="str" cm="1">
        <f t="array" ref="AD50">_xlfn.IFS(HRData[[#This Row],[PercentSalaryHike]]&lt;=15,"11-15",HRData[[#This Row],[PercentSalaryHike]]&lt;=20,"16-20",HRData[[#This Row],[PercentSalaryHike]]&gt;=21,"21+")</f>
        <v>21+</v>
      </c>
      <c r="AE50">
        <v>4</v>
      </c>
      <c r="AF50">
        <v>3</v>
      </c>
      <c r="AG50">
        <v>80</v>
      </c>
      <c r="AH50">
        <v>0</v>
      </c>
      <c r="AI50">
        <v>14</v>
      </c>
      <c r="AJ50">
        <v>4</v>
      </c>
      <c r="AK50">
        <v>3</v>
      </c>
      <c r="AL50">
        <v>9</v>
      </c>
      <c r="AM50">
        <v>6</v>
      </c>
      <c r="AN50">
        <v>0</v>
      </c>
      <c r="AO50">
        <v>8</v>
      </c>
      <c r="AP5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0" t="str">
        <f>IF(HRData[[#This Row],[Attrition]]="Yes","Left", IF(HRData[[#This Row],[Attrition_Risk_Score]]&gt;=6,"High",IF(HRData[[#This Row],[Attrition_Risk_Score]]&gt;=3,"Medium","Low")))</f>
        <v>Medium</v>
      </c>
      <c r="AR50" t="str">
        <f>IF(HRData[[#This Row],[Attrition_Risk_Level]]&lt;&gt;"High","",HRData[[#This Row],[Attrition_Risk_Score]]*10000-HRData[[#This Row],[EmployeeNumber]])</f>
        <v/>
      </c>
    </row>
    <row r="51" spans="1:44">
      <c r="A51">
        <v>35</v>
      </c>
      <c r="B51" t="str" cm="1">
        <f t="array" ref="B51">_xlfn.IFS(
HRData[[#This Row],[Age]]&lt;=24,"18-24",
HRData[[#This Row],[Age]]&lt;=34,"25-34",
HRData[[#This Row],[Age]]&lt;=44,"35-44",
HRData[[#This Row],[Age]]&lt;=54,"45-54",
HRData[[#This Row],[Age]]&gt;=55,"55+"
)</f>
        <v>35-44</v>
      </c>
      <c r="C51" t="s">
        <v>43</v>
      </c>
      <c r="D51">
        <f>IF(HRData[[#This Row],[Attrition]]="Yes",1,0)</f>
        <v>0</v>
      </c>
      <c r="E51" t="s">
        <v>36</v>
      </c>
      <c r="F51">
        <v>1229</v>
      </c>
      <c r="G51" t="s">
        <v>45</v>
      </c>
      <c r="H51">
        <v>8</v>
      </c>
      <c r="I51">
        <v>1</v>
      </c>
      <c r="J51" t="s">
        <v>38</v>
      </c>
      <c r="K51">
        <v>1</v>
      </c>
      <c r="L51">
        <v>63</v>
      </c>
      <c r="M51">
        <v>4</v>
      </c>
      <c r="N51" t="str" cm="1">
        <f t="array" ref="N51">_xlfn.IFS(HRData[[#This Row],[EnvironmentSatisfaction]]=1,"Very Dissatisfied",
HRData[[#This Row],[EnvironmentSatisfaction]]=2,"Dissatisfied",
HRData[[#This Row],[EnvironmentSatisfaction]]=3,"Satisfied",
HRData[[#This Row],[EnvironmentSatisfaction]]=4,"Very Satisfied"
)</f>
        <v>Very Satisfied</v>
      </c>
      <c r="O51" t="s">
        <v>46</v>
      </c>
      <c r="P51">
        <v>36</v>
      </c>
      <c r="Q51">
        <v>4</v>
      </c>
      <c r="R51">
        <v>1</v>
      </c>
      <c r="S51" t="s">
        <v>50</v>
      </c>
      <c r="T51">
        <v>4</v>
      </c>
      <c r="U51" t="str" cm="1">
        <f t="array" ref="U51">_xlfn.IFS(
HRData[[#This Row],[JobSatisfaction]]=1,"Very Dissatisfied",
HRData[[#This Row],[JobSatisfaction]]=2,"Dissatisfied",
HRData[[#This Row],[JobSatisfaction]]=3,"Satisfied",
HRData[[#This Row],[JobSatisfaction]]=4,"Very Satisfied"
)</f>
        <v>Very Satisfied</v>
      </c>
      <c r="V51" t="s">
        <v>48</v>
      </c>
      <c r="W51">
        <v>2269</v>
      </c>
      <c r="X51" t="str" cm="1">
        <f t="array" ref="X51">_xlfn.IFS(
HRData[[#This Row],[MonthlyIncome]]&lt;=4000,"Very Low Income",
HRData[[#This Row],[MonthlyIncome]]&lt;=8000,"Low Income",
HRData[[#This Row],[MonthlyIncome]]&lt;=12000,"Moderate Income",
HRData[[#This Row],[MonthlyIncome]]&lt;=16000,"High Income",
HRData[[#This Row],[MonthlyIncome]]&gt;16000,"Very High Income"
)</f>
        <v>Very Low Income</v>
      </c>
      <c r="Y51">
        <v>4892</v>
      </c>
      <c r="Z51">
        <v>1</v>
      </c>
      <c r="AA51" t="s">
        <v>42</v>
      </c>
      <c r="AB51" t="s">
        <v>43</v>
      </c>
      <c r="AC51">
        <v>19</v>
      </c>
      <c r="AD51" t="str" cm="1">
        <f t="array" ref="AD51">_xlfn.IFS(HRData[[#This Row],[PercentSalaryHike]]&lt;=15,"11-15",HRData[[#This Row],[PercentSalaryHike]]&lt;=20,"16-20",HRData[[#This Row],[PercentSalaryHike]]&gt;=21,"21+")</f>
        <v>16-20</v>
      </c>
      <c r="AE51">
        <v>3</v>
      </c>
      <c r="AF51">
        <v>4</v>
      </c>
      <c r="AG51">
        <v>80</v>
      </c>
      <c r="AH51">
        <v>0</v>
      </c>
      <c r="AI51">
        <v>1</v>
      </c>
      <c r="AJ51">
        <v>2</v>
      </c>
      <c r="AK51">
        <v>3</v>
      </c>
      <c r="AL51">
        <v>1</v>
      </c>
      <c r="AM51">
        <v>0</v>
      </c>
      <c r="AN51">
        <v>0</v>
      </c>
      <c r="AO51">
        <v>1</v>
      </c>
      <c r="AP5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1" t="str">
        <f>IF(HRData[[#This Row],[Attrition]]="Yes","Left", IF(HRData[[#This Row],[Attrition_Risk_Score]]&gt;=6,"High",IF(HRData[[#This Row],[Attrition_Risk_Score]]&gt;=3,"Medium","Low")))</f>
        <v>Medium</v>
      </c>
      <c r="AR51" t="str">
        <f>IF(HRData[[#This Row],[Attrition_Risk_Level]]&lt;&gt;"High","",HRData[[#This Row],[Attrition_Risk_Score]]*10000-HRData[[#This Row],[EmployeeNumber]])</f>
        <v/>
      </c>
    </row>
    <row r="52" spans="1:44">
      <c r="A52">
        <v>48</v>
      </c>
      <c r="B52" t="str" cm="1">
        <f t="array" ref="B52">_xlfn.IFS(
HRData[[#This Row],[Age]]&lt;=24,"18-24",
HRData[[#This Row],[Age]]&lt;=34,"25-34",
HRData[[#This Row],[Age]]&lt;=44,"35-44",
HRData[[#This Row],[Age]]&lt;=54,"45-54",
HRData[[#This Row],[Age]]&gt;=55,"55+"
)</f>
        <v>45-54</v>
      </c>
      <c r="C52" t="s">
        <v>35</v>
      </c>
      <c r="D52">
        <f>IF(HRData[[#This Row],[Attrition]]="Yes",1,0)</f>
        <v>1</v>
      </c>
      <c r="E52" t="s">
        <v>36</v>
      </c>
      <c r="F52">
        <v>626</v>
      </c>
      <c r="G52" t="s">
        <v>45</v>
      </c>
      <c r="H52">
        <v>1</v>
      </c>
      <c r="I52">
        <v>2</v>
      </c>
      <c r="J52" t="s">
        <v>38</v>
      </c>
      <c r="K52">
        <v>1</v>
      </c>
      <c r="L52">
        <v>64</v>
      </c>
      <c r="M52">
        <v>1</v>
      </c>
      <c r="N52" t="str" cm="1">
        <f t="array" ref="N52">_xlfn.IFS(HRData[[#This Row],[EnvironmentSatisfaction]]=1,"Very Dissatisfied",
HRData[[#This Row],[EnvironmentSatisfaction]]=2,"Dissatisfied",
HRData[[#This Row],[EnvironmentSatisfaction]]=3,"Satisfied",
HRData[[#This Row],[EnvironmentSatisfaction]]=4,"Very Satisfied"
)</f>
        <v>Very Dissatisfied</v>
      </c>
      <c r="O52" t="s">
        <v>46</v>
      </c>
      <c r="P52">
        <v>98</v>
      </c>
      <c r="Q52">
        <v>2</v>
      </c>
      <c r="R52">
        <v>3</v>
      </c>
      <c r="S52" t="s">
        <v>50</v>
      </c>
      <c r="T52">
        <v>3</v>
      </c>
      <c r="U52" t="str" cm="1">
        <f t="array" ref="U52">_xlfn.IFS(
HRData[[#This Row],[JobSatisfaction]]=1,"Very Dissatisfied",
HRData[[#This Row],[JobSatisfaction]]=2,"Dissatisfied",
HRData[[#This Row],[JobSatisfaction]]=3,"Satisfied",
HRData[[#This Row],[JobSatisfaction]]=4,"Very Satisfied"
)</f>
        <v>Satisfied</v>
      </c>
      <c r="V52" t="s">
        <v>41</v>
      </c>
      <c r="W52">
        <v>5381</v>
      </c>
      <c r="X52" t="str" cm="1">
        <f t="array" ref="X52">_xlfn.IFS(
HRData[[#This Row],[MonthlyIncome]]&lt;=4000,"Very Low Income",
HRData[[#This Row],[MonthlyIncome]]&lt;=8000,"Low Income",
HRData[[#This Row],[MonthlyIncome]]&lt;=12000,"Moderate Income",
HRData[[#This Row],[MonthlyIncome]]&lt;=16000,"High Income",
HRData[[#This Row],[MonthlyIncome]]&gt;16000,"Very High Income"
)</f>
        <v>Low Income</v>
      </c>
      <c r="Y52">
        <v>19294</v>
      </c>
      <c r="Z52">
        <v>9</v>
      </c>
      <c r="AA52" t="s">
        <v>42</v>
      </c>
      <c r="AB52" t="s">
        <v>35</v>
      </c>
      <c r="AC52">
        <v>13</v>
      </c>
      <c r="AD52" t="str" cm="1">
        <f t="array" ref="AD52">_xlfn.IFS(HRData[[#This Row],[PercentSalaryHike]]&lt;=15,"11-15",HRData[[#This Row],[PercentSalaryHike]]&lt;=20,"16-20",HRData[[#This Row],[PercentSalaryHike]]&gt;=21,"21+")</f>
        <v>11-15</v>
      </c>
      <c r="AE52">
        <v>3</v>
      </c>
      <c r="AF52">
        <v>4</v>
      </c>
      <c r="AG52">
        <v>80</v>
      </c>
      <c r="AH52">
        <v>0</v>
      </c>
      <c r="AI52">
        <v>23</v>
      </c>
      <c r="AJ52">
        <v>2</v>
      </c>
      <c r="AK52">
        <v>3</v>
      </c>
      <c r="AL52">
        <v>1</v>
      </c>
      <c r="AM52">
        <v>0</v>
      </c>
      <c r="AN52">
        <v>0</v>
      </c>
      <c r="AO52">
        <v>0</v>
      </c>
      <c r="AP5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2" t="str">
        <f>IF(HRData[[#This Row],[Attrition]]="Yes","Left", IF(HRData[[#This Row],[Attrition_Risk_Score]]&gt;=6,"High",IF(HRData[[#This Row],[Attrition_Risk_Score]]&gt;=3,"Medium","Low")))</f>
        <v>Left</v>
      </c>
      <c r="AR52" t="str">
        <f>IF(HRData[[#This Row],[Attrition_Risk_Level]]&lt;&gt;"High","",HRData[[#This Row],[Attrition_Risk_Score]]*10000-HRData[[#This Row],[EmployeeNumber]])</f>
        <v/>
      </c>
    </row>
    <row r="53" spans="1:44">
      <c r="A53">
        <v>28</v>
      </c>
      <c r="B53" t="str" cm="1">
        <f t="array" ref="B53">_xlfn.IFS(
HRData[[#This Row],[Age]]&lt;=24,"18-24",
HRData[[#This Row],[Age]]&lt;=34,"25-34",
HRData[[#This Row],[Age]]&lt;=44,"35-44",
HRData[[#This Row],[Age]]&lt;=54,"45-54",
HRData[[#This Row],[Age]]&gt;=55,"55+"
)</f>
        <v>25-34</v>
      </c>
      <c r="C53" t="s">
        <v>35</v>
      </c>
      <c r="D53">
        <f>IF(HRData[[#This Row],[Attrition]]="Yes",1,0)</f>
        <v>1</v>
      </c>
      <c r="E53" t="s">
        <v>36</v>
      </c>
      <c r="F53">
        <v>1434</v>
      </c>
      <c r="G53" t="s">
        <v>45</v>
      </c>
      <c r="H53">
        <v>5</v>
      </c>
      <c r="I53">
        <v>4</v>
      </c>
      <c r="J53" t="s">
        <v>60</v>
      </c>
      <c r="K53">
        <v>1</v>
      </c>
      <c r="L53">
        <v>65</v>
      </c>
      <c r="M53">
        <v>3</v>
      </c>
      <c r="N53" t="str" cm="1">
        <f t="array" ref="N53">_xlfn.IFS(HRData[[#This Row],[EnvironmentSatisfaction]]=1,"Very Dissatisfied",
HRData[[#This Row],[EnvironmentSatisfaction]]=2,"Dissatisfied",
HRData[[#This Row],[EnvironmentSatisfaction]]=3,"Satisfied",
HRData[[#This Row],[EnvironmentSatisfaction]]=4,"Very Satisfied"
)</f>
        <v>Satisfied</v>
      </c>
      <c r="O53" t="s">
        <v>46</v>
      </c>
      <c r="P53">
        <v>50</v>
      </c>
      <c r="Q53">
        <v>3</v>
      </c>
      <c r="R53">
        <v>1</v>
      </c>
      <c r="S53" t="s">
        <v>50</v>
      </c>
      <c r="T53">
        <v>3</v>
      </c>
      <c r="U53" t="str" cm="1">
        <f t="array" ref="U53">_xlfn.IFS(
HRData[[#This Row],[JobSatisfaction]]=1,"Very Dissatisfied",
HRData[[#This Row],[JobSatisfaction]]=2,"Dissatisfied",
HRData[[#This Row],[JobSatisfaction]]=3,"Satisfied",
HRData[[#This Row],[JobSatisfaction]]=4,"Very Satisfied"
)</f>
        <v>Satisfied</v>
      </c>
      <c r="V53" t="s">
        <v>41</v>
      </c>
      <c r="W53">
        <v>3441</v>
      </c>
      <c r="X53" t="str" cm="1">
        <f t="array" ref="X53">_xlfn.IFS(
HRData[[#This Row],[MonthlyIncome]]&lt;=4000,"Very Low Income",
HRData[[#This Row],[MonthlyIncome]]&lt;=8000,"Low Income",
HRData[[#This Row],[MonthlyIncome]]&lt;=12000,"Moderate Income",
HRData[[#This Row],[MonthlyIncome]]&lt;=16000,"High Income",
HRData[[#This Row],[MonthlyIncome]]&gt;16000,"Very High Income"
)</f>
        <v>Very Low Income</v>
      </c>
      <c r="Y53">
        <v>11179</v>
      </c>
      <c r="Z53">
        <v>1</v>
      </c>
      <c r="AA53" t="s">
        <v>42</v>
      </c>
      <c r="AB53" t="s">
        <v>35</v>
      </c>
      <c r="AC53">
        <v>13</v>
      </c>
      <c r="AD53" t="str" cm="1">
        <f t="array" ref="AD53">_xlfn.IFS(HRData[[#This Row],[PercentSalaryHike]]&lt;=15,"11-15",HRData[[#This Row],[PercentSalaryHike]]&lt;=20,"16-20",HRData[[#This Row],[PercentSalaryHike]]&gt;=21,"21+")</f>
        <v>11-15</v>
      </c>
      <c r="AE53">
        <v>3</v>
      </c>
      <c r="AF53">
        <v>3</v>
      </c>
      <c r="AG53">
        <v>80</v>
      </c>
      <c r="AH53">
        <v>0</v>
      </c>
      <c r="AI53">
        <v>2</v>
      </c>
      <c r="AJ53">
        <v>3</v>
      </c>
      <c r="AK53">
        <v>2</v>
      </c>
      <c r="AL53">
        <v>2</v>
      </c>
      <c r="AM53">
        <v>2</v>
      </c>
      <c r="AN53">
        <v>2</v>
      </c>
      <c r="AO53">
        <v>2</v>
      </c>
      <c r="AP5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3" t="str">
        <f>IF(HRData[[#This Row],[Attrition]]="Yes","Left", IF(HRData[[#This Row],[Attrition_Risk_Score]]&gt;=6,"High",IF(HRData[[#This Row],[Attrition_Risk_Score]]&gt;=3,"Medium","Low")))</f>
        <v>Left</v>
      </c>
      <c r="AR53" t="str">
        <f>IF(HRData[[#This Row],[Attrition_Risk_Level]]&lt;&gt;"High","",HRData[[#This Row],[Attrition_Risk_Score]]*10000-HRData[[#This Row],[EmployeeNumber]])</f>
        <v/>
      </c>
    </row>
    <row r="54" spans="1:44">
      <c r="A54">
        <v>44</v>
      </c>
      <c r="B54" t="str" cm="1">
        <f t="array" ref="B54">_xlfn.IFS(
HRData[[#This Row],[Age]]&lt;=24,"18-24",
HRData[[#This Row],[Age]]&lt;=34,"25-34",
HRData[[#This Row],[Age]]&lt;=44,"35-44",
HRData[[#This Row],[Age]]&lt;=54,"45-54",
HRData[[#This Row],[Age]]&gt;=55,"55+"
)</f>
        <v>35-44</v>
      </c>
      <c r="C54" t="s">
        <v>43</v>
      </c>
      <c r="D54">
        <f>IF(HRData[[#This Row],[Attrition]]="Yes",1,0)</f>
        <v>0</v>
      </c>
      <c r="E54" t="s">
        <v>36</v>
      </c>
      <c r="F54">
        <v>1488</v>
      </c>
      <c r="G54" t="s">
        <v>37</v>
      </c>
      <c r="H54">
        <v>1</v>
      </c>
      <c r="I54">
        <v>5</v>
      </c>
      <c r="J54" t="s">
        <v>59</v>
      </c>
      <c r="K54">
        <v>1</v>
      </c>
      <c r="L54">
        <v>68</v>
      </c>
      <c r="M54">
        <v>2</v>
      </c>
      <c r="N54" t="str" cm="1">
        <f t="array" ref="N54">_xlfn.IFS(HRData[[#This Row],[EnvironmentSatisfaction]]=1,"Very Dissatisfied",
HRData[[#This Row],[EnvironmentSatisfaction]]=2,"Dissatisfied",
HRData[[#This Row],[EnvironmentSatisfaction]]=3,"Satisfied",
HRData[[#This Row],[EnvironmentSatisfaction]]=4,"Very Satisfied"
)</f>
        <v>Dissatisfied</v>
      </c>
      <c r="O54" t="s">
        <v>39</v>
      </c>
      <c r="P54">
        <v>75</v>
      </c>
      <c r="Q54">
        <v>3</v>
      </c>
      <c r="R54">
        <v>2</v>
      </c>
      <c r="S54" t="s">
        <v>40</v>
      </c>
      <c r="T54">
        <v>1</v>
      </c>
      <c r="U54" t="str" cm="1">
        <f t="array" ref="U54">_xlfn.IFS(
HRData[[#This Row],[JobSatisfaction]]=1,"Very Dissatisfied",
HRData[[#This Row],[JobSatisfaction]]=2,"Dissatisfied",
HRData[[#This Row],[JobSatisfaction]]=3,"Satisfied",
HRData[[#This Row],[JobSatisfaction]]=4,"Very Satisfied"
)</f>
        <v>Very Dissatisfied</v>
      </c>
      <c r="V54" t="s">
        <v>52</v>
      </c>
      <c r="W54">
        <v>5454</v>
      </c>
      <c r="X54" t="str" cm="1">
        <f t="array" ref="X54">_xlfn.IFS(
HRData[[#This Row],[MonthlyIncome]]&lt;=4000,"Very Low Income",
HRData[[#This Row],[MonthlyIncome]]&lt;=8000,"Low Income",
HRData[[#This Row],[MonthlyIncome]]&lt;=12000,"Moderate Income",
HRData[[#This Row],[MonthlyIncome]]&lt;=16000,"High Income",
HRData[[#This Row],[MonthlyIncome]]&gt;16000,"Very High Income"
)</f>
        <v>Low Income</v>
      </c>
      <c r="Y54">
        <v>4009</v>
      </c>
      <c r="Z54">
        <v>5</v>
      </c>
      <c r="AA54" t="s">
        <v>42</v>
      </c>
      <c r="AB54" t="s">
        <v>35</v>
      </c>
      <c r="AC54">
        <v>21</v>
      </c>
      <c r="AD54" t="str" cm="1">
        <f t="array" ref="AD54">_xlfn.IFS(HRData[[#This Row],[PercentSalaryHike]]&lt;=15,"11-15",HRData[[#This Row],[PercentSalaryHike]]&lt;=20,"16-20",HRData[[#This Row],[PercentSalaryHike]]&gt;=21,"21+")</f>
        <v>21+</v>
      </c>
      <c r="AE54">
        <v>4</v>
      </c>
      <c r="AF54">
        <v>3</v>
      </c>
      <c r="AG54">
        <v>80</v>
      </c>
      <c r="AH54">
        <v>1</v>
      </c>
      <c r="AI54">
        <v>9</v>
      </c>
      <c r="AJ54">
        <v>2</v>
      </c>
      <c r="AK54">
        <v>2</v>
      </c>
      <c r="AL54">
        <v>4</v>
      </c>
      <c r="AM54">
        <v>3</v>
      </c>
      <c r="AN54">
        <v>1</v>
      </c>
      <c r="AO54">
        <v>3</v>
      </c>
      <c r="AP5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54" t="str">
        <f>IF(HRData[[#This Row],[Attrition]]="Yes","Left", IF(HRData[[#This Row],[Attrition_Risk_Score]]&gt;=6,"High",IF(HRData[[#This Row],[Attrition_Risk_Score]]&gt;=3,"Medium","Low")))</f>
        <v>Medium</v>
      </c>
      <c r="AR54" t="str">
        <f>IF(HRData[[#This Row],[Attrition_Risk_Level]]&lt;&gt;"High","",HRData[[#This Row],[Attrition_Risk_Score]]*10000-HRData[[#This Row],[EmployeeNumber]])</f>
        <v/>
      </c>
    </row>
    <row r="55" spans="1:44">
      <c r="A55">
        <v>35</v>
      </c>
      <c r="B55" t="str" cm="1">
        <f t="array" ref="B55">_xlfn.IFS(
HRData[[#This Row],[Age]]&lt;=24,"18-24",
HRData[[#This Row],[Age]]&lt;=34,"25-34",
HRData[[#This Row],[Age]]&lt;=44,"35-44",
HRData[[#This Row],[Age]]&lt;=54,"45-54",
HRData[[#This Row],[Age]]&gt;=55,"55+"
)</f>
        <v>35-44</v>
      </c>
      <c r="C55" t="s">
        <v>43</v>
      </c>
      <c r="D55">
        <f>IF(HRData[[#This Row],[Attrition]]="Yes",1,0)</f>
        <v>0</v>
      </c>
      <c r="E55" t="s">
        <v>55</v>
      </c>
      <c r="F55">
        <v>1097</v>
      </c>
      <c r="G55" t="s">
        <v>45</v>
      </c>
      <c r="H55">
        <v>11</v>
      </c>
      <c r="I55">
        <v>2</v>
      </c>
      <c r="J55" t="s">
        <v>51</v>
      </c>
      <c r="K55">
        <v>1</v>
      </c>
      <c r="L55">
        <v>70</v>
      </c>
      <c r="M55">
        <v>3</v>
      </c>
      <c r="N55" t="str" cm="1">
        <f t="array" ref="N55">_xlfn.IFS(HRData[[#This Row],[EnvironmentSatisfaction]]=1,"Very Dissatisfied",
HRData[[#This Row],[EnvironmentSatisfaction]]=2,"Dissatisfied",
HRData[[#This Row],[EnvironmentSatisfaction]]=3,"Satisfied",
HRData[[#This Row],[EnvironmentSatisfaction]]=4,"Very Satisfied"
)</f>
        <v>Satisfied</v>
      </c>
      <c r="O55" t="s">
        <v>46</v>
      </c>
      <c r="P55">
        <v>79</v>
      </c>
      <c r="Q55">
        <v>2</v>
      </c>
      <c r="R55">
        <v>3</v>
      </c>
      <c r="S55" t="s">
        <v>54</v>
      </c>
      <c r="T55">
        <v>1</v>
      </c>
      <c r="U55" t="str" cm="1">
        <f t="array" ref="U55">_xlfn.IFS(
HRData[[#This Row],[JobSatisfaction]]=1,"Very Dissatisfied",
HRData[[#This Row],[JobSatisfaction]]=2,"Dissatisfied",
HRData[[#This Row],[JobSatisfaction]]=3,"Satisfied",
HRData[[#This Row],[JobSatisfaction]]=4,"Very Satisfied"
)</f>
        <v>Very Dissatisfied</v>
      </c>
      <c r="V55" t="s">
        <v>48</v>
      </c>
      <c r="W55">
        <v>9884</v>
      </c>
      <c r="X55" t="str" cm="1">
        <f t="array" ref="X55">_xlfn.IFS(
HRData[[#This Row],[MonthlyIncome]]&lt;=4000,"Very Low Income",
HRData[[#This Row],[MonthlyIncome]]&lt;=8000,"Low Income",
HRData[[#This Row],[MonthlyIncome]]&lt;=12000,"Moderate Income",
HRData[[#This Row],[MonthlyIncome]]&lt;=16000,"High Income",
HRData[[#This Row],[MonthlyIncome]]&gt;16000,"Very High Income"
)</f>
        <v>Moderate Income</v>
      </c>
      <c r="Y55">
        <v>8302</v>
      </c>
      <c r="Z55">
        <v>2</v>
      </c>
      <c r="AA55" t="s">
        <v>42</v>
      </c>
      <c r="AB55" t="s">
        <v>35</v>
      </c>
      <c r="AC55">
        <v>13</v>
      </c>
      <c r="AD55" t="str" cm="1">
        <f t="array" ref="AD55">_xlfn.IFS(HRData[[#This Row],[PercentSalaryHike]]&lt;=15,"11-15",HRData[[#This Row],[PercentSalaryHike]]&lt;=20,"16-20",HRData[[#This Row],[PercentSalaryHike]]&gt;=21,"21+")</f>
        <v>11-15</v>
      </c>
      <c r="AE55">
        <v>3</v>
      </c>
      <c r="AF55">
        <v>3</v>
      </c>
      <c r="AG55">
        <v>80</v>
      </c>
      <c r="AH55">
        <v>1</v>
      </c>
      <c r="AI55">
        <v>10</v>
      </c>
      <c r="AJ55">
        <v>3</v>
      </c>
      <c r="AK55">
        <v>3</v>
      </c>
      <c r="AL55">
        <v>4</v>
      </c>
      <c r="AM55">
        <v>0</v>
      </c>
      <c r="AN55">
        <v>2</v>
      </c>
      <c r="AO55">
        <v>3</v>
      </c>
      <c r="AP5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5" t="str">
        <f>IF(HRData[[#This Row],[Attrition]]="Yes","Left", IF(HRData[[#This Row],[Attrition_Risk_Score]]&gt;=6,"High",IF(HRData[[#This Row],[Attrition_Risk_Score]]&gt;=3,"Medium","Low")))</f>
        <v>Medium</v>
      </c>
      <c r="AR55" t="str">
        <f>IF(HRData[[#This Row],[Attrition_Risk_Level]]&lt;&gt;"High","",HRData[[#This Row],[Attrition_Risk_Score]]*10000-HRData[[#This Row],[EmployeeNumber]])</f>
        <v/>
      </c>
    </row>
    <row r="56" spans="1:44">
      <c r="A56">
        <v>26</v>
      </c>
      <c r="B56" t="str" cm="1">
        <f t="array" ref="B56">_xlfn.IFS(
HRData[[#This Row],[Age]]&lt;=24,"18-24",
HRData[[#This Row],[Age]]&lt;=34,"25-34",
HRData[[#This Row],[Age]]&lt;=44,"35-44",
HRData[[#This Row],[Age]]&lt;=54,"45-54",
HRData[[#This Row],[Age]]&gt;=55,"55+"
)</f>
        <v>25-34</v>
      </c>
      <c r="C56" t="s">
        <v>43</v>
      </c>
      <c r="D56">
        <f>IF(HRData[[#This Row],[Attrition]]="Yes",1,0)</f>
        <v>0</v>
      </c>
      <c r="E56" t="s">
        <v>36</v>
      </c>
      <c r="F56">
        <v>1443</v>
      </c>
      <c r="G56" t="s">
        <v>37</v>
      </c>
      <c r="H56">
        <v>23</v>
      </c>
      <c r="I56">
        <v>3</v>
      </c>
      <c r="J56" t="s">
        <v>59</v>
      </c>
      <c r="K56">
        <v>1</v>
      </c>
      <c r="L56">
        <v>72</v>
      </c>
      <c r="M56">
        <v>3</v>
      </c>
      <c r="N56" t="str" cm="1">
        <f t="array" ref="N56">_xlfn.IFS(HRData[[#This Row],[EnvironmentSatisfaction]]=1,"Very Dissatisfied",
HRData[[#This Row],[EnvironmentSatisfaction]]=2,"Dissatisfied",
HRData[[#This Row],[EnvironmentSatisfaction]]=3,"Satisfied",
HRData[[#This Row],[EnvironmentSatisfaction]]=4,"Very Satisfied"
)</f>
        <v>Satisfied</v>
      </c>
      <c r="O56" t="s">
        <v>39</v>
      </c>
      <c r="P56">
        <v>47</v>
      </c>
      <c r="Q56">
        <v>2</v>
      </c>
      <c r="R56">
        <v>2</v>
      </c>
      <c r="S56" t="s">
        <v>40</v>
      </c>
      <c r="T56">
        <v>4</v>
      </c>
      <c r="U56" t="str" cm="1">
        <f t="array" ref="U56">_xlfn.IFS(
HRData[[#This Row],[JobSatisfaction]]=1,"Very Dissatisfied",
HRData[[#This Row],[JobSatisfaction]]=2,"Dissatisfied",
HRData[[#This Row],[JobSatisfaction]]=3,"Satisfied",
HRData[[#This Row],[JobSatisfaction]]=4,"Very Satisfied"
)</f>
        <v>Very Satisfied</v>
      </c>
      <c r="V56" t="s">
        <v>48</v>
      </c>
      <c r="W56">
        <v>4157</v>
      </c>
      <c r="X56" t="str" cm="1">
        <f t="array" ref="X56">_xlfn.IFS(
HRData[[#This Row],[MonthlyIncome]]&lt;=4000,"Very Low Income",
HRData[[#This Row],[MonthlyIncome]]&lt;=8000,"Low Income",
HRData[[#This Row],[MonthlyIncome]]&lt;=12000,"Moderate Income",
HRData[[#This Row],[MonthlyIncome]]&lt;=16000,"High Income",
HRData[[#This Row],[MonthlyIncome]]&gt;16000,"Very High Income"
)</f>
        <v>Low Income</v>
      </c>
      <c r="Y56">
        <v>21436</v>
      </c>
      <c r="Z56">
        <v>7</v>
      </c>
      <c r="AA56" t="s">
        <v>42</v>
      </c>
      <c r="AB56" t="s">
        <v>35</v>
      </c>
      <c r="AC56">
        <v>19</v>
      </c>
      <c r="AD56" t="str" cm="1">
        <f t="array" ref="AD56">_xlfn.IFS(HRData[[#This Row],[PercentSalaryHike]]&lt;=15,"11-15",HRData[[#This Row],[PercentSalaryHike]]&lt;=20,"16-20",HRData[[#This Row],[PercentSalaryHike]]&gt;=21,"21+")</f>
        <v>16-20</v>
      </c>
      <c r="AE56">
        <v>3</v>
      </c>
      <c r="AF56">
        <v>3</v>
      </c>
      <c r="AG56">
        <v>80</v>
      </c>
      <c r="AH56">
        <v>1</v>
      </c>
      <c r="AI56">
        <v>5</v>
      </c>
      <c r="AJ56">
        <v>2</v>
      </c>
      <c r="AK56">
        <v>2</v>
      </c>
      <c r="AL56">
        <v>2</v>
      </c>
      <c r="AM56">
        <v>2</v>
      </c>
      <c r="AN56">
        <v>0</v>
      </c>
      <c r="AO56">
        <v>0</v>
      </c>
      <c r="AP5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6" t="str">
        <f>IF(HRData[[#This Row],[Attrition]]="Yes","Left", IF(HRData[[#This Row],[Attrition_Risk_Score]]&gt;=6,"High",IF(HRData[[#This Row],[Attrition_Risk_Score]]&gt;=3,"Medium","Low")))</f>
        <v>Medium</v>
      </c>
      <c r="AR56" t="str">
        <f>IF(HRData[[#This Row],[Attrition_Risk_Level]]&lt;&gt;"High","",HRData[[#This Row],[Attrition_Risk_Score]]*10000-HRData[[#This Row],[EmployeeNumber]])</f>
        <v/>
      </c>
    </row>
    <row r="57" spans="1:44">
      <c r="A57">
        <v>33</v>
      </c>
      <c r="B57" t="str" cm="1">
        <f t="array" ref="B57">_xlfn.IFS(
HRData[[#This Row],[Age]]&lt;=24,"18-24",
HRData[[#This Row],[Age]]&lt;=34,"25-34",
HRData[[#This Row],[Age]]&lt;=44,"35-44",
HRData[[#This Row],[Age]]&lt;=54,"45-54",
HRData[[#This Row],[Age]]&gt;=55,"55+"
)</f>
        <v>25-34</v>
      </c>
      <c r="C57" t="s">
        <v>43</v>
      </c>
      <c r="D57">
        <f>IF(HRData[[#This Row],[Attrition]]="Yes",1,0)</f>
        <v>0</v>
      </c>
      <c r="E57" t="s">
        <v>44</v>
      </c>
      <c r="F57">
        <v>515</v>
      </c>
      <c r="G57" t="s">
        <v>45</v>
      </c>
      <c r="H57">
        <v>1</v>
      </c>
      <c r="I57">
        <v>2</v>
      </c>
      <c r="J57" t="s">
        <v>38</v>
      </c>
      <c r="K57">
        <v>1</v>
      </c>
      <c r="L57">
        <v>73</v>
      </c>
      <c r="M57">
        <v>1</v>
      </c>
      <c r="N57" t="str" cm="1">
        <f t="array" ref="N57">_xlfn.IFS(HRData[[#This Row],[EnvironmentSatisfaction]]=1,"Very Dissatisfied",
HRData[[#This Row],[EnvironmentSatisfaction]]=2,"Dissatisfied",
HRData[[#This Row],[EnvironmentSatisfaction]]=3,"Satisfied",
HRData[[#This Row],[EnvironmentSatisfaction]]=4,"Very Satisfied"
)</f>
        <v>Very Dissatisfied</v>
      </c>
      <c r="O57" t="s">
        <v>39</v>
      </c>
      <c r="P57">
        <v>98</v>
      </c>
      <c r="Q57">
        <v>3</v>
      </c>
      <c r="R57">
        <v>3</v>
      </c>
      <c r="S57" t="s">
        <v>58</v>
      </c>
      <c r="T57">
        <v>4</v>
      </c>
      <c r="U57" t="str" cm="1">
        <f t="array" ref="U57">_xlfn.IFS(
HRData[[#This Row],[JobSatisfaction]]=1,"Very Dissatisfied",
HRData[[#This Row],[JobSatisfaction]]=2,"Dissatisfied",
HRData[[#This Row],[JobSatisfaction]]=3,"Satisfied",
HRData[[#This Row],[JobSatisfaction]]=4,"Very Satisfied"
)</f>
        <v>Very Satisfied</v>
      </c>
      <c r="V57" t="s">
        <v>41</v>
      </c>
      <c r="W57">
        <v>13458</v>
      </c>
      <c r="X57" t="str" cm="1">
        <f t="array" ref="X57">_xlfn.IFS(
HRData[[#This Row],[MonthlyIncome]]&lt;=4000,"Very Low Income",
HRData[[#This Row],[MonthlyIncome]]&lt;=8000,"Low Income",
HRData[[#This Row],[MonthlyIncome]]&lt;=12000,"Moderate Income",
HRData[[#This Row],[MonthlyIncome]]&lt;=16000,"High Income",
HRData[[#This Row],[MonthlyIncome]]&gt;16000,"Very High Income"
)</f>
        <v>High Income</v>
      </c>
      <c r="Y57">
        <v>15146</v>
      </c>
      <c r="Z57">
        <v>1</v>
      </c>
      <c r="AA57" t="s">
        <v>42</v>
      </c>
      <c r="AB57" t="s">
        <v>35</v>
      </c>
      <c r="AC57">
        <v>12</v>
      </c>
      <c r="AD57" t="str" cm="1">
        <f t="array" ref="AD57">_xlfn.IFS(HRData[[#This Row],[PercentSalaryHike]]&lt;=15,"11-15",HRData[[#This Row],[PercentSalaryHike]]&lt;=20,"16-20",HRData[[#This Row],[PercentSalaryHike]]&gt;=21,"21+")</f>
        <v>11-15</v>
      </c>
      <c r="AE57">
        <v>3</v>
      </c>
      <c r="AF57">
        <v>3</v>
      </c>
      <c r="AG57">
        <v>80</v>
      </c>
      <c r="AH57">
        <v>0</v>
      </c>
      <c r="AI57">
        <v>15</v>
      </c>
      <c r="AJ57">
        <v>1</v>
      </c>
      <c r="AK57">
        <v>3</v>
      </c>
      <c r="AL57">
        <v>15</v>
      </c>
      <c r="AM57">
        <v>14</v>
      </c>
      <c r="AN57">
        <v>8</v>
      </c>
      <c r="AO57">
        <v>12</v>
      </c>
      <c r="AP5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7" t="str">
        <f>IF(HRData[[#This Row],[Attrition]]="Yes","Left", IF(HRData[[#This Row],[Attrition_Risk_Score]]&gt;=6,"High",IF(HRData[[#This Row],[Attrition_Risk_Score]]&gt;=3,"Medium","Low")))</f>
        <v>Medium</v>
      </c>
      <c r="AR57" t="str">
        <f>IF(HRData[[#This Row],[Attrition_Risk_Level]]&lt;&gt;"High","",HRData[[#This Row],[Attrition_Risk_Score]]*10000-HRData[[#This Row],[EmployeeNumber]])</f>
        <v/>
      </c>
    </row>
    <row r="58" spans="1:44">
      <c r="A58">
        <v>35</v>
      </c>
      <c r="B58" t="str" cm="1">
        <f t="array" ref="B58">_xlfn.IFS(
HRData[[#This Row],[Age]]&lt;=24,"18-24",
HRData[[#This Row],[Age]]&lt;=34,"25-34",
HRData[[#This Row],[Age]]&lt;=44,"35-44",
HRData[[#This Row],[Age]]&lt;=54,"45-54",
HRData[[#This Row],[Age]]&gt;=55,"55+"
)</f>
        <v>35-44</v>
      </c>
      <c r="C58" t="s">
        <v>43</v>
      </c>
      <c r="D58">
        <f>IF(HRData[[#This Row],[Attrition]]="Yes",1,0)</f>
        <v>0</v>
      </c>
      <c r="E58" t="s">
        <v>44</v>
      </c>
      <c r="F58">
        <v>853</v>
      </c>
      <c r="G58" t="s">
        <v>37</v>
      </c>
      <c r="H58">
        <v>18</v>
      </c>
      <c r="I58">
        <v>5</v>
      </c>
      <c r="J58" t="s">
        <v>38</v>
      </c>
      <c r="K58">
        <v>1</v>
      </c>
      <c r="L58">
        <v>74</v>
      </c>
      <c r="M58">
        <v>2</v>
      </c>
      <c r="N58" t="str" cm="1">
        <f t="array" ref="N58">_xlfn.IFS(HRData[[#This Row],[EnvironmentSatisfaction]]=1,"Very Dissatisfied",
HRData[[#This Row],[EnvironmentSatisfaction]]=2,"Dissatisfied",
HRData[[#This Row],[EnvironmentSatisfaction]]=3,"Satisfied",
HRData[[#This Row],[EnvironmentSatisfaction]]=4,"Very Satisfied"
)</f>
        <v>Dissatisfied</v>
      </c>
      <c r="O58" t="s">
        <v>46</v>
      </c>
      <c r="P58">
        <v>71</v>
      </c>
      <c r="Q58">
        <v>3</v>
      </c>
      <c r="R58">
        <v>3</v>
      </c>
      <c r="S58" t="s">
        <v>40</v>
      </c>
      <c r="T58">
        <v>1</v>
      </c>
      <c r="U58" t="str" cm="1">
        <f t="array" ref="U58">_xlfn.IFS(
HRData[[#This Row],[JobSatisfaction]]=1,"Very Dissatisfied",
HRData[[#This Row],[JobSatisfaction]]=2,"Dissatisfied",
HRData[[#This Row],[JobSatisfaction]]=3,"Satisfied",
HRData[[#This Row],[JobSatisfaction]]=4,"Very Satisfied"
)</f>
        <v>Very Dissatisfied</v>
      </c>
      <c r="V58" t="s">
        <v>48</v>
      </c>
      <c r="W58">
        <v>9069</v>
      </c>
      <c r="X58" t="str" cm="1">
        <f t="array" ref="X58">_xlfn.IFS(
HRData[[#This Row],[MonthlyIncome]]&lt;=4000,"Very Low Income",
HRData[[#This Row],[MonthlyIncome]]&lt;=8000,"Low Income",
HRData[[#This Row],[MonthlyIncome]]&lt;=12000,"Moderate Income",
HRData[[#This Row],[MonthlyIncome]]&lt;=16000,"High Income",
HRData[[#This Row],[MonthlyIncome]]&gt;16000,"Very High Income"
)</f>
        <v>Moderate Income</v>
      </c>
      <c r="Y58">
        <v>11031</v>
      </c>
      <c r="Z58">
        <v>1</v>
      </c>
      <c r="AA58" t="s">
        <v>42</v>
      </c>
      <c r="AB58" t="s">
        <v>43</v>
      </c>
      <c r="AC58">
        <v>22</v>
      </c>
      <c r="AD58" t="str" cm="1">
        <f t="array" ref="AD58">_xlfn.IFS(HRData[[#This Row],[PercentSalaryHike]]&lt;=15,"11-15",HRData[[#This Row],[PercentSalaryHike]]&lt;=20,"16-20",HRData[[#This Row],[PercentSalaryHike]]&gt;=21,"21+")</f>
        <v>21+</v>
      </c>
      <c r="AE58">
        <v>4</v>
      </c>
      <c r="AF58">
        <v>4</v>
      </c>
      <c r="AG58">
        <v>80</v>
      </c>
      <c r="AH58">
        <v>1</v>
      </c>
      <c r="AI58">
        <v>9</v>
      </c>
      <c r="AJ58">
        <v>3</v>
      </c>
      <c r="AK58">
        <v>2</v>
      </c>
      <c r="AL58">
        <v>9</v>
      </c>
      <c r="AM58">
        <v>8</v>
      </c>
      <c r="AN58">
        <v>1</v>
      </c>
      <c r="AO58">
        <v>8</v>
      </c>
      <c r="AP5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8" t="str">
        <f>IF(HRData[[#This Row],[Attrition]]="Yes","Left", IF(HRData[[#This Row],[Attrition_Risk_Score]]&gt;=6,"High",IF(HRData[[#This Row],[Attrition_Risk_Score]]&gt;=3,"Medium","Low")))</f>
        <v>Low</v>
      </c>
      <c r="AR58" t="str">
        <f>IF(HRData[[#This Row],[Attrition_Risk_Level]]&lt;&gt;"High","",HRData[[#This Row],[Attrition_Risk_Score]]*10000-HRData[[#This Row],[EmployeeNumber]])</f>
        <v/>
      </c>
    </row>
    <row r="59" spans="1:44">
      <c r="A59">
        <v>35</v>
      </c>
      <c r="B59" t="str" cm="1">
        <f t="array" ref="B59">_xlfn.IFS(
HRData[[#This Row],[Age]]&lt;=24,"18-24",
HRData[[#This Row],[Age]]&lt;=34,"25-34",
HRData[[#This Row],[Age]]&lt;=44,"35-44",
HRData[[#This Row],[Age]]&lt;=54,"45-54",
HRData[[#This Row],[Age]]&gt;=55,"55+"
)</f>
        <v>35-44</v>
      </c>
      <c r="C59" t="s">
        <v>43</v>
      </c>
      <c r="D59">
        <f>IF(HRData[[#This Row],[Attrition]]="Yes",1,0)</f>
        <v>0</v>
      </c>
      <c r="E59" t="s">
        <v>36</v>
      </c>
      <c r="F59">
        <v>1142</v>
      </c>
      <c r="G59" t="s">
        <v>45</v>
      </c>
      <c r="H59">
        <v>23</v>
      </c>
      <c r="I59">
        <v>4</v>
      </c>
      <c r="J59" t="s">
        <v>51</v>
      </c>
      <c r="K59">
        <v>1</v>
      </c>
      <c r="L59">
        <v>75</v>
      </c>
      <c r="M59">
        <v>3</v>
      </c>
      <c r="N59" t="str" cm="1">
        <f t="array" ref="N59">_xlfn.IFS(HRData[[#This Row],[EnvironmentSatisfaction]]=1,"Very Dissatisfied",
HRData[[#This Row],[EnvironmentSatisfaction]]=2,"Dissatisfied",
HRData[[#This Row],[EnvironmentSatisfaction]]=3,"Satisfied",
HRData[[#This Row],[EnvironmentSatisfaction]]=4,"Very Satisfied"
)</f>
        <v>Satisfied</v>
      </c>
      <c r="O59" t="s">
        <v>39</v>
      </c>
      <c r="P59">
        <v>30</v>
      </c>
      <c r="Q59">
        <v>3</v>
      </c>
      <c r="R59">
        <v>1</v>
      </c>
      <c r="S59" t="s">
        <v>50</v>
      </c>
      <c r="T59">
        <v>1</v>
      </c>
      <c r="U59" t="str" cm="1">
        <f t="array" ref="U59">_xlfn.IFS(
HRData[[#This Row],[JobSatisfaction]]=1,"Very Dissatisfied",
HRData[[#This Row],[JobSatisfaction]]=2,"Dissatisfied",
HRData[[#This Row],[JobSatisfaction]]=3,"Satisfied",
HRData[[#This Row],[JobSatisfaction]]=4,"Very Satisfied"
)</f>
        <v>Very Dissatisfied</v>
      </c>
      <c r="V59" t="s">
        <v>48</v>
      </c>
      <c r="W59">
        <v>4014</v>
      </c>
      <c r="X59" t="str" cm="1">
        <f t="array" ref="X59">_xlfn.IFS(
HRData[[#This Row],[MonthlyIncome]]&lt;=4000,"Very Low Income",
HRData[[#This Row],[MonthlyIncome]]&lt;=8000,"Low Income",
HRData[[#This Row],[MonthlyIncome]]&lt;=12000,"Moderate Income",
HRData[[#This Row],[MonthlyIncome]]&lt;=16000,"High Income",
HRData[[#This Row],[MonthlyIncome]]&gt;16000,"Very High Income"
)</f>
        <v>Low Income</v>
      </c>
      <c r="Y59">
        <v>16002</v>
      </c>
      <c r="Z59">
        <v>3</v>
      </c>
      <c r="AA59" t="s">
        <v>42</v>
      </c>
      <c r="AB59" t="s">
        <v>35</v>
      </c>
      <c r="AC59">
        <v>15</v>
      </c>
      <c r="AD59" t="str" cm="1">
        <f t="array" ref="AD59">_xlfn.IFS(HRData[[#This Row],[PercentSalaryHike]]&lt;=15,"11-15",HRData[[#This Row],[PercentSalaryHike]]&lt;=20,"16-20",HRData[[#This Row],[PercentSalaryHike]]&gt;=21,"21+")</f>
        <v>11-15</v>
      </c>
      <c r="AE59">
        <v>3</v>
      </c>
      <c r="AF59">
        <v>3</v>
      </c>
      <c r="AG59">
        <v>80</v>
      </c>
      <c r="AH59">
        <v>1</v>
      </c>
      <c r="AI59">
        <v>4</v>
      </c>
      <c r="AJ59">
        <v>3</v>
      </c>
      <c r="AK59">
        <v>3</v>
      </c>
      <c r="AL59">
        <v>2</v>
      </c>
      <c r="AM59">
        <v>2</v>
      </c>
      <c r="AN59">
        <v>2</v>
      </c>
      <c r="AO59">
        <v>2</v>
      </c>
      <c r="AP5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59" t="str">
        <f>IF(HRData[[#This Row],[Attrition]]="Yes","Left", IF(HRData[[#This Row],[Attrition_Risk_Score]]&gt;=6,"High",IF(HRData[[#This Row],[Attrition_Risk_Score]]&gt;=3,"Medium","Low")))</f>
        <v>High</v>
      </c>
      <c r="AR59">
        <f>IF(HRData[[#This Row],[Attrition_Risk_Level]]&lt;&gt;"High","",HRData[[#This Row],[Attrition_Risk_Score]]*10000-HRData[[#This Row],[EmployeeNumber]])</f>
        <v>59925</v>
      </c>
    </row>
    <row r="60" spans="1:44">
      <c r="A60">
        <v>31</v>
      </c>
      <c r="B60" t="str" cm="1">
        <f t="array" ref="B60">_xlfn.IFS(
HRData[[#This Row],[Age]]&lt;=24,"18-24",
HRData[[#This Row],[Age]]&lt;=34,"25-34",
HRData[[#This Row],[Age]]&lt;=44,"35-44",
HRData[[#This Row],[Age]]&lt;=54,"45-54",
HRData[[#This Row],[Age]]&gt;=55,"55+"
)</f>
        <v>25-34</v>
      </c>
      <c r="C60" t="s">
        <v>43</v>
      </c>
      <c r="D60">
        <f>IF(HRData[[#This Row],[Attrition]]="Yes",1,0)</f>
        <v>0</v>
      </c>
      <c r="E60" t="s">
        <v>36</v>
      </c>
      <c r="F60">
        <v>655</v>
      </c>
      <c r="G60" t="s">
        <v>45</v>
      </c>
      <c r="H60">
        <v>7</v>
      </c>
      <c r="I60">
        <v>4</v>
      </c>
      <c r="J60" t="s">
        <v>38</v>
      </c>
      <c r="K60">
        <v>1</v>
      </c>
      <c r="L60">
        <v>76</v>
      </c>
      <c r="M60">
        <v>4</v>
      </c>
      <c r="N60" t="str" cm="1">
        <f t="array" ref="N60">_xlfn.IFS(HRData[[#This Row],[EnvironmentSatisfaction]]=1,"Very Dissatisfied",
HRData[[#This Row],[EnvironmentSatisfaction]]=2,"Dissatisfied",
HRData[[#This Row],[EnvironmentSatisfaction]]=3,"Satisfied",
HRData[[#This Row],[EnvironmentSatisfaction]]=4,"Very Satisfied"
)</f>
        <v>Very Satisfied</v>
      </c>
      <c r="O60" t="s">
        <v>46</v>
      </c>
      <c r="P60">
        <v>48</v>
      </c>
      <c r="Q60">
        <v>3</v>
      </c>
      <c r="R60">
        <v>2</v>
      </c>
      <c r="S60" t="s">
        <v>50</v>
      </c>
      <c r="T60">
        <v>4</v>
      </c>
      <c r="U60" t="str" cm="1">
        <f t="array" ref="U60">_xlfn.IFS(
HRData[[#This Row],[JobSatisfaction]]=1,"Very Dissatisfied",
HRData[[#This Row],[JobSatisfaction]]=2,"Dissatisfied",
HRData[[#This Row],[JobSatisfaction]]=3,"Satisfied",
HRData[[#This Row],[JobSatisfaction]]=4,"Very Satisfied"
)</f>
        <v>Very Satisfied</v>
      </c>
      <c r="V60" t="s">
        <v>52</v>
      </c>
      <c r="W60">
        <v>5915</v>
      </c>
      <c r="X60" t="str" cm="1">
        <f t="array" ref="X60">_xlfn.IFS(
HRData[[#This Row],[MonthlyIncome]]&lt;=4000,"Very Low Income",
HRData[[#This Row],[MonthlyIncome]]&lt;=8000,"Low Income",
HRData[[#This Row],[MonthlyIncome]]&lt;=12000,"Moderate Income",
HRData[[#This Row],[MonthlyIncome]]&lt;=16000,"High Income",
HRData[[#This Row],[MonthlyIncome]]&gt;16000,"Very High Income"
)</f>
        <v>Low Income</v>
      </c>
      <c r="Y60">
        <v>9528</v>
      </c>
      <c r="Z60">
        <v>3</v>
      </c>
      <c r="AA60" t="s">
        <v>42</v>
      </c>
      <c r="AB60" t="s">
        <v>43</v>
      </c>
      <c r="AC60">
        <v>22</v>
      </c>
      <c r="AD60" t="str" cm="1">
        <f t="array" ref="AD60">_xlfn.IFS(HRData[[#This Row],[PercentSalaryHike]]&lt;=15,"11-15",HRData[[#This Row],[PercentSalaryHike]]&lt;=20,"16-20",HRData[[#This Row],[PercentSalaryHike]]&gt;=21,"21+")</f>
        <v>21+</v>
      </c>
      <c r="AE60">
        <v>4</v>
      </c>
      <c r="AF60">
        <v>4</v>
      </c>
      <c r="AG60">
        <v>80</v>
      </c>
      <c r="AH60">
        <v>1</v>
      </c>
      <c r="AI60">
        <v>10</v>
      </c>
      <c r="AJ60">
        <v>3</v>
      </c>
      <c r="AK60">
        <v>2</v>
      </c>
      <c r="AL60">
        <v>7</v>
      </c>
      <c r="AM60">
        <v>7</v>
      </c>
      <c r="AN60">
        <v>1</v>
      </c>
      <c r="AO60">
        <v>7</v>
      </c>
      <c r="AP6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0" t="str">
        <f>IF(HRData[[#This Row],[Attrition]]="Yes","Left", IF(HRData[[#This Row],[Attrition_Risk_Score]]&gt;=6,"High",IF(HRData[[#This Row],[Attrition_Risk_Score]]&gt;=3,"Medium","Low")))</f>
        <v>Medium</v>
      </c>
      <c r="AR60" t="str">
        <f>IF(HRData[[#This Row],[Attrition_Risk_Level]]&lt;&gt;"High","",HRData[[#This Row],[Attrition_Risk_Score]]*10000-HRData[[#This Row],[EmployeeNumber]])</f>
        <v/>
      </c>
    </row>
    <row r="61" spans="1:44">
      <c r="A61">
        <v>37</v>
      </c>
      <c r="B61" t="str" cm="1">
        <f t="array" ref="B61">_xlfn.IFS(
HRData[[#This Row],[Age]]&lt;=24,"18-24",
HRData[[#This Row],[Age]]&lt;=34,"25-34",
HRData[[#This Row],[Age]]&lt;=44,"35-44",
HRData[[#This Row],[Age]]&lt;=54,"45-54",
HRData[[#This Row],[Age]]&gt;=55,"55+"
)</f>
        <v>35-44</v>
      </c>
      <c r="C61" t="s">
        <v>43</v>
      </c>
      <c r="D61">
        <f>IF(HRData[[#This Row],[Attrition]]="Yes",1,0)</f>
        <v>0</v>
      </c>
      <c r="E61" t="s">
        <v>36</v>
      </c>
      <c r="F61">
        <v>1115</v>
      </c>
      <c r="G61" t="s">
        <v>45</v>
      </c>
      <c r="H61">
        <v>1</v>
      </c>
      <c r="I61">
        <v>4</v>
      </c>
      <c r="J61" t="s">
        <v>38</v>
      </c>
      <c r="K61">
        <v>1</v>
      </c>
      <c r="L61">
        <v>77</v>
      </c>
      <c r="M61">
        <v>1</v>
      </c>
      <c r="N61" t="str" cm="1">
        <f t="array" ref="N61">_xlfn.IFS(HRData[[#This Row],[EnvironmentSatisfaction]]=1,"Very Dissatisfied",
HRData[[#This Row],[EnvironmentSatisfaction]]=2,"Dissatisfied",
HRData[[#This Row],[EnvironmentSatisfaction]]=3,"Satisfied",
HRData[[#This Row],[EnvironmentSatisfaction]]=4,"Very Satisfied"
)</f>
        <v>Very Dissatisfied</v>
      </c>
      <c r="O61" t="s">
        <v>46</v>
      </c>
      <c r="P61">
        <v>51</v>
      </c>
      <c r="Q61">
        <v>2</v>
      </c>
      <c r="R61">
        <v>2</v>
      </c>
      <c r="S61" t="s">
        <v>53</v>
      </c>
      <c r="T61">
        <v>3</v>
      </c>
      <c r="U61" t="str" cm="1">
        <f t="array" ref="U61">_xlfn.IFS(
HRData[[#This Row],[JobSatisfaction]]=1,"Very Dissatisfied",
HRData[[#This Row],[JobSatisfaction]]=2,"Dissatisfied",
HRData[[#This Row],[JobSatisfaction]]=3,"Satisfied",
HRData[[#This Row],[JobSatisfaction]]=4,"Very Satisfied"
)</f>
        <v>Satisfied</v>
      </c>
      <c r="V61" t="s">
        <v>52</v>
      </c>
      <c r="W61">
        <v>5993</v>
      </c>
      <c r="X61" t="str" cm="1">
        <f t="array" ref="X61">_xlfn.IFS(
HRData[[#This Row],[MonthlyIncome]]&lt;=4000,"Very Low Income",
HRData[[#This Row],[MonthlyIncome]]&lt;=8000,"Low Income",
HRData[[#This Row],[MonthlyIncome]]&lt;=12000,"Moderate Income",
HRData[[#This Row],[MonthlyIncome]]&lt;=16000,"High Income",
HRData[[#This Row],[MonthlyIncome]]&gt;16000,"Very High Income"
)</f>
        <v>Low Income</v>
      </c>
      <c r="Y61">
        <v>2689</v>
      </c>
      <c r="Z61">
        <v>1</v>
      </c>
      <c r="AA61" t="s">
        <v>42</v>
      </c>
      <c r="AB61" t="s">
        <v>43</v>
      </c>
      <c r="AC61">
        <v>18</v>
      </c>
      <c r="AD61" t="str" cm="1">
        <f t="array" ref="AD61">_xlfn.IFS(HRData[[#This Row],[PercentSalaryHike]]&lt;=15,"11-15",HRData[[#This Row],[PercentSalaryHike]]&lt;=20,"16-20",HRData[[#This Row],[PercentSalaryHike]]&gt;=21,"21+")</f>
        <v>16-20</v>
      </c>
      <c r="AE61">
        <v>3</v>
      </c>
      <c r="AF61">
        <v>3</v>
      </c>
      <c r="AG61">
        <v>80</v>
      </c>
      <c r="AH61">
        <v>1</v>
      </c>
      <c r="AI61">
        <v>7</v>
      </c>
      <c r="AJ61">
        <v>2</v>
      </c>
      <c r="AK61">
        <v>4</v>
      </c>
      <c r="AL61">
        <v>7</v>
      </c>
      <c r="AM61">
        <v>5</v>
      </c>
      <c r="AN61">
        <v>0</v>
      </c>
      <c r="AO61">
        <v>7</v>
      </c>
      <c r="AP6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61" t="str">
        <f>IF(HRData[[#This Row],[Attrition]]="Yes","Left", IF(HRData[[#This Row],[Attrition_Risk_Score]]&gt;=6,"High",IF(HRData[[#This Row],[Attrition_Risk_Score]]&gt;=3,"Medium","Low")))</f>
        <v>Low</v>
      </c>
      <c r="AR61" t="str">
        <f>IF(HRData[[#This Row],[Attrition_Risk_Level]]&lt;&gt;"High","",HRData[[#This Row],[Attrition_Risk_Score]]*10000-HRData[[#This Row],[EmployeeNumber]])</f>
        <v/>
      </c>
    </row>
    <row r="62" spans="1:44">
      <c r="A62">
        <v>32</v>
      </c>
      <c r="B62" t="str" cm="1">
        <f t="array" ref="B62">_xlfn.IFS(
HRData[[#This Row],[Age]]&lt;=24,"18-24",
HRData[[#This Row],[Age]]&lt;=34,"25-34",
HRData[[#This Row],[Age]]&lt;=44,"35-44",
HRData[[#This Row],[Age]]&lt;=54,"45-54",
HRData[[#This Row],[Age]]&gt;=55,"55+"
)</f>
        <v>25-34</v>
      </c>
      <c r="C62" t="s">
        <v>43</v>
      </c>
      <c r="D62">
        <f>IF(HRData[[#This Row],[Attrition]]="Yes",1,0)</f>
        <v>0</v>
      </c>
      <c r="E62" t="s">
        <v>36</v>
      </c>
      <c r="F62">
        <v>427</v>
      </c>
      <c r="G62" t="s">
        <v>45</v>
      </c>
      <c r="H62">
        <v>1</v>
      </c>
      <c r="I62">
        <v>3</v>
      </c>
      <c r="J62" t="s">
        <v>51</v>
      </c>
      <c r="K62">
        <v>1</v>
      </c>
      <c r="L62">
        <v>78</v>
      </c>
      <c r="M62">
        <v>1</v>
      </c>
      <c r="N62" t="str" cm="1">
        <f t="array" ref="N62">_xlfn.IFS(HRData[[#This Row],[EnvironmentSatisfaction]]=1,"Very Dissatisfied",
HRData[[#This Row],[EnvironmentSatisfaction]]=2,"Dissatisfied",
HRData[[#This Row],[EnvironmentSatisfaction]]=3,"Satisfied",
HRData[[#This Row],[EnvironmentSatisfaction]]=4,"Very Satisfied"
)</f>
        <v>Very Dissatisfied</v>
      </c>
      <c r="O62" t="s">
        <v>46</v>
      </c>
      <c r="P62">
        <v>33</v>
      </c>
      <c r="Q62">
        <v>3</v>
      </c>
      <c r="R62">
        <v>2</v>
      </c>
      <c r="S62" t="s">
        <v>53</v>
      </c>
      <c r="T62">
        <v>4</v>
      </c>
      <c r="U62" t="str" cm="1">
        <f t="array" ref="U62">_xlfn.IFS(
HRData[[#This Row],[JobSatisfaction]]=1,"Very Dissatisfied",
HRData[[#This Row],[JobSatisfaction]]=2,"Dissatisfied",
HRData[[#This Row],[JobSatisfaction]]=3,"Satisfied",
HRData[[#This Row],[JobSatisfaction]]=4,"Very Satisfied"
)</f>
        <v>Very Satisfied</v>
      </c>
      <c r="V62" t="s">
        <v>48</v>
      </c>
      <c r="W62">
        <v>6162</v>
      </c>
      <c r="X62" t="str" cm="1">
        <f t="array" ref="X62">_xlfn.IFS(
HRData[[#This Row],[MonthlyIncome]]&lt;=4000,"Very Low Income",
HRData[[#This Row],[MonthlyIncome]]&lt;=8000,"Low Income",
HRData[[#This Row],[MonthlyIncome]]&lt;=12000,"Moderate Income",
HRData[[#This Row],[MonthlyIncome]]&lt;=16000,"High Income",
HRData[[#This Row],[MonthlyIncome]]&gt;16000,"Very High Income"
)</f>
        <v>Low Income</v>
      </c>
      <c r="Y62">
        <v>10877</v>
      </c>
      <c r="Z62">
        <v>1</v>
      </c>
      <c r="AA62" t="s">
        <v>42</v>
      </c>
      <c r="AB62" t="s">
        <v>35</v>
      </c>
      <c r="AC62">
        <v>22</v>
      </c>
      <c r="AD62" t="str" cm="1">
        <f t="array" ref="AD62">_xlfn.IFS(HRData[[#This Row],[PercentSalaryHike]]&lt;=15,"11-15",HRData[[#This Row],[PercentSalaryHike]]&lt;=20,"16-20",HRData[[#This Row],[PercentSalaryHike]]&gt;=21,"21+")</f>
        <v>21+</v>
      </c>
      <c r="AE62">
        <v>4</v>
      </c>
      <c r="AF62">
        <v>2</v>
      </c>
      <c r="AG62">
        <v>80</v>
      </c>
      <c r="AH62">
        <v>1</v>
      </c>
      <c r="AI62">
        <v>9</v>
      </c>
      <c r="AJ62">
        <v>3</v>
      </c>
      <c r="AK62">
        <v>3</v>
      </c>
      <c r="AL62">
        <v>9</v>
      </c>
      <c r="AM62">
        <v>8</v>
      </c>
      <c r="AN62">
        <v>7</v>
      </c>
      <c r="AO62">
        <v>8</v>
      </c>
      <c r="AP6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2" t="str">
        <f>IF(HRData[[#This Row],[Attrition]]="Yes","Left", IF(HRData[[#This Row],[Attrition_Risk_Score]]&gt;=6,"High",IF(HRData[[#This Row],[Attrition_Risk_Score]]&gt;=3,"Medium","Low")))</f>
        <v>Medium</v>
      </c>
      <c r="AR62" t="str">
        <f>IF(HRData[[#This Row],[Attrition_Risk_Level]]&lt;&gt;"High","",HRData[[#This Row],[Attrition_Risk_Score]]*10000-HRData[[#This Row],[EmployeeNumber]])</f>
        <v/>
      </c>
    </row>
    <row r="63" spans="1:44">
      <c r="A63">
        <v>38</v>
      </c>
      <c r="B63" t="str" cm="1">
        <f t="array" ref="B63">_xlfn.IFS(
HRData[[#This Row],[Age]]&lt;=24,"18-24",
HRData[[#This Row],[Age]]&lt;=34,"25-34",
HRData[[#This Row],[Age]]&lt;=44,"35-44",
HRData[[#This Row],[Age]]&lt;=54,"45-54",
HRData[[#This Row],[Age]]&gt;=55,"55+"
)</f>
        <v>35-44</v>
      </c>
      <c r="C63" t="s">
        <v>43</v>
      </c>
      <c r="D63">
        <f>IF(HRData[[#This Row],[Attrition]]="Yes",1,0)</f>
        <v>0</v>
      </c>
      <c r="E63" t="s">
        <v>44</v>
      </c>
      <c r="F63">
        <v>653</v>
      </c>
      <c r="G63" t="s">
        <v>45</v>
      </c>
      <c r="H63">
        <v>29</v>
      </c>
      <c r="I63">
        <v>5</v>
      </c>
      <c r="J63" t="s">
        <v>38</v>
      </c>
      <c r="K63">
        <v>1</v>
      </c>
      <c r="L63">
        <v>79</v>
      </c>
      <c r="M63">
        <v>4</v>
      </c>
      <c r="N63" t="str" cm="1">
        <f t="array" ref="N63">_xlfn.IFS(HRData[[#This Row],[EnvironmentSatisfaction]]=1,"Very Dissatisfied",
HRData[[#This Row],[EnvironmentSatisfaction]]=2,"Dissatisfied",
HRData[[#This Row],[EnvironmentSatisfaction]]=3,"Satisfied",
HRData[[#This Row],[EnvironmentSatisfaction]]=4,"Very Satisfied"
)</f>
        <v>Very Satisfied</v>
      </c>
      <c r="O63" t="s">
        <v>39</v>
      </c>
      <c r="P63">
        <v>50</v>
      </c>
      <c r="Q63">
        <v>3</v>
      </c>
      <c r="R63">
        <v>2</v>
      </c>
      <c r="S63" t="s">
        <v>50</v>
      </c>
      <c r="T63">
        <v>4</v>
      </c>
      <c r="U63" t="str" cm="1">
        <f t="array" ref="U63">_xlfn.IFS(
HRData[[#This Row],[JobSatisfaction]]=1,"Very Dissatisfied",
HRData[[#This Row],[JobSatisfaction]]=2,"Dissatisfied",
HRData[[#This Row],[JobSatisfaction]]=3,"Satisfied",
HRData[[#This Row],[JobSatisfaction]]=4,"Very Satisfied"
)</f>
        <v>Very Satisfied</v>
      </c>
      <c r="V63" t="s">
        <v>41</v>
      </c>
      <c r="W63">
        <v>2406</v>
      </c>
      <c r="X63" t="str" cm="1">
        <f t="array" ref="X63">_xlfn.IFS(
HRData[[#This Row],[MonthlyIncome]]&lt;=4000,"Very Low Income",
HRData[[#This Row],[MonthlyIncome]]&lt;=8000,"Low Income",
HRData[[#This Row],[MonthlyIncome]]&lt;=12000,"Moderate Income",
HRData[[#This Row],[MonthlyIncome]]&lt;=16000,"High Income",
HRData[[#This Row],[MonthlyIncome]]&gt;16000,"Very High Income"
)</f>
        <v>Very Low Income</v>
      </c>
      <c r="Y63">
        <v>5456</v>
      </c>
      <c r="Z63">
        <v>1</v>
      </c>
      <c r="AA63" t="s">
        <v>42</v>
      </c>
      <c r="AB63" t="s">
        <v>43</v>
      </c>
      <c r="AC63">
        <v>11</v>
      </c>
      <c r="AD63" t="str" cm="1">
        <f t="array" ref="AD63">_xlfn.IFS(HRData[[#This Row],[PercentSalaryHike]]&lt;=15,"11-15",HRData[[#This Row],[PercentSalaryHike]]&lt;=20,"16-20",HRData[[#This Row],[PercentSalaryHike]]&gt;=21,"21+")</f>
        <v>11-15</v>
      </c>
      <c r="AE63">
        <v>3</v>
      </c>
      <c r="AF63">
        <v>4</v>
      </c>
      <c r="AG63">
        <v>80</v>
      </c>
      <c r="AH63">
        <v>0</v>
      </c>
      <c r="AI63">
        <v>10</v>
      </c>
      <c r="AJ63">
        <v>2</v>
      </c>
      <c r="AK63">
        <v>3</v>
      </c>
      <c r="AL63">
        <v>10</v>
      </c>
      <c r="AM63">
        <v>3</v>
      </c>
      <c r="AN63">
        <v>9</v>
      </c>
      <c r="AO63">
        <v>9</v>
      </c>
      <c r="AP6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3" t="str">
        <f>IF(HRData[[#This Row],[Attrition]]="Yes","Left", IF(HRData[[#This Row],[Attrition_Risk_Score]]&gt;=6,"High",IF(HRData[[#This Row],[Attrition_Risk_Score]]&gt;=3,"Medium","Low")))</f>
        <v>Medium</v>
      </c>
      <c r="AR63" t="str">
        <f>IF(HRData[[#This Row],[Attrition_Risk_Level]]&lt;&gt;"High","",HRData[[#This Row],[Attrition_Risk_Score]]*10000-HRData[[#This Row],[EmployeeNumber]])</f>
        <v/>
      </c>
    </row>
    <row r="64" spans="1:44">
      <c r="A64">
        <v>50</v>
      </c>
      <c r="B64" t="str" cm="1">
        <f t="array" ref="B64">_xlfn.IFS(
HRData[[#This Row],[Age]]&lt;=24,"18-24",
HRData[[#This Row],[Age]]&lt;=34,"25-34",
HRData[[#This Row],[Age]]&lt;=44,"35-44",
HRData[[#This Row],[Age]]&lt;=54,"45-54",
HRData[[#This Row],[Age]]&gt;=55,"55+"
)</f>
        <v>45-54</v>
      </c>
      <c r="C64" t="s">
        <v>43</v>
      </c>
      <c r="D64">
        <f>IF(HRData[[#This Row],[Attrition]]="Yes",1,0)</f>
        <v>0</v>
      </c>
      <c r="E64" t="s">
        <v>36</v>
      </c>
      <c r="F64">
        <v>989</v>
      </c>
      <c r="G64" t="s">
        <v>45</v>
      </c>
      <c r="H64">
        <v>7</v>
      </c>
      <c r="I64">
        <v>2</v>
      </c>
      <c r="J64" t="s">
        <v>51</v>
      </c>
      <c r="K64">
        <v>1</v>
      </c>
      <c r="L64">
        <v>80</v>
      </c>
      <c r="M64">
        <v>2</v>
      </c>
      <c r="N64" t="str" cm="1">
        <f t="array" ref="N64">_xlfn.IFS(HRData[[#This Row],[EnvironmentSatisfaction]]=1,"Very Dissatisfied",
HRData[[#This Row],[EnvironmentSatisfaction]]=2,"Dissatisfied",
HRData[[#This Row],[EnvironmentSatisfaction]]=3,"Satisfied",
HRData[[#This Row],[EnvironmentSatisfaction]]=4,"Very Satisfied"
)</f>
        <v>Dissatisfied</v>
      </c>
      <c r="O64" t="s">
        <v>39</v>
      </c>
      <c r="P64">
        <v>43</v>
      </c>
      <c r="Q64">
        <v>2</v>
      </c>
      <c r="R64">
        <v>5</v>
      </c>
      <c r="S64" t="s">
        <v>58</v>
      </c>
      <c r="T64">
        <v>3</v>
      </c>
      <c r="U64" t="str" cm="1">
        <f t="array" ref="U64">_xlfn.IFS(
HRData[[#This Row],[JobSatisfaction]]=1,"Very Dissatisfied",
HRData[[#This Row],[JobSatisfaction]]=2,"Dissatisfied",
HRData[[#This Row],[JobSatisfaction]]=3,"Satisfied",
HRData[[#This Row],[JobSatisfaction]]=4,"Very Satisfied"
)</f>
        <v>Satisfied</v>
      </c>
      <c r="V64" t="s">
        <v>52</v>
      </c>
      <c r="W64">
        <v>18740</v>
      </c>
      <c r="X64" t="str" cm="1">
        <f t="array" ref="X64">_xlfn.IFS(
HRData[[#This Row],[MonthlyIncome]]&lt;=4000,"Very Low Income",
HRData[[#This Row],[MonthlyIncome]]&lt;=8000,"Low Income",
HRData[[#This Row],[MonthlyIncome]]&lt;=12000,"Moderate Income",
HRData[[#This Row],[MonthlyIncome]]&lt;=16000,"High Income",
HRData[[#This Row],[MonthlyIncome]]&gt;16000,"Very High Income"
)</f>
        <v>Very High Income</v>
      </c>
      <c r="Y64">
        <v>16701</v>
      </c>
      <c r="Z64">
        <v>5</v>
      </c>
      <c r="AA64" t="s">
        <v>42</v>
      </c>
      <c r="AB64" t="s">
        <v>35</v>
      </c>
      <c r="AC64">
        <v>12</v>
      </c>
      <c r="AD64" t="str" cm="1">
        <f t="array" ref="AD64">_xlfn.IFS(HRData[[#This Row],[PercentSalaryHike]]&lt;=15,"11-15",HRData[[#This Row],[PercentSalaryHike]]&lt;=20,"16-20",HRData[[#This Row],[PercentSalaryHike]]&gt;=21,"21+")</f>
        <v>11-15</v>
      </c>
      <c r="AE64">
        <v>3</v>
      </c>
      <c r="AF64">
        <v>4</v>
      </c>
      <c r="AG64">
        <v>80</v>
      </c>
      <c r="AH64">
        <v>1</v>
      </c>
      <c r="AI64">
        <v>29</v>
      </c>
      <c r="AJ64">
        <v>2</v>
      </c>
      <c r="AK64">
        <v>2</v>
      </c>
      <c r="AL64">
        <v>27</v>
      </c>
      <c r="AM64">
        <v>3</v>
      </c>
      <c r="AN64">
        <v>13</v>
      </c>
      <c r="AO64">
        <v>8</v>
      </c>
      <c r="AP6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4" t="str">
        <f>IF(HRData[[#This Row],[Attrition]]="Yes","Left", IF(HRData[[#This Row],[Attrition_Risk_Score]]&gt;=6,"High",IF(HRData[[#This Row],[Attrition_Risk_Score]]&gt;=3,"Medium","Low")))</f>
        <v>Low</v>
      </c>
      <c r="AR64" t="str">
        <f>IF(HRData[[#This Row],[Attrition_Risk_Level]]&lt;&gt;"High","",HRData[[#This Row],[Attrition_Risk_Score]]*10000-HRData[[#This Row],[EmployeeNumber]])</f>
        <v/>
      </c>
    </row>
    <row r="65" spans="1:44">
      <c r="A65">
        <v>59</v>
      </c>
      <c r="B65" t="str" cm="1">
        <f t="array" ref="B65">_xlfn.IFS(
HRData[[#This Row],[Age]]&lt;=24,"18-24",
HRData[[#This Row],[Age]]&lt;=34,"25-34",
HRData[[#This Row],[Age]]&lt;=44,"35-44",
HRData[[#This Row],[Age]]&lt;=54,"45-54",
HRData[[#This Row],[Age]]&gt;=55,"55+"
)</f>
        <v>55+</v>
      </c>
      <c r="C65" t="s">
        <v>43</v>
      </c>
      <c r="D65">
        <f>IF(HRData[[#This Row],[Attrition]]="Yes",1,0)</f>
        <v>0</v>
      </c>
      <c r="E65" t="s">
        <v>36</v>
      </c>
      <c r="F65">
        <v>1435</v>
      </c>
      <c r="G65" t="s">
        <v>37</v>
      </c>
      <c r="H65">
        <v>25</v>
      </c>
      <c r="I65">
        <v>3</v>
      </c>
      <c r="J65" t="s">
        <v>38</v>
      </c>
      <c r="K65">
        <v>1</v>
      </c>
      <c r="L65">
        <v>81</v>
      </c>
      <c r="M65">
        <v>1</v>
      </c>
      <c r="N65" t="str" cm="1">
        <f t="array" ref="N65">_xlfn.IFS(HRData[[#This Row],[EnvironmentSatisfaction]]=1,"Very Dissatisfied",
HRData[[#This Row],[EnvironmentSatisfaction]]=2,"Dissatisfied",
HRData[[#This Row],[EnvironmentSatisfaction]]=3,"Satisfied",
HRData[[#This Row],[EnvironmentSatisfaction]]=4,"Very Satisfied"
)</f>
        <v>Very Dissatisfied</v>
      </c>
      <c r="O65" t="s">
        <v>39</v>
      </c>
      <c r="P65">
        <v>99</v>
      </c>
      <c r="Q65">
        <v>3</v>
      </c>
      <c r="R65">
        <v>3</v>
      </c>
      <c r="S65" t="s">
        <v>40</v>
      </c>
      <c r="T65">
        <v>1</v>
      </c>
      <c r="U65" t="str" cm="1">
        <f t="array" ref="U65">_xlfn.IFS(
HRData[[#This Row],[JobSatisfaction]]=1,"Very Dissatisfied",
HRData[[#This Row],[JobSatisfaction]]=2,"Dissatisfied",
HRData[[#This Row],[JobSatisfaction]]=3,"Satisfied",
HRData[[#This Row],[JobSatisfaction]]=4,"Very Satisfied"
)</f>
        <v>Very Dissatisfied</v>
      </c>
      <c r="V65" t="s">
        <v>41</v>
      </c>
      <c r="W65">
        <v>7637</v>
      </c>
      <c r="X65" t="str" cm="1">
        <f t="array" ref="X65">_xlfn.IFS(
HRData[[#This Row],[MonthlyIncome]]&lt;=4000,"Very Low Income",
HRData[[#This Row],[MonthlyIncome]]&lt;=8000,"Low Income",
HRData[[#This Row],[MonthlyIncome]]&lt;=12000,"Moderate Income",
HRData[[#This Row],[MonthlyIncome]]&lt;=16000,"High Income",
HRData[[#This Row],[MonthlyIncome]]&gt;16000,"Very High Income"
)</f>
        <v>Low Income</v>
      </c>
      <c r="Y65">
        <v>2354</v>
      </c>
      <c r="Z65">
        <v>7</v>
      </c>
      <c r="AA65" t="s">
        <v>42</v>
      </c>
      <c r="AB65" t="s">
        <v>43</v>
      </c>
      <c r="AC65">
        <v>11</v>
      </c>
      <c r="AD65" t="str" cm="1">
        <f t="array" ref="AD65">_xlfn.IFS(HRData[[#This Row],[PercentSalaryHike]]&lt;=15,"11-15",HRData[[#This Row],[PercentSalaryHike]]&lt;=20,"16-20",HRData[[#This Row],[PercentSalaryHike]]&gt;=21,"21+")</f>
        <v>11-15</v>
      </c>
      <c r="AE65">
        <v>3</v>
      </c>
      <c r="AF65">
        <v>4</v>
      </c>
      <c r="AG65">
        <v>80</v>
      </c>
      <c r="AH65">
        <v>0</v>
      </c>
      <c r="AI65">
        <v>28</v>
      </c>
      <c r="AJ65">
        <v>3</v>
      </c>
      <c r="AK65">
        <v>2</v>
      </c>
      <c r="AL65">
        <v>21</v>
      </c>
      <c r="AM65">
        <v>16</v>
      </c>
      <c r="AN65">
        <v>7</v>
      </c>
      <c r="AO65">
        <v>9</v>
      </c>
      <c r="AP6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5" t="str">
        <f>IF(HRData[[#This Row],[Attrition]]="Yes","Left", IF(HRData[[#This Row],[Attrition_Risk_Score]]&gt;=6,"High",IF(HRData[[#This Row],[Attrition_Risk_Score]]&gt;=3,"Medium","Low")))</f>
        <v>Medium</v>
      </c>
      <c r="AR65" t="str">
        <f>IF(HRData[[#This Row],[Attrition_Risk_Level]]&lt;&gt;"High","",HRData[[#This Row],[Attrition_Risk_Score]]*10000-HRData[[#This Row],[EmployeeNumber]])</f>
        <v/>
      </c>
    </row>
    <row r="66" spans="1:44">
      <c r="A66">
        <v>36</v>
      </c>
      <c r="B66" t="str" cm="1">
        <f t="array" ref="B66">_xlfn.IFS(
HRData[[#This Row],[Age]]&lt;=24,"18-24",
HRData[[#This Row],[Age]]&lt;=34,"25-34",
HRData[[#This Row],[Age]]&lt;=44,"35-44",
HRData[[#This Row],[Age]]&lt;=54,"45-54",
HRData[[#This Row],[Age]]&gt;=55,"55+"
)</f>
        <v>35-44</v>
      </c>
      <c r="C66" t="s">
        <v>43</v>
      </c>
      <c r="D66">
        <f>IF(HRData[[#This Row],[Attrition]]="Yes",1,0)</f>
        <v>0</v>
      </c>
      <c r="E66" t="s">
        <v>36</v>
      </c>
      <c r="F66">
        <v>1223</v>
      </c>
      <c r="G66" t="s">
        <v>45</v>
      </c>
      <c r="H66">
        <v>8</v>
      </c>
      <c r="I66">
        <v>3</v>
      </c>
      <c r="J66" t="s">
        <v>60</v>
      </c>
      <c r="K66">
        <v>1</v>
      </c>
      <c r="L66">
        <v>83</v>
      </c>
      <c r="M66">
        <v>3</v>
      </c>
      <c r="N66" t="str" cm="1">
        <f t="array" ref="N66">_xlfn.IFS(HRData[[#This Row],[EnvironmentSatisfaction]]=1,"Very Dissatisfied",
HRData[[#This Row],[EnvironmentSatisfaction]]=2,"Dissatisfied",
HRData[[#This Row],[EnvironmentSatisfaction]]=3,"Satisfied",
HRData[[#This Row],[EnvironmentSatisfaction]]=4,"Very Satisfied"
)</f>
        <v>Satisfied</v>
      </c>
      <c r="O66" t="s">
        <v>39</v>
      </c>
      <c r="P66">
        <v>59</v>
      </c>
      <c r="Q66">
        <v>3</v>
      </c>
      <c r="R66">
        <v>3</v>
      </c>
      <c r="S66" t="s">
        <v>54</v>
      </c>
      <c r="T66">
        <v>3</v>
      </c>
      <c r="U66" t="str" cm="1">
        <f t="array" ref="U66">_xlfn.IFS(
HRData[[#This Row],[JobSatisfaction]]=1,"Very Dissatisfied",
HRData[[#This Row],[JobSatisfaction]]=2,"Dissatisfied",
HRData[[#This Row],[JobSatisfaction]]=3,"Satisfied",
HRData[[#This Row],[JobSatisfaction]]=4,"Very Satisfied"
)</f>
        <v>Satisfied</v>
      </c>
      <c r="V66" t="s">
        <v>52</v>
      </c>
      <c r="W66">
        <v>10096</v>
      </c>
      <c r="X66" t="str" cm="1">
        <f t="array" ref="X66">_xlfn.IFS(
HRData[[#This Row],[MonthlyIncome]]&lt;=4000,"Very Low Income",
HRData[[#This Row],[MonthlyIncome]]&lt;=8000,"Low Income",
HRData[[#This Row],[MonthlyIncome]]&lt;=12000,"Moderate Income",
HRData[[#This Row],[MonthlyIncome]]&lt;=16000,"High Income",
HRData[[#This Row],[MonthlyIncome]]&gt;16000,"Very High Income"
)</f>
        <v>Moderate Income</v>
      </c>
      <c r="Y66">
        <v>8202</v>
      </c>
      <c r="Z66">
        <v>1</v>
      </c>
      <c r="AA66" t="s">
        <v>42</v>
      </c>
      <c r="AB66" t="s">
        <v>43</v>
      </c>
      <c r="AC66">
        <v>13</v>
      </c>
      <c r="AD66" t="str" cm="1">
        <f t="array" ref="AD66">_xlfn.IFS(HRData[[#This Row],[PercentSalaryHike]]&lt;=15,"11-15",HRData[[#This Row],[PercentSalaryHike]]&lt;=20,"16-20",HRData[[#This Row],[PercentSalaryHike]]&gt;=21,"21+")</f>
        <v>11-15</v>
      </c>
      <c r="AE66">
        <v>3</v>
      </c>
      <c r="AF66">
        <v>2</v>
      </c>
      <c r="AG66">
        <v>80</v>
      </c>
      <c r="AH66">
        <v>3</v>
      </c>
      <c r="AI66">
        <v>17</v>
      </c>
      <c r="AJ66">
        <v>2</v>
      </c>
      <c r="AK66">
        <v>3</v>
      </c>
      <c r="AL66">
        <v>17</v>
      </c>
      <c r="AM66">
        <v>14</v>
      </c>
      <c r="AN66">
        <v>12</v>
      </c>
      <c r="AO66">
        <v>8</v>
      </c>
      <c r="AP6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66" t="str">
        <f>IF(HRData[[#This Row],[Attrition]]="Yes","Left", IF(HRData[[#This Row],[Attrition_Risk_Score]]&gt;=6,"High",IF(HRData[[#This Row],[Attrition_Risk_Score]]&gt;=3,"Medium","Low")))</f>
        <v>Low</v>
      </c>
      <c r="AR66" t="str">
        <f>IF(HRData[[#This Row],[Attrition_Risk_Level]]&lt;&gt;"High","",HRData[[#This Row],[Attrition_Risk_Score]]*10000-HRData[[#This Row],[EmployeeNumber]])</f>
        <v/>
      </c>
    </row>
    <row r="67" spans="1:44">
      <c r="A67">
        <v>55</v>
      </c>
      <c r="B67" t="str" cm="1">
        <f t="array" ref="B67">_xlfn.IFS(
HRData[[#This Row],[Age]]&lt;=24,"18-24",
HRData[[#This Row],[Age]]&lt;=34,"25-34",
HRData[[#This Row],[Age]]&lt;=44,"35-44",
HRData[[#This Row],[Age]]&lt;=54,"45-54",
HRData[[#This Row],[Age]]&gt;=55,"55+"
)</f>
        <v>55+</v>
      </c>
      <c r="C67" t="s">
        <v>43</v>
      </c>
      <c r="D67">
        <f>IF(HRData[[#This Row],[Attrition]]="Yes",1,0)</f>
        <v>0</v>
      </c>
      <c r="E67" t="s">
        <v>36</v>
      </c>
      <c r="F67">
        <v>836</v>
      </c>
      <c r="G67" t="s">
        <v>45</v>
      </c>
      <c r="H67">
        <v>8</v>
      </c>
      <c r="I67">
        <v>3</v>
      </c>
      <c r="J67" t="s">
        <v>51</v>
      </c>
      <c r="K67">
        <v>1</v>
      </c>
      <c r="L67">
        <v>84</v>
      </c>
      <c r="M67">
        <v>4</v>
      </c>
      <c r="N67" t="str" cm="1">
        <f t="array" ref="N67">_xlfn.IFS(HRData[[#This Row],[EnvironmentSatisfaction]]=1,"Very Dissatisfied",
HRData[[#This Row],[EnvironmentSatisfaction]]=2,"Dissatisfied",
HRData[[#This Row],[EnvironmentSatisfaction]]=3,"Satisfied",
HRData[[#This Row],[EnvironmentSatisfaction]]=4,"Very Satisfied"
)</f>
        <v>Very Satisfied</v>
      </c>
      <c r="O67" t="s">
        <v>39</v>
      </c>
      <c r="P67">
        <v>33</v>
      </c>
      <c r="Q67">
        <v>3</v>
      </c>
      <c r="R67">
        <v>4</v>
      </c>
      <c r="S67" t="s">
        <v>56</v>
      </c>
      <c r="T67">
        <v>3</v>
      </c>
      <c r="U67" t="str" cm="1">
        <f t="array" ref="U67">_xlfn.IFS(
HRData[[#This Row],[JobSatisfaction]]=1,"Very Dissatisfied",
HRData[[#This Row],[JobSatisfaction]]=2,"Dissatisfied",
HRData[[#This Row],[JobSatisfaction]]=3,"Satisfied",
HRData[[#This Row],[JobSatisfaction]]=4,"Very Satisfied"
)</f>
        <v>Satisfied</v>
      </c>
      <c r="V67" t="s">
        <v>52</v>
      </c>
      <c r="W67">
        <v>14756</v>
      </c>
      <c r="X67" t="str" cm="1">
        <f t="array" ref="X67">_xlfn.IFS(
HRData[[#This Row],[MonthlyIncome]]&lt;=4000,"Very Low Income",
HRData[[#This Row],[MonthlyIncome]]&lt;=8000,"Low Income",
HRData[[#This Row],[MonthlyIncome]]&lt;=12000,"Moderate Income",
HRData[[#This Row],[MonthlyIncome]]&lt;=16000,"High Income",
HRData[[#This Row],[MonthlyIncome]]&gt;16000,"Very High Income"
)</f>
        <v>High Income</v>
      </c>
      <c r="Y67">
        <v>19730</v>
      </c>
      <c r="Z67">
        <v>2</v>
      </c>
      <c r="AA67" t="s">
        <v>42</v>
      </c>
      <c r="AB67" t="s">
        <v>35</v>
      </c>
      <c r="AC67">
        <v>14</v>
      </c>
      <c r="AD67" t="str" cm="1">
        <f t="array" ref="AD67">_xlfn.IFS(HRData[[#This Row],[PercentSalaryHike]]&lt;=15,"11-15",HRData[[#This Row],[PercentSalaryHike]]&lt;=20,"16-20",HRData[[#This Row],[PercentSalaryHike]]&gt;=21,"21+")</f>
        <v>11-15</v>
      </c>
      <c r="AE67">
        <v>3</v>
      </c>
      <c r="AF67">
        <v>3</v>
      </c>
      <c r="AG67">
        <v>80</v>
      </c>
      <c r="AH67">
        <v>3</v>
      </c>
      <c r="AI67">
        <v>21</v>
      </c>
      <c r="AJ67">
        <v>2</v>
      </c>
      <c r="AK67">
        <v>3</v>
      </c>
      <c r="AL67">
        <v>5</v>
      </c>
      <c r="AM67">
        <v>0</v>
      </c>
      <c r="AN67">
        <v>0</v>
      </c>
      <c r="AO67">
        <v>2</v>
      </c>
      <c r="AP6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7" t="str">
        <f>IF(HRData[[#This Row],[Attrition]]="Yes","Left", IF(HRData[[#This Row],[Attrition_Risk_Score]]&gt;=6,"High",IF(HRData[[#This Row],[Attrition_Risk_Score]]&gt;=3,"Medium","Low")))</f>
        <v>Low</v>
      </c>
      <c r="AR67" t="str">
        <f>IF(HRData[[#This Row],[Attrition_Risk_Level]]&lt;&gt;"High","",HRData[[#This Row],[Attrition_Risk_Score]]*10000-HRData[[#This Row],[EmployeeNumber]])</f>
        <v/>
      </c>
    </row>
    <row r="68" spans="1:44">
      <c r="A68">
        <v>36</v>
      </c>
      <c r="B68" t="str" cm="1">
        <f t="array" ref="B68">_xlfn.IFS(
HRData[[#This Row],[Age]]&lt;=24,"18-24",
HRData[[#This Row],[Age]]&lt;=34,"25-34",
HRData[[#This Row],[Age]]&lt;=44,"35-44",
HRData[[#This Row],[Age]]&lt;=54,"45-54",
HRData[[#This Row],[Age]]&gt;=55,"55+"
)</f>
        <v>35-44</v>
      </c>
      <c r="C68" t="s">
        <v>43</v>
      </c>
      <c r="D68">
        <f>IF(HRData[[#This Row],[Attrition]]="Yes",1,0)</f>
        <v>0</v>
      </c>
      <c r="E68" t="s">
        <v>44</v>
      </c>
      <c r="F68">
        <v>1195</v>
      </c>
      <c r="G68" t="s">
        <v>45</v>
      </c>
      <c r="H68">
        <v>11</v>
      </c>
      <c r="I68">
        <v>3</v>
      </c>
      <c r="J68" t="s">
        <v>38</v>
      </c>
      <c r="K68">
        <v>1</v>
      </c>
      <c r="L68">
        <v>85</v>
      </c>
      <c r="M68">
        <v>2</v>
      </c>
      <c r="N68" t="str" cm="1">
        <f t="array" ref="N68">_xlfn.IFS(HRData[[#This Row],[EnvironmentSatisfaction]]=1,"Very Dissatisfied",
HRData[[#This Row],[EnvironmentSatisfaction]]=2,"Dissatisfied",
HRData[[#This Row],[EnvironmentSatisfaction]]=3,"Satisfied",
HRData[[#This Row],[EnvironmentSatisfaction]]=4,"Very Satisfied"
)</f>
        <v>Dissatisfied</v>
      </c>
      <c r="O68" t="s">
        <v>46</v>
      </c>
      <c r="P68">
        <v>95</v>
      </c>
      <c r="Q68">
        <v>2</v>
      </c>
      <c r="R68">
        <v>2</v>
      </c>
      <c r="S68" t="s">
        <v>53</v>
      </c>
      <c r="T68">
        <v>2</v>
      </c>
      <c r="U68" t="str" cm="1">
        <f t="array" ref="U68">_xlfn.IFS(
HRData[[#This Row],[JobSatisfaction]]=1,"Very Dissatisfied",
HRData[[#This Row],[JobSatisfaction]]=2,"Dissatisfied",
HRData[[#This Row],[JobSatisfaction]]=3,"Satisfied",
HRData[[#This Row],[JobSatisfaction]]=4,"Very Satisfied"
)</f>
        <v>Dissatisfied</v>
      </c>
      <c r="V68" t="s">
        <v>41</v>
      </c>
      <c r="W68">
        <v>6499</v>
      </c>
      <c r="X68" t="str" cm="1">
        <f t="array" ref="X68">_xlfn.IFS(
HRData[[#This Row],[MonthlyIncome]]&lt;=4000,"Very Low Income",
HRData[[#This Row],[MonthlyIncome]]&lt;=8000,"Low Income",
HRData[[#This Row],[MonthlyIncome]]&lt;=12000,"Moderate Income",
HRData[[#This Row],[MonthlyIncome]]&lt;=16000,"High Income",
HRData[[#This Row],[MonthlyIncome]]&gt;16000,"Very High Income"
)</f>
        <v>Low Income</v>
      </c>
      <c r="Y68">
        <v>22656</v>
      </c>
      <c r="Z68">
        <v>1</v>
      </c>
      <c r="AA68" t="s">
        <v>42</v>
      </c>
      <c r="AB68" t="s">
        <v>43</v>
      </c>
      <c r="AC68">
        <v>13</v>
      </c>
      <c r="AD68" t="str" cm="1">
        <f t="array" ref="AD68">_xlfn.IFS(HRData[[#This Row],[PercentSalaryHike]]&lt;=15,"11-15",HRData[[#This Row],[PercentSalaryHike]]&lt;=20,"16-20",HRData[[#This Row],[PercentSalaryHike]]&gt;=21,"21+")</f>
        <v>11-15</v>
      </c>
      <c r="AE68">
        <v>3</v>
      </c>
      <c r="AF68">
        <v>3</v>
      </c>
      <c r="AG68">
        <v>80</v>
      </c>
      <c r="AH68">
        <v>0</v>
      </c>
      <c r="AI68">
        <v>6</v>
      </c>
      <c r="AJ68">
        <v>3</v>
      </c>
      <c r="AK68">
        <v>3</v>
      </c>
      <c r="AL68">
        <v>6</v>
      </c>
      <c r="AM68">
        <v>5</v>
      </c>
      <c r="AN68">
        <v>0</v>
      </c>
      <c r="AO68">
        <v>3</v>
      </c>
      <c r="AP6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68" t="str">
        <f>IF(HRData[[#This Row],[Attrition]]="Yes","Left", IF(HRData[[#This Row],[Attrition_Risk_Score]]&gt;=6,"High",IF(HRData[[#This Row],[Attrition_Risk_Score]]&gt;=3,"Medium","Low")))</f>
        <v>Low</v>
      </c>
      <c r="AR68" t="str">
        <f>IF(HRData[[#This Row],[Attrition_Risk_Level]]&lt;&gt;"High","",HRData[[#This Row],[Attrition_Risk_Score]]*10000-HRData[[#This Row],[EmployeeNumber]])</f>
        <v/>
      </c>
    </row>
    <row r="69" spans="1:44">
      <c r="A69">
        <v>45</v>
      </c>
      <c r="B69" t="str" cm="1">
        <f t="array" ref="B69">_xlfn.IFS(
HRData[[#This Row],[Age]]&lt;=24,"18-24",
HRData[[#This Row],[Age]]&lt;=34,"25-34",
HRData[[#This Row],[Age]]&lt;=44,"35-44",
HRData[[#This Row],[Age]]&lt;=54,"45-54",
HRData[[#This Row],[Age]]&gt;=55,"55+"
)</f>
        <v>45-54</v>
      </c>
      <c r="C69" t="s">
        <v>43</v>
      </c>
      <c r="D69">
        <f>IF(HRData[[#This Row],[Attrition]]="Yes",1,0)</f>
        <v>0</v>
      </c>
      <c r="E69" t="s">
        <v>36</v>
      </c>
      <c r="F69">
        <v>1339</v>
      </c>
      <c r="G69" t="s">
        <v>45</v>
      </c>
      <c r="H69">
        <v>7</v>
      </c>
      <c r="I69">
        <v>3</v>
      </c>
      <c r="J69" t="s">
        <v>38</v>
      </c>
      <c r="K69">
        <v>1</v>
      </c>
      <c r="L69">
        <v>86</v>
      </c>
      <c r="M69">
        <v>2</v>
      </c>
      <c r="N69" t="str" cm="1">
        <f t="array" ref="N69">_xlfn.IFS(HRData[[#This Row],[EnvironmentSatisfaction]]=1,"Very Dissatisfied",
HRData[[#This Row],[EnvironmentSatisfaction]]=2,"Dissatisfied",
HRData[[#This Row],[EnvironmentSatisfaction]]=3,"Satisfied",
HRData[[#This Row],[EnvironmentSatisfaction]]=4,"Very Satisfied"
)</f>
        <v>Dissatisfied</v>
      </c>
      <c r="O69" t="s">
        <v>46</v>
      </c>
      <c r="P69">
        <v>59</v>
      </c>
      <c r="Q69">
        <v>3</v>
      </c>
      <c r="R69">
        <v>3</v>
      </c>
      <c r="S69" t="s">
        <v>47</v>
      </c>
      <c r="T69">
        <v>1</v>
      </c>
      <c r="U69" t="str" cm="1">
        <f t="array" ref="U69">_xlfn.IFS(
HRData[[#This Row],[JobSatisfaction]]=1,"Very Dissatisfied",
HRData[[#This Row],[JobSatisfaction]]=2,"Dissatisfied",
HRData[[#This Row],[JobSatisfaction]]=3,"Satisfied",
HRData[[#This Row],[JobSatisfaction]]=4,"Very Satisfied"
)</f>
        <v>Very Dissatisfied</v>
      </c>
      <c r="V69" t="s">
        <v>52</v>
      </c>
      <c r="W69">
        <v>9724</v>
      </c>
      <c r="X69" t="str" cm="1">
        <f t="array" ref="X69">_xlfn.IFS(
HRData[[#This Row],[MonthlyIncome]]&lt;=4000,"Very Low Income",
HRData[[#This Row],[MonthlyIncome]]&lt;=8000,"Low Income",
HRData[[#This Row],[MonthlyIncome]]&lt;=12000,"Moderate Income",
HRData[[#This Row],[MonthlyIncome]]&lt;=16000,"High Income",
HRData[[#This Row],[MonthlyIncome]]&gt;16000,"Very High Income"
)</f>
        <v>Moderate Income</v>
      </c>
      <c r="Y69">
        <v>18787</v>
      </c>
      <c r="Z69">
        <v>2</v>
      </c>
      <c r="AA69" t="s">
        <v>42</v>
      </c>
      <c r="AB69" t="s">
        <v>43</v>
      </c>
      <c r="AC69">
        <v>17</v>
      </c>
      <c r="AD69" t="str" cm="1">
        <f t="array" ref="AD69">_xlfn.IFS(HRData[[#This Row],[PercentSalaryHike]]&lt;=15,"11-15",HRData[[#This Row],[PercentSalaryHike]]&lt;=20,"16-20",HRData[[#This Row],[PercentSalaryHike]]&gt;=21,"21+")</f>
        <v>16-20</v>
      </c>
      <c r="AE69">
        <v>3</v>
      </c>
      <c r="AF69">
        <v>3</v>
      </c>
      <c r="AG69">
        <v>80</v>
      </c>
      <c r="AH69">
        <v>1</v>
      </c>
      <c r="AI69">
        <v>25</v>
      </c>
      <c r="AJ69">
        <v>2</v>
      </c>
      <c r="AK69">
        <v>3</v>
      </c>
      <c r="AL69">
        <v>1</v>
      </c>
      <c r="AM69">
        <v>0</v>
      </c>
      <c r="AN69">
        <v>0</v>
      </c>
      <c r="AO69">
        <v>0</v>
      </c>
      <c r="AP6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9" t="str">
        <f>IF(HRData[[#This Row],[Attrition]]="Yes","Left", IF(HRData[[#This Row],[Attrition_Risk_Score]]&gt;=6,"High",IF(HRData[[#This Row],[Attrition_Risk_Score]]&gt;=3,"Medium","Low")))</f>
        <v>Low</v>
      </c>
      <c r="AR69" t="str">
        <f>IF(HRData[[#This Row],[Attrition_Risk_Level]]&lt;&gt;"High","",HRData[[#This Row],[Attrition_Risk_Score]]*10000-HRData[[#This Row],[EmployeeNumber]])</f>
        <v/>
      </c>
    </row>
    <row r="70" spans="1:44">
      <c r="A70">
        <v>35</v>
      </c>
      <c r="B70" t="str" cm="1">
        <f t="array" ref="B70">_xlfn.IFS(
HRData[[#This Row],[Age]]&lt;=24,"18-24",
HRData[[#This Row],[Age]]&lt;=34,"25-34",
HRData[[#This Row],[Age]]&lt;=44,"35-44",
HRData[[#This Row],[Age]]&lt;=54,"45-54",
HRData[[#This Row],[Age]]&gt;=55,"55+"
)</f>
        <v>35-44</v>
      </c>
      <c r="C70" t="s">
        <v>43</v>
      </c>
      <c r="D70">
        <f>IF(HRData[[#This Row],[Attrition]]="Yes",1,0)</f>
        <v>0</v>
      </c>
      <c r="E70" t="s">
        <v>44</v>
      </c>
      <c r="F70">
        <v>664</v>
      </c>
      <c r="G70" t="s">
        <v>45</v>
      </c>
      <c r="H70">
        <v>1</v>
      </c>
      <c r="I70">
        <v>3</v>
      </c>
      <c r="J70" t="s">
        <v>51</v>
      </c>
      <c r="K70">
        <v>1</v>
      </c>
      <c r="L70">
        <v>88</v>
      </c>
      <c r="M70">
        <v>2</v>
      </c>
      <c r="N70" t="str" cm="1">
        <f t="array" ref="N70">_xlfn.IFS(HRData[[#This Row],[EnvironmentSatisfaction]]=1,"Very Dissatisfied",
HRData[[#This Row],[EnvironmentSatisfaction]]=2,"Dissatisfied",
HRData[[#This Row],[EnvironmentSatisfaction]]=3,"Satisfied",
HRData[[#This Row],[EnvironmentSatisfaction]]=4,"Very Satisfied"
)</f>
        <v>Dissatisfied</v>
      </c>
      <c r="O70" t="s">
        <v>46</v>
      </c>
      <c r="P70">
        <v>79</v>
      </c>
      <c r="Q70">
        <v>3</v>
      </c>
      <c r="R70">
        <v>1</v>
      </c>
      <c r="S70" t="s">
        <v>47</v>
      </c>
      <c r="T70">
        <v>1</v>
      </c>
      <c r="U70" t="str" cm="1">
        <f t="array" ref="U70">_xlfn.IFS(
HRData[[#This Row],[JobSatisfaction]]=1,"Very Dissatisfied",
HRData[[#This Row],[JobSatisfaction]]=2,"Dissatisfied",
HRData[[#This Row],[JobSatisfaction]]=3,"Satisfied",
HRData[[#This Row],[JobSatisfaction]]=4,"Very Satisfied"
)</f>
        <v>Very Dissatisfied</v>
      </c>
      <c r="V70" t="s">
        <v>48</v>
      </c>
      <c r="W70">
        <v>2194</v>
      </c>
      <c r="X70" t="str" cm="1">
        <f t="array" ref="X70">_xlfn.IFS(
HRData[[#This Row],[MonthlyIncome]]&lt;=4000,"Very Low Income",
HRData[[#This Row],[MonthlyIncome]]&lt;=8000,"Low Income",
HRData[[#This Row],[MonthlyIncome]]&lt;=12000,"Moderate Income",
HRData[[#This Row],[MonthlyIncome]]&lt;=16000,"High Income",
HRData[[#This Row],[MonthlyIncome]]&gt;16000,"Very High Income"
)</f>
        <v>Very Low Income</v>
      </c>
      <c r="Y70">
        <v>5868</v>
      </c>
      <c r="Z70">
        <v>4</v>
      </c>
      <c r="AA70" t="s">
        <v>42</v>
      </c>
      <c r="AB70" t="s">
        <v>43</v>
      </c>
      <c r="AC70">
        <v>13</v>
      </c>
      <c r="AD70" t="str" cm="1">
        <f t="array" ref="AD70">_xlfn.IFS(HRData[[#This Row],[PercentSalaryHike]]&lt;=15,"11-15",HRData[[#This Row],[PercentSalaryHike]]&lt;=20,"16-20",HRData[[#This Row],[PercentSalaryHike]]&gt;=21,"21+")</f>
        <v>11-15</v>
      </c>
      <c r="AE70">
        <v>3</v>
      </c>
      <c r="AF70">
        <v>4</v>
      </c>
      <c r="AG70">
        <v>80</v>
      </c>
      <c r="AH70">
        <v>1</v>
      </c>
      <c r="AI70">
        <v>5</v>
      </c>
      <c r="AJ70">
        <v>2</v>
      </c>
      <c r="AK70">
        <v>2</v>
      </c>
      <c r="AL70">
        <v>3</v>
      </c>
      <c r="AM70">
        <v>2</v>
      </c>
      <c r="AN70">
        <v>1</v>
      </c>
      <c r="AO70">
        <v>2</v>
      </c>
      <c r="AP7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70" t="str">
        <f>IF(HRData[[#This Row],[Attrition]]="Yes","Left", IF(HRData[[#This Row],[Attrition_Risk_Score]]&gt;=6,"High",IF(HRData[[#This Row],[Attrition_Risk_Score]]&gt;=3,"Medium","Low")))</f>
        <v>Medium</v>
      </c>
      <c r="AR70" t="str">
        <f>IF(HRData[[#This Row],[Attrition_Risk_Level]]&lt;&gt;"High","",HRData[[#This Row],[Attrition_Risk_Score]]*10000-HRData[[#This Row],[EmployeeNumber]])</f>
        <v/>
      </c>
    </row>
    <row r="71" spans="1:44">
      <c r="A71">
        <v>36</v>
      </c>
      <c r="B71" t="str" cm="1">
        <f t="array" ref="B71">_xlfn.IFS(
HRData[[#This Row],[Age]]&lt;=24,"18-24",
HRData[[#This Row],[Age]]&lt;=34,"25-34",
HRData[[#This Row],[Age]]&lt;=44,"35-44",
HRData[[#This Row],[Age]]&lt;=54,"45-54",
HRData[[#This Row],[Age]]&gt;=55,"55+"
)</f>
        <v>35-44</v>
      </c>
      <c r="C71" t="s">
        <v>35</v>
      </c>
      <c r="D71">
        <f>IF(HRData[[#This Row],[Attrition]]="Yes",1,0)</f>
        <v>1</v>
      </c>
      <c r="E71" t="s">
        <v>36</v>
      </c>
      <c r="F71">
        <v>318</v>
      </c>
      <c r="G71" t="s">
        <v>45</v>
      </c>
      <c r="H71">
        <v>9</v>
      </c>
      <c r="I71">
        <v>3</v>
      </c>
      <c r="J71" t="s">
        <v>51</v>
      </c>
      <c r="K71">
        <v>1</v>
      </c>
      <c r="L71">
        <v>90</v>
      </c>
      <c r="M71">
        <v>4</v>
      </c>
      <c r="N71" t="str" cm="1">
        <f t="array" ref="N71">_xlfn.IFS(HRData[[#This Row],[EnvironmentSatisfaction]]=1,"Very Dissatisfied",
HRData[[#This Row],[EnvironmentSatisfaction]]=2,"Dissatisfied",
HRData[[#This Row],[EnvironmentSatisfaction]]=3,"Satisfied",
HRData[[#This Row],[EnvironmentSatisfaction]]=4,"Very Satisfied"
)</f>
        <v>Very Satisfied</v>
      </c>
      <c r="O71" t="s">
        <v>46</v>
      </c>
      <c r="P71">
        <v>79</v>
      </c>
      <c r="Q71">
        <v>2</v>
      </c>
      <c r="R71">
        <v>1</v>
      </c>
      <c r="S71" t="s">
        <v>47</v>
      </c>
      <c r="T71">
        <v>3</v>
      </c>
      <c r="U71" t="str" cm="1">
        <f t="array" ref="U71">_xlfn.IFS(
HRData[[#This Row],[JobSatisfaction]]=1,"Very Dissatisfied",
HRData[[#This Row],[JobSatisfaction]]=2,"Dissatisfied",
HRData[[#This Row],[JobSatisfaction]]=3,"Satisfied",
HRData[[#This Row],[JobSatisfaction]]=4,"Very Satisfied"
)</f>
        <v>Satisfied</v>
      </c>
      <c r="V71" t="s">
        <v>48</v>
      </c>
      <c r="W71">
        <v>3388</v>
      </c>
      <c r="X71" t="str" cm="1">
        <f t="array" ref="X71">_xlfn.IFS(
HRData[[#This Row],[MonthlyIncome]]&lt;=4000,"Very Low Income",
HRData[[#This Row],[MonthlyIncome]]&lt;=8000,"Low Income",
HRData[[#This Row],[MonthlyIncome]]&lt;=12000,"Moderate Income",
HRData[[#This Row],[MonthlyIncome]]&lt;=16000,"High Income",
HRData[[#This Row],[MonthlyIncome]]&gt;16000,"Very High Income"
)</f>
        <v>Very Low Income</v>
      </c>
      <c r="Y71">
        <v>21777</v>
      </c>
      <c r="Z71">
        <v>0</v>
      </c>
      <c r="AA71" t="s">
        <v>42</v>
      </c>
      <c r="AB71" t="s">
        <v>35</v>
      </c>
      <c r="AC71">
        <v>17</v>
      </c>
      <c r="AD71" t="str" cm="1">
        <f t="array" ref="AD71">_xlfn.IFS(HRData[[#This Row],[PercentSalaryHike]]&lt;=15,"11-15",HRData[[#This Row],[PercentSalaryHike]]&lt;=20,"16-20",HRData[[#This Row],[PercentSalaryHike]]&gt;=21,"21+")</f>
        <v>16-20</v>
      </c>
      <c r="AE71">
        <v>3</v>
      </c>
      <c r="AF71">
        <v>1</v>
      </c>
      <c r="AG71">
        <v>80</v>
      </c>
      <c r="AH71">
        <v>1</v>
      </c>
      <c r="AI71">
        <v>2</v>
      </c>
      <c r="AJ71">
        <v>0</v>
      </c>
      <c r="AK71">
        <v>2</v>
      </c>
      <c r="AL71">
        <v>1</v>
      </c>
      <c r="AM71">
        <v>0</v>
      </c>
      <c r="AN71">
        <v>0</v>
      </c>
      <c r="AO71">
        <v>0</v>
      </c>
      <c r="AP7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1" t="str">
        <f>IF(HRData[[#This Row],[Attrition]]="Yes","Left", IF(HRData[[#This Row],[Attrition_Risk_Score]]&gt;=6,"High",IF(HRData[[#This Row],[Attrition_Risk_Score]]&gt;=3,"Medium","Low")))</f>
        <v>Left</v>
      </c>
      <c r="AR71" t="str">
        <f>IF(HRData[[#This Row],[Attrition_Risk_Level]]&lt;&gt;"High","",HRData[[#This Row],[Attrition_Risk_Score]]*10000-HRData[[#This Row],[EmployeeNumber]])</f>
        <v/>
      </c>
    </row>
    <row r="72" spans="1:44">
      <c r="A72">
        <v>59</v>
      </c>
      <c r="B72" t="str" cm="1">
        <f t="array" ref="B72">_xlfn.IFS(
HRData[[#This Row],[Age]]&lt;=24,"18-24",
HRData[[#This Row],[Age]]&lt;=34,"25-34",
HRData[[#This Row],[Age]]&lt;=44,"35-44",
HRData[[#This Row],[Age]]&lt;=54,"45-54",
HRData[[#This Row],[Age]]&gt;=55,"55+"
)</f>
        <v>55+</v>
      </c>
      <c r="C72" t="s">
        <v>43</v>
      </c>
      <c r="D72">
        <f>IF(HRData[[#This Row],[Attrition]]="Yes",1,0)</f>
        <v>0</v>
      </c>
      <c r="E72" t="s">
        <v>44</v>
      </c>
      <c r="F72">
        <v>1225</v>
      </c>
      <c r="G72" t="s">
        <v>37</v>
      </c>
      <c r="H72">
        <v>1</v>
      </c>
      <c r="I72">
        <v>1</v>
      </c>
      <c r="J72" t="s">
        <v>38</v>
      </c>
      <c r="K72">
        <v>1</v>
      </c>
      <c r="L72">
        <v>91</v>
      </c>
      <c r="M72">
        <v>1</v>
      </c>
      <c r="N72" t="str" cm="1">
        <f t="array" ref="N72">_xlfn.IFS(HRData[[#This Row],[EnvironmentSatisfaction]]=1,"Very Dissatisfied",
HRData[[#This Row],[EnvironmentSatisfaction]]=2,"Dissatisfied",
HRData[[#This Row],[EnvironmentSatisfaction]]=3,"Satisfied",
HRData[[#This Row],[EnvironmentSatisfaction]]=4,"Very Satisfied"
)</f>
        <v>Very Dissatisfied</v>
      </c>
      <c r="O72" t="s">
        <v>39</v>
      </c>
      <c r="P72">
        <v>57</v>
      </c>
      <c r="Q72">
        <v>2</v>
      </c>
      <c r="R72">
        <v>2</v>
      </c>
      <c r="S72" t="s">
        <v>40</v>
      </c>
      <c r="T72">
        <v>3</v>
      </c>
      <c r="U72" t="str" cm="1">
        <f t="array" ref="U72">_xlfn.IFS(
HRData[[#This Row],[JobSatisfaction]]=1,"Very Dissatisfied",
HRData[[#This Row],[JobSatisfaction]]=2,"Dissatisfied",
HRData[[#This Row],[JobSatisfaction]]=3,"Satisfied",
HRData[[#This Row],[JobSatisfaction]]=4,"Very Satisfied"
)</f>
        <v>Satisfied</v>
      </c>
      <c r="V72" t="s">
        <v>41</v>
      </c>
      <c r="W72">
        <v>5473</v>
      </c>
      <c r="X72" t="str" cm="1">
        <f t="array" ref="X72">_xlfn.IFS(
HRData[[#This Row],[MonthlyIncome]]&lt;=4000,"Very Low Income",
HRData[[#This Row],[MonthlyIncome]]&lt;=8000,"Low Income",
HRData[[#This Row],[MonthlyIncome]]&lt;=12000,"Moderate Income",
HRData[[#This Row],[MonthlyIncome]]&lt;=16000,"High Income",
HRData[[#This Row],[MonthlyIncome]]&gt;16000,"Very High Income"
)</f>
        <v>Low Income</v>
      </c>
      <c r="Y72">
        <v>24668</v>
      </c>
      <c r="Z72">
        <v>7</v>
      </c>
      <c r="AA72" t="s">
        <v>42</v>
      </c>
      <c r="AB72" t="s">
        <v>43</v>
      </c>
      <c r="AC72">
        <v>11</v>
      </c>
      <c r="AD72" t="str" cm="1">
        <f t="array" ref="AD72">_xlfn.IFS(HRData[[#This Row],[PercentSalaryHike]]&lt;=15,"11-15",HRData[[#This Row],[PercentSalaryHike]]&lt;=20,"16-20",HRData[[#This Row],[PercentSalaryHike]]&gt;=21,"21+")</f>
        <v>11-15</v>
      </c>
      <c r="AE72">
        <v>3</v>
      </c>
      <c r="AF72">
        <v>4</v>
      </c>
      <c r="AG72">
        <v>80</v>
      </c>
      <c r="AH72">
        <v>0</v>
      </c>
      <c r="AI72">
        <v>20</v>
      </c>
      <c r="AJ72">
        <v>2</v>
      </c>
      <c r="AK72">
        <v>2</v>
      </c>
      <c r="AL72">
        <v>4</v>
      </c>
      <c r="AM72">
        <v>3</v>
      </c>
      <c r="AN72">
        <v>1</v>
      </c>
      <c r="AO72">
        <v>3</v>
      </c>
      <c r="AP7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72" t="str">
        <f>IF(HRData[[#This Row],[Attrition]]="Yes","Left", IF(HRData[[#This Row],[Attrition_Risk_Score]]&gt;=6,"High",IF(HRData[[#This Row],[Attrition_Risk_Score]]&gt;=3,"Medium","Low")))</f>
        <v>Low</v>
      </c>
      <c r="AR72" t="str">
        <f>IF(HRData[[#This Row],[Attrition_Risk_Level]]&lt;&gt;"High","",HRData[[#This Row],[Attrition_Risk_Score]]*10000-HRData[[#This Row],[EmployeeNumber]])</f>
        <v/>
      </c>
    </row>
    <row r="73" spans="1:44">
      <c r="A73">
        <v>29</v>
      </c>
      <c r="B73" t="str" cm="1">
        <f t="array" ref="B73">_xlfn.IFS(
HRData[[#This Row],[Age]]&lt;=24,"18-24",
HRData[[#This Row],[Age]]&lt;=34,"25-34",
HRData[[#This Row],[Age]]&lt;=44,"35-44",
HRData[[#This Row],[Age]]&lt;=54,"45-54",
HRData[[#This Row],[Age]]&gt;=55,"55+"
)</f>
        <v>25-34</v>
      </c>
      <c r="C73" t="s">
        <v>43</v>
      </c>
      <c r="D73">
        <f>IF(HRData[[#This Row],[Attrition]]="Yes",1,0)</f>
        <v>0</v>
      </c>
      <c r="E73" t="s">
        <v>36</v>
      </c>
      <c r="F73">
        <v>1328</v>
      </c>
      <c r="G73" t="s">
        <v>45</v>
      </c>
      <c r="H73">
        <v>2</v>
      </c>
      <c r="I73">
        <v>3</v>
      </c>
      <c r="J73" t="s">
        <v>38</v>
      </c>
      <c r="K73">
        <v>1</v>
      </c>
      <c r="L73">
        <v>94</v>
      </c>
      <c r="M73">
        <v>3</v>
      </c>
      <c r="N73" t="str" cm="1">
        <f t="array" ref="N73">_xlfn.IFS(HRData[[#This Row],[EnvironmentSatisfaction]]=1,"Very Dissatisfied",
HRData[[#This Row],[EnvironmentSatisfaction]]=2,"Dissatisfied",
HRData[[#This Row],[EnvironmentSatisfaction]]=3,"Satisfied",
HRData[[#This Row],[EnvironmentSatisfaction]]=4,"Very Satisfied"
)</f>
        <v>Satisfied</v>
      </c>
      <c r="O73" t="s">
        <v>46</v>
      </c>
      <c r="P73">
        <v>76</v>
      </c>
      <c r="Q73">
        <v>3</v>
      </c>
      <c r="R73">
        <v>1</v>
      </c>
      <c r="S73" t="s">
        <v>47</v>
      </c>
      <c r="T73">
        <v>2</v>
      </c>
      <c r="U73" t="str" cm="1">
        <f t="array" ref="U73">_xlfn.IFS(
HRData[[#This Row],[JobSatisfaction]]=1,"Very Dissatisfied",
HRData[[#This Row],[JobSatisfaction]]=2,"Dissatisfied",
HRData[[#This Row],[JobSatisfaction]]=3,"Satisfied",
HRData[[#This Row],[JobSatisfaction]]=4,"Very Satisfied"
)</f>
        <v>Dissatisfied</v>
      </c>
      <c r="V73" t="s">
        <v>48</v>
      </c>
      <c r="W73">
        <v>2703</v>
      </c>
      <c r="X73" t="str" cm="1">
        <f t="array" ref="X73">_xlfn.IFS(
HRData[[#This Row],[MonthlyIncome]]&lt;=4000,"Very Low Income",
HRData[[#This Row],[MonthlyIncome]]&lt;=8000,"Low Income",
HRData[[#This Row],[MonthlyIncome]]&lt;=12000,"Moderate Income",
HRData[[#This Row],[MonthlyIncome]]&lt;=16000,"High Income",
HRData[[#This Row],[MonthlyIncome]]&gt;16000,"Very High Income"
)</f>
        <v>Very Low Income</v>
      </c>
      <c r="Y73">
        <v>4956</v>
      </c>
      <c r="Z73">
        <v>0</v>
      </c>
      <c r="AA73" t="s">
        <v>42</v>
      </c>
      <c r="AB73" t="s">
        <v>43</v>
      </c>
      <c r="AC73">
        <v>23</v>
      </c>
      <c r="AD73" t="str" cm="1">
        <f t="array" ref="AD73">_xlfn.IFS(HRData[[#This Row],[PercentSalaryHike]]&lt;=15,"11-15",HRData[[#This Row],[PercentSalaryHike]]&lt;=20,"16-20",HRData[[#This Row],[PercentSalaryHike]]&gt;=21,"21+")</f>
        <v>21+</v>
      </c>
      <c r="AE73">
        <v>4</v>
      </c>
      <c r="AF73">
        <v>4</v>
      </c>
      <c r="AG73">
        <v>80</v>
      </c>
      <c r="AH73">
        <v>1</v>
      </c>
      <c r="AI73">
        <v>6</v>
      </c>
      <c r="AJ73">
        <v>3</v>
      </c>
      <c r="AK73">
        <v>3</v>
      </c>
      <c r="AL73">
        <v>5</v>
      </c>
      <c r="AM73">
        <v>4</v>
      </c>
      <c r="AN73">
        <v>0</v>
      </c>
      <c r="AO73">
        <v>4</v>
      </c>
      <c r="AP7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3" t="str">
        <f>IF(HRData[[#This Row],[Attrition]]="Yes","Left", IF(HRData[[#This Row],[Attrition_Risk_Score]]&gt;=6,"High",IF(HRData[[#This Row],[Attrition_Risk_Score]]&gt;=3,"Medium","Low")))</f>
        <v>Medium</v>
      </c>
      <c r="AR73" t="str">
        <f>IF(HRData[[#This Row],[Attrition_Risk_Level]]&lt;&gt;"High","",HRData[[#This Row],[Attrition_Risk_Score]]*10000-HRData[[#This Row],[EmployeeNumber]])</f>
        <v/>
      </c>
    </row>
    <row r="74" spans="1:44">
      <c r="A74">
        <v>31</v>
      </c>
      <c r="B74" t="str" cm="1">
        <f t="array" ref="B74">_xlfn.IFS(
HRData[[#This Row],[Age]]&lt;=24,"18-24",
HRData[[#This Row],[Age]]&lt;=34,"25-34",
HRData[[#This Row],[Age]]&lt;=44,"35-44",
HRData[[#This Row],[Age]]&lt;=54,"45-54",
HRData[[#This Row],[Age]]&gt;=55,"55+"
)</f>
        <v>25-34</v>
      </c>
      <c r="C74" t="s">
        <v>43</v>
      </c>
      <c r="D74">
        <f>IF(HRData[[#This Row],[Attrition]]="Yes",1,0)</f>
        <v>0</v>
      </c>
      <c r="E74" t="s">
        <v>36</v>
      </c>
      <c r="F74">
        <v>1082</v>
      </c>
      <c r="G74" t="s">
        <v>45</v>
      </c>
      <c r="H74">
        <v>1</v>
      </c>
      <c r="I74">
        <v>4</v>
      </c>
      <c r="J74" t="s">
        <v>51</v>
      </c>
      <c r="K74">
        <v>1</v>
      </c>
      <c r="L74">
        <v>95</v>
      </c>
      <c r="M74">
        <v>3</v>
      </c>
      <c r="N74" t="str" cm="1">
        <f t="array" ref="N74">_xlfn.IFS(HRData[[#This Row],[EnvironmentSatisfaction]]=1,"Very Dissatisfied",
HRData[[#This Row],[EnvironmentSatisfaction]]=2,"Dissatisfied",
HRData[[#This Row],[EnvironmentSatisfaction]]=3,"Satisfied",
HRData[[#This Row],[EnvironmentSatisfaction]]=4,"Very Satisfied"
)</f>
        <v>Satisfied</v>
      </c>
      <c r="O74" t="s">
        <v>46</v>
      </c>
      <c r="P74">
        <v>87</v>
      </c>
      <c r="Q74">
        <v>3</v>
      </c>
      <c r="R74">
        <v>1</v>
      </c>
      <c r="S74" t="s">
        <v>47</v>
      </c>
      <c r="T74">
        <v>2</v>
      </c>
      <c r="U74" t="str" cm="1">
        <f t="array" ref="U74">_xlfn.IFS(
HRData[[#This Row],[JobSatisfaction]]=1,"Very Dissatisfied",
HRData[[#This Row],[JobSatisfaction]]=2,"Dissatisfied",
HRData[[#This Row],[JobSatisfaction]]=3,"Satisfied",
HRData[[#This Row],[JobSatisfaction]]=4,"Very Satisfied"
)</f>
        <v>Dissatisfied</v>
      </c>
      <c r="V74" t="s">
        <v>41</v>
      </c>
      <c r="W74">
        <v>2501</v>
      </c>
      <c r="X74" t="str" cm="1">
        <f t="array" ref="X74">_xlfn.IFS(
HRData[[#This Row],[MonthlyIncome]]&lt;=4000,"Very Low Income",
HRData[[#This Row],[MonthlyIncome]]&lt;=8000,"Low Income",
HRData[[#This Row],[MonthlyIncome]]&lt;=12000,"Moderate Income",
HRData[[#This Row],[MonthlyIncome]]&lt;=16000,"High Income",
HRData[[#This Row],[MonthlyIncome]]&gt;16000,"Very High Income"
)</f>
        <v>Very Low Income</v>
      </c>
      <c r="Y74">
        <v>18775</v>
      </c>
      <c r="Z74">
        <v>1</v>
      </c>
      <c r="AA74" t="s">
        <v>42</v>
      </c>
      <c r="AB74" t="s">
        <v>43</v>
      </c>
      <c r="AC74">
        <v>17</v>
      </c>
      <c r="AD74" t="str" cm="1">
        <f t="array" ref="AD74">_xlfn.IFS(HRData[[#This Row],[PercentSalaryHike]]&lt;=15,"11-15",HRData[[#This Row],[PercentSalaryHike]]&lt;=20,"16-20",HRData[[#This Row],[PercentSalaryHike]]&gt;=21,"21+")</f>
        <v>16-20</v>
      </c>
      <c r="AE74">
        <v>3</v>
      </c>
      <c r="AF74">
        <v>2</v>
      </c>
      <c r="AG74">
        <v>80</v>
      </c>
      <c r="AH74">
        <v>0</v>
      </c>
      <c r="AI74">
        <v>1</v>
      </c>
      <c r="AJ74">
        <v>4</v>
      </c>
      <c r="AK74">
        <v>3</v>
      </c>
      <c r="AL74">
        <v>1</v>
      </c>
      <c r="AM74">
        <v>1</v>
      </c>
      <c r="AN74">
        <v>1</v>
      </c>
      <c r="AO74">
        <v>0</v>
      </c>
      <c r="AP7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4" t="str">
        <f>IF(HRData[[#This Row],[Attrition]]="Yes","Left", IF(HRData[[#This Row],[Attrition_Risk_Score]]&gt;=6,"High",IF(HRData[[#This Row],[Attrition_Risk_Score]]&gt;=3,"Medium","Low")))</f>
        <v>Medium</v>
      </c>
      <c r="AR74" t="str">
        <f>IF(HRData[[#This Row],[Attrition_Risk_Level]]&lt;&gt;"High","",HRData[[#This Row],[Attrition_Risk_Score]]*10000-HRData[[#This Row],[EmployeeNumber]])</f>
        <v/>
      </c>
    </row>
    <row r="75" spans="1:44">
      <c r="A75">
        <v>32</v>
      </c>
      <c r="B75" t="str" cm="1">
        <f t="array" ref="B75">_xlfn.IFS(
HRData[[#This Row],[Age]]&lt;=24,"18-24",
HRData[[#This Row],[Age]]&lt;=34,"25-34",
HRData[[#This Row],[Age]]&lt;=44,"35-44",
HRData[[#This Row],[Age]]&lt;=54,"45-54",
HRData[[#This Row],[Age]]&gt;=55,"55+"
)</f>
        <v>25-34</v>
      </c>
      <c r="C75" t="s">
        <v>43</v>
      </c>
      <c r="D75">
        <f>IF(HRData[[#This Row],[Attrition]]="Yes",1,0)</f>
        <v>0</v>
      </c>
      <c r="E75" t="s">
        <v>36</v>
      </c>
      <c r="F75">
        <v>548</v>
      </c>
      <c r="G75" t="s">
        <v>45</v>
      </c>
      <c r="H75">
        <v>1</v>
      </c>
      <c r="I75">
        <v>3</v>
      </c>
      <c r="J75" t="s">
        <v>38</v>
      </c>
      <c r="K75">
        <v>1</v>
      </c>
      <c r="L75">
        <v>96</v>
      </c>
      <c r="M75">
        <v>2</v>
      </c>
      <c r="N75" t="str" cm="1">
        <f t="array" ref="N75">_xlfn.IFS(HRData[[#This Row],[EnvironmentSatisfaction]]=1,"Very Dissatisfied",
HRData[[#This Row],[EnvironmentSatisfaction]]=2,"Dissatisfied",
HRData[[#This Row],[EnvironmentSatisfaction]]=3,"Satisfied",
HRData[[#This Row],[EnvironmentSatisfaction]]=4,"Very Satisfied"
)</f>
        <v>Dissatisfied</v>
      </c>
      <c r="O75" t="s">
        <v>46</v>
      </c>
      <c r="P75">
        <v>66</v>
      </c>
      <c r="Q75">
        <v>3</v>
      </c>
      <c r="R75">
        <v>2</v>
      </c>
      <c r="S75" t="s">
        <v>47</v>
      </c>
      <c r="T75">
        <v>2</v>
      </c>
      <c r="U75" t="str" cm="1">
        <f t="array" ref="U75">_xlfn.IFS(
HRData[[#This Row],[JobSatisfaction]]=1,"Very Dissatisfied",
HRData[[#This Row],[JobSatisfaction]]=2,"Dissatisfied",
HRData[[#This Row],[JobSatisfaction]]=3,"Satisfied",
HRData[[#This Row],[JobSatisfaction]]=4,"Very Satisfied"
)</f>
        <v>Dissatisfied</v>
      </c>
      <c r="V75" t="s">
        <v>48</v>
      </c>
      <c r="W75">
        <v>6220</v>
      </c>
      <c r="X75" t="str" cm="1">
        <f t="array" ref="X75">_xlfn.IFS(
HRData[[#This Row],[MonthlyIncome]]&lt;=4000,"Very Low Income",
HRData[[#This Row],[MonthlyIncome]]&lt;=8000,"Low Income",
HRData[[#This Row],[MonthlyIncome]]&lt;=12000,"Moderate Income",
HRData[[#This Row],[MonthlyIncome]]&lt;=16000,"High Income",
HRData[[#This Row],[MonthlyIncome]]&gt;16000,"Very High Income"
)</f>
        <v>Low Income</v>
      </c>
      <c r="Y75">
        <v>7346</v>
      </c>
      <c r="Z75">
        <v>1</v>
      </c>
      <c r="AA75" t="s">
        <v>42</v>
      </c>
      <c r="AB75" t="s">
        <v>43</v>
      </c>
      <c r="AC75">
        <v>17</v>
      </c>
      <c r="AD75" t="str" cm="1">
        <f t="array" ref="AD75">_xlfn.IFS(HRData[[#This Row],[PercentSalaryHike]]&lt;=15,"11-15",HRData[[#This Row],[PercentSalaryHike]]&lt;=20,"16-20",HRData[[#This Row],[PercentSalaryHike]]&gt;=21,"21+")</f>
        <v>16-20</v>
      </c>
      <c r="AE75">
        <v>3</v>
      </c>
      <c r="AF75">
        <v>2</v>
      </c>
      <c r="AG75">
        <v>80</v>
      </c>
      <c r="AH75">
        <v>2</v>
      </c>
      <c r="AI75">
        <v>10</v>
      </c>
      <c r="AJ75">
        <v>3</v>
      </c>
      <c r="AK75">
        <v>3</v>
      </c>
      <c r="AL75">
        <v>10</v>
      </c>
      <c r="AM75">
        <v>4</v>
      </c>
      <c r="AN75">
        <v>0</v>
      </c>
      <c r="AO75">
        <v>9</v>
      </c>
      <c r="AP7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5" t="str">
        <f>IF(HRData[[#This Row],[Attrition]]="Yes","Left", IF(HRData[[#This Row],[Attrition_Risk_Score]]&gt;=6,"High",IF(HRData[[#This Row],[Attrition_Risk_Score]]&gt;=3,"Medium","Low")))</f>
        <v>Low</v>
      </c>
      <c r="AR75" t="str">
        <f>IF(HRData[[#This Row],[Attrition_Risk_Level]]&lt;&gt;"High","",HRData[[#This Row],[Attrition_Risk_Score]]*10000-HRData[[#This Row],[EmployeeNumber]])</f>
        <v/>
      </c>
    </row>
    <row r="76" spans="1:44">
      <c r="A76">
        <v>36</v>
      </c>
      <c r="B76" t="str" cm="1">
        <f t="array" ref="B76">_xlfn.IFS(
HRData[[#This Row],[Age]]&lt;=24,"18-24",
HRData[[#This Row],[Age]]&lt;=34,"25-34",
HRData[[#This Row],[Age]]&lt;=44,"35-44",
HRData[[#This Row],[Age]]&lt;=54,"45-54",
HRData[[#This Row],[Age]]&gt;=55,"55+"
)</f>
        <v>35-44</v>
      </c>
      <c r="C76" t="s">
        <v>43</v>
      </c>
      <c r="D76">
        <f>IF(HRData[[#This Row],[Attrition]]="Yes",1,0)</f>
        <v>0</v>
      </c>
      <c r="E76" t="s">
        <v>36</v>
      </c>
      <c r="F76">
        <v>132</v>
      </c>
      <c r="G76" t="s">
        <v>45</v>
      </c>
      <c r="H76">
        <v>6</v>
      </c>
      <c r="I76">
        <v>3</v>
      </c>
      <c r="J76" t="s">
        <v>38</v>
      </c>
      <c r="K76">
        <v>1</v>
      </c>
      <c r="L76">
        <v>97</v>
      </c>
      <c r="M76">
        <v>2</v>
      </c>
      <c r="N76" t="str" cm="1">
        <f t="array" ref="N76">_xlfn.IFS(HRData[[#This Row],[EnvironmentSatisfaction]]=1,"Very Dissatisfied",
HRData[[#This Row],[EnvironmentSatisfaction]]=2,"Dissatisfied",
HRData[[#This Row],[EnvironmentSatisfaction]]=3,"Satisfied",
HRData[[#This Row],[EnvironmentSatisfaction]]=4,"Very Satisfied"
)</f>
        <v>Dissatisfied</v>
      </c>
      <c r="O76" t="s">
        <v>39</v>
      </c>
      <c r="P76">
        <v>55</v>
      </c>
      <c r="Q76">
        <v>4</v>
      </c>
      <c r="R76">
        <v>1</v>
      </c>
      <c r="S76" t="s">
        <v>50</v>
      </c>
      <c r="T76">
        <v>4</v>
      </c>
      <c r="U76" t="str" cm="1">
        <f t="array" ref="U76">_xlfn.IFS(
HRData[[#This Row],[JobSatisfaction]]=1,"Very Dissatisfied",
HRData[[#This Row],[JobSatisfaction]]=2,"Dissatisfied",
HRData[[#This Row],[JobSatisfaction]]=3,"Satisfied",
HRData[[#This Row],[JobSatisfaction]]=4,"Very Satisfied"
)</f>
        <v>Very Satisfied</v>
      </c>
      <c r="V76" t="s">
        <v>48</v>
      </c>
      <c r="W76">
        <v>3038</v>
      </c>
      <c r="X76" t="str" cm="1">
        <f t="array" ref="X76">_xlfn.IFS(
HRData[[#This Row],[MonthlyIncome]]&lt;=4000,"Very Low Income",
HRData[[#This Row],[MonthlyIncome]]&lt;=8000,"Low Income",
HRData[[#This Row],[MonthlyIncome]]&lt;=12000,"Moderate Income",
HRData[[#This Row],[MonthlyIncome]]&lt;=16000,"High Income",
HRData[[#This Row],[MonthlyIncome]]&gt;16000,"Very High Income"
)</f>
        <v>Very Low Income</v>
      </c>
      <c r="Y76">
        <v>22002</v>
      </c>
      <c r="Z76">
        <v>3</v>
      </c>
      <c r="AA76" t="s">
        <v>42</v>
      </c>
      <c r="AB76" t="s">
        <v>43</v>
      </c>
      <c r="AC76">
        <v>12</v>
      </c>
      <c r="AD76" t="str" cm="1">
        <f t="array" ref="AD76">_xlfn.IFS(HRData[[#This Row],[PercentSalaryHike]]&lt;=15,"11-15",HRData[[#This Row],[PercentSalaryHike]]&lt;=20,"16-20",HRData[[#This Row],[PercentSalaryHike]]&gt;=21,"21+")</f>
        <v>11-15</v>
      </c>
      <c r="AE76">
        <v>3</v>
      </c>
      <c r="AF76">
        <v>2</v>
      </c>
      <c r="AG76">
        <v>80</v>
      </c>
      <c r="AH76">
        <v>0</v>
      </c>
      <c r="AI76">
        <v>5</v>
      </c>
      <c r="AJ76">
        <v>3</v>
      </c>
      <c r="AK76">
        <v>3</v>
      </c>
      <c r="AL76">
        <v>1</v>
      </c>
      <c r="AM76">
        <v>0</v>
      </c>
      <c r="AN76">
        <v>0</v>
      </c>
      <c r="AO76">
        <v>0</v>
      </c>
      <c r="AP7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6" t="str">
        <f>IF(HRData[[#This Row],[Attrition]]="Yes","Left", IF(HRData[[#This Row],[Attrition_Risk_Score]]&gt;=6,"High",IF(HRData[[#This Row],[Attrition_Risk_Score]]&gt;=3,"Medium","Low")))</f>
        <v>Medium</v>
      </c>
      <c r="AR76" t="str">
        <f>IF(HRData[[#This Row],[Attrition_Risk_Level]]&lt;&gt;"High","",HRData[[#This Row],[Attrition_Risk_Score]]*10000-HRData[[#This Row],[EmployeeNumber]])</f>
        <v/>
      </c>
    </row>
    <row r="77" spans="1:44">
      <c r="A77">
        <v>31</v>
      </c>
      <c r="B77" t="str" cm="1">
        <f t="array" ref="B77">_xlfn.IFS(
HRData[[#This Row],[Age]]&lt;=24,"18-24",
HRData[[#This Row],[Age]]&lt;=34,"25-34",
HRData[[#This Row],[Age]]&lt;=44,"35-44",
HRData[[#This Row],[Age]]&lt;=54,"45-54",
HRData[[#This Row],[Age]]&gt;=55,"55+"
)</f>
        <v>25-34</v>
      </c>
      <c r="C77" t="s">
        <v>43</v>
      </c>
      <c r="D77">
        <f>IF(HRData[[#This Row],[Attrition]]="Yes",1,0)</f>
        <v>0</v>
      </c>
      <c r="E77" t="s">
        <v>36</v>
      </c>
      <c r="F77">
        <v>746</v>
      </c>
      <c r="G77" t="s">
        <v>45</v>
      </c>
      <c r="H77">
        <v>8</v>
      </c>
      <c r="I77">
        <v>4</v>
      </c>
      <c r="J77" t="s">
        <v>38</v>
      </c>
      <c r="K77">
        <v>1</v>
      </c>
      <c r="L77">
        <v>98</v>
      </c>
      <c r="M77">
        <v>3</v>
      </c>
      <c r="N77" t="str" cm="1">
        <f t="array" ref="N77">_xlfn.IFS(HRData[[#This Row],[EnvironmentSatisfaction]]=1,"Very Dissatisfied",
HRData[[#This Row],[EnvironmentSatisfaction]]=2,"Dissatisfied",
HRData[[#This Row],[EnvironmentSatisfaction]]=3,"Satisfied",
HRData[[#This Row],[EnvironmentSatisfaction]]=4,"Very Satisfied"
)</f>
        <v>Satisfied</v>
      </c>
      <c r="O77" t="s">
        <v>39</v>
      </c>
      <c r="P77">
        <v>61</v>
      </c>
      <c r="Q77">
        <v>3</v>
      </c>
      <c r="R77">
        <v>2</v>
      </c>
      <c r="S77" t="s">
        <v>53</v>
      </c>
      <c r="T77">
        <v>4</v>
      </c>
      <c r="U77" t="str" cm="1">
        <f t="array" ref="U77">_xlfn.IFS(
HRData[[#This Row],[JobSatisfaction]]=1,"Very Dissatisfied",
HRData[[#This Row],[JobSatisfaction]]=2,"Dissatisfied",
HRData[[#This Row],[JobSatisfaction]]=3,"Satisfied",
HRData[[#This Row],[JobSatisfaction]]=4,"Very Satisfied"
)</f>
        <v>Very Satisfied</v>
      </c>
      <c r="V77" t="s">
        <v>41</v>
      </c>
      <c r="W77">
        <v>4424</v>
      </c>
      <c r="X77" t="str" cm="1">
        <f t="array" ref="X77">_xlfn.IFS(
HRData[[#This Row],[MonthlyIncome]]&lt;=4000,"Very Low Income",
HRData[[#This Row],[MonthlyIncome]]&lt;=8000,"Low Income",
HRData[[#This Row],[MonthlyIncome]]&lt;=12000,"Moderate Income",
HRData[[#This Row],[MonthlyIncome]]&lt;=16000,"High Income",
HRData[[#This Row],[MonthlyIncome]]&gt;16000,"Very High Income"
)</f>
        <v>Low Income</v>
      </c>
      <c r="Y77">
        <v>20682</v>
      </c>
      <c r="Z77">
        <v>1</v>
      </c>
      <c r="AA77" t="s">
        <v>42</v>
      </c>
      <c r="AB77" t="s">
        <v>43</v>
      </c>
      <c r="AC77">
        <v>23</v>
      </c>
      <c r="AD77" t="str" cm="1">
        <f t="array" ref="AD77">_xlfn.IFS(HRData[[#This Row],[PercentSalaryHike]]&lt;=15,"11-15",HRData[[#This Row],[PercentSalaryHike]]&lt;=20,"16-20",HRData[[#This Row],[PercentSalaryHike]]&gt;=21,"21+")</f>
        <v>21+</v>
      </c>
      <c r="AE77">
        <v>4</v>
      </c>
      <c r="AF77">
        <v>4</v>
      </c>
      <c r="AG77">
        <v>80</v>
      </c>
      <c r="AH77">
        <v>0</v>
      </c>
      <c r="AI77">
        <v>11</v>
      </c>
      <c r="AJ77">
        <v>2</v>
      </c>
      <c r="AK77">
        <v>3</v>
      </c>
      <c r="AL77">
        <v>11</v>
      </c>
      <c r="AM77">
        <v>7</v>
      </c>
      <c r="AN77">
        <v>1</v>
      </c>
      <c r="AO77">
        <v>8</v>
      </c>
      <c r="AP7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7" t="str">
        <f>IF(HRData[[#This Row],[Attrition]]="Yes","Left", IF(HRData[[#This Row],[Attrition_Risk_Score]]&gt;=6,"High",IF(HRData[[#This Row],[Attrition_Risk_Score]]&gt;=3,"Medium","Low")))</f>
        <v>Low</v>
      </c>
      <c r="AR77" t="str">
        <f>IF(HRData[[#This Row],[Attrition_Risk_Level]]&lt;&gt;"High","",HRData[[#This Row],[Attrition_Risk_Score]]*10000-HRData[[#This Row],[EmployeeNumber]])</f>
        <v/>
      </c>
    </row>
    <row r="78" spans="1:44">
      <c r="A78">
        <v>35</v>
      </c>
      <c r="B78" t="str" cm="1">
        <f t="array" ref="B78">_xlfn.IFS(
HRData[[#This Row],[Age]]&lt;=24,"18-24",
HRData[[#This Row],[Age]]&lt;=34,"25-34",
HRData[[#This Row],[Age]]&lt;=44,"35-44",
HRData[[#This Row],[Age]]&lt;=54,"45-54",
HRData[[#This Row],[Age]]&gt;=55,"55+"
)</f>
        <v>35-44</v>
      </c>
      <c r="C78" t="s">
        <v>43</v>
      </c>
      <c r="D78">
        <f>IF(HRData[[#This Row],[Attrition]]="Yes",1,0)</f>
        <v>0</v>
      </c>
      <c r="E78" t="s">
        <v>36</v>
      </c>
      <c r="F78">
        <v>776</v>
      </c>
      <c r="G78" t="s">
        <v>37</v>
      </c>
      <c r="H78">
        <v>1</v>
      </c>
      <c r="I78">
        <v>4</v>
      </c>
      <c r="J78" t="s">
        <v>59</v>
      </c>
      <c r="K78">
        <v>1</v>
      </c>
      <c r="L78">
        <v>100</v>
      </c>
      <c r="M78">
        <v>3</v>
      </c>
      <c r="N78" t="str" cm="1">
        <f t="array" ref="N78">_xlfn.IFS(HRData[[#This Row],[EnvironmentSatisfaction]]=1,"Very Dissatisfied",
HRData[[#This Row],[EnvironmentSatisfaction]]=2,"Dissatisfied",
HRData[[#This Row],[EnvironmentSatisfaction]]=3,"Satisfied",
HRData[[#This Row],[EnvironmentSatisfaction]]=4,"Very Satisfied"
)</f>
        <v>Satisfied</v>
      </c>
      <c r="O78" t="s">
        <v>46</v>
      </c>
      <c r="P78">
        <v>32</v>
      </c>
      <c r="Q78">
        <v>2</v>
      </c>
      <c r="R78">
        <v>2</v>
      </c>
      <c r="S78" t="s">
        <v>40</v>
      </c>
      <c r="T78">
        <v>1</v>
      </c>
      <c r="U78" t="str" cm="1">
        <f t="array" ref="U78">_xlfn.IFS(
HRData[[#This Row],[JobSatisfaction]]=1,"Very Dissatisfied",
HRData[[#This Row],[JobSatisfaction]]=2,"Dissatisfied",
HRData[[#This Row],[JobSatisfaction]]=3,"Satisfied",
HRData[[#This Row],[JobSatisfaction]]=4,"Very Satisfied"
)</f>
        <v>Very Dissatisfied</v>
      </c>
      <c r="V78" t="s">
        <v>41</v>
      </c>
      <c r="W78">
        <v>4312</v>
      </c>
      <c r="X78" t="str" cm="1">
        <f t="array" ref="X78">_xlfn.IFS(
HRData[[#This Row],[MonthlyIncome]]&lt;=4000,"Very Low Income",
HRData[[#This Row],[MonthlyIncome]]&lt;=8000,"Low Income",
HRData[[#This Row],[MonthlyIncome]]&lt;=12000,"Moderate Income",
HRData[[#This Row],[MonthlyIncome]]&lt;=16000,"High Income",
HRData[[#This Row],[MonthlyIncome]]&gt;16000,"Very High Income"
)</f>
        <v>Low Income</v>
      </c>
      <c r="Y78">
        <v>23016</v>
      </c>
      <c r="Z78">
        <v>0</v>
      </c>
      <c r="AA78" t="s">
        <v>42</v>
      </c>
      <c r="AB78" t="s">
        <v>43</v>
      </c>
      <c r="AC78">
        <v>14</v>
      </c>
      <c r="AD78" t="str" cm="1">
        <f t="array" ref="AD78">_xlfn.IFS(HRData[[#This Row],[PercentSalaryHike]]&lt;=15,"11-15",HRData[[#This Row],[PercentSalaryHike]]&lt;=20,"16-20",HRData[[#This Row],[PercentSalaryHike]]&gt;=21,"21+")</f>
        <v>11-15</v>
      </c>
      <c r="AE78">
        <v>3</v>
      </c>
      <c r="AF78">
        <v>2</v>
      </c>
      <c r="AG78">
        <v>80</v>
      </c>
      <c r="AH78">
        <v>0</v>
      </c>
      <c r="AI78">
        <v>16</v>
      </c>
      <c r="AJ78">
        <v>2</v>
      </c>
      <c r="AK78">
        <v>3</v>
      </c>
      <c r="AL78">
        <v>15</v>
      </c>
      <c r="AM78">
        <v>13</v>
      </c>
      <c r="AN78">
        <v>2</v>
      </c>
      <c r="AO78">
        <v>8</v>
      </c>
      <c r="AP7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8" t="str">
        <f>IF(HRData[[#This Row],[Attrition]]="Yes","Left", IF(HRData[[#This Row],[Attrition_Risk_Score]]&gt;=6,"High",IF(HRData[[#This Row],[Attrition_Risk_Score]]&gt;=3,"Medium","Low")))</f>
        <v>Medium</v>
      </c>
      <c r="AR78" t="str">
        <f>IF(HRData[[#This Row],[Attrition_Risk_Level]]&lt;&gt;"High","",HRData[[#This Row],[Attrition_Risk_Score]]*10000-HRData[[#This Row],[EmployeeNumber]])</f>
        <v/>
      </c>
    </row>
    <row r="79" spans="1:44">
      <c r="A79">
        <v>45</v>
      </c>
      <c r="B79" t="str" cm="1">
        <f t="array" ref="B79">_xlfn.IFS(
HRData[[#This Row],[Age]]&lt;=24,"18-24",
HRData[[#This Row],[Age]]&lt;=34,"25-34",
HRData[[#This Row],[Age]]&lt;=44,"35-44",
HRData[[#This Row],[Age]]&lt;=54,"45-54",
HRData[[#This Row],[Age]]&gt;=55,"55+"
)</f>
        <v>45-54</v>
      </c>
      <c r="C79" t="s">
        <v>43</v>
      </c>
      <c r="D79">
        <f>IF(HRData[[#This Row],[Attrition]]="Yes",1,0)</f>
        <v>0</v>
      </c>
      <c r="E79" t="s">
        <v>36</v>
      </c>
      <c r="F79">
        <v>193</v>
      </c>
      <c r="G79" t="s">
        <v>45</v>
      </c>
      <c r="H79">
        <v>6</v>
      </c>
      <c r="I79">
        <v>4</v>
      </c>
      <c r="J79" t="s">
        <v>49</v>
      </c>
      <c r="K79">
        <v>1</v>
      </c>
      <c r="L79">
        <v>101</v>
      </c>
      <c r="M79">
        <v>4</v>
      </c>
      <c r="N79" t="str" cm="1">
        <f t="array" ref="N79">_xlfn.IFS(HRData[[#This Row],[EnvironmentSatisfaction]]=1,"Very Dissatisfied",
HRData[[#This Row],[EnvironmentSatisfaction]]=2,"Dissatisfied",
HRData[[#This Row],[EnvironmentSatisfaction]]=3,"Satisfied",
HRData[[#This Row],[EnvironmentSatisfaction]]=4,"Very Satisfied"
)</f>
        <v>Very Satisfied</v>
      </c>
      <c r="O79" t="s">
        <v>46</v>
      </c>
      <c r="P79">
        <v>52</v>
      </c>
      <c r="Q79">
        <v>3</v>
      </c>
      <c r="R79">
        <v>3</v>
      </c>
      <c r="S79" t="s">
        <v>58</v>
      </c>
      <c r="T79">
        <v>1</v>
      </c>
      <c r="U79" t="str" cm="1">
        <f t="array" ref="U79">_xlfn.IFS(
HRData[[#This Row],[JobSatisfaction]]=1,"Very Dissatisfied",
HRData[[#This Row],[JobSatisfaction]]=2,"Dissatisfied",
HRData[[#This Row],[JobSatisfaction]]=3,"Satisfied",
HRData[[#This Row],[JobSatisfaction]]=4,"Very Satisfied"
)</f>
        <v>Very Dissatisfied</v>
      </c>
      <c r="V79" t="s">
        <v>48</v>
      </c>
      <c r="W79">
        <v>13245</v>
      </c>
      <c r="X79" t="str" cm="1">
        <f t="array" ref="X79">_xlfn.IFS(
HRData[[#This Row],[MonthlyIncome]]&lt;=4000,"Very Low Income",
HRData[[#This Row],[MonthlyIncome]]&lt;=8000,"Low Income",
HRData[[#This Row],[MonthlyIncome]]&lt;=12000,"Moderate Income",
HRData[[#This Row],[MonthlyIncome]]&lt;=16000,"High Income",
HRData[[#This Row],[MonthlyIncome]]&gt;16000,"Very High Income"
)</f>
        <v>High Income</v>
      </c>
      <c r="Y79">
        <v>15067</v>
      </c>
      <c r="Z79">
        <v>4</v>
      </c>
      <c r="AA79" t="s">
        <v>42</v>
      </c>
      <c r="AB79" t="s">
        <v>35</v>
      </c>
      <c r="AC79">
        <v>14</v>
      </c>
      <c r="AD79" t="str" cm="1">
        <f t="array" ref="AD79">_xlfn.IFS(HRData[[#This Row],[PercentSalaryHike]]&lt;=15,"11-15",HRData[[#This Row],[PercentSalaryHike]]&lt;=20,"16-20",HRData[[#This Row],[PercentSalaryHike]]&gt;=21,"21+")</f>
        <v>11-15</v>
      </c>
      <c r="AE79">
        <v>3</v>
      </c>
      <c r="AF79">
        <v>2</v>
      </c>
      <c r="AG79">
        <v>80</v>
      </c>
      <c r="AH79">
        <v>0</v>
      </c>
      <c r="AI79">
        <v>17</v>
      </c>
      <c r="AJ79">
        <v>3</v>
      </c>
      <c r="AK79">
        <v>4</v>
      </c>
      <c r="AL79">
        <v>0</v>
      </c>
      <c r="AM79">
        <v>0</v>
      </c>
      <c r="AN79">
        <v>0</v>
      </c>
      <c r="AO79">
        <v>0</v>
      </c>
      <c r="AP7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79" t="str">
        <f>IF(HRData[[#This Row],[Attrition]]="Yes","Left", IF(HRData[[#This Row],[Attrition_Risk_Score]]&gt;=6,"High",IF(HRData[[#This Row],[Attrition_Risk_Score]]&gt;=3,"Medium","Low")))</f>
        <v>Medium</v>
      </c>
      <c r="AR79" t="str">
        <f>IF(HRData[[#This Row],[Attrition_Risk_Level]]&lt;&gt;"High","",HRData[[#This Row],[Attrition_Risk_Score]]*10000-HRData[[#This Row],[EmployeeNumber]])</f>
        <v/>
      </c>
    </row>
    <row r="80" spans="1:44">
      <c r="A80">
        <v>37</v>
      </c>
      <c r="B80" t="str" cm="1">
        <f t="array" ref="B80">_xlfn.IFS(
HRData[[#This Row],[Age]]&lt;=24,"18-24",
HRData[[#This Row],[Age]]&lt;=34,"25-34",
HRData[[#This Row],[Age]]&lt;=44,"35-44",
HRData[[#This Row],[Age]]&lt;=54,"45-54",
HRData[[#This Row],[Age]]&gt;=55,"55+"
)</f>
        <v>35-44</v>
      </c>
      <c r="C80" t="s">
        <v>43</v>
      </c>
      <c r="D80">
        <f>IF(HRData[[#This Row],[Attrition]]="Yes",1,0)</f>
        <v>0</v>
      </c>
      <c r="E80" t="s">
        <v>36</v>
      </c>
      <c r="F80">
        <v>397</v>
      </c>
      <c r="G80" t="s">
        <v>45</v>
      </c>
      <c r="H80">
        <v>7</v>
      </c>
      <c r="I80">
        <v>4</v>
      </c>
      <c r="J80" t="s">
        <v>51</v>
      </c>
      <c r="K80">
        <v>1</v>
      </c>
      <c r="L80">
        <v>102</v>
      </c>
      <c r="M80">
        <v>1</v>
      </c>
      <c r="N80" t="str" cm="1">
        <f t="array" ref="N80">_xlfn.IFS(HRData[[#This Row],[EnvironmentSatisfaction]]=1,"Very Dissatisfied",
HRData[[#This Row],[EnvironmentSatisfaction]]=2,"Dissatisfied",
HRData[[#This Row],[EnvironmentSatisfaction]]=3,"Satisfied",
HRData[[#This Row],[EnvironmentSatisfaction]]=4,"Very Satisfied"
)</f>
        <v>Very Dissatisfied</v>
      </c>
      <c r="O80" t="s">
        <v>46</v>
      </c>
      <c r="P80">
        <v>30</v>
      </c>
      <c r="Q80">
        <v>3</v>
      </c>
      <c r="R80">
        <v>3</v>
      </c>
      <c r="S80" t="s">
        <v>58</v>
      </c>
      <c r="T80">
        <v>3</v>
      </c>
      <c r="U80" t="str" cm="1">
        <f t="array" ref="U80">_xlfn.IFS(
HRData[[#This Row],[JobSatisfaction]]=1,"Very Dissatisfied",
HRData[[#This Row],[JobSatisfaction]]=2,"Dissatisfied",
HRData[[#This Row],[JobSatisfaction]]=3,"Satisfied",
HRData[[#This Row],[JobSatisfaction]]=4,"Very Satisfied"
)</f>
        <v>Satisfied</v>
      </c>
      <c r="V80" t="s">
        <v>41</v>
      </c>
      <c r="W80">
        <v>13664</v>
      </c>
      <c r="X80" t="str" cm="1">
        <f t="array" ref="X80">_xlfn.IFS(
HRData[[#This Row],[MonthlyIncome]]&lt;=4000,"Very Low Income",
HRData[[#This Row],[MonthlyIncome]]&lt;=8000,"Low Income",
HRData[[#This Row],[MonthlyIncome]]&lt;=12000,"Moderate Income",
HRData[[#This Row],[MonthlyIncome]]&lt;=16000,"High Income",
HRData[[#This Row],[MonthlyIncome]]&gt;16000,"Very High Income"
)</f>
        <v>High Income</v>
      </c>
      <c r="Y80">
        <v>25258</v>
      </c>
      <c r="Z80">
        <v>4</v>
      </c>
      <c r="AA80" t="s">
        <v>42</v>
      </c>
      <c r="AB80" t="s">
        <v>43</v>
      </c>
      <c r="AC80">
        <v>13</v>
      </c>
      <c r="AD80" t="str" cm="1">
        <f t="array" ref="AD80">_xlfn.IFS(HRData[[#This Row],[PercentSalaryHike]]&lt;=15,"11-15",HRData[[#This Row],[PercentSalaryHike]]&lt;=20,"16-20",HRData[[#This Row],[PercentSalaryHike]]&gt;=21,"21+")</f>
        <v>11-15</v>
      </c>
      <c r="AE80">
        <v>3</v>
      </c>
      <c r="AF80">
        <v>1</v>
      </c>
      <c r="AG80">
        <v>80</v>
      </c>
      <c r="AH80">
        <v>0</v>
      </c>
      <c r="AI80">
        <v>16</v>
      </c>
      <c r="AJ80">
        <v>3</v>
      </c>
      <c r="AK80">
        <v>4</v>
      </c>
      <c r="AL80">
        <v>5</v>
      </c>
      <c r="AM80">
        <v>2</v>
      </c>
      <c r="AN80">
        <v>0</v>
      </c>
      <c r="AO80">
        <v>2</v>
      </c>
      <c r="AP8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80" t="str">
        <f>IF(HRData[[#This Row],[Attrition]]="Yes","Left", IF(HRData[[#This Row],[Attrition_Risk_Score]]&gt;=6,"High",IF(HRData[[#This Row],[Attrition_Risk_Score]]&gt;=3,"Medium","Low")))</f>
        <v>Low</v>
      </c>
      <c r="AR80" t="str">
        <f>IF(HRData[[#This Row],[Attrition_Risk_Level]]&lt;&gt;"High","",HRData[[#This Row],[Attrition_Risk_Score]]*10000-HRData[[#This Row],[EmployeeNumber]])</f>
        <v/>
      </c>
    </row>
    <row r="81" spans="1:44">
      <c r="A81">
        <v>46</v>
      </c>
      <c r="B81" t="str" cm="1">
        <f t="array" ref="B81">_xlfn.IFS(
HRData[[#This Row],[Age]]&lt;=24,"18-24",
HRData[[#This Row],[Age]]&lt;=34,"25-34",
HRData[[#This Row],[Age]]&lt;=44,"35-44",
HRData[[#This Row],[Age]]&lt;=54,"45-54",
HRData[[#This Row],[Age]]&gt;=55,"55+"
)</f>
        <v>45-54</v>
      </c>
      <c r="C81" t="s">
        <v>43</v>
      </c>
      <c r="D81">
        <f>IF(HRData[[#This Row],[Attrition]]="Yes",1,0)</f>
        <v>0</v>
      </c>
      <c r="E81" t="s">
        <v>36</v>
      </c>
      <c r="F81">
        <v>945</v>
      </c>
      <c r="G81" t="s">
        <v>61</v>
      </c>
      <c r="H81">
        <v>5</v>
      </c>
      <c r="I81">
        <v>2</v>
      </c>
      <c r="J81" t="s">
        <v>51</v>
      </c>
      <c r="K81">
        <v>1</v>
      </c>
      <c r="L81">
        <v>103</v>
      </c>
      <c r="M81">
        <v>2</v>
      </c>
      <c r="N81" t="str" cm="1">
        <f t="array" ref="N81">_xlfn.IFS(HRData[[#This Row],[EnvironmentSatisfaction]]=1,"Very Dissatisfied",
HRData[[#This Row],[EnvironmentSatisfaction]]=2,"Dissatisfied",
HRData[[#This Row],[EnvironmentSatisfaction]]=3,"Satisfied",
HRData[[#This Row],[EnvironmentSatisfaction]]=4,"Very Satisfied"
)</f>
        <v>Dissatisfied</v>
      </c>
      <c r="O81" t="s">
        <v>46</v>
      </c>
      <c r="P81">
        <v>80</v>
      </c>
      <c r="Q81">
        <v>3</v>
      </c>
      <c r="R81">
        <v>2</v>
      </c>
      <c r="S81" t="s">
        <v>61</v>
      </c>
      <c r="T81">
        <v>2</v>
      </c>
      <c r="U81" t="str" cm="1">
        <f t="array" ref="U81">_xlfn.IFS(
HRData[[#This Row],[JobSatisfaction]]=1,"Very Dissatisfied",
HRData[[#This Row],[JobSatisfaction]]=2,"Dissatisfied",
HRData[[#This Row],[JobSatisfaction]]=3,"Satisfied",
HRData[[#This Row],[JobSatisfaction]]=4,"Very Satisfied"
)</f>
        <v>Dissatisfied</v>
      </c>
      <c r="V81" t="s">
        <v>52</v>
      </c>
      <c r="W81">
        <v>5021</v>
      </c>
      <c r="X81" t="str" cm="1">
        <f t="array" ref="X81">_xlfn.IFS(
HRData[[#This Row],[MonthlyIncome]]&lt;=4000,"Very Low Income",
HRData[[#This Row],[MonthlyIncome]]&lt;=8000,"Low Income",
HRData[[#This Row],[MonthlyIncome]]&lt;=12000,"Moderate Income",
HRData[[#This Row],[MonthlyIncome]]&lt;=16000,"High Income",
HRData[[#This Row],[MonthlyIncome]]&gt;16000,"Very High Income"
)</f>
        <v>Low Income</v>
      </c>
      <c r="Y81">
        <v>10425</v>
      </c>
      <c r="Z81">
        <v>8</v>
      </c>
      <c r="AA81" t="s">
        <v>42</v>
      </c>
      <c r="AB81" t="s">
        <v>35</v>
      </c>
      <c r="AC81">
        <v>22</v>
      </c>
      <c r="AD81" t="str" cm="1">
        <f t="array" ref="AD81">_xlfn.IFS(HRData[[#This Row],[PercentSalaryHike]]&lt;=15,"11-15",HRData[[#This Row],[PercentSalaryHike]]&lt;=20,"16-20",HRData[[#This Row],[PercentSalaryHike]]&gt;=21,"21+")</f>
        <v>21+</v>
      </c>
      <c r="AE81">
        <v>4</v>
      </c>
      <c r="AF81">
        <v>4</v>
      </c>
      <c r="AG81">
        <v>80</v>
      </c>
      <c r="AH81">
        <v>1</v>
      </c>
      <c r="AI81">
        <v>16</v>
      </c>
      <c r="AJ81">
        <v>2</v>
      </c>
      <c r="AK81">
        <v>3</v>
      </c>
      <c r="AL81">
        <v>4</v>
      </c>
      <c r="AM81">
        <v>2</v>
      </c>
      <c r="AN81">
        <v>0</v>
      </c>
      <c r="AO81">
        <v>2</v>
      </c>
      <c r="AP8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81" t="str">
        <f>IF(HRData[[#This Row],[Attrition]]="Yes","Left", IF(HRData[[#This Row],[Attrition_Risk_Score]]&gt;=6,"High",IF(HRData[[#This Row],[Attrition_Risk_Score]]&gt;=3,"Medium","Low")))</f>
        <v>Medium</v>
      </c>
      <c r="AR81" t="str">
        <f>IF(HRData[[#This Row],[Attrition_Risk_Level]]&lt;&gt;"High","",HRData[[#This Row],[Attrition_Risk_Score]]*10000-HRData[[#This Row],[EmployeeNumber]])</f>
        <v/>
      </c>
    </row>
    <row r="82" spans="1:44">
      <c r="A82">
        <v>30</v>
      </c>
      <c r="B82" t="str" cm="1">
        <f t="array" ref="B82">_xlfn.IFS(
HRData[[#This Row],[Age]]&lt;=24,"18-24",
HRData[[#This Row],[Age]]&lt;=34,"25-34",
HRData[[#This Row],[Age]]&lt;=44,"35-44",
HRData[[#This Row],[Age]]&lt;=54,"45-54",
HRData[[#This Row],[Age]]&gt;=55,"55+"
)</f>
        <v>25-34</v>
      </c>
      <c r="C82" t="s">
        <v>43</v>
      </c>
      <c r="D82">
        <f>IF(HRData[[#This Row],[Attrition]]="Yes",1,0)</f>
        <v>0</v>
      </c>
      <c r="E82" t="s">
        <v>36</v>
      </c>
      <c r="F82">
        <v>852</v>
      </c>
      <c r="G82" t="s">
        <v>45</v>
      </c>
      <c r="H82">
        <v>1</v>
      </c>
      <c r="I82">
        <v>1</v>
      </c>
      <c r="J82" t="s">
        <v>38</v>
      </c>
      <c r="K82">
        <v>1</v>
      </c>
      <c r="L82">
        <v>104</v>
      </c>
      <c r="M82">
        <v>4</v>
      </c>
      <c r="N82" t="str" cm="1">
        <f t="array" ref="N82">_xlfn.IFS(HRData[[#This Row],[EnvironmentSatisfaction]]=1,"Very Dissatisfied",
HRData[[#This Row],[EnvironmentSatisfaction]]=2,"Dissatisfied",
HRData[[#This Row],[EnvironmentSatisfaction]]=3,"Satisfied",
HRData[[#This Row],[EnvironmentSatisfaction]]=4,"Very Satisfied"
)</f>
        <v>Very Satisfied</v>
      </c>
      <c r="O82" t="s">
        <v>46</v>
      </c>
      <c r="P82">
        <v>55</v>
      </c>
      <c r="Q82">
        <v>2</v>
      </c>
      <c r="R82">
        <v>2</v>
      </c>
      <c r="S82" t="s">
        <v>50</v>
      </c>
      <c r="T82">
        <v>4</v>
      </c>
      <c r="U82" t="str" cm="1">
        <f t="array" ref="U82">_xlfn.IFS(
HRData[[#This Row],[JobSatisfaction]]=1,"Very Dissatisfied",
HRData[[#This Row],[JobSatisfaction]]=2,"Dissatisfied",
HRData[[#This Row],[JobSatisfaction]]=3,"Satisfied",
HRData[[#This Row],[JobSatisfaction]]=4,"Very Satisfied"
)</f>
        <v>Very Satisfied</v>
      </c>
      <c r="V82" t="s">
        <v>48</v>
      </c>
      <c r="W82">
        <v>5126</v>
      </c>
      <c r="X82" t="str" cm="1">
        <f t="array" ref="X82">_xlfn.IFS(
HRData[[#This Row],[MonthlyIncome]]&lt;=4000,"Very Low Income",
HRData[[#This Row],[MonthlyIncome]]&lt;=8000,"Low Income",
HRData[[#This Row],[MonthlyIncome]]&lt;=12000,"Moderate Income",
HRData[[#This Row],[MonthlyIncome]]&lt;=16000,"High Income",
HRData[[#This Row],[MonthlyIncome]]&gt;16000,"Very High Income"
)</f>
        <v>Low Income</v>
      </c>
      <c r="Y82">
        <v>15998</v>
      </c>
      <c r="Z82">
        <v>1</v>
      </c>
      <c r="AA82" t="s">
        <v>42</v>
      </c>
      <c r="AB82" t="s">
        <v>35</v>
      </c>
      <c r="AC82">
        <v>12</v>
      </c>
      <c r="AD82" t="str" cm="1">
        <f t="array" ref="AD82">_xlfn.IFS(HRData[[#This Row],[PercentSalaryHike]]&lt;=15,"11-15",HRData[[#This Row],[PercentSalaryHike]]&lt;=20,"16-20",HRData[[#This Row],[PercentSalaryHike]]&gt;=21,"21+")</f>
        <v>11-15</v>
      </c>
      <c r="AE82">
        <v>3</v>
      </c>
      <c r="AF82">
        <v>3</v>
      </c>
      <c r="AG82">
        <v>80</v>
      </c>
      <c r="AH82">
        <v>2</v>
      </c>
      <c r="AI82">
        <v>10</v>
      </c>
      <c r="AJ82">
        <v>1</v>
      </c>
      <c r="AK82">
        <v>2</v>
      </c>
      <c r="AL82">
        <v>10</v>
      </c>
      <c r="AM82">
        <v>8</v>
      </c>
      <c r="AN82">
        <v>3</v>
      </c>
      <c r="AO82">
        <v>0</v>
      </c>
      <c r="AP8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82" t="str">
        <f>IF(HRData[[#This Row],[Attrition]]="Yes","Left", IF(HRData[[#This Row],[Attrition_Risk_Score]]&gt;=6,"High",IF(HRData[[#This Row],[Attrition_Risk_Score]]&gt;=3,"Medium","Low")))</f>
        <v>Medium</v>
      </c>
      <c r="AR82" t="str">
        <f>IF(HRData[[#This Row],[Attrition_Risk_Level]]&lt;&gt;"High","",HRData[[#This Row],[Attrition_Risk_Score]]*10000-HRData[[#This Row],[EmployeeNumber]])</f>
        <v/>
      </c>
    </row>
    <row r="83" spans="1:44">
      <c r="A83">
        <v>35</v>
      </c>
      <c r="B83" t="str" cm="1">
        <f t="array" ref="B83">_xlfn.IFS(
HRData[[#This Row],[Age]]&lt;=24,"18-24",
HRData[[#This Row],[Age]]&lt;=34,"25-34",
HRData[[#This Row],[Age]]&lt;=44,"35-44",
HRData[[#This Row],[Age]]&lt;=54,"45-54",
HRData[[#This Row],[Age]]&gt;=55,"55+"
)</f>
        <v>35-44</v>
      </c>
      <c r="C83" t="s">
        <v>43</v>
      </c>
      <c r="D83">
        <f>IF(HRData[[#This Row],[Attrition]]="Yes",1,0)</f>
        <v>0</v>
      </c>
      <c r="E83" t="s">
        <v>36</v>
      </c>
      <c r="F83">
        <v>1214</v>
      </c>
      <c r="G83" t="s">
        <v>45</v>
      </c>
      <c r="H83">
        <v>1</v>
      </c>
      <c r="I83">
        <v>3</v>
      </c>
      <c r="J83" t="s">
        <v>51</v>
      </c>
      <c r="K83">
        <v>1</v>
      </c>
      <c r="L83">
        <v>105</v>
      </c>
      <c r="M83">
        <v>2</v>
      </c>
      <c r="N83" t="str" cm="1">
        <f t="array" ref="N83">_xlfn.IFS(HRData[[#This Row],[EnvironmentSatisfaction]]=1,"Very Dissatisfied",
HRData[[#This Row],[EnvironmentSatisfaction]]=2,"Dissatisfied",
HRData[[#This Row],[EnvironmentSatisfaction]]=3,"Satisfied",
HRData[[#This Row],[EnvironmentSatisfaction]]=4,"Very Satisfied"
)</f>
        <v>Dissatisfied</v>
      </c>
      <c r="O83" t="s">
        <v>46</v>
      </c>
      <c r="P83">
        <v>30</v>
      </c>
      <c r="Q83">
        <v>2</v>
      </c>
      <c r="R83">
        <v>1</v>
      </c>
      <c r="S83" t="s">
        <v>47</v>
      </c>
      <c r="T83">
        <v>3</v>
      </c>
      <c r="U83" t="str" cm="1">
        <f t="array" ref="U83">_xlfn.IFS(
HRData[[#This Row],[JobSatisfaction]]=1,"Very Dissatisfied",
HRData[[#This Row],[JobSatisfaction]]=2,"Dissatisfied",
HRData[[#This Row],[JobSatisfaction]]=3,"Satisfied",
HRData[[#This Row],[JobSatisfaction]]=4,"Very Satisfied"
)</f>
        <v>Satisfied</v>
      </c>
      <c r="V83" t="s">
        <v>41</v>
      </c>
      <c r="W83">
        <v>2859</v>
      </c>
      <c r="X83" t="str" cm="1">
        <f t="array" ref="X83">_xlfn.IFS(
HRData[[#This Row],[MonthlyIncome]]&lt;=4000,"Very Low Income",
HRData[[#This Row],[MonthlyIncome]]&lt;=8000,"Low Income",
HRData[[#This Row],[MonthlyIncome]]&lt;=12000,"Moderate Income",
HRData[[#This Row],[MonthlyIncome]]&lt;=16000,"High Income",
HRData[[#This Row],[MonthlyIncome]]&gt;16000,"Very High Income"
)</f>
        <v>Very Low Income</v>
      </c>
      <c r="Y83">
        <v>26278</v>
      </c>
      <c r="Z83">
        <v>1</v>
      </c>
      <c r="AA83" t="s">
        <v>42</v>
      </c>
      <c r="AB83" t="s">
        <v>43</v>
      </c>
      <c r="AC83">
        <v>18</v>
      </c>
      <c r="AD83" t="str" cm="1">
        <f t="array" ref="AD83">_xlfn.IFS(HRData[[#This Row],[PercentSalaryHike]]&lt;=15,"11-15",HRData[[#This Row],[PercentSalaryHike]]&lt;=20,"16-20",HRData[[#This Row],[PercentSalaryHike]]&gt;=21,"21+")</f>
        <v>16-20</v>
      </c>
      <c r="AE83">
        <v>3</v>
      </c>
      <c r="AF83">
        <v>1</v>
      </c>
      <c r="AG83">
        <v>80</v>
      </c>
      <c r="AH83">
        <v>0</v>
      </c>
      <c r="AI83">
        <v>6</v>
      </c>
      <c r="AJ83">
        <v>3</v>
      </c>
      <c r="AK83">
        <v>3</v>
      </c>
      <c r="AL83">
        <v>6</v>
      </c>
      <c r="AM83">
        <v>4</v>
      </c>
      <c r="AN83">
        <v>0</v>
      </c>
      <c r="AO83">
        <v>4</v>
      </c>
      <c r="AP8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3" t="str">
        <f>IF(HRData[[#This Row],[Attrition]]="Yes","Left", IF(HRData[[#This Row],[Attrition_Risk_Score]]&gt;=6,"High",IF(HRData[[#This Row],[Attrition_Risk_Score]]&gt;=3,"Medium","Low")))</f>
        <v>Low</v>
      </c>
      <c r="AR83" t="str">
        <f>IF(HRData[[#This Row],[Attrition_Risk_Level]]&lt;&gt;"High","",HRData[[#This Row],[Attrition_Risk_Score]]*10000-HRData[[#This Row],[EmployeeNumber]])</f>
        <v/>
      </c>
    </row>
    <row r="84" spans="1:44">
      <c r="A84">
        <v>55</v>
      </c>
      <c r="B84" t="str" cm="1">
        <f t="array" ref="B84">_xlfn.IFS(
HRData[[#This Row],[Age]]&lt;=24,"18-24",
HRData[[#This Row],[Age]]&lt;=34,"25-34",
HRData[[#This Row],[Age]]&lt;=44,"35-44",
HRData[[#This Row],[Age]]&lt;=54,"45-54",
HRData[[#This Row],[Age]]&gt;=55,"55+"
)</f>
        <v>55+</v>
      </c>
      <c r="C84" t="s">
        <v>43</v>
      </c>
      <c r="D84">
        <f>IF(HRData[[#This Row],[Attrition]]="Yes",1,0)</f>
        <v>0</v>
      </c>
      <c r="E84" t="s">
        <v>36</v>
      </c>
      <c r="F84">
        <v>111</v>
      </c>
      <c r="G84" t="s">
        <v>37</v>
      </c>
      <c r="H84">
        <v>1</v>
      </c>
      <c r="I84">
        <v>2</v>
      </c>
      <c r="J84" t="s">
        <v>38</v>
      </c>
      <c r="K84">
        <v>1</v>
      </c>
      <c r="L84">
        <v>106</v>
      </c>
      <c r="M84">
        <v>1</v>
      </c>
      <c r="N84" t="str" cm="1">
        <f t="array" ref="N84">_xlfn.IFS(HRData[[#This Row],[EnvironmentSatisfaction]]=1,"Very Dissatisfied",
HRData[[#This Row],[EnvironmentSatisfaction]]=2,"Dissatisfied",
HRData[[#This Row],[EnvironmentSatisfaction]]=3,"Satisfied",
HRData[[#This Row],[EnvironmentSatisfaction]]=4,"Very Satisfied"
)</f>
        <v>Very Dissatisfied</v>
      </c>
      <c r="O84" t="s">
        <v>46</v>
      </c>
      <c r="P84">
        <v>70</v>
      </c>
      <c r="Q84">
        <v>3</v>
      </c>
      <c r="R84">
        <v>3</v>
      </c>
      <c r="S84" t="s">
        <v>40</v>
      </c>
      <c r="T84">
        <v>4</v>
      </c>
      <c r="U84" t="str" cm="1">
        <f t="array" ref="U84">_xlfn.IFS(
HRData[[#This Row],[JobSatisfaction]]=1,"Very Dissatisfied",
HRData[[#This Row],[JobSatisfaction]]=2,"Dissatisfied",
HRData[[#This Row],[JobSatisfaction]]=3,"Satisfied",
HRData[[#This Row],[JobSatisfaction]]=4,"Very Satisfied"
)</f>
        <v>Very Satisfied</v>
      </c>
      <c r="V84" t="s">
        <v>48</v>
      </c>
      <c r="W84">
        <v>10239</v>
      </c>
      <c r="X84" t="str" cm="1">
        <f t="array" ref="X84">_xlfn.IFS(
HRData[[#This Row],[MonthlyIncome]]&lt;=4000,"Very Low Income",
HRData[[#This Row],[MonthlyIncome]]&lt;=8000,"Low Income",
HRData[[#This Row],[MonthlyIncome]]&lt;=12000,"Moderate Income",
HRData[[#This Row],[MonthlyIncome]]&lt;=16000,"High Income",
HRData[[#This Row],[MonthlyIncome]]&gt;16000,"Very High Income"
)</f>
        <v>Moderate Income</v>
      </c>
      <c r="Y84">
        <v>18092</v>
      </c>
      <c r="Z84">
        <v>3</v>
      </c>
      <c r="AA84" t="s">
        <v>42</v>
      </c>
      <c r="AB84" t="s">
        <v>43</v>
      </c>
      <c r="AC84">
        <v>14</v>
      </c>
      <c r="AD84" t="str" cm="1">
        <f t="array" ref="AD84">_xlfn.IFS(HRData[[#This Row],[PercentSalaryHike]]&lt;=15,"11-15",HRData[[#This Row],[PercentSalaryHike]]&lt;=20,"16-20",HRData[[#This Row],[PercentSalaryHike]]&gt;=21,"21+")</f>
        <v>11-15</v>
      </c>
      <c r="AE84">
        <v>3</v>
      </c>
      <c r="AF84">
        <v>4</v>
      </c>
      <c r="AG84">
        <v>80</v>
      </c>
      <c r="AH84">
        <v>1</v>
      </c>
      <c r="AI84">
        <v>24</v>
      </c>
      <c r="AJ84">
        <v>4</v>
      </c>
      <c r="AK84">
        <v>3</v>
      </c>
      <c r="AL84">
        <v>1</v>
      </c>
      <c r="AM84">
        <v>0</v>
      </c>
      <c r="AN84">
        <v>1</v>
      </c>
      <c r="AO84">
        <v>0</v>
      </c>
      <c r="AP8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84" t="str">
        <f>IF(HRData[[#This Row],[Attrition]]="Yes","Left", IF(HRData[[#This Row],[Attrition_Risk_Score]]&gt;=6,"High",IF(HRData[[#This Row],[Attrition_Risk_Score]]&gt;=3,"Medium","Low")))</f>
        <v>Low</v>
      </c>
      <c r="AR84" t="str">
        <f>IF(HRData[[#This Row],[Attrition_Risk_Level]]&lt;&gt;"High","",HRData[[#This Row],[Attrition_Risk_Score]]*10000-HRData[[#This Row],[EmployeeNumber]])</f>
        <v/>
      </c>
    </row>
    <row r="85" spans="1:44">
      <c r="A85">
        <v>38</v>
      </c>
      <c r="B85" t="str" cm="1">
        <f t="array" ref="B85">_xlfn.IFS(
HRData[[#This Row],[Age]]&lt;=24,"18-24",
HRData[[#This Row],[Age]]&lt;=34,"25-34",
HRData[[#This Row],[Age]]&lt;=44,"35-44",
HRData[[#This Row],[Age]]&lt;=54,"45-54",
HRData[[#This Row],[Age]]&gt;=55,"55+"
)</f>
        <v>35-44</v>
      </c>
      <c r="C85" t="s">
        <v>43</v>
      </c>
      <c r="D85">
        <f>IF(HRData[[#This Row],[Attrition]]="Yes",1,0)</f>
        <v>0</v>
      </c>
      <c r="E85" t="s">
        <v>55</v>
      </c>
      <c r="F85">
        <v>573</v>
      </c>
      <c r="G85" t="s">
        <v>45</v>
      </c>
      <c r="H85">
        <v>6</v>
      </c>
      <c r="I85">
        <v>3</v>
      </c>
      <c r="J85" t="s">
        <v>51</v>
      </c>
      <c r="K85">
        <v>1</v>
      </c>
      <c r="L85">
        <v>107</v>
      </c>
      <c r="M85">
        <v>2</v>
      </c>
      <c r="N85" t="str" cm="1">
        <f t="array" ref="N85">_xlfn.IFS(HRData[[#This Row],[EnvironmentSatisfaction]]=1,"Very Dissatisfied",
HRData[[#This Row],[EnvironmentSatisfaction]]=2,"Dissatisfied",
HRData[[#This Row],[EnvironmentSatisfaction]]=3,"Satisfied",
HRData[[#This Row],[EnvironmentSatisfaction]]=4,"Very Satisfied"
)</f>
        <v>Dissatisfied</v>
      </c>
      <c r="O85" t="s">
        <v>39</v>
      </c>
      <c r="P85">
        <v>79</v>
      </c>
      <c r="Q85">
        <v>1</v>
      </c>
      <c r="R85">
        <v>2</v>
      </c>
      <c r="S85" t="s">
        <v>47</v>
      </c>
      <c r="T85">
        <v>4</v>
      </c>
      <c r="U85" t="str" cm="1">
        <f t="array" ref="U85">_xlfn.IFS(
HRData[[#This Row],[JobSatisfaction]]=1,"Very Dissatisfied",
HRData[[#This Row],[JobSatisfaction]]=2,"Dissatisfied",
HRData[[#This Row],[JobSatisfaction]]=3,"Satisfied",
HRData[[#This Row],[JobSatisfaction]]=4,"Very Satisfied"
)</f>
        <v>Very Satisfied</v>
      </c>
      <c r="V85" t="s">
        <v>52</v>
      </c>
      <c r="W85">
        <v>5329</v>
      </c>
      <c r="X85" t="str" cm="1">
        <f t="array" ref="X85">_xlfn.IFS(
HRData[[#This Row],[MonthlyIncome]]&lt;=4000,"Very Low Income",
HRData[[#This Row],[MonthlyIncome]]&lt;=8000,"Low Income",
HRData[[#This Row],[MonthlyIncome]]&lt;=12000,"Moderate Income",
HRData[[#This Row],[MonthlyIncome]]&lt;=16000,"High Income",
HRData[[#This Row],[MonthlyIncome]]&gt;16000,"Very High Income"
)</f>
        <v>Low Income</v>
      </c>
      <c r="Y85">
        <v>15717</v>
      </c>
      <c r="Z85">
        <v>7</v>
      </c>
      <c r="AA85" t="s">
        <v>42</v>
      </c>
      <c r="AB85" t="s">
        <v>35</v>
      </c>
      <c r="AC85">
        <v>12</v>
      </c>
      <c r="AD85" t="str" cm="1">
        <f t="array" ref="AD85">_xlfn.IFS(HRData[[#This Row],[PercentSalaryHike]]&lt;=15,"11-15",HRData[[#This Row],[PercentSalaryHike]]&lt;=20,"16-20",HRData[[#This Row],[PercentSalaryHike]]&gt;=21,"21+")</f>
        <v>11-15</v>
      </c>
      <c r="AE85">
        <v>3</v>
      </c>
      <c r="AF85">
        <v>4</v>
      </c>
      <c r="AG85">
        <v>80</v>
      </c>
      <c r="AH85">
        <v>3</v>
      </c>
      <c r="AI85">
        <v>17</v>
      </c>
      <c r="AJ85">
        <v>3</v>
      </c>
      <c r="AK85">
        <v>3</v>
      </c>
      <c r="AL85">
        <v>13</v>
      </c>
      <c r="AM85">
        <v>11</v>
      </c>
      <c r="AN85">
        <v>1</v>
      </c>
      <c r="AO85">
        <v>9</v>
      </c>
      <c r="AP8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5" t="str">
        <f>IF(HRData[[#This Row],[Attrition]]="Yes","Left", IF(HRData[[#This Row],[Attrition_Risk_Score]]&gt;=6,"High",IF(HRData[[#This Row],[Attrition_Risk_Score]]&gt;=3,"Medium","Low")))</f>
        <v>Medium</v>
      </c>
      <c r="AR85" t="str">
        <f>IF(HRData[[#This Row],[Attrition_Risk_Level]]&lt;&gt;"High","",HRData[[#This Row],[Attrition_Risk_Score]]*10000-HRData[[#This Row],[EmployeeNumber]])</f>
        <v/>
      </c>
    </row>
    <row r="86" spans="1:44">
      <c r="A86">
        <v>34</v>
      </c>
      <c r="B86" t="str" cm="1">
        <f t="array" ref="B86">_xlfn.IFS(
HRData[[#This Row],[Age]]&lt;=24,"18-24",
HRData[[#This Row],[Age]]&lt;=34,"25-34",
HRData[[#This Row],[Age]]&lt;=44,"35-44",
HRData[[#This Row],[Age]]&lt;=54,"45-54",
HRData[[#This Row],[Age]]&gt;=55,"55+"
)</f>
        <v>25-34</v>
      </c>
      <c r="C86" t="s">
        <v>43</v>
      </c>
      <c r="D86">
        <f>IF(HRData[[#This Row],[Attrition]]="Yes",1,0)</f>
        <v>0</v>
      </c>
      <c r="E86" t="s">
        <v>36</v>
      </c>
      <c r="F86">
        <v>1153</v>
      </c>
      <c r="G86" t="s">
        <v>45</v>
      </c>
      <c r="H86">
        <v>1</v>
      </c>
      <c r="I86">
        <v>2</v>
      </c>
      <c r="J86" t="s">
        <v>51</v>
      </c>
      <c r="K86">
        <v>1</v>
      </c>
      <c r="L86">
        <v>110</v>
      </c>
      <c r="M86">
        <v>1</v>
      </c>
      <c r="N86" t="str" cm="1">
        <f t="array" ref="N86">_xlfn.IFS(HRData[[#This Row],[EnvironmentSatisfaction]]=1,"Very Dissatisfied",
HRData[[#This Row],[EnvironmentSatisfaction]]=2,"Dissatisfied",
HRData[[#This Row],[EnvironmentSatisfaction]]=3,"Satisfied",
HRData[[#This Row],[EnvironmentSatisfaction]]=4,"Very Satisfied"
)</f>
        <v>Very Dissatisfied</v>
      </c>
      <c r="O86" t="s">
        <v>46</v>
      </c>
      <c r="P86">
        <v>94</v>
      </c>
      <c r="Q86">
        <v>3</v>
      </c>
      <c r="R86">
        <v>2</v>
      </c>
      <c r="S86" t="s">
        <v>53</v>
      </c>
      <c r="T86">
        <v>2</v>
      </c>
      <c r="U86" t="str" cm="1">
        <f t="array" ref="U86">_xlfn.IFS(
HRData[[#This Row],[JobSatisfaction]]=1,"Very Dissatisfied",
HRData[[#This Row],[JobSatisfaction]]=2,"Dissatisfied",
HRData[[#This Row],[JobSatisfaction]]=3,"Satisfied",
HRData[[#This Row],[JobSatisfaction]]=4,"Very Satisfied"
)</f>
        <v>Dissatisfied</v>
      </c>
      <c r="V86" t="s">
        <v>48</v>
      </c>
      <c r="W86">
        <v>4325</v>
      </c>
      <c r="X86" t="str" cm="1">
        <f t="array" ref="X86">_xlfn.IFS(
HRData[[#This Row],[MonthlyIncome]]&lt;=4000,"Very Low Income",
HRData[[#This Row],[MonthlyIncome]]&lt;=8000,"Low Income",
HRData[[#This Row],[MonthlyIncome]]&lt;=12000,"Moderate Income",
HRData[[#This Row],[MonthlyIncome]]&lt;=16000,"High Income",
HRData[[#This Row],[MonthlyIncome]]&gt;16000,"Very High Income"
)</f>
        <v>Low Income</v>
      </c>
      <c r="Y86">
        <v>17736</v>
      </c>
      <c r="Z86">
        <v>1</v>
      </c>
      <c r="AA86" t="s">
        <v>42</v>
      </c>
      <c r="AB86" t="s">
        <v>43</v>
      </c>
      <c r="AC86">
        <v>15</v>
      </c>
      <c r="AD86" t="str" cm="1">
        <f t="array" ref="AD86">_xlfn.IFS(HRData[[#This Row],[PercentSalaryHike]]&lt;=15,"11-15",HRData[[#This Row],[PercentSalaryHike]]&lt;=20,"16-20",HRData[[#This Row],[PercentSalaryHike]]&gt;=21,"21+")</f>
        <v>11-15</v>
      </c>
      <c r="AE86">
        <v>3</v>
      </c>
      <c r="AF86">
        <v>3</v>
      </c>
      <c r="AG86">
        <v>80</v>
      </c>
      <c r="AH86">
        <v>0</v>
      </c>
      <c r="AI86">
        <v>5</v>
      </c>
      <c r="AJ86">
        <v>2</v>
      </c>
      <c r="AK86">
        <v>3</v>
      </c>
      <c r="AL86">
        <v>5</v>
      </c>
      <c r="AM86">
        <v>2</v>
      </c>
      <c r="AN86">
        <v>1</v>
      </c>
      <c r="AO86">
        <v>3</v>
      </c>
      <c r="AP8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6" t="str">
        <f>IF(HRData[[#This Row],[Attrition]]="Yes","Left", IF(HRData[[#This Row],[Attrition_Risk_Score]]&gt;=6,"High",IF(HRData[[#This Row],[Attrition_Risk_Score]]&gt;=3,"Medium","Low")))</f>
        <v>Low</v>
      </c>
      <c r="AR86" t="str">
        <f>IF(HRData[[#This Row],[Attrition_Risk_Level]]&lt;&gt;"High","",HRData[[#This Row],[Attrition_Risk_Score]]*10000-HRData[[#This Row],[EmployeeNumber]])</f>
        <v/>
      </c>
    </row>
    <row r="87" spans="1:44">
      <c r="A87">
        <v>56</v>
      </c>
      <c r="B87" t="str" cm="1">
        <f t="array" ref="B87">_xlfn.IFS(
HRData[[#This Row],[Age]]&lt;=24,"18-24",
HRData[[#This Row],[Age]]&lt;=34,"25-34",
HRData[[#This Row],[Age]]&lt;=44,"35-44",
HRData[[#This Row],[Age]]&lt;=54,"45-54",
HRData[[#This Row],[Age]]&gt;=55,"55+"
)</f>
        <v>55+</v>
      </c>
      <c r="C87" t="s">
        <v>43</v>
      </c>
      <c r="D87">
        <f>IF(HRData[[#This Row],[Attrition]]="Yes",1,0)</f>
        <v>0</v>
      </c>
      <c r="E87" t="s">
        <v>36</v>
      </c>
      <c r="F87">
        <v>1400</v>
      </c>
      <c r="G87" t="s">
        <v>45</v>
      </c>
      <c r="H87">
        <v>7</v>
      </c>
      <c r="I87">
        <v>3</v>
      </c>
      <c r="J87" t="s">
        <v>38</v>
      </c>
      <c r="K87">
        <v>1</v>
      </c>
      <c r="L87">
        <v>112</v>
      </c>
      <c r="M87">
        <v>4</v>
      </c>
      <c r="N87" t="str" cm="1">
        <f t="array" ref="N87">_xlfn.IFS(HRData[[#This Row],[EnvironmentSatisfaction]]=1,"Very Dissatisfied",
HRData[[#This Row],[EnvironmentSatisfaction]]=2,"Dissatisfied",
HRData[[#This Row],[EnvironmentSatisfaction]]=3,"Satisfied",
HRData[[#This Row],[EnvironmentSatisfaction]]=4,"Very Satisfied"
)</f>
        <v>Very Satisfied</v>
      </c>
      <c r="O87" t="s">
        <v>46</v>
      </c>
      <c r="P87">
        <v>49</v>
      </c>
      <c r="Q87">
        <v>1</v>
      </c>
      <c r="R87">
        <v>3</v>
      </c>
      <c r="S87" t="s">
        <v>53</v>
      </c>
      <c r="T87">
        <v>4</v>
      </c>
      <c r="U87" t="str" cm="1">
        <f t="array" ref="U87">_xlfn.IFS(
HRData[[#This Row],[JobSatisfaction]]=1,"Very Dissatisfied",
HRData[[#This Row],[JobSatisfaction]]=2,"Dissatisfied",
HRData[[#This Row],[JobSatisfaction]]=3,"Satisfied",
HRData[[#This Row],[JobSatisfaction]]=4,"Very Satisfied"
)</f>
        <v>Very Satisfied</v>
      </c>
      <c r="V87" t="s">
        <v>41</v>
      </c>
      <c r="W87">
        <v>7260</v>
      </c>
      <c r="X87" t="str" cm="1">
        <f t="array" ref="X87">_xlfn.IFS(
HRData[[#This Row],[MonthlyIncome]]&lt;=4000,"Very Low Income",
HRData[[#This Row],[MonthlyIncome]]&lt;=8000,"Low Income",
HRData[[#This Row],[MonthlyIncome]]&lt;=12000,"Moderate Income",
HRData[[#This Row],[MonthlyIncome]]&lt;=16000,"High Income",
HRData[[#This Row],[MonthlyIncome]]&gt;16000,"Very High Income"
)</f>
        <v>Low Income</v>
      </c>
      <c r="Y87">
        <v>21698</v>
      </c>
      <c r="Z87">
        <v>4</v>
      </c>
      <c r="AA87" t="s">
        <v>42</v>
      </c>
      <c r="AB87" t="s">
        <v>43</v>
      </c>
      <c r="AC87">
        <v>11</v>
      </c>
      <c r="AD87" t="str" cm="1">
        <f t="array" ref="AD87">_xlfn.IFS(HRData[[#This Row],[PercentSalaryHike]]&lt;=15,"11-15",HRData[[#This Row],[PercentSalaryHike]]&lt;=20,"16-20",HRData[[#This Row],[PercentSalaryHike]]&gt;=21,"21+")</f>
        <v>11-15</v>
      </c>
      <c r="AE87">
        <v>3</v>
      </c>
      <c r="AF87">
        <v>1</v>
      </c>
      <c r="AG87">
        <v>80</v>
      </c>
      <c r="AH87">
        <v>0</v>
      </c>
      <c r="AI87">
        <v>37</v>
      </c>
      <c r="AJ87">
        <v>3</v>
      </c>
      <c r="AK87">
        <v>2</v>
      </c>
      <c r="AL87">
        <v>6</v>
      </c>
      <c r="AM87">
        <v>4</v>
      </c>
      <c r="AN87">
        <v>0</v>
      </c>
      <c r="AO87">
        <v>2</v>
      </c>
      <c r="AP8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87" t="str">
        <f>IF(HRData[[#This Row],[Attrition]]="Yes","Left", IF(HRData[[#This Row],[Attrition_Risk_Score]]&gt;=6,"High",IF(HRData[[#This Row],[Attrition_Risk_Score]]&gt;=3,"Medium","Low")))</f>
        <v>Low</v>
      </c>
      <c r="AR87" t="str">
        <f>IF(HRData[[#This Row],[Attrition_Risk_Level]]&lt;&gt;"High","",HRData[[#This Row],[Attrition_Risk_Score]]*10000-HRData[[#This Row],[EmployeeNumber]])</f>
        <v/>
      </c>
    </row>
    <row r="88" spans="1:44">
      <c r="A88">
        <v>23</v>
      </c>
      <c r="B88" t="str" cm="1">
        <f t="array" ref="B88">_xlfn.IFS(
HRData[[#This Row],[Age]]&lt;=24,"18-24",
HRData[[#This Row],[Age]]&lt;=34,"25-34",
HRData[[#This Row],[Age]]&lt;=44,"35-44",
HRData[[#This Row],[Age]]&lt;=54,"45-54",
HRData[[#This Row],[Age]]&gt;=55,"55+"
)</f>
        <v>18-24</v>
      </c>
      <c r="C88" t="s">
        <v>43</v>
      </c>
      <c r="D88">
        <f>IF(HRData[[#This Row],[Attrition]]="Yes",1,0)</f>
        <v>0</v>
      </c>
      <c r="E88" t="s">
        <v>36</v>
      </c>
      <c r="F88">
        <v>541</v>
      </c>
      <c r="G88" t="s">
        <v>37</v>
      </c>
      <c r="H88">
        <v>2</v>
      </c>
      <c r="I88">
        <v>1</v>
      </c>
      <c r="J88" t="s">
        <v>60</v>
      </c>
      <c r="K88">
        <v>1</v>
      </c>
      <c r="L88">
        <v>113</v>
      </c>
      <c r="M88">
        <v>3</v>
      </c>
      <c r="N88" t="str" cm="1">
        <f t="array" ref="N88">_xlfn.IFS(HRData[[#This Row],[EnvironmentSatisfaction]]=1,"Very Dissatisfied",
HRData[[#This Row],[EnvironmentSatisfaction]]=2,"Dissatisfied",
HRData[[#This Row],[EnvironmentSatisfaction]]=3,"Satisfied",
HRData[[#This Row],[EnvironmentSatisfaction]]=4,"Very Satisfied"
)</f>
        <v>Satisfied</v>
      </c>
      <c r="O88" t="s">
        <v>46</v>
      </c>
      <c r="P88">
        <v>62</v>
      </c>
      <c r="Q88">
        <v>3</v>
      </c>
      <c r="R88">
        <v>1</v>
      </c>
      <c r="S88" t="s">
        <v>57</v>
      </c>
      <c r="T88">
        <v>1</v>
      </c>
      <c r="U88" t="str" cm="1">
        <f t="array" ref="U88">_xlfn.IFS(
HRData[[#This Row],[JobSatisfaction]]=1,"Very Dissatisfied",
HRData[[#This Row],[JobSatisfaction]]=2,"Dissatisfied",
HRData[[#This Row],[JobSatisfaction]]=3,"Satisfied",
HRData[[#This Row],[JobSatisfaction]]=4,"Very Satisfied"
)</f>
        <v>Very Dissatisfied</v>
      </c>
      <c r="V88" t="s">
        <v>52</v>
      </c>
      <c r="W88">
        <v>2322</v>
      </c>
      <c r="X88" t="str" cm="1">
        <f t="array" ref="X88">_xlfn.IFS(
HRData[[#This Row],[MonthlyIncome]]&lt;=4000,"Very Low Income",
HRData[[#This Row],[MonthlyIncome]]&lt;=8000,"Low Income",
HRData[[#This Row],[MonthlyIncome]]&lt;=12000,"Moderate Income",
HRData[[#This Row],[MonthlyIncome]]&lt;=16000,"High Income",
HRData[[#This Row],[MonthlyIncome]]&gt;16000,"Very High Income"
)</f>
        <v>Very Low Income</v>
      </c>
      <c r="Y88">
        <v>9518</v>
      </c>
      <c r="Z88">
        <v>3</v>
      </c>
      <c r="AA88" t="s">
        <v>42</v>
      </c>
      <c r="AB88" t="s">
        <v>43</v>
      </c>
      <c r="AC88">
        <v>13</v>
      </c>
      <c r="AD88" t="str" cm="1">
        <f t="array" ref="AD88">_xlfn.IFS(HRData[[#This Row],[PercentSalaryHike]]&lt;=15,"11-15",HRData[[#This Row],[PercentSalaryHike]]&lt;=20,"16-20",HRData[[#This Row],[PercentSalaryHike]]&gt;=21,"21+")</f>
        <v>11-15</v>
      </c>
      <c r="AE88">
        <v>3</v>
      </c>
      <c r="AF88">
        <v>3</v>
      </c>
      <c r="AG88">
        <v>80</v>
      </c>
      <c r="AH88">
        <v>1</v>
      </c>
      <c r="AI88">
        <v>3</v>
      </c>
      <c r="AJ88">
        <v>3</v>
      </c>
      <c r="AK88">
        <v>3</v>
      </c>
      <c r="AL88">
        <v>0</v>
      </c>
      <c r="AM88">
        <v>0</v>
      </c>
      <c r="AN88">
        <v>0</v>
      </c>
      <c r="AO88">
        <v>0</v>
      </c>
      <c r="AP8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8</v>
      </c>
      <c r="AQ88" t="str">
        <f>IF(HRData[[#This Row],[Attrition]]="Yes","Left", IF(HRData[[#This Row],[Attrition_Risk_Score]]&gt;=6,"High",IF(HRData[[#This Row],[Attrition_Risk_Score]]&gt;=3,"Medium","Low")))</f>
        <v>High</v>
      </c>
      <c r="AR88">
        <f>IF(HRData[[#This Row],[Attrition_Risk_Level]]&lt;&gt;"High","",HRData[[#This Row],[Attrition_Risk_Score]]*10000-HRData[[#This Row],[EmployeeNumber]])</f>
        <v>79887</v>
      </c>
    </row>
    <row r="89" spans="1:44">
      <c r="A89">
        <v>51</v>
      </c>
      <c r="B89" t="str" cm="1">
        <f t="array" ref="B89">_xlfn.IFS(
HRData[[#This Row],[Age]]&lt;=24,"18-24",
HRData[[#This Row],[Age]]&lt;=34,"25-34",
HRData[[#This Row],[Age]]&lt;=44,"35-44",
HRData[[#This Row],[Age]]&lt;=54,"45-54",
HRData[[#This Row],[Age]]&gt;=55,"55+"
)</f>
        <v>45-54</v>
      </c>
      <c r="C89" t="s">
        <v>43</v>
      </c>
      <c r="D89">
        <f>IF(HRData[[#This Row],[Attrition]]="Yes",1,0)</f>
        <v>0</v>
      </c>
      <c r="E89" t="s">
        <v>36</v>
      </c>
      <c r="F89">
        <v>432</v>
      </c>
      <c r="G89" t="s">
        <v>45</v>
      </c>
      <c r="H89">
        <v>9</v>
      </c>
      <c r="I89">
        <v>4</v>
      </c>
      <c r="J89" t="s">
        <v>38</v>
      </c>
      <c r="K89">
        <v>1</v>
      </c>
      <c r="L89">
        <v>116</v>
      </c>
      <c r="M89">
        <v>4</v>
      </c>
      <c r="N89" t="str" cm="1">
        <f t="array" ref="N89">_xlfn.IFS(HRData[[#This Row],[EnvironmentSatisfaction]]=1,"Very Dissatisfied",
HRData[[#This Row],[EnvironmentSatisfaction]]=2,"Dissatisfied",
HRData[[#This Row],[EnvironmentSatisfaction]]=3,"Satisfied",
HRData[[#This Row],[EnvironmentSatisfaction]]=4,"Very Satisfied"
)</f>
        <v>Very Satisfied</v>
      </c>
      <c r="O89" t="s">
        <v>46</v>
      </c>
      <c r="P89">
        <v>96</v>
      </c>
      <c r="Q89">
        <v>3</v>
      </c>
      <c r="R89">
        <v>1</v>
      </c>
      <c r="S89" t="s">
        <v>50</v>
      </c>
      <c r="T89">
        <v>4</v>
      </c>
      <c r="U89" t="str" cm="1">
        <f t="array" ref="U89">_xlfn.IFS(
HRData[[#This Row],[JobSatisfaction]]=1,"Very Dissatisfied",
HRData[[#This Row],[JobSatisfaction]]=2,"Dissatisfied",
HRData[[#This Row],[JobSatisfaction]]=3,"Satisfied",
HRData[[#This Row],[JobSatisfaction]]=4,"Very Satisfied"
)</f>
        <v>Very Satisfied</v>
      </c>
      <c r="V89" t="s">
        <v>48</v>
      </c>
      <c r="W89">
        <v>2075</v>
      </c>
      <c r="X89" t="str" cm="1">
        <f t="array" ref="X89">_xlfn.IFS(
HRData[[#This Row],[MonthlyIncome]]&lt;=4000,"Very Low Income",
HRData[[#This Row],[MonthlyIncome]]&lt;=8000,"Low Income",
HRData[[#This Row],[MonthlyIncome]]&lt;=12000,"Moderate Income",
HRData[[#This Row],[MonthlyIncome]]&lt;=16000,"High Income",
HRData[[#This Row],[MonthlyIncome]]&gt;16000,"Very High Income"
)</f>
        <v>Very Low Income</v>
      </c>
      <c r="Y89">
        <v>18725</v>
      </c>
      <c r="Z89">
        <v>3</v>
      </c>
      <c r="AA89" t="s">
        <v>42</v>
      </c>
      <c r="AB89" t="s">
        <v>43</v>
      </c>
      <c r="AC89">
        <v>23</v>
      </c>
      <c r="AD89" t="str" cm="1">
        <f t="array" ref="AD89">_xlfn.IFS(HRData[[#This Row],[PercentSalaryHike]]&lt;=15,"11-15",HRData[[#This Row],[PercentSalaryHike]]&lt;=20,"16-20",HRData[[#This Row],[PercentSalaryHike]]&gt;=21,"21+")</f>
        <v>21+</v>
      </c>
      <c r="AE89">
        <v>4</v>
      </c>
      <c r="AF89">
        <v>2</v>
      </c>
      <c r="AG89">
        <v>80</v>
      </c>
      <c r="AH89">
        <v>2</v>
      </c>
      <c r="AI89">
        <v>10</v>
      </c>
      <c r="AJ89">
        <v>4</v>
      </c>
      <c r="AK89">
        <v>3</v>
      </c>
      <c r="AL89">
        <v>4</v>
      </c>
      <c r="AM89">
        <v>2</v>
      </c>
      <c r="AN89">
        <v>0</v>
      </c>
      <c r="AO89">
        <v>3</v>
      </c>
      <c r="AP8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9" t="str">
        <f>IF(HRData[[#This Row],[Attrition]]="Yes","Left", IF(HRData[[#This Row],[Attrition_Risk_Score]]&gt;=6,"High",IF(HRData[[#This Row],[Attrition_Risk_Score]]&gt;=3,"Medium","Low")))</f>
        <v>Medium</v>
      </c>
      <c r="AR89" t="str">
        <f>IF(HRData[[#This Row],[Attrition_Risk_Level]]&lt;&gt;"High","",HRData[[#This Row],[Attrition_Risk_Score]]*10000-HRData[[#This Row],[EmployeeNumber]])</f>
        <v/>
      </c>
    </row>
    <row r="90" spans="1:44">
      <c r="A90">
        <v>30</v>
      </c>
      <c r="B90" t="str" cm="1">
        <f t="array" ref="B90">_xlfn.IFS(
HRData[[#This Row],[Age]]&lt;=24,"18-24",
HRData[[#This Row],[Age]]&lt;=34,"25-34",
HRData[[#This Row],[Age]]&lt;=44,"35-44",
HRData[[#This Row],[Age]]&lt;=54,"45-54",
HRData[[#This Row],[Age]]&gt;=55,"55+"
)</f>
        <v>25-34</v>
      </c>
      <c r="C90" t="s">
        <v>43</v>
      </c>
      <c r="D90">
        <f>IF(HRData[[#This Row],[Attrition]]="Yes",1,0)</f>
        <v>0</v>
      </c>
      <c r="E90" t="s">
        <v>36</v>
      </c>
      <c r="F90">
        <v>288</v>
      </c>
      <c r="G90" t="s">
        <v>45</v>
      </c>
      <c r="H90">
        <v>2</v>
      </c>
      <c r="I90">
        <v>3</v>
      </c>
      <c r="J90" t="s">
        <v>38</v>
      </c>
      <c r="K90">
        <v>1</v>
      </c>
      <c r="L90">
        <v>117</v>
      </c>
      <c r="M90">
        <v>3</v>
      </c>
      <c r="N90" t="str" cm="1">
        <f t="array" ref="N90">_xlfn.IFS(HRData[[#This Row],[EnvironmentSatisfaction]]=1,"Very Dissatisfied",
HRData[[#This Row],[EnvironmentSatisfaction]]=2,"Dissatisfied",
HRData[[#This Row],[EnvironmentSatisfaction]]=3,"Satisfied",
HRData[[#This Row],[EnvironmentSatisfaction]]=4,"Very Satisfied"
)</f>
        <v>Satisfied</v>
      </c>
      <c r="O90" t="s">
        <v>46</v>
      </c>
      <c r="P90">
        <v>99</v>
      </c>
      <c r="Q90">
        <v>2</v>
      </c>
      <c r="R90">
        <v>2</v>
      </c>
      <c r="S90" t="s">
        <v>54</v>
      </c>
      <c r="T90">
        <v>4</v>
      </c>
      <c r="U90" t="str" cm="1">
        <f t="array" ref="U90">_xlfn.IFS(
HRData[[#This Row],[JobSatisfaction]]=1,"Very Dissatisfied",
HRData[[#This Row],[JobSatisfaction]]=2,"Dissatisfied",
HRData[[#This Row],[JobSatisfaction]]=3,"Satisfied",
HRData[[#This Row],[JobSatisfaction]]=4,"Very Satisfied"
)</f>
        <v>Very Satisfied</v>
      </c>
      <c r="V90" t="s">
        <v>48</v>
      </c>
      <c r="W90">
        <v>4152</v>
      </c>
      <c r="X90" t="str" cm="1">
        <f t="array" ref="X90">_xlfn.IFS(
HRData[[#This Row],[MonthlyIncome]]&lt;=4000,"Very Low Income",
HRData[[#This Row],[MonthlyIncome]]&lt;=8000,"Low Income",
HRData[[#This Row],[MonthlyIncome]]&lt;=12000,"Moderate Income",
HRData[[#This Row],[MonthlyIncome]]&lt;=16000,"High Income",
HRData[[#This Row],[MonthlyIncome]]&gt;16000,"Very High Income"
)</f>
        <v>Low Income</v>
      </c>
      <c r="Y90">
        <v>15830</v>
      </c>
      <c r="Z90">
        <v>1</v>
      </c>
      <c r="AA90" t="s">
        <v>42</v>
      </c>
      <c r="AB90" t="s">
        <v>43</v>
      </c>
      <c r="AC90">
        <v>19</v>
      </c>
      <c r="AD90" t="str" cm="1">
        <f t="array" ref="AD90">_xlfn.IFS(HRData[[#This Row],[PercentSalaryHike]]&lt;=15,"11-15",HRData[[#This Row],[PercentSalaryHike]]&lt;=20,"16-20",HRData[[#This Row],[PercentSalaryHike]]&gt;=21,"21+")</f>
        <v>16-20</v>
      </c>
      <c r="AE90">
        <v>3</v>
      </c>
      <c r="AF90">
        <v>1</v>
      </c>
      <c r="AG90">
        <v>80</v>
      </c>
      <c r="AH90">
        <v>3</v>
      </c>
      <c r="AI90">
        <v>11</v>
      </c>
      <c r="AJ90">
        <v>3</v>
      </c>
      <c r="AK90">
        <v>3</v>
      </c>
      <c r="AL90">
        <v>11</v>
      </c>
      <c r="AM90">
        <v>10</v>
      </c>
      <c r="AN90">
        <v>10</v>
      </c>
      <c r="AO90">
        <v>8</v>
      </c>
      <c r="AP9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0" t="str">
        <f>IF(HRData[[#This Row],[Attrition]]="Yes","Left", IF(HRData[[#This Row],[Attrition_Risk_Score]]&gt;=6,"High",IF(HRData[[#This Row],[Attrition_Risk_Score]]&gt;=3,"Medium","Low")))</f>
        <v>Low</v>
      </c>
      <c r="AR90" t="str">
        <f>IF(HRData[[#This Row],[Attrition_Risk_Level]]&lt;&gt;"High","",HRData[[#This Row],[Attrition_Risk_Score]]*10000-HRData[[#This Row],[EmployeeNumber]])</f>
        <v/>
      </c>
    </row>
    <row r="91" spans="1:44">
      <c r="A91">
        <v>46</v>
      </c>
      <c r="B91" t="str" cm="1">
        <f t="array" ref="B91">_xlfn.IFS(
HRData[[#This Row],[Age]]&lt;=24,"18-24",
HRData[[#This Row],[Age]]&lt;=34,"25-34",
HRData[[#This Row],[Age]]&lt;=44,"35-44",
HRData[[#This Row],[Age]]&lt;=54,"45-54",
HRData[[#This Row],[Age]]&gt;=55,"55+"
)</f>
        <v>45-54</v>
      </c>
      <c r="C91" t="s">
        <v>35</v>
      </c>
      <c r="D91">
        <f>IF(HRData[[#This Row],[Attrition]]="Yes",1,0)</f>
        <v>1</v>
      </c>
      <c r="E91" t="s">
        <v>36</v>
      </c>
      <c r="F91">
        <v>669</v>
      </c>
      <c r="G91" t="s">
        <v>37</v>
      </c>
      <c r="H91">
        <v>9</v>
      </c>
      <c r="I91">
        <v>2</v>
      </c>
      <c r="J91" t="s">
        <v>51</v>
      </c>
      <c r="K91">
        <v>1</v>
      </c>
      <c r="L91">
        <v>118</v>
      </c>
      <c r="M91">
        <v>3</v>
      </c>
      <c r="N91" t="str" cm="1">
        <f t="array" ref="N91">_xlfn.IFS(HRData[[#This Row],[EnvironmentSatisfaction]]=1,"Very Dissatisfied",
HRData[[#This Row],[EnvironmentSatisfaction]]=2,"Dissatisfied",
HRData[[#This Row],[EnvironmentSatisfaction]]=3,"Satisfied",
HRData[[#This Row],[EnvironmentSatisfaction]]=4,"Very Satisfied"
)</f>
        <v>Satisfied</v>
      </c>
      <c r="O91" t="s">
        <v>46</v>
      </c>
      <c r="P91">
        <v>64</v>
      </c>
      <c r="Q91">
        <v>2</v>
      </c>
      <c r="R91">
        <v>3</v>
      </c>
      <c r="S91" t="s">
        <v>40</v>
      </c>
      <c r="T91">
        <v>4</v>
      </c>
      <c r="U91" t="str" cm="1">
        <f t="array" ref="U91">_xlfn.IFS(
HRData[[#This Row],[JobSatisfaction]]=1,"Very Dissatisfied",
HRData[[#This Row],[JobSatisfaction]]=2,"Dissatisfied",
HRData[[#This Row],[JobSatisfaction]]=3,"Satisfied",
HRData[[#This Row],[JobSatisfaction]]=4,"Very Satisfied"
)</f>
        <v>Very Satisfied</v>
      </c>
      <c r="V91" t="s">
        <v>41</v>
      </c>
      <c r="W91">
        <v>9619</v>
      </c>
      <c r="X91" t="str" cm="1">
        <f t="array" ref="X91">_xlfn.IFS(
HRData[[#This Row],[MonthlyIncome]]&lt;=4000,"Very Low Income",
HRData[[#This Row],[MonthlyIncome]]&lt;=8000,"Low Income",
HRData[[#This Row],[MonthlyIncome]]&lt;=12000,"Moderate Income",
HRData[[#This Row],[MonthlyIncome]]&lt;=16000,"High Income",
HRData[[#This Row],[MonthlyIncome]]&gt;16000,"Very High Income"
)</f>
        <v>Moderate Income</v>
      </c>
      <c r="Y91">
        <v>13596</v>
      </c>
      <c r="Z91">
        <v>1</v>
      </c>
      <c r="AA91" t="s">
        <v>42</v>
      </c>
      <c r="AB91" t="s">
        <v>43</v>
      </c>
      <c r="AC91">
        <v>16</v>
      </c>
      <c r="AD91" t="str" cm="1">
        <f t="array" ref="AD91">_xlfn.IFS(HRData[[#This Row],[PercentSalaryHike]]&lt;=15,"11-15",HRData[[#This Row],[PercentSalaryHike]]&lt;=20,"16-20",HRData[[#This Row],[PercentSalaryHike]]&gt;=21,"21+")</f>
        <v>16-20</v>
      </c>
      <c r="AE91">
        <v>3</v>
      </c>
      <c r="AF91">
        <v>4</v>
      </c>
      <c r="AG91">
        <v>80</v>
      </c>
      <c r="AH91">
        <v>0</v>
      </c>
      <c r="AI91">
        <v>9</v>
      </c>
      <c r="AJ91">
        <v>3</v>
      </c>
      <c r="AK91">
        <v>3</v>
      </c>
      <c r="AL91">
        <v>9</v>
      </c>
      <c r="AM91">
        <v>8</v>
      </c>
      <c r="AN91">
        <v>4</v>
      </c>
      <c r="AO91">
        <v>7</v>
      </c>
      <c r="AP9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1" t="str">
        <f>IF(HRData[[#This Row],[Attrition]]="Yes","Left", IF(HRData[[#This Row],[Attrition_Risk_Score]]&gt;=6,"High",IF(HRData[[#This Row],[Attrition_Risk_Score]]&gt;=3,"Medium","Low")))</f>
        <v>Left</v>
      </c>
      <c r="AR91" t="str">
        <f>IF(HRData[[#This Row],[Attrition_Risk_Level]]&lt;&gt;"High","",HRData[[#This Row],[Attrition_Risk_Score]]*10000-HRData[[#This Row],[EmployeeNumber]])</f>
        <v/>
      </c>
    </row>
    <row r="92" spans="1:44">
      <c r="A92">
        <v>40</v>
      </c>
      <c r="B92" t="str" cm="1">
        <f t="array" ref="B92">_xlfn.IFS(
HRData[[#This Row],[Age]]&lt;=24,"18-24",
HRData[[#This Row],[Age]]&lt;=34,"25-34",
HRData[[#This Row],[Age]]&lt;=44,"35-44",
HRData[[#This Row],[Age]]&lt;=54,"45-54",
HRData[[#This Row],[Age]]&gt;=55,"55+"
)</f>
        <v>35-44</v>
      </c>
      <c r="C92" t="s">
        <v>43</v>
      </c>
      <c r="D92">
        <f>IF(HRData[[#This Row],[Attrition]]="Yes",1,0)</f>
        <v>0</v>
      </c>
      <c r="E92" t="s">
        <v>44</v>
      </c>
      <c r="F92">
        <v>530</v>
      </c>
      <c r="G92" t="s">
        <v>45</v>
      </c>
      <c r="H92">
        <v>1</v>
      </c>
      <c r="I92">
        <v>4</v>
      </c>
      <c r="J92" t="s">
        <v>38</v>
      </c>
      <c r="K92">
        <v>1</v>
      </c>
      <c r="L92">
        <v>119</v>
      </c>
      <c r="M92">
        <v>3</v>
      </c>
      <c r="N92" t="str" cm="1">
        <f t="array" ref="N92">_xlfn.IFS(HRData[[#This Row],[EnvironmentSatisfaction]]=1,"Very Dissatisfied",
HRData[[#This Row],[EnvironmentSatisfaction]]=2,"Dissatisfied",
HRData[[#This Row],[EnvironmentSatisfaction]]=3,"Satisfied",
HRData[[#This Row],[EnvironmentSatisfaction]]=4,"Very Satisfied"
)</f>
        <v>Satisfied</v>
      </c>
      <c r="O92" t="s">
        <v>46</v>
      </c>
      <c r="P92">
        <v>78</v>
      </c>
      <c r="Q92">
        <v>2</v>
      </c>
      <c r="R92">
        <v>4</v>
      </c>
      <c r="S92" t="s">
        <v>54</v>
      </c>
      <c r="T92">
        <v>2</v>
      </c>
      <c r="U92" t="str" cm="1">
        <f t="array" ref="U92">_xlfn.IFS(
HRData[[#This Row],[JobSatisfaction]]=1,"Very Dissatisfied",
HRData[[#This Row],[JobSatisfaction]]=2,"Dissatisfied",
HRData[[#This Row],[JobSatisfaction]]=3,"Satisfied",
HRData[[#This Row],[JobSatisfaction]]=4,"Very Satisfied"
)</f>
        <v>Dissatisfied</v>
      </c>
      <c r="V92" t="s">
        <v>48</v>
      </c>
      <c r="W92">
        <v>13503</v>
      </c>
      <c r="X92" t="str" cm="1">
        <f t="array" ref="X92">_xlfn.IFS(
HRData[[#This Row],[MonthlyIncome]]&lt;=4000,"Very Low Income",
HRData[[#This Row],[MonthlyIncome]]&lt;=8000,"Low Income",
HRData[[#This Row],[MonthlyIncome]]&lt;=12000,"Moderate Income",
HRData[[#This Row],[MonthlyIncome]]&lt;=16000,"High Income",
HRData[[#This Row],[MonthlyIncome]]&gt;16000,"Very High Income"
)</f>
        <v>High Income</v>
      </c>
      <c r="Y92">
        <v>14115</v>
      </c>
      <c r="Z92">
        <v>1</v>
      </c>
      <c r="AA92" t="s">
        <v>42</v>
      </c>
      <c r="AB92" t="s">
        <v>43</v>
      </c>
      <c r="AC92">
        <v>22</v>
      </c>
      <c r="AD92" t="str" cm="1">
        <f t="array" ref="AD92">_xlfn.IFS(HRData[[#This Row],[PercentSalaryHike]]&lt;=15,"11-15",HRData[[#This Row],[PercentSalaryHike]]&lt;=20,"16-20",HRData[[#This Row],[PercentSalaryHike]]&gt;=21,"21+")</f>
        <v>21+</v>
      </c>
      <c r="AE92">
        <v>4</v>
      </c>
      <c r="AF92">
        <v>4</v>
      </c>
      <c r="AG92">
        <v>80</v>
      </c>
      <c r="AH92">
        <v>1</v>
      </c>
      <c r="AI92">
        <v>22</v>
      </c>
      <c r="AJ92">
        <v>3</v>
      </c>
      <c r="AK92">
        <v>2</v>
      </c>
      <c r="AL92">
        <v>22</v>
      </c>
      <c r="AM92">
        <v>3</v>
      </c>
      <c r="AN92">
        <v>11</v>
      </c>
      <c r="AO92">
        <v>11</v>
      </c>
      <c r="AP9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92" t="str">
        <f>IF(HRData[[#This Row],[Attrition]]="Yes","Left", IF(HRData[[#This Row],[Attrition_Risk_Score]]&gt;=6,"High",IF(HRData[[#This Row],[Attrition_Risk_Score]]&gt;=3,"Medium","Low")))</f>
        <v>Low</v>
      </c>
      <c r="AR92" t="str">
        <f>IF(HRData[[#This Row],[Attrition_Risk_Level]]&lt;&gt;"High","",HRData[[#This Row],[Attrition_Risk_Score]]*10000-HRData[[#This Row],[EmployeeNumber]])</f>
        <v/>
      </c>
    </row>
    <row r="93" spans="1:44">
      <c r="A93">
        <v>51</v>
      </c>
      <c r="B93" t="str" cm="1">
        <f t="array" ref="B93">_xlfn.IFS(
HRData[[#This Row],[Age]]&lt;=24,"18-24",
HRData[[#This Row],[Age]]&lt;=34,"25-34",
HRData[[#This Row],[Age]]&lt;=44,"35-44",
HRData[[#This Row],[Age]]&lt;=54,"45-54",
HRData[[#This Row],[Age]]&gt;=55,"55+"
)</f>
        <v>45-54</v>
      </c>
      <c r="C93" t="s">
        <v>43</v>
      </c>
      <c r="D93">
        <f>IF(HRData[[#This Row],[Attrition]]="Yes",1,0)</f>
        <v>0</v>
      </c>
      <c r="E93" t="s">
        <v>36</v>
      </c>
      <c r="F93">
        <v>632</v>
      </c>
      <c r="G93" t="s">
        <v>37</v>
      </c>
      <c r="H93">
        <v>21</v>
      </c>
      <c r="I93">
        <v>4</v>
      </c>
      <c r="J93" t="s">
        <v>59</v>
      </c>
      <c r="K93">
        <v>1</v>
      </c>
      <c r="L93">
        <v>120</v>
      </c>
      <c r="M93">
        <v>3</v>
      </c>
      <c r="N93" t="str" cm="1">
        <f t="array" ref="N93">_xlfn.IFS(HRData[[#This Row],[EnvironmentSatisfaction]]=1,"Very Dissatisfied",
HRData[[#This Row],[EnvironmentSatisfaction]]=2,"Dissatisfied",
HRData[[#This Row],[EnvironmentSatisfaction]]=3,"Satisfied",
HRData[[#This Row],[EnvironmentSatisfaction]]=4,"Very Satisfied"
)</f>
        <v>Satisfied</v>
      </c>
      <c r="O93" t="s">
        <v>46</v>
      </c>
      <c r="P93">
        <v>71</v>
      </c>
      <c r="Q93">
        <v>3</v>
      </c>
      <c r="R93">
        <v>2</v>
      </c>
      <c r="S93" t="s">
        <v>40</v>
      </c>
      <c r="T93">
        <v>4</v>
      </c>
      <c r="U93" t="str" cm="1">
        <f t="array" ref="U93">_xlfn.IFS(
HRData[[#This Row],[JobSatisfaction]]=1,"Very Dissatisfied",
HRData[[#This Row],[JobSatisfaction]]=2,"Dissatisfied",
HRData[[#This Row],[JobSatisfaction]]=3,"Satisfied",
HRData[[#This Row],[JobSatisfaction]]=4,"Very Satisfied"
)</f>
        <v>Very Satisfied</v>
      </c>
      <c r="V93" t="s">
        <v>41</v>
      </c>
      <c r="W93">
        <v>5441</v>
      </c>
      <c r="X93" t="str" cm="1">
        <f t="array" ref="X93">_xlfn.IFS(
HRData[[#This Row],[MonthlyIncome]]&lt;=4000,"Very Low Income",
HRData[[#This Row],[MonthlyIncome]]&lt;=8000,"Low Income",
HRData[[#This Row],[MonthlyIncome]]&lt;=12000,"Moderate Income",
HRData[[#This Row],[MonthlyIncome]]&lt;=16000,"High Income",
HRData[[#This Row],[MonthlyIncome]]&gt;16000,"Very High Income"
)</f>
        <v>Low Income</v>
      </c>
      <c r="Y93">
        <v>8423</v>
      </c>
      <c r="Z93">
        <v>0</v>
      </c>
      <c r="AA93" t="s">
        <v>42</v>
      </c>
      <c r="AB93" t="s">
        <v>35</v>
      </c>
      <c r="AC93">
        <v>22</v>
      </c>
      <c r="AD93" t="str" cm="1">
        <f t="array" ref="AD93">_xlfn.IFS(HRData[[#This Row],[PercentSalaryHike]]&lt;=15,"11-15",HRData[[#This Row],[PercentSalaryHike]]&lt;=20,"16-20",HRData[[#This Row],[PercentSalaryHike]]&gt;=21,"21+")</f>
        <v>21+</v>
      </c>
      <c r="AE93">
        <v>4</v>
      </c>
      <c r="AF93">
        <v>4</v>
      </c>
      <c r="AG93">
        <v>80</v>
      </c>
      <c r="AH93">
        <v>0</v>
      </c>
      <c r="AI93">
        <v>11</v>
      </c>
      <c r="AJ93">
        <v>2</v>
      </c>
      <c r="AK93">
        <v>1</v>
      </c>
      <c r="AL93">
        <v>10</v>
      </c>
      <c r="AM93">
        <v>7</v>
      </c>
      <c r="AN93">
        <v>1</v>
      </c>
      <c r="AO93">
        <v>0</v>
      </c>
      <c r="AP9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3" t="str">
        <f>IF(HRData[[#This Row],[Attrition]]="Yes","Left", IF(HRData[[#This Row],[Attrition_Risk_Score]]&gt;=6,"High",IF(HRData[[#This Row],[Attrition_Risk_Score]]&gt;=3,"Medium","Low")))</f>
        <v>Medium</v>
      </c>
      <c r="AR93" t="str">
        <f>IF(HRData[[#This Row],[Attrition_Risk_Level]]&lt;&gt;"High","",HRData[[#This Row],[Attrition_Risk_Score]]*10000-HRData[[#This Row],[EmployeeNumber]])</f>
        <v/>
      </c>
    </row>
    <row r="94" spans="1:44">
      <c r="A94">
        <v>30</v>
      </c>
      <c r="B94" t="str" cm="1">
        <f t="array" ref="B94">_xlfn.IFS(
HRData[[#This Row],[Age]]&lt;=24,"18-24",
HRData[[#This Row],[Age]]&lt;=34,"25-34",
HRData[[#This Row],[Age]]&lt;=44,"35-44",
HRData[[#This Row],[Age]]&lt;=54,"45-54",
HRData[[#This Row],[Age]]&gt;=55,"55+"
)</f>
        <v>25-34</v>
      </c>
      <c r="C94" t="s">
        <v>43</v>
      </c>
      <c r="D94">
        <f>IF(HRData[[#This Row],[Attrition]]="Yes",1,0)</f>
        <v>0</v>
      </c>
      <c r="E94" t="s">
        <v>36</v>
      </c>
      <c r="F94">
        <v>1334</v>
      </c>
      <c r="G94" t="s">
        <v>37</v>
      </c>
      <c r="H94">
        <v>4</v>
      </c>
      <c r="I94">
        <v>2</v>
      </c>
      <c r="J94" t="s">
        <v>51</v>
      </c>
      <c r="K94">
        <v>1</v>
      </c>
      <c r="L94">
        <v>121</v>
      </c>
      <c r="M94">
        <v>3</v>
      </c>
      <c r="N94" t="str" cm="1">
        <f t="array" ref="N94">_xlfn.IFS(HRData[[#This Row],[EnvironmentSatisfaction]]=1,"Very Dissatisfied",
HRData[[#This Row],[EnvironmentSatisfaction]]=2,"Dissatisfied",
HRData[[#This Row],[EnvironmentSatisfaction]]=3,"Satisfied",
HRData[[#This Row],[EnvironmentSatisfaction]]=4,"Very Satisfied"
)</f>
        <v>Satisfied</v>
      </c>
      <c r="O94" t="s">
        <v>39</v>
      </c>
      <c r="P94">
        <v>63</v>
      </c>
      <c r="Q94">
        <v>2</v>
      </c>
      <c r="R94">
        <v>2</v>
      </c>
      <c r="S94" t="s">
        <v>40</v>
      </c>
      <c r="T94">
        <v>2</v>
      </c>
      <c r="U94" t="str" cm="1">
        <f t="array" ref="U94">_xlfn.IFS(
HRData[[#This Row],[JobSatisfaction]]=1,"Very Dissatisfied",
HRData[[#This Row],[JobSatisfaction]]=2,"Dissatisfied",
HRData[[#This Row],[JobSatisfaction]]=3,"Satisfied",
HRData[[#This Row],[JobSatisfaction]]=4,"Very Satisfied"
)</f>
        <v>Dissatisfied</v>
      </c>
      <c r="V94" t="s">
        <v>52</v>
      </c>
      <c r="W94">
        <v>5209</v>
      </c>
      <c r="X94" t="str" cm="1">
        <f t="array" ref="X94">_xlfn.IFS(
HRData[[#This Row],[MonthlyIncome]]&lt;=4000,"Very Low Income",
HRData[[#This Row],[MonthlyIncome]]&lt;=8000,"Low Income",
HRData[[#This Row],[MonthlyIncome]]&lt;=12000,"Moderate Income",
HRData[[#This Row],[MonthlyIncome]]&lt;=16000,"High Income",
HRData[[#This Row],[MonthlyIncome]]&gt;16000,"Very High Income"
)</f>
        <v>Low Income</v>
      </c>
      <c r="Y94">
        <v>19760</v>
      </c>
      <c r="Z94">
        <v>1</v>
      </c>
      <c r="AA94" t="s">
        <v>42</v>
      </c>
      <c r="AB94" t="s">
        <v>35</v>
      </c>
      <c r="AC94">
        <v>12</v>
      </c>
      <c r="AD94" t="str" cm="1">
        <f t="array" ref="AD94">_xlfn.IFS(HRData[[#This Row],[PercentSalaryHike]]&lt;=15,"11-15",HRData[[#This Row],[PercentSalaryHike]]&lt;=20,"16-20",HRData[[#This Row],[PercentSalaryHike]]&gt;=21,"21+")</f>
        <v>11-15</v>
      </c>
      <c r="AE94">
        <v>3</v>
      </c>
      <c r="AF94">
        <v>2</v>
      </c>
      <c r="AG94">
        <v>80</v>
      </c>
      <c r="AH94">
        <v>3</v>
      </c>
      <c r="AI94">
        <v>11</v>
      </c>
      <c r="AJ94">
        <v>4</v>
      </c>
      <c r="AK94">
        <v>2</v>
      </c>
      <c r="AL94">
        <v>11</v>
      </c>
      <c r="AM94">
        <v>8</v>
      </c>
      <c r="AN94">
        <v>2</v>
      </c>
      <c r="AO94">
        <v>7</v>
      </c>
      <c r="AP9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94" t="str">
        <f>IF(HRData[[#This Row],[Attrition]]="Yes","Left", IF(HRData[[#This Row],[Attrition_Risk_Score]]&gt;=6,"High",IF(HRData[[#This Row],[Attrition_Risk_Score]]&gt;=3,"Medium","Low")))</f>
        <v>Medium</v>
      </c>
      <c r="AR94" t="str">
        <f>IF(HRData[[#This Row],[Attrition_Risk_Level]]&lt;&gt;"High","",HRData[[#This Row],[Attrition_Risk_Score]]*10000-HRData[[#This Row],[EmployeeNumber]])</f>
        <v/>
      </c>
    </row>
    <row r="95" spans="1:44">
      <c r="A95">
        <v>46</v>
      </c>
      <c r="B95" t="str" cm="1">
        <f t="array" ref="B95">_xlfn.IFS(
HRData[[#This Row],[Age]]&lt;=24,"18-24",
HRData[[#This Row],[Age]]&lt;=34,"25-34",
HRData[[#This Row],[Age]]&lt;=44,"35-44",
HRData[[#This Row],[Age]]&lt;=54,"45-54",
HRData[[#This Row],[Age]]&gt;=55,"55+"
)</f>
        <v>45-54</v>
      </c>
      <c r="C95" t="s">
        <v>43</v>
      </c>
      <c r="D95">
        <f>IF(HRData[[#This Row],[Attrition]]="Yes",1,0)</f>
        <v>0</v>
      </c>
      <c r="E95" t="s">
        <v>44</v>
      </c>
      <c r="F95">
        <v>638</v>
      </c>
      <c r="G95" t="s">
        <v>45</v>
      </c>
      <c r="H95">
        <v>1</v>
      </c>
      <c r="I95">
        <v>3</v>
      </c>
      <c r="J95" t="s">
        <v>51</v>
      </c>
      <c r="K95">
        <v>1</v>
      </c>
      <c r="L95">
        <v>124</v>
      </c>
      <c r="M95">
        <v>3</v>
      </c>
      <c r="N95" t="str" cm="1">
        <f t="array" ref="N95">_xlfn.IFS(HRData[[#This Row],[EnvironmentSatisfaction]]=1,"Very Dissatisfied",
HRData[[#This Row],[EnvironmentSatisfaction]]=2,"Dissatisfied",
HRData[[#This Row],[EnvironmentSatisfaction]]=3,"Satisfied",
HRData[[#This Row],[EnvironmentSatisfaction]]=4,"Very Satisfied"
)</f>
        <v>Satisfied</v>
      </c>
      <c r="O95" t="s">
        <v>46</v>
      </c>
      <c r="P95">
        <v>40</v>
      </c>
      <c r="Q95">
        <v>2</v>
      </c>
      <c r="R95">
        <v>3</v>
      </c>
      <c r="S95" t="s">
        <v>54</v>
      </c>
      <c r="T95">
        <v>1</v>
      </c>
      <c r="U95" t="str" cm="1">
        <f t="array" ref="U95">_xlfn.IFS(
HRData[[#This Row],[JobSatisfaction]]=1,"Very Dissatisfied",
HRData[[#This Row],[JobSatisfaction]]=2,"Dissatisfied",
HRData[[#This Row],[JobSatisfaction]]=3,"Satisfied",
HRData[[#This Row],[JobSatisfaction]]=4,"Very Satisfied"
)</f>
        <v>Very Dissatisfied</v>
      </c>
      <c r="V95" t="s">
        <v>48</v>
      </c>
      <c r="W95">
        <v>10673</v>
      </c>
      <c r="X95" t="str" cm="1">
        <f t="array" ref="X95">_xlfn.IFS(
HRData[[#This Row],[MonthlyIncome]]&lt;=4000,"Very Low Income",
HRData[[#This Row],[MonthlyIncome]]&lt;=8000,"Low Income",
HRData[[#This Row],[MonthlyIncome]]&lt;=12000,"Moderate Income",
HRData[[#This Row],[MonthlyIncome]]&lt;=16000,"High Income",
HRData[[#This Row],[MonthlyIncome]]&gt;16000,"Very High Income"
)</f>
        <v>Moderate Income</v>
      </c>
      <c r="Y95">
        <v>3142</v>
      </c>
      <c r="Z95">
        <v>2</v>
      </c>
      <c r="AA95" t="s">
        <v>42</v>
      </c>
      <c r="AB95" t="s">
        <v>35</v>
      </c>
      <c r="AC95">
        <v>13</v>
      </c>
      <c r="AD95" t="str" cm="1">
        <f t="array" ref="AD95">_xlfn.IFS(HRData[[#This Row],[PercentSalaryHike]]&lt;=15,"11-15",HRData[[#This Row],[PercentSalaryHike]]&lt;=20,"16-20",HRData[[#This Row],[PercentSalaryHike]]&gt;=21,"21+")</f>
        <v>11-15</v>
      </c>
      <c r="AE95">
        <v>3</v>
      </c>
      <c r="AF95">
        <v>3</v>
      </c>
      <c r="AG95">
        <v>80</v>
      </c>
      <c r="AH95">
        <v>1</v>
      </c>
      <c r="AI95">
        <v>21</v>
      </c>
      <c r="AJ95">
        <v>5</v>
      </c>
      <c r="AK95">
        <v>2</v>
      </c>
      <c r="AL95">
        <v>10</v>
      </c>
      <c r="AM95">
        <v>9</v>
      </c>
      <c r="AN95">
        <v>9</v>
      </c>
      <c r="AO95">
        <v>5</v>
      </c>
      <c r="AP9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95" t="str">
        <f>IF(HRData[[#This Row],[Attrition]]="Yes","Left", IF(HRData[[#This Row],[Attrition_Risk_Score]]&gt;=6,"High",IF(HRData[[#This Row],[Attrition_Risk_Score]]&gt;=3,"Medium","Low")))</f>
        <v>Medium</v>
      </c>
      <c r="AR95" t="str">
        <f>IF(HRData[[#This Row],[Attrition_Risk_Level]]&lt;&gt;"High","",HRData[[#This Row],[Attrition_Risk_Score]]*10000-HRData[[#This Row],[EmployeeNumber]])</f>
        <v/>
      </c>
    </row>
    <row r="96" spans="1:44">
      <c r="A96">
        <v>32</v>
      </c>
      <c r="B96" t="str" cm="1">
        <f t="array" ref="B96">_xlfn.IFS(
HRData[[#This Row],[Age]]&lt;=24,"18-24",
HRData[[#This Row],[Age]]&lt;=34,"25-34",
HRData[[#This Row],[Age]]&lt;=44,"35-44",
HRData[[#This Row],[Age]]&lt;=54,"45-54",
HRData[[#This Row],[Age]]&gt;=55,"55+"
)</f>
        <v>25-34</v>
      </c>
      <c r="C96" t="s">
        <v>43</v>
      </c>
      <c r="D96">
        <f>IF(HRData[[#This Row],[Attrition]]="Yes",1,0)</f>
        <v>0</v>
      </c>
      <c r="E96" t="s">
        <v>36</v>
      </c>
      <c r="F96">
        <v>1093</v>
      </c>
      <c r="G96" t="s">
        <v>37</v>
      </c>
      <c r="H96">
        <v>6</v>
      </c>
      <c r="I96">
        <v>4</v>
      </c>
      <c r="J96" t="s">
        <v>51</v>
      </c>
      <c r="K96">
        <v>1</v>
      </c>
      <c r="L96">
        <v>125</v>
      </c>
      <c r="M96">
        <v>2</v>
      </c>
      <c r="N96" t="str" cm="1">
        <f t="array" ref="N96">_xlfn.IFS(HRData[[#This Row],[EnvironmentSatisfaction]]=1,"Very Dissatisfied",
HRData[[#This Row],[EnvironmentSatisfaction]]=2,"Dissatisfied",
HRData[[#This Row],[EnvironmentSatisfaction]]=3,"Satisfied",
HRData[[#This Row],[EnvironmentSatisfaction]]=4,"Very Satisfied"
)</f>
        <v>Dissatisfied</v>
      </c>
      <c r="O96" t="s">
        <v>46</v>
      </c>
      <c r="P96">
        <v>87</v>
      </c>
      <c r="Q96">
        <v>3</v>
      </c>
      <c r="R96">
        <v>2</v>
      </c>
      <c r="S96" t="s">
        <v>40</v>
      </c>
      <c r="T96">
        <v>3</v>
      </c>
      <c r="U96" t="str" cm="1">
        <f t="array" ref="U96">_xlfn.IFS(
HRData[[#This Row],[JobSatisfaction]]=1,"Very Dissatisfied",
HRData[[#This Row],[JobSatisfaction]]=2,"Dissatisfied",
HRData[[#This Row],[JobSatisfaction]]=3,"Satisfied",
HRData[[#This Row],[JobSatisfaction]]=4,"Very Satisfied"
)</f>
        <v>Satisfied</v>
      </c>
      <c r="V96" t="s">
        <v>41</v>
      </c>
      <c r="W96">
        <v>5010</v>
      </c>
      <c r="X96" t="str" cm="1">
        <f t="array" ref="X96">_xlfn.IFS(
HRData[[#This Row],[MonthlyIncome]]&lt;=4000,"Very Low Income",
HRData[[#This Row],[MonthlyIncome]]&lt;=8000,"Low Income",
HRData[[#This Row],[MonthlyIncome]]&lt;=12000,"Moderate Income",
HRData[[#This Row],[MonthlyIncome]]&lt;=16000,"High Income",
HRData[[#This Row],[MonthlyIncome]]&gt;16000,"Very High Income"
)</f>
        <v>Low Income</v>
      </c>
      <c r="Y96">
        <v>24301</v>
      </c>
      <c r="Z96">
        <v>1</v>
      </c>
      <c r="AA96" t="s">
        <v>42</v>
      </c>
      <c r="AB96" t="s">
        <v>43</v>
      </c>
      <c r="AC96">
        <v>16</v>
      </c>
      <c r="AD96" t="str" cm="1">
        <f t="array" ref="AD96">_xlfn.IFS(HRData[[#This Row],[PercentSalaryHike]]&lt;=15,"11-15",HRData[[#This Row],[PercentSalaryHike]]&lt;=20,"16-20",HRData[[#This Row],[PercentSalaryHike]]&gt;=21,"21+")</f>
        <v>16-20</v>
      </c>
      <c r="AE96">
        <v>3</v>
      </c>
      <c r="AF96">
        <v>1</v>
      </c>
      <c r="AG96">
        <v>80</v>
      </c>
      <c r="AH96">
        <v>0</v>
      </c>
      <c r="AI96">
        <v>12</v>
      </c>
      <c r="AJ96">
        <v>0</v>
      </c>
      <c r="AK96">
        <v>3</v>
      </c>
      <c r="AL96">
        <v>11</v>
      </c>
      <c r="AM96">
        <v>8</v>
      </c>
      <c r="AN96">
        <v>5</v>
      </c>
      <c r="AO96">
        <v>7</v>
      </c>
      <c r="AP9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6" t="str">
        <f>IF(HRData[[#This Row],[Attrition]]="Yes","Left", IF(HRData[[#This Row],[Attrition_Risk_Score]]&gt;=6,"High",IF(HRData[[#This Row],[Attrition_Risk_Score]]&gt;=3,"Medium","Low")))</f>
        <v>Low</v>
      </c>
      <c r="AR96" t="str">
        <f>IF(HRData[[#This Row],[Attrition_Risk_Level]]&lt;&gt;"High","",HRData[[#This Row],[Attrition_Risk_Score]]*10000-HRData[[#This Row],[EmployeeNumber]])</f>
        <v/>
      </c>
    </row>
    <row r="97" spans="1:44">
      <c r="A97">
        <v>54</v>
      </c>
      <c r="B97" t="str" cm="1">
        <f t="array" ref="B97">_xlfn.IFS(
HRData[[#This Row],[Age]]&lt;=24,"18-24",
HRData[[#This Row],[Age]]&lt;=34,"25-34",
HRData[[#This Row],[Age]]&lt;=44,"35-44",
HRData[[#This Row],[Age]]&lt;=54,"45-54",
HRData[[#This Row],[Age]]&gt;=55,"55+"
)</f>
        <v>45-54</v>
      </c>
      <c r="C97" t="s">
        <v>43</v>
      </c>
      <c r="D97">
        <f>IF(HRData[[#This Row],[Attrition]]="Yes",1,0)</f>
        <v>0</v>
      </c>
      <c r="E97" t="s">
        <v>36</v>
      </c>
      <c r="F97">
        <v>1217</v>
      </c>
      <c r="G97" t="s">
        <v>45</v>
      </c>
      <c r="H97">
        <v>2</v>
      </c>
      <c r="I97">
        <v>4</v>
      </c>
      <c r="J97" t="s">
        <v>60</v>
      </c>
      <c r="K97">
        <v>1</v>
      </c>
      <c r="L97">
        <v>126</v>
      </c>
      <c r="M97">
        <v>1</v>
      </c>
      <c r="N97" t="str" cm="1">
        <f t="array" ref="N97">_xlfn.IFS(HRData[[#This Row],[EnvironmentSatisfaction]]=1,"Very Dissatisfied",
HRData[[#This Row],[EnvironmentSatisfaction]]=2,"Dissatisfied",
HRData[[#This Row],[EnvironmentSatisfaction]]=3,"Satisfied",
HRData[[#This Row],[EnvironmentSatisfaction]]=4,"Very Satisfied"
)</f>
        <v>Very Dissatisfied</v>
      </c>
      <c r="O97" t="s">
        <v>39</v>
      </c>
      <c r="P97">
        <v>60</v>
      </c>
      <c r="Q97">
        <v>3</v>
      </c>
      <c r="R97">
        <v>3</v>
      </c>
      <c r="S97" t="s">
        <v>58</v>
      </c>
      <c r="T97">
        <v>3</v>
      </c>
      <c r="U97" t="str" cm="1">
        <f t="array" ref="U97">_xlfn.IFS(
HRData[[#This Row],[JobSatisfaction]]=1,"Very Dissatisfied",
HRData[[#This Row],[JobSatisfaction]]=2,"Dissatisfied",
HRData[[#This Row],[JobSatisfaction]]=3,"Satisfied",
HRData[[#This Row],[JobSatisfaction]]=4,"Very Satisfied"
)</f>
        <v>Satisfied</v>
      </c>
      <c r="V97" t="s">
        <v>48</v>
      </c>
      <c r="W97">
        <v>13549</v>
      </c>
      <c r="X97" t="str" cm="1">
        <f t="array" ref="X97">_xlfn.IFS(
HRData[[#This Row],[MonthlyIncome]]&lt;=4000,"Very Low Income",
HRData[[#This Row],[MonthlyIncome]]&lt;=8000,"Low Income",
HRData[[#This Row],[MonthlyIncome]]&lt;=12000,"Moderate Income",
HRData[[#This Row],[MonthlyIncome]]&lt;=16000,"High Income",
HRData[[#This Row],[MonthlyIncome]]&gt;16000,"Very High Income"
)</f>
        <v>High Income</v>
      </c>
      <c r="Y97">
        <v>24001</v>
      </c>
      <c r="Z97">
        <v>9</v>
      </c>
      <c r="AA97" t="s">
        <v>42</v>
      </c>
      <c r="AB97" t="s">
        <v>43</v>
      </c>
      <c r="AC97">
        <v>12</v>
      </c>
      <c r="AD97" t="str" cm="1">
        <f t="array" ref="AD97">_xlfn.IFS(HRData[[#This Row],[PercentSalaryHike]]&lt;=15,"11-15",HRData[[#This Row],[PercentSalaryHike]]&lt;=20,"16-20",HRData[[#This Row],[PercentSalaryHike]]&gt;=21,"21+")</f>
        <v>11-15</v>
      </c>
      <c r="AE97">
        <v>3</v>
      </c>
      <c r="AF97">
        <v>1</v>
      </c>
      <c r="AG97">
        <v>80</v>
      </c>
      <c r="AH97">
        <v>1</v>
      </c>
      <c r="AI97">
        <v>16</v>
      </c>
      <c r="AJ97">
        <v>5</v>
      </c>
      <c r="AK97">
        <v>1</v>
      </c>
      <c r="AL97">
        <v>4</v>
      </c>
      <c r="AM97">
        <v>3</v>
      </c>
      <c r="AN97">
        <v>0</v>
      </c>
      <c r="AO97">
        <v>3</v>
      </c>
      <c r="AP9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97" t="str">
        <f>IF(HRData[[#This Row],[Attrition]]="Yes","Left", IF(HRData[[#This Row],[Attrition_Risk_Score]]&gt;=6,"High",IF(HRData[[#This Row],[Attrition_Risk_Score]]&gt;=3,"Medium","Low")))</f>
        <v>Low</v>
      </c>
      <c r="AR97" t="str">
        <f>IF(HRData[[#This Row],[Attrition_Risk_Level]]&lt;&gt;"High","",HRData[[#This Row],[Attrition_Risk_Score]]*10000-HRData[[#This Row],[EmployeeNumber]])</f>
        <v/>
      </c>
    </row>
    <row r="98" spans="1:44">
      <c r="A98">
        <v>24</v>
      </c>
      <c r="B98" t="str" cm="1">
        <f t="array" ref="B98">_xlfn.IFS(
HRData[[#This Row],[Age]]&lt;=24,"18-24",
HRData[[#This Row],[Age]]&lt;=34,"25-34",
HRData[[#This Row],[Age]]&lt;=44,"35-44",
HRData[[#This Row],[Age]]&lt;=54,"45-54",
HRData[[#This Row],[Age]]&gt;=55,"55+"
)</f>
        <v>18-24</v>
      </c>
      <c r="C98" t="s">
        <v>43</v>
      </c>
      <c r="D98">
        <f>IF(HRData[[#This Row],[Attrition]]="Yes",1,0)</f>
        <v>0</v>
      </c>
      <c r="E98" t="s">
        <v>36</v>
      </c>
      <c r="F98">
        <v>1353</v>
      </c>
      <c r="G98" t="s">
        <v>37</v>
      </c>
      <c r="H98">
        <v>3</v>
      </c>
      <c r="I98">
        <v>2</v>
      </c>
      <c r="J98" t="s">
        <v>49</v>
      </c>
      <c r="K98">
        <v>1</v>
      </c>
      <c r="L98">
        <v>128</v>
      </c>
      <c r="M98">
        <v>1</v>
      </c>
      <c r="N98" t="str" cm="1">
        <f t="array" ref="N98">_xlfn.IFS(HRData[[#This Row],[EnvironmentSatisfaction]]=1,"Very Dissatisfied",
HRData[[#This Row],[EnvironmentSatisfaction]]=2,"Dissatisfied",
HRData[[#This Row],[EnvironmentSatisfaction]]=3,"Satisfied",
HRData[[#This Row],[EnvironmentSatisfaction]]=4,"Very Satisfied"
)</f>
        <v>Very Dissatisfied</v>
      </c>
      <c r="O98" t="s">
        <v>39</v>
      </c>
      <c r="P98">
        <v>33</v>
      </c>
      <c r="Q98">
        <v>3</v>
      </c>
      <c r="R98">
        <v>2</v>
      </c>
      <c r="S98" t="s">
        <v>40</v>
      </c>
      <c r="T98">
        <v>3</v>
      </c>
      <c r="U98" t="str" cm="1">
        <f t="array" ref="U98">_xlfn.IFS(
HRData[[#This Row],[JobSatisfaction]]=1,"Very Dissatisfied",
HRData[[#This Row],[JobSatisfaction]]=2,"Dissatisfied",
HRData[[#This Row],[JobSatisfaction]]=3,"Satisfied",
HRData[[#This Row],[JobSatisfaction]]=4,"Very Satisfied"
)</f>
        <v>Satisfied</v>
      </c>
      <c r="V98" t="s">
        <v>48</v>
      </c>
      <c r="W98">
        <v>4999</v>
      </c>
      <c r="X98" t="str" cm="1">
        <f t="array" ref="X98">_xlfn.IFS(
HRData[[#This Row],[MonthlyIncome]]&lt;=4000,"Very Low Income",
HRData[[#This Row],[MonthlyIncome]]&lt;=8000,"Low Income",
HRData[[#This Row],[MonthlyIncome]]&lt;=12000,"Moderate Income",
HRData[[#This Row],[MonthlyIncome]]&lt;=16000,"High Income",
HRData[[#This Row],[MonthlyIncome]]&gt;16000,"Very High Income"
)</f>
        <v>Low Income</v>
      </c>
      <c r="Y98">
        <v>17519</v>
      </c>
      <c r="Z98">
        <v>0</v>
      </c>
      <c r="AA98" t="s">
        <v>42</v>
      </c>
      <c r="AB98" t="s">
        <v>43</v>
      </c>
      <c r="AC98">
        <v>21</v>
      </c>
      <c r="AD98" t="str" cm="1">
        <f t="array" ref="AD98">_xlfn.IFS(HRData[[#This Row],[PercentSalaryHike]]&lt;=15,"11-15",HRData[[#This Row],[PercentSalaryHike]]&lt;=20,"16-20",HRData[[#This Row],[PercentSalaryHike]]&gt;=21,"21+")</f>
        <v>21+</v>
      </c>
      <c r="AE98">
        <v>4</v>
      </c>
      <c r="AF98">
        <v>1</v>
      </c>
      <c r="AG98">
        <v>80</v>
      </c>
      <c r="AH98">
        <v>1</v>
      </c>
      <c r="AI98">
        <v>4</v>
      </c>
      <c r="AJ98">
        <v>2</v>
      </c>
      <c r="AK98">
        <v>2</v>
      </c>
      <c r="AL98">
        <v>3</v>
      </c>
      <c r="AM98">
        <v>2</v>
      </c>
      <c r="AN98">
        <v>0</v>
      </c>
      <c r="AO98">
        <v>2</v>
      </c>
      <c r="AP9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8" t="str">
        <f>IF(HRData[[#This Row],[Attrition]]="Yes","Left", IF(HRData[[#This Row],[Attrition_Risk_Score]]&gt;=6,"High",IF(HRData[[#This Row],[Attrition_Risk_Score]]&gt;=3,"Medium","Low")))</f>
        <v>Medium</v>
      </c>
      <c r="AR98" t="str">
        <f>IF(HRData[[#This Row],[Attrition_Risk_Level]]&lt;&gt;"High","",HRData[[#This Row],[Attrition_Risk_Score]]*10000-HRData[[#This Row],[EmployeeNumber]])</f>
        <v/>
      </c>
    </row>
    <row r="99" spans="1:44">
      <c r="A99">
        <v>28</v>
      </c>
      <c r="B99" t="str" cm="1">
        <f t="array" ref="B99">_xlfn.IFS(
HRData[[#This Row],[Age]]&lt;=24,"18-24",
HRData[[#This Row],[Age]]&lt;=34,"25-34",
HRData[[#This Row],[Age]]&lt;=44,"35-44",
HRData[[#This Row],[Age]]&lt;=54,"45-54",
HRData[[#This Row],[Age]]&gt;=55,"55+"
)</f>
        <v>25-34</v>
      </c>
      <c r="C99" t="s">
        <v>43</v>
      </c>
      <c r="D99">
        <f>IF(HRData[[#This Row],[Attrition]]="Yes",1,0)</f>
        <v>0</v>
      </c>
      <c r="E99" t="s">
        <v>55</v>
      </c>
      <c r="F99">
        <v>120</v>
      </c>
      <c r="G99" t="s">
        <v>37</v>
      </c>
      <c r="H99">
        <v>4</v>
      </c>
      <c r="I99">
        <v>3</v>
      </c>
      <c r="J99" t="s">
        <v>51</v>
      </c>
      <c r="K99">
        <v>1</v>
      </c>
      <c r="L99">
        <v>129</v>
      </c>
      <c r="M99">
        <v>2</v>
      </c>
      <c r="N99" t="str" cm="1">
        <f t="array" ref="N99">_xlfn.IFS(HRData[[#This Row],[EnvironmentSatisfaction]]=1,"Very Dissatisfied",
HRData[[#This Row],[EnvironmentSatisfaction]]=2,"Dissatisfied",
HRData[[#This Row],[EnvironmentSatisfaction]]=3,"Satisfied",
HRData[[#This Row],[EnvironmentSatisfaction]]=4,"Very Satisfied"
)</f>
        <v>Dissatisfied</v>
      </c>
      <c r="O99" t="s">
        <v>46</v>
      </c>
      <c r="P99">
        <v>43</v>
      </c>
      <c r="Q99">
        <v>3</v>
      </c>
      <c r="R99">
        <v>2</v>
      </c>
      <c r="S99" t="s">
        <v>40</v>
      </c>
      <c r="T99">
        <v>3</v>
      </c>
      <c r="U99" t="str" cm="1">
        <f t="array" ref="U99">_xlfn.IFS(
HRData[[#This Row],[JobSatisfaction]]=1,"Very Dissatisfied",
HRData[[#This Row],[JobSatisfaction]]=2,"Dissatisfied",
HRData[[#This Row],[JobSatisfaction]]=3,"Satisfied",
HRData[[#This Row],[JobSatisfaction]]=4,"Very Satisfied"
)</f>
        <v>Satisfied</v>
      </c>
      <c r="V99" t="s">
        <v>48</v>
      </c>
      <c r="W99">
        <v>4221</v>
      </c>
      <c r="X99" t="str" cm="1">
        <f t="array" ref="X99">_xlfn.IFS(
HRData[[#This Row],[MonthlyIncome]]&lt;=4000,"Very Low Income",
HRData[[#This Row],[MonthlyIncome]]&lt;=8000,"Low Income",
HRData[[#This Row],[MonthlyIncome]]&lt;=12000,"Moderate Income",
HRData[[#This Row],[MonthlyIncome]]&lt;=16000,"High Income",
HRData[[#This Row],[MonthlyIncome]]&gt;16000,"Very High Income"
)</f>
        <v>Low Income</v>
      </c>
      <c r="Y99">
        <v>8863</v>
      </c>
      <c r="Z99">
        <v>1</v>
      </c>
      <c r="AA99" t="s">
        <v>42</v>
      </c>
      <c r="AB99" t="s">
        <v>43</v>
      </c>
      <c r="AC99">
        <v>15</v>
      </c>
      <c r="AD99" t="str" cm="1">
        <f t="array" ref="AD99">_xlfn.IFS(HRData[[#This Row],[PercentSalaryHike]]&lt;=15,"11-15",HRData[[#This Row],[PercentSalaryHike]]&lt;=20,"16-20",HRData[[#This Row],[PercentSalaryHike]]&gt;=21,"21+")</f>
        <v>11-15</v>
      </c>
      <c r="AE99">
        <v>3</v>
      </c>
      <c r="AF99">
        <v>2</v>
      </c>
      <c r="AG99">
        <v>80</v>
      </c>
      <c r="AH99">
        <v>0</v>
      </c>
      <c r="AI99">
        <v>5</v>
      </c>
      <c r="AJ99">
        <v>3</v>
      </c>
      <c r="AK99">
        <v>4</v>
      </c>
      <c r="AL99">
        <v>5</v>
      </c>
      <c r="AM99">
        <v>4</v>
      </c>
      <c r="AN99">
        <v>0</v>
      </c>
      <c r="AO99">
        <v>4</v>
      </c>
      <c r="AP9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9" t="str">
        <f>IF(HRData[[#This Row],[Attrition]]="Yes","Left", IF(HRData[[#This Row],[Attrition_Risk_Score]]&gt;=6,"High",IF(HRData[[#This Row],[Attrition_Risk_Score]]&gt;=3,"Medium","Low")))</f>
        <v>Low</v>
      </c>
      <c r="AR99" t="str">
        <f>IF(HRData[[#This Row],[Attrition_Risk_Level]]&lt;&gt;"High","",HRData[[#This Row],[Attrition_Risk_Score]]*10000-HRData[[#This Row],[EmployeeNumber]])</f>
        <v/>
      </c>
    </row>
    <row r="100" spans="1:44">
      <c r="A100">
        <v>58</v>
      </c>
      <c r="B100" t="str" cm="1">
        <f t="array" ref="B100">_xlfn.IFS(
HRData[[#This Row],[Age]]&lt;=24,"18-24",
HRData[[#This Row],[Age]]&lt;=34,"25-34",
HRData[[#This Row],[Age]]&lt;=44,"35-44",
HRData[[#This Row],[Age]]&lt;=54,"45-54",
HRData[[#This Row],[Age]]&gt;=55,"55+"
)</f>
        <v>55+</v>
      </c>
      <c r="C100" t="s">
        <v>43</v>
      </c>
      <c r="D100">
        <f>IF(HRData[[#This Row],[Attrition]]="Yes",1,0)</f>
        <v>0</v>
      </c>
      <c r="E100" t="s">
        <v>36</v>
      </c>
      <c r="F100">
        <v>682</v>
      </c>
      <c r="G100" t="s">
        <v>37</v>
      </c>
      <c r="H100">
        <v>10</v>
      </c>
      <c r="I100">
        <v>4</v>
      </c>
      <c r="J100" t="s">
        <v>51</v>
      </c>
      <c r="K100">
        <v>1</v>
      </c>
      <c r="L100">
        <v>131</v>
      </c>
      <c r="M100">
        <v>4</v>
      </c>
      <c r="N100" t="str" cm="1">
        <f t="array" ref="N100">_xlfn.IFS(HRData[[#This Row],[EnvironmentSatisfaction]]=1,"Very Dissatisfied",
HRData[[#This Row],[EnvironmentSatisfaction]]=2,"Dissatisfied",
HRData[[#This Row],[EnvironmentSatisfaction]]=3,"Satisfied",
HRData[[#This Row],[EnvironmentSatisfaction]]=4,"Very Satisfied"
)</f>
        <v>Very Satisfied</v>
      </c>
      <c r="O100" t="s">
        <v>46</v>
      </c>
      <c r="P100">
        <v>37</v>
      </c>
      <c r="Q100">
        <v>3</v>
      </c>
      <c r="R100">
        <v>4</v>
      </c>
      <c r="S100" t="s">
        <v>40</v>
      </c>
      <c r="T100">
        <v>3</v>
      </c>
      <c r="U100" t="str" cm="1">
        <f t="array" ref="U100">_xlfn.IFS(
HRData[[#This Row],[JobSatisfaction]]=1,"Very Dissatisfied",
HRData[[#This Row],[JobSatisfaction]]=2,"Dissatisfied",
HRData[[#This Row],[JobSatisfaction]]=3,"Satisfied",
HRData[[#This Row],[JobSatisfaction]]=4,"Very Satisfied"
)</f>
        <v>Satisfied</v>
      </c>
      <c r="V100" t="s">
        <v>41</v>
      </c>
      <c r="W100">
        <v>13872</v>
      </c>
      <c r="X100" t="str" cm="1">
        <f t="array" ref="X100">_xlfn.IFS(
HRData[[#This Row],[MonthlyIncome]]&lt;=4000,"Very Low Income",
HRData[[#This Row],[MonthlyIncome]]&lt;=8000,"Low Income",
HRData[[#This Row],[MonthlyIncome]]&lt;=12000,"Moderate Income",
HRData[[#This Row],[MonthlyIncome]]&lt;=16000,"High Income",
HRData[[#This Row],[MonthlyIncome]]&gt;16000,"Very High Income"
)</f>
        <v>High Income</v>
      </c>
      <c r="Y100">
        <v>24409</v>
      </c>
      <c r="Z100">
        <v>0</v>
      </c>
      <c r="AA100" t="s">
        <v>42</v>
      </c>
      <c r="AB100" t="s">
        <v>43</v>
      </c>
      <c r="AC100">
        <v>13</v>
      </c>
      <c r="AD100" t="str" cm="1">
        <f t="array" ref="AD100">_xlfn.IFS(HRData[[#This Row],[PercentSalaryHike]]&lt;=15,"11-15",HRData[[#This Row],[PercentSalaryHike]]&lt;=20,"16-20",HRData[[#This Row],[PercentSalaryHike]]&gt;=21,"21+")</f>
        <v>11-15</v>
      </c>
      <c r="AE100">
        <v>3</v>
      </c>
      <c r="AF100">
        <v>3</v>
      </c>
      <c r="AG100">
        <v>80</v>
      </c>
      <c r="AH100">
        <v>0</v>
      </c>
      <c r="AI100">
        <v>38</v>
      </c>
      <c r="AJ100">
        <v>1</v>
      </c>
      <c r="AK100">
        <v>2</v>
      </c>
      <c r="AL100">
        <v>37</v>
      </c>
      <c r="AM100">
        <v>10</v>
      </c>
      <c r="AN100">
        <v>1</v>
      </c>
      <c r="AO100">
        <v>8</v>
      </c>
      <c r="AP10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00" t="str">
        <f>IF(HRData[[#This Row],[Attrition]]="Yes","Left", IF(HRData[[#This Row],[Attrition_Risk_Score]]&gt;=6,"High",IF(HRData[[#This Row],[Attrition_Risk_Score]]&gt;=3,"Medium","Low")))</f>
        <v>Low</v>
      </c>
      <c r="AR100" t="str">
        <f>IF(HRData[[#This Row],[Attrition_Risk_Level]]&lt;&gt;"High","",HRData[[#This Row],[Attrition_Risk_Score]]*10000-HRData[[#This Row],[EmployeeNumber]])</f>
        <v/>
      </c>
    </row>
    <row r="101" spans="1:44">
      <c r="A101">
        <v>44</v>
      </c>
      <c r="B101" t="str" cm="1">
        <f t="array" ref="B101">_xlfn.IFS(
HRData[[#This Row],[Age]]&lt;=24,"18-24",
HRData[[#This Row],[Age]]&lt;=34,"25-34",
HRData[[#This Row],[Age]]&lt;=44,"35-44",
HRData[[#This Row],[Age]]&lt;=54,"45-54",
HRData[[#This Row],[Age]]&gt;=55,"55+"
)</f>
        <v>35-44</v>
      </c>
      <c r="C101" t="s">
        <v>43</v>
      </c>
      <c r="D101">
        <f>IF(HRData[[#This Row],[Attrition]]="Yes",1,0)</f>
        <v>0</v>
      </c>
      <c r="E101" t="s">
        <v>55</v>
      </c>
      <c r="F101">
        <v>489</v>
      </c>
      <c r="G101" t="s">
        <v>45</v>
      </c>
      <c r="H101">
        <v>23</v>
      </c>
      <c r="I101">
        <v>3</v>
      </c>
      <c r="J101" t="s">
        <v>51</v>
      </c>
      <c r="K101">
        <v>1</v>
      </c>
      <c r="L101">
        <v>132</v>
      </c>
      <c r="M101">
        <v>2</v>
      </c>
      <c r="N101" t="str" cm="1">
        <f t="array" ref="N101">_xlfn.IFS(HRData[[#This Row],[EnvironmentSatisfaction]]=1,"Very Dissatisfied",
HRData[[#This Row],[EnvironmentSatisfaction]]=2,"Dissatisfied",
HRData[[#This Row],[EnvironmentSatisfaction]]=3,"Satisfied",
HRData[[#This Row],[EnvironmentSatisfaction]]=4,"Very Satisfied"
)</f>
        <v>Dissatisfied</v>
      </c>
      <c r="O101" t="s">
        <v>46</v>
      </c>
      <c r="P101">
        <v>67</v>
      </c>
      <c r="Q101">
        <v>3</v>
      </c>
      <c r="R101">
        <v>2</v>
      </c>
      <c r="S101" t="s">
        <v>50</v>
      </c>
      <c r="T101">
        <v>2</v>
      </c>
      <c r="U101" t="str" cm="1">
        <f t="array" ref="U101">_xlfn.IFS(
HRData[[#This Row],[JobSatisfaction]]=1,"Very Dissatisfied",
HRData[[#This Row],[JobSatisfaction]]=2,"Dissatisfied",
HRData[[#This Row],[JobSatisfaction]]=3,"Satisfied",
HRData[[#This Row],[JobSatisfaction]]=4,"Very Satisfied"
)</f>
        <v>Dissatisfied</v>
      </c>
      <c r="V101" t="s">
        <v>48</v>
      </c>
      <c r="W101">
        <v>2042</v>
      </c>
      <c r="X101" t="str" cm="1">
        <f t="array" ref="X101">_xlfn.IFS(
HRData[[#This Row],[MonthlyIncome]]&lt;=4000,"Very Low Income",
HRData[[#This Row],[MonthlyIncome]]&lt;=8000,"Low Income",
HRData[[#This Row],[MonthlyIncome]]&lt;=12000,"Moderate Income",
HRData[[#This Row],[MonthlyIncome]]&lt;=16000,"High Income",
HRData[[#This Row],[MonthlyIncome]]&gt;16000,"Very High Income"
)</f>
        <v>Very Low Income</v>
      </c>
      <c r="Y101">
        <v>25043</v>
      </c>
      <c r="Z101">
        <v>4</v>
      </c>
      <c r="AA101" t="s">
        <v>42</v>
      </c>
      <c r="AB101" t="s">
        <v>43</v>
      </c>
      <c r="AC101">
        <v>12</v>
      </c>
      <c r="AD101" t="str" cm="1">
        <f t="array" ref="AD101">_xlfn.IFS(HRData[[#This Row],[PercentSalaryHike]]&lt;=15,"11-15",HRData[[#This Row],[PercentSalaryHike]]&lt;=20,"16-20",HRData[[#This Row],[PercentSalaryHike]]&gt;=21,"21+")</f>
        <v>11-15</v>
      </c>
      <c r="AE101">
        <v>3</v>
      </c>
      <c r="AF101">
        <v>3</v>
      </c>
      <c r="AG101">
        <v>80</v>
      </c>
      <c r="AH101">
        <v>1</v>
      </c>
      <c r="AI101">
        <v>17</v>
      </c>
      <c r="AJ101">
        <v>3</v>
      </c>
      <c r="AK101">
        <v>4</v>
      </c>
      <c r="AL101">
        <v>3</v>
      </c>
      <c r="AM101">
        <v>2</v>
      </c>
      <c r="AN101">
        <v>1</v>
      </c>
      <c r="AO101">
        <v>2</v>
      </c>
      <c r="AP10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1" t="str">
        <f>IF(HRData[[#This Row],[Attrition]]="Yes","Left", IF(HRData[[#This Row],[Attrition_Risk_Score]]&gt;=6,"High",IF(HRData[[#This Row],[Attrition_Risk_Score]]&gt;=3,"Medium","Low")))</f>
        <v>Medium</v>
      </c>
      <c r="AR101" t="str">
        <f>IF(HRData[[#This Row],[Attrition_Risk_Level]]&lt;&gt;"High","",HRData[[#This Row],[Attrition_Risk_Score]]*10000-HRData[[#This Row],[EmployeeNumber]])</f>
        <v/>
      </c>
    </row>
    <row r="102" spans="1:44">
      <c r="A102">
        <v>37</v>
      </c>
      <c r="B102" t="str" cm="1">
        <f t="array" ref="B102">_xlfn.IFS(
HRData[[#This Row],[Age]]&lt;=24,"18-24",
HRData[[#This Row],[Age]]&lt;=34,"25-34",
HRData[[#This Row],[Age]]&lt;=44,"35-44",
HRData[[#This Row],[Age]]&lt;=54,"45-54",
HRData[[#This Row],[Age]]&gt;=55,"55+"
)</f>
        <v>35-44</v>
      </c>
      <c r="C102" t="s">
        <v>35</v>
      </c>
      <c r="D102">
        <f>IF(HRData[[#This Row],[Attrition]]="Yes",1,0)</f>
        <v>1</v>
      </c>
      <c r="E102" t="s">
        <v>36</v>
      </c>
      <c r="F102">
        <v>807</v>
      </c>
      <c r="G102" t="s">
        <v>61</v>
      </c>
      <c r="H102">
        <v>6</v>
      </c>
      <c r="I102">
        <v>4</v>
      </c>
      <c r="J102" t="s">
        <v>61</v>
      </c>
      <c r="K102">
        <v>1</v>
      </c>
      <c r="L102">
        <v>133</v>
      </c>
      <c r="M102">
        <v>3</v>
      </c>
      <c r="N102" t="str" cm="1">
        <f t="array" ref="N102">_xlfn.IFS(HRData[[#This Row],[EnvironmentSatisfaction]]=1,"Very Dissatisfied",
HRData[[#This Row],[EnvironmentSatisfaction]]=2,"Dissatisfied",
HRData[[#This Row],[EnvironmentSatisfaction]]=3,"Satisfied",
HRData[[#This Row],[EnvironmentSatisfaction]]=4,"Very Satisfied"
)</f>
        <v>Satisfied</v>
      </c>
      <c r="O102" t="s">
        <v>46</v>
      </c>
      <c r="P102">
        <v>63</v>
      </c>
      <c r="Q102">
        <v>3</v>
      </c>
      <c r="R102">
        <v>1</v>
      </c>
      <c r="S102" t="s">
        <v>61</v>
      </c>
      <c r="T102">
        <v>1</v>
      </c>
      <c r="U102" t="str" cm="1">
        <f t="array" ref="U102">_xlfn.IFS(
HRData[[#This Row],[JobSatisfaction]]=1,"Very Dissatisfied",
HRData[[#This Row],[JobSatisfaction]]=2,"Dissatisfied",
HRData[[#This Row],[JobSatisfaction]]=3,"Satisfied",
HRData[[#This Row],[JobSatisfaction]]=4,"Very Satisfied"
)</f>
        <v>Very Dissatisfied</v>
      </c>
      <c r="V102" t="s">
        <v>52</v>
      </c>
      <c r="W102">
        <v>2073</v>
      </c>
      <c r="X102" t="str" cm="1">
        <f t="array" ref="X102">_xlfn.IFS(
HRData[[#This Row],[MonthlyIncome]]&lt;=4000,"Very Low Income",
HRData[[#This Row],[MonthlyIncome]]&lt;=8000,"Low Income",
HRData[[#This Row],[MonthlyIncome]]&lt;=12000,"Moderate Income",
HRData[[#This Row],[MonthlyIncome]]&lt;=16000,"High Income",
HRData[[#This Row],[MonthlyIncome]]&gt;16000,"Very High Income"
)</f>
        <v>Very Low Income</v>
      </c>
      <c r="Y102">
        <v>23648</v>
      </c>
      <c r="Z102">
        <v>4</v>
      </c>
      <c r="AA102" t="s">
        <v>42</v>
      </c>
      <c r="AB102" t="s">
        <v>35</v>
      </c>
      <c r="AC102">
        <v>22</v>
      </c>
      <c r="AD102" t="str" cm="1">
        <f t="array" ref="AD102">_xlfn.IFS(HRData[[#This Row],[PercentSalaryHike]]&lt;=15,"11-15",HRData[[#This Row],[PercentSalaryHike]]&lt;=20,"16-20",HRData[[#This Row],[PercentSalaryHike]]&gt;=21,"21+")</f>
        <v>21+</v>
      </c>
      <c r="AE102">
        <v>4</v>
      </c>
      <c r="AF102">
        <v>4</v>
      </c>
      <c r="AG102">
        <v>80</v>
      </c>
      <c r="AH102">
        <v>0</v>
      </c>
      <c r="AI102">
        <v>7</v>
      </c>
      <c r="AJ102">
        <v>3</v>
      </c>
      <c r="AK102">
        <v>3</v>
      </c>
      <c r="AL102">
        <v>3</v>
      </c>
      <c r="AM102">
        <v>2</v>
      </c>
      <c r="AN102">
        <v>0</v>
      </c>
      <c r="AO102">
        <v>2</v>
      </c>
      <c r="AP10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2" t="str">
        <f>IF(HRData[[#This Row],[Attrition]]="Yes","Left", IF(HRData[[#This Row],[Attrition_Risk_Score]]&gt;=6,"High",IF(HRData[[#This Row],[Attrition_Risk_Score]]&gt;=3,"Medium","Low")))</f>
        <v>Left</v>
      </c>
      <c r="AR102" t="str">
        <f>IF(HRData[[#This Row],[Attrition_Risk_Level]]&lt;&gt;"High","",HRData[[#This Row],[Attrition_Risk_Score]]*10000-HRData[[#This Row],[EmployeeNumber]])</f>
        <v/>
      </c>
    </row>
    <row r="103" spans="1:44">
      <c r="A103">
        <v>32</v>
      </c>
      <c r="B103" t="str" cm="1">
        <f t="array" ref="B103">_xlfn.IFS(
HRData[[#This Row],[Age]]&lt;=24,"18-24",
HRData[[#This Row],[Age]]&lt;=34,"25-34",
HRData[[#This Row],[Age]]&lt;=44,"35-44",
HRData[[#This Row],[Age]]&lt;=54,"45-54",
HRData[[#This Row],[Age]]&gt;=55,"55+"
)</f>
        <v>25-34</v>
      </c>
      <c r="C103" t="s">
        <v>43</v>
      </c>
      <c r="D103">
        <f>IF(HRData[[#This Row],[Attrition]]="Yes",1,0)</f>
        <v>0</v>
      </c>
      <c r="E103" t="s">
        <v>36</v>
      </c>
      <c r="F103">
        <v>827</v>
      </c>
      <c r="G103" t="s">
        <v>45</v>
      </c>
      <c r="H103">
        <v>1</v>
      </c>
      <c r="I103">
        <v>1</v>
      </c>
      <c r="J103" t="s">
        <v>38</v>
      </c>
      <c r="K103">
        <v>1</v>
      </c>
      <c r="L103">
        <v>134</v>
      </c>
      <c r="M103">
        <v>4</v>
      </c>
      <c r="N103" t="str" cm="1">
        <f t="array" ref="N103">_xlfn.IFS(HRData[[#This Row],[EnvironmentSatisfaction]]=1,"Very Dissatisfied",
HRData[[#This Row],[EnvironmentSatisfaction]]=2,"Dissatisfied",
HRData[[#This Row],[EnvironmentSatisfaction]]=3,"Satisfied",
HRData[[#This Row],[EnvironmentSatisfaction]]=4,"Very Satisfied"
)</f>
        <v>Very Satisfied</v>
      </c>
      <c r="O103" t="s">
        <v>46</v>
      </c>
      <c r="P103">
        <v>71</v>
      </c>
      <c r="Q103">
        <v>3</v>
      </c>
      <c r="R103">
        <v>1</v>
      </c>
      <c r="S103" t="s">
        <v>47</v>
      </c>
      <c r="T103">
        <v>1</v>
      </c>
      <c r="U103" t="str" cm="1">
        <f t="array" ref="U103">_xlfn.IFS(
HRData[[#This Row],[JobSatisfaction]]=1,"Very Dissatisfied",
HRData[[#This Row],[JobSatisfaction]]=2,"Dissatisfied",
HRData[[#This Row],[JobSatisfaction]]=3,"Satisfied",
HRData[[#This Row],[JobSatisfaction]]=4,"Very Satisfied"
)</f>
        <v>Very Dissatisfied</v>
      </c>
      <c r="V103" t="s">
        <v>41</v>
      </c>
      <c r="W103">
        <v>2956</v>
      </c>
      <c r="X103" t="str" cm="1">
        <f t="array" ref="X103">_xlfn.IFS(
HRData[[#This Row],[MonthlyIncome]]&lt;=4000,"Very Low Income",
HRData[[#This Row],[MonthlyIncome]]&lt;=8000,"Low Income",
HRData[[#This Row],[MonthlyIncome]]&lt;=12000,"Moderate Income",
HRData[[#This Row],[MonthlyIncome]]&lt;=16000,"High Income",
HRData[[#This Row],[MonthlyIncome]]&gt;16000,"Very High Income"
)</f>
        <v>Very Low Income</v>
      </c>
      <c r="Y103">
        <v>15178</v>
      </c>
      <c r="Z103">
        <v>1</v>
      </c>
      <c r="AA103" t="s">
        <v>42</v>
      </c>
      <c r="AB103" t="s">
        <v>43</v>
      </c>
      <c r="AC103">
        <v>13</v>
      </c>
      <c r="AD103" t="str" cm="1">
        <f t="array" ref="AD103">_xlfn.IFS(HRData[[#This Row],[PercentSalaryHike]]&lt;=15,"11-15",HRData[[#This Row],[PercentSalaryHike]]&lt;=20,"16-20",HRData[[#This Row],[PercentSalaryHike]]&gt;=21,"21+")</f>
        <v>11-15</v>
      </c>
      <c r="AE103">
        <v>3</v>
      </c>
      <c r="AF103">
        <v>4</v>
      </c>
      <c r="AG103">
        <v>80</v>
      </c>
      <c r="AH103">
        <v>0</v>
      </c>
      <c r="AI103">
        <v>1</v>
      </c>
      <c r="AJ103">
        <v>2</v>
      </c>
      <c r="AK103">
        <v>3</v>
      </c>
      <c r="AL103">
        <v>1</v>
      </c>
      <c r="AM103">
        <v>0</v>
      </c>
      <c r="AN103">
        <v>0</v>
      </c>
      <c r="AO103">
        <v>0</v>
      </c>
      <c r="AP10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03" t="str">
        <f>IF(HRData[[#This Row],[Attrition]]="Yes","Left", IF(HRData[[#This Row],[Attrition_Risk_Score]]&gt;=6,"High",IF(HRData[[#This Row],[Attrition_Risk_Score]]&gt;=3,"Medium","Low")))</f>
        <v>Medium</v>
      </c>
      <c r="AR103" t="str">
        <f>IF(HRData[[#This Row],[Attrition_Risk_Level]]&lt;&gt;"High","",HRData[[#This Row],[Attrition_Risk_Score]]*10000-HRData[[#This Row],[EmployeeNumber]])</f>
        <v/>
      </c>
    </row>
    <row r="104" spans="1:44">
      <c r="A104">
        <v>20</v>
      </c>
      <c r="B104" t="str" cm="1">
        <f t="array" ref="B104">_xlfn.IFS(
HRData[[#This Row],[Age]]&lt;=24,"18-24",
HRData[[#This Row],[Age]]&lt;=34,"25-34",
HRData[[#This Row],[Age]]&lt;=44,"35-44",
HRData[[#This Row],[Age]]&lt;=54,"45-54",
HRData[[#This Row],[Age]]&gt;=55,"55+"
)</f>
        <v>18-24</v>
      </c>
      <c r="C104" t="s">
        <v>35</v>
      </c>
      <c r="D104">
        <f>IF(HRData[[#This Row],[Attrition]]="Yes",1,0)</f>
        <v>1</v>
      </c>
      <c r="E104" t="s">
        <v>44</v>
      </c>
      <c r="F104">
        <v>871</v>
      </c>
      <c r="G104" t="s">
        <v>45</v>
      </c>
      <c r="H104">
        <v>6</v>
      </c>
      <c r="I104">
        <v>3</v>
      </c>
      <c r="J104" t="s">
        <v>38</v>
      </c>
      <c r="K104">
        <v>1</v>
      </c>
      <c r="L104">
        <v>137</v>
      </c>
      <c r="M104">
        <v>4</v>
      </c>
      <c r="N104" t="str" cm="1">
        <f t="array" ref="N104">_xlfn.IFS(HRData[[#This Row],[EnvironmentSatisfaction]]=1,"Very Dissatisfied",
HRData[[#This Row],[EnvironmentSatisfaction]]=2,"Dissatisfied",
HRData[[#This Row],[EnvironmentSatisfaction]]=3,"Satisfied",
HRData[[#This Row],[EnvironmentSatisfaction]]=4,"Very Satisfied"
)</f>
        <v>Very Satisfied</v>
      </c>
      <c r="O104" t="s">
        <v>39</v>
      </c>
      <c r="P104">
        <v>66</v>
      </c>
      <c r="Q104">
        <v>2</v>
      </c>
      <c r="R104">
        <v>1</v>
      </c>
      <c r="S104" t="s">
        <v>50</v>
      </c>
      <c r="T104">
        <v>4</v>
      </c>
      <c r="U104" t="str" cm="1">
        <f t="array" ref="U104">_xlfn.IFS(
HRData[[#This Row],[JobSatisfaction]]=1,"Very Dissatisfied",
HRData[[#This Row],[JobSatisfaction]]=2,"Dissatisfied",
HRData[[#This Row],[JobSatisfaction]]=3,"Satisfied",
HRData[[#This Row],[JobSatisfaction]]=4,"Very Satisfied"
)</f>
        <v>Very Satisfied</v>
      </c>
      <c r="V104" t="s">
        <v>41</v>
      </c>
      <c r="W104">
        <v>2926</v>
      </c>
      <c r="X104" t="str" cm="1">
        <f t="array" ref="X104">_xlfn.IFS(
HRData[[#This Row],[MonthlyIncome]]&lt;=4000,"Very Low Income",
HRData[[#This Row],[MonthlyIncome]]&lt;=8000,"Low Income",
HRData[[#This Row],[MonthlyIncome]]&lt;=12000,"Moderate Income",
HRData[[#This Row],[MonthlyIncome]]&lt;=16000,"High Income",
HRData[[#This Row],[MonthlyIncome]]&gt;16000,"Very High Income"
)</f>
        <v>Very Low Income</v>
      </c>
      <c r="Y104">
        <v>19783</v>
      </c>
      <c r="Z104">
        <v>1</v>
      </c>
      <c r="AA104" t="s">
        <v>42</v>
      </c>
      <c r="AB104" t="s">
        <v>35</v>
      </c>
      <c r="AC104">
        <v>18</v>
      </c>
      <c r="AD104" t="str" cm="1">
        <f t="array" ref="AD104">_xlfn.IFS(HRData[[#This Row],[PercentSalaryHike]]&lt;=15,"11-15",HRData[[#This Row],[PercentSalaryHike]]&lt;=20,"16-20",HRData[[#This Row],[PercentSalaryHike]]&gt;=21,"21+")</f>
        <v>16-20</v>
      </c>
      <c r="AE104">
        <v>3</v>
      </c>
      <c r="AF104">
        <v>2</v>
      </c>
      <c r="AG104">
        <v>80</v>
      </c>
      <c r="AH104">
        <v>0</v>
      </c>
      <c r="AI104">
        <v>1</v>
      </c>
      <c r="AJ104">
        <v>5</v>
      </c>
      <c r="AK104">
        <v>3</v>
      </c>
      <c r="AL104">
        <v>1</v>
      </c>
      <c r="AM104">
        <v>0</v>
      </c>
      <c r="AN104">
        <v>1</v>
      </c>
      <c r="AO104">
        <v>0</v>
      </c>
      <c r="AP10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4" t="str">
        <f>IF(HRData[[#This Row],[Attrition]]="Yes","Left", IF(HRData[[#This Row],[Attrition_Risk_Score]]&gt;=6,"High",IF(HRData[[#This Row],[Attrition_Risk_Score]]&gt;=3,"Medium","Low")))</f>
        <v>Left</v>
      </c>
      <c r="AR104" t="str">
        <f>IF(HRData[[#This Row],[Attrition_Risk_Level]]&lt;&gt;"High","",HRData[[#This Row],[Attrition_Risk_Score]]*10000-HRData[[#This Row],[EmployeeNumber]])</f>
        <v/>
      </c>
    </row>
    <row r="105" spans="1:44">
      <c r="A105">
        <v>34</v>
      </c>
      <c r="B105" t="str" cm="1">
        <f t="array" ref="B105">_xlfn.IFS(
HRData[[#This Row],[Age]]&lt;=24,"18-24",
HRData[[#This Row],[Age]]&lt;=34,"25-34",
HRData[[#This Row],[Age]]&lt;=44,"35-44",
HRData[[#This Row],[Age]]&lt;=54,"45-54",
HRData[[#This Row],[Age]]&gt;=55,"55+"
)</f>
        <v>25-34</v>
      </c>
      <c r="C105" t="s">
        <v>43</v>
      </c>
      <c r="D105">
        <f>IF(HRData[[#This Row],[Attrition]]="Yes",1,0)</f>
        <v>0</v>
      </c>
      <c r="E105" t="s">
        <v>36</v>
      </c>
      <c r="F105">
        <v>665</v>
      </c>
      <c r="G105" t="s">
        <v>45</v>
      </c>
      <c r="H105">
        <v>6</v>
      </c>
      <c r="I105">
        <v>4</v>
      </c>
      <c r="J105" t="s">
        <v>49</v>
      </c>
      <c r="K105">
        <v>1</v>
      </c>
      <c r="L105">
        <v>138</v>
      </c>
      <c r="M105">
        <v>1</v>
      </c>
      <c r="N105" t="str" cm="1">
        <f t="array" ref="N105">_xlfn.IFS(HRData[[#This Row],[EnvironmentSatisfaction]]=1,"Very Dissatisfied",
HRData[[#This Row],[EnvironmentSatisfaction]]=2,"Dissatisfied",
HRData[[#This Row],[EnvironmentSatisfaction]]=3,"Satisfied",
HRData[[#This Row],[EnvironmentSatisfaction]]=4,"Very Satisfied"
)</f>
        <v>Very Dissatisfied</v>
      </c>
      <c r="O105" t="s">
        <v>39</v>
      </c>
      <c r="P105">
        <v>41</v>
      </c>
      <c r="Q105">
        <v>3</v>
      </c>
      <c r="R105">
        <v>2</v>
      </c>
      <c r="S105" t="s">
        <v>47</v>
      </c>
      <c r="T105">
        <v>3</v>
      </c>
      <c r="U105" t="str" cm="1">
        <f t="array" ref="U105">_xlfn.IFS(
HRData[[#This Row],[JobSatisfaction]]=1,"Very Dissatisfied",
HRData[[#This Row],[JobSatisfaction]]=2,"Dissatisfied",
HRData[[#This Row],[JobSatisfaction]]=3,"Satisfied",
HRData[[#This Row],[JobSatisfaction]]=4,"Very Satisfied"
)</f>
        <v>Satisfied</v>
      </c>
      <c r="V105" t="s">
        <v>41</v>
      </c>
      <c r="W105">
        <v>4809</v>
      </c>
      <c r="X105" t="str" cm="1">
        <f t="array" ref="X105">_xlfn.IFS(
HRData[[#This Row],[MonthlyIncome]]&lt;=4000,"Very Low Income",
HRData[[#This Row],[MonthlyIncome]]&lt;=8000,"Low Income",
HRData[[#This Row],[MonthlyIncome]]&lt;=12000,"Moderate Income",
HRData[[#This Row],[MonthlyIncome]]&lt;=16000,"High Income",
HRData[[#This Row],[MonthlyIncome]]&gt;16000,"Very High Income"
)</f>
        <v>Low Income</v>
      </c>
      <c r="Y105">
        <v>12482</v>
      </c>
      <c r="Z105">
        <v>1</v>
      </c>
      <c r="AA105" t="s">
        <v>42</v>
      </c>
      <c r="AB105" t="s">
        <v>43</v>
      </c>
      <c r="AC105">
        <v>14</v>
      </c>
      <c r="AD105" t="str" cm="1">
        <f t="array" ref="AD105">_xlfn.IFS(HRData[[#This Row],[PercentSalaryHike]]&lt;=15,"11-15",HRData[[#This Row],[PercentSalaryHike]]&lt;=20,"16-20",HRData[[#This Row],[PercentSalaryHike]]&gt;=21,"21+")</f>
        <v>11-15</v>
      </c>
      <c r="AE105">
        <v>3</v>
      </c>
      <c r="AF105">
        <v>3</v>
      </c>
      <c r="AG105">
        <v>80</v>
      </c>
      <c r="AH105">
        <v>0</v>
      </c>
      <c r="AI105">
        <v>16</v>
      </c>
      <c r="AJ105">
        <v>3</v>
      </c>
      <c r="AK105">
        <v>3</v>
      </c>
      <c r="AL105">
        <v>16</v>
      </c>
      <c r="AM105">
        <v>13</v>
      </c>
      <c r="AN105">
        <v>2</v>
      </c>
      <c r="AO105">
        <v>10</v>
      </c>
      <c r="AP10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5" t="str">
        <f>IF(HRData[[#This Row],[Attrition]]="Yes","Left", IF(HRData[[#This Row],[Attrition_Risk_Score]]&gt;=6,"High",IF(HRData[[#This Row],[Attrition_Risk_Score]]&gt;=3,"Medium","Low")))</f>
        <v>Low</v>
      </c>
      <c r="AR105" t="str">
        <f>IF(HRData[[#This Row],[Attrition_Risk_Level]]&lt;&gt;"High","",HRData[[#This Row],[Attrition_Risk_Score]]*10000-HRData[[#This Row],[EmployeeNumber]])</f>
        <v/>
      </c>
    </row>
    <row r="106" spans="1:44">
      <c r="A106">
        <v>37</v>
      </c>
      <c r="B106" t="str" cm="1">
        <f t="array" ref="B106">_xlfn.IFS(
HRData[[#This Row],[Age]]&lt;=24,"18-24",
HRData[[#This Row],[Age]]&lt;=34,"25-34",
HRData[[#This Row],[Age]]&lt;=44,"35-44",
HRData[[#This Row],[Age]]&lt;=54,"45-54",
HRData[[#This Row],[Age]]&gt;=55,"55+"
)</f>
        <v>35-44</v>
      </c>
      <c r="C106" t="s">
        <v>43</v>
      </c>
      <c r="D106">
        <f>IF(HRData[[#This Row],[Attrition]]="Yes",1,0)</f>
        <v>0</v>
      </c>
      <c r="E106" t="s">
        <v>55</v>
      </c>
      <c r="F106">
        <v>1040</v>
      </c>
      <c r="G106" t="s">
        <v>45</v>
      </c>
      <c r="H106">
        <v>2</v>
      </c>
      <c r="I106">
        <v>2</v>
      </c>
      <c r="J106" t="s">
        <v>38</v>
      </c>
      <c r="K106">
        <v>1</v>
      </c>
      <c r="L106">
        <v>139</v>
      </c>
      <c r="M106">
        <v>3</v>
      </c>
      <c r="N106" t="str" cm="1">
        <f t="array" ref="N106">_xlfn.IFS(HRData[[#This Row],[EnvironmentSatisfaction]]=1,"Very Dissatisfied",
HRData[[#This Row],[EnvironmentSatisfaction]]=2,"Dissatisfied",
HRData[[#This Row],[EnvironmentSatisfaction]]=3,"Satisfied",
HRData[[#This Row],[EnvironmentSatisfaction]]=4,"Very Satisfied"
)</f>
        <v>Satisfied</v>
      </c>
      <c r="O106" t="s">
        <v>46</v>
      </c>
      <c r="P106">
        <v>100</v>
      </c>
      <c r="Q106">
        <v>2</v>
      </c>
      <c r="R106">
        <v>2</v>
      </c>
      <c r="S106" t="s">
        <v>54</v>
      </c>
      <c r="T106">
        <v>4</v>
      </c>
      <c r="U106" t="str" cm="1">
        <f t="array" ref="U106">_xlfn.IFS(
HRData[[#This Row],[JobSatisfaction]]=1,"Very Dissatisfied",
HRData[[#This Row],[JobSatisfaction]]=2,"Dissatisfied",
HRData[[#This Row],[JobSatisfaction]]=3,"Satisfied",
HRData[[#This Row],[JobSatisfaction]]=4,"Very Satisfied"
)</f>
        <v>Very Satisfied</v>
      </c>
      <c r="V106" t="s">
        <v>52</v>
      </c>
      <c r="W106">
        <v>5163</v>
      </c>
      <c r="X106" t="str" cm="1">
        <f t="array" ref="X106">_xlfn.IFS(
HRData[[#This Row],[MonthlyIncome]]&lt;=4000,"Very Low Income",
HRData[[#This Row],[MonthlyIncome]]&lt;=8000,"Low Income",
HRData[[#This Row],[MonthlyIncome]]&lt;=12000,"Moderate Income",
HRData[[#This Row],[MonthlyIncome]]&lt;=16000,"High Income",
HRData[[#This Row],[MonthlyIncome]]&gt;16000,"Very High Income"
)</f>
        <v>Low Income</v>
      </c>
      <c r="Y106">
        <v>15850</v>
      </c>
      <c r="Z106">
        <v>5</v>
      </c>
      <c r="AA106" t="s">
        <v>42</v>
      </c>
      <c r="AB106" t="s">
        <v>43</v>
      </c>
      <c r="AC106">
        <v>14</v>
      </c>
      <c r="AD106" t="str" cm="1">
        <f t="array" ref="AD106">_xlfn.IFS(HRData[[#This Row],[PercentSalaryHike]]&lt;=15,"11-15",HRData[[#This Row],[PercentSalaryHike]]&lt;=20,"16-20",HRData[[#This Row],[PercentSalaryHike]]&gt;=21,"21+")</f>
        <v>11-15</v>
      </c>
      <c r="AE106">
        <v>3</v>
      </c>
      <c r="AF106">
        <v>4</v>
      </c>
      <c r="AG106">
        <v>80</v>
      </c>
      <c r="AH106">
        <v>1</v>
      </c>
      <c r="AI106">
        <v>17</v>
      </c>
      <c r="AJ106">
        <v>2</v>
      </c>
      <c r="AK106">
        <v>4</v>
      </c>
      <c r="AL106">
        <v>1</v>
      </c>
      <c r="AM106">
        <v>0</v>
      </c>
      <c r="AN106">
        <v>0</v>
      </c>
      <c r="AO106">
        <v>0</v>
      </c>
      <c r="AP10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06" t="str">
        <f>IF(HRData[[#This Row],[Attrition]]="Yes","Left", IF(HRData[[#This Row],[Attrition_Risk_Score]]&gt;=6,"High",IF(HRData[[#This Row],[Attrition_Risk_Score]]&gt;=3,"Medium","Low")))</f>
        <v>Low</v>
      </c>
      <c r="AR106" t="str">
        <f>IF(HRData[[#This Row],[Attrition_Risk_Level]]&lt;&gt;"High","",HRData[[#This Row],[Attrition_Risk_Score]]*10000-HRData[[#This Row],[EmployeeNumber]])</f>
        <v/>
      </c>
    </row>
    <row r="107" spans="1:44">
      <c r="A107">
        <v>59</v>
      </c>
      <c r="B107" t="str" cm="1">
        <f t="array" ref="B107">_xlfn.IFS(
HRData[[#This Row],[Age]]&lt;=24,"18-24",
HRData[[#This Row],[Age]]&lt;=34,"25-34",
HRData[[#This Row],[Age]]&lt;=44,"35-44",
HRData[[#This Row],[Age]]&lt;=54,"45-54",
HRData[[#This Row],[Age]]&gt;=55,"55+"
)</f>
        <v>55+</v>
      </c>
      <c r="C107" t="s">
        <v>43</v>
      </c>
      <c r="D107">
        <f>IF(HRData[[#This Row],[Attrition]]="Yes",1,0)</f>
        <v>0</v>
      </c>
      <c r="E107" t="s">
        <v>55</v>
      </c>
      <c r="F107">
        <v>1420</v>
      </c>
      <c r="G107" t="s">
        <v>61</v>
      </c>
      <c r="H107">
        <v>2</v>
      </c>
      <c r="I107">
        <v>4</v>
      </c>
      <c r="J107" t="s">
        <v>61</v>
      </c>
      <c r="K107">
        <v>1</v>
      </c>
      <c r="L107">
        <v>140</v>
      </c>
      <c r="M107">
        <v>3</v>
      </c>
      <c r="N107" t="str" cm="1">
        <f t="array" ref="N107">_xlfn.IFS(HRData[[#This Row],[EnvironmentSatisfaction]]=1,"Very Dissatisfied",
HRData[[#This Row],[EnvironmentSatisfaction]]=2,"Dissatisfied",
HRData[[#This Row],[EnvironmentSatisfaction]]=3,"Satisfied",
HRData[[#This Row],[EnvironmentSatisfaction]]=4,"Very Satisfied"
)</f>
        <v>Satisfied</v>
      </c>
      <c r="O107" t="s">
        <v>39</v>
      </c>
      <c r="P107">
        <v>32</v>
      </c>
      <c r="Q107">
        <v>2</v>
      </c>
      <c r="R107">
        <v>5</v>
      </c>
      <c r="S107" t="s">
        <v>56</v>
      </c>
      <c r="T107">
        <v>4</v>
      </c>
      <c r="U107" t="str" cm="1">
        <f t="array" ref="U107">_xlfn.IFS(
HRData[[#This Row],[JobSatisfaction]]=1,"Very Dissatisfied",
HRData[[#This Row],[JobSatisfaction]]=2,"Dissatisfied",
HRData[[#This Row],[JobSatisfaction]]=3,"Satisfied",
HRData[[#This Row],[JobSatisfaction]]=4,"Very Satisfied"
)</f>
        <v>Very Satisfied</v>
      </c>
      <c r="V107" t="s">
        <v>48</v>
      </c>
      <c r="W107">
        <v>18844</v>
      </c>
      <c r="X107" t="str" cm="1">
        <f t="array" ref="X107">_xlfn.IFS(
HRData[[#This Row],[MonthlyIncome]]&lt;=4000,"Very Low Income",
HRData[[#This Row],[MonthlyIncome]]&lt;=8000,"Low Income",
HRData[[#This Row],[MonthlyIncome]]&lt;=12000,"Moderate Income",
HRData[[#This Row],[MonthlyIncome]]&lt;=16000,"High Income",
HRData[[#This Row],[MonthlyIncome]]&gt;16000,"Very High Income"
)</f>
        <v>Very High Income</v>
      </c>
      <c r="Y107">
        <v>21922</v>
      </c>
      <c r="Z107">
        <v>9</v>
      </c>
      <c r="AA107" t="s">
        <v>42</v>
      </c>
      <c r="AB107" t="s">
        <v>43</v>
      </c>
      <c r="AC107">
        <v>21</v>
      </c>
      <c r="AD107" t="str" cm="1">
        <f t="array" ref="AD107">_xlfn.IFS(HRData[[#This Row],[PercentSalaryHike]]&lt;=15,"11-15",HRData[[#This Row],[PercentSalaryHike]]&lt;=20,"16-20",HRData[[#This Row],[PercentSalaryHike]]&gt;=21,"21+")</f>
        <v>21+</v>
      </c>
      <c r="AE107">
        <v>4</v>
      </c>
      <c r="AF107">
        <v>4</v>
      </c>
      <c r="AG107">
        <v>80</v>
      </c>
      <c r="AH107">
        <v>1</v>
      </c>
      <c r="AI107">
        <v>30</v>
      </c>
      <c r="AJ107">
        <v>3</v>
      </c>
      <c r="AK107">
        <v>3</v>
      </c>
      <c r="AL107">
        <v>3</v>
      </c>
      <c r="AM107">
        <v>2</v>
      </c>
      <c r="AN107">
        <v>2</v>
      </c>
      <c r="AO107">
        <v>2</v>
      </c>
      <c r="AP10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07" t="str">
        <f>IF(HRData[[#This Row],[Attrition]]="Yes","Left", IF(HRData[[#This Row],[Attrition_Risk_Score]]&gt;=6,"High",IF(HRData[[#This Row],[Attrition_Risk_Score]]&gt;=3,"Medium","Low")))</f>
        <v>Low</v>
      </c>
      <c r="AR107" t="str">
        <f>IF(HRData[[#This Row],[Attrition_Risk_Level]]&lt;&gt;"High","",HRData[[#This Row],[Attrition_Risk_Score]]*10000-HRData[[#This Row],[EmployeeNumber]])</f>
        <v/>
      </c>
    </row>
    <row r="108" spans="1:44">
      <c r="A108">
        <v>50</v>
      </c>
      <c r="B108" t="str" cm="1">
        <f t="array" ref="B108">_xlfn.IFS(
HRData[[#This Row],[Age]]&lt;=24,"18-24",
HRData[[#This Row],[Age]]&lt;=34,"25-34",
HRData[[#This Row],[Age]]&lt;=44,"35-44",
HRData[[#This Row],[Age]]&lt;=54,"45-54",
HRData[[#This Row],[Age]]&gt;=55,"55+"
)</f>
        <v>45-54</v>
      </c>
      <c r="C108" t="s">
        <v>43</v>
      </c>
      <c r="D108">
        <f>IF(HRData[[#This Row],[Attrition]]="Yes",1,0)</f>
        <v>0</v>
      </c>
      <c r="E108" t="s">
        <v>44</v>
      </c>
      <c r="F108">
        <v>1115</v>
      </c>
      <c r="G108" t="s">
        <v>45</v>
      </c>
      <c r="H108">
        <v>1</v>
      </c>
      <c r="I108">
        <v>3</v>
      </c>
      <c r="J108" t="s">
        <v>38</v>
      </c>
      <c r="K108">
        <v>1</v>
      </c>
      <c r="L108">
        <v>141</v>
      </c>
      <c r="M108">
        <v>1</v>
      </c>
      <c r="N108" t="str" cm="1">
        <f t="array" ref="N108">_xlfn.IFS(HRData[[#This Row],[EnvironmentSatisfaction]]=1,"Very Dissatisfied",
HRData[[#This Row],[EnvironmentSatisfaction]]=2,"Dissatisfied",
HRData[[#This Row],[EnvironmentSatisfaction]]=3,"Satisfied",
HRData[[#This Row],[EnvironmentSatisfaction]]=4,"Very Satisfied"
)</f>
        <v>Very Dissatisfied</v>
      </c>
      <c r="O108" t="s">
        <v>39</v>
      </c>
      <c r="P108">
        <v>73</v>
      </c>
      <c r="Q108">
        <v>3</v>
      </c>
      <c r="R108">
        <v>5</v>
      </c>
      <c r="S108" t="s">
        <v>58</v>
      </c>
      <c r="T108">
        <v>2</v>
      </c>
      <c r="U108" t="str" cm="1">
        <f t="array" ref="U108">_xlfn.IFS(
HRData[[#This Row],[JobSatisfaction]]=1,"Very Dissatisfied",
HRData[[#This Row],[JobSatisfaction]]=2,"Dissatisfied",
HRData[[#This Row],[JobSatisfaction]]=3,"Satisfied",
HRData[[#This Row],[JobSatisfaction]]=4,"Very Satisfied"
)</f>
        <v>Dissatisfied</v>
      </c>
      <c r="V108" t="s">
        <v>48</v>
      </c>
      <c r="W108">
        <v>18172</v>
      </c>
      <c r="X108" t="str" cm="1">
        <f t="array" ref="X108">_xlfn.IFS(
HRData[[#This Row],[MonthlyIncome]]&lt;=4000,"Very Low Income",
HRData[[#This Row],[MonthlyIncome]]&lt;=8000,"Low Income",
HRData[[#This Row],[MonthlyIncome]]&lt;=12000,"Moderate Income",
HRData[[#This Row],[MonthlyIncome]]&lt;=16000,"High Income",
HRData[[#This Row],[MonthlyIncome]]&gt;16000,"Very High Income"
)</f>
        <v>Very High Income</v>
      </c>
      <c r="Y108">
        <v>9755</v>
      </c>
      <c r="Z108">
        <v>3</v>
      </c>
      <c r="AA108" t="s">
        <v>42</v>
      </c>
      <c r="AB108" t="s">
        <v>35</v>
      </c>
      <c r="AC108">
        <v>19</v>
      </c>
      <c r="AD108" t="str" cm="1">
        <f t="array" ref="AD108">_xlfn.IFS(HRData[[#This Row],[PercentSalaryHike]]&lt;=15,"11-15",HRData[[#This Row],[PercentSalaryHike]]&lt;=20,"16-20",HRData[[#This Row],[PercentSalaryHike]]&gt;=21,"21+")</f>
        <v>16-20</v>
      </c>
      <c r="AE108">
        <v>3</v>
      </c>
      <c r="AF108">
        <v>1</v>
      </c>
      <c r="AG108">
        <v>80</v>
      </c>
      <c r="AH108">
        <v>0</v>
      </c>
      <c r="AI108">
        <v>28</v>
      </c>
      <c r="AJ108">
        <v>1</v>
      </c>
      <c r="AK108">
        <v>2</v>
      </c>
      <c r="AL108">
        <v>8</v>
      </c>
      <c r="AM108">
        <v>3</v>
      </c>
      <c r="AN108">
        <v>0</v>
      </c>
      <c r="AO108">
        <v>7</v>
      </c>
      <c r="AP10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8" t="str">
        <f>IF(HRData[[#This Row],[Attrition]]="Yes","Left", IF(HRData[[#This Row],[Attrition_Risk_Score]]&gt;=6,"High",IF(HRData[[#This Row],[Attrition_Risk_Score]]&gt;=3,"Medium","Low")))</f>
        <v>Low</v>
      </c>
      <c r="AR108" t="str">
        <f>IF(HRData[[#This Row],[Attrition_Risk_Level]]&lt;&gt;"High","",HRData[[#This Row],[Attrition_Risk_Score]]*10000-HRData[[#This Row],[EmployeeNumber]])</f>
        <v/>
      </c>
    </row>
    <row r="109" spans="1:44">
      <c r="A109">
        <v>25</v>
      </c>
      <c r="B109" t="str" cm="1">
        <f t="array" ref="B109">_xlfn.IFS(
HRData[[#This Row],[Age]]&lt;=24,"18-24",
HRData[[#This Row],[Age]]&lt;=34,"25-34",
HRData[[#This Row],[Age]]&lt;=44,"35-44",
HRData[[#This Row],[Age]]&lt;=54,"45-54",
HRData[[#This Row],[Age]]&gt;=55,"55+"
)</f>
        <v>25-34</v>
      </c>
      <c r="C109" t="s">
        <v>35</v>
      </c>
      <c r="D109">
        <f>IF(HRData[[#This Row],[Attrition]]="Yes",1,0)</f>
        <v>1</v>
      </c>
      <c r="E109" t="s">
        <v>36</v>
      </c>
      <c r="F109">
        <v>240</v>
      </c>
      <c r="G109" t="s">
        <v>37</v>
      </c>
      <c r="H109">
        <v>5</v>
      </c>
      <c r="I109">
        <v>3</v>
      </c>
      <c r="J109" t="s">
        <v>59</v>
      </c>
      <c r="K109">
        <v>1</v>
      </c>
      <c r="L109">
        <v>142</v>
      </c>
      <c r="M109">
        <v>3</v>
      </c>
      <c r="N109" t="str" cm="1">
        <f t="array" ref="N109">_xlfn.IFS(HRData[[#This Row],[EnvironmentSatisfaction]]=1,"Very Dissatisfied",
HRData[[#This Row],[EnvironmentSatisfaction]]=2,"Dissatisfied",
HRData[[#This Row],[EnvironmentSatisfaction]]=3,"Satisfied",
HRData[[#This Row],[EnvironmentSatisfaction]]=4,"Very Satisfied"
)</f>
        <v>Satisfied</v>
      </c>
      <c r="O109" t="s">
        <v>46</v>
      </c>
      <c r="P109">
        <v>46</v>
      </c>
      <c r="Q109">
        <v>2</v>
      </c>
      <c r="R109">
        <v>2</v>
      </c>
      <c r="S109" t="s">
        <v>40</v>
      </c>
      <c r="T109">
        <v>3</v>
      </c>
      <c r="U109" t="str" cm="1">
        <f t="array" ref="U109">_xlfn.IFS(
HRData[[#This Row],[JobSatisfaction]]=1,"Very Dissatisfied",
HRData[[#This Row],[JobSatisfaction]]=2,"Dissatisfied",
HRData[[#This Row],[JobSatisfaction]]=3,"Satisfied",
HRData[[#This Row],[JobSatisfaction]]=4,"Very Satisfied"
)</f>
        <v>Satisfied</v>
      </c>
      <c r="V109" t="s">
        <v>41</v>
      </c>
      <c r="W109">
        <v>5744</v>
      </c>
      <c r="X109" t="str" cm="1">
        <f t="array" ref="X109">_xlfn.IFS(
HRData[[#This Row],[MonthlyIncome]]&lt;=4000,"Very Low Income",
HRData[[#This Row],[MonthlyIncome]]&lt;=8000,"Low Income",
HRData[[#This Row],[MonthlyIncome]]&lt;=12000,"Moderate Income",
HRData[[#This Row],[MonthlyIncome]]&lt;=16000,"High Income",
HRData[[#This Row],[MonthlyIncome]]&gt;16000,"Very High Income"
)</f>
        <v>Low Income</v>
      </c>
      <c r="Y109">
        <v>26959</v>
      </c>
      <c r="Z109">
        <v>1</v>
      </c>
      <c r="AA109" t="s">
        <v>42</v>
      </c>
      <c r="AB109" t="s">
        <v>35</v>
      </c>
      <c r="AC109">
        <v>11</v>
      </c>
      <c r="AD109" t="str" cm="1">
        <f t="array" ref="AD109">_xlfn.IFS(HRData[[#This Row],[PercentSalaryHike]]&lt;=15,"11-15",HRData[[#This Row],[PercentSalaryHike]]&lt;=20,"16-20",HRData[[#This Row],[PercentSalaryHike]]&gt;=21,"21+")</f>
        <v>11-15</v>
      </c>
      <c r="AE109">
        <v>3</v>
      </c>
      <c r="AF109">
        <v>4</v>
      </c>
      <c r="AG109">
        <v>80</v>
      </c>
      <c r="AH109">
        <v>0</v>
      </c>
      <c r="AI109">
        <v>6</v>
      </c>
      <c r="AJ109">
        <v>1</v>
      </c>
      <c r="AK109">
        <v>3</v>
      </c>
      <c r="AL109">
        <v>6</v>
      </c>
      <c r="AM109">
        <v>4</v>
      </c>
      <c r="AN109">
        <v>0</v>
      </c>
      <c r="AO109">
        <v>3</v>
      </c>
      <c r="AP10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9" t="str">
        <f>IF(HRData[[#This Row],[Attrition]]="Yes","Left", IF(HRData[[#This Row],[Attrition_Risk_Score]]&gt;=6,"High",IF(HRData[[#This Row],[Attrition_Risk_Score]]&gt;=3,"Medium","Low")))</f>
        <v>Left</v>
      </c>
      <c r="AR109" t="str">
        <f>IF(HRData[[#This Row],[Attrition_Risk_Level]]&lt;&gt;"High","",HRData[[#This Row],[Attrition_Risk_Score]]*10000-HRData[[#This Row],[EmployeeNumber]])</f>
        <v/>
      </c>
    </row>
    <row r="110" spans="1:44">
      <c r="A110">
        <v>25</v>
      </c>
      <c r="B110" t="str" cm="1">
        <f t="array" ref="B110">_xlfn.IFS(
HRData[[#This Row],[Age]]&lt;=24,"18-24",
HRData[[#This Row],[Age]]&lt;=34,"25-34",
HRData[[#This Row],[Age]]&lt;=44,"35-44",
HRData[[#This Row],[Age]]&lt;=54,"45-54",
HRData[[#This Row],[Age]]&gt;=55,"55+"
)</f>
        <v>25-34</v>
      </c>
      <c r="C110" t="s">
        <v>43</v>
      </c>
      <c r="D110">
        <f>IF(HRData[[#This Row],[Attrition]]="Yes",1,0)</f>
        <v>0</v>
      </c>
      <c r="E110" t="s">
        <v>36</v>
      </c>
      <c r="F110">
        <v>1280</v>
      </c>
      <c r="G110" t="s">
        <v>45</v>
      </c>
      <c r="H110">
        <v>7</v>
      </c>
      <c r="I110">
        <v>1</v>
      </c>
      <c r="J110" t="s">
        <v>51</v>
      </c>
      <c r="K110">
        <v>1</v>
      </c>
      <c r="L110">
        <v>143</v>
      </c>
      <c r="M110">
        <v>4</v>
      </c>
      <c r="N110" t="str" cm="1">
        <f t="array" ref="N110">_xlfn.IFS(HRData[[#This Row],[EnvironmentSatisfaction]]=1,"Very Dissatisfied",
HRData[[#This Row],[EnvironmentSatisfaction]]=2,"Dissatisfied",
HRData[[#This Row],[EnvironmentSatisfaction]]=3,"Satisfied",
HRData[[#This Row],[EnvironmentSatisfaction]]=4,"Very Satisfied"
)</f>
        <v>Very Satisfied</v>
      </c>
      <c r="O110" t="s">
        <v>46</v>
      </c>
      <c r="P110">
        <v>64</v>
      </c>
      <c r="Q110">
        <v>2</v>
      </c>
      <c r="R110">
        <v>1</v>
      </c>
      <c r="S110" t="s">
        <v>47</v>
      </c>
      <c r="T110">
        <v>4</v>
      </c>
      <c r="U110" t="str" cm="1">
        <f t="array" ref="U110">_xlfn.IFS(
HRData[[#This Row],[JobSatisfaction]]=1,"Very Dissatisfied",
HRData[[#This Row],[JobSatisfaction]]=2,"Dissatisfied",
HRData[[#This Row],[JobSatisfaction]]=3,"Satisfied",
HRData[[#This Row],[JobSatisfaction]]=4,"Very Satisfied"
)</f>
        <v>Very Satisfied</v>
      </c>
      <c r="V110" t="s">
        <v>48</v>
      </c>
      <c r="W110">
        <v>2889</v>
      </c>
      <c r="X110" t="str" cm="1">
        <f t="array" ref="X110">_xlfn.IFS(
HRData[[#This Row],[MonthlyIncome]]&lt;=4000,"Very Low Income",
HRData[[#This Row],[MonthlyIncome]]&lt;=8000,"Low Income",
HRData[[#This Row],[MonthlyIncome]]&lt;=12000,"Moderate Income",
HRData[[#This Row],[MonthlyIncome]]&lt;=16000,"High Income",
HRData[[#This Row],[MonthlyIncome]]&gt;16000,"Very High Income"
)</f>
        <v>Very Low Income</v>
      </c>
      <c r="Y110">
        <v>26897</v>
      </c>
      <c r="Z110">
        <v>1</v>
      </c>
      <c r="AA110" t="s">
        <v>42</v>
      </c>
      <c r="AB110" t="s">
        <v>43</v>
      </c>
      <c r="AC110">
        <v>11</v>
      </c>
      <c r="AD110" t="str" cm="1">
        <f t="array" ref="AD110">_xlfn.IFS(HRData[[#This Row],[PercentSalaryHike]]&lt;=15,"11-15",HRData[[#This Row],[PercentSalaryHike]]&lt;=20,"16-20",HRData[[#This Row],[PercentSalaryHike]]&gt;=21,"21+")</f>
        <v>11-15</v>
      </c>
      <c r="AE110">
        <v>3</v>
      </c>
      <c r="AF110">
        <v>3</v>
      </c>
      <c r="AG110">
        <v>80</v>
      </c>
      <c r="AH110">
        <v>2</v>
      </c>
      <c r="AI110">
        <v>2</v>
      </c>
      <c r="AJ110">
        <v>2</v>
      </c>
      <c r="AK110">
        <v>3</v>
      </c>
      <c r="AL110">
        <v>2</v>
      </c>
      <c r="AM110">
        <v>2</v>
      </c>
      <c r="AN110">
        <v>2</v>
      </c>
      <c r="AO110">
        <v>1</v>
      </c>
      <c r="AP11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0" t="str">
        <f>IF(HRData[[#This Row],[Attrition]]="Yes","Left", IF(HRData[[#This Row],[Attrition_Risk_Score]]&gt;=6,"High",IF(HRData[[#This Row],[Attrition_Risk_Score]]&gt;=3,"Medium","Low")))</f>
        <v>Medium</v>
      </c>
      <c r="AR110" t="str">
        <f>IF(HRData[[#This Row],[Attrition_Risk_Level]]&lt;&gt;"High","",HRData[[#This Row],[Attrition_Risk_Score]]*10000-HRData[[#This Row],[EmployeeNumber]])</f>
        <v/>
      </c>
    </row>
    <row r="111" spans="1:44">
      <c r="A111">
        <v>22</v>
      </c>
      <c r="B111" t="str" cm="1">
        <f t="array" ref="B111">_xlfn.IFS(
HRData[[#This Row],[Age]]&lt;=24,"18-24",
HRData[[#This Row],[Age]]&lt;=34,"25-34",
HRData[[#This Row],[Age]]&lt;=44,"35-44",
HRData[[#This Row],[Age]]&lt;=54,"45-54",
HRData[[#This Row],[Age]]&gt;=55,"55+"
)</f>
        <v>18-24</v>
      </c>
      <c r="C111" t="s">
        <v>43</v>
      </c>
      <c r="D111">
        <f>IF(HRData[[#This Row],[Attrition]]="Yes",1,0)</f>
        <v>0</v>
      </c>
      <c r="E111" t="s">
        <v>36</v>
      </c>
      <c r="F111">
        <v>534</v>
      </c>
      <c r="G111" t="s">
        <v>45</v>
      </c>
      <c r="H111">
        <v>15</v>
      </c>
      <c r="I111">
        <v>3</v>
      </c>
      <c r="J111" t="s">
        <v>51</v>
      </c>
      <c r="K111">
        <v>1</v>
      </c>
      <c r="L111">
        <v>144</v>
      </c>
      <c r="M111">
        <v>2</v>
      </c>
      <c r="N111" t="str" cm="1">
        <f t="array" ref="N111">_xlfn.IFS(HRData[[#This Row],[EnvironmentSatisfaction]]=1,"Very Dissatisfied",
HRData[[#This Row],[EnvironmentSatisfaction]]=2,"Dissatisfied",
HRData[[#This Row],[EnvironmentSatisfaction]]=3,"Satisfied",
HRData[[#This Row],[EnvironmentSatisfaction]]=4,"Very Satisfied"
)</f>
        <v>Dissatisfied</v>
      </c>
      <c r="O111" t="s">
        <v>39</v>
      </c>
      <c r="P111">
        <v>59</v>
      </c>
      <c r="Q111">
        <v>3</v>
      </c>
      <c r="R111">
        <v>1</v>
      </c>
      <c r="S111" t="s">
        <v>50</v>
      </c>
      <c r="T111">
        <v>4</v>
      </c>
      <c r="U111" t="str" cm="1">
        <f t="array" ref="U111">_xlfn.IFS(
HRData[[#This Row],[JobSatisfaction]]=1,"Very Dissatisfied",
HRData[[#This Row],[JobSatisfaction]]=2,"Dissatisfied",
HRData[[#This Row],[JobSatisfaction]]=3,"Satisfied",
HRData[[#This Row],[JobSatisfaction]]=4,"Very Satisfied"
)</f>
        <v>Very Satisfied</v>
      </c>
      <c r="V111" t="s">
        <v>41</v>
      </c>
      <c r="W111">
        <v>2871</v>
      </c>
      <c r="X111" t="str" cm="1">
        <f t="array" ref="X111">_xlfn.IFS(
HRData[[#This Row],[MonthlyIncome]]&lt;=4000,"Very Low Income",
HRData[[#This Row],[MonthlyIncome]]&lt;=8000,"Low Income",
HRData[[#This Row],[MonthlyIncome]]&lt;=12000,"Moderate Income",
HRData[[#This Row],[MonthlyIncome]]&lt;=16000,"High Income",
HRData[[#This Row],[MonthlyIncome]]&gt;16000,"Very High Income"
)</f>
        <v>Very Low Income</v>
      </c>
      <c r="Y111">
        <v>23785</v>
      </c>
      <c r="Z111">
        <v>1</v>
      </c>
      <c r="AA111" t="s">
        <v>42</v>
      </c>
      <c r="AB111" t="s">
        <v>43</v>
      </c>
      <c r="AC111">
        <v>15</v>
      </c>
      <c r="AD111" t="str" cm="1">
        <f t="array" ref="AD111">_xlfn.IFS(HRData[[#This Row],[PercentSalaryHike]]&lt;=15,"11-15",HRData[[#This Row],[PercentSalaryHike]]&lt;=20,"16-20",HRData[[#This Row],[PercentSalaryHike]]&gt;=21,"21+")</f>
        <v>11-15</v>
      </c>
      <c r="AE111">
        <v>3</v>
      </c>
      <c r="AF111">
        <v>3</v>
      </c>
      <c r="AG111">
        <v>80</v>
      </c>
      <c r="AH111">
        <v>0</v>
      </c>
      <c r="AI111">
        <v>1</v>
      </c>
      <c r="AJ111">
        <v>5</v>
      </c>
      <c r="AK111">
        <v>3</v>
      </c>
      <c r="AL111">
        <v>0</v>
      </c>
      <c r="AM111">
        <v>0</v>
      </c>
      <c r="AN111">
        <v>0</v>
      </c>
      <c r="AO111">
        <v>0</v>
      </c>
      <c r="AP11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11" t="str">
        <f>IF(HRData[[#This Row],[Attrition]]="Yes","Left", IF(HRData[[#This Row],[Attrition_Risk_Score]]&gt;=6,"High",IF(HRData[[#This Row],[Attrition_Risk_Score]]&gt;=3,"Medium","Low")))</f>
        <v>Medium</v>
      </c>
      <c r="AR111" t="str">
        <f>IF(HRData[[#This Row],[Attrition_Risk_Level]]&lt;&gt;"High","",HRData[[#This Row],[Attrition_Risk_Score]]*10000-HRData[[#This Row],[EmployeeNumber]])</f>
        <v/>
      </c>
    </row>
    <row r="112" spans="1:44">
      <c r="A112">
        <v>51</v>
      </c>
      <c r="B112" t="str" cm="1">
        <f t="array" ref="B112">_xlfn.IFS(
HRData[[#This Row],[Age]]&lt;=24,"18-24",
HRData[[#This Row],[Age]]&lt;=34,"25-34",
HRData[[#This Row],[Age]]&lt;=44,"35-44",
HRData[[#This Row],[Age]]&lt;=54,"45-54",
HRData[[#This Row],[Age]]&gt;=55,"55+"
)</f>
        <v>45-54</v>
      </c>
      <c r="C112" t="s">
        <v>43</v>
      </c>
      <c r="D112">
        <f>IF(HRData[[#This Row],[Attrition]]="Yes",1,0)</f>
        <v>0</v>
      </c>
      <c r="E112" t="s">
        <v>44</v>
      </c>
      <c r="F112">
        <v>1456</v>
      </c>
      <c r="G112" t="s">
        <v>45</v>
      </c>
      <c r="H112">
        <v>1</v>
      </c>
      <c r="I112">
        <v>4</v>
      </c>
      <c r="J112" t="s">
        <v>51</v>
      </c>
      <c r="K112">
        <v>1</v>
      </c>
      <c r="L112">
        <v>145</v>
      </c>
      <c r="M112">
        <v>1</v>
      </c>
      <c r="N112" t="str" cm="1">
        <f t="array" ref="N112">_xlfn.IFS(HRData[[#This Row],[EnvironmentSatisfaction]]=1,"Very Dissatisfied",
HRData[[#This Row],[EnvironmentSatisfaction]]=2,"Dissatisfied",
HRData[[#This Row],[EnvironmentSatisfaction]]=3,"Satisfied",
HRData[[#This Row],[EnvironmentSatisfaction]]=4,"Very Satisfied"
)</f>
        <v>Very Dissatisfied</v>
      </c>
      <c r="O112" t="s">
        <v>39</v>
      </c>
      <c r="P112">
        <v>30</v>
      </c>
      <c r="Q112">
        <v>2</v>
      </c>
      <c r="R112">
        <v>3</v>
      </c>
      <c r="S112" t="s">
        <v>54</v>
      </c>
      <c r="T112">
        <v>1</v>
      </c>
      <c r="U112" t="str" cm="1">
        <f t="array" ref="U112">_xlfn.IFS(
HRData[[#This Row],[JobSatisfaction]]=1,"Very Dissatisfied",
HRData[[#This Row],[JobSatisfaction]]=2,"Dissatisfied",
HRData[[#This Row],[JobSatisfaction]]=3,"Satisfied",
HRData[[#This Row],[JobSatisfaction]]=4,"Very Satisfied"
)</f>
        <v>Very Dissatisfied</v>
      </c>
      <c r="V112" t="s">
        <v>41</v>
      </c>
      <c r="W112">
        <v>7484</v>
      </c>
      <c r="X112" t="str" cm="1">
        <f t="array" ref="X112">_xlfn.IFS(
HRData[[#This Row],[MonthlyIncome]]&lt;=4000,"Very Low Income",
HRData[[#This Row],[MonthlyIncome]]&lt;=8000,"Low Income",
HRData[[#This Row],[MonthlyIncome]]&lt;=12000,"Moderate Income",
HRData[[#This Row],[MonthlyIncome]]&lt;=16000,"High Income",
HRData[[#This Row],[MonthlyIncome]]&gt;16000,"Very High Income"
)</f>
        <v>Low Income</v>
      </c>
      <c r="Y112">
        <v>25796</v>
      </c>
      <c r="Z112">
        <v>3</v>
      </c>
      <c r="AA112" t="s">
        <v>42</v>
      </c>
      <c r="AB112" t="s">
        <v>43</v>
      </c>
      <c r="AC112">
        <v>20</v>
      </c>
      <c r="AD112" t="str" cm="1">
        <f t="array" ref="AD112">_xlfn.IFS(HRData[[#This Row],[PercentSalaryHike]]&lt;=15,"11-15",HRData[[#This Row],[PercentSalaryHike]]&lt;=20,"16-20",HRData[[#This Row],[PercentSalaryHike]]&gt;=21,"21+")</f>
        <v>16-20</v>
      </c>
      <c r="AE112">
        <v>4</v>
      </c>
      <c r="AF112">
        <v>3</v>
      </c>
      <c r="AG112">
        <v>80</v>
      </c>
      <c r="AH112">
        <v>0</v>
      </c>
      <c r="AI112">
        <v>23</v>
      </c>
      <c r="AJ112">
        <v>1</v>
      </c>
      <c r="AK112">
        <v>2</v>
      </c>
      <c r="AL112">
        <v>13</v>
      </c>
      <c r="AM112">
        <v>12</v>
      </c>
      <c r="AN112">
        <v>12</v>
      </c>
      <c r="AO112">
        <v>8</v>
      </c>
      <c r="AP11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2" t="str">
        <f>IF(HRData[[#This Row],[Attrition]]="Yes","Left", IF(HRData[[#This Row],[Attrition_Risk_Score]]&gt;=6,"High",IF(HRData[[#This Row],[Attrition_Risk_Score]]&gt;=3,"Medium","Low")))</f>
        <v>Medium</v>
      </c>
      <c r="AR112" t="str">
        <f>IF(HRData[[#This Row],[Attrition_Risk_Level]]&lt;&gt;"High","",HRData[[#This Row],[Attrition_Risk_Score]]*10000-HRData[[#This Row],[EmployeeNumber]])</f>
        <v/>
      </c>
    </row>
    <row r="113" spans="1:44">
      <c r="A113">
        <v>34</v>
      </c>
      <c r="B113" t="str" cm="1">
        <f t="array" ref="B113">_xlfn.IFS(
HRData[[#This Row],[Age]]&lt;=24,"18-24",
HRData[[#This Row],[Age]]&lt;=34,"25-34",
HRData[[#This Row],[Age]]&lt;=44,"35-44",
HRData[[#This Row],[Age]]&lt;=54,"45-54",
HRData[[#This Row],[Age]]&gt;=55,"55+"
)</f>
        <v>25-34</v>
      </c>
      <c r="C113" t="s">
        <v>35</v>
      </c>
      <c r="D113">
        <f>IF(HRData[[#This Row],[Attrition]]="Yes",1,0)</f>
        <v>1</v>
      </c>
      <c r="E113" t="s">
        <v>44</v>
      </c>
      <c r="F113">
        <v>658</v>
      </c>
      <c r="G113" t="s">
        <v>45</v>
      </c>
      <c r="H113">
        <v>7</v>
      </c>
      <c r="I113">
        <v>3</v>
      </c>
      <c r="J113" t="s">
        <v>38</v>
      </c>
      <c r="K113">
        <v>1</v>
      </c>
      <c r="L113">
        <v>147</v>
      </c>
      <c r="M113">
        <v>1</v>
      </c>
      <c r="N113" t="str" cm="1">
        <f t="array" ref="N113">_xlfn.IFS(HRData[[#This Row],[EnvironmentSatisfaction]]=1,"Very Dissatisfied",
HRData[[#This Row],[EnvironmentSatisfaction]]=2,"Dissatisfied",
HRData[[#This Row],[EnvironmentSatisfaction]]=3,"Satisfied",
HRData[[#This Row],[EnvironmentSatisfaction]]=4,"Very Satisfied"
)</f>
        <v>Very Dissatisfied</v>
      </c>
      <c r="O113" t="s">
        <v>46</v>
      </c>
      <c r="P113">
        <v>66</v>
      </c>
      <c r="Q113">
        <v>1</v>
      </c>
      <c r="R113">
        <v>2</v>
      </c>
      <c r="S113" t="s">
        <v>50</v>
      </c>
      <c r="T113">
        <v>3</v>
      </c>
      <c r="U113" t="str" cm="1">
        <f t="array" ref="U113">_xlfn.IFS(
HRData[[#This Row],[JobSatisfaction]]=1,"Very Dissatisfied",
HRData[[#This Row],[JobSatisfaction]]=2,"Dissatisfied",
HRData[[#This Row],[JobSatisfaction]]=3,"Satisfied",
HRData[[#This Row],[JobSatisfaction]]=4,"Very Satisfied"
)</f>
        <v>Satisfied</v>
      </c>
      <c r="V113" t="s">
        <v>41</v>
      </c>
      <c r="W113">
        <v>6074</v>
      </c>
      <c r="X113" t="str" cm="1">
        <f t="array" ref="X113">_xlfn.IFS(
HRData[[#This Row],[MonthlyIncome]]&lt;=4000,"Very Low Income",
HRData[[#This Row],[MonthlyIncome]]&lt;=8000,"Low Income",
HRData[[#This Row],[MonthlyIncome]]&lt;=12000,"Moderate Income",
HRData[[#This Row],[MonthlyIncome]]&lt;=16000,"High Income",
HRData[[#This Row],[MonthlyIncome]]&gt;16000,"Very High Income"
)</f>
        <v>Low Income</v>
      </c>
      <c r="Y113">
        <v>22887</v>
      </c>
      <c r="Z113">
        <v>1</v>
      </c>
      <c r="AA113" t="s">
        <v>42</v>
      </c>
      <c r="AB113" t="s">
        <v>35</v>
      </c>
      <c r="AC113">
        <v>24</v>
      </c>
      <c r="AD113" t="str" cm="1">
        <f t="array" ref="AD113">_xlfn.IFS(HRData[[#This Row],[PercentSalaryHike]]&lt;=15,"11-15",HRData[[#This Row],[PercentSalaryHike]]&lt;=20,"16-20",HRData[[#This Row],[PercentSalaryHike]]&gt;=21,"21+")</f>
        <v>21+</v>
      </c>
      <c r="AE113">
        <v>4</v>
      </c>
      <c r="AF113">
        <v>4</v>
      </c>
      <c r="AG113">
        <v>80</v>
      </c>
      <c r="AH113">
        <v>0</v>
      </c>
      <c r="AI113">
        <v>9</v>
      </c>
      <c r="AJ113">
        <v>3</v>
      </c>
      <c r="AK113">
        <v>3</v>
      </c>
      <c r="AL113">
        <v>9</v>
      </c>
      <c r="AM113">
        <v>7</v>
      </c>
      <c r="AN113">
        <v>0</v>
      </c>
      <c r="AO113">
        <v>6</v>
      </c>
      <c r="AP11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13" t="str">
        <f>IF(HRData[[#This Row],[Attrition]]="Yes","Left", IF(HRData[[#This Row],[Attrition_Risk_Score]]&gt;=6,"High",IF(HRData[[#This Row],[Attrition_Risk_Score]]&gt;=3,"Medium","Low")))</f>
        <v>Left</v>
      </c>
      <c r="AR113" t="str">
        <f>IF(HRData[[#This Row],[Attrition_Risk_Level]]&lt;&gt;"High","",HRData[[#This Row],[Attrition_Risk_Score]]*10000-HRData[[#This Row],[EmployeeNumber]])</f>
        <v/>
      </c>
    </row>
    <row r="114" spans="1:44">
      <c r="A114">
        <v>54</v>
      </c>
      <c r="B114" t="str" cm="1">
        <f t="array" ref="B114">_xlfn.IFS(
HRData[[#This Row],[Age]]&lt;=24,"18-24",
HRData[[#This Row],[Age]]&lt;=34,"25-34",
HRData[[#This Row],[Age]]&lt;=44,"35-44",
HRData[[#This Row],[Age]]&lt;=54,"45-54",
HRData[[#This Row],[Age]]&gt;=55,"55+"
)</f>
        <v>45-54</v>
      </c>
      <c r="C114" t="s">
        <v>43</v>
      </c>
      <c r="D114">
        <f>IF(HRData[[#This Row],[Attrition]]="Yes",1,0)</f>
        <v>0</v>
      </c>
      <c r="E114" t="s">
        <v>55</v>
      </c>
      <c r="F114">
        <v>142</v>
      </c>
      <c r="G114" t="s">
        <v>61</v>
      </c>
      <c r="H114">
        <v>26</v>
      </c>
      <c r="I114">
        <v>3</v>
      </c>
      <c r="J114" t="s">
        <v>61</v>
      </c>
      <c r="K114">
        <v>1</v>
      </c>
      <c r="L114">
        <v>148</v>
      </c>
      <c r="M114">
        <v>4</v>
      </c>
      <c r="N114" t="str" cm="1">
        <f t="array" ref="N114">_xlfn.IFS(HRData[[#This Row],[EnvironmentSatisfaction]]=1,"Very Dissatisfied",
HRData[[#This Row],[EnvironmentSatisfaction]]=2,"Dissatisfied",
HRData[[#This Row],[EnvironmentSatisfaction]]=3,"Satisfied",
HRData[[#This Row],[EnvironmentSatisfaction]]=4,"Very Satisfied"
)</f>
        <v>Very Satisfied</v>
      </c>
      <c r="O114" t="s">
        <v>39</v>
      </c>
      <c r="P114">
        <v>30</v>
      </c>
      <c r="Q114">
        <v>4</v>
      </c>
      <c r="R114">
        <v>4</v>
      </c>
      <c r="S114" t="s">
        <v>56</v>
      </c>
      <c r="T114">
        <v>4</v>
      </c>
      <c r="U114" t="str" cm="1">
        <f t="array" ref="U114">_xlfn.IFS(
HRData[[#This Row],[JobSatisfaction]]=1,"Very Dissatisfied",
HRData[[#This Row],[JobSatisfaction]]=2,"Dissatisfied",
HRData[[#This Row],[JobSatisfaction]]=3,"Satisfied",
HRData[[#This Row],[JobSatisfaction]]=4,"Very Satisfied"
)</f>
        <v>Very Satisfied</v>
      </c>
      <c r="V114" t="s">
        <v>41</v>
      </c>
      <c r="W114">
        <v>17328</v>
      </c>
      <c r="X114" t="str" cm="1">
        <f t="array" ref="X114">_xlfn.IFS(
HRData[[#This Row],[MonthlyIncome]]&lt;=4000,"Very Low Income",
HRData[[#This Row],[MonthlyIncome]]&lt;=8000,"Low Income",
HRData[[#This Row],[MonthlyIncome]]&lt;=12000,"Moderate Income",
HRData[[#This Row],[MonthlyIncome]]&lt;=16000,"High Income",
HRData[[#This Row],[MonthlyIncome]]&gt;16000,"Very High Income"
)</f>
        <v>Very High Income</v>
      </c>
      <c r="Y114">
        <v>13871</v>
      </c>
      <c r="Z114">
        <v>2</v>
      </c>
      <c r="AA114" t="s">
        <v>42</v>
      </c>
      <c r="AB114" t="s">
        <v>35</v>
      </c>
      <c r="AC114">
        <v>12</v>
      </c>
      <c r="AD114" t="str" cm="1">
        <f t="array" ref="AD114">_xlfn.IFS(HRData[[#This Row],[PercentSalaryHike]]&lt;=15,"11-15",HRData[[#This Row],[PercentSalaryHike]]&lt;=20,"16-20",HRData[[#This Row],[PercentSalaryHike]]&gt;=21,"21+")</f>
        <v>11-15</v>
      </c>
      <c r="AE114">
        <v>3</v>
      </c>
      <c r="AF114">
        <v>3</v>
      </c>
      <c r="AG114">
        <v>80</v>
      </c>
      <c r="AH114">
        <v>0</v>
      </c>
      <c r="AI114">
        <v>23</v>
      </c>
      <c r="AJ114">
        <v>3</v>
      </c>
      <c r="AK114">
        <v>3</v>
      </c>
      <c r="AL114">
        <v>5</v>
      </c>
      <c r="AM114">
        <v>3</v>
      </c>
      <c r="AN114">
        <v>4</v>
      </c>
      <c r="AO114">
        <v>4</v>
      </c>
      <c r="AP11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4" t="str">
        <f>IF(HRData[[#This Row],[Attrition]]="Yes","Left", IF(HRData[[#This Row],[Attrition_Risk_Score]]&gt;=6,"High",IF(HRData[[#This Row],[Attrition_Risk_Score]]&gt;=3,"Medium","Low")))</f>
        <v>Low</v>
      </c>
      <c r="AR114" t="str">
        <f>IF(HRData[[#This Row],[Attrition_Risk_Level]]&lt;&gt;"High","",HRData[[#This Row],[Attrition_Risk_Score]]*10000-HRData[[#This Row],[EmployeeNumber]])</f>
        <v/>
      </c>
    </row>
    <row r="115" spans="1:44">
      <c r="A115">
        <v>24</v>
      </c>
      <c r="B115" t="str" cm="1">
        <f t="array" ref="B115">_xlfn.IFS(
HRData[[#This Row],[Age]]&lt;=24,"18-24",
HRData[[#This Row],[Age]]&lt;=34,"25-34",
HRData[[#This Row],[Age]]&lt;=44,"35-44",
HRData[[#This Row],[Age]]&lt;=54,"45-54",
HRData[[#This Row],[Age]]&gt;=55,"55+"
)</f>
        <v>18-24</v>
      </c>
      <c r="C115" t="s">
        <v>43</v>
      </c>
      <c r="D115">
        <f>IF(HRData[[#This Row],[Attrition]]="Yes",1,0)</f>
        <v>0</v>
      </c>
      <c r="E115" t="s">
        <v>36</v>
      </c>
      <c r="F115">
        <v>1127</v>
      </c>
      <c r="G115" t="s">
        <v>45</v>
      </c>
      <c r="H115">
        <v>18</v>
      </c>
      <c r="I115">
        <v>1</v>
      </c>
      <c r="J115" t="s">
        <v>38</v>
      </c>
      <c r="K115">
        <v>1</v>
      </c>
      <c r="L115">
        <v>150</v>
      </c>
      <c r="M115">
        <v>2</v>
      </c>
      <c r="N115" t="str" cm="1">
        <f t="array" ref="N115">_xlfn.IFS(HRData[[#This Row],[EnvironmentSatisfaction]]=1,"Very Dissatisfied",
HRData[[#This Row],[EnvironmentSatisfaction]]=2,"Dissatisfied",
HRData[[#This Row],[EnvironmentSatisfaction]]=3,"Satisfied",
HRData[[#This Row],[EnvironmentSatisfaction]]=4,"Very Satisfied"
)</f>
        <v>Dissatisfied</v>
      </c>
      <c r="O115" t="s">
        <v>46</v>
      </c>
      <c r="P115">
        <v>52</v>
      </c>
      <c r="Q115">
        <v>3</v>
      </c>
      <c r="R115">
        <v>1</v>
      </c>
      <c r="S115" t="s">
        <v>50</v>
      </c>
      <c r="T115">
        <v>3</v>
      </c>
      <c r="U115" t="str" cm="1">
        <f t="array" ref="U115">_xlfn.IFS(
HRData[[#This Row],[JobSatisfaction]]=1,"Very Dissatisfied",
HRData[[#This Row],[JobSatisfaction]]=2,"Dissatisfied",
HRData[[#This Row],[JobSatisfaction]]=3,"Satisfied",
HRData[[#This Row],[JobSatisfaction]]=4,"Very Satisfied"
)</f>
        <v>Satisfied</v>
      </c>
      <c r="V115" t="s">
        <v>48</v>
      </c>
      <c r="W115">
        <v>2774</v>
      </c>
      <c r="X115" t="str" cm="1">
        <f t="array" ref="X115">_xlfn.IFS(
HRData[[#This Row],[MonthlyIncome]]&lt;=4000,"Very Low Income",
HRData[[#This Row],[MonthlyIncome]]&lt;=8000,"Low Income",
HRData[[#This Row],[MonthlyIncome]]&lt;=12000,"Moderate Income",
HRData[[#This Row],[MonthlyIncome]]&lt;=16000,"High Income",
HRData[[#This Row],[MonthlyIncome]]&gt;16000,"Very High Income"
)</f>
        <v>Very Low Income</v>
      </c>
      <c r="Y115">
        <v>13257</v>
      </c>
      <c r="Z115">
        <v>0</v>
      </c>
      <c r="AA115" t="s">
        <v>42</v>
      </c>
      <c r="AB115" t="s">
        <v>43</v>
      </c>
      <c r="AC115">
        <v>12</v>
      </c>
      <c r="AD115" t="str" cm="1">
        <f t="array" ref="AD115">_xlfn.IFS(HRData[[#This Row],[PercentSalaryHike]]&lt;=15,"11-15",HRData[[#This Row],[PercentSalaryHike]]&lt;=20,"16-20",HRData[[#This Row],[PercentSalaryHike]]&gt;=21,"21+")</f>
        <v>11-15</v>
      </c>
      <c r="AE115">
        <v>3</v>
      </c>
      <c r="AF115">
        <v>3</v>
      </c>
      <c r="AG115">
        <v>80</v>
      </c>
      <c r="AH115">
        <v>1</v>
      </c>
      <c r="AI115">
        <v>6</v>
      </c>
      <c r="AJ115">
        <v>2</v>
      </c>
      <c r="AK115">
        <v>3</v>
      </c>
      <c r="AL115">
        <v>5</v>
      </c>
      <c r="AM115">
        <v>3</v>
      </c>
      <c r="AN115">
        <v>1</v>
      </c>
      <c r="AO115">
        <v>2</v>
      </c>
      <c r="AP11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15" t="str">
        <f>IF(HRData[[#This Row],[Attrition]]="Yes","Left", IF(HRData[[#This Row],[Attrition_Risk_Score]]&gt;=6,"High",IF(HRData[[#This Row],[Attrition_Risk_Score]]&gt;=3,"Medium","Low")))</f>
        <v>Medium</v>
      </c>
      <c r="AR115" t="str">
        <f>IF(HRData[[#This Row],[Attrition_Risk_Level]]&lt;&gt;"High","",HRData[[#This Row],[Attrition_Risk_Score]]*10000-HRData[[#This Row],[EmployeeNumber]])</f>
        <v/>
      </c>
    </row>
    <row r="116" spans="1:44">
      <c r="A116">
        <v>34</v>
      </c>
      <c r="B116" t="str" cm="1">
        <f t="array" ref="B116">_xlfn.IFS(
HRData[[#This Row],[Age]]&lt;=24,"18-24",
HRData[[#This Row],[Age]]&lt;=34,"25-34",
HRData[[#This Row],[Age]]&lt;=44,"35-44",
HRData[[#This Row],[Age]]&lt;=54,"45-54",
HRData[[#This Row],[Age]]&gt;=55,"55+"
)</f>
        <v>25-34</v>
      </c>
      <c r="C116" t="s">
        <v>43</v>
      </c>
      <c r="D116">
        <f>IF(HRData[[#This Row],[Attrition]]="Yes",1,0)</f>
        <v>0</v>
      </c>
      <c r="E116" t="s">
        <v>36</v>
      </c>
      <c r="F116">
        <v>1031</v>
      </c>
      <c r="G116" t="s">
        <v>45</v>
      </c>
      <c r="H116">
        <v>6</v>
      </c>
      <c r="I116">
        <v>4</v>
      </c>
      <c r="J116" t="s">
        <v>38</v>
      </c>
      <c r="K116">
        <v>1</v>
      </c>
      <c r="L116">
        <v>151</v>
      </c>
      <c r="M116">
        <v>3</v>
      </c>
      <c r="N116" t="str" cm="1">
        <f t="array" ref="N116">_xlfn.IFS(HRData[[#This Row],[EnvironmentSatisfaction]]=1,"Very Dissatisfied",
HRData[[#This Row],[EnvironmentSatisfaction]]=2,"Dissatisfied",
HRData[[#This Row],[EnvironmentSatisfaction]]=3,"Satisfied",
HRData[[#This Row],[EnvironmentSatisfaction]]=4,"Very Satisfied"
)</f>
        <v>Satisfied</v>
      </c>
      <c r="O116" t="s">
        <v>39</v>
      </c>
      <c r="P116">
        <v>45</v>
      </c>
      <c r="Q116">
        <v>2</v>
      </c>
      <c r="R116">
        <v>2</v>
      </c>
      <c r="S116" t="s">
        <v>47</v>
      </c>
      <c r="T116">
        <v>2</v>
      </c>
      <c r="U116" t="str" cm="1">
        <f t="array" ref="U116">_xlfn.IFS(
HRData[[#This Row],[JobSatisfaction]]=1,"Very Dissatisfied",
HRData[[#This Row],[JobSatisfaction]]=2,"Dissatisfied",
HRData[[#This Row],[JobSatisfaction]]=3,"Satisfied",
HRData[[#This Row],[JobSatisfaction]]=4,"Very Satisfied"
)</f>
        <v>Dissatisfied</v>
      </c>
      <c r="V116" t="s">
        <v>52</v>
      </c>
      <c r="W116">
        <v>4505</v>
      </c>
      <c r="X116" t="str" cm="1">
        <f t="array" ref="X116">_xlfn.IFS(
HRData[[#This Row],[MonthlyIncome]]&lt;=4000,"Very Low Income",
HRData[[#This Row],[MonthlyIncome]]&lt;=8000,"Low Income",
HRData[[#This Row],[MonthlyIncome]]&lt;=12000,"Moderate Income",
HRData[[#This Row],[MonthlyIncome]]&lt;=16000,"High Income",
HRData[[#This Row],[MonthlyIncome]]&gt;16000,"Very High Income"
)</f>
        <v>Low Income</v>
      </c>
      <c r="Y116">
        <v>15000</v>
      </c>
      <c r="Z116">
        <v>6</v>
      </c>
      <c r="AA116" t="s">
        <v>42</v>
      </c>
      <c r="AB116" t="s">
        <v>43</v>
      </c>
      <c r="AC116">
        <v>15</v>
      </c>
      <c r="AD116" t="str" cm="1">
        <f t="array" ref="AD116">_xlfn.IFS(HRData[[#This Row],[PercentSalaryHike]]&lt;=15,"11-15",HRData[[#This Row],[PercentSalaryHike]]&lt;=20,"16-20",HRData[[#This Row],[PercentSalaryHike]]&gt;=21,"21+")</f>
        <v>11-15</v>
      </c>
      <c r="AE116">
        <v>3</v>
      </c>
      <c r="AF116">
        <v>3</v>
      </c>
      <c r="AG116">
        <v>80</v>
      </c>
      <c r="AH116">
        <v>1</v>
      </c>
      <c r="AI116">
        <v>12</v>
      </c>
      <c r="AJ116">
        <v>3</v>
      </c>
      <c r="AK116">
        <v>3</v>
      </c>
      <c r="AL116">
        <v>1</v>
      </c>
      <c r="AM116">
        <v>0</v>
      </c>
      <c r="AN116">
        <v>0</v>
      </c>
      <c r="AO116">
        <v>0</v>
      </c>
      <c r="AP11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6" t="str">
        <f>IF(HRData[[#This Row],[Attrition]]="Yes","Left", IF(HRData[[#This Row],[Attrition_Risk_Score]]&gt;=6,"High",IF(HRData[[#This Row],[Attrition_Risk_Score]]&gt;=3,"Medium","Low")))</f>
        <v>Low</v>
      </c>
      <c r="AR116" t="str">
        <f>IF(HRData[[#This Row],[Attrition_Risk_Level]]&lt;&gt;"High","",HRData[[#This Row],[Attrition_Risk_Score]]*10000-HRData[[#This Row],[EmployeeNumber]])</f>
        <v/>
      </c>
    </row>
    <row r="117" spans="1:44">
      <c r="A117">
        <v>37</v>
      </c>
      <c r="B117" t="str" cm="1">
        <f t="array" ref="B117">_xlfn.IFS(
HRData[[#This Row],[Age]]&lt;=24,"18-24",
HRData[[#This Row],[Age]]&lt;=34,"25-34",
HRData[[#This Row],[Age]]&lt;=44,"35-44",
HRData[[#This Row],[Age]]&lt;=54,"45-54",
HRData[[#This Row],[Age]]&gt;=55,"55+"
)</f>
        <v>35-44</v>
      </c>
      <c r="C117" t="s">
        <v>43</v>
      </c>
      <c r="D117">
        <f>IF(HRData[[#This Row],[Attrition]]="Yes",1,0)</f>
        <v>0</v>
      </c>
      <c r="E117" t="s">
        <v>36</v>
      </c>
      <c r="F117">
        <v>1189</v>
      </c>
      <c r="G117" t="s">
        <v>37</v>
      </c>
      <c r="H117">
        <v>3</v>
      </c>
      <c r="I117">
        <v>3</v>
      </c>
      <c r="J117" t="s">
        <v>38</v>
      </c>
      <c r="K117">
        <v>1</v>
      </c>
      <c r="L117">
        <v>152</v>
      </c>
      <c r="M117">
        <v>3</v>
      </c>
      <c r="N117" t="str" cm="1">
        <f t="array" ref="N117">_xlfn.IFS(HRData[[#This Row],[EnvironmentSatisfaction]]=1,"Very Dissatisfied",
HRData[[#This Row],[EnvironmentSatisfaction]]=2,"Dissatisfied",
HRData[[#This Row],[EnvironmentSatisfaction]]=3,"Satisfied",
HRData[[#This Row],[EnvironmentSatisfaction]]=4,"Very Satisfied"
)</f>
        <v>Satisfied</v>
      </c>
      <c r="O117" t="s">
        <v>46</v>
      </c>
      <c r="P117">
        <v>87</v>
      </c>
      <c r="Q117">
        <v>3</v>
      </c>
      <c r="R117">
        <v>3</v>
      </c>
      <c r="S117" t="s">
        <v>40</v>
      </c>
      <c r="T117">
        <v>4</v>
      </c>
      <c r="U117" t="str" cm="1">
        <f t="array" ref="U117">_xlfn.IFS(
HRData[[#This Row],[JobSatisfaction]]=1,"Very Dissatisfied",
HRData[[#This Row],[JobSatisfaction]]=2,"Dissatisfied",
HRData[[#This Row],[JobSatisfaction]]=3,"Satisfied",
HRData[[#This Row],[JobSatisfaction]]=4,"Very Satisfied"
)</f>
        <v>Very Satisfied</v>
      </c>
      <c r="V117" t="s">
        <v>41</v>
      </c>
      <c r="W117">
        <v>7428</v>
      </c>
      <c r="X117" t="str" cm="1">
        <f t="array" ref="X117">_xlfn.IFS(
HRData[[#This Row],[MonthlyIncome]]&lt;=4000,"Very Low Income",
HRData[[#This Row],[MonthlyIncome]]&lt;=8000,"Low Income",
HRData[[#This Row],[MonthlyIncome]]&lt;=12000,"Moderate Income",
HRData[[#This Row],[MonthlyIncome]]&lt;=16000,"High Income",
HRData[[#This Row],[MonthlyIncome]]&gt;16000,"Very High Income"
)</f>
        <v>Low Income</v>
      </c>
      <c r="Y117">
        <v>14506</v>
      </c>
      <c r="Z117">
        <v>2</v>
      </c>
      <c r="AA117" t="s">
        <v>42</v>
      </c>
      <c r="AB117" t="s">
        <v>43</v>
      </c>
      <c r="AC117">
        <v>12</v>
      </c>
      <c r="AD117" t="str" cm="1">
        <f t="array" ref="AD117">_xlfn.IFS(HRData[[#This Row],[PercentSalaryHike]]&lt;=15,"11-15",HRData[[#This Row],[PercentSalaryHike]]&lt;=20,"16-20",HRData[[#This Row],[PercentSalaryHike]]&gt;=21,"21+")</f>
        <v>11-15</v>
      </c>
      <c r="AE117">
        <v>3</v>
      </c>
      <c r="AF117">
        <v>1</v>
      </c>
      <c r="AG117">
        <v>80</v>
      </c>
      <c r="AH117">
        <v>0</v>
      </c>
      <c r="AI117">
        <v>12</v>
      </c>
      <c r="AJ117">
        <v>3</v>
      </c>
      <c r="AK117">
        <v>3</v>
      </c>
      <c r="AL117">
        <v>5</v>
      </c>
      <c r="AM117">
        <v>3</v>
      </c>
      <c r="AN117">
        <v>1</v>
      </c>
      <c r="AO117">
        <v>3</v>
      </c>
      <c r="AP11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17" t="str">
        <f>IF(HRData[[#This Row],[Attrition]]="Yes","Left", IF(HRData[[#This Row],[Attrition_Risk_Score]]&gt;=6,"High",IF(HRData[[#This Row],[Attrition_Risk_Score]]&gt;=3,"Medium","Low")))</f>
        <v>Low</v>
      </c>
      <c r="AR117" t="str">
        <f>IF(HRData[[#This Row],[Attrition_Risk_Level]]&lt;&gt;"High","",HRData[[#This Row],[Attrition_Risk_Score]]*10000-HRData[[#This Row],[EmployeeNumber]])</f>
        <v/>
      </c>
    </row>
    <row r="118" spans="1:44">
      <c r="A118">
        <v>34</v>
      </c>
      <c r="B118" t="str" cm="1">
        <f t="array" ref="B118">_xlfn.IFS(
HRData[[#This Row],[Age]]&lt;=24,"18-24",
HRData[[#This Row],[Age]]&lt;=34,"25-34",
HRData[[#This Row],[Age]]&lt;=44,"35-44",
HRData[[#This Row],[Age]]&lt;=54,"45-54",
HRData[[#This Row],[Age]]&gt;=55,"55+"
)</f>
        <v>25-34</v>
      </c>
      <c r="C118" t="s">
        <v>43</v>
      </c>
      <c r="D118">
        <f>IF(HRData[[#This Row],[Attrition]]="Yes",1,0)</f>
        <v>0</v>
      </c>
      <c r="E118" t="s">
        <v>36</v>
      </c>
      <c r="F118">
        <v>1354</v>
      </c>
      <c r="G118" t="s">
        <v>45</v>
      </c>
      <c r="H118">
        <v>5</v>
      </c>
      <c r="I118">
        <v>3</v>
      </c>
      <c r="J118" t="s">
        <v>51</v>
      </c>
      <c r="K118">
        <v>1</v>
      </c>
      <c r="L118">
        <v>153</v>
      </c>
      <c r="M118">
        <v>3</v>
      </c>
      <c r="N118" t="str" cm="1">
        <f t="array" ref="N118">_xlfn.IFS(HRData[[#This Row],[EnvironmentSatisfaction]]=1,"Very Dissatisfied",
HRData[[#This Row],[EnvironmentSatisfaction]]=2,"Dissatisfied",
HRData[[#This Row],[EnvironmentSatisfaction]]=3,"Satisfied",
HRData[[#This Row],[EnvironmentSatisfaction]]=4,"Very Satisfied"
)</f>
        <v>Satisfied</v>
      </c>
      <c r="O118" t="s">
        <v>39</v>
      </c>
      <c r="P118">
        <v>45</v>
      </c>
      <c r="Q118">
        <v>2</v>
      </c>
      <c r="R118">
        <v>3</v>
      </c>
      <c r="S118" t="s">
        <v>56</v>
      </c>
      <c r="T118">
        <v>1</v>
      </c>
      <c r="U118" t="str" cm="1">
        <f t="array" ref="U118">_xlfn.IFS(
HRData[[#This Row],[JobSatisfaction]]=1,"Very Dissatisfied",
HRData[[#This Row],[JobSatisfaction]]=2,"Dissatisfied",
HRData[[#This Row],[JobSatisfaction]]=3,"Satisfied",
HRData[[#This Row],[JobSatisfaction]]=4,"Very Satisfied"
)</f>
        <v>Very Dissatisfied</v>
      </c>
      <c r="V118" t="s">
        <v>41</v>
      </c>
      <c r="W118">
        <v>11631</v>
      </c>
      <c r="X118" t="str" cm="1">
        <f t="array" ref="X118">_xlfn.IFS(
HRData[[#This Row],[MonthlyIncome]]&lt;=4000,"Very Low Income",
HRData[[#This Row],[MonthlyIncome]]&lt;=8000,"Low Income",
HRData[[#This Row],[MonthlyIncome]]&lt;=12000,"Moderate Income",
HRData[[#This Row],[MonthlyIncome]]&lt;=16000,"High Income",
HRData[[#This Row],[MonthlyIncome]]&gt;16000,"Very High Income"
)</f>
        <v>Moderate Income</v>
      </c>
      <c r="Y118">
        <v>5615</v>
      </c>
      <c r="Z118">
        <v>2</v>
      </c>
      <c r="AA118" t="s">
        <v>42</v>
      </c>
      <c r="AB118" t="s">
        <v>43</v>
      </c>
      <c r="AC118">
        <v>12</v>
      </c>
      <c r="AD118" t="str" cm="1">
        <f t="array" ref="AD118">_xlfn.IFS(HRData[[#This Row],[PercentSalaryHike]]&lt;=15,"11-15",HRData[[#This Row],[PercentSalaryHike]]&lt;=20,"16-20",HRData[[#This Row],[PercentSalaryHike]]&gt;=21,"21+")</f>
        <v>11-15</v>
      </c>
      <c r="AE118">
        <v>3</v>
      </c>
      <c r="AF118">
        <v>4</v>
      </c>
      <c r="AG118">
        <v>80</v>
      </c>
      <c r="AH118">
        <v>0</v>
      </c>
      <c r="AI118">
        <v>14</v>
      </c>
      <c r="AJ118">
        <v>6</v>
      </c>
      <c r="AK118">
        <v>3</v>
      </c>
      <c r="AL118">
        <v>11</v>
      </c>
      <c r="AM118">
        <v>10</v>
      </c>
      <c r="AN118">
        <v>5</v>
      </c>
      <c r="AO118">
        <v>8</v>
      </c>
      <c r="AP11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8" t="str">
        <f>IF(HRData[[#This Row],[Attrition]]="Yes","Left", IF(HRData[[#This Row],[Attrition_Risk_Score]]&gt;=6,"High",IF(HRData[[#This Row],[Attrition_Risk_Score]]&gt;=3,"Medium","Low")))</f>
        <v>Medium</v>
      </c>
      <c r="AR118" t="str">
        <f>IF(HRData[[#This Row],[Attrition_Risk_Level]]&lt;&gt;"High","",HRData[[#This Row],[Attrition_Risk_Score]]*10000-HRData[[#This Row],[EmployeeNumber]])</f>
        <v/>
      </c>
    </row>
    <row r="119" spans="1:44">
      <c r="A119">
        <v>36</v>
      </c>
      <c r="B119" t="str" cm="1">
        <f t="array" ref="B119">_xlfn.IFS(
HRData[[#This Row],[Age]]&lt;=24,"18-24",
HRData[[#This Row],[Age]]&lt;=34,"25-34",
HRData[[#This Row],[Age]]&lt;=44,"35-44",
HRData[[#This Row],[Age]]&lt;=54,"45-54",
HRData[[#This Row],[Age]]&gt;=55,"55+"
)</f>
        <v>35-44</v>
      </c>
      <c r="C119" t="s">
        <v>43</v>
      </c>
      <c r="D119">
        <f>IF(HRData[[#This Row],[Attrition]]="Yes",1,0)</f>
        <v>0</v>
      </c>
      <c r="E119" t="s">
        <v>44</v>
      </c>
      <c r="F119">
        <v>1467</v>
      </c>
      <c r="G119" t="s">
        <v>37</v>
      </c>
      <c r="H119">
        <v>11</v>
      </c>
      <c r="I119">
        <v>2</v>
      </c>
      <c r="J119" t="s">
        <v>60</v>
      </c>
      <c r="K119">
        <v>1</v>
      </c>
      <c r="L119">
        <v>154</v>
      </c>
      <c r="M119">
        <v>2</v>
      </c>
      <c r="N119" t="str" cm="1">
        <f t="array" ref="N119">_xlfn.IFS(HRData[[#This Row],[EnvironmentSatisfaction]]=1,"Very Dissatisfied",
HRData[[#This Row],[EnvironmentSatisfaction]]=2,"Dissatisfied",
HRData[[#This Row],[EnvironmentSatisfaction]]=3,"Satisfied",
HRData[[#This Row],[EnvironmentSatisfaction]]=4,"Very Satisfied"
)</f>
        <v>Dissatisfied</v>
      </c>
      <c r="O119" t="s">
        <v>39</v>
      </c>
      <c r="P119">
        <v>92</v>
      </c>
      <c r="Q119">
        <v>3</v>
      </c>
      <c r="R119">
        <v>3</v>
      </c>
      <c r="S119" t="s">
        <v>40</v>
      </c>
      <c r="T119">
        <v>4</v>
      </c>
      <c r="U119" t="str" cm="1">
        <f t="array" ref="U119">_xlfn.IFS(
HRData[[#This Row],[JobSatisfaction]]=1,"Very Dissatisfied",
HRData[[#This Row],[JobSatisfaction]]=2,"Dissatisfied",
HRData[[#This Row],[JobSatisfaction]]=3,"Satisfied",
HRData[[#This Row],[JobSatisfaction]]=4,"Very Satisfied"
)</f>
        <v>Very Satisfied</v>
      </c>
      <c r="V119" t="s">
        <v>48</v>
      </c>
      <c r="W119">
        <v>9738</v>
      </c>
      <c r="X119" t="str" cm="1">
        <f t="array" ref="X119">_xlfn.IFS(
HRData[[#This Row],[MonthlyIncome]]&lt;=4000,"Very Low Income",
HRData[[#This Row],[MonthlyIncome]]&lt;=8000,"Low Income",
HRData[[#This Row],[MonthlyIncome]]&lt;=12000,"Moderate Income",
HRData[[#This Row],[MonthlyIncome]]&lt;=16000,"High Income",
HRData[[#This Row],[MonthlyIncome]]&gt;16000,"Very High Income"
)</f>
        <v>Moderate Income</v>
      </c>
      <c r="Y119">
        <v>22952</v>
      </c>
      <c r="Z119">
        <v>0</v>
      </c>
      <c r="AA119" t="s">
        <v>42</v>
      </c>
      <c r="AB119" t="s">
        <v>43</v>
      </c>
      <c r="AC119">
        <v>14</v>
      </c>
      <c r="AD119" t="str" cm="1">
        <f t="array" ref="AD119">_xlfn.IFS(HRData[[#This Row],[PercentSalaryHike]]&lt;=15,"11-15",HRData[[#This Row],[PercentSalaryHike]]&lt;=20,"16-20",HRData[[#This Row],[PercentSalaryHike]]&gt;=21,"21+")</f>
        <v>11-15</v>
      </c>
      <c r="AE119">
        <v>3</v>
      </c>
      <c r="AF119">
        <v>3</v>
      </c>
      <c r="AG119">
        <v>80</v>
      </c>
      <c r="AH119">
        <v>1</v>
      </c>
      <c r="AI119">
        <v>10</v>
      </c>
      <c r="AJ119">
        <v>6</v>
      </c>
      <c r="AK119">
        <v>3</v>
      </c>
      <c r="AL119">
        <v>9</v>
      </c>
      <c r="AM119">
        <v>7</v>
      </c>
      <c r="AN119">
        <v>2</v>
      </c>
      <c r="AO119">
        <v>8</v>
      </c>
      <c r="AP11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19" t="str">
        <f>IF(HRData[[#This Row],[Attrition]]="Yes","Left", IF(HRData[[#This Row],[Attrition_Risk_Score]]&gt;=6,"High",IF(HRData[[#This Row],[Attrition_Risk_Score]]&gt;=3,"Medium","Low")))</f>
        <v>Low</v>
      </c>
      <c r="AR119" t="str">
        <f>IF(HRData[[#This Row],[Attrition_Risk_Level]]&lt;&gt;"High","",HRData[[#This Row],[Attrition_Risk_Score]]*10000-HRData[[#This Row],[EmployeeNumber]])</f>
        <v/>
      </c>
    </row>
    <row r="120" spans="1:44">
      <c r="A120">
        <v>36</v>
      </c>
      <c r="B120" t="str" cm="1">
        <f t="array" ref="B120">_xlfn.IFS(
HRData[[#This Row],[Age]]&lt;=24,"18-24",
HRData[[#This Row],[Age]]&lt;=34,"25-34",
HRData[[#This Row],[Age]]&lt;=44,"35-44",
HRData[[#This Row],[Age]]&lt;=54,"45-54",
HRData[[#This Row],[Age]]&gt;=55,"55+"
)</f>
        <v>35-44</v>
      </c>
      <c r="C120" t="s">
        <v>43</v>
      </c>
      <c r="D120">
        <f>IF(HRData[[#This Row],[Attrition]]="Yes",1,0)</f>
        <v>0</v>
      </c>
      <c r="E120" t="s">
        <v>36</v>
      </c>
      <c r="F120">
        <v>922</v>
      </c>
      <c r="G120" t="s">
        <v>45</v>
      </c>
      <c r="H120">
        <v>3</v>
      </c>
      <c r="I120">
        <v>2</v>
      </c>
      <c r="J120" t="s">
        <v>38</v>
      </c>
      <c r="K120">
        <v>1</v>
      </c>
      <c r="L120">
        <v>155</v>
      </c>
      <c r="M120">
        <v>1</v>
      </c>
      <c r="N120" t="str" cm="1">
        <f t="array" ref="N120">_xlfn.IFS(HRData[[#This Row],[EnvironmentSatisfaction]]=1,"Very Dissatisfied",
HRData[[#This Row],[EnvironmentSatisfaction]]=2,"Dissatisfied",
HRData[[#This Row],[EnvironmentSatisfaction]]=3,"Satisfied",
HRData[[#This Row],[EnvironmentSatisfaction]]=4,"Very Satisfied"
)</f>
        <v>Very Dissatisfied</v>
      </c>
      <c r="O120" t="s">
        <v>39</v>
      </c>
      <c r="P120">
        <v>39</v>
      </c>
      <c r="Q120">
        <v>3</v>
      </c>
      <c r="R120">
        <v>1</v>
      </c>
      <c r="S120" t="s">
        <v>50</v>
      </c>
      <c r="T120">
        <v>4</v>
      </c>
      <c r="U120" t="str" cm="1">
        <f t="array" ref="U120">_xlfn.IFS(
HRData[[#This Row],[JobSatisfaction]]=1,"Very Dissatisfied",
HRData[[#This Row],[JobSatisfaction]]=2,"Dissatisfied",
HRData[[#This Row],[JobSatisfaction]]=3,"Satisfied",
HRData[[#This Row],[JobSatisfaction]]=4,"Very Satisfied"
)</f>
        <v>Very Satisfied</v>
      </c>
      <c r="V120" t="s">
        <v>52</v>
      </c>
      <c r="W120">
        <v>2835</v>
      </c>
      <c r="X120" t="str" cm="1">
        <f t="array" ref="X120">_xlfn.IFS(
HRData[[#This Row],[MonthlyIncome]]&lt;=4000,"Very Low Income",
HRData[[#This Row],[MonthlyIncome]]&lt;=8000,"Low Income",
HRData[[#This Row],[MonthlyIncome]]&lt;=12000,"Moderate Income",
HRData[[#This Row],[MonthlyIncome]]&lt;=16000,"High Income",
HRData[[#This Row],[MonthlyIncome]]&gt;16000,"Very High Income"
)</f>
        <v>Very Low Income</v>
      </c>
      <c r="Y120">
        <v>2561</v>
      </c>
      <c r="Z120">
        <v>5</v>
      </c>
      <c r="AA120" t="s">
        <v>42</v>
      </c>
      <c r="AB120" t="s">
        <v>43</v>
      </c>
      <c r="AC120">
        <v>22</v>
      </c>
      <c r="AD120" t="str" cm="1">
        <f t="array" ref="AD120">_xlfn.IFS(HRData[[#This Row],[PercentSalaryHike]]&lt;=15,"11-15",HRData[[#This Row],[PercentSalaryHike]]&lt;=20,"16-20",HRData[[#This Row],[PercentSalaryHike]]&gt;=21,"21+")</f>
        <v>21+</v>
      </c>
      <c r="AE120">
        <v>4</v>
      </c>
      <c r="AF120">
        <v>1</v>
      </c>
      <c r="AG120">
        <v>80</v>
      </c>
      <c r="AH120">
        <v>1</v>
      </c>
      <c r="AI120">
        <v>7</v>
      </c>
      <c r="AJ120">
        <v>2</v>
      </c>
      <c r="AK120">
        <v>3</v>
      </c>
      <c r="AL120">
        <v>1</v>
      </c>
      <c r="AM120">
        <v>0</v>
      </c>
      <c r="AN120">
        <v>0</v>
      </c>
      <c r="AO120">
        <v>0</v>
      </c>
      <c r="AP12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0" t="str">
        <f>IF(HRData[[#This Row],[Attrition]]="Yes","Left", IF(HRData[[#This Row],[Attrition_Risk_Score]]&gt;=6,"High",IF(HRData[[#This Row],[Attrition_Risk_Score]]&gt;=3,"Medium","Low")))</f>
        <v>Medium</v>
      </c>
      <c r="AR120" t="str">
        <f>IF(HRData[[#This Row],[Attrition_Risk_Level]]&lt;&gt;"High","",HRData[[#This Row],[Attrition_Risk_Score]]*10000-HRData[[#This Row],[EmployeeNumber]])</f>
        <v/>
      </c>
    </row>
    <row r="121" spans="1:44">
      <c r="A121">
        <v>43</v>
      </c>
      <c r="B121" t="str" cm="1">
        <f t="array" ref="B121">_xlfn.IFS(
HRData[[#This Row],[Age]]&lt;=24,"18-24",
HRData[[#This Row],[Age]]&lt;=34,"25-34",
HRData[[#This Row],[Age]]&lt;=44,"35-44",
HRData[[#This Row],[Age]]&lt;=54,"45-54",
HRData[[#This Row],[Age]]&gt;=55,"55+"
)</f>
        <v>35-44</v>
      </c>
      <c r="C121" t="s">
        <v>43</v>
      </c>
      <c r="D121">
        <f>IF(HRData[[#This Row],[Attrition]]="Yes",1,0)</f>
        <v>0</v>
      </c>
      <c r="E121" t="s">
        <v>44</v>
      </c>
      <c r="F121">
        <v>394</v>
      </c>
      <c r="G121" t="s">
        <v>37</v>
      </c>
      <c r="H121">
        <v>26</v>
      </c>
      <c r="I121">
        <v>2</v>
      </c>
      <c r="J121" t="s">
        <v>38</v>
      </c>
      <c r="K121">
        <v>1</v>
      </c>
      <c r="L121">
        <v>158</v>
      </c>
      <c r="M121">
        <v>3</v>
      </c>
      <c r="N121" t="str" cm="1">
        <f t="array" ref="N121">_xlfn.IFS(HRData[[#This Row],[EnvironmentSatisfaction]]=1,"Very Dissatisfied",
HRData[[#This Row],[EnvironmentSatisfaction]]=2,"Dissatisfied",
HRData[[#This Row],[EnvironmentSatisfaction]]=3,"Satisfied",
HRData[[#This Row],[EnvironmentSatisfaction]]=4,"Very Satisfied"
)</f>
        <v>Satisfied</v>
      </c>
      <c r="O121" t="s">
        <v>46</v>
      </c>
      <c r="P121">
        <v>92</v>
      </c>
      <c r="Q121">
        <v>3</v>
      </c>
      <c r="R121">
        <v>4</v>
      </c>
      <c r="S121" t="s">
        <v>56</v>
      </c>
      <c r="T121">
        <v>4</v>
      </c>
      <c r="U121" t="str" cm="1">
        <f t="array" ref="U121">_xlfn.IFS(
HRData[[#This Row],[JobSatisfaction]]=1,"Very Dissatisfied",
HRData[[#This Row],[JobSatisfaction]]=2,"Dissatisfied",
HRData[[#This Row],[JobSatisfaction]]=3,"Satisfied",
HRData[[#This Row],[JobSatisfaction]]=4,"Very Satisfied"
)</f>
        <v>Very Satisfied</v>
      </c>
      <c r="V121" t="s">
        <v>48</v>
      </c>
      <c r="W121">
        <v>16959</v>
      </c>
      <c r="X121" t="str" cm="1">
        <f t="array" ref="X121">_xlfn.IFS(
HRData[[#This Row],[MonthlyIncome]]&lt;=4000,"Very Low Income",
HRData[[#This Row],[MonthlyIncome]]&lt;=8000,"Low Income",
HRData[[#This Row],[MonthlyIncome]]&lt;=12000,"Moderate Income",
HRData[[#This Row],[MonthlyIncome]]&lt;=16000,"High Income",
HRData[[#This Row],[MonthlyIncome]]&gt;16000,"Very High Income"
)</f>
        <v>Very High Income</v>
      </c>
      <c r="Y121">
        <v>19494</v>
      </c>
      <c r="Z121">
        <v>1</v>
      </c>
      <c r="AA121" t="s">
        <v>42</v>
      </c>
      <c r="AB121" t="s">
        <v>35</v>
      </c>
      <c r="AC121">
        <v>12</v>
      </c>
      <c r="AD121" t="str" cm="1">
        <f t="array" ref="AD121">_xlfn.IFS(HRData[[#This Row],[PercentSalaryHike]]&lt;=15,"11-15",HRData[[#This Row],[PercentSalaryHike]]&lt;=20,"16-20",HRData[[#This Row],[PercentSalaryHike]]&gt;=21,"21+")</f>
        <v>11-15</v>
      </c>
      <c r="AE121">
        <v>3</v>
      </c>
      <c r="AF121">
        <v>4</v>
      </c>
      <c r="AG121">
        <v>80</v>
      </c>
      <c r="AH121">
        <v>2</v>
      </c>
      <c r="AI121">
        <v>25</v>
      </c>
      <c r="AJ121">
        <v>3</v>
      </c>
      <c r="AK121">
        <v>4</v>
      </c>
      <c r="AL121">
        <v>25</v>
      </c>
      <c r="AM121">
        <v>12</v>
      </c>
      <c r="AN121">
        <v>4</v>
      </c>
      <c r="AO121">
        <v>12</v>
      </c>
      <c r="AP12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1" t="str">
        <f>IF(HRData[[#This Row],[Attrition]]="Yes","Left", IF(HRData[[#This Row],[Attrition_Risk_Score]]&gt;=6,"High",IF(HRData[[#This Row],[Attrition_Risk_Score]]&gt;=3,"Medium","Low")))</f>
        <v>Low</v>
      </c>
      <c r="AR121" t="str">
        <f>IF(HRData[[#This Row],[Attrition_Risk_Level]]&lt;&gt;"High","",HRData[[#This Row],[Attrition_Risk_Score]]*10000-HRData[[#This Row],[EmployeeNumber]])</f>
        <v/>
      </c>
    </row>
    <row r="122" spans="1:44">
      <c r="A122">
        <v>30</v>
      </c>
      <c r="B122" t="str" cm="1">
        <f t="array" ref="B122">_xlfn.IFS(
HRData[[#This Row],[Age]]&lt;=24,"18-24",
HRData[[#This Row],[Age]]&lt;=34,"25-34",
HRData[[#This Row],[Age]]&lt;=44,"35-44",
HRData[[#This Row],[Age]]&lt;=54,"45-54",
HRData[[#This Row],[Age]]&gt;=55,"55+"
)</f>
        <v>25-34</v>
      </c>
      <c r="C122" t="s">
        <v>43</v>
      </c>
      <c r="D122">
        <f>IF(HRData[[#This Row],[Attrition]]="Yes",1,0)</f>
        <v>0</v>
      </c>
      <c r="E122" t="s">
        <v>44</v>
      </c>
      <c r="F122">
        <v>1312</v>
      </c>
      <c r="G122" t="s">
        <v>45</v>
      </c>
      <c r="H122">
        <v>23</v>
      </c>
      <c r="I122">
        <v>3</v>
      </c>
      <c r="J122" t="s">
        <v>38</v>
      </c>
      <c r="K122">
        <v>1</v>
      </c>
      <c r="L122">
        <v>159</v>
      </c>
      <c r="M122">
        <v>1</v>
      </c>
      <c r="N122" t="str" cm="1">
        <f t="array" ref="N122">_xlfn.IFS(HRData[[#This Row],[EnvironmentSatisfaction]]=1,"Very Dissatisfied",
HRData[[#This Row],[EnvironmentSatisfaction]]=2,"Dissatisfied",
HRData[[#This Row],[EnvironmentSatisfaction]]=3,"Satisfied",
HRData[[#This Row],[EnvironmentSatisfaction]]=4,"Very Satisfied"
)</f>
        <v>Very Dissatisfied</v>
      </c>
      <c r="O122" t="s">
        <v>46</v>
      </c>
      <c r="P122">
        <v>96</v>
      </c>
      <c r="Q122">
        <v>1</v>
      </c>
      <c r="R122">
        <v>1</v>
      </c>
      <c r="S122" t="s">
        <v>47</v>
      </c>
      <c r="T122">
        <v>3</v>
      </c>
      <c r="U122" t="str" cm="1">
        <f t="array" ref="U122">_xlfn.IFS(
HRData[[#This Row],[JobSatisfaction]]=1,"Very Dissatisfied",
HRData[[#This Row],[JobSatisfaction]]=2,"Dissatisfied",
HRData[[#This Row],[JobSatisfaction]]=3,"Satisfied",
HRData[[#This Row],[JobSatisfaction]]=4,"Very Satisfied"
)</f>
        <v>Satisfied</v>
      </c>
      <c r="V122" t="s">
        <v>52</v>
      </c>
      <c r="W122">
        <v>2613</v>
      </c>
      <c r="X122" t="str" cm="1">
        <f t="array" ref="X122">_xlfn.IFS(
HRData[[#This Row],[MonthlyIncome]]&lt;=4000,"Very Low Income",
HRData[[#This Row],[MonthlyIncome]]&lt;=8000,"Low Income",
HRData[[#This Row],[MonthlyIncome]]&lt;=12000,"Moderate Income",
HRData[[#This Row],[MonthlyIncome]]&lt;=16000,"High Income",
HRData[[#This Row],[MonthlyIncome]]&gt;16000,"Very High Income"
)</f>
        <v>Very Low Income</v>
      </c>
      <c r="Y122">
        <v>22310</v>
      </c>
      <c r="Z122">
        <v>1</v>
      </c>
      <c r="AA122" t="s">
        <v>42</v>
      </c>
      <c r="AB122" t="s">
        <v>43</v>
      </c>
      <c r="AC122">
        <v>25</v>
      </c>
      <c r="AD122" t="str" cm="1">
        <f t="array" ref="AD122">_xlfn.IFS(HRData[[#This Row],[PercentSalaryHike]]&lt;=15,"11-15",HRData[[#This Row],[PercentSalaryHike]]&lt;=20,"16-20",HRData[[#This Row],[PercentSalaryHike]]&gt;=21,"21+")</f>
        <v>21+</v>
      </c>
      <c r="AE122">
        <v>4</v>
      </c>
      <c r="AF122">
        <v>3</v>
      </c>
      <c r="AG122">
        <v>80</v>
      </c>
      <c r="AH122">
        <v>3</v>
      </c>
      <c r="AI122">
        <v>10</v>
      </c>
      <c r="AJ122">
        <v>2</v>
      </c>
      <c r="AK122">
        <v>2</v>
      </c>
      <c r="AL122">
        <v>10</v>
      </c>
      <c r="AM122">
        <v>7</v>
      </c>
      <c r="AN122">
        <v>0</v>
      </c>
      <c r="AO122">
        <v>9</v>
      </c>
      <c r="AP12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2" t="str">
        <f>IF(HRData[[#This Row],[Attrition]]="Yes","Left", IF(HRData[[#This Row],[Attrition_Risk_Score]]&gt;=6,"High",IF(HRData[[#This Row],[Attrition_Risk_Score]]&gt;=3,"Medium","Low")))</f>
        <v>Medium</v>
      </c>
      <c r="AR122" t="str">
        <f>IF(HRData[[#This Row],[Attrition_Risk_Level]]&lt;&gt;"High","",HRData[[#This Row],[Attrition_Risk_Score]]*10000-HRData[[#This Row],[EmployeeNumber]])</f>
        <v/>
      </c>
    </row>
    <row r="123" spans="1:44">
      <c r="A123">
        <v>33</v>
      </c>
      <c r="B123" t="str" cm="1">
        <f t="array" ref="B123">_xlfn.IFS(
HRData[[#This Row],[Age]]&lt;=24,"18-24",
HRData[[#This Row],[Age]]&lt;=34,"25-34",
HRData[[#This Row],[Age]]&lt;=44,"35-44",
HRData[[#This Row],[Age]]&lt;=54,"45-54",
HRData[[#This Row],[Age]]&gt;=55,"55+"
)</f>
        <v>25-34</v>
      </c>
      <c r="C123" t="s">
        <v>43</v>
      </c>
      <c r="D123">
        <f>IF(HRData[[#This Row],[Attrition]]="Yes",1,0)</f>
        <v>0</v>
      </c>
      <c r="E123" t="s">
        <v>55</v>
      </c>
      <c r="F123">
        <v>750</v>
      </c>
      <c r="G123" t="s">
        <v>37</v>
      </c>
      <c r="H123">
        <v>22</v>
      </c>
      <c r="I123">
        <v>2</v>
      </c>
      <c r="J123" t="s">
        <v>59</v>
      </c>
      <c r="K123">
        <v>1</v>
      </c>
      <c r="L123">
        <v>160</v>
      </c>
      <c r="M123">
        <v>3</v>
      </c>
      <c r="N123" t="str" cm="1">
        <f t="array" ref="N123">_xlfn.IFS(HRData[[#This Row],[EnvironmentSatisfaction]]=1,"Very Dissatisfied",
HRData[[#This Row],[EnvironmentSatisfaction]]=2,"Dissatisfied",
HRData[[#This Row],[EnvironmentSatisfaction]]=3,"Satisfied",
HRData[[#This Row],[EnvironmentSatisfaction]]=4,"Very Satisfied"
)</f>
        <v>Satisfied</v>
      </c>
      <c r="O123" t="s">
        <v>46</v>
      </c>
      <c r="P123">
        <v>95</v>
      </c>
      <c r="Q123">
        <v>3</v>
      </c>
      <c r="R123">
        <v>2</v>
      </c>
      <c r="S123" t="s">
        <v>40</v>
      </c>
      <c r="T123">
        <v>2</v>
      </c>
      <c r="U123" t="str" cm="1">
        <f t="array" ref="U123">_xlfn.IFS(
HRData[[#This Row],[JobSatisfaction]]=1,"Very Dissatisfied",
HRData[[#This Row],[JobSatisfaction]]=2,"Dissatisfied",
HRData[[#This Row],[JobSatisfaction]]=3,"Satisfied",
HRData[[#This Row],[JobSatisfaction]]=4,"Very Satisfied"
)</f>
        <v>Dissatisfied</v>
      </c>
      <c r="V123" t="s">
        <v>48</v>
      </c>
      <c r="W123">
        <v>6146</v>
      </c>
      <c r="X123" t="str" cm="1">
        <f t="array" ref="X123">_xlfn.IFS(
HRData[[#This Row],[MonthlyIncome]]&lt;=4000,"Very Low Income",
HRData[[#This Row],[MonthlyIncome]]&lt;=8000,"Low Income",
HRData[[#This Row],[MonthlyIncome]]&lt;=12000,"Moderate Income",
HRData[[#This Row],[MonthlyIncome]]&lt;=16000,"High Income",
HRData[[#This Row],[MonthlyIncome]]&gt;16000,"Very High Income"
)</f>
        <v>Low Income</v>
      </c>
      <c r="Y123">
        <v>15480</v>
      </c>
      <c r="Z123">
        <v>0</v>
      </c>
      <c r="AA123" t="s">
        <v>42</v>
      </c>
      <c r="AB123" t="s">
        <v>43</v>
      </c>
      <c r="AC123">
        <v>13</v>
      </c>
      <c r="AD123" t="str" cm="1">
        <f t="array" ref="AD123">_xlfn.IFS(HRData[[#This Row],[PercentSalaryHike]]&lt;=15,"11-15",HRData[[#This Row],[PercentSalaryHike]]&lt;=20,"16-20",HRData[[#This Row],[PercentSalaryHike]]&gt;=21,"21+")</f>
        <v>11-15</v>
      </c>
      <c r="AE123">
        <v>3</v>
      </c>
      <c r="AF123">
        <v>1</v>
      </c>
      <c r="AG123">
        <v>80</v>
      </c>
      <c r="AH123">
        <v>1</v>
      </c>
      <c r="AI123">
        <v>8</v>
      </c>
      <c r="AJ123">
        <v>2</v>
      </c>
      <c r="AK123">
        <v>4</v>
      </c>
      <c r="AL123">
        <v>7</v>
      </c>
      <c r="AM123">
        <v>7</v>
      </c>
      <c r="AN123">
        <v>0</v>
      </c>
      <c r="AO123">
        <v>7</v>
      </c>
      <c r="AP12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3" t="str">
        <f>IF(HRData[[#This Row],[Attrition]]="Yes","Left", IF(HRData[[#This Row],[Attrition_Risk_Score]]&gt;=6,"High",IF(HRData[[#This Row],[Attrition_Risk_Score]]&gt;=3,"Medium","Low")))</f>
        <v>Low</v>
      </c>
      <c r="AR123" t="str">
        <f>IF(HRData[[#This Row],[Attrition_Risk_Level]]&lt;&gt;"High","",HRData[[#This Row],[Attrition_Risk_Score]]*10000-HRData[[#This Row],[EmployeeNumber]])</f>
        <v/>
      </c>
    </row>
    <row r="124" spans="1:44">
      <c r="A124">
        <v>56</v>
      </c>
      <c r="B124" t="str" cm="1">
        <f t="array" ref="B124">_xlfn.IFS(
HRData[[#This Row],[Age]]&lt;=24,"18-24",
HRData[[#This Row],[Age]]&lt;=34,"25-34",
HRData[[#This Row],[Age]]&lt;=44,"35-44",
HRData[[#This Row],[Age]]&lt;=54,"45-54",
HRData[[#This Row],[Age]]&gt;=55,"55+"
)</f>
        <v>55+</v>
      </c>
      <c r="C124" t="s">
        <v>35</v>
      </c>
      <c r="D124">
        <f>IF(HRData[[#This Row],[Attrition]]="Yes",1,0)</f>
        <v>1</v>
      </c>
      <c r="E124" t="s">
        <v>36</v>
      </c>
      <c r="F124">
        <v>441</v>
      </c>
      <c r="G124" t="s">
        <v>45</v>
      </c>
      <c r="H124">
        <v>14</v>
      </c>
      <c r="I124">
        <v>4</v>
      </c>
      <c r="J124" t="s">
        <v>38</v>
      </c>
      <c r="K124">
        <v>1</v>
      </c>
      <c r="L124">
        <v>161</v>
      </c>
      <c r="M124">
        <v>2</v>
      </c>
      <c r="N124" t="str" cm="1">
        <f t="array" ref="N124">_xlfn.IFS(HRData[[#This Row],[EnvironmentSatisfaction]]=1,"Very Dissatisfied",
HRData[[#This Row],[EnvironmentSatisfaction]]=2,"Dissatisfied",
HRData[[#This Row],[EnvironmentSatisfaction]]=3,"Satisfied",
HRData[[#This Row],[EnvironmentSatisfaction]]=4,"Very Satisfied"
)</f>
        <v>Dissatisfied</v>
      </c>
      <c r="O124" t="s">
        <v>39</v>
      </c>
      <c r="P124">
        <v>72</v>
      </c>
      <c r="Q124">
        <v>3</v>
      </c>
      <c r="R124">
        <v>1</v>
      </c>
      <c r="S124" t="s">
        <v>47</v>
      </c>
      <c r="T124">
        <v>2</v>
      </c>
      <c r="U124" t="str" cm="1">
        <f t="array" ref="U124">_xlfn.IFS(
HRData[[#This Row],[JobSatisfaction]]=1,"Very Dissatisfied",
HRData[[#This Row],[JobSatisfaction]]=2,"Dissatisfied",
HRData[[#This Row],[JobSatisfaction]]=3,"Satisfied",
HRData[[#This Row],[JobSatisfaction]]=4,"Very Satisfied"
)</f>
        <v>Dissatisfied</v>
      </c>
      <c r="V124" t="s">
        <v>48</v>
      </c>
      <c r="W124">
        <v>4963</v>
      </c>
      <c r="X124" t="str" cm="1">
        <f t="array" ref="X124">_xlfn.IFS(
HRData[[#This Row],[MonthlyIncome]]&lt;=4000,"Very Low Income",
HRData[[#This Row],[MonthlyIncome]]&lt;=8000,"Low Income",
HRData[[#This Row],[MonthlyIncome]]&lt;=12000,"Moderate Income",
HRData[[#This Row],[MonthlyIncome]]&lt;=16000,"High Income",
HRData[[#This Row],[MonthlyIncome]]&gt;16000,"Very High Income"
)</f>
        <v>Low Income</v>
      </c>
      <c r="Y124">
        <v>4510</v>
      </c>
      <c r="Z124">
        <v>9</v>
      </c>
      <c r="AA124" t="s">
        <v>42</v>
      </c>
      <c r="AB124" t="s">
        <v>35</v>
      </c>
      <c r="AC124">
        <v>18</v>
      </c>
      <c r="AD124" t="str" cm="1">
        <f t="array" ref="AD124">_xlfn.IFS(HRData[[#This Row],[PercentSalaryHike]]&lt;=15,"11-15",HRData[[#This Row],[PercentSalaryHike]]&lt;=20,"16-20",HRData[[#This Row],[PercentSalaryHike]]&gt;=21,"21+")</f>
        <v>16-20</v>
      </c>
      <c r="AE124">
        <v>3</v>
      </c>
      <c r="AF124">
        <v>1</v>
      </c>
      <c r="AG124">
        <v>80</v>
      </c>
      <c r="AH124">
        <v>3</v>
      </c>
      <c r="AI124">
        <v>7</v>
      </c>
      <c r="AJ124">
        <v>2</v>
      </c>
      <c r="AK124">
        <v>3</v>
      </c>
      <c r="AL124">
        <v>5</v>
      </c>
      <c r="AM124">
        <v>4</v>
      </c>
      <c r="AN124">
        <v>4</v>
      </c>
      <c r="AO124">
        <v>3</v>
      </c>
      <c r="AP12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4" t="str">
        <f>IF(HRData[[#This Row],[Attrition]]="Yes","Left", IF(HRData[[#This Row],[Attrition_Risk_Score]]&gt;=6,"High",IF(HRData[[#This Row],[Attrition_Risk_Score]]&gt;=3,"Medium","Low")))</f>
        <v>Left</v>
      </c>
      <c r="AR124" t="str">
        <f>IF(HRData[[#This Row],[Attrition_Risk_Level]]&lt;&gt;"High","",HRData[[#This Row],[Attrition_Risk_Score]]*10000-HRData[[#This Row],[EmployeeNumber]])</f>
        <v/>
      </c>
    </row>
    <row r="125" spans="1:44">
      <c r="A125">
        <v>51</v>
      </c>
      <c r="B125" t="str" cm="1">
        <f t="array" ref="B125">_xlfn.IFS(
HRData[[#This Row],[Age]]&lt;=24,"18-24",
HRData[[#This Row],[Age]]&lt;=34,"25-34",
HRData[[#This Row],[Age]]&lt;=44,"35-44",
HRData[[#This Row],[Age]]&lt;=54,"45-54",
HRData[[#This Row],[Age]]&gt;=55,"55+"
)</f>
        <v>45-54</v>
      </c>
      <c r="C125" t="s">
        <v>43</v>
      </c>
      <c r="D125">
        <f>IF(HRData[[#This Row],[Attrition]]="Yes",1,0)</f>
        <v>0</v>
      </c>
      <c r="E125" t="s">
        <v>36</v>
      </c>
      <c r="F125">
        <v>684</v>
      </c>
      <c r="G125" t="s">
        <v>45</v>
      </c>
      <c r="H125">
        <v>6</v>
      </c>
      <c r="I125">
        <v>3</v>
      </c>
      <c r="J125" t="s">
        <v>38</v>
      </c>
      <c r="K125">
        <v>1</v>
      </c>
      <c r="L125">
        <v>162</v>
      </c>
      <c r="M125">
        <v>1</v>
      </c>
      <c r="N125" t="str" cm="1">
        <f t="array" ref="N125">_xlfn.IFS(HRData[[#This Row],[EnvironmentSatisfaction]]=1,"Very Dissatisfied",
HRData[[#This Row],[EnvironmentSatisfaction]]=2,"Dissatisfied",
HRData[[#This Row],[EnvironmentSatisfaction]]=3,"Satisfied",
HRData[[#This Row],[EnvironmentSatisfaction]]=4,"Very Satisfied"
)</f>
        <v>Very Dissatisfied</v>
      </c>
      <c r="O125" t="s">
        <v>46</v>
      </c>
      <c r="P125">
        <v>51</v>
      </c>
      <c r="Q125">
        <v>3</v>
      </c>
      <c r="R125">
        <v>5</v>
      </c>
      <c r="S125" t="s">
        <v>58</v>
      </c>
      <c r="T125">
        <v>3</v>
      </c>
      <c r="U125" t="str" cm="1">
        <f t="array" ref="U125">_xlfn.IFS(
HRData[[#This Row],[JobSatisfaction]]=1,"Very Dissatisfied",
HRData[[#This Row],[JobSatisfaction]]=2,"Dissatisfied",
HRData[[#This Row],[JobSatisfaction]]=3,"Satisfied",
HRData[[#This Row],[JobSatisfaction]]=4,"Very Satisfied"
)</f>
        <v>Satisfied</v>
      </c>
      <c r="V125" t="s">
        <v>41</v>
      </c>
      <c r="W125">
        <v>19537</v>
      </c>
      <c r="X125" t="str" cm="1">
        <f t="array" ref="X125">_xlfn.IFS(
HRData[[#This Row],[MonthlyIncome]]&lt;=4000,"Very Low Income",
HRData[[#This Row],[MonthlyIncome]]&lt;=8000,"Low Income",
HRData[[#This Row],[MonthlyIncome]]&lt;=12000,"Moderate Income",
HRData[[#This Row],[MonthlyIncome]]&lt;=16000,"High Income",
HRData[[#This Row],[MonthlyIncome]]&gt;16000,"Very High Income"
)</f>
        <v>Very High Income</v>
      </c>
      <c r="Y125">
        <v>6462</v>
      </c>
      <c r="Z125">
        <v>7</v>
      </c>
      <c r="AA125" t="s">
        <v>42</v>
      </c>
      <c r="AB125" t="s">
        <v>43</v>
      </c>
      <c r="AC125">
        <v>13</v>
      </c>
      <c r="AD125" t="str" cm="1">
        <f t="array" ref="AD125">_xlfn.IFS(HRData[[#This Row],[PercentSalaryHike]]&lt;=15,"11-15",HRData[[#This Row],[PercentSalaryHike]]&lt;=20,"16-20",HRData[[#This Row],[PercentSalaryHike]]&gt;=21,"21+")</f>
        <v>11-15</v>
      </c>
      <c r="AE125">
        <v>3</v>
      </c>
      <c r="AF125">
        <v>3</v>
      </c>
      <c r="AG125">
        <v>80</v>
      </c>
      <c r="AH125">
        <v>0</v>
      </c>
      <c r="AI125">
        <v>23</v>
      </c>
      <c r="AJ125">
        <v>5</v>
      </c>
      <c r="AK125">
        <v>3</v>
      </c>
      <c r="AL125">
        <v>20</v>
      </c>
      <c r="AM125">
        <v>18</v>
      </c>
      <c r="AN125">
        <v>15</v>
      </c>
      <c r="AO125">
        <v>15</v>
      </c>
      <c r="AP12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25" t="str">
        <f>IF(HRData[[#This Row],[Attrition]]="Yes","Left", IF(HRData[[#This Row],[Attrition_Risk_Score]]&gt;=6,"High",IF(HRData[[#This Row],[Attrition_Risk_Score]]&gt;=3,"Medium","Low")))</f>
        <v>Low</v>
      </c>
      <c r="AR125" t="str">
        <f>IF(HRData[[#This Row],[Attrition_Risk_Level]]&lt;&gt;"High","",HRData[[#This Row],[Attrition_Risk_Score]]*10000-HRData[[#This Row],[EmployeeNumber]])</f>
        <v/>
      </c>
    </row>
    <row r="126" spans="1:44">
      <c r="A126">
        <v>31</v>
      </c>
      <c r="B126" t="str" cm="1">
        <f t="array" ref="B126">_xlfn.IFS(
HRData[[#This Row],[Age]]&lt;=24,"18-24",
HRData[[#This Row],[Age]]&lt;=34,"25-34",
HRData[[#This Row],[Age]]&lt;=44,"35-44",
HRData[[#This Row],[Age]]&lt;=54,"45-54",
HRData[[#This Row],[Age]]&gt;=55,"55+"
)</f>
        <v>25-34</v>
      </c>
      <c r="C126" t="s">
        <v>35</v>
      </c>
      <c r="D126">
        <f>IF(HRData[[#This Row],[Attrition]]="Yes",1,0)</f>
        <v>1</v>
      </c>
      <c r="E126" t="s">
        <v>36</v>
      </c>
      <c r="F126">
        <v>249</v>
      </c>
      <c r="G126" t="s">
        <v>37</v>
      </c>
      <c r="H126">
        <v>6</v>
      </c>
      <c r="I126">
        <v>4</v>
      </c>
      <c r="J126" t="s">
        <v>38</v>
      </c>
      <c r="K126">
        <v>1</v>
      </c>
      <c r="L126">
        <v>163</v>
      </c>
      <c r="M126">
        <v>2</v>
      </c>
      <c r="N126" t="str" cm="1">
        <f t="array" ref="N126">_xlfn.IFS(HRData[[#This Row],[EnvironmentSatisfaction]]=1,"Very Dissatisfied",
HRData[[#This Row],[EnvironmentSatisfaction]]=2,"Dissatisfied",
HRData[[#This Row],[EnvironmentSatisfaction]]=3,"Satisfied",
HRData[[#This Row],[EnvironmentSatisfaction]]=4,"Very Satisfied"
)</f>
        <v>Dissatisfied</v>
      </c>
      <c r="O126" t="s">
        <v>46</v>
      </c>
      <c r="P126">
        <v>76</v>
      </c>
      <c r="Q126">
        <v>1</v>
      </c>
      <c r="R126">
        <v>2</v>
      </c>
      <c r="S126" t="s">
        <v>40</v>
      </c>
      <c r="T126">
        <v>3</v>
      </c>
      <c r="U126" t="str" cm="1">
        <f t="array" ref="U126">_xlfn.IFS(
HRData[[#This Row],[JobSatisfaction]]=1,"Very Dissatisfied",
HRData[[#This Row],[JobSatisfaction]]=2,"Dissatisfied",
HRData[[#This Row],[JobSatisfaction]]=3,"Satisfied",
HRData[[#This Row],[JobSatisfaction]]=4,"Very Satisfied"
)</f>
        <v>Satisfied</v>
      </c>
      <c r="V126" t="s">
        <v>48</v>
      </c>
      <c r="W126">
        <v>6172</v>
      </c>
      <c r="X126" t="str" cm="1">
        <f t="array" ref="X126">_xlfn.IFS(
HRData[[#This Row],[MonthlyIncome]]&lt;=4000,"Very Low Income",
HRData[[#This Row],[MonthlyIncome]]&lt;=8000,"Low Income",
HRData[[#This Row],[MonthlyIncome]]&lt;=12000,"Moderate Income",
HRData[[#This Row],[MonthlyIncome]]&lt;=16000,"High Income",
HRData[[#This Row],[MonthlyIncome]]&gt;16000,"Very High Income"
)</f>
        <v>Low Income</v>
      </c>
      <c r="Y126">
        <v>20739</v>
      </c>
      <c r="Z126">
        <v>4</v>
      </c>
      <c r="AA126" t="s">
        <v>42</v>
      </c>
      <c r="AB126" t="s">
        <v>35</v>
      </c>
      <c r="AC126">
        <v>18</v>
      </c>
      <c r="AD126" t="str" cm="1">
        <f t="array" ref="AD126">_xlfn.IFS(HRData[[#This Row],[PercentSalaryHike]]&lt;=15,"11-15",HRData[[#This Row],[PercentSalaryHike]]&lt;=20,"16-20",HRData[[#This Row],[PercentSalaryHike]]&gt;=21,"21+")</f>
        <v>16-20</v>
      </c>
      <c r="AE126">
        <v>3</v>
      </c>
      <c r="AF126">
        <v>2</v>
      </c>
      <c r="AG126">
        <v>80</v>
      </c>
      <c r="AH126">
        <v>0</v>
      </c>
      <c r="AI126">
        <v>12</v>
      </c>
      <c r="AJ126">
        <v>3</v>
      </c>
      <c r="AK126">
        <v>2</v>
      </c>
      <c r="AL126">
        <v>7</v>
      </c>
      <c r="AM126">
        <v>7</v>
      </c>
      <c r="AN126">
        <v>7</v>
      </c>
      <c r="AO126">
        <v>7</v>
      </c>
      <c r="AP12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6" t="str">
        <f>IF(HRData[[#This Row],[Attrition]]="Yes","Left", IF(HRData[[#This Row],[Attrition_Risk_Score]]&gt;=6,"High",IF(HRData[[#This Row],[Attrition_Risk_Score]]&gt;=3,"Medium","Low")))</f>
        <v>Left</v>
      </c>
      <c r="AR126" t="str">
        <f>IF(HRData[[#This Row],[Attrition_Risk_Level]]&lt;&gt;"High","",HRData[[#This Row],[Attrition_Risk_Score]]*10000-HRData[[#This Row],[EmployeeNumber]])</f>
        <v/>
      </c>
    </row>
    <row r="127" spans="1:44">
      <c r="A127">
        <v>26</v>
      </c>
      <c r="B127" t="str" cm="1">
        <f t="array" ref="B127">_xlfn.IFS(
HRData[[#This Row],[Age]]&lt;=24,"18-24",
HRData[[#This Row],[Age]]&lt;=34,"25-34",
HRData[[#This Row],[Age]]&lt;=44,"35-44",
HRData[[#This Row],[Age]]&lt;=54,"45-54",
HRData[[#This Row],[Age]]&gt;=55,"55+"
)</f>
        <v>25-34</v>
      </c>
      <c r="C127" t="s">
        <v>43</v>
      </c>
      <c r="D127">
        <f>IF(HRData[[#This Row],[Attrition]]="Yes",1,0)</f>
        <v>0</v>
      </c>
      <c r="E127" t="s">
        <v>36</v>
      </c>
      <c r="F127">
        <v>841</v>
      </c>
      <c r="G127" t="s">
        <v>45</v>
      </c>
      <c r="H127">
        <v>6</v>
      </c>
      <c r="I127">
        <v>3</v>
      </c>
      <c r="J127" t="s">
        <v>49</v>
      </c>
      <c r="K127">
        <v>1</v>
      </c>
      <c r="L127">
        <v>164</v>
      </c>
      <c r="M127">
        <v>3</v>
      </c>
      <c r="N127" t="str" cm="1">
        <f t="array" ref="N127">_xlfn.IFS(HRData[[#This Row],[EnvironmentSatisfaction]]=1,"Very Dissatisfied",
HRData[[#This Row],[EnvironmentSatisfaction]]=2,"Dissatisfied",
HRData[[#This Row],[EnvironmentSatisfaction]]=3,"Satisfied",
HRData[[#This Row],[EnvironmentSatisfaction]]=4,"Very Satisfied"
)</f>
        <v>Satisfied</v>
      </c>
      <c r="O127" t="s">
        <v>39</v>
      </c>
      <c r="P127">
        <v>46</v>
      </c>
      <c r="Q127">
        <v>2</v>
      </c>
      <c r="R127">
        <v>1</v>
      </c>
      <c r="S127" t="s">
        <v>47</v>
      </c>
      <c r="T127">
        <v>2</v>
      </c>
      <c r="U127" t="str" cm="1">
        <f t="array" ref="U127">_xlfn.IFS(
HRData[[#This Row],[JobSatisfaction]]=1,"Very Dissatisfied",
HRData[[#This Row],[JobSatisfaction]]=2,"Dissatisfied",
HRData[[#This Row],[JobSatisfaction]]=3,"Satisfied",
HRData[[#This Row],[JobSatisfaction]]=4,"Very Satisfied"
)</f>
        <v>Dissatisfied</v>
      </c>
      <c r="V127" t="s">
        <v>48</v>
      </c>
      <c r="W127">
        <v>2368</v>
      </c>
      <c r="X127" t="str" cm="1">
        <f t="array" ref="X127">_xlfn.IFS(
HRData[[#This Row],[MonthlyIncome]]&lt;=4000,"Very Low Income",
HRData[[#This Row],[MonthlyIncome]]&lt;=8000,"Low Income",
HRData[[#This Row],[MonthlyIncome]]&lt;=12000,"Moderate Income",
HRData[[#This Row],[MonthlyIncome]]&lt;=16000,"High Income",
HRData[[#This Row],[MonthlyIncome]]&gt;16000,"Very High Income"
)</f>
        <v>Very Low Income</v>
      </c>
      <c r="Y127">
        <v>23300</v>
      </c>
      <c r="Z127">
        <v>1</v>
      </c>
      <c r="AA127" t="s">
        <v>42</v>
      </c>
      <c r="AB127" t="s">
        <v>43</v>
      </c>
      <c r="AC127">
        <v>19</v>
      </c>
      <c r="AD127" t="str" cm="1">
        <f t="array" ref="AD127">_xlfn.IFS(HRData[[#This Row],[PercentSalaryHike]]&lt;=15,"11-15",HRData[[#This Row],[PercentSalaryHike]]&lt;=20,"16-20",HRData[[#This Row],[PercentSalaryHike]]&gt;=21,"21+")</f>
        <v>16-20</v>
      </c>
      <c r="AE127">
        <v>3</v>
      </c>
      <c r="AF127">
        <v>3</v>
      </c>
      <c r="AG127">
        <v>80</v>
      </c>
      <c r="AH127">
        <v>0</v>
      </c>
      <c r="AI127">
        <v>5</v>
      </c>
      <c r="AJ127">
        <v>3</v>
      </c>
      <c r="AK127">
        <v>2</v>
      </c>
      <c r="AL127">
        <v>5</v>
      </c>
      <c r="AM127">
        <v>4</v>
      </c>
      <c r="AN127">
        <v>4</v>
      </c>
      <c r="AO127">
        <v>3</v>
      </c>
      <c r="AP12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7" t="str">
        <f>IF(HRData[[#This Row],[Attrition]]="Yes","Left", IF(HRData[[#This Row],[Attrition_Risk_Score]]&gt;=6,"High",IF(HRData[[#This Row],[Attrition_Risk_Score]]&gt;=3,"Medium","Low")))</f>
        <v>Medium</v>
      </c>
      <c r="AR127" t="str">
        <f>IF(HRData[[#This Row],[Attrition_Risk_Level]]&lt;&gt;"High","",HRData[[#This Row],[Attrition_Risk_Score]]*10000-HRData[[#This Row],[EmployeeNumber]])</f>
        <v/>
      </c>
    </row>
    <row r="128" spans="1:44">
      <c r="A128">
        <v>58</v>
      </c>
      <c r="B128" t="str" cm="1">
        <f t="array" ref="B128">_xlfn.IFS(
HRData[[#This Row],[Age]]&lt;=24,"18-24",
HRData[[#This Row],[Age]]&lt;=34,"25-34",
HRData[[#This Row],[Age]]&lt;=44,"35-44",
HRData[[#This Row],[Age]]&lt;=54,"45-54",
HRData[[#This Row],[Age]]&gt;=55,"55+"
)</f>
        <v>55+</v>
      </c>
      <c r="C128" t="s">
        <v>35</v>
      </c>
      <c r="D128">
        <f>IF(HRData[[#This Row],[Attrition]]="Yes",1,0)</f>
        <v>1</v>
      </c>
      <c r="E128" t="s">
        <v>36</v>
      </c>
      <c r="F128">
        <v>147</v>
      </c>
      <c r="G128" t="s">
        <v>45</v>
      </c>
      <c r="H128">
        <v>23</v>
      </c>
      <c r="I128">
        <v>4</v>
      </c>
      <c r="J128" t="s">
        <v>51</v>
      </c>
      <c r="K128">
        <v>1</v>
      </c>
      <c r="L128">
        <v>165</v>
      </c>
      <c r="M128">
        <v>4</v>
      </c>
      <c r="N128" t="str" cm="1">
        <f t="array" ref="N128">_xlfn.IFS(HRData[[#This Row],[EnvironmentSatisfaction]]=1,"Very Dissatisfied",
HRData[[#This Row],[EnvironmentSatisfaction]]=2,"Dissatisfied",
HRData[[#This Row],[EnvironmentSatisfaction]]=3,"Satisfied",
HRData[[#This Row],[EnvironmentSatisfaction]]=4,"Very Satisfied"
)</f>
        <v>Very Satisfied</v>
      </c>
      <c r="O128" t="s">
        <v>39</v>
      </c>
      <c r="P128">
        <v>94</v>
      </c>
      <c r="Q128">
        <v>3</v>
      </c>
      <c r="R128">
        <v>3</v>
      </c>
      <c r="S128" t="s">
        <v>54</v>
      </c>
      <c r="T128">
        <v>4</v>
      </c>
      <c r="U128" t="str" cm="1">
        <f t="array" ref="U128">_xlfn.IFS(
HRData[[#This Row],[JobSatisfaction]]=1,"Very Dissatisfied",
HRData[[#This Row],[JobSatisfaction]]=2,"Dissatisfied",
HRData[[#This Row],[JobSatisfaction]]=3,"Satisfied",
HRData[[#This Row],[JobSatisfaction]]=4,"Very Satisfied"
)</f>
        <v>Very Satisfied</v>
      </c>
      <c r="V128" t="s">
        <v>48</v>
      </c>
      <c r="W128">
        <v>10312</v>
      </c>
      <c r="X128" t="str" cm="1">
        <f t="array" ref="X128">_xlfn.IFS(
HRData[[#This Row],[MonthlyIncome]]&lt;=4000,"Very Low Income",
HRData[[#This Row],[MonthlyIncome]]&lt;=8000,"Low Income",
HRData[[#This Row],[MonthlyIncome]]&lt;=12000,"Moderate Income",
HRData[[#This Row],[MonthlyIncome]]&lt;=16000,"High Income",
HRData[[#This Row],[MonthlyIncome]]&gt;16000,"Very High Income"
)</f>
        <v>Moderate Income</v>
      </c>
      <c r="Y128">
        <v>3465</v>
      </c>
      <c r="Z128">
        <v>1</v>
      </c>
      <c r="AA128" t="s">
        <v>42</v>
      </c>
      <c r="AB128" t="s">
        <v>43</v>
      </c>
      <c r="AC128">
        <v>12</v>
      </c>
      <c r="AD128" t="str" cm="1">
        <f t="array" ref="AD128">_xlfn.IFS(HRData[[#This Row],[PercentSalaryHike]]&lt;=15,"11-15",HRData[[#This Row],[PercentSalaryHike]]&lt;=20,"16-20",HRData[[#This Row],[PercentSalaryHike]]&gt;=21,"21+")</f>
        <v>11-15</v>
      </c>
      <c r="AE128">
        <v>3</v>
      </c>
      <c r="AF128">
        <v>4</v>
      </c>
      <c r="AG128">
        <v>80</v>
      </c>
      <c r="AH128">
        <v>1</v>
      </c>
      <c r="AI128">
        <v>40</v>
      </c>
      <c r="AJ128">
        <v>3</v>
      </c>
      <c r="AK128">
        <v>2</v>
      </c>
      <c r="AL128">
        <v>40</v>
      </c>
      <c r="AM128">
        <v>10</v>
      </c>
      <c r="AN128">
        <v>15</v>
      </c>
      <c r="AO128">
        <v>6</v>
      </c>
      <c r="AP12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8" t="str">
        <f>IF(HRData[[#This Row],[Attrition]]="Yes","Left", IF(HRData[[#This Row],[Attrition_Risk_Score]]&gt;=6,"High",IF(HRData[[#This Row],[Attrition_Risk_Score]]&gt;=3,"Medium","Low")))</f>
        <v>Left</v>
      </c>
      <c r="AR128" t="str">
        <f>IF(HRData[[#This Row],[Attrition_Risk_Level]]&lt;&gt;"High","",HRData[[#This Row],[Attrition_Risk_Score]]*10000-HRData[[#This Row],[EmployeeNumber]])</f>
        <v/>
      </c>
    </row>
    <row r="129" spans="1:44">
      <c r="A129">
        <v>19</v>
      </c>
      <c r="B129" t="str" cm="1">
        <f t="array" ref="B129">_xlfn.IFS(
HRData[[#This Row],[Age]]&lt;=24,"18-24",
HRData[[#This Row],[Age]]&lt;=34,"25-34",
HRData[[#This Row],[Age]]&lt;=44,"35-44",
HRData[[#This Row],[Age]]&lt;=54,"45-54",
HRData[[#This Row],[Age]]&gt;=55,"55+"
)</f>
        <v>18-24</v>
      </c>
      <c r="C129" t="s">
        <v>35</v>
      </c>
      <c r="D129">
        <f>IF(HRData[[#This Row],[Attrition]]="Yes",1,0)</f>
        <v>1</v>
      </c>
      <c r="E129" t="s">
        <v>36</v>
      </c>
      <c r="F129">
        <v>528</v>
      </c>
      <c r="G129" t="s">
        <v>37</v>
      </c>
      <c r="H129">
        <v>22</v>
      </c>
      <c r="I129">
        <v>1</v>
      </c>
      <c r="J129" t="s">
        <v>59</v>
      </c>
      <c r="K129">
        <v>1</v>
      </c>
      <c r="L129">
        <v>167</v>
      </c>
      <c r="M129">
        <v>4</v>
      </c>
      <c r="N129" t="str" cm="1">
        <f t="array" ref="N129">_xlfn.IFS(HRData[[#This Row],[EnvironmentSatisfaction]]=1,"Very Dissatisfied",
HRData[[#This Row],[EnvironmentSatisfaction]]=2,"Dissatisfied",
HRData[[#This Row],[EnvironmentSatisfaction]]=3,"Satisfied",
HRData[[#This Row],[EnvironmentSatisfaction]]=4,"Very Satisfied"
)</f>
        <v>Very Satisfied</v>
      </c>
      <c r="O129" t="s">
        <v>46</v>
      </c>
      <c r="P129">
        <v>50</v>
      </c>
      <c r="Q129">
        <v>3</v>
      </c>
      <c r="R129">
        <v>1</v>
      </c>
      <c r="S129" t="s">
        <v>57</v>
      </c>
      <c r="T129">
        <v>3</v>
      </c>
      <c r="U129" t="str" cm="1">
        <f t="array" ref="U129">_xlfn.IFS(
HRData[[#This Row],[JobSatisfaction]]=1,"Very Dissatisfied",
HRData[[#This Row],[JobSatisfaction]]=2,"Dissatisfied",
HRData[[#This Row],[JobSatisfaction]]=3,"Satisfied",
HRData[[#This Row],[JobSatisfaction]]=4,"Very Satisfied"
)</f>
        <v>Satisfied</v>
      </c>
      <c r="V129" t="s">
        <v>41</v>
      </c>
      <c r="W129">
        <v>1675</v>
      </c>
      <c r="X129" t="str" cm="1">
        <f t="array" ref="X129">_xlfn.IFS(
HRData[[#This Row],[MonthlyIncome]]&lt;=4000,"Very Low Income",
HRData[[#This Row],[MonthlyIncome]]&lt;=8000,"Low Income",
HRData[[#This Row],[MonthlyIncome]]&lt;=12000,"Moderate Income",
HRData[[#This Row],[MonthlyIncome]]&lt;=16000,"High Income",
HRData[[#This Row],[MonthlyIncome]]&gt;16000,"Very High Income"
)</f>
        <v>Very Low Income</v>
      </c>
      <c r="Y129">
        <v>26820</v>
      </c>
      <c r="Z129">
        <v>1</v>
      </c>
      <c r="AA129" t="s">
        <v>42</v>
      </c>
      <c r="AB129" t="s">
        <v>35</v>
      </c>
      <c r="AC129">
        <v>19</v>
      </c>
      <c r="AD129" t="str" cm="1">
        <f t="array" ref="AD129">_xlfn.IFS(HRData[[#This Row],[PercentSalaryHike]]&lt;=15,"11-15",HRData[[#This Row],[PercentSalaryHike]]&lt;=20,"16-20",HRData[[#This Row],[PercentSalaryHike]]&gt;=21,"21+")</f>
        <v>16-20</v>
      </c>
      <c r="AE129">
        <v>3</v>
      </c>
      <c r="AF129">
        <v>4</v>
      </c>
      <c r="AG129">
        <v>80</v>
      </c>
      <c r="AH129">
        <v>0</v>
      </c>
      <c r="AI129">
        <v>0</v>
      </c>
      <c r="AJ129">
        <v>2</v>
      </c>
      <c r="AK129">
        <v>2</v>
      </c>
      <c r="AL129">
        <v>0</v>
      </c>
      <c r="AM129">
        <v>0</v>
      </c>
      <c r="AN129">
        <v>0</v>
      </c>
      <c r="AO129">
        <v>0</v>
      </c>
      <c r="AP12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9" t="str">
        <f>IF(HRData[[#This Row],[Attrition]]="Yes","Left", IF(HRData[[#This Row],[Attrition_Risk_Score]]&gt;=6,"High",IF(HRData[[#This Row],[Attrition_Risk_Score]]&gt;=3,"Medium","Low")))</f>
        <v>Left</v>
      </c>
      <c r="AR129" t="str">
        <f>IF(HRData[[#This Row],[Attrition_Risk_Level]]&lt;&gt;"High","",HRData[[#This Row],[Attrition_Risk_Score]]*10000-HRData[[#This Row],[EmployeeNumber]])</f>
        <v/>
      </c>
    </row>
    <row r="130" spans="1:44">
      <c r="A130">
        <v>22</v>
      </c>
      <c r="B130" t="str" cm="1">
        <f t="array" ref="B130">_xlfn.IFS(
HRData[[#This Row],[Age]]&lt;=24,"18-24",
HRData[[#This Row],[Age]]&lt;=34,"25-34",
HRData[[#This Row],[Age]]&lt;=44,"35-44",
HRData[[#This Row],[Age]]&lt;=54,"45-54",
HRData[[#This Row],[Age]]&gt;=55,"55+"
)</f>
        <v>18-24</v>
      </c>
      <c r="C130" t="s">
        <v>43</v>
      </c>
      <c r="D130">
        <f>IF(HRData[[#This Row],[Attrition]]="Yes",1,0)</f>
        <v>0</v>
      </c>
      <c r="E130" t="s">
        <v>36</v>
      </c>
      <c r="F130">
        <v>594</v>
      </c>
      <c r="G130" t="s">
        <v>45</v>
      </c>
      <c r="H130">
        <v>2</v>
      </c>
      <c r="I130">
        <v>1</v>
      </c>
      <c r="J130" t="s">
        <v>60</v>
      </c>
      <c r="K130">
        <v>1</v>
      </c>
      <c r="L130">
        <v>169</v>
      </c>
      <c r="M130">
        <v>3</v>
      </c>
      <c r="N130" t="str" cm="1">
        <f t="array" ref="N130">_xlfn.IFS(HRData[[#This Row],[EnvironmentSatisfaction]]=1,"Very Dissatisfied",
HRData[[#This Row],[EnvironmentSatisfaction]]=2,"Dissatisfied",
HRData[[#This Row],[EnvironmentSatisfaction]]=3,"Satisfied",
HRData[[#This Row],[EnvironmentSatisfaction]]=4,"Very Satisfied"
)</f>
        <v>Satisfied</v>
      </c>
      <c r="O130" t="s">
        <v>46</v>
      </c>
      <c r="P130">
        <v>100</v>
      </c>
      <c r="Q130">
        <v>3</v>
      </c>
      <c r="R130">
        <v>1</v>
      </c>
      <c r="S130" t="s">
        <v>50</v>
      </c>
      <c r="T130">
        <v>4</v>
      </c>
      <c r="U130" t="str" cm="1">
        <f t="array" ref="U130">_xlfn.IFS(
HRData[[#This Row],[JobSatisfaction]]=1,"Very Dissatisfied",
HRData[[#This Row],[JobSatisfaction]]=2,"Dissatisfied",
HRData[[#This Row],[JobSatisfaction]]=3,"Satisfied",
HRData[[#This Row],[JobSatisfaction]]=4,"Very Satisfied"
)</f>
        <v>Very Satisfied</v>
      </c>
      <c r="V130" t="s">
        <v>48</v>
      </c>
      <c r="W130">
        <v>2523</v>
      </c>
      <c r="X130" t="str" cm="1">
        <f t="array" ref="X130">_xlfn.IFS(
HRData[[#This Row],[MonthlyIncome]]&lt;=4000,"Very Low Income",
HRData[[#This Row],[MonthlyIncome]]&lt;=8000,"Low Income",
HRData[[#This Row],[MonthlyIncome]]&lt;=12000,"Moderate Income",
HRData[[#This Row],[MonthlyIncome]]&lt;=16000,"High Income",
HRData[[#This Row],[MonthlyIncome]]&gt;16000,"Very High Income"
)</f>
        <v>Very Low Income</v>
      </c>
      <c r="Y130">
        <v>19299</v>
      </c>
      <c r="Z130">
        <v>0</v>
      </c>
      <c r="AA130" t="s">
        <v>42</v>
      </c>
      <c r="AB130" t="s">
        <v>43</v>
      </c>
      <c r="AC130">
        <v>14</v>
      </c>
      <c r="AD130" t="str" cm="1">
        <f t="array" ref="AD130">_xlfn.IFS(HRData[[#This Row],[PercentSalaryHike]]&lt;=15,"11-15",HRData[[#This Row],[PercentSalaryHike]]&lt;=20,"16-20",HRData[[#This Row],[PercentSalaryHike]]&gt;=21,"21+")</f>
        <v>11-15</v>
      </c>
      <c r="AE130">
        <v>3</v>
      </c>
      <c r="AF130">
        <v>3</v>
      </c>
      <c r="AG130">
        <v>80</v>
      </c>
      <c r="AH130">
        <v>1</v>
      </c>
      <c r="AI130">
        <v>3</v>
      </c>
      <c r="AJ130">
        <v>2</v>
      </c>
      <c r="AK130">
        <v>3</v>
      </c>
      <c r="AL130">
        <v>2</v>
      </c>
      <c r="AM130">
        <v>1</v>
      </c>
      <c r="AN130">
        <v>2</v>
      </c>
      <c r="AO130">
        <v>1</v>
      </c>
      <c r="AP13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30" t="str">
        <f>IF(HRData[[#This Row],[Attrition]]="Yes","Left", IF(HRData[[#This Row],[Attrition_Risk_Score]]&gt;=6,"High",IF(HRData[[#This Row],[Attrition_Risk_Score]]&gt;=3,"Medium","Low")))</f>
        <v>Medium</v>
      </c>
      <c r="AR130" t="str">
        <f>IF(HRData[[#This Row],[Attrition_Risk_Level]]&lt;&gt;"High","",HRData[[#This Row],[Attrition_Risk_Score]]*10000-HRData[[#This Row],[EmployeeNumber]])</f>
        <v/>
      </c>
    </row>
    <row r="131" spans="1:44">
      <c r="A131">
        <v>49</v>
      </c>
      <c r="B131" t="str" cm="1">
        <f t="array" ref="B131">_xlfn.IFS(
HRData[[#This Row],[Age]]&lt;=24,"18-24",
HRData[[#This Row],[Age]]&lt;=34,"25-34",
HRData[[#This Row],[Age]]&lt;=44,"35-44",
HRData[[#This Row],[Age]]&lt;=54,"45-54",
HRData[[#This Row],[Age]]&gt;=55,"55+"
)</f>
        <v>45-54</v>
      </c>
      <c r="C131" t="s">
        <v>43</v>
      </c>
      <c r="D131">
        <f>IF(HRData[[#This Row],[Attrition]]="Yes",1,0)</f>
        <v>0</v>
      </c>
      <c r="E131" t="s">
        <v>36</v>
      </c>
      <c r="F131">
        <v>470</v>
      </c>
      <c r="G131" t="s">
        <v>45</v>
      </c>
      <c r="H131">
        <v>20</v>
      </c>
      <c r="I131">
        <v>4</v>
      </c>
      <c r="J131" t="s">
        <v>51</v>
      </c>
      <c r="K131">
        <v>1</v>
      </c>
      <c r="L131">
        <v>170</v>
      </c>
      <c r="M131">
        <v>3</v>
      </c>
      <c r="N131" t="str" cm="1">
        <f t="array" ref="N131">_xlfn.IFS(HRData[[#This Row],[EnvironmentSatisfaction]]=1,"Very Dissatisfied",
HRData[[#This Row],[EnvironmentSatisfaction]]=2,"Dissatisfied",
HRData[[#This Row],[EnvironmentSatisfaction]]=3,"Satisfied",
HRData[[#This Row],[EnvironmentSatisfaction]]=4,"Very Satisfied"
)</f>
        <v>Satisfied</v>
      </c>
      <c r="O131" t="s">
        <v>39</v>
      </c>
      <c r="P131">
        <v>96</v>
      </c>
      <c r="Q131">
        <v>3</v>
      </c>
      <c r="R131">
        <v>2</v>
      </c>
      <c r="S131" t="s">
        <v>53</v>
      </c>
      <c r="T131">
        <v>1</v>
      </c>
      <c r="U131" t="str" cm="1">
        <f t="array" ref="U131">_xlfn.IFS(
HRData[[#This Row],[JobSatisfaction]]=1,"Very Dissatisfied",
HRData[[#This Row],[JobSatisfaction]]=2,"Dissatisfied",
HRData[[#This Row],[JobSatisfaction]]=3,"Satisfied",
HRData[[#This Row],[JobSatisfaction]]=4,"Very Satisfied"
)</f>
        <v>Very Dissatisfied</v>
      </c>
      <c r="V131" t="s">
        <v>48</v>
      </c>
      <c r="W131">
        <v>6567</v>
      </c>
      <c r="X131" t="str" cm="1">
        <f t="array" ref="X131">_xlfn.IFS(
HRData[[#This Row],[MonthlyIncome]]&lt;=4000,"Very Low Income",
HRData[[#This Row],[MonthlyIncome]]&lt;=8000,"Low Income",
HRData[[#This Row],[MonthlyIncome]]&lt;=12000,"Moderate Income",
HRData[[#This Row],[MonthlyIncome]]&lt;=16000,"High Income",
HRData[[#This Row],[MonthlyIncome]]&gt;16000,"Very High Income"
)</f>
        <v>Low Income</v>
      </c>
      <c r="Y131">
        <v>5549</v>
      </c>
      <c r="Z131">
        <v>1</v>
      </c>
      <c r="AA131" t="s">
        <v>42</v>
      </c>
      <c r="AB131" t="s">
        <v>43</v>
      </c>
      <c r="AC131">
        <v>14</v>
      </c>
      <c r="AD131" t="str" cm="1">
        <f t="array" ref="AD131">_xlfn.IFS(HRData[[#This Row],[PercentSalaryHike]]&lt;=15,"11-15",HRData[[#This Row],[PercentSalaryHike]]&lt;=20,"16-20",HRData[[#This Row],[PercentSalaryHike]]&gt;=21,"21+")</f>
        <v>11-15</v>
      </c>
      <c r="AE131">
        <v>3</v>
      </c>
      <c r="AF131">
        <v>3</v>
      </c>
      <c r="AG131">
        <v>80</v>
      </c>
      <c r="AH131">
        <v>0</v>
      </c>
      <c r="AI131">
        <v>16</v>
      </c>
      <c r="AJ131">
        <v>2</v>
      </c>
      <c r="AK131">
        <v>2</v>
      </c>
      <c r="AL131">
        <v>15</v>
      </c>
      <c r="AM131">
        <v>11</v>
      </c>
      <c r="AN131">
        <v>5</v>
      </c>
      <c r="AO131">
        <v>11</v>
      </c>
      <c r="AP13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1" t="str">
        <f>IF(HRData[[#This Row],[Attrition]]="Yes","Left", IF(HRData[[#This Row],[Attrition_Risk_Score]]&gt;=6,"High",IF(HRData[[#This Row],[Attrition_Risk_Score]]&gt;=3,"Medium","Low")))</f>
        <v>Medium</v>
      </c>
      <c r="AR131" t="str">
        <f>IF(HRData[[#This Row],[Attrition_Risk_Level]]&lt;&gt;"High","",HRData[[#This Row],[Attrition_Risk_Score]]*10000-HRData[[#This Row],[EmployeeNumber]])</f>
        <v/>
      </c>
    </row>
    <row r="132" spans="1:44">
      <c r="A132">
        <v>43</v>
      </c>
      <c r="B132" t="str" cm="1">
        <f t="array" ref="B132">_xlfn.IFS(
HRData[[#This Row],[Age]]&lt;=24,"18-24",
HRData[[#This Row],[Age]]&lt;=34,"25-34",
HRData[[#This Row],[Age]]&lt;=44,"35-44",
HRData[[#This Row],[Age]]&lt;=54,"45-54",
HRData[[#This Row],[Age]]&gt;=55,"55+"
)</f>
        <v>35-44</v>
      </c>
      <c r="C132" t="s">
        <v>43</v>
      </c>
      <c r="D132">
        <f>IF(HRData[[#This Row],[Attrition]]="Yes",1,0)</f>
        <v>0</v>
      </c>
      <c r="E132" t="s">
        <v>44</v>
      </c>
      <c r="F132">
        <v>957</v>
      </c>
      <c r="G132" t="s">
        <v>45</v>
      </c>
      <c r="H132">
        <v>28</v>
      </c>
      <c r="I132">
        <v>3</v>
      </c>
      <c r="J132" t="s">
        <v>51</v>
      </c>
      <c r="K132">
        <v>1</v>
      </c>
      <c r="L132">
        <v>171</v>
      </c>
      <c r="M132">
        <v>2</v>
      </c>
      <c r="N132" t="str" cm="1">
        <f t="array" ref="N132">_xlfn.IFS(HRData[[#This Row],[EnvironmentSatisfaction]]=1,"Very Dissatisfied",
HRData[[#This Row],[EnvironmentSatisfaction]]=2,"Dissatisfied",
HRData[[#This Row],[EnvironmentSatisfaction]]=3,"Satisfied",
HRData[[#This Row],[EnvironmentSatisfaction]]=4,"Very Satisfied"
)</f>
        <v>Dissatisfied</v>
      </c>
      <c r="O132" t="s">
        <v>39</v>
      </c>
      <c r="P132">
        <v>72</v>
      </c>
      <c r="Q132">
        <v>4</v>
      </c>
      <c r="R132">
        <v>1</v>
      </c>
      <c r="S132" t="s">
        <v>47</v>
      </c>
      <c r="T132">
        <v>3</v>
      </c>
      <c r="U132" t="str" cm="1">
        <f t="array" ref="U132">_xlfn.IFS(
HRData[[#This Row],[JobSatisfaction]]=1,"Very Dissatisfied",
HRData[[#This Row],[JobSatisfaction]]=2,"Dissatisfied",
HRData[[#This Row],[JobSatisfaction]]=3,"Satisfied",
HRData[[#This Row],[JobSatisfaction]]=4,"Very Satisfied"
)</f>
        <v>Satisfied</v>
      </c>
      <c r="V132" t="s">
        <v>41</v>
      </c>
      <c r="W132">
        <v>4739</v>
      </c>
      <c r="X132" t="str" cm="1">
        <f t="array" ref="X132">_xlfn.IFS(
HRData[[#This Row],[MonthlyIncome]]&lt;=4000,"Very Low Income",
HRData[[#This Row],[MonthlyIncome]]&lt;=8000,"Low Income",
HRData[[#This Row],[MonthlyIncome]]&lt;=12000,"Moderate Income",
HRData[[#This Row],[MonthlyIncome]]&lt;=16000,"High Income",
HRData[[#This Row],[MonthlyIncome]]&gt;16000,"Very High Income"
)</f>
        <v>Low Income</v>
      </c>
      <c r="Y132">
        <v>16090</v>
      </c>
      <c r="Z132">
        <v>4</v>
      </c>
      <c r="AA132" t="s">
        <v>42</v>
      </c>
      <c r="AB132" t="s">
        <v>43</v>
      </c>
      <c r="AC132">
        <v>12</v>
      </c>
      <c r="AD132" t="str" cm="1">
        <f t="array" ref="AD132">_xlfn.IFS(HRData[[#This Row],[PercentSalaryHike]]&lt;=15,"11-15",HRData[[#This Row],[PercentSalaryHike]]&lt;=20,"16-20",HRData[[#This Row],[PercentSalaryHike]]&gt;=21,"21+")</f>
        <v>11-15</v>
      </c>
      <c r="AE132">
        <v>3</v>
      </c>
      <c r="AF132">
        <v>4</v>
      </c>
      <c r="AG132">
        <v>80</v>
      </c>
      <c r="AH132">
        <v>0</v>
      </c>
      <c r="AI132">
        <v>18</v>
      </c>
      <c r="AJ132">
        <v>2</v>
      </c>
      <c r="AK132">
        <v>3</v>
      </c>
      <c r="AL132">
        <v>3</v>
      </c>
      <c r="AM132">
        <v>2</v>
      </c>
      <c r="AN132">
        <v>1</v>
      </c>
      <c r="AO132">
        <v>2</v>
      </c>
      <c r="AP13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2" t="str">
        <f>IF(HRData[[#This Row],[Attrition]]="Yes","Left", IF(HRData[[#This Row],[Attrition_Risk_Score]]&gt;=6,"High",IF(HRData[[#This Row],[Attrition_Risk_Score]]&gt;=3,"Medium","Low")))</f>
        <v>Low</v>
      </c>
      <c r="AR132" t="str">
        <f>IF(HRData[[#This Row],[Attrition_Risk_Level]]&lt;&gt;"High","",HRData[[#This Row],[Attrition_Risk_Score]]*10000-HRData[[#This Row],[EmployeeNumber]])</f>
        <v/>
      </c>
    </row>
    <row r="133" spans="1:44">
      <c r="A133">
        <v>50</v>
      </c>
      <c r="B133" t="str" cm="1">
        <f t="array" ref="B133">_xlfn.IFS(
HRData[[#This Row],[Age]]&lt;=24,"18-24",
HRData[[#This Row],[Age]]&lt;=34,"25-34",
HRData[[#This Row],[Age]]&lt;=44,"35-44",
HRData[[#This Row],[Age]]&lt;=54,"45-54",
HRData[[#This Row],[Age]]&gt;=55,"55+"
)</f>
        <v>45-54</v>
      </c>
      <c r="C133" t="s">
        <v>43</v>
      </c>
      <c r="D133">
        <f>IF(HRData[[#This Row],[Attrition]]="Yes",1,0)</f>
        <v>0</v>
      </c>
      <c r="E133" t="s">
        <v>44</v>
      </c>
      <c r="F133">
        <v>809</v>
      </c>
      <c r="G133" t="s">
        <v>37</v>
      </c>
      <c r="H133">
        <v>12</v>
      </c>
      <c r="I133">
        <v>3</v>
      </c>
      <c r="J133" t="s">
        <v>59</v>
      </c>
      <c r="K133">
        <v>1</v>
      </c>
      <c r="L133">
        <v>174</v>
      </c>
      <c r="M133">
        <v>3</v>
      </c>
      <c r="N133" t="str" cm="1">
        <f t="array" ref="N133">_xlfn.IFS(HRData[[#This Row],[EnvironmentSatisfaction]]=1,"Very Dissatisfied",
HRData[[#This Row],[EnvironmentSatisfaction]]=2,"Dissatisfied",
HRData[[#This Row],[EnvironmentSatisfaction]]=3,"Satisfied",
HRData[[#This Row],[EnvironmentSatisfaction]]=4,"Very Satisfied"
)</f>
        <v>Satisfied</v>
      </c>
      <c r="O133" t="s">
        <v>39</v>
      </c>
      <c r="P133">
        <v>77</v>
      </c>
      <c r="Q133">
        <v>3</v>
      </c>
      <c r="R133">
        <v>3</v>
      </c>
      <c r="S133" t="s">
        <v>40</v>
      </c>
      <c r="T133">
        <v>4</v>
      </c>
      <c r="U133" t="str" cm="1">
        <f t="array" ref="U133">_xlfn.IFS(
HRData[[#This Row],[JobSatisfaction]]=1,"Very Dissatisfied",
HRData[[#This Row],[JobSatisfaction]]=2,"Dissatisfied",
HRData[[#This Row],[JobSatisfaction]]=3,"Satisfied",
HRData[[#This Row],[JobSatisfaction]]=4,"Very Satisfied"
)</f>
        <v>Very Satisfied</v>
      </c>
      <c r="V133" t="s">
        <v>41</v>
      </c>
      <c r="W133">
        <v>9208</v>
      </c>
      <c r="X133" t="str" cm="1">
        <f t="array" ref="X133">_xlfn.IFS(
HRData[[#This Row],[MonthlyIncome]]&lt;=4000,"Very Low Income",
HRData[[#This Row],[MonthlyIncome]]&lt;=8000,"Low Income",
HRData[[#This Row],[MonthlyIncome]]&lt;=12000,"Moderate Income",
HRData[[#This Row],[MonthlyIncome]]&lt;=16000,"High Income",
HRData[[#This Row],[MonthlyIncome]]&gt;16000,"Very High Income"
)</f>
        <v>Moderate Income</v>
      </c>
      <c r="Y133">
        <v>6645</v>
      </c>
      <c r="Z133">
        <v>4</v>
      </c>
      <c r="AA133" t="s">
        <v>42</v>
      </c>
      <c r="AB133" t="s">
        <v>43</v>
      </c>
      <c r="AC133">
        <v>11</v>
      </c>
      <c r="AD133" t="str" cm="1">
        <f t="array" ref="AD133">_xlfn.IFS(HRData[[#This Row],[PercentSalaryHike]]&lt;=15,"11-15",HRData[[#This Row],[PercentSalaryHike]]&lt;=20,"16-20",HRData[[#This Row],[PercentSalaryHike]]&gt;=21,"21+")</f>
        <v>11-15</v>
      </c>
      <c r="AE133">
        <v>3</v>
      </c>
      <c r="AF133">
        <v>4</v>
      </c>
      <c r="AG133">
        <v>80</v>
      </c>
      <c r="AH133">
        <v>0</v>
      </c>
      <c r="AI133">
        <v>16</v>
      </c>
      <c r="AJ133">
        <v>3</v>
      </c>
      <c r="AK133">
        <v>3</v>
      </c>
      <c r="AL133">
        <v>2</v>
      </c>
      <c r="AM133">
        <v>2</v>
      </c>
      <c r="AN133">
        <v>2</v>
      </c>
      <c r="AO133">
        <v>1</v>
      </c>
      <c r="AP13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33" t="str">
        <f>IF(HRData[[#This Row],[Attrition]]="Yes","Left", IF(HRData[[#This Row],[Attrition_Risk_Score]]&gt;=6,"High",IF(HRData[[#This Row],[Attrition_Risk_Score]]&gt;=3,"Medium","Low")))</f>
        <v>Low</v>
      </c>
      <c r="AR133" t="str">
        <f>IF(HRData[[#This Row],[Attrition_Risk_Level]]&lt;&gt;"High","",HRData[[#This Row],[Attrition_Risk_Score]]*10000-HRData[[#This Row],[EmployeeNumber]])</f>
        <v/>
      </c>
    </row>
    <row r="134" spans="1:44">
      <c r="A134">
        <v>31</v>
      </c>
      <c r="B134" t="str" cm="1">
        <f t="array" ref="B134">_xlfn.IFS(
HRData[[#This Row],[Age]]&lt;=24,"18-24",
HRData[[#This Row],[Age]]&lt;=34,"25-34",
HRData[[#This Row],[Age]]&lt;=44,"35-44",
HRData[[#This Row],[Age]]&lt;=54,"45-54",
HRData[[#This Row],[Age]]&gt;=55,"55+"
)</f>
        <v>25-34</v>
      </c>
      <c r="C134" t="s">
        <v>35</v>
      </c>
      <c r="D134">
        <f>IF(HRData[[#This Row],[Attrition]]="Yes",1,0)</f>
        <v>1</v>
      </c>
      <c r="E134" t="s">
        <v>36</v>
      </c>
      <c r="F134">
        <v>542</v>
      </c>
      <c r="G134" t="s">
        <v>37</v>
      </c>
      <c r="H134">
        <v>20</v>
      </c>
      <c r="I134">
        <v>3</v>
      </c>
      <c r="J134" t="s">
        <v>38</v>
      </c>
      <c r="K134">
        <v>1</v>
      </c>
      <c r="L134">
        <v>175</v>
      </c>
      <c r="M134">
        <v>2</v>
      </c>
      <c r="N134" t="str" cm="1">
        <f t="array" ref="N134">_xlfn.IFS(HRData[[#This Row],[EnvironmentSatisfaction]]=1,"Very Dissatisfied",
HRData[[#This Row],[EnvironmentSatisfaction]]=2,"Dissatisfied",
HRData[[#This Row],[EnvironmentSatisfaction]]=3,"Satisfied",
HRData[[#This Row],[EnvironmentSatisfaction]]=4,"Very Satisfied"
)</f>
        <v>Dissatisfied</v>
      </c>
      <c r="O134" t="s">
        <v>39</v>
      </c>
      <c r="P134">
        <v>71</v>
      </c>
      <c r="Q134">
        <v>1</v>
      </c>
      <c r="R134">
        <v>2</v>
      </c>
      <c r="S134" t="s">
        <v>40</v>
      </c>
      <c r="T134">
        <v>3</v>
      </c>
      <c r="U134" t="str" cm="1">
        <f t="array" ref="U134">_xlfn.IFS(
HRData[[#This Row],[JobSatisfaction]]=1,"Very Dissatisfied",
HRData[[#This Row],[JobSatisfaction]]=2,"Dissatisfied",
HRData[[#This Row],[JobSatisfaction]]=3,"Satisfied",
HRData[[#This Row],[JobSatisfaction]]=4,"Very Satisfied"
)</f>
        <v>Satisfied</v>
      </c>
      <c r="V134" t="s">
        <v>48</v>
      </c>
      <c r="W134">
        <v>4559</v>
      </c>
      <c r="X134" t="str" cm="1">
        <f t="array" ref="X134">_xlfn.IFS(
HRData[[#This Row],[MonthlyIncome]]&lt;=4000,"Very Low Income",
HRData[[#This Row],[MonthlyIncome]]&lt;=8000,"Low Income",
HRData[[#This Row],[MonthlyIncome]]&lt;=12000,"Moderate Income",
HRData[[#This Row],[MonthlyIncome]]&lt;=16000,"High Income",
HRData[[#This Row],[MonthlyIncome]]&gt;16000,"Very High Income"
)</f>
        <v>Low Income</v>
      </c>
      <c r="Y134">
        <v>24788</v>
      </c>
      <c r="Z134">
        <v>3</v>
      </c>
      <c r="AA134" t="s">
        <v>42</v>
      </c>
      <c r="AB134" t="s">
        <v>35</v>
      </c>
      <c r="AC134">
        <v>11</v>
      </c>
      <c r="AD134" t="str" cm="1">
        <f t="array" ref="AD134">_xlfn.IFS(HRData[[#This Row],[PercentSalaryHike]]&lt;=15,"11-15",HRData[[#This Row],[PercentSalaryHike]]&lt;=20,"16-20",HRData[[#This Row],[PercentSalaryHike]]&gt;=21,"21+")</f>
        <v>11-15</v>
      </c>
      <c r="AE134">
        <v>3</v>
      </c>
      <c r="AF134">
        <v>3</v>
      </c>
      <c r="AG134">
        <v>80</v>
      </c>
      <c r="AH134">
        <v>1</v>
      </c>
      <c r="AI134">
        <v>4</v>
      </c>
      <c r="AJ134">
        <v>2</v>
      </c>
      <c r="AK134">
        <v>3</v>
      </c>
      <c r="AL134">
        <v>2</v>
      </c>
      <c r="AM134">
        <v>2</v>
      </c>
      <c r="AN134">
        <v>2</v>
      </c>
      <c r="AO134">
        <v>2</v>
      </c>
      <c r="AP13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4" t="str">
        <f>IF(HRData[[#This Row],[Attrition]]="Yes","Left", IF(HRData[[#This Row],[Attrition_Risk_Score]]&gt;=6,"High",IF(HRData[[#This Row],[Attrition_Risk_Score]]&gt;=3,"Medium","Low")))</f>
        <v>Left</v>
      </c>
      <c r="AR134" t="str">
        <f>IF(HRData[[#This Row],[Attrition_Risk_Level]]&lt;&gt;"High","",HRData[[#This Row],[Attrition_Risk_Score]]*10000-HRData[[#This Row],[EmployeeNumber]])</f>
        <v/>
      </c>
    </row>
    <row r="135" spans="1:44">
      <c r="A135">
        <v>41</v>
      </c>
      <c r="B135" t="str" cm="1">
        <f t="array" ref="B135">_xlfn.IFS(
HRData[[#This Row],[Age]]&lt;=24,"18-24",
HRData[[#This Row],[Age]]&lt;=34,"25-34",
HRData[[#This Row],[Age]]&lt;=44,"35-44",
HRData[[#This Row],[Age]]&lt;=54,"45-54",
HRData[[#This Row],[Age]]&gt;=55,"55+"
)</f>
        <v>35-44</v>
      </c>
      <c r="C135" t="s">
        <v>43</v>
      </c>
      <c r="D135">
        <f>IF(HRData[[#This Row],[Attrition]]="Yes",1,0)</f>
        <v>0</v>
      </c>
      <c r="E135" t="s">
        <v>36</v>
      </c>
      <c r="F135">
        <v>802</v>
      </c>
      <c r="G135" t="s">
        <v>37</v>
      </c>
      <c r="H135">
        <v>9</v>
      </c>
      <c r="I135">
        <v>1</v>
      </c>
      <c r="J135" t="s">
        <v>38</v>
      </c>
      <c r="K135">
        <v>1</v>
      </c>
      <c r="L135">
        <v>176</v>
      </c>
      <c r="M135">
        <v>3</v>
      </c>
      <c r="N135" t="str" cm="1">
        <f t="array" ref="N135">_xlfn.IFS(HRData[[#This Row],[EnvironmentSatisfaction]]=1,"Very Dissatisfied",
HRData[[#This Row],[EnvironmentSatisfaction]]=2,"Dissatisfied",
HRData[[#This Row],[EnvironmentSatisfaction]]=3,"Satisfied",
HRData[[#This Row],[EnvironmentSatisfaction]]=4,"Very Satisfied"
)</f>
        <v>Satisfied</v>
      </c>
      <c r="O135" t="s">
        <v>46</v>
      </c>
      <c r="P135">
        <v>96</v>
      </c>
      <c r="Q135">
        <v>3</v>
      </c>
      <c r="R135">
        <v>3</v>
      </c>
      <c r="S135" t="s">
        <v>40</v>
      </c>
      <c r="T135">
        <v>3</v>
      </c>
      <c r="U135" t="str" cm="1">
        <f t="array" ref="U135">_xlfn.IFS(
HRData[[#This Row],[JobSatisfaction]]=1,"Very Dissatisfied",
HRData[[#This Row],[JobSatisfaction]]=2,"Dissatisfied",
HRData[[#This Row],[JobSatisfaction]]=3,"Satisfied",
HRData[[#This Row],[JobSatisfaction]]=4,"Very Satisfied"
)</f>
        <v>Satisfied</v>
      </c>
      <c r="V135" t="s">
        <v>52</v>
      </c>
      <c r="W135">
        <v>8189</v>
      </c>
      <c r="X135" t="str" cm="1">
        <f t="array" ref="X135">_xlfn.IFS(
HRData[[#This Row],[MonthlyIncome]]&lt;=4000,"Very Low Income",
HRData[[#This Row],[MonthlyIncome]]&lt;=8000,"Low Income",
HRData[[#This Row],[MonthlyIncome]]&lt;=12000,"Moderate Income",
HRData[[#This Row],[MonthlyIncome]]&lt;=16000,"High Income",
HRData[[#This Row],[MonthlyIncome]]&gt;16000,"Very High Income"
)</f>
        <v>Moderate Income</v>
      </c>
      <c r="Y135">
        <v>21196</v>
      </c>
      <c r="Z135">
        <v>3</v>
      </c>
      <c r="AA135" t="s">
        <v>42</v>
      </c>
      <c r="AB135" t="s">
        <v>35</v>
      </c>
      <c r="AC135">
        <v>13</v>
      </c>
      <c r="AD135" t="str" cm="1">
        <f t="array" ref="AD135">_xlfn.IFS(HRData[[#This Row],[PercentSalaryHike]]&lt;=15,"11-15",HRData[[#This Row],[PercentSalaryHike]]&lt;=20,"16-20",HRData[[#This Row],[PercentSalaryHike]]&gt;=21,"21+")</f>
        <v>11-15</v>
      </c>
      <c r="AE135">
        <v>3</v>
      </c>
      <c r="AF135">
        <v>3</v>
      </c>
      <c r="AG135">
        <v>80</v>
      </c>
      <c r="AH135">
        <v>1</v>
      </c>
      <c r="AI135">
        <v>12</v>
      </c>
      <c r="AJ135">
        <v>2</v>
      </c>
      <c r="AK135">
        <v>3</v>
      </c>
      <c r="AL135">
        <v>9</v>
      </c>
      <c r="AM135">
        <v>7</v>
      </c>
      <c r="AN135">
        <v>0</v>
      </c>
      <c r="AO135">
        <v>7</v>
      </c>
      <c r="AP13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5" t="str">
        <f>IF(HRData[[#This Row],[Attrition]]="Yes","Left", IF(HRData[[#This Row],[Attrition_Risk_Score]]&gt;=6,"High",IF(HRData[[#This Row],[Attrition_Risk_Score]]&gt;=3,"Medium","Low")))</f>
        <v>Low</v>
      </c>
      <c r="AR135" t="str">
        <f>IF(HRData[[#This Row],[Attrition_Risk_Level]]&lt;&gt;"High","",HRData[[#This Row],[Attrition_Risk_Score]]*10000-HRData[[#This Row],[EmployeeNumber]])</f>
        <v/>
      </c>
    </row>
    <row r="136" spans="1:44">
      <c r="A136">
        <v>26</v>
      </c>
      <c r="B136" t="str" cm="1">
        <f t="array" ref="B136">_xlfn.IFS(
HRData[[#This Row],[Age]]&lt;=24,"18-24",
HRData[[#This Row],[Age]]&lt;=34,"25-34",
HRData[[#This Row],[Age]]&lt;=44,"35-44",
HRData[[#This Row],[Age]]&lt;=54,"45-54",
HRData[[#This Row],[Age]]&gt;=55,"55+"
)</f>
        <v>25-34</v>
      </c>
      <c r="C136" t="s">
        <v>43</v>
      </c>
      <c r="D136">
        <f>IF(HRData[[#This Row],[Attrition]]="Yes",1,0)</f>
        <v>0</v>
      </c>
      <c r="E136" t="s">
        <v>36</v>
      </c>
      <c r="F136">
        <v>1355</v>
      </c>
      <c r="G136" t="s">
        <v>61</v>
      </c>
      <c r="H136">
        <v>25</v>
      </c>
      <c r="I136">
        <v>1</v>
      </c>
      <c r="J136" t="s">
        <v>38</v>
      </c>
      <c r="K136">
        <v>1</v>
      </c>
      <c r="L136">
        <v>177</v>
      </c>
      <c r="M136">
        <v>3</v>
      </c>
      <c r="N136" t="str" cm="1">
        <f t="array" ref="N136">_xlfn.IFS(HRData[[#This Row],[EnvironmentSatisfaction]]=1,"Very Dissatisfied",
HRData[[#This Row],[EnvironmentSatisfaction]]=2,"Dissatisfied",
HRData[[#This Row],[EnvironmentSatisfaction]]=3,"Satisfied",
HRData[[#This Row],[EnvironmentSatisfaction]]=4,"Very Satisfied"
)</f>
        <v>Satisfied</v>
      </c>
      <c r="O136" t="s">
        <v>39</v>
      </c>
      <c r="P136">
        <v>61</v>
      </c>
      <c r="Q136">
        <v>3</v>
      </c>
      <c r="R136">
        <v>1</v>
      </c>
      <c r="S136" t="s">
        <v>61</v>
      </c>
      <c r="T136">
        <v>3</v>
      </c>
      <c r="U136" t="str" cm="1">
        <f t="array" ref="U136">_xlfn.IFS(
HRData[[#This Row],[JobSatisfaction]]=1,"Very Dissatisfied",
HRData[[#This Row],[JobSatisfaction]]=2,"Dissatisfied",
HRData[[#This Row],[JobSatisfaction]]=3,"Satisfied",
HRData[[#This Row],[JobSatisfaction]]=4,"Very Satisfied"
)</f>
        <v>Satisfied</v>
      </c>
      <c r="V136" t="s">
        <v>48</v>
      </c>
      <c r="W136">
        <v>2942</v>
      </c>
      <c r="X136" t="str" cm="1">
        <f t="array" ref="X136">_xlfn.IFS(
HRData[[#This Row],[MonthlyIncome]]&lt;=4000,"Very Low Income",
HRData[[#This Row],[MonthlyIncome]]&lt;=8000,"Low Income",
HRData[[#This Row],[MonthlyIncome]]&lt;=12000,"Moderate Income",
HRData[[#This Row],[MonthlyIncome]]&lt;=16000,"High Income",
HRData[[#This Row],[MonthlyIncome]]&gt;16000,"Very High Income"
)</f>
        <v>Very Low Income</v>
      </c>
      <c r="Y136">
        <v>8916</v>
      </c>
      <c r="Z136">
        <v>1</v>
      </c>
      <c r="AA136" t="s">
        <v>42</v>
      </c>
      <c r="AB136" t="s">
        <v>43</v>
      </c>
      <c r="AC136">
        <v>23</v>
      </c>
      <c r="AD136" t="str" cm="1">
        <f t="array" ref="AD136">_xlfn.IFS(HRData[[#This Row],[PercentSalaryHike]]&lt;=15,"11-15",HRData[[#This Row],[PercentSalaryHike]]&lt;=20,"16-20",HRData[[#This Row],[PercentSalaryHike]]&gt;=21,"21+")</f>
        <v>21+</v>
      </c>
      <c r="AE136">
        <v>4</v>
      </c>
      <c r="AF136">
        <v>4</v>
      </c>
      <c r="AG136">
        <v>80</v>
      </c>
      <c r="AH136">
        <v>1</v>
      </c>
      <c r="AI136">
        <v>8</v>
      </c>
      <c r="AJ136">
        <v>3</v>
      </c>
      <c r="AK136">
        <v>3</v>
      </c>
      <c r="AL136">
        <v>8</v>
      </c>
      <c r="AM136">
        <v>7</v>
      </c>
      <c r="AN136">
        <v>5</v>
      </c>
      <c r="AO136">
        <v>7</v>
      </c>
      <c r="AP13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36" t="str">
        <f>IF(HRData[[#This Row],[Attrition]]="Yes","Left", IF(HRData[[#This Row],[Attrition_Risk_Score]]&gt;=6,"High",IF(HRData[[#This Row],[Attrition_Risk_Score]]&gt;=3,"Medium","Low")))</f>
        <v>Medium</v>
      </c>
      <c r="AR136" t="str">
        <f>IF(HRData[[#This Row],[Attrition_Risk_Level]]&lt;&gt;"High","",HRData[[#This Row],[Attrition_Risk_Score]]*10000-HRData[[#This Row],[EmployeeNumber]])</f>
        <v/>
      </c>
    </row>
    <row r="137" spans="1:44">
      <c r="A137">
        <v>36</v>
      </c>
      <c r="B137" t="str" cm="1">
        <f t="array" ref="B137">_xlfn.IFS(
HRData[[#This Row],[Age]]&lt;=24,"18-24",
HRData[[#This Row],[Age]]&lt;=34,"25-34",
HRData[[#This Row],[Age]]&lt;=44,"35-44",
HRData[[#This Row],[Age]]&lt;=54,"45-54",
HRData[[#This Row],[Age]]&gt;=55,"55+"
)</f>
        <v>35-44</v>
      </c>
      <c r="C137" t="s">
        <v>43</v>
      </c>
      <c r="D137">
        <f>IF(HRData[[#This Row],[Attrition]]="Yes",1,0)</f>
        <v>0</v>
      </c>
      <c r="E137" t="s">
        <v>36</v>
      </c>
      <c r="F137">
        <v>216</v>
      </c>
      <c r="G137" t="s">
        <v>45</v>
      </c>
      <c r="H137">
        <v>6</v>
      </c>
      <c r="I137">
        <v>2</v>
      </c>
      <c r="J137" t="s">
        <v>51</v>
      </c>
      <c r="K137">
        <v>1</v>
      </c>
      <c r="L137">
        <v>178</v>
      </c>
      <c r="M137">
        <v>2</v>
      </c>
      <c r="N137" t="str" cm="1">
        <f t="array" ref="N137">_xlfn.IFS(HRData[[#This Row],[EnvironmentSatisfaction]]=1,"Very Dissatisfied",
HRData[[#This Row],[EnvironmentSatisfaction]]=2,"Dissatisfied",
HRData[[#This Row],[EnvironmentSatisfaction]]=3,"Satisfied",
HRData[[#This Row],[EnvironmentSatisfaction]]=4,"Very Satisfied"
)</f>
        <v>Dissatisfied</v>
      </c>
      <c r="O137" t="s">
        <v>46</v>
      </c>
      <c r="P137">
        <v>84</v>
      </c>
      <c r="Q137">
        <v>3</v>
      </c>
      <c r="R137">
        <v>2</v>
      </c>
      <c r="S137" t="s">
        <v>53</v>
      </c>
      <c r="T137">
        <v>2</v>
      </c>
      <c r="U137" t="str" cm="1">
        <f t="array" ref="U137">_xlfn.IFS(
HRData[[#This Row],[JobSatisfaction]]=1,"Very Dissatisfied",
HRData[[#This Row],[JobSatisfaction]]=2,"Dissatisfied",
HRData[[#This Row],[JobSatisfaction]]=3,"Satisfied",
HRData[[#This Row],[JobSatisfaction]]=4,"Very Satisfied"
)</f>
        <v>Dissatisfied</v>
      </c>
      <c r="V137" t="s">
        <v>52</v>
      </c>
      <c r="W137">
        <v>4941</v>
      </c>
      <c r="X137" t="str" cm="1">
        <f t="array" ref="X137">_xlfn.IFS(
HRData[[#This Row],[MonthlyIncome]]&lt;=4000,"Very Low Income",
HRData[[#This Row],[MonthlyIncome]]&lt;=8000,"Low Income",
HRData[[#This Row],[MonthlyIncome]]&lt;=12000,"Moderate Income",
HRData[[#This Row],[MonthlyIncome]]&lt;=16000,"High Income",
HRData[[#This Row],[MonthlyIncome]]&gt;16000,"Very High Income"
)</f>
        <v>Low Income</v>
      </c>
      <c r="Y137">
        <v>2819</v>
      </c>
      <c r="Z137">
        <v>6</v>
      </c>
      <c r="AA137" t="s">
        <v>42</v>
      </c>
      <c r="AB137" t="s">
        <v>43</v>
      </c>
      <c r="AC137">
        <v>20</v>
      </c>
      <c r="AD137" t="str" cm="1">
        <f t="array" ref="AD137">_xlfn.IFS(HRData[[#This Row],[PercentSalaryHike]]&lt;=15,"11-15",HRData[[#This Row],[PercentSalaryHike]]&lt;=20,"16-20",HRData[[#This Row],[PercentSalaryHike]]&gt;=21,"21+")</f>
        <v>16-20</v>
      </c>
      <c r="AE137">
        <v>4</v>
      </c>
      <c r="AF137">
        <v>4</v>
      </c>
      <c r="AG137">
        <v>80</v>
      </c>
      <c r="AH137">
        <v>2</v>
      </c>
      <c r="AI137">
        <v>7</v>
      </c>
      <c r="AJ137">
        <v>0</v>
      </c>
      <c r="AK137">
        <v>3</v>
      </c>
      <c r="AL137">
        <v>3</v>
      </c>
      <c r="AM137">
        <v>2</v>
      </c>
      <c r="AN137">
        <v>0</v>
      </c>
      <c r="AO137">
        <v>1</v>
      </c>
      <c r="AP13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7" t="str">
        <f>IF(HRData[[#This Row],[Attrition]]="Yes","Left", IF(HRData[[#This Row],[Attrition_Risk_Score]]&gt;=6,"High",IF(HRData[[#This Row],[Attrition_Risk_Score]]&gt;=3,"Medium","Low")))</f>
        <v>Low</v>
      </c>
      <c r="AR137" t="str">
        <f>IF(HRData[[#This Row],[Attrition_Risk_Level]]&lt;&gt;"High","",HRData[[#This Row],[Attrition_Risk_Score]]*10000-HRData[[#This Row],[EmployeeNumber]])</f>
        <v/>
      </c>
    </row>
    <row r="138" spans="1:44">
      <c r="A138">
        <v>51</v>
      </c>
      <c r="B138" t="str" cm="1">
        <f t="array" ref="B138">_xlfn.IFS(
HRData[[#This Row],[Age]]&lt;=24,"18-24",
HRData[[#This Row],[Age]]&lt;=34,"25-34",
HRData[[#This Row],[Age]]&lt;=44,"35-44",
HRData[[#This Row],[Age]]&lt;=54,"45-54",
HRData[[#This Row],[Age]]&gt;=55,"55+"
)</f>
        <v>45-54</v>
      </c>
      <c r="C138" t="s">
        <v>35</v>
      </c>
      <c r="D138">
        <f>IF(HRData[[#This Row],[Attrition]]="Yes",1,0)</f>
        <v>1</v>
      </c>
      <c r="E138" t="s">
        <v>44</v>
      </c>
      <c r="F138">
        <v>1150</v>
      </c>
      <c r="G138" t="s">
        <v>45</v>
      </c>
      <c r="H138">
        <v>8</v>
      </c>
      <c r="I138">
        <v>4</v>
      </c>
      <c r="J138" t="s">
        <v>38</v>
      </c>
      <c r="K138">
        <v>1</v>
      </c>
      <c r="L138">
        <v>179</v>
      </c>
      <c r="M138">
        <v>1</v>
      </c>
      <c r="N138" t="str" cm="1">
        <f t="array" ref="N138">_xlfn.IFS(HRData[[#This Row],[EnvironmentSatisfaction]]=1,"Very Dissatisfied",
HRData[[#This Row],[EnvironmentSatisfaction]]=2,"Dissatisfied",
HRData[[#This Row],[EnvironmentSatisfaction]]=3,"Satisfied",
HRData[[#This Row],[EnvironmentSatisfaction]]=4,"Very Satisfied"
)</f>
        <v>Very Dissatisfied</v>
      </c>
      <c r="O138" t="s">
        <v>46</v>
      </c>
      <c r="P138">
        <v>53</v>
      </c>
      <c r="Q138">
        <v>1</v>
      </c>
      <c r="R138">
        <v>3</v>
      </c>
      <c r="S138" t="s">
        <v>53</v>
      </c>
      <c r="T138">
        <v>4</v>
      </c>
      <c r="U138" t="str" cm="1">
        <f t="array" ref="U138">_xlfn.IFS(
HRData[[#This Row],[JobSatisfaction]]=1,"Very Dissatisfied",
HRData[[#This Row],[JobSatisfaction]]=2,"Dissatisfied",
HRData[[#This Row],[JobSatisfaction]]=3,"Satisfied",
HRData[[#This Row],[JobSatisfaction]]=4,"Very Satisfied"
)</f>
        <v>Very Satisfied</v>
      </c>
      <c r="V138" t="s">
        <v>41</v>
      </c>
      <c r="W138">
        <v>10650</v>
      </c>
      <c r="X138" t="str" cm="1">
        <f t="array" ref="X138">_xlfn.IFS(
HRData[[#This Row],[MonthlyIncome]]&lt;=4000,"Very Low Income",
HRData[[#This Row],[MonthlyIncome]]&lt;=8000,"Low Income",
HRData[[#This Row],[MonthlyIncome]]&lt;=12000,"Moderate Income",
HRData[[#This Row],[MonthlyIncome]]&lt;=16000,"High Income",
HRData[[#This Row],[MonthlyIncome]]&gt;16000,"Very High Income"
)</f>
        <v>Moderate Income</v>
      </c>
      <c r="Y138">
        <v>25150</v>
      </c>
      <c r="Z138">
        <v>2</v>
      </c>
      <c r="AA138" t="s">
        <v>42</v>
      </c>
      <c r="AB138" t="s">
        <v>43</v>
      </c>
      <c r="AC138">
        <v>15</v>
      </c>
      <c r="AD138" t="str" cm="1">
        <f t="array" ref="AD138">_xlfn.IFS(HRData[[#This Row],[PercentSalaryHike]]&lt;=15,"11-15",HRData[[#This Row],[PercentSalaryHike]]&lt;=20,"16-20",HRData[[#This Row],[PercentSalaryHike]]&gt;=21,"21+")</f>
        <v>11-15</v>
      </c>
      <c r="AE138">
        <v>3</v>
      </c>
      <c r="AF138">
        <v>4</v>
      </c>
      <c r="AG138">
        <v>80</v>
      </c>
      <c r="AH138">
        <v>0</v>
      </c>
      <c r="AI138">
        <v>18</v>
      </c>
      <c r="AJ138">
        <v>2</v>
      </c>
      <c r="AK138">
        <v>3</v>
      </c>
      <c r="AL138">
        <v>4</v>
      </c>
      <c r="AM138">
        <v>2</v>
      </c>
      <c r="AN138">
        <v>0</v>
      </c>
      <c r="AO138">
        <v>3</v>
      </c>
      <c r="AP13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8" t="str">
        <f>IF(HRData[[#This Row],[Attrition]]="Yes","Left", IF(HRData[[#This Row],[Attrition_Risk_Score]]&gt;=6,"High",IF(HRData[[#This Row],[Attrition_Risk_Score]]&gt;=3,"Medium","Low")))</f>
        <v>Left</v>
      </c>
      <c r="AR138" t="str">
        <f>IF(HRData[[#This Row],[Attrition_Risk_Level]]&lt;&gt;"High","",HRData[[#This Row],[Attrition_Risk_Score]]*10000-HRData[[#This Row],[EmployeeNumber]])</f>
        <v/>
      </c>
    </row>
    <row r="139" spans="1:44">
      <c r="A139">
        <v>39</v>
      </c>
      <c r="B139" t="str" cm="1">
        <f t="array" ref="B139">_xlfn.IFS(
HRData[[#This Row],[Age]]&lt;=24,"18-24",
HRData[[#This Row],[Age]]&lt;=34,"25-34",
HRData[[#This Row],[Age]]&lt;=44,"35-44",
HRData[[#This Row],[Age]]&lt;=54,"45-54",
HRData[[#This Row],[Age]]&gt;=55,"55+"
)</f>
        <v>35-44</v>
      </c>
      <c r="C139" t="s">
        <v>43</v>
      </c>
      <c r="D139">
        <f>IF(HRData[[#This Row],[Attrition]]="Yes",1,0)</f>
        <v>0</v>
      </c>
      <c r="E139" t="s">
        <v>36</v>
      </c>
      <c r="F139">
        <v>1329</v>
      </c>
      <c r="G139" t="s">
        <v>37</v>
      </c>
      <c r="H139">
        <v>4</v>
      </c>
      <c r="I139">
        <v>4</v>
      </c>
      <c r="J139" t="s">
        <v>38</v>
      </c>
      <c r="K139">
        <v>1</v>
      </c>
      <c r="L139">
        <v>182</v>
      </c>
      <c r="M139">
        <v>4</v>
      </c>
      <c r="N139" t="str" cm="1">
        <f t="array" ref="N139">_xlfn.IFS(HRData[[#This Row],[EnvironmentSatisfaction]]=1,"Very Dissatisfied",
HRData[[#This Row],[EnvironmentSatisfaction]]=2,"Dissatisfied",
HRData[[#This Row],[EnvironmentSatisfaction]]=3,"Satisfied",
HRData[[#This Row],[EnvironmentSatisfaction]]=4,"Very Satisfied"
)</f>
        <v>Very Satisfied</v>
      </c>
      <c r="O139" t="s">
        <v>39</v>
      </c>
      <c r="P139">
        <v>47</v>
      </c>
      <c r="Q139">
        <v>2</v>
      </c>
      <c r="R139">
        <v>2</v>
      </c>
      <c r="S139" t="s">
        <v>40</v>
      </c>
      <c r="T139">
        <v>3</v>
      </c>
      <c r="U139" t="str" cm="1">
        <f t="array" ref="U139">_xlfn.IFS(
HRData[[#This Row],[JobSatisfaction]]=1,"Very Dissatisfied",
HRData[[#This Row],[JobSatisfaction]]=2,"Dissatisfied",
HRData[[#This Row],[JobSatisfaction]]=3,"Satisfied",
HRData[[#This Row],[JobSatisfaction]]=4,"Very Satisfied"
)</f>
        <v>Satisfied</v>
      </c>
      <c r="V139" t="s">
        <v>48</v>
      </c>
      <c r="W139">
        <v>5902</v>
      </c>
      <c r="X139" t="str" cm="1">
        <f t="array" ref="X139">_xlfn.IFS(
HRData[[#This Row],[MonthlyIncome]]&lt;=4000,"Very Low Income",
HRData[[#This Row],[MonthlyIncome]]&lt;=8000,"Low Income",
HRData[[#This Row],[MonthlyIncome]]&lt;=12000,"Moderate Income",
HRData[[#This Row],[MonthlyIncome]]&lt;=16000,"High Income",
HRData[[#This Row],[MonthlyIncome]]&gt;16000,"Very High Income"
)</f>
        <v>Low Income</v>
      </c>
      <c r="Y139">
        <v>14590</v>
      </c>
      <c r="Z139">
        <v>4</v>
      </c>
      <c r="AA139" t="s">
        <v>42</v>
      </c>
      <c r="AB139" t="s">
        <v>43</v>
      </c>
      <c r="AC139">
        <v>14</v>
      </c>
      <c r="AD139" t="str" cm="1">
        <f t="array" ref="AD139">_xlfn.IFS(HRData[[#This Row],[PercentSalaryHike]]&lt;=15,"11-15",HRData[[#This Row],[PercentSalaryHike]]&lt;=20,"16-20",HRData[[#This Row],[PercentSalaryHike]]&gt;=21,"21+")</f>
        <v>11-15</v>
      </c>
      <c r="AE139">
        <v>3</v>
      </c>
      <c r="AF139">
        <v>3</v>
      </c>
      <c r="AG139">
        <v>80</v>
      </c>
      <c r="AH139">
        <v>1</v>
      </c>
      <c r="AI139">
        <v>17</v>
      </c>
      <c r="AJ139">
        <v>1</v>
      </c>
      <c r="AK139">
        <v>4</v>
      </c>
      <c r="AL139">
        <v>15</v>
      </c>
      <c r="AM139">
        <v>11</v>
      </c>
      <c r="AN139">
        <v>5</v>
      </c>
      <c r="AO139">
        <v>9</v>
      </c>
      <c r="AP13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9" t="str">
        <f>IF(HRData[[#This Row],[Attrition]]="Yes","Left", IF(HRData[[#This Row],[Attrition_Risk_Score]]&gt;=6,"High",IF(HRData[[#This Row],[Attrition_Risk_Score]]&gt;=3,"Medium","Low")))</f>
        <v>Low</v>
      </c>
      <c r="AR139" t="str">
        <f>IF(HRData[[#This Row],[Attrition_Risk_Level]]&lt;&gt;"High","",HRData[[#This Row],[Attrition_Risk_Score]]*10000-HRData[[#This Row],[EmployeeNumber]])</f>
        <v/>
      </c>
    </row>
    <row r="140" spans="1:44">
      <c r="A140">
        <v>25</v>
      </c>
      <c r="B140" t="str" cm="1">
        <f t="array" ref="B140">_xlfn.IFS(
HRData[[#This Row],[Age]]&lt;=24,"18-24",
HRData[[#This Row],[Age]]&lt;=34,"25-34",
HRData[[#This Row],[Age]]&lt;=44,"35-44",
HRData[[#This Row],[Age]]&lt;=54,"45-54",
HRData[[#This Row],[Age]]&gt;=55,"55+"
)</f>
        <v>25-34</v>
      </c>
      <c r="C140" t="s">
        <v>43</v>
      </c>
      <c r="D140">
        <f>IF(HRData[[#This Row],[Attrition]]="Yes",1,0)</f>
        <v>0</v>
      </c>
      <c r="E140" t="s">
        <v>36</v>
      </c>
      <c r="F140">
        <v>959</v>
      </c>
      <c r="G140" t="s">
        <v>37</v>
      </c>
      <c r="H140">
        <v>28</v>
      </c>
      <c r="I140">
        <v>3</v>
      </c>
      <c r="J140" t="s">
        <v>38</v>
      </c>
      <c r="K140">
        <v>1</v>
      </c>
      <c r="L140">
        <v>183</v>
      </c>
      <c r="M140">
        <v>1</v>
      </c>
      <c r="N140" t="str" cm="1">
        <f t="array" ref="N140">_xlfn.IFS(HRData[[#This Row],[EnvironmentSatisfaction]]=1,"Very Dissatisfied",
HRData[[#This Row],[EnvironmentSatisfaction]]=2,"Dissatisfied",
HRData[[#This Row],[EnvironmentSatisfaction]]=3,"Satisfied",
HRData[[#This Row],[EnvironmentSatisfaction]]=4,"Very Satisfied"
)</f>
        <v>Very Dissatisfied</v>
      </c>
      <c r="O140" t="s">
        <v>46</v>
      </c>
      <c r="P140">
        <v>41</v>
      </c>
      <c r="Q140">
        <v>2</v>
      </c>
      <c r="R140">
        <v>2</v>
      </c>
      <c r="S140" t="s">
        <v>40</v>
      </c>
      <c r="T140">
        <v>3</v>
      </c>
      <c r="U140" t="str" cm="1">
        <f t="array" ref="U140">_xlfn.IFS(
HRData[[#This Row],[JobSatisfaction]]=1,"Very Dissatisfied",
HRData[[#This Row],[JobSatisfaction]]=2,"Dissatisfied",
HRData[[#This Row],[JobSatisfaction]]=3,"Satisfied",
HRData[[#This Row],[JobSatisfaction]]=4,"Very Satisfied"
)</f>
        <v>Satisfied</v>
      </c>
      <c r="V140" t="s">
        <v>48</v>
      </c>
      <c r="W140">
        <v>8639</v>
      </c>
      <c r="X140" t="str" cm="1">
        <f t="array" ref="X140">_xlfn.IFS(
HRData[[#This Row],[MonthlyIncome]]&lt;=4000,"Very Low Income",
HRData[[#This Row],[MonthlyIncome]]&lt;=8000,"Low Income",
HRData[[#This Row],[MonthlyIncome]]&lt;=12000,"Moderate Income",
HRData[[#This Row],[MonthlyIncome]]&lt;=16000,"High Income",
HRData[[#This Row],[MonthlyIncome]]&gt;16000,"Very High Income"
)</f>
        <v>Moderate Income</v>
      </c>
      <c r="Y140">
        <v>24835</v>
      </c>
      <c r="Z140">
        <v>2</v>
      </c>
      <c r="AA140" t="s">
        <v>42</v>
      </c>
      <c r="AB140" t="s">
        <v>43</v>
      </c>
      <c r="AC140">
        <v>18</v>
      </c>
      <c r="AD140" t="str" cm="1">
        <f t="array" ref="AD140">_xlfn.IFS(HRData[[#This Row],[PercentSalaryHike]]&lt;=15,"11-15",HRData[[#This Row],[PercentSalaryHike]]&lt;=20,"16-20",HRData[[#This Row],[PercentSalaryHike]]&gt;=21,"21+")</f>
        <v>16-20</v>
      </c>
      <c r="AE140">
        <v>3</v>
      </c>
      <c r="AF140">
        <v>4</v>
      </c>
      <c r="AG140">
        <v>80</v>
      </c>
      <c r="AH140">
        <v>0</v>
      </c>
      <c r="AI140">
        <v>6</v>
      </c>
      <c r="AJ140">
        <v>3</v>
      </c>
      <c r="AK140">
        <v>3</v>
      </c>
      <c r="AL140">
        <v>2</v>
      </c>
      <c r="AM140">
        <v>2</v>
      </c>
      <c r="AN140">
        <v>2</v>
      </c>
      <c r="AO140">
        <v>2</v>
      </c>
      <c r="AP14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0" t="str">
        <f>IF(HRData[[#This Row],[Attrition]]="Yes","Left", IF(HRData[[#This Row],[Attrition_Risk_Score]]&gt;=6,"High",IF(HRData[[#This Row],[Attrition_Risk_Score]]&gt;=3,"Medium","Low")))</f>
        <v>Low</v>
      </c>
      <c r="AR140" t="str">
        <f>IF(HRData[[#This Row],[Attrition_Risk_Level]]&lt;&gt;"High","",HRData[[#This Row],[Attrition_Risk_Score]]*10000-HRData[[#This Row],[EmployeeNumber]])</f>
        <v/>
      </c>
    </row>
    <row r="141" spans="1:44">
      <c r="A141">
        <v>30</v>
      </c>
      <c r="B141" t="str" cm="1">
        <f t="array" ref="B141">_xlfn.IFS(
HRData[[#This Row],[Age]]&lt;=24,"18-24",
HRData[[#This Row],[Age]]&lt;=34,"25-34",
HRData[[#This Row],[Age]]&lt;=44,"35-44",
HRData[[#This Row],[Age]]&lt;=54,"45-54",
HRData[[#This Row],[Age]]&gt;=55,"55+"
)</f>
        <v>25-34</v>
      </c>
      <c r="C141" t="s">
        <v>43</v>
      </c>
      <c r="D141">
        <f>IF(HRData[[#This Row],[Attrition]]="Yes",1,0)</f>
        <v>0</v>
      </c>
      <c r="E141" t="s">
        <v>36</v>
      </c>
      <c r="F141">
        <v>1240</v>
      </c>
      <c r="G141" t="s">
        <v>61</v>
      </c>
      <c r="H141">
        <v>9</v>
      </c>
      <c r="I141">
        <v>3</v>
      </c>
      <c r="J141" t="s">
        <v>61</v>
      </c>
      <c r="K141">
        <v>1</v>
      </c>
      <c r="L141">
        <v>184</v>
      </c>
      <c r="M141">
        <v>3</v>
      </c>
      <c r="N141" t="str" cm="1">
        <f t="array" ref="N141">_xlfn.IFS(HRData[[#This Row],[EnvironmentSatisfaction]]=1,"Very Dissatisfied",
HRData[[#This Row],[EnvironmentSatisfaction]]=2,"Dissatisfied",
HRData[[#This Row],[EnvironmentSatisfaction]]=3,"Satisfied",
HRData[[#This Row],[EnvironmentSatisfaction]]=4,"Very Satisfied"
)</f>
        <v>Satisfied</v>
      </c>
      <c r="O141" t="s">
        <v>46</v>
      </c>
      <c r="P141">
        <v>48</v>
      </c>
      <c r="Q141">
        <v>3</v>
      </c>
      <c r="R141">
        <v>2</v>
      </c>
      <c r="S141" t="s">
        <v>61</v>
      </c>
      <c r="T141">
        <v>4</v>
      </c>
      <c r="U141" t="str" cm="1">
        <f t="array" ref="U141">_xlfn.IFS(
HRData[[#This Row],[JobSatisfaction]]=1,"Very Dissatisfied",
HRData[[#This Row],[JobSatisfaction]]=2,"Dissatisfied",
HRData[[#This Row],[JobSatisfaction]]=3,"Satisfied",
HRData[[#This Row],[JobSatisfaction]]=4,"Very Satisfied"
)</f>
        <v>Very Satisfied</v>
      </c>
      <c r="V141" t="s">
        <v>48</v>
      </c>
      <c r="W141">
        <v>6347</v>
      </c>
      <c r="X141" t="str" cm="1">
        <f t="array" ref="X141">_xlfn.IFS(
HRData[[#This Row],[MonthlyIncome]]&lt;=4000,"Very Low Income",
HRData[[#This Row],[MonthlyIncome]]&lt;=8000,"Low Income",
HRData[[#This Row],[MonthlyIncome]]&lt;=12000,"Moderate Income",
HRData[[#This Row],[MonthlyIncome]]&lt;=16000,"High Income",
HRData[[#This Row],[MonthlyIncome]]&gt;16000,"Very High Income"
)</f>
        <v>Low Income</v>
      </c>
      <c r="Y141">
        <v>13982</v>
      </c>
      <c r="Z141">
        <v>0</v>
      </c>
      <c r="AA141" t="s">
        <v>42</v>
      </c>
      <c r="AB141" t="s">
        <v>35</v>
      </c>
      <c r="AC141">
        <v>19</v>
      </c>
      <c r="AD141" t="str" cm="1">
        <f t="array" ref="AD141">_xlfn.IFS(HRData[[#This Row],[PercentSalaryHike]]&lt;=15,"11-15",HRData[[#This Row],[PercentSalaryHike]]&lt;=20,"16-20",HRData[[#This Row],[PercentSalaryHike]]&gt;=21,"21+")</f>
        <v>16-20</v>
      </c>
      <c r="AE141">
        <v>3</v>
      </c>
      <c r="AF141">
        <v>4</v>
      </c>
      <c r="AG141">
        <v>80</v>
      </c>
      <c r="AH141">
        <v>0</v>
      </c>
      <c r="AI141">
        <v>12</v>
      </c>
      <c r="AJ141">
        <v>2</v>
      </c>
      <c r="AK141">
        <v>1</v>
      </c>
      <c r="AL141">
        <v>11</v>
      </c>
      <c r="AM141">
        <v>9</v>
      </c>
      <c r="AN141">
        <v>4</v>
      </c>
      <c r="AO141">
        <v>7</v>
      </c>
      <c r="AP14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41" t="str">
        <f>IF(HRData[[#This Row],[Attrition]]="Yes","Left", IF(HRData[[#This Row],[Attrition_Risk_Score]]&gt;=6,"High",IF(HRData[[#This Row],[Attrition_Risk_Score]]&gt;=3,"Medium","Low")))</f>
        <v>Medium</v>
      </c>
      <c r="AR141" t="str">
        <f>IF(HRData[[#This Row],[Attrition_Risk_Level]]&lt;&gt;"High","",HRData[[#This Row],[Attrition_Risk_Score]]*10000-HRData[[#This Row],[EmployeeNumber]])</f>
        <v/>
      </c>
    </row>
    <row r="142" spans="1:44">
      <c r="A142">
        <v>32</v>
      </c>
      <c r="B142" t="str" cm="1">
        <f t="array" ref="B142">_xlfn.IFS(
HRData[[#This Row],[Age]]&lt;=24,"18-24",
HRData[[#This Row],[Age]]&lt;=34,"25-34",
HRData[[#This Row],[Age]]&lt;=44,"35-44",
HRData[[#This Row],[Age]]&lt;=54,"45-54",
HRData[[#This Row],[Age]]&gt;=55,"55+"
)</f>
        <v>25-34</v>
      </c>
      <c r="C142" t="s">
        <v>35</v>
      </c>
      <c r="D142">
        <f>IF(HRData[[#This Row],[Attrition]]="Yes",1,0)</f>
        <v>1</v>
      </c>
      <c r="E142" t="s">
        <v>36</v>
      </c>
      <c r="F142">
        <v>1033</v>
      </c>
      <c r="G142" t="s">
        <v>45</v>
      </c>
      <c r="H142">
        <v>9</v>
      </c>
      <c r="I142">
        <v>3</v>
      </c>
      <c r="J142" t="s">
        <v>51</v>
      </c>
      <c r="K142">
        <v>1</v>
      </c>
      <c r="L142">
        <v>190</v>
      </c>
      <c r="M142">
        <v>1</v>
      </c>
      <c r="N142" t="str" cm="1">
        <f t="array" ref="N142">_xlfn.IFS(HRData[[#This Row],[EnvironmentSatisfaction]]=1,"Very Dissatisfied",
HRData[[#This Row],[EnvironmentSatisfaction]]=2,"Dissatisfied",
HRData[[#This Row],[EnvironmentSatisfaction]]=3,"Satisfied",
HRData[[#This Row],[EnvironmentSatisfaction]]=4,"Very Satisfied"
)</f>
        <v>Very Dissatisfied</v>
      </c>
      <c r="O142" t="s">
        <v>39</v>
      </c>
      <c r="P142">
        <v>41</v>
      </c>
      <c r="Q142">
        <v>3</v>
      </c>
      <c r="R142">
        <v>1</v>
      </c>
      <c r="S142" t="s">
        <v>50</v>
      </c>
      <c r="T142">
        <v>1</v>
      </c>
      <c r="U142" t="str" cm="1">
        <f t="array" ref="U142">_xlfn.IFS(
HRData[[#This Row],[JobSatisfaction]]=1,"Very Dissatisfied",
HRData[[#This Row],[JobSatisfaction]]=2,"Dissatisfied",
HRData[[#This Row],[JobSatisfaction]]=3,"Satisfied",
HRData[[#This Row],[JobSatisfaction]]=4,"Very Satisfied"
)</f>
        <v>Very Dissatisfied</v>
      </c>
      <c r="V142" t="s">
        <v>41</v>
      </c>
      <c r="W142">
        <v>4200</v>
      </c>
      <c r="X142" t="str" cm="1">
        <f t="array" ref="X142">_xlfn.IFS(
HRData[[#This Row],[MonthlyIncome]]&lt;=4000,"Very Low Income",
HRData[[#This Row],[MonthlyIncome]]&lt;=8000,"Low Income",
HRData[[#This Row],[MonthlyIncome]]&lt;=12000,"Moderate Income",
HRData[[#This Row],[MonthlyIncome]]&lt;=16000,"High Income",
HRData[[#This Row],[MonthlyIncome]]&gt;16000,"Very High Income"
)</f>
        <v>Low Income</v>
      </c>
      <c r="Y142">
        <v>10224</v>
      </c>
      <c r="Z142">
        <v>7</v>
      </c>
      <c r="AA142" t="s">
        <v>42</v>
      </c>
      <c r="AB142" t="s">
        <v>43</v>
      </c>
      <c r="AC142">
        <v>22</v>
      </c>
      <c r="AD142" t="str" cm="1">
        <f t="array" ref="AD142">_xlfn.IFS(HRData[[#This Row],[PercentSalaryHike]]&lt;=15,"11-15",HRData[[#This Row],[PercentSalaryHike]]&lt;=20,"16-20",HRData[[#This Row],[PercentSalaryHike]]&gt;=21,"21+")</f>
        <v>21+</v>
      </c>
      <c r="AE142">
        <v>4</v>
      </c>
      <c r="AF142">
        <v>1</v>
      </c>
      <c r="AG142">
        <v>80</v>
      </c>
      <c r="AH142">
        <v>0</v>
      </c>
      <c r="AI142">
        <v>10</v>
      </c>
      <c r="AJ142">
        <v>2</v>
      </c>
      <c r="AK142">
        <v>4</v>
      </c>
      <c r="AL142">
        <v>5</v>
      </c>
      <c r="AM142">
        <v>4</v>
      </c>
      <c r="AN142">
        <v>0</v>
      </c>
      <c r="AO142">
        <v>4</v>
      </c>
      <c r="AP14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42" t="str">
        <f>IF(HRData[[#This Row],[Attrition]]="Yes","Left", IF(HRData[[#This Row],[Attrition_Risk_Score]]&gt;=6,"High",IF(HRData[[#This Row],[Attrition_Risk_Score]]&gt;=3,"Medium","Low")))</f>
        <v>Left</v>
      </c>
      <c r="AR142" t="str">
        <f>IF(HRData[[#This Row],[Attrition_Risk_Level]]&lt;&gt;"High","",HRData[[#This Row],[Attrition_Risk_Score]]*10000-HRData[[#This Row],[EmployeeNumber]])</f>
        <v/>
      </c>
    </row>
    <row r="143" spans="1:44">
      <c r="A143">
        <v>45</v>
      </c>
      <c r="B143" t="str" cm="1">
        <f t="array" ref="B143">_xlfn.IFS(
HRData[[#This Row],[Age]]&lt;=24,"18-24",
HRData[[#This Row],[Age]]&lt;=34,"25-34",
HRData[[#This Row],[Age]]&lt;=44,"35-44",
HRData[[#This Row],[Age]]&lt;=54,"45-54",
HRData[[#This Row],[Age]]&gt;=55,"55+"
)</f>
        <v>45-54</v>
      </c>
      <c r="C143" t="s">
        <v>43</v>
      </c>
      <c r="D143">
        <f>IF(HRData[[#This Row],[Attrition]]="Yes",1,0)</f>
        <v>0</v>
      </c>
      <c r="E143" t="s">
        <v>36</v>
      </c>
      <c r="F143">
        <v>1316</v>
      </c>
      <c r="G143" t="s">
        <v>45</v>
      </c>
      <c r="H143">
        <v>29</v>
      </c>
      <c r="I143">
        <v>3</v>
      </c>
      <c r="J143" t="s">
        <v>51</v>
      </c>
      <c r="K143">
        <v>1</v>
      </c>
      <c r="L143">
        <v>192</v>
      </c>
      <c r="M143">
        <v>3</v>
      </c>
      <c r="N143" t="str" cm="1">
        <f t="array" ref="N143">_xlfn.IFS(HRData[[#This Row],[EnvironmentSatisfaction]]=1,"Very Dissatisfied",
HRData[[#This Row],[EnvironmentSatisfaction]]=2,"Dissatisfied",
HRData[[#This Row],[EnvironmentSatisfaction]]=3,"Satisfied",
HRData[[#This Row],[EnvironmentSatisfaction]]=4,"Very Satisfied"
)</f>
        <v>Satisfied</v>
      </c>
      <c r="O143" t="s">
        <v>46</v>
      </c>
      <c r="P143">
        <v>83</v>
      </c>
      <c r="Q143">
        <v>3</v>
      </c>
      <c r="R143">
        <v>1</v>
      </c>
      <c r="S143" t="s">
        <v>47</v>
      </c>
      <c r="T143">
        <v>4</v>
      </c>
      <c r="U143" t="str" cm="1">
        <f t="array" ref="U143">_xlfn.IFS(
HRData[[#This Row],[JobSatisfaction]]=1,"Very Dissatisfied",
HRData[[#This Row],[JobSatisfaction]]=2,"Dissatisfied",
HRData[[#This Row],[JobSatisfaction]]=3,"Satisfied",
HRData[[#This Row],[JobSatisfaction]]=4,"Very Satisfied"
)</f>
        <v>Very Satisfied</v>
      </c>
      <c r="V143" t="s">
        <v>41</v>
      </c>
      <c r="W143">
        <v>3452</v>
      </c>
      <c r="X143" t="str" cm="1">
        <f t="array" ref="X143">_xlfn.IFS(
HRData[[#This Row],[MonthlyIncome]]&lt;=4000,"Very Low Income",
HRData[[#This Row],[MonthlyIncome]]&lt;=8000,"Low Income",
HRData[[#This Row],[MonthlyIncome]]&lt;=12000,"Moderate Income",
HRData[[#This Row],[MonthlyIncome]]&lt;=16000,"High Income",
HRData[[#This Row],[MonthlyIncome]]&gt;16000,"Very High Income"
)</f>
        <v>Very Low Income</v>
      </c>
      <c r="Y143">
        <v>9752</v>
      </c>
      <c r="Z143">
        <v>5</v>
      </c>
      <c r="AA143" t="s">
        <v>42</v>
      </c>
      <c r="AB143" t="s">
        <v>43</v>
      </c>
      <c r="AC143">
        <v>13</v>
      </c>
      <c r="AD143" t="str" cm="1">
        <f t="array" ref="AD143">_xlfn.IFS(HRData[[#This Row],[PercentSalaryHike]]&lt;=15,"11-15",HRData[[#This Row],[PercentSalaryHike]]&lt;=20,"16-20",HRData[[#This Row],[PercentSalaryHike]]&gt;=21,"21+")</f>
        <v>11-15</v>
      </c>
      <c r="AE143">
        <v>3</v>
      </c>
      <c r="AF143">
        <v>2</v>
      </c>
      <c r="AG143">
        <v>80</v>
      </c>
      <c r="AH143">
        <v>0</v>
      </c>
      <c r="AI143">
        <v>9</v>
      </c>
      <c r="AJ143">
        <v>2</v>
      </c>
      <c r="AK143">
        <v>2</v>
      </c>
      <c r="AL143">
        <v>6</v>
      </c>
      <c r="AM143">
        <v>5</v>
      </c>
      <c r="AN143">
        <v>0</v>
      </c>
      <c r="AO143">
        <v>3</v>
      </c>
      <c r="AP14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43" t="str">
        <f>IF(HRData[[#This Row],[Attrition]]="Yes","Left", IF(HRData[[#This Row],[Attrition_Risk_Score]]&gt;=6,"High",IF(HRData[[#This Row],[Attrition_Risk_Score]]&gt;=3,"Medium","Low")))</f>
        <v>Low</v>
      </c>
      <c r="AR143" t="str">
        <f>IF(HRData[[#This Row],[Attrition_Risk_Level]]&lt;&gt;"High","",HRData[[#This Row],[Attrition_Risk_Score]]*10000-HRData[[#This Row],[EmployeeNumber]])</f>
        <v/>
      </c>
    </row>
    <row r="144" spans="1:44">
      <c r="A144">
        <v>38</v>
      </c>
      <c r="B144" t="str" cm="1">
        <f t="array" ref="B144">_xlfn.IFS(
HRData[[#This Row],[Age]]&lt;=24,"18-24",
HRData[[#This Row],[Age]]&lt;=34,"25-34",
HRData[[#This Row],[Age]]&lt;=44,"35-44",
HRData[[#This Row],[Age]]&lt;=54,"45-54",
HRData[[#This Row],[Age]]&gt;=55,"55+"
)</f>
        <v>35-44</v>
      </c>
      <c r="C144" t="s">
        <v>43</v>
      </c>
      <c r="D144">
        <f>IF(HRData[[#This Row],[Attrition]]="Yes",1,0)</f>
        <v>0</v>
      </c>
      <c r="E144" t="s">
        <v>36</v>
      </c>
      <c r="F144">
        <v>364</v>
      </c>
      <c r="G144" t="s">
        <v>45</v>
      </c>
      <c r="H144">
        <v>3</v>
      </c>
      <c r="I144">
        <v>5</v>
      </c>
      <c r="J144" t="s">
        <v>60</v>
      </c>
      <c r="K144">
        <v>1</v>
      </c>
      <c r="L144">
        <v>193</v>
      </c>
      <c r="M144">
        <v>4</v>
      </c>
      <c r="N144" t="str" cm="1">
        <f t="array" ref="N144">_xlfn.IFS(HRData[[#This Row],[EnvironmentSatisfaction]]=1,"Very Dissatisfied",
HRData[[#This Row],[EnvironmentSatisfaction]]=2,"Dissatisfied",
HRData[[#This Row],[EnvironmentSatisfaction]]=3,"Satisfied",
HRData[[#This Row],[EnvironmentSatisfaction]]=4,"Very Satisfied"
)</f>
        <v>Very Satisfied</v>
      </c>
      <c r="O144" t="s">
        <v>39</v>
      </c>
      <c r="P144">
        <v>32</v>
      </c>
      <c r="Q144">
        <v>3</v>
      </c>
      <c r="R144">
        <v>2</v>
      </c>
      <c r="S144" t="s">
        <v>47</v>
      </c>
      <c r="T144">
        <v>3</v>
      </c>
      <c r="U144" t="str" cm="1">
        <f t="array" ref="U144">_xlfn.IFS(
HRData[[#This Row],[JobSatisfaction]]=1,"Very Dissatisfied",
HRData[[#This Row],[JobSatisfaction]]=2,"Dissatisfied",
HRData[[#This Row],[JobSatisfaction]]=3,"Satisfied",
HRData[[#This Row],[JobSatisfaction]]=4,"Very Satisfied"
)</f>
        <v>Satisfied</v>
      </c>
      <c r="V144" t="s">
        <v>41</v>
      </c>
      <c r="W144">
        <v>4317</v>
      </c>
      <c r="X144" t="str" cm="1">
        <f t="array" ref="X144">_xlfn.IFS(
HRData[[#This Row],[MonthlyIncome]]&lt;=4000,"Very Low Income",
HRData[[#This Row],[MonthlyIncome]]&lt;=8000,"Low Income",
HRData[[#This Row],[MonthlyIncome]]&lt;=12000,"Moderate Income",
HRData[[#This Row],[MonthlyIncome]]&lt;=16000,"High Income",
HRData[[#This Row],[MonthlyIncome]]&gt;16000,"Very High Income"
)</f>
        <v>Low Income</v>
      </c>
      <c r="Y144">
        <v>2302</v>
      </c>
      <c r="Z144">
        <v>3</v>
      </c>
      <c r="AA144" t="s">
        <v>42</v>
      </c>
      <c r="AB144" t="s">
        <v>35</v>
      </c>
      <c r="AC144">
        <v>20</v>
      </c>
      <c r="AD144" t="str" cm="1">
        <f t="array" ref="AD144">_xlfn.IFS(HRData[[#This Row],[PercentSalaryHike]]&lt;=15,"11-15",HRData[[#This Row],[PercentSalaryHike]]&lt;=20,"16-20",HRData[[#This Row],[PercentSalaryHike]]&gt;=21,"21+")</f>
        <v>16-20</v>
      </c>
      <c r="AE144">
        <v>4</v>
      </c>
      <c r="AF144">
        <v>2</v>
      </c>
      <c r="AG144">
        <v>80</v>
      </c>
      <c r="AH144">
        <v>0</v>
      </c>
      <c r="AI144">
        <v>19</v>
      </c>
      <c r="AJ144">
        <v>2</v>
      </c>
      <c r="AK144">
        <v>3</v>
      </c>
      <c r="AL144">
        <v>3</v>
      </c>
      <c r="AM144">
        <v>2</v>
      </c>
      <c r="AN144">
        <v>2</v>
      </c>
      <c r="AO144">
        <v>2</v>
      </c>
      <c r="AP14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44" t="str">
        <f>IF(HRData[[#This Row],[Attrition]]="Yes","Left", IF(HRData[[#This Row],[Attrition_Risk_Score]]&gt;=6,"High",IF(HRData[[#This Row],[Attrition_Risk_Score]]&gt;=3,"Medium","Low")))</f>
        <v>Medium</v>
      </c>
      <c r="AR144" t="str">
        <f>IF(HRData[[#This Row],[Attrition_Risk_Level]]&lt;&gt;"High","",HRData[[#This Row],[Attrition_Risk_Score]]*10000-HRData[[#This Row],[EmployeeNumber]])</f>
        <v/>
      </c>
    </row>
    <row r="145" spans="1:44">
      <c r="A145">
        <v>30</v>
      </c>
      <c r="B145" t="str" cm="1">
        <f t="array" ref="B145">_xlfn.IFS(
HRData[[#This Row],[Age]]&lt;=24,"18-24",
HRData[[#This Row],[Age]]&lt;=34,"25-34",
HRData[[#This Row],[Age]]&lt;=44,"35-44",
HRData[[#This Row],[Age]]&lt;=54,"45-54",
HRData[[#This Row],[Age]]&gt;=55,"55+"
)</f>
        <v>25-34</v>
      </c>
      <c r="C145" t="s">
        <v>43</v>
      </c>
      <c r="D145">
        <f>IF(HRData[[#This Row],[Attrition]]="Yes",1,0)</f>
        <v>0</v>
      </c>
      <c r="E145" t="s">
        <v>36</v>
      </c>
      <c r="F145">
        <v>438</v>
      </c>
      <c r="G145" t="s">
        <v>45</v>
      </c>
      <c r="H145">
        <v>18</v>
      </c>
      <c r="I145">
        <v>3</v>
      </c>
      <c r="J145" t="s">
        <v>38</v>
      </c>
      <c r="K145">
        <v>1</v>
      </c>
      <c r="L145">
        <v>194</v>
      </c>
      <c r="M145">
        <v>1</v>
      </c>
      <c r="N145" t="str" cm="1">
        <f t="array" ref="N145">_xlfn.IFS(HRData[[#This Row],[EnvironmentSatisfaction]]=1,"Very Dissatisfied",
HRData[[#This Row],[EnvironmentSatisfaction]]=2,"Dissatisfied",
HRData[[#This Row],[EnvironmentSatisfaction]]=3,"Satisfied",
HRData[[#This Row],[EnvironmentSatisfaction]]=4,"Very Satisfied"
)</f>
        <v>Very Dissatisfied</v>
      </c>
      <c r="O145" t="s">
        <v>39</v>
      </c>
      <c r="P145">
        <v>75</v>
      </c>
      <c r="Q145">
        <v>3</v>
      </c>
      <c r="R145">
        <v>1</v>
      </c>
      <c r="S145" t="s">
        <v>47</v>
      </c>
      <c r="T145">
        <v>3</v>
      </c>
      <c r="U145" t="str" cm="1">
        <f t="array" ref="U145">_xlfn.IFS(
HRData[[#This Row],[JobSatisfaction]]=1,"Very Dissatisfied",
HRData[[#This Row],[JobSatisfaction]]=2,"Dissatisfied",
HRData[[#This Row],[JobSatisfaction]]=3,"Satisfied",
HRData[[#This Row],[JobSatisfaction]]=4,"Very Satisfied"
)</f>
        <v>Satisfied</v>
      </c>
      <c r="V145" t="s">
        <v>41</v>
      </c>
      <c r="W145">
        <v>2632</v>
      </c>
      <c r="X145" t="str" cm="1">
        <f t="array" ref="X145">_xlfn.IFS(
HRData[[#This Row],[MonthlyIncome]]&lt;=4000,"Very Low Income",
HRData[[#This Row],[MonthlyIncome]]&lt;=8000,"Low Income",
HRData[[#This Row],[MonthlyIncome]]&lt;=12000,"Moderate Income",
HRData[[#This Row],[MonthlyIncome]]&lt;=16000,"High Income",
HRData[[#This Row],[MonthlyIncome]]&gt;16000,"Very High Income"
)</f>
        <v>Very Low Income</v>
      </c>
      <c r="Y145">
        <v>23910</v>
      </c>
      <c r="Z145">
        <v>1</v>
      </c>
      <c r="AA145" t="s">
        <v>42</v>
      </c>
      <c r="AB145" t="s">
        <v>43</v>
      </c>
      <c r="AC145">
        <v>14</v>
      </c>
      <c r="AD145" t="str" cm="1">
        <f t="array" ref="AD145">_xlfn.IFS(HRData[[#This Row],[PercentSalaryHike]]&lt;=15,"11-15",HRData[[#This Row],[PercentSalaryHike]]&lt;=20,"16-20",HRData[[#This Row],[PercentSalaryHike]]&gt;=21,"21+")</f>
        <v>11-15</v>
      </c>
      <c r="AE145">
        <v>3</v>
      </c>
      <c r="AF145">
        <v>3</v>
      </c>
      <c r="AG145">
        <v>80</v>
      </c>
      <c r="AH145">
        <v>0</v>
      </c>
      <c r="AI145">
        <v>5</v>
      </c>
      <c r="AJ145">
        <v>4</v>
      </c>
      <c r="AK145">
        <v>2</v>
      </c>
      <c r="AL145">
        <v>5</v>
      </c>
      <c r="AM145">
        <v>4</v>
      </c>
      <c r="AN145">
        <v>0</v>
      </c>
      <c r="AO145">
        <v>4</v>
      </c>
      <c r="AP14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45" t="str">
        <f>IF(HRData[[#This Row],[Attrition]]="Yes","Left", IF(HRData[[#This Row],[Attrition_Risk_Score]]&gt;=6,"High",IF(HRData[[#This Row],[Attrition_Risk_Score]]&gt;=3,"Medium","Low")))</f>
        <v>Medium</v>
      </c>
      <c r="AR145" t="str">
        <f>IF(HRData[[#This Row],[Attrition_Risk_Level]]&lt;&gt;"High","",HRData[[#This Row],[Attrition_Risk_Score]]*10000-HRData[[#This Row],[EmployeeNumber]])</f>
        <v/>
      </c>
    </row>
    <row r="146" spans="1:44">
      <c r="A146">
        <v>32</v>
      </c>
      <c r="B146" t="str" cm="1">
        <f t="array" ref="B146">_xlfn.IFS(
HRData[[#This Row],[Age]]&lt;=24,"18-24",
HRData[[#This Row],[Age]]&lt;=34,"25-34",
HRData[[#This Row],[Age]]&lt;=44,"35-44",
HRData[[#This Row],[Age]]&lt;=54,"45-54",
HRData[[#This Row],[Age]]&gt;=55,"55+"
)</f>
        <v>25-34</v>
      </c>
      <c r="C146" t="s">
        <v>43</v>
      </c>
      <c r="D146">
        <f>IF(HRData[[#This Row],[Attrition]]="Yes",1,0)</f>
        <v>0</v>
      </c>
      <c r="E146" t="s">
        <v>44</v>
      </c>
      <c r="F146">
        <v>689</v>
      </c>
      <c r="G146" t="s">
        <v>37</v>
      </c>
      <c r="H146">
        <v>9</v>
      </c>
      <c r="I146">
        <v>2</v>
      </c>
      <c r="J146" t="s">
        <v>51</v>
      </c>
      <c r="K146">
        <v>1</v>
      </c>
      <c r="L146">
        <v>195</v>
      </c>
      <c r="M146">
        <v>4</v>
      </c>
      <c r="N146" t="str" cm="1">
        <f t="array" ref="N146">_xlfn.IFS(HRData[[#This Row],[EnvironmentSatisfaction]]=1,"Very Dissatisfied",
HRData[[#This Row],[EnvironmentSatisfaction]]=2,"Dissatisfied",
HRData[[#This Row],[EnvironmentSatisfaction]]=3,"Satisfied",
HRData[[#This Row],[EnvironmentSatisfaction]]=4,"Very Satisfied"
)</f>
        <v>Very Satisfied</v>
      </c>
      <c r="O146" t="s">
        <v>46</v>
      </c>
      <c r="P146">
        <v>35</v>
      </c>
      <c r="Q146">
        <v>1</v>
      </c>
      <c r="R146">
        <v>2</v>
      </c>
      <c r="S146" t="s">
        <v>40</v>
      </c>
      <c r="T146">
        <v>4</v>
      </c>
      <c r="U146" t="str" cm="1">
        <f t="array" ref="U146">_xlfn.IFS(
HRData[[#This Row],[JobSatisfaction]]=1,"Very Dissatisfied",
HRData[[#This Row],[JobSatisfaction]]=2,"Dissatisfied",
HRData[[#This Row],[JobSatisfaction]]=3,"Satisfied",
HRData[[#This Row],[JobSatisfaction]]=4,"Very Satisfied"
)</f>
        <v>Very Satisfied</v>
      </c>
      <c r="V146" t="s">
        <v>52</v>
      </c>
      <c r="W146">
        <v>4668</v>
      </c>
      <c r="X146" t="str" cm="1">
        <f t="array" ref="X146">_xlfn.IFS(
HRData[[#This Row],[MonthlyIncome]]&lt;=4000,"Very Low Income",
HRData[[#This Row],[MonthlyIncome]]&lt;=8000,"Low Income",
HRData[[#This Row],[MonthlyIncome]]&lt;=12000,"Moderate Income",
HRData[[#This Row],[MonthlyIncome]]&lt;=16000,"High Income",
HRData[[#This Row],[MonthlyIncome]]&gt;16000,"Very High Income"
)</f>
        <v>Low Income</v>
      </c>
      <c r="Y146">
        <v>22812</v>
      </c>
      <c r="Z146">
        <v>0</v>
      </c>
      <c r="AA146" t="s">
        <v>42</v>
      </c>
      <c r="AB146" t="s">
        <v>43</v>
      </c>
      <c r="AC146">
        <v>17</v>
      </c>
      <c r="AD146" t="str" cm="1">
        <f t="array" ref="AD146">_xlfn.IFS(HRData[[#This Row],[PercentSalaryHike]]&lt;=15,"11-15",HRData[[#This Row],[PercentSalaryHike]]&lt;=20,"16-20",HRData[[#This Row],[PercentSalaryHike]]&gt;=21,"21+")</f>
        <v>16-20</v>
      </c>
      <c r="AE146">
        <v>3</v>
      </c>
      <c r="AF146">
        <v>4</v>
      </c>
      <c r="AG146">
        <v>80</v>
      </c>
      <c r="AH146">
        <v>3</v>
      </c>
      <c r="AI146">
        <v>9</v>
      </c>
      <c r="AJ146">
        <v>2</v>
      </c>
      <c r="AK146">
        <v>4</v>
      </c>
      <c r="AL146">
        <v>8</v>
      </c>
      <c r="AM146">
        <v>7</v>
      </c>
      <c r="AN146">
        <v>0</v>
      </c>
      <c r="AO146">
        <v>7</v>
      </c>
      <c r="AP14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46" t="str">
        <f>IF(HRData[[#This Row],[Attrition]]="Yes","Left", IF(HRData[[#This Row],[Attrition_Risk_Score]]&gt;=6,"High",IF(HRData[[#This Row],[Attrition_Risk_Score]]&gt;=3,"Medium","Low")))</f>
        <v>Low</v>
      </c>
      <c r="AR146" t="str">
        <f>IF(HRData[[#This Row],[Attrition_Risk_Level]]&lt;&gt;"High","",HRData[[#This Row],[Attrition_Risk_Score]]*10000-HRData[[#This Row],[EmployeeNumber]])</f>
        <v/>
      </c>
    </row>
    <row r="147" spans="1:44">
      <c r="A147">
        <v>30</v>
      </c>
      <c r="B147" t="str" cm="1">
        <f t="array" ref="B147">_xlfn.IFS(
HRData[[#This Row],[Age]]&lt;=24,"18-24",
HRData[[#This Row],[Age]]&lt;=34,"25-34",
HRData[[#This Row],[Age]]&lt;=44,"35-44",
HRData[[#This Row],[Age]]&lt;=54,"45-54",
HRData[[#This Row],[Age]]&gt;=55,"55+"
)</f>
        <v>25-34</v>
      </c>
      <c r="C147" t="s">
        <v>43</v>
      </c>
      <c r="D147">
        <f>IF(HRData[[#This Row],[Attrition]]="Yes",1,0)</f>
        <v>0</v>
      </c>
      <c r="E147" t="s">
        <v>36</v>
      </c>
      <c r="F147">
        <v>201</v>
      </c>
      <c r="G147" t="s">
        <v>45</v>
      </c>
      <c r="H147">
        <v>5</v>
      </c>
      <c r="I147">
        <v>3</v>
      </c>
      <c r="J147" t="s">
        <v>60</v>
      </c>
      <c r="K147">
        <v>1</v>
      </c>
      <c r="L147">
        <v>197</v>
      </c>
      <c r="M147">
        <v>4</v>
      </c>
      <c r="N147" t="str" cm="1">
        <f t="array" ref="N147">_xlfn.IFS(HRData[[#This Row],[EnvironmentSatisfaction]]=1,"Very Dissatisfied",
HRData[[#This Row],[EnvironmentSatisfaction]]=2,"Dissatisfied",
HRData[[#This Row],[EnvironmentSatisfaction]]=3,"Satisfied",
HRData[[#This Row],[EnvironmentSatisfaction]]=4,"Very Satisfied"
)</f>
        <v>Very Satisfied</v>
      </c>
      <c r="O147" t="s">
        <v>39</v>
      </c>
      <c r="P147">
        <v>84</v>
      </c>
      <c r="Q147">
        <v>3</v>
      </c>
      <c r="R147">
        <v>1</v>
      </c>
      <c r="S147" t="s">
        <v>47</v>
      </c>
      <c r="T147">
        <v>1</v>
      </c>
      <c r="U147" t="str" cm="1">
        <f t="array" ref="U147">_xlfn.IFS(
HRData[[#This Row],[JobSatisfaction]]=1,"Very Dissatisfied",
HRData[[#This Row],[JobSatisfaction]]=2,"Dissatisfied",
HRData[[#This Row],[JobSatisfaction]]=3,"Satisfied",
HRData[[#This Row],[JobSatisfaction]]=4,"Very Satisfied"
)</f>
        <v>Very Dissatisfied</v>
      </c>
      <c r="V147" t="s">
        <v>52</v>
      </c>
      <c r="W147">
        <v>3204</v>
      </c>
      <c r="X147" t="str" cm="1">
        <f t="array" ref="X147">_xlfn.IFS(
HRData[[#This Row],[MonthlyIncome]]&lt;=4000,"Very Low Income",
HRData[[#This Row],[MonthlyIncome]]&lt;=8000,"Low Income",
HRData[[#This Row],[MonthlyIncome]]&lt;=12000,"Moderate Income",
HRData[[#This Row],[MonthlyIncome]]&lt;=16000,"High Income",
HRData[[#This Row],[MonthlyIncome]]&gt;16000,"Very High Income"
)</f>
        <v>Very Low Income</v>
      </c>
      <c r="Y147">
        <v>10415</v>
      </c>
      <c r="Z147">
        <v>5</v>
      </c>
      <c r="AA147" t="s">
        <v>42</v>
      </c>
      <c r="AB147" t="s">
        <v>43</v>
      </c>
      <c r="AC147">
        <v>14</v>
      </c>
      <c r="AD147" t="str" cm="1">
        <f t="array" ref="AD147">_xlfn.IFS(HRData[[#This Row],[PercentSalaryHike]]&lt;=15,"11-15",HRData[[#This Row],[PercentSalaryHike]]&lt;=20,"16-20",HRData[[#This Row],[PercentSalaryHike]]&gt;=21,"21+")</f>
        <v>11-15</v>
      </c>
      <c r="AE147">
        <v>3</v>
      </c>
      <c r="AF147">
        <v>4</v>
      </c>
      <c r="AG147">
        <v>80</v>
      </c>
      <c r="AH147">
        <v>1</v>
      </c>
      <c r="AI147">
        <v>8</v>
      </c>
      <c r="AJ147">
        <v>3</v>
      </c>
      <c r="AK147">
        <v>3</v>
      </c>
      <c r="AL147">
        <v>3</v>
      </c>
      <c r="AM147">
        <v>2</v>
      </c>
      <c r="AN147">
        <v>2</v>
      </c>
      <c r="AO147">
        <v>2</v>
      </c>
      <c r="AP14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47" t="str">
        <f>IF(HRData[[#This Row],[Attrition]]="Yes","Left", IF(HRData[[#This Row],[Attrition_Risk_Score]]&gt;=6,"High",IF(HRData[[#This Row],[Attrition_Risk_Score]]&gt;=3,"Medium","Low")))</f>
        <v>Medium</v>
      </c>
      <c r="AR147" t="str">
        <f>IF(HRData[[#This Row],[Attrition_Risk_Level]]&lt;&gt;"High","",HRData[[#This Row],[Attrition_Risk_Score]]*10000-HRData[[#This Row],[EmployeeNumber]])</f>
        <v/>
      </c>
    </row>
    <row r="148" spans="1:44">
      <c r="A148">
        <v>30</v>
      </c>
      <c r="B148" t="str" cm="1">
        <f t="array" ref="B148">_xlfn.IFS(
HRData[[#This Row],[Age]]&lt;=24,"18-24",
HRData[[#This Row],[Age]]&lt;=34,"25-34",
HRData[[#This Row],[Age]]&lt;=44,"35-44",
HRData[[#This Row],[Age]]&lt;=54,"45-54",
HRData[[#This Row],[Age]]&gt;=55,"55+"
)</f>
        <v>25-34</v>
      </c>
      <c r="C148" t="s">
        <v>43</v>
      </c>
      <c r="D148">
        <f>IF(HRData[[#This Row],[Attrition]]="Yes",1,0)</f>
        <v>0</v>
      </c>
      <c r="E148" t="s">
        <v>36</v>
      </c>
      <c r="F148">
        <v>1427</v>
      </c>
      <c r="G148" t="s">
        <v>45</v>
      </c>
      <c r="H148">
        <v>2</v>
      </c>
      <c r="I148">
        <v>1</v>
      </c>
      <c r="J148" t="s">
        <v>51</v>
      </c>
      <c r="K148">
        <v>1</v>
      </c>
      <c r="L148">
        <v>198</v>
      </c>
      <c r="M148">
        <v>2</v>
      </c>
      <c r="N148" t="str" cm="1">
        <f t="array" ref="N148">_xlfn.IFS(HRData[[#This Row],[EnvironmentSatisfaction]]=1,"Very Dissatisfied",
HRData[[#This Row],[EnvironmentSatisfaction]]=2,"Dissatisfied",
HRData[[#This Row],[EnvironmentSatisfaction]]=3,"Satisfied",
HRData[[#This Row],[EnvironmentSatisfaction]]=4,"Very Satisfied"
)</f>
        <v>Dissatisfied</v>
      </c>
      <c r="O148" t="s">
        <v>46</v>
      </c>
      <c r="P148">
        <v>35</v>
      </c>
      <c r="Q148">
        <v>2</v>
      </c>
      <c r="R148">
        <v>1</v>
      </c>
      <c r="S148" t="s">
        <v>50</v>
      </c>
      <c r="T148">
        <v>4</v>
      </c>
      <c r="U148" t="str" cm="1">
        <f t="array" ref="U148">_xlfn.IFS(
HRData[[#This Row],[JobSatisfaction]]=1,"Very Dissatisfied",
HRData[[#This Row],[JobSatisfaction]]=2,"Dissatisfied",
HRData[[#This Row],[JobSatisfaction]]=3,"Satisfied",
HRData[[#This Row],[JobSatisfaction]]=4,"Very Satisfied"
)</f>
        <v>Very Satisfied</v>
      </c>
      <c r="V148" t="s">
        <v>41</v>
      </c>
      <c r="W148">
        <v>2720</v>
      </c>
      <c r="X148" t="str" cm="1">
        <f t="array" ref="X148">_xlfn.IFS(
HRData[[#This Row],[MonthlyIncome]]&lt;=4000,"Very Low Income",
HRData[[#This Row],[MonthlyIncome]]&lt;=8000,"Low Income",
HRData[[#This Row],[MonthlyIncome]]&lt;=12000,"Moderate Income",
HRData[[#This Row],[MonthlyIncome]]&lt;=16000,"High Income",
HRData[[#This Row],[MonthlyIncome]]&gt;16000,"Very High Income"
)</f>
        <v>Very Low Income</v>
      </c>
      <c r="Y148">
        <v>11162</v>
      </c>
      <c r="Z148">
        <v>0</v>
      </c>
      <c r="AA148" t="s">
        <v>42</v>
      </c>
      <c r="AB148" t="s">
        <v>43</v>
      </c>
      <c r="AC148">
        <v>13</v>
      </c>
      <c r="AD148" t="str" cm="1">
        <f t="array" ref="AD148">_xlfn.IFS(HRData[[#This Row],[PercentSalaryHike]]&lt;=15,"11-15",HRData[[#This Row],[PercentSalaryHike]]&lt;=20,"16-20",HRData[[#This Row],[PercentSalaryHike]]&gt;=21,"21+")</f>
        <v>11-15</v>
      </c>
      <c r="AE148">
        <v>3</v>
      </c>
      <c r="AF148">
        <v>4</v>
      </c>
      <c r="AG148">
        <v>80</v>
      </c>
      <c r="AH148">
        <v>0</v>
      </c>
      <c r="AI148">
        <v>6</v>
      </c>
      <c r="AJ148">
        <v>3</v>
      </c>
      <c r="AK148">
        <v>3</v>
      </c>
      <c r="AL148">
        <v>5</v>
      </c>
      <c r="AM148">
        <v>3</v>
      </c>
      <c r="AN148">
        <v>1</v>
      </c>
      <c r="AO148">
        <v>2</v>
      </c>
      <c r="AP14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48" t="str">
        <f>IF(HRData[[#This Row],[Attrition]]="Yes","Left", IF(HRData[[#This Row],[Attrition_Risk_Score]]&gt;=6,"High",IF(HRData[[#This Row],[Attrition_Risk_Score]]&gt;=3,"Medium","Low")))</f>
        <v>Medium</v>
      </c>
      <c r="AR148" t="str">
        <f>IF(HRData[[#This Row],[Attrition_Risk_Level]]&lt;&gt;"High","",HRData[[#This Row],[Attrition_Risk_Score]]*10000-HRData[[#This Row],[EmployeeNumber]])</f>
        <v/>
      </c>
    </row>
    <row r="149" spans="1:44">
      <c r="A149">
        <v>41</v>
      </c>
      <c r="B149" t="str" cm="1">
        <f t="array" ref="B149">_xlfn.IFS(
HRData[[#This Row],[Age]]&lt;=24,"18-24",
HRData[[#This Row],[Age]]&lt;=34,"25-34",
HRData[[#This Row],[Age]]&lt;=44,"35-44",
HRData[[#This Row],[Age]]&lt;=54,"45-54",
HRData[[#This Row],[Age]]&gt;=55,"55+"
)</f>
        <v>35-44</v>
      </c>
      <c r="C149" t="s">
        <v>43</v>
      </c>
      <c r="D149">
        <f>IF(HRData[[#This Row],[Attrition]]="Yes",1,0)</f>
        <v>0</v>
      </c>
      <c r="E149" t="s">
        <v>44</v>
      </c>
      <c r="F149">
        <v>857</v>
      </c>
      <c r="G149" t="s">
        <v>45</v>
      </c>
      <c r="H149">
        <v>10</v>
      </c>
      <c r="I149">
        <v>3</v>
      </c>
      <c r="J149" t="s">
        <v>38</v>
      </c>
      <c r="K149">
        <v>1</v>
      </c>
      <c r="L149">
        <v>199</v>
      </c>
      <c r="M149">
        <v>4</v>
      </c>
      <c r="N149" t="str" cm="1">
        <f t="array" ref="N149">_xlfn.IFS(HRData[[#This Row],[EnvironmentSatisfaction]]=1,"Very Dissatisfied",
HRData[[#This Row],[EnvironmentSatisfaction]]=2,"Dissatisfied",
HRData[[#This Row],[EnvironmentSatisfaction]]=3,"Satisfied",
HRData[[#This Row],[EnvironmentSatisfaction]]=4,"Very Satisfied"
)</f>
        <v>Very Satisfied</v>
      </c>
      <c r="O149" t="s">
        <v>46</v>
      </c>
      <c r="P149">
        <v>91</v>
      </c>
      <c r="Q149">
        <v>2</v>
      </c>
      <c r="R149">
        <v>4</v>
      </c>
      <c r="S149" t="s">
        <v>56</v>
      </c>
      <c r="T149">
        <v>1</v>
      </c>
      <c r="U149" t="str" cm="1">
        <f t="array" ref="U149">_xlfn.IFS(
HRData[[#This Row],[JobSatisfaction]]=1,"Very Dissatisfied",
HRData[[#This Row],[JobSatisfaction]]=2,"Dissatisfied",
HRData[[#This Row],[JobSatisfaction]]=3,"Satisfied",
HRData[[#This Row],[JobSatisfaction]]=4,"Very Satisfied"
)</f>
        <v>Very Dissatisfied</v>
      </c>
      <c r="V149" t="s">
        <v>52</v>
      </c>
      <c r="W149">
        <v>17181</v>
      </c>
      <c r="X149" t="str" cm="1">
        <f t="array" ref="X149">_xlfn.IFS(
HRData[[#This Row],[MonthlyIncome]]&lt;=4000,"Very Low Income",
HRData[[#This Row],[MonthlyIncome]]&lt;=8000,"Low Income",
HRData[[#This Row],[MonthlyIncome]]&lt;=12000,"Moderate Income",
HRData[[#This Row],[MonthlyIncome]]&lt;=16000,"High Income",
HRData[[#This Row],[MonthlyIncome]]&gt;16000,"Very High Income"
)</f>
        <v>Very High Income</v>
      </c>
      <c r="Y149">
        <v>12888</v>
      </c>
      <c r="Z149">
        <v>4</v>
      </c>
      <c r="AA149" t="s">
        <v>42</v>
      </c>
      <c r="AB149" t="s">
        <v>43</v>
      </c>
      <c r="AC149">
        <v>13</v>
      </c>
      <c r="AD149" t="str" cm="1">
        <f t="array" ref="AD149">_xlfn.IFS(HRData[[#This Row],[PercentSalaryHike]]&lt;=15,"11-15",HRData[[#This Row],[PercentSalaryHike]]&lt;=20,"16-20",HRData[[#This Row],[PercentSalaryHike]]&gt;=21,"21+")</f>
        <v>11-15</v>
      </c>
      <c r="AE149">
        <v>3</v>
      </c>
      <c r="AF149">
        <v>2</v>
      </c>
      <c r="AG149">
        <v>80</v>
      </c>
      <c r="AH149">
        <v>1</v>
      </c>
      <c r="AI149">
        <v>21</v>
      </c>
      <c r="AJ149">
        <v>2</v>
      </c>
      <c r="AK149">
        <v>2</v>
      </c>
      <c r="AL149">
        <v>7</v>
      </c>
      <c r="AM149">
        <v>6</v>
      </c>
      <c r="AN149">
        <v>7</v>
      </c>
      <c r="AO149">
        <v>7</v>
      </c>
      <c r="AP14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49" t="str">
        <f>IF(HRData[[#This Row],[Attrition]]="Yes","Left", IF(HRData[[#This Row],[Attrition_Risk_Score]]&gt;=6,"High",IF(HRData[[#This Row],[Attrition_Risk_Score]]&gt;=3,"Medium","Low")))</f>
        <v>Low</v>
      </c>
      <c r="AR149" t="str">
        <f>IF(HRData[[#This Row],[Attrition_Risk_Level]]&lt;&gt;"High","",HRData[[#This Row],[Attrition_Risk_Score]]*10000-HRData[[#This Row],[EmployeeNumber]])</f>
        <v/>
      </c>
    </row>
    <row r="150" spans="1:44">
      <c r="A150">
        <v>41</v>
      </c>
      <c r="B150" t="str" cm="1">
        <f t="array" ref="B150">_xlfn.IFS(
HRData[[#This Row],[Age]]&lt;=24,"18-24",
HRData[[#This Row],[Age]]&lt;=34,"25-34",
HRData[[#This Row],[Age]]&lt;=44,"35-44",
HRData[[#This Row],[Age]]&lt;=54,"45-54",
HRData[[#This Row],[Age]]&gt;=55,"55+"
)</f>
        <v>35-44</v>
      </c>
      <c r="C150" t="s">
        <v>43</v>
      </c>
      <c r="D150">
        <f>IF(HRData[[#This Row],[Attrition]]="Yes",1,0)</f>
        <v>0</v>
      </c>
      <c r="E150" t="s">
        <v>36</v>
      </c>
      <c r="F150">
        <v>933</v>
      </c>
      <c r="G150" t="s">
        <v>45</v>
      </c>
      <c r="H150">
        <v>9</v>
      </c>
      <c r="I150">
        <v>4</v>
      </c>
      <c r="J150" t="s">
        <v>38</v>
      </c>
      <c r="K150">
        <v>1</v>
      </c>
      <c r="L150">
        <v>200</v>
      </c>
      <c r="M150">
        <v>3</v>
      </c>
      <c r="N150" t="str" cm="1">
        <f t="array" ref="N150">_xlfn.IFS(HRData[[#This Row],[EnvironmentSatisfaction]]=1,"Very Dissatisfied",
HRData[[#This Row],[EnvironmentSatisfaction]]=2,"Dissatisfied",
HRData[[#This Row],[EnvironmentSatisfaction]]=3,"Satisfied",
HRData[[#This Row],[EnvironmentSatisfaction]]=4,"Very Satisfied"
)</f>
        <v>Satisfied</v>
      </c>
      <c r="O150" t="s">
        <v>46</v>
      </c>
      <c r="P150">
        <v>94</v>
      </c>
      <c r="Q150">
        <v>3</v>
      </c>
      <c r="R150">
        <v>1</v>
      </c>
      <c r="S150" t="s">
        <v>50</v>
      </c>
      <c r="T150">
        <v>1</v>
      </c>
      <c r="U150" t="str" cm="1">
        <f t="array" ref="U150">_xlfn.IFS(
HRData[[#This Row],[JobSatisfaction]]=1,"Very Dissatisfied",
HRData[[#This Row],[JobSatisfaction]]=2,"Dissatisfied",
HRData[[#This Row],[JobSatisfaction]]=3,"Satisfied",
HRData[[#This Row],[JobSatisfaction]]=4,"Very Satisfied"
)</f>
        <v>Very Dissatisfied</v>
      </c>
      <c r="V150" t="s">
        <v>48</v>
      </c>
      <c r="W150">
        <v>2238</v>
      </c>
      <c r="X150" t="str" cm="1">
        <f t="array" ref="X150">_xlfn.IFS(
HRData[[#This Row],[MonthlyIncome]]&lt;=4000,"Very Low Income",
HRData[[#This Row],[MonthlyIncome]]&lt;=8000,"Low Income",
HRData[[#This Row],[MonthlyIncome]]&lt;=12000,"Moderate Income",
HRData[[#This Row],[MonthlyIncome]]&lt;=16000,"High Income",
HRData[[#This Row],[MonthlyIncome]]&gt;16000,"Very High Income"
)</f>
        <v>Very Low Income</v>
      </c>
      <c r="Y150">
        <v>6961</v>
      </c>
      <c r="Z150">
        <v>2</v>
      </c>
      <c r="AA150" t="s">
        <v>42</v>
      </c>
      <c r="AB150" t="s">
        <v>43</v>
      </c>
      <c r="AC150">
        <v>21</v>
      </c>
      <c r="AD150" t="str" cm="1">
        <f t="array" ref="AD150">_xlfn.IFS(HRData[[#This Row],[PercentSalaryHike]]&lt;=15,"11-15",HRData[[#This Row],[PercentSalaryHike]]&lt;=20,"16-20",HRData[[#This Row],[PercentSalaryHike]]&gt;=21,"21+")</f>
        <v>21+</v>
      </c>
      <c r="AE150">
        <v>4</v>
      </c>
      <c r="AF150">
        <v>4</v>
      </c>
      <c r="AG150">
        <v>80</v>
      </c>
      <c r="AH150">
        <v>1</v>
      </c>
      <c r="AI150">
        <v>7</v>
      </c>
      <c r="AJ150">
        <v>2</v>
      </c>
      <c r="AK150">
        <v>3</v>
      </c>
      <c r="AL150">
        <v>5</v>
      </c>
      <c r="AM150">
        <v>0</v>
      </c>
      <c r="AN150">
        <v>1</v>
      </c>
      <c r="AO150">
        <v>4</v>
      </c>
      <c r="AP15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50" t="str">
        <f>IF(HRData[[#This Row],[Attrition]]="Yes","Left", IF(HRData[[#This Row],[Attrition_Risk_Score]]&gt;=6,"High",IF(HRData[[#This Row],[Attrition_Risk_Score]]&gt;=3,"Medium","Low")))</f>
        <v>Medium</v>
      </c>
      <c r="AR150" t="str">
        <f>IF(HRData[[#This Row],[Attrition_Risk_Level]]&lt;&gt;"High","",HRData[[#This Row],[Attrition_Risk_Score]]*10000-HRData[[#This Row],[EmployeeNumber]])</f>
        <v/>
      </c>
    </row>
    <row r="151" spans="1:44">
      <c r="A151">
        <v>19</v>
      </c>
      <c r="B151" t="str" cm="1">
        <f t="array" ref="B151">_xlfn.IFS(
HRData[[#This Row],[Age]]&lt;=24,"18-24",
HRData[[#This Row],[Age]]&lt;=34,"25-34",
HRData[[#This Row],[Age]]&lt;=44,"35-44",
HRData[[#This Row],[Age]]&lt;=54,"45-54",
HRData[[#This Row],[Age]]&gt;=55,"55+"
)</f>
        <v>18-24</v>
      </c>
      <c r="C151" t="s">
        <v>43</v>
      </c>
      <c r="D151">
        <f>IF(HRData[[#This Row],[Attrition]]="Yes",1,0)</f>
        <v>0</v>
      </c>
      <c r="E151" t="s">
        <v>36</v>
      </c>
      <c r="F151">
        <v>1181</v>
      </c>
      <c r="G151" t="s">
        <v>45</v>
      </c>
      <c r="H151">
        <v>3</v>
      </c>
      <c r="I151">
        <v>1</v>
      </c>
      <c r="J151" t="s">
        <v>51</v>
      </c>
      <c r="K151">
        <v>1</v>
      </c>
      <c r="L151">
        <v>201</v>
      </c>
      <c r="M151">
        <v>2</v>
      </c>
      <c r="N151" t="str" cm="1">
        <f t="array" ref="N151">_xlfn.IFS(HRData[[#This Row],[EnvironmentSatisfaction]]=1,"Very Dissatisfied",
HRData[[#This Row],[EnvironmentSatisfaction]]=2,"Dissatisfied",
HRData[[#This Row],[EnvironmentSatisfaction]]=3,"Satisfied",
HRData[[#This Row],[EnvironmentSatisfaction]]=4,"Very Satisfied"
)</f>
        <v>Dissatisfied</v>
      </c>
      <c r="O151" t="s">
        <v>39</v>
      </c>
      <c r="P151">
        <v>79</v>
      </c>
      <c r="Q151">
        <v>3</v>
      </c>
      <c r="R151">
        <v>1</v>
      </c>
      <c r="S151" t="s">
        <v>50</v>
      </c>
      <c r="T151">
        <v>2</v>
      </c>
      <c r="U151" t="str" cm="1">
        <f t="array" ref="U151">_xlfn.IFS(
HRData[[#This Row],[JobSatisfaction]]=1,"Very Dissatisfied",
HRData[[#This Row],[JobSatisfaction]]=2,"Dissatisfied",
HRData[[#This Row],[JobSatisfaction]]=3,"Satisfied",
HRData[[#This Row],[JobSatisfaction]]=4,"Very Satisfied"
)</f>
        <v>Dissatisfied</v>
      </c>
      <c r="V151" t="s">
        <v>41</v>
      </c>
      <c r="W151">
        <v>1483</v>
      </c>
      <c r="X151" t="str" cm="1">
        <f t="array" ref="X151">_xlfn.IFS(
HRData[[#This Row],[MonthlyIncome]]&lt;=4000,"Very Low Income",
HRData[[#This Row],[MonthlyIncome]]&lt;=8000,"Low Income",
HRData[[#This Row],[MonthlyIncome]]&lt;=12000,"Moderate Income",
HRData[[#This Row],[MonthlyIncome]]&lt;=16000,"High Income",
HRData[[#This Row],[MonthlyIncome]]&gt;16000,"Very High Income"
)</f>
        <v>Very Low Income</v>
      </c>
      <c r="Y151">
        <v>16102</v>
      </c>
      <c r="Z151">
        <v>1</v>
      </c>
      <c r="AA151" t="s">
        <v>42</v>
      </c>
      <c r="AB151" t="s">
        <v>43</v>
      </c>
      <c r="AC151">
        <v>14</v>
      </c>
      <c r="AD151" t="str" cm="1">
        <f t="array" ref="AD151">_xlfn.IFS(HRData[[#This Row],[PercentSalaryHike]]&lt;=15,"11-15",HRData[[#This Row],[PercentSalaryHike]]&lt;=20,"16-20",HRData[[#This Row],[PercentSalaryHike]]&gt;=21,"21+")</f>
        <v>11-15</v>
      </c>
      <c r="AE151">
        <v>3</v>
      </c>
      <c r="AF151">
        <v>4</v>
      </c>
      <c r="AG151">
        <v>80</v>
      </c>
      <c r="AH151">
        <v>0</v>
      </c>
      <c r="AI151">
        <v>1</v>
      </c>
      <c r="AJ151">
        <v>3</v>
      </c>
      <c r="AK151">
        <v>3</v>
      </c>
      <c r="AL151">
        <v>1</v>
      </c>
      <c r="AM151">
        <v>0</v>
      </c>
      <c r="AN151">
        <v>0</v>
      </c>
      <c r="AO151">
        <v>0</v>
      </c>
      <c r="AP15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51" t="str">
        <f>IF(HRData[[#This Row],[Attrition]]="Yes","Left", IF(HRData[[#This Row],[Attrition_Risk_Score]]&gt;=6,"High",IF(HRData[[#This Row],[Attrition_Risk_Score]]&gt;=3,"Medium","Low")))</f>
        <v>Medium</v>
      </c>
      <c r="AR151" t="str">
        <f>IF(HRData[[#This Row],[Attrition_Risk_Level]]&lt;&gt;"High","",HRData[[#This Row],[Attrition_Risk_Score]]*10000-HRData[[#This Row],[EmployeeNumber]])</f>
        <v/>
      </c>
    </row>
    <row r="152" spans="1:44">
      <c r="A152">
        <v>40</v>
      </c>
      <c r="B152" t="str" cm="1">
        <f t="array" ref="B152">_xlfn.IFS(
HRData[[#This Row],[Age]]&lt;=24,"18-24",
HRData[[#This Row],[Age]]&lt;=34,"25-34",
HRData[[#This Row],[Age]]&lt;=44,"35-44",
HRData[[#This Row],[Age]]&lt;=54,"45-54",
HRData[[#This Row],[Age]]&gt;=55,"55+"
)</f>
        <v>35-44</v>
      </c>
      <c r="C152" t="s">
        <v>43</v>
      </c>
      <c r="D152">
        <f>IF(HRData[[#This Row],[Attrition]]="Yes",1,0)</f>
        <v>0</v>
      </c>
      <c r="E152" t="s">
        <v>44</v>
      </c>
      <c r="F152">
        <v>1395</v>
      </c>
      <c r="G152" t="s">
        <v>45</v>
      </c>
      <c r="H152">
        <v>26</v>
      </c>
      <c r="I152">
        <v>3</v>
      </c>
      <c r="J152" t="s">
        <v>51</v>
      </c>
      <c r="K152">
        <v>1</v>
      </c>
      <c r="L152">
        <v>202</v>
      </c>
      <c r="M152">
        <v>2</v>
      </c>
      <c r="N152" t="str" cm="1">
        <f t="array" ref="N152">_xlfn.IFS(HRData[[#This Row],[EnvironmentSatisfaction]]=1,"Very Dissatisfied",
HRData[[#This Row],[EnvironmentSatisfaction]]=2,"Dissatisfied",
HRData[[#This Row],[EnvironmentSatisfaction]]=3,"Satisfied",
HRData[[#This Row],[EnvironmentSatisfaction]]=4,"Very Satisfied"
)</f>
        <v>Dissatisfied</v>
      </c>
      <c r="O152" t="s">
        <v>39</v>
      </c>
      <c r="P152">
        <v>54</v>
      </c>
      <c r="Q152">
        <v>3</v>
      </c>
      <c r="R152">
        <v>2</v>
      </c>
      <c r="S152" t="s">
        <v>47</v>
      </c>
      <c r="T152">
        <v>2</v>
      </c>
      <c r="U152" t="str" cm="1">
        <f t="array" ref="U152">_xlfn.IFS(
HRData[[#This Row],[JobSatisfaction]]=1,"Very Dissatisfied",
HRData[[#This Row],[JobSatisfaction]]=2,"Dissatisfied",
HRData[[#This Row],[JobSatisfaction]]=3,"Satisfied",
HRData[[#This Row],[JobSatisfaction]]=4,"Very Satisfied"
)</f>
        <v>Dissatisfied</v>
      </c>
      <c r="V152" t="s">
        <v>52</v>
      </c>
      <c r="W152">
        <v>5605</v>
      </c>
      <c r="X152" t="str" cm="1">
        <f t="array" ref="X152">_xlfn.IFS(
HRData[[#This Row],[MonthlyIncome]]&lt;=4000,"Very Low Income",
HRData[[#This Row],[MonthlyIncome]]&lt;=8000,"Low Income",
HRData[[#This Row],[MonthlyIncome]]&lt;=12000,"Moderate Income",
HRData[[#This Row],[MonthlyIncome]]&lt;=16000,"High Income",
HRData[[#This Row],[MonthlyIncome]]&gt;16000,"Very High Income"
)</f>
        <v>Low Income</v>
      </c>
      <c r="Y152">
        <v>8504</v>
      </c>
      <c r="Z152">
        <v>1</v>
      </c>
      <c r="AA152" t="s">
        <v>42</v>
      </c>
      <c r="AB152" t="s">
        <v>43</v>
      </c>
      <c r="AC152">
        <v>11</v>
      </c>
      <c r="AD152" t="str" cm="1">
        <f t="array" ref="AD152">_xlfn.IFS(HRData[[#This Row],[PercentSalaryHike]]&lt;=15,"11-15",HRData[[#This Row],[PercentSalaryHike]]&lt;=20,"16-20",HRData[[#This Row],[PercentSalaryHike]]&gt;=21,"21+")</f>
        <v>11-15</v>
      </c>
      <c r="AE152">
        <v>3</v>
      </c>
      <c r="AF152">
        <v>1</v>
      </c>
      <c r="AG152">
        <v>80</v>
      </c>
      <c r="AH152">
        <v>1</v>
      </c>
      <c r="AI152">
        <v>20</v>
      </c>
      <c r="AJ152">
        <v>2</v>
      </c>
      <c r="AK152">
        <v>3</v>
      </c>
      <c r="AL152">
        <v>20</v>
      </c>
      <c r="AM152">
        <v>7</v>
      </c>
      <c r="AN152">
        <v>2</v>
      </c>
      <c r="AO152">
        <v>13</v>
      </c>
      <c r="AP15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52" t="str">
        <f>IF(HRData[[#This Row],[Attrition]]="Yes","Left", IF(HRData[[#This Row],[Attrition_Risk_Score]]&gt;=6,"High",IF(HRData[[#This Row],[Attrition_Risk_Score]]&gt;=3,"Medium","Low")))</f>
        <v>Low</v>
      </c>
      <c r="AR152" t="str">
        <f>IF(HRData[[#This Row],[Attrition_Risk_Level]]&lt;&gt;"High","",HRData[[#This Row],[Attrition_Risk_Score]]*10000-HRData[[#This Row],[EmployeeNumber]])</f>
        <v/>
      </c>
    </row>
    <row r="153" spans="1:44">
      <c r="A153">
        <v>35</v>
      </c>
      <c r="B153" t="str" cm="1">
        <f t="array" ref="B153">_xlfn.IFS(
HRData[[#This Row],[Age]]&lt;=24,"18-24",
HRData[[#This Row],[Age]]&lt;=34,"25-34",
HRData[[#This Row],[Age]]&lt;=44,"35-44",
HRData[[#This Row],[Age]]&lt;=54,"45-54",
HRData[[#This Row],[Age]]&gt;=55,"55+"
)</f>
        <v>35-44</v>
      </c>
      <c r="C153" t="s">
        <v>43</v>
      </c>
      <c r="D153">
        <f>IF(HRData[[#This Row],[Attrition]]="Yes",1,0)</f>
        <v>0</v>
      </c>
      <c r="E153" t="s">
        <v>36</v>
      </c>
      <c r="F153">
        <v>662</v>
      </c>
      <c r="G153" t="s">
        <v>37</v>
      </c>
      <c r="H153">
        <v>1</v>
      </c>
      <c r="I153">
        <v>5</v>
      </c>
      <c r="J153" t="s">
        <v>59</v>
      </c>
      <c r="K153">
        <v>1</v>
      </c>
      <c r="L153">
        <v>204</v>
      </c>
      <c r="M153">
        <v>3</v>
      </c>
      <c r="N153" t="str" cm="1">
        <f t="array" ref="N153">_xlfn.IFS(HRData[[#This Row],[EnvironmentSatisfaction]]=1,"Very Dissatisfied",
HRData[[#This Row],[EnvironmentSatisfaction]]=2,"Dissatisfied",
HRData[[#This Row],[EnvironmentSatisfaction]]=3,"Satisfied",
HRData[[#This Row],[EnvironmentSatisfaction]]=4,"Very Satisfied"
)</f>
        <v>Satisfied</v>
      </c>
      <c r="O153" t="s">
        <v>46</v>
      </c>
      <c r="P153">
        <v>94</v>
      </c>
      <c r="Q153">
        <v>3</v>
      </c>
      <c r="R153">
        <v>3</v>
      </c>
      <c r="S153" t="s">
        <v>40</v>
      </c>
      <c r="T153">
        <v>2</v>
      </c>
      <c r="U153" t="str" cm="1">
        <f t="array" ref="U153">_xlfn.IFS(
HRData[[#This Row],[JobSatisfaction]]=1,"Very Dissatisfied",
HRData[[#This Row],[JobSatisfaction]]=2,"Dissatisfied",
HRData[[#This Row],[JobSatisfaction]]=3,"Satisfied",
HRData[[#This Row],[JobSatisfaction]]=4,"Very Satisfied"
)</f>
        <v>Dissatisfied</v>
      </c>
      <c r="V153" t="s">
        <v>48</v>
      </c>
      <c r="W153">
        <v>7295</v>
      </c>
      <c r="X153" t="str" cm="1">
        <f t="array" ref="X153">_xlfn.IFS(
HRData[[#This Row],[MonthlyIncome]]&lt;=4000,"Very Low Income",
HRData[[#This Row],[MonthlyIncome]]&lt;=8000,"Low Income",
HRData[[#This Row],[MonthlyIncome]]&lt;=12000,"Moderate Income",
HRData[[#This Row],[MonthlyIncome]]&lt;=16000,"High Income",
HRData[[#This Row],[MonthlyIncome]]&gt;16000,"Very High Income"
)</f>
        <v>Low Income</v>
      </c>
      <c r="Y153">
        <v>11439</v>
      </c>
      <c r="Z153">
        <v>1</v>
      </c>
      <c r="AA153" t="s">
        <v>42</v>
      </c>
      <c r="AB153" t="s">
        <v>43</v>
      </c>
      <c r="AC153">
        <v>13</v>
      </c>
      <c r="AD153" t="str" cm="1">
        <f t="array" ref="AD153">_xlfn.IFS(HRData[[#This Row],[PercentSalaryHike]]&lt;=15,"11-15",HRData[[#This Row],[PercentSalaryHike]]&lt;=20,"16-20",HRData[[#This Row],[PercentSalaryHike]]&gt;=21,"21+")</f>
        <v>11-15</v>
      </c>
      <c r="AE153">
        <v>3</v>
      </c>
      <c r="AF153">
        <v>1</v>
      </c>
      <c r="AG153">
        <v>80</v>
      </c>
      <c r="AH153">
        <v>2</v>
      </c>
      <c r="AI153">
        <v>10</v>
      </c>
      <c r="AJ153">
        <v>3</v>
      </c>
      <c r="AK153">
        <v>3</v>
      </c>
      <c r="AL153">
        <v>10</v>
      </c>
      <c r="AM153">
        <v>8</v>
      </c>
      <c r="AN153">
        <v>0</v>
      </c>
      <c r="AO153">
        <v>6</v>
      </c>
      <c r="AP15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53" t="str">
        <f>IF(HRData[[#This Row],[Attrition]]="Yes","Left", IF(HRData[[#This Row],[Attrition_Risk_Score]]&gt;=6,"High",IF(HRData[[#This Row],[Attrition_Risk_Score]]&gt;=3,"Medium","Low")))</f>
        <v>Low</v>
      </c>
      <c r="AR153" t="str">
        <f>IF(HRData[[#This Row],[Attrition_Risk_Level]]&lt;&gt;"High","",HRData[[#This Row],[Attrition_Risk_Score]]*10000-HRData[[#This Row],[EmployeeNumber]])</f>
        <v/>
      </c>
    </row>
    <row r="154" spans="1:44">
      <c r="A154">
        <v>53</v>
      </c>
      <c r="B154" t="str" cm="1">
        <f t="array" ref="B154">_xlfn.IFS(
HRData[[#This Row],[Age]]&lt;=24,"18-24",
HRData[[#This Row],[Age]]&lt;=34,"25-34",
HRData[[#This Row],[Age]]&lt;=44,"35-44",
HRData[[#This Row],[Age]]&lt;=54,"45-54",
HRData[[#This Row],[Age]]&gt;=55,"55+"
)</f>
        <v>45-54</v>
      </c>
      <c r="C154" t="s">
        <v>43</v>
      </c>
      <c r="D154">
        <f>IF(HRData[[#This Row],[Attrition]]="Yes",1,0)</f>
        <v>0</v>
      </c>
      <c r="E154" t="s">
        <v>36</v>
      </c>
      <c r="F154">
        <v>1436</v>
      </c>
      <c r="G154" t="s">
        <v>37</v>
      </c>
      <c r="H154">
        <v>6</v>
      </c>
      <c r="I154">
        <v>2</v>
      </c>
      <c r="J154" t="s">
        <v>59</v>
      </c>
      <c r="K154">
        <v>1</v>
      </c>
      <c r="L154">
        <v>205</v>
      </c>
      <c r="M154">
        <v>2</v>
      </c>
      <c r="N154" t="str" cm="1">
        <f t="array" ref="N154">_xlfn.IFS(HRData[[#This Row],[EnvironmentSatisfaction]]=1,"Very Dissatisfied",
HRData[[#This Row],[EnvironmentSatisfaction]]=2,"Dissatisfied",
HRData[[#This Row],[EnvironmentSatisfaction]]=3,"Satisfied",
HRData[[#This Row],[EnvironmentSatisfaction]]=4,"Very Satisfied"
)</f>
        <v>Dissatisfied</v>
      </c>
      <c r="O154" t="s">
        <v>46</v>
      </c>
      <c r="P154">
        <v>34</v>
      </c>
      <c r="Q154">
        <v>3</v>
      </c>
      <c r="R154">
        <v>2</v>
      </c>
      <c r="S154" t="s">
        <v>57</v>
      </c>
      <c r="T154">
        <v>3</v>
      </c>
      <c r="U154" t="str" cm="1">
        <f t="array" ref="U154">_xlfn.IFS(
HRData[[#This Row],[JobSatisfaction]]=1,"Very Dissatisfied",
HRData[[#This Row],[JobSatisfaction]]=2,"Dissatisfied",
HRData[[#This Row],[JobSatisfaction]]=3,"Satisfied",
HRData[[#This Row],[JobSatisfaction]]=4,"Very Satisfied"
)</f>
        <v>Satisfied</v>
      </c>
      <c r="V154" t="s">
        <v>48</v>
      </c>
      <c r="W154">
        <v>2306</v>
      </c>
      <c r="X154" t="str" cm="1">
        <f t="array" ref="X154">_xlfn.IFS(
HRData[[#This Row],[MonthlyIncome]]&lt;=4000,"Very Low Income",
HRData[[#This Row],[MonthlyIncome]]&lt;=8000,"Low Income",
HRData[[#This Row],[MonthlyIncome]]&lt;=12000,"Moderate Income",
HRData[[#This Row],[MonthlyIncome]]&lt;=16000,"High Income",
HRData[[#This Row],[MonthlyIncome]]&gt;16000,"Very High Income"
)</f>
        <v>Very Low Income</v>
      </c>
      <c r="Y154">
        <v>16047</v>
      </c>
      <c r="Z154">
        <v>2</v>
      </c>
      <c r="AA154" t="s">
        <v>42</v>
      </c>
      <c r="AB154" t="s">
        <v>35</v>
      </c>
      <c r="AC154">
        <v>20</v>
      </c>
      <c r="AD154" t="str" cm="1">
        <f t="array" ref="AD154">_xlfn.IFS(HRData[[#This Row],[PercentSalaryHike]]&lt;=15,"11-15",HRData[[#This Row],[PercentSalaryHike]]&lt;=20,"16-20",HRData[[#This Row],[PercentSalaryHike]]&gt;=21,"21+")</f>
        <v>16-20</v>
      </c>
      <c r="AE154">
        <v>4</v>
      </c>
      <c r="AF154">
        <v>4</v>
      </c>
      <c r="AG154">
        <v>80</v>
      </c>
      <c r="AH154">
        <v>1</v>
      </c>
      <c r="AI154">
        <v>13</v>
      </c>
      <c r="AJ154">
        <v>3</v>
      </c>
      <c r="AK154">
        <v>1</v>
      </c>
      <c r="AL154">
        <v>7</v>
      </c>
      <c r="AM154">
        <v>7</v>
      </c>
      <c r="AN154">
        <v>4</v>
      </c>
      <c r="AO154">
        <v>5</v>
      </c>
      <c r="AP15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54" t="str">
        <f>IF(HRData[[#This Row],[Attrition]]="Yes","Left", IF(HRData[[#This Row],[Attrition_Risk_Score]]&gt;=6,"High",IF(HRData[[#This Row],[Attrition_Risk_Score]]&gt;=3,"Medium","Low")))</f>
        <v>High</v>
      </c>
      <c r="AR154">
        <f>IF(HRData[[#This Row],[Attrition_Risk_Level]]&lt;&gt;"High","",HRData[[#This Row],[Attrition_Risk_Score]]*10000-HRData[[#This Row],[EmployeeNumber]])</f>
        <v>59795</v>
      </c>
    </row>
    <row r="155" spans="1:44">
      <c r="A155">
        <v>45</v>
      </c>
      <c r="B155" t="str" cm="1">
        <f t="array" ref="B155">_xlfn.IFS(
HRData[[#This Row],[Age]]&lt;=24,"18-24",
HRData[[#This Row],[Age]]&lt;=34,"25-34",
HRData[[#This Row],[Age]]&lt;=44,"35-44",
HRData[[#This Row],[Age]]&lt;=54,"45-54",
HRData[[#This Row],[Age]]&gt;=55,"55+"
)</f>
        <v>45-54</v>
      </c>
      <c r="C155" t="s">
        <v>43</v>
      </c>
      <c r="D155">
        <f>IF(HRData[[#This Row],[Attrition]]="Yes",1,0)</f>
        <v>0</v>
      </c>
      <c r="E155" t="s">
        <v>36</v>
      </c>
      <c r="F155">
        <v>194</v>
      </c>
      <c r="G155" t="s">
        <v>45</v>
      </c>
      <c r="H155">
        <v>9</v>
      </c>
      <c r="I155">
        <v>3</v>
      </c>
      <c r="J155" t="s">
        <v>38</v>
      </c>
      <c r="K155">
        <v>1</v>
      </c>
      <c r="L155">
        <v>206</v>
      </c>
      <c r="M155">
        <v>2</v>
      </c>
      <c r="N155" t="str" cm="1">
        <f t="array" ref="N155">_xlfn.IFS(HRData[[#This Row],[EnvironmentSatisfaction]]=1,"Very Dissatisfied",
HRData[[#This Row],[EnvironmentSatisfaction]]=2,"Dissatisfied",
HRData[[#This Row],[EnvironmentSatisfaction]]=3,"Satisfied",
HRData[[#This Row],[EnvironmentSatisfaction]]=4,"Very Satisfied"
)</f>
        <v>Dissatisfied</v>
      </c>
      <c r="O155" t="s">
        <v>46</v>
      </c>
      <c r="P155">
        <v>60</v>
      </c>
      <c r="Q155">
        <v>3</v>
      </c>
      <c r="R155">
        <v>2</v>
      </c>
      <c r="S155" t="s">
        <v>50</v>
      </c>
      <c r="T155">
        <v>2</v>
      </c>
      <c r="U155" t="str" cm="1">
        <f t="array" ref="U155">_xlfn.IFS(
HRData[[#This Row],[JobSatisfaction]]=1,"Very Dissatisfied",
HRData[[#This Row],[JobSatisfaction]]=2,"Dissatisfied",
HRData[[#This Row],[JobSatisfaction]]=3,"Satisfied",
HRData[[#This Row],[JobSatisfaction]]=4,"Very Satisfied"
)</f>
        <v>Dissatisfied</v>
      </c>
      <c r="V155" t="s">
        <v>52</v>
      </c>
      <c r="W155">
        <v>2348</v>
      </c>
      <c r="X155" t="str" cm="1">
        <f t="array" ref="X155">_xlfn.IFS(
HRData[[#This Row],[MonthlyIncome]]&lt;=4000,"Very Low Income",
HRData[[#This Row],[MonthlyIncome]]&lt;=8000,"Low Income",
HRData[[#This Row],[MonthlyIncome]]&lt;=12000,"Moderate Income",
HRData[[#This Row],[MonthlyIncome]]&lt;=16000,"High Income",
HRData[[#This Row],[MonthlyIncome]]&gt;16000,"Very High Income"
)</f>
        <v>Very Low Income</v>
      </c>
      <c r="Y155">
        <v>10901</v>
      </c>
      <c r="Z155">
        <v>8</v>
      </c>
      <c r="AA155" t="s">
        <v>42</v>
      </c>
      <c r="AB155" t="s">
        <v>43</v>
      </c>
      <c r="AC155">
        <v>18</v>
      </c>
      <c r="AD155" t="str" cm="1">
        <f t="array" ref="AD155">_xlfn.IFS(HRData[[#This Row],[PercentSalaryHike]]&lt;=15,"11-15",HRData[[#This Row],[PercentSalaryHike]]&lt;=20,"16-20",HRData[[#This Row],[PercentSalaryHike]]&gt;=21,"21+")</f>
        <v>16-20</v>
      </c>
      <c r="AE155">
        <v>3</v>
      </c>
      <c r="AF155">
        <v>3</v>
      </c>
      <c r="AG155">
        <v>80</v>
      </c>
      <c r="AH155">
        <v>1</v>
      </c>
      <c r="AI155">
        <v>20</v>
      </c>
      <c r="AJ155">
        <v>2</v>
      </c>
      <c r="AK155">
        <v>1</v>
      </c>
      <c r="AL155">
        <v>17</v>
      </c>
      <c r="AM155">
        <v>9</v>
      </c>
      <c r="AN155">
        <v>0</v>
      </c>
      <c r="AO155">
        <v>15</v>
      </c>
      <c r="AP15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55" t="str">
        <f>IF(HRData[[#This Row],[Attrition]]="Yes","Left", IF(HRData[[#This Row],[Attrition_Risk_Score]]&gt;=6,"High",IF(HRData[[#This Row],[Attrition_Risk_Score]]&gt;=3,"Medium","Low")))</f>
        <v>Medium</v>
      </c>
      <c r="AR155" t="str">
        <f>IF(HRData[[#This Row],[Attrition_Risk_Level]]&lt;&gt;"High","",HRData[[#This Row],[Attrition_Risk_Score]]*10000-HRData[[#This Row],[EmployeeNumber]])</f>
        <v/>
      </c>
    </row>
    <row r="156" spans="1:44">
      <c r="A156">
        <v>32</v>
      </c>
      <c r="B156" t="str" cm="1">
        <f t="array" ref="B156">_xlfn.IFS(
HRData[[#This Row],[Age]]&lt;=24,"18-24",
HRData[[#This Row],[Age]]&lt;=34,"25-34",
HRData[[#This Row],[Age]]&lt;=44,"35-44",
HRData[[#This Row],[Age]]&lt;=54,"45-54",
HRData[[#This Row],[Age]]&gt;=55,"55+"
)</f>
        <v>25-34</v>
      </c>
      <c r="C156" t="s">
        <v>43</v>
      </c>
      <c r="D156">
        <f>IF(HRData[[#This Row],[Attrition]]="Yes",1,0)</f>
        <v>0</v>
      </c>
      <c r="E156" t="s">
        <v>44</v>
      </c>
      <c r="F156">
        <v>967</v>
      </c>
      <c r="G156" t="s">
        <v>37</v>
      </c>
      <c r="H156">
        <v>8</v>
      </c>
      <c r="I156">
        <v>3</v>
      </c>
      <c r="J156" t="s">
        <v>59</v>
      </c>
      <c r="K156">
        <v>1</v>
      </c>
      <c r="L156">
        <v>207</v>
      </c>
      <c r="M156">
        <v>2</v>
      </c>
      <c r="N156" t="str" cm="1">
        <f t="array" ref="N156">_xlfn.IFS(HRData[[#This Row],[EnvironmentSatisfaction]]=1,"Very Dissatisfied",
HRData[[#This Row],[EnvironmentSatisfaction]]=2,"Dissatisfied",
HRData[[#This Row],[EnvironmentSatisfaction]]=3,"Satisfied",
HRData[[#This Row],[EnvironmentSatisfaction]]=4,"Very Satisfied"
)</f>
        <v>Dissatisfied</v>
      </c>
      <c r="O156" t="s">
        <v>39</v>
      </c>
      <c r="P156">
        <v>43</v>
      </c>
      <c r="Q156">
        <v>3</v>
      </c>
      <c r="R156">
        <v>3</v>
      </c>
      <c r="S156" t="s">
        <v>40</v>
      </c>
      <c r="T156">
        <v>4</v>
      </c>
      <c r="U156" t="str" cm="1">
        <f t="array" ref="U156">_xlfn.IFS(
HRData[[#This Row],[JobSatisfaction]]=1,"Very Dissatisfied",
HRData[[#This Row],[JobSatisfaction]]=2,"Dissatisfied",
HRData[[#This Row],[JobSatisfaction]]=3,"Satisfied",
HRData[[#This Row],[JobSatisfaction]]=4,"Very Satisfied"
)</f>
        <v>Very Satisfied</v>
      </c>
      <c r="V156" t="s">
        <v>41</v>
      </c>
      <c r="W156">
        <v>8998</v>
      </c>
      <c r="X156" t="str" cm="1">
        <f t="array" ref="X156">_xlfn.IFS(
HRData[[#This Row],[MonthlyIncome]]&lt;=4000,"Very Low Income",
HRData[[#This Row],[MonthlyIncome]]&lt;=8000,"Low Income",
HRData[[#This Row],[MonthlyIncome]]&lt;=12000,"Moderate Income",
HRData[[#This Row],[MonthlyIncome]]&lt;=16000,"High Income",
HRData[[#This Row],[MonthlyIncome]]&gt;16000,"Very High Income"
)</f>
        <v>Moderate Income</v>
      </c>
      <c r="Y156">
        <v>15589</v>
      </c>
      <c r="Z156">
        <v>1</v>
      </c>
      <c r="AA156" t="s">
        <v>42</v>
      </c>
      <c r="AB156" t="s">
        <v>43</v>
      </c>
      <c r="AC156">
        <v>14</v>
      </c>
      <c r="AD156" t="str" cm="1">
        <f t="array" ref="AD156">_xlfn.IFS(HRData[[#This Row],[PercentSalaryHike]]&lt;=15,"11-15",HRData[[#This Row],[PercentSalaryHike]]&lt;=20,"16-20",HRData[[#This Row],[PercentSalaryHike]]&gt;=21,"21+")</f>
        <v>11-15</v>
      </c>
      <c r="AE156">
        <v>3</v>
      </c>
      <c r="AF156">
        <v>4</v>
      </c>
      <c r="AG156">
        <v>80</v>
      </c>
      <c r="AH156">
        <v>0</v>
      </c>
      <c r="AI156">
        <v>9</v>
      </c>
      <c r="AJ156">
        <v>2</v>
      </c>
      <c r="AK156">
        <v>3</v>
      </c>
      <c r="AL156">
        <v>9</v>
      </c>
      <c r="AM156">
        <v>8</v>
      </c>
      <c r="AN156">
        <v>3</v>
      </c>
      <c r="AO156">
        <v>7</v>
      </c>
      <c r="AP15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56" t="str">
        <f>IF(HRData[[#This Row],[Attrition]]="Yes","Left", IF(HRData[[#This Row],[Attrition_Risk_Score]]&gt;=6,"High",IF(HRData[[#This Row],[Attrition_Risk_Score]]&gt;=3,"Medium","Low")))</f>
        <v>Low</v>
      </c>
      <c r="AR156" t="str">
        <f>IF(HRData[[#This Row],[Attrition_Risk_Level]]&lt;&gt;"High","",HRData[[#This Row],[Attrition_Risk_Score]]*10000-HRData[[#This Row],[EmployeeNumber]])</f>
        <v/>
      </c>
    </row>
    <row r="157" spans="1:44">
      <c r="A157">
        <v>29</v>
      </c>
      <c r="B157" t="str" cm="1">
        <f t="array" ref="B157">_xlfn.IFS(
HRData[[#This Row],[Age]]&lt;=24,"18-24",
HRData[[#This Row],[Age]]&lt;=34,"25-34",
HRData[[#This Row],[Age]]&lt;=44,"35-44",
HRData[[#This Row],[Age]]&lt;=54,"45-54",
HRData[[#This Row],[Age]]&gt;=55,"55+"
)</f>
        <v>25-34</v>
      </c>
      <c r="C157" t="s">
        <v>43</v>
      </c>
      <c r="D157">
        <f>IF(HRData[[#This Row],[Attrition]]="Yes",1,0)</f>
        <v>0</v>
      </c>
      <c r="E157" t="s">
        <v>55</v>
      </c>
      <c r="F157">
        <v>1496</v>
      </c>
      <c r="G157" t="s">
        <v>45</v>
      </c>
      <c r="H157">
        <v>1</v>
      </c>
      <c r="I157">
        <v>1</v>
      </c>
      <c r="J157" t="s">
        <v>60</v>
      </c>
      <c r="K157">
        <v>1</v>
      </c>
      <c r="L157">
        <v>208</v>
      </c>
      <c r="M157">
        <v>4</v>
      </c>
      <c r="N157" t="str" cm="1">
        <f t="array" ref="N157">_xlfn.IFS(HRData[[#This Row],[EnvironmentSatisfaction]]=1,"Very Dissatisfied",
HRData[[#This Row],[EnvironmentSatisfaction]]=2,"Dissatisfied",
HRData[[#This Row],[EnvironmentSatisfaction]]=3,"Satisfied",
HRData[[#This Row],[EnvironmentSatisfaction]]=4,"Very Satisfied"
)</f>
        <v>Very Satisfied</v>
      </c>
      <c r="O157" t="s">
        <v>46</v>
      </c>
      <c r="P157">
        <v>41</v>
      </c>
      <c r="Q157">
        <v>3</v>
      </c>
      <c r="R157">
        <v>2</v>
      </c>
      <c r="S157" t="s">
        <v>53</v>
      </c>
      <c r="T157">
        <v>3</v>
      </c>
      <c r="U157" t="str" cm="1">
        <f t="array" ref="U157">_xlfn.IFS(
HRData[[#This Row],[JobSatisfaction]]=1,"Very Dissatisfied",
HRData[[#This Row],[JobSatisfaction]]=2,"Dissatisfied",
HRData[[#This Row],[JobSatisfaction]]=3,"Satisfied",
HRData[[#This Row],[JobSatisfaction]]=4,"Very Satisfied"
)</f>
        <v>Satisfied</v>
      </c>
      <c r="V157" t="s">
        <v>48</v>
      </c>
      <c r="W157">
        <v>4319</v>
      </c>
      <c r="X157" t="str" cm="1">
        <f t="array" ref="X157">_xlfn.IFS(
HRData[[#This Row],[MonthlyIncome]]&lt;=4000,"Very Low Income",
HRData[[#This Row],[MonthlyIncome]]&lt;=8000,"Low Income",
HRData[[#This Row],[MonthlyIncome]]&lt;=12000,"Moderate Income",
HRData[[#This Row],[MonthlyIncome]]&lt;=16000,"High Income",
HRData[[#This Row],[MonthlyIncome]]&gt;16000,"Very High Income"
)</f>
        <v>Low Income</v>
      </c>
      <c r="Y157">
        <v>26283</v>
      </c>
      <c r="Z157">
        <v>1</v>
      </c>
      <c r="AA157" t="s">
        <v>42</v>
      </c>
      <c r="AB157" t="s">
        <v>43</v>
      </c>
      <c r="AC157">
        <v>13</v>
      </c>
      <c r="AD157" t="str" cm="1">
        <f t="array" ref="AD157">_xlfn.IFS(HRData[[#This Row],[PercentSalaryHike]]&lt;=15,"11-15",HRData[[#This Row],[PercentSalaryHike]]&lt;=20,"16-20",HRData[[#This Row],[PercentSalaryHike]]&gt;=21,"21+")</f>
        <v>11-15</v>
      </c>
      <c r="AE157">
        <v>3</v>
      </c>
      <c r="AF157">
        <v>1</v>
      </c>
      <c r="AG157">
        <v>80</v>
      </c>
      <c r="AH157">
        <v>1</v>
      </c>
      <c r="AI157">
        <v>10</v>
      </c>
      <c r="AJ157">
        <v>1</v>
      </c>
      <c r="AK157">
        <v>3</v>
      </c>
      <c r="AL157">
        <v>10</v>
      </c>
      <c r="AM157">
        <v>7</v>
      </c>
      <c r="AN157">
        <v>0</v>
      </c>
      <c r="AO157">
        <v>9</v>
      </c>
      <c r="AP15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57" t="str">
        <f>IF(HRData[[#This Row],[Attrition]]="Yes","Left", IF(HRData[[#This Row],[Attrition_Risk_Score]]&gt;=6,"High",IF(HRData[[#This Row],[Attrition_Risk_Score]]&gt;=3,"Medium","Low")))</f>
        <v>Low</v>
      </c>
      <c r="AR157" t="str">
        <f>IF(HRData[[#This Row],[Attrition_Risk_Level]]&lt;&gt;"High","",HRData[[#This Row],[Attrition_Risk_Score]]*10000-HRData[[#This Row],[EmployeeNumber]])</f>
        <v/>
      </c>
    </row>
    <row r="158" spans="1:44">
      <c r="A158">
        <v>51</v>
      </c>
      <c r="B158" t="str" cm="1">
        <f t="array" ref="B158">_xlfn.IFS(
HRData[[#This Row],[Age]]&lt;=24,"18-24",
HRData[[#This Row],[Age]]&lt;=34,"25-34",
HRData[[#This Row],[Age]]&lt;=44,"35-44",
HRData[[#This Row],[Age]]&lt;=54,"45-54",
HRData[[#This Row],[Age]]&gt;=55,"55+"
)</f>
        <v>45-54</v>
      </c>
      <c r="C158" t="s">
        <v>43</v>
      </c>
      <c r="D158">
        <f>IF(HRData[[#This Row],[Attrition]]="Yes",1,0)</f>
        <v>0</v>
      </c>
      <c r="E158" t="s">
        <v>36</v>
      </c>
      <c r="F158">
        <v>1169</v>
      </c>
      <c r="G158" t="s">
        <v>45</v>
      </c>
      <c r="H158">
        <v>7</v>
      </c>
      <c r="I158">
        <v>4</v>
      </c>
      <c r="J158" t="s">
        <v>51</v>
      </c>
      <c r="K158">
        <v>1</v>
      </c>
      <c r="L158">
        <v>211</v>
      </c>
      <c r="M158">
        <v>2</v>
      </c>
      <c r="N158" t="str" cm="1">
        <f t="array" ref="N158">_xlfn.IFS(HRData[[#This Row],[EnvironmentSatisfaction]]=1,"Very Dissatisfied",
HRData[[#This Row],[EnvironmentSatisfaction]]=2,"Dissatisfied",
HRData[[#This Row],[EnvironmentSatisfaction]]=3,"Satisfied",
HRData[[#This Row],[EnvironmentSatisfaction]]=4,"Very Satisfied"
)</f>
        <v>Dissatisfied</v>
      </c>
      <c r="O158" t="s">
        <v>46</v>
      </c>
      <c r="P158">
        <v>34</v>
      </c>
      <c r="Q158">
        <v>2</v>
      </c>
      <c r="R158">
        <v>2</v>
      </c>
      <c r="S158" t="s">
        <v>53</v>
      </c>
      <c r="T158">
        <v>3</v>
      </c>
      <c r="U158" t="str" cm="1">
        <f t="array" ref="U158">_xlfn.IFS(
HRData[[#This Row],[JobSatisfaction]]=1,"Very Dissatisfied",
HRData[[#This Row],[JobSatisfaction]]=2,"Dissatisfied",
HRData[[#This Row],[JobSatisfaction]]=3,"Satisfied",
HRData[[#This Row],[JobSatisfaction]]=4,"Very Satisfied"
)</f>
        <v>Satisfied</v>
      </c>
      <c r="V158" t="s">
        <v>48</v>
      </c>
      <c r="W158">
        <v>6132</v>
      </c>
      <c r="X158" t="str" cm="1">
        <f t="array" ref="X158">_xlfn.IFS(
HRData[[#This Row],[MonthlyIncome]]&lt;=4000,"Very Low Income",
HRData[[#This Row],[MonthlyIncome]]&lt;=8000,"Low Income",
HRData[[#This Row],[MonthlyIncome]]&lt;=12000,"Moderate Income",
HRData[[#This Row],[MonthlyIncome]]&lt;=16000,"High Income",
HRData[[#This Row],[MonthlyIncome]]&gt;16000,"Very High Income"
)</f>
        <v>Low Income</v>
      </c>
      <c r="Y158">
        <v>13983</v>
      </c>
      <c r="Z158">
        <v>2</v>
      </c>
      <c r="AA158" t="s">
        <v>42</v>
      </c>
      <c r="AB158" t="s">
        <v>43</v>
      </c>
      <c r="AC158">
        <v>17</v>
      </c>
      <c r="AD158" t="str" cm="1">
        <f t="array" ref="AD158">_xlfn.IFS(HRData[[#This Row],[PercentSalaryHike]]&lt;=15,"11-15",HRData[[#This Row],[PercentSalaryHike]]&lt;=20,"16-20",HRData[[#This Row],[PercentSalaryHike]]&gt;=21,"21+")</f>
        <v>16-20</v>
      </c>
      <c r="AE158">
        <v>3</v>
      </c>
      <c r="AF158">
        <v>3</v>
      </c>
      <c r="AG158">
        <v>80</v>
      </c>
      <c r="AH158">
        <v>0</v>
      </c>
      <c r="AI158">
        <v>10</v>
      </c>
      <c r="AJ158">
        <v>2</v>
      </c>
      <c r="AK158">
        <v>3</v>
      </c>
      <c r="AL158">
        <v>1</v>
      </c>
      <c r="AM158">
        <v>0</v>
      </c>
      <c r="AN158">
        <v>0</v>
      </c>
      <c r="AO158">
        <v>0</v>
      </c>
      <c r="AP15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58" t="str">
        <f>IF(HRData[[#This Row],[Attrition]]="Yes","Left", IF(HRData[[#This Row],[Attrition_Risk_Score]]&gt;=6,"High",IF(HRData[[#This Row],[Attrition_Risk_Score]]&gt;=3,"Medium","Low")))</f>
        <v>Low</v>
      </c>
      <c r="AR158" t="str">
        <f>IF(HRData[[#This Row],[Attrition_Risk_Level]]&lt;&gt;"High","",HRData[[#This Row],[Attrition_Risk_Score]]*10000-HRData[[#This Row],[EmployeeNumber]])</f>
        <v/>
      </c>
    </row>
    <row r="159" spans="1:44">
      <c r="A159">
        <v>58</v>
      </c>
      <c r="B159" t="str" cm="1">
        <f t="array" ref="B159">_xlfn.IFS(
HRData[[#This Row],[Age]]&lt;=24,"18-24",
HRData[[#This Row],[Age]]&lt;=34,"25-34",
HRData[[#This Row],[Age]]&lt;=44,"35-44",
HRData[[#This Row],[Age]]&lt;=54,"45-54",
HRData[[#This Row],[Age]]&gt;=55,"55+"
)</f>
        <v>55+</v>
      </c>
      <c r="C159" t="s">
        <v>43</v>
      </c>
      <c r="D159">
        <f>IF(HRData[[#This Row],[Attrition]]="Yes",1,0)</f>
        <v>0</v>
      </c>
      <c r="E159" t="s">
        <v>36</v>
      </c>
      <c r="F159">
        <v>1145</v>
      </c>
      <c r="G159" t="s">
        <v>45</v>
      </c>
      <c r="H159">
        <v>9</v>
      </c>
      <c r="I159">
        <v>3</v>
      </c>
      <c r="J159" t="s">
        <v>51</v>
      </c>
      <c r="K159">
        <v>1</v>
      </c>
      <c r="L159">
        <v>214</v>
      </c>
      <c r="M159">
        <v>2</v>
      </c>
      <c r="N159" t="str" cm="1">
        <f t="array" ref="N159">_xlfn.IFS(HRData[[#This Row],[EnvironmentSatisfaction]]=1,"Very Dissatisfied",
HRData[[#This Row],[EnvironmentSatisfaction]]=2,"Dissatisfied",
HRData[[#This Row],[EnvironmentSatisfaction]]=3,"Satisfied",
HRData[[#This Row],[EnvironmentSatisfaction]]=4,"Very Satisfied"
)</f>
        <v>Dissatisfied</v>
      </c>
      <c r="O159" t="s">
        <v>39</v>
      </c>
      <c r="P159">
        <v>75</v>
      </c>
      <c r="Q159">
        <v>2</v>
      </c>
      <c r="R159">
        <v>1</v>
      </c>
      <c r="S159" t="s">
        <v>47</v>
      </c>
      <c r="T159">
        <v>2</v>
      </c>
      <c r="U159" t="str" cm="1">
        <f t="array" ref="U159">_xlfn.IFS(
HRData[[#This Row],[JobSatisfaction]]=1,"Very Dissatisfied",
HRData[[#This Row],[JobSatisfaction]]=2,"Dissatisfied",
HRData[[#This Row],[JobSatisfaction]]=3,"Satisfied",
HRData[[#This Row],[JobSatisfaction]]=4,"Very Satisfied"
)</f>
        <v>Dissatisfied</v>
      </c>
      <c r="V159" t="s">
        <v>48</v>
      </c>
      <c r="W159">
        <v>3346</v>
      </c>
      <c r="X159" t="str" cm="1">
        <f t="array" ref="X159">_xlfn.IFS(
HRData[[#This Row],[MonthlyIncome]]&lt;=4000,"Very Low Income",
HRData[[#This Row],[MonthlyIncome]]&lt;=8000,"Low Income",
HRData[[#This Row],[MonthlyIncome]]&lt;=12000,"Moderate Income",
HRData[[#This Row],[MonthlyIncome]]&lt;=16000,"High Income",
HRData[[#This Row],[MonthlyIncome]]&gt;16000,"Very High Income"
)</f>
        <v>Very Low Income</v>
      </c>
      <c r="Y159">
        <v>11873</v>
      </c>
      <c r="Z159">
        <v>4</v>
      </c>
      <c r="AA159" t="s">
        <v>42</v>
      </c>
      <c r="AB159" t="s">
        <v>35</v>
      </c>
      <c r="AC159">
        <v>20</v>
      </c>
      <c r="AD159" t="str" cm="1">
        <f t="array" ref="AD159">_xlfn.IFS(HRData[[#This Row],[PercentSalaryHike]]&lt;=15,"11-15",HRData[[#This Row],[PercentSalaryHike]]&lt;=20,"16-20",HRData[[#This Row],[PercentSalaryHike]]&gt;=21,"21+")</f>
        <v>16-20</v>
      </c>
      <c r="AE159">
        <v>4</v>
      </c>
      <c r="AF159">
        <v>2</v>
      </c>
      <c r="AG159">
        <v>80</v>
      </c>
      <c r="AH159">
        <v>1</v>
      </c>
      <c r="AI159">
        <v>9</v>
      </c>
      <c r="AJ159">
        <v>3</v>
      </c>
      <c r="AK159">
        <v>2</v>
      </c>
      <c r="AL159">
        <v>1</v>
      </c>
      <c r="AM159">
        <v>0</v>
      </c>
      <c r="AN159">
        <v>0</v>
      </c>
      <c r="AO159">
        <v>0</v>
      </c>
      <c r="AP15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59" t="str">
        <f>IF(HRData[[#This Row],[Attrition]]="Yes","Left", IF(HRData[[#This Row],[Attrition_Risk_Score]]&gt;=6,"High",IF(HRData[[#This Row],[Attrition_Risk_Score]]&gt;=3,"Medium","Low")))</f>
        <v>Medium</v>
      </c>
      <c r="AR159" t="str">
        <f>IF(HRData[[#This Row],[Attrition_Risk_Level]]&lt;&gt;"High","",HRData[[#This Row],[Attrition_Risk_Score]]*10000-HRData[[#This Row],[EmployeeNumber]])</f>
        <v/>
      </c>
    </row>
    <row r="160" spans="1:44">
      <c r="A160">
        <v>40</v>
      </c>
      <c r="B160" t="str" cm="1">
        <f t="array" ref="B160">_xlfn.IFS(
HRData[[#This Row],[Age]]&lt;=24,"18-24",
HRData[[#This Row],[Age]]&lt;=34,"25-34",
HRData[[#This Row],[Age]]&lt;=44,"35-44",
HRData[[#This Row],[Age]]&lt;=54,"45-54",
HRData[[#This Row],[Age]]&gt;=55,"55+"
)</f>
        <v>35-44</v>
      </c>
      <c r="C160" t="s">
        <v>43</v>
      </c>
      <c r="D160">
        <f>IF(HRData[[#This Row],[Attrition]]="Yes",1,0)</f>
        <v>0</v>
      </c>
      <c r="E160" t="s">
        <v>36</v>
      </c>
      <c r="F160">
        <v>630</v>
      </c>
      <c r="G160" t="s">
        <v>37</v>
      </c>
      <c r="H160">
        <v>4</v>
      </c>
      <c r="I160">
        <v>4</v>
      </c>
      <c r="J160" t="s">
        <v>59</v>
      </c>
      <c r="K160">
        <v>1</v>
      </c>
      <c r="L160">
        <v>215</v>
      </c>
      <c r="M160">
        <v>3</v>
      </c>
      <c r="N160" t="str" cm="1">
        <f t="array" ref="N160">_xlfn.IFS(HRData[[#This Row],[EnvironmentSatisfaction]]=1,"Very Dissatisfied",
HRData[[#This Row],[EnvironmentSatisfaction]]=2,"Dissatisfied",
HRData[[#This Row],[EnvironmentSatisfaction]]=3,"Satisfied",
HRData[[#This Row],[EnvironmentSatisfaction]]=4,"Very Satisfied"
)</f>
        <v>Satisfied</v>
      </c>
      <c r="O160" t="s">
        <v>46</v>
      </c>
      <c r="P160">
        <v>67</v>
      </c>
      <c r="Q160">
        <v>2</v>
      </c>
      <c r="R160">
        <v>3</v>
      </c>
      <c r="S160" t="s">
        <v>40</v>
      </c>
      <c r="T160">
        <v>4</v>
      </c>
      <c r="U160" t="str" cm="1">
        <f t="array" ref="U160">_xlfn.IFS(
HRData[[#This Row],[JobSatisfaction]]=1,"Very Dissatisfied",
HRData[[#This Row],[JobSatisfaction]]=2,"Dissatisfied",
HRData[[#This Row],[JobSatisfaction]]=3,"Satisfied",
HRData[[#This Row],[JobSatisfaction]]=4,"Very Satisfied"
)</f>
        <v>Very Satisfied</v>
      </c>
      <c r="V160" t="s">
        <v>48</v>
      </c>
      <c r="W160">
        <v>10855</v>
      </c>
      <c r="X160" t="str" cm="1">
        <f t="array" ref="X160">_xlfn.IFS(
HRData[[#This Row],[MonthlyIncome]]&lt;=4000,"Very Low Income",
HRData[[#This Row],[MonthlyIncome]]&lt;=8000,"Low Income",
HRData[[#This Row],[MonthlyIncome]]&lt;=12000,"Moderate Income",
HRData[[#This Row],[MonthlyIncome]]&lt;=16000,"High Income",
HRData[[#This Row],[MonthlyIncome]]&gt;16000,"Very High Income"
)</f>
        <v>Moderate Income</v>
      </c>
      <c r="Y160">
        <v>8552</v>
      </c>
      <c r="Z160">
        <v>7</v>
      </c>
      <c r="AA160" t="s">
        <v>42</v>
      </c>
      <c r="AB160" t="s">
        <v>43</v>
      </c>
      <c r="AC160">
        <v>11</v>
      </c>
      <c r="AD160" t="str" cm="1">
        <f t="array" ref="AD160">_xlfn.IFS(HRData[[#This Row],[PercentSalaryHike]]&lt;=15,"11-15",HRData[[#This Row],[PercentSalaryHike]]&lt;=20,"16-20",HRData[[#This Row],[PercentSalaryHike]]&gt;=21,"21+")</f>
        <v>11-15</v>
      </c>
      <c r="AE160">
        <v>3</v>
      </c>
      <c r="AF160">
        <v>1</v>
      </c>
      <c r="AG160">
        <v>80</v>
      </c>
      <c r="AH160">
        <v>1</v>
      </c>
      <c r="AI160">
        <v>15</v>
      </c>
      <c r="AJ160">
        <v>2</v>
      </c>
      <c r="AK160">
        <v>2</v>
      </c>
      <c r="AL160">
        <v>12</v>
      </c>
      <c r="AM160">
        <v>11</v>
      </c>
      <c r="AN160">
        <v>2</v>
      </c>
      <c r="AO160">
        <v>11</v>
      </c>
      <c r="AP16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60" t="str">
        <f>IF(HRData[[#This Row],[Attrition]]="Yes","Left", IF(HRData[[#This Row],[Attrition_Risk_Score]]&gt;=6,"High",IF(HRData[[#This Row],[Attrition_Risk_Score]]&gt;=3,"Medium","Low")))</f>
        <v>Low</v>
      </c>
      <c r="AR160" t="str">
        <f>IF(HRData[[#This Row],[Attrition_Risk_Level]]&lt;&gt;"High","",HRData[[#This Row],[Attrition_Risk_Score]]*10000-HRData[[#This Row],[EmployeeNumber]])</f>
        <v/>
      </c>
    </row>
    <row r="161" spans="1:44">
      <c r="A161">
        <v>34</v>
      </c>
      <c r="B161" t="str" cm="1">
        <f t="array" ref="B161">_xlfn.IFS(
HRData[[#This Row],[Age]]&lt;=24,"18-24",
HRData[[#This Row],[Age]]&lt;=34,"25-34",
HRData[[#This Row],[Age]]&lt;=44,"35-44",
HRData[[#This Row],[Age]]&lt;=54,"45-54",
HRData[[#This Row],[Age]]&gt;=55,"55+"
)</f>
        <v>25-34</v>
      </c>
      <c r="C161" t="s">
        <v>43</v>
      </c>
      <c r="D161">
        <f>IF(HRData[[#This Row],[Attrition]]="Yes",1,0)</f>
        <v>0</v>
      </c>
      <c r="E161" t="s">
        <v>44</v>
      </c>
      <c r="F161">
        <v>303</v>
      </c>
      <c r="G161" t="s">
        <v>37</v>
      </c>
      <c r="H161">
        <v>2</v>
      </c>
      <c r="I161">
        <v>4</v>
      </c>
      <c r="J161" t="s">
        <v>59</v>
      </c>
      <c r="K161">
        <v>1</v>
      </c>
      <c r="L161">
        <v>216</v>
      </c>
      <c r="M161">
        <v>3</v>
      </c>
      <c r="N161" t="str" cm="1">
        <f t="array" ref="N161">_xlfn.IFS(HRData[[#This Row],[EnvironmentSatisfaction]]=1,"Very Dissatisfied",
HRData[[#This Row],[EnvironmentSatisfaction]]=2,"Dissatisfied",
HRData[[#This Row],[EnvironmentSatisfaction]]=3,"Satisfied",
HRData[[#This Row],[EnvironmentSatisfaction]]=4,"Very Satisfied"
)</f>
        <v>Satisfied</v>
      </c>
      <c r="O161" t="s">
        <v>39</v>
      </c>
      <c r="P161">
        <v>75</v>
      </c>
      <c r="Q161">
        <v>3</v>
      </c>
      <c r="R161">
        <v>1</v>
      </c>
      <c r="S161" t="s">
        <v>57</v>
      </c>
      <c r="T161">
        <v>3</v>
      </c>
      <c r="U161" t="str" cm="1">
        <f t="array" ref="U161">_xlfn.IFS(
HRData[[#This Row],[JobSatisfaction]]=1,"Very Dissatisfied",
HRData[[#This Row],[JobSatisfaction]]=2,"Dissatisfied",
HRData[[#This Row],[JobSatisfaction]]=3,"Satisfied",
HRData[[#This Row],[JobSatisfaction]]=4,"Very Satisfied"
)</f>
        <v>Satisfied</v>
      </c>
      <c r="V161" t="s">
        <v>48</v>
      </c>
      <c r="W161">
        <v>2231</v>
      </c>
      <c r="X161" t="str" cm="1">
        <f t="array" ref="X161">_xlfn.IFS(
HRData[[#This Row],[MonthlyIncome]]&lt;=4000,"Very Low Income",
HRData[[#This Row],[MonthlyIncome]]&lt;=8000,"Low Income",
HRData[[#This Row],[MonthlyIncome]]&lt;=12000,"Moderate Income",
HRData[[#This Row],[MonthlyIncome]]&lt;=16000,"High Income",
HRData[[#This Row],[MonthlyIncome]]&gt;16000,"Very High Income"
)</f>
        <v>Very Low Income</v>
      </c>
      <c r="Y161">
        <v>11314</v>
      </c>
      <c r="Z161">
        <v>6</v>
      </c>
      <c r="AA161" t="s">
        <v>42</v>
      </c>
      <c r="AB161" t="s">
        <v>43</v>
      </c>
      <c r="AC161">
        <v>18</v>
      </c>
      <c r="AD161" t="str" cm="1">
        <f t="array" ref="AD161">_xlfn.IFS(HRData[[#This Row],[PercentSalaryHike]]&lt;=15,"11-15",HRData[[#This Row],[PercentSalaryHike]]&lt;=20,"16-20",HRData[[#This Row],[PercentSalaryHike]]&gt;=21,"21+")</f>
        <v>16-20</v>
      </c>
      <c r="AE161">
        <v>3</v>
      </c>
      <c r="AF161">
        <v>4</v>
      </c>
      <c r="AG161">
        <v>80</v>
      </c>
      <c r="AH161">
        <v>1</v>
      </c>
      <c r="AI161">
        <v>6</v>
      </c>
      <c r="AJ161">
        <v>3</v>
      </c>
      <c r="AK161">
        <v>3</v>
      </c>
      <c r="AL161">
        <v>4</v>
      </c>
      <c r="AM161">
        <v>3</v>
      </c>
      <c r="AN161">
        <v>1</v>
      </c>
      <c r="AO161">
        <v>2</v>
      </c>
      <c r="AP16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61" t="str">
        <f>IF(HRData[[#This Row],[Attrition]]="Yes","Left", IF(HRData[[#This Row],[Attrition_Risk_Score]]&gt;=6,"High",IF(HRData[[#This Row],[Attrition_Risk_Score]]&gt;=3,"Medium","Low")))</f>
        <v>Medium</v>
      </c>
      <c r="AR161" t="str">
        <f>IF(HRData[[#This Row],[Attrition_Risk_Level]]&lt;&gt;"High","",HRData[[#This Row],[Attrition_Risk_Score]]*10000-HRData[[#This Row],[EmployeeNumber]])</f>
        <v/>
      </c>
    </row>
    <row r="162" spans="1:44">
      <c r="A162">
        <v>22</v>
      </c>
      <c r="B162" t="str" cm="1">
        <f t="array" ref="B162">_xlfn.IFS(
HRData[[#This Row],[Age]]&lt;=24,"18-24",
HRData[[#This Row],[Age]]&lt;=34,"25-34",
HRData[[#This Row],[Age]]&lt;=44,"35-44",
HRData[[#This Row],[Age]]&lt;=54,"45-54",
HRData[[#This Row],[Age]]&gt;=55,"55+"
)</f>
        <v>18-24</v>
      </c>
      <c r="C162" t="s">
        <v>43</v>
      </c>
      <c r="D162">
        <f>IF(HRData[[#This Row],[Attrition]]="Yes",1,0)</f>
        <v>0</v>
      </c>
      <c r="E162" t="s">
        <v>36</v>
      </c>
      <c r="F162">
        <v>1256</v>
      </c>
      <c r="G162" t="s">
        <v>45</v>
      </c>
      <c r="H162">
        <v>19</v>
      </c>
      <c r="I162">
        <v>1</v>
      </c>
      <c r="J162" t="s">
        <v>51</v>
      </c>
      <c r="K162">
        <v>1</v>
      </c>
      <c r="L162">
        <v>217</v>
      </c>
      <c r="M162">
        <v>3</v>
      </c>
      <c r="N162" t="str" cm="1">
        <f t="array" ref="N162">_xlfn.IFS(HRData[[#This Row],[EnvironmentSatisfaction]]=1,"Very Dissatisfied",
HRData[[#This Row],[EnvironmentSatisfaction]]=2,"Dissatisfied",
HRData[[#This Row],[EnvironmentSatisfaction]]=3,"Satisfied",
HRData[[#This Row],[EnvironmentSatisfaction]]=4,"Very Satisfied"
)</f>
        <v>Satisfied</v>
      </c>
      <c r="O162" t="s">
        <v>46</v>
      </c>
      <c r="P162">
        <v>80</v>
      </c>
      <c r="Q162">
        <v>3</v>
      </c>
      <c r="R162">
        <v>1</v>
      </c>
      <c r="S162" t="s">
        <v>47</v>
      </c>
      <c r="T162">
        <v>4</v>
      </c>
      <c r="U162" t="str" cm="1">
        <f t="array" ref="U162">_xlfn.IFS(
HRData[[#This Row],[JobSatisfaction]]=1,"Very Dissatisfied",
HRData[[#This Row],[JobSatisfaction]]=2,"Dissatisfied",
HRData[[#This Row],[JobSatisfaction]]=3,"Satisfied",
HRData[[#This Row],[JobSatisfaction]]=4,"Very Satisfied"
)</f>
        <v>Very Satisfied</v>
      </c>
      <c r="V162" t="s">
        <v>48</v>
      </c>
      <c r="W162">
        <v>2323</v>
      </c>
      <c r="X162" t="str" cm="1">
        <f t="array" ref="X162">_xlfn.IFS(
HRData[[#This Row],[MonthlyIncome]]&lt;=4000,"Very Low Income",
HRData[[#This Row],[MonthlyIncome]]&lt;=8000,"Low Income",
HRData[[#This Row],[MonthlyIncome]]&lt;=12000,"Moderate Income",
HRData[[#This Row],[MonthlyIncome]]&lt;=16000,"High Income",
HRData[[#This Row],[MonthlyIncome]]&gt;16000,"Very High Income"
)</f>
        <v>Very Low Income</v>
      </c>
      <c r="Y162">
        <v>11992</v>
      </c>
      <c r="Z162">
        <v>1</v>
      </c>
      <c r="AA162" t="s">
        <v>42</v>
      </c>
      <c r="AB162" t="s">
        <v>43</v>
      </c>
      <c r="AC162">
        <v>24</v>
      </c>
      <c r="AD162" t="str" cm="1">
        <f t="array" ref="AD162">_xlfn.IFS(HRData[[#This Row],[PercentSalaryHike]]&lt;=15,"11-15",HRData[[#This Row],[PercentSalaryHike]]&lt;=20,"16-20",HRData[[#This Row],[PercentSalaryHike]]&gt;=21,"21+")</f>
        <v>21+</v>
      </c>
      <c r="AE162">
        <v>4</v>
      </c>
      <c r="AF162">
        <v>1</v>
      </c>
      <c r="AG162">
        <v>80</v>
      </c>
      <c r="AH162">
        <v>2</v>
      </c>
      <c r="AI162">
        <v>2</v>
      </c>
      <c r="AJ162">
        <v>6</v>
      </c>
      <c r="AK162">
        <v>3</v>
      </c>
      <c r="AL162">
        <v>2</v>
      </c>
      <c r="AM162">
        <v>2</v>
      </c>
      <c r="AN162">
        <v>2</v>
      </c>
      <c r="AO162">
        <v>2</v>
      </c>
      <c r="AP16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62" t="str">
        <f>IF(HRData[[#This Row],[Attrition]]="Yes","Left", IF(HRData[[#This Row],[Attrition_Risk_Score]]&gt;=6,"High",IF(HRData[[#This Row],[Attrition_Risk_Score]]&gt;=3,"Medium","Low")))</f>
        <v>Medium</v>
      </c>
      <c r="AR162" t="str">
        <f>IF(HRData[[#This Row],[Attrition_Risk_Level]]&lt;&gt;"High","",HRData[[#This Row],[Attrition_Risk_Score]]*10000-HRData[[#This Row],[EmployeeNumber]])</f>
        <v/>
      </c>
    </row>
    <row r="163" spans="1:44">
      <c r="A163">
        <v>27</v>
      </c>
      <c r="B163" t="str" cm="1">
        <f t="array" ref="B163">_xlfn.IFS(
HRData[[#This Row],[Age]]&lt;=24,"18-24",
HRData[[#This Row],[Age]]&lt;=34,"25-34",
HRData[[#This Row],[Age]]&lt;=44,"35-44",
HRData[[#This Row],[Age]]&lt;=54,"45-54",
HRData[[#This Row],[Age]]&gt;=55,"55+"
)</f>
        <v>25-34</v>
      </c>
      <c r="C163" t="s">
        <v>43</v>
      </c>
      <c r="D163">
        <f>IF(HRData[[#This Row],[Attrition]]="Yes",1,0)</f>
        <v>0</v>
      </c>
      <c r="E163" t="s">
        <v>55</v>
      </c>
      <c r="F163">
        <v>691</v>
      </c>
      <c r="G163" t="s">
        <v>45</v>
      </c>
      <c r="H163">
        <v>9</v>
      </c>
      <c r="I163">
        <v>3</v>
      </c>
      <c r="J163" t="s">
        <v>51</v>
      </c>
      <c r="K163">
        <v>1</v>
      </c>
      <c r="L163">
        <v>218</v>
      </c>
      <c r="M163">
        <v>4</v>
      </c>
      <c r="N163" t="str" cm="1">
        <f t="array" ref="N163">_xlfn.IFS(HRData[[#This Row],[EnvironmentSatisfaction]]=1,"Very Dissatisfied",
HRData[[#This Row],[EnvironmentSatisfaction]]=2,"Dissatisfied",
HRData[[#This Row],[EnvironmentSatisfaction]]=3,"Satisfied",
HRData[[#This Row],[EnvironmentSatisfaction]]=4,"Very Satisfied"
)</f>
        <v>Very Satisfied</v>
      </c>
      <c r="O163" t="s">
        <v>46</v>
      </c>
      <c r="P163">
        <v>57</v>
      </c>
      <c r="Q163">
        <v>3</v>
      </c>
      <c r="R163">
        <v>1</v>
      </c>
      <c r="S163" t="s">
        <v>47</v>
      </c>
      <c r="T163">
        <v>2</v>
      </c>
      <c r="U163" t="str" cm="1">
        <f t="array" ref="U163">_xlfn.IFS(
HRData[[#This Row],[JobSatisfaction]]=1,"Very Dissatisfied",
HRData[[#This Row],[JobSatisfaction]]=2,"Dissatisfied",
HRData[[#This Row],[JobSatisfaction]]=3,"Satisfied",
HRData[[#This Row],[JobSatisfaction]]=4,"Very Satisfied"
)</f>
        <v>Dissatisfied</v>
      </c>
      <c r="V163" t="s">
        <v>52</v>
      </c>
      <c r="W163">
        <v>2024</v>
      </c>
      <c r="X163" t="str" cm="1">
        <f t="array" ref="X163">_xlfn.IFS(
HRData[[#This Row],[MonthlyIncome]]&lt;=4000,"Very Low Income",
HRData[[#This Row],[MonthlyIncome]]&lt;=8000,"Low Income",
HRData[[#This Row],[MonthlyIncome]]&lt;=12000,"Moderate Income",
HRData[[#This Row],[MonthlyIncome]]&lt;=16000,"High Income",
HRData[[#This Row],[MonthlyIncome]]&gt;16000,"Very High Income"
)</f>
        <v>Very Low Income</v>
      </c>
      <c r="Y163">
        <v>5970</v>
      </c>
      <c r="Z163">
        <v>6</v>
      </c>
      <c r="AA163" t="s">
        <v>42</v>
      </c>
      <c r="AB163" t="s">
        <v>43</v>
      </c>
      <c r="AC163">
        <v>18</v>
      </c>
      <c r="AD163" t="str" cm="1">
        <f t="array" ref="AD163">_xlfn.IFS(HRData[[#This Row],[PercentSalaryHike]]&lt;=15,"11-15",HRData[[#This Row],[PercentSalaryHike]]&lt;=20,"16-20",HRData[[#This Row],[PercentSalaryHike]]&gt;=21,"21+")</f>
        <v>16-20</v>
      </c>
      <c r="AE163">
        <v>3</v>
      </c>
      <c r="AF163">
        <v>4</v>
      </c>
      <c r="AG163">
        <v>80</v>
      </c>
      <c r="AH163">
        <v>1</v>
      </c>
      <c r="AI163">
        <v>6</v>
      </c>
      <c r="AJ163">
        <v>1</v>
      </c>
      <c r="AK163">
        <v>1</v>
      </c>
      <c r="AL163">
        <v>2</v>
      </c>
      <c r="AM163">
        <v>2</v>
      </c>
      <c r="AN163">
        <v>2</v>
      </c>
      <c r="AO163">
        <v>2</v>
      </c>
      <c r="AP16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63" t="str">
        <f>IF(HRData[[#This Row],[Attrition]]="Yes","Left", IF(HRData[[#This Row],[Attrition_Risk_Score]]&gt;=6,"High",IF(HRData[[#This Row],[Attrition_Risk_Score]]&gt;=3,"Medium","Low")))</f>
        <v>Medium</v>
      </c>
      <c r="AR163" t="str">
        <f>IF(HRData[[#This Row],[Attrition_Risk_Level]]&lt;&gt;"High","",HRData[[#This Row],[Attrition_Risk_Score]]*10000-HRData[[#This Row],[EmployeeNumber]])</f>
        <v/>
      </c>
    </row>
    <row r="164" spans="1:44">
      <c r="A164">
        <v>28</v>
      </c>
      <c r="B164" t="str" cm="1">
        <f t="array" ref="B164">_xlfn.IFS(
HRData[[#This Row],[Age]]&lt;=24,"18-24",
HRData[[#This Row],[Age]]&lt;=34,"25-34",
HRData[[#This Row],[Age]]&lt;=44,"35-44",
HRData[[#This Row],[Age]]&lt;=54,"45-54",
HRData[[#This Row],[Age]]&gt;=55,"55+"
)</f>
        <v>25-34</v>
      </c>
      <c r="C164" t="s">
        <v>43</v>
      </c>
      <c r="D164">
        <f>IF(HRData[[#This Row],[Attrition]]="Yes",1,0)</f>
        <v>0</v>
      </c>
      <c r="E164" t="s">
        <v>36</v>
      </c>
      <c r="F164">
        <v>440</v>
      </c>
      <c r="G164" t="s">
        <v>45</v>
      </c>
      <c r="H164">
        <v>21</v>
      </c>
      <c r="I164">
        <v>3</v>
      </c>
      <c r="J164" t="s">
        <v>51</v>
      </c>
      <c r="K164">
        <v>1</v>
      </c>
      <c r="L164">
        <v>221</v>
      </c>
      <c r="M164">
        <v>3</v>
      </c>
      <c r="N164" t="str" cm="1">
        <f t="array" ref="N164">_xlfn.IFS(HRData[[#This Row],[EnvironmentSatisfaction]]=1,"Very Dissatisfied",
HRData[[#This Row],[EnvironmentSatisfaction]]=2,"Dissatisfied",
HRData[[#This Row],[EnvironmentSatisfaction]]=3,"Satisfied",
HRData[[#This Row],[EnvironmentSatisfaction]]=4,"Very Satisfied"
)</f>
        <v>Satisfied</v>
      </c>
      <c r="O164" t="s">
        <v>46</v>
      </c>
      <c r="P164">
        <v>42</v>
      </c>
      <c r="Q164">
        <v>3</v>
      </c>
      <c r="R164">
        <v>1</v>
      </c>
      <c r="S164" t="s">
        <v>47</v>
      </c>
      <c r="T164">
        <v>4</v>
      </c>
      <c r="U164" t="str" cm="1">
        <f t="array" ref="U164">_xlfn.IFS(
HRData[[#This Row],[JobSatisfaction]]=1,"Very Dissatisfied",
HRData[[#This Row],[JobSatisfaction]]=2,"Dissatisfied",
HRData[[#This Row],[JobSatisfaction]]=3,"Satisfied",
HRData[[#This Row],[JobSatisfaction]]=4,"Very Satisfied"
)</f>
        <v>Very Satisfied</v>
      </c>
      <c r="V164" t="s">
        <v>48</v>
      </c>
      <c r="W164">
        <v>2713</v>
      </c>
      <c r="X164" t="str" cm="1">
        <f t="array" ref="X164">_xlfn.IFS(
HRData[[#This Row],[MonthlyIncome]]&lt;=4000,"Very Low Income",
HRData[[#This Row],[MonthlyIncome]]&lt;=8000,"Low Income",
HRData[[#This Row],[MonthlyIncome]]&lt;=12000,"Moderate Income",
HRData[[#This Row],[MonthlyIncome]]&lt;=16000,"High Income",
HRData[[#This Row],[MonthlyIncome]]&gt;16000,"Very High Income"
)</f>
        <v>Very Low Income</v>
      </c>
      <c r="Y164">
        <v>6672</v>
      </c>
      <c r="Z164">
        <v>1</v>
      </c>
      <c r="AA164" t="s">
        <v>42</v>
      </c>
      <c r="AB164" t="s">
        <v>43</v>
      </c>
      <c r="AC164">
        <v>11</v>
      </c>
      <c r="AD164" t="str" cm="1">
        <f t="array" ref="AD164">_xlfn.IFS(HRData[[#This Row],[PercentSalaryHike]]&lt;=15,"11-15",HRData[[#This Row],[PercentSalaryHike]]&lt;=20,"16-20",HRData[[#This Row],[PercentSalaryHike]]&gt;=21,"21+")</f>
        <v>11-15</v>
      </c>
      <c r="AE164">
        <v>3</v>
      </c>
      <c r="AF164">
        <v>3</v>
      </c>
      <c r="AG164">
        <v>80</v>
      </c>
      <c r="AH164">
        <v>1</v>
      </c>
      <c r="AI164">
        <v>5</v>
      </c>
      <c r="AJ164">
        <v>2</v>
      </c>
      <c r="AK164">
        <v>1</v>
      </c>
      <c r="AL164">
        <v>5</v>
      </c>
      <c r="AM164">
        <v>2</v>
      </c>
      <c r="AN164">
        <v>0</v>
      </c>
      <c r="AO164">
        <v>2</v>
      </c>
      <c r="AP16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64" t="str">
        <f>IF(HRData[[#This Row],[Attrition]]="Yes","Left", IF(HRData[[#This Row],[Attrition_Risk_Score]]&gt;=6,"High",IF(HRData[[#This Row],[Attrition_Risk_Score]]&gt;=3,"Medium","Low")))</f>
        <v>Medium</v>
      </c>
      <c r="AR164" t="str">
        <f>IF(HRData[[#This Row],[Attrition_Risk_Level]]&lt;&gt;"High","",HRData[[#This Row],[Attrition_Risk_Score]]*10000-HRData[[#This Row],[EmployeeNumber]])</f>
        <v/>
      </c>
    </row>
    <row r="165" spans="1:44">
      <c r="A165">
        <v>57</v>
      </c>
      <c r="B165" t="str" cm="1">
        <f t="array" ref="B165">_xlfn.IFS(
HRData[[#This Row],[Age]]&lt;=24,"18-24",
HRData[[#This Row],[Age]]&lt;=34,"25-34",
HRData[[#This Row],[Age]]&lt;=44,"35-44",
HRData[[#This Row],[Age]]&lt;=54,"45-54",
HRData[[#This Row],[Age]]&gt;=55,"55+"
)</f>
        <v>55+</v>
      </c>
      <c r="C165" t="s">
        <v>43</v>
      </c>
      <c r="D165">
        <f>IF(HRData[[#This Row],[Attrition]]="Yes",1,0)</f>
        <v>0</v>
      </c>
      <c r="E165" t="s">
        <v>36</v>
      </c>
      <c r="F165">
        <v>334</v>
      </c>
      <c r="G165" t="s">
        <v>45</v>
      </c>
      <c r="H165">
        <v>24</v>
      </c>
      <c r="I165">
        <v>2</v>
      </c>
      <c r="J165" t="s">
        <v>38</v>
      </c>
      <c r="K165">
        <v>1</v>
      </c>
      <c r="L165">
        <v>223</v>
      </c>
      <c r="M165">
        <v>3</v>
      </c>
      <c r="N165" t="str" cm="1">
        <f t="array" ref="N165">_xlfn.IFS(HRData[[#This Row],[EnvironmentSatisfaction]]=1,"Very Dissatisfied",
HRData[[#This Row],[EnvironmentSatisfaction]]=2,"Dissatisfied",
HRData[[#This Row],[EnvironmentSatisfaction]]=3,"Satisfied",
HRData[[#This Row],[EnvironmentSatisfaction]]=4,"Very Satisfied"
)</f>
        <v>Satisfied</v>
      </c>
      <c r="O165" t="s">
        <v>46</v>
      </c>
      <c r="P165">
        <v>83</v>
      </c>
      <c r="Q165">
        <v>4</v>
      </c>
      <c r="R165">
        <v>3</v>
      </c>
      <c r="S165" t="s">
        <v>54</v>
      </c>
      <c r="T165">
        <v>4</v>
      </c>
      <c r="U165" t="str" cm="1">
        <f t="array" ref="U165">_xlfn.IFS(
HRData[[#This Row],[JobSatisfaction]]=1,"Very Dissatisfied",
HRData[[#This Row],[JobSatisfaction]]=2,"Dissatisfied",
HRData[[#This Row],[JobSatisfaction]]=3,"Satisfied",
HRData[[#This Row],[JobSatisfaction]]=4,"Very Satisfied"
)</f>
        <v>Very Satisfied</v>
      </c>
      <c r="V165" t="s">
        <v>52</v>
      </c>
      <c r="W165">
        <v>9439</v>
      </c>
      <c r="X165" t="str" cm="1">
        <f t="array" ref="X165">_xlfn.IFS(
HRData[[#This Row],[MonthlyIncome]]&lt;=4000,"Very Low Income",
HRData[[#This Row],[MonthlyIncome]]&lt;=8000,"Low Income",
HRData[[#This Row],[MonthlyIncome]]&lt;=12000,"Moderate Income",
HRData[[#This Row],[MonthlyIncome]]&lt;=16000,"High Income",
HRData[[#This Row],[MonthlyIncome]]&gt;16000,"Very High Income"
)</f>
        <v>Moderate Income</v>
      </c>
      <c r="Y165">
        <v>23402</v>
      </c>
      <c r="Z165">
        <v>3</v>
      </c>
      <c r="AA165" t="s">
        <v>42</v>
      </c>
      <c r="AB165" t="s">
        <v>35</v>
      </c>
      <c r="AC165">
        <v>16</v>
      </c>
      <c r="AD165" t="str" cm="1">
        <f t="array" ref="AD165">_xlfn.IFS(HRData[[#This Row],[PercentSalaryHike]]&lt;=15,"11-15",HRData[[#This Row],[PercentSalaryHike]]&lt;=20,"16-20",HRData[[#This Row],[PercentSalaryHike]]&gt;=21,"21+")</f>
        <v>16-20</v>
      </c>
      <c r="AE165">
        <v>3</v>
      </c>
      <c r="AF165">
        <v>2</v>
      </c>
      <c r="AG165">
        <v>80</v>
      </c>
      <c r="AH165">
        <v>1</v>
      </c>
      <c r="AI165">
        <v>12</v>
      </c>
      <c r="AJ165">
        <v>2</v>
      </c>
      <c r="AK165">
        <v>1</v>
      </c>
      <c r="AL165">
        <v>5</v>
      </c>
      <c r="AM165">
        <v>3</v>
      </c>
      <c r="AN165">
        <v>1</v>
      </c>
      <c r="AO165">
        <v>4</v>
      </c>
      <c r="AP16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65" t="str">
        <f>IF(HRData[[#This Row],[Attrition]]="Yes","Left", IF(HRData[[#This Row],[Attrition_Risk_Score]]&gt;=6,"High",IF(HRData[[#This Row],[Attrition_Risk_Score]]&gt;=3,"Medium","Low")))</f>
        <v>Low</v>
      </c>
      <c r="AR165" t="str">
        <f>IF(HRData[[#This Row],[Attrition_Risk_Level]]&lt;&gt;"High","",HRData[[#This Row],[Attrition_Risk_Score]]*10000-HRData[[#This Row],[EmployeeNumber]])</f>
        <v/>
      </c>
    </row>
    <row r="166" spans="1:44">
      <c r="A166">
        <v>27</v>
      </c>
      <c r="B166" t="str" cm="1">
        <f t="array" ref="B166">_xlfn.IFS(
HRData[[#This Row],[Age]]&lt;=24,"18-24",
HRData[[#This Row],[Age]]&lt;=34,"25-34",
HRData[[#This Row],[Age]]&lt;=44,"35-44",
HRData[[#This Row],[Age]]&lt;=54,"45-54",
HRData[[#This Row],[Age]]&gt;=55,"55+"
)</f>
        <v>25-34</v>
      </c>
      <c r="C166" t="s">
        <v>43</v>
      </c>
      <c r="D166">
        <f>IF(HRData[[#This Row],[Attrition]]="Yes",1,0)</f>
        <v>0</v>
      </c>
      <c r="E166" t="s">
        <v>55</v>
      </c>
      <c r="F166">
        <v>1450</v>
      </c>
      <c r="G166" t="s">
        <v>45</v>
      </c>
      <c r="H166">
        <v>3</v>
      </c>
      <c r="I166">
        <v>3</v>
      </c>
      <c r="J166" t="s">
        <v>51</v>
      </c>
      <c r="K166">
        <v>1</v>
      </c>
      <c r="L166">
        <v>224</v>
      </c>
      <c r="M166">
        <v>3</v>
      </c>
      <c r="N166" t="str" cm="1">
        <f t="array" ref="N166">_xlfn.IFS(HRData[[#This Row],[EnvironmentSatisfaction]]=1,"Very Dissatisfied",
HRData[[#This Row],[EnvironmentSatisfaction]]=2,"Dissatisfied",
HRData[[#This Row],[EnvironmentSatisfaction]]=3,"Satisfied",
HRData[[#This Row],[EnvironmentSatisfaction]]=4,"Very Satisfied"
)</f>
        <v>Satisfied</v>
      </c>
      <c r="O166" t="s">
        <v>46</v>
      </c>
      <c r="P166">
        <v>79</v>
      </c>
      <c r="Q166">
        <v>2</v>
      </c>
      <c r="R166">
        <v>1</v>
      </c>
      <c r="S166" t="s">
        <v>47</v>
      </c>
      <c r="T166">
        <v>3</v>
      </c>
      <c r="U166" t="str" cm="1">
        <f t="array" ref="U166">_xlfn.IFS(
HRData[[#This Row],[JobSatisfaction]]=1,"Very Dissatisfied",
HRData[[#This Row],[JobSatisfaction]]=2,"Dissatisfied",
HRData[[#This Row],[JobSatisfaction]]=3,"Satisfied",
HRData[[#This Row],[JobSatisfaction]]=4,"Very Satisfied"
)</f>
        <v>Satisfied</v>
      </c>
      <c r="V166" t="s">
        <v>52</v>
      </c>
      <c r="W166">
        <v>2566</v>
      </c>
      <c r="X166" t="str" cm="1">
        <f t="array" ref="X166">_xlfn.IFS(
HRData[[#This Row],[MonthlyIncome]]&lt;=4000,"Very Low Income",
HRData[[#This Row],[MonthlyIncome]]&lt;=8000,"Low Income",
HRData[[#This Row],[MonthlyIncome]]&lt;=12000,"Moderate Income",
HRData[[#This Row],[MonthlyIncome]]&lt;=16000,"High Income",
HRData[[#This Row],[MonthlyIncome]]&gt;16000,"Very High Income"
)</f>
        <v>Very Low Income</v>
      </c>
      <c r="Y166">
        <v>25326</v>
      </c>
      <c r="Z166">
        <v>1</v>
      </c>
      <c r="AA166" t="s">
        <v>42</v>
      </c>
      <c r="AB166" t="s">
        <v>35</v>
      </c>
      <c r="AC166">
        <v>15</v>
      </c>
      <c r="AD166" t="str" cm="1">
        <f t="array" ref="AD166">_xlfn.IFS(HRData[[#This Row],[PercentSalaryHike]]&lt;=15,"11-15",HRData[[#This Row],[PercentSalaryHike]]&lt;=20,"16-20",HRData[[#This Row],[PercentSalaryHike]]&gt;=21,"21+")</f>
        <v>11-15</v>
      </c>
      <c r="AE166">
        <v>3</v>
      </c>
      <c r="AF166">
        <v>4</v>
      </c>
      <c r="AG166">
        <v>80</v>
      </c>
      <c r="AH166">
        <v>1</v>
      </c>
      <c r="AI166">
        <v>1</v>
      </c>
      <c r="AJ166">
        <v>2</v>
      </c>
      <c r="AK166">
        <v>2</v>
      </c>
      <c r="AL166">
        <v>1</v>
      </c>
      <c r="AM166">
        <v>1</v>
      </c>
      <c r="AN166">
        <v>0</v>
      </c>
      <c r="AO166">
        <v>1</v>
      </c>
      <c r="AP16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66" t="str">
        <f>IF(HRData[[#This Row],[Attrition]]="Yes","Left", IF(HRData[[#This Row],[Attrition_Risk_Score]]&gt;=6,"High",IF(HRData[[#This Row],[Attrition_Risk_Score]]&gt;=3,"Medium","Low")))</f>
        <v>Medium</v>
      </c>
      <c r="AR166" t="str">
        <f>IF(HRData[[#This Row],[Attrition_Risk_Level]]&lt;&gt;"High","",HRData[[#This Row],[Attrition_Risk_Score]]*10000-HRData[[#This Row],[EmployeeNumber]])</f>
        <v/>
      </c>
    </row>
    <row r="167" spans="1:44">
      <c r="A167">
        <v>50</v>
      </c>
      <c r="B167" t="str" cm="1">
        <f t="array" ref="B167">_xlfn.IFS(
HRData[[#This Row],[Age]]&lt;=24,"18-24",
HRData[[#This Row],[Age]]&lt;=34,"25-34",
HRData[[#This Row],[Age]]&lt;=44,"35-44",
HRData[[#This Row],[Age]]&lt;=54,"45-54",
HRData[[#This Row],[Age]]&gt;=55,"55+"
)</f>
        <v>45-54</v>
      </c>
      <c r="C167" t="s">
        <v>43</v>
      </c>
      <c r="D167">
        <f>IF(HRData[[#This Row],[Attrition]]="Yes",1,0)</f>
        <v>0</v>
      </c>
      <c r="E167" t="s">
        <v>36</v>
      </c>
      <c r="F167">
        <v>1452</v>
      </c>
      <c r="G167" t="s">
        <v>45</v>
      </c>
      <c r="H167">
        <v>11</v>
      </c>
      <c r="I167">
        <v>3</v>
      </c>
      <c r="J167" t="s">
        <v>38</v>
      </c>
      <c r="K167">
        <v>1</v>
      </c>
      <c r="L167">
        <v>226</v>
      </c>
      <c r="M167">
        <v>3</v>
      </c>
      <c r="N167" t="str" cm="1">
        <f t="array" ref="N167">_xlfn.IFS(HRData[[#This Row],[EnvironmentSatisfaction]]=1,"Very Dissatisfied",
HRData[[#This Row],[EnvironmentSatisfaction]]=2,"Dissatisfied",
HRData[[#This Row],[EnvironmentSatisfaction]]=3,"Satisfied",
HRData[[#This Row],[EnvironmentSatisfaction]]=4,"Very Satisfied"
)</f>
        <v>Satisfied</v>
      </c>
      <c r="O167" t="s">
        <v>39</v>
      </c>
      <c r="P167">
        <v>53</v>
      </c>
      <c r="Q167">
        <v>3</v>
      </c>
      <c r="R167">
        <v>5</v>
      </c>
      <c r="S167" t="s">
        <v>56</v>
      </c>
      <c r="T167">
        <v>2</v>
      </c>
      <c r="U167" t="str" cm="1">
        <f t="array" ref="U167">_xlfn.IFS(
HRData[[#This Row],[JobSatisfaction]]=1,"Very Dissatisfied",
HRData[[#This Row],[JobSatisfaction]]=2,"Dissatisfied",
HRData[[#This Row],[JobSatisfaction]]=3,"Satisfied",
HRData[[#This Row],[JobSatisfaction]]=4,"Very Satisfied"
)</f>
        <v>Dissatisfied</v>
      </c>
      <c r="V167" t="s">
        <v>41</v>
      </c>
      <c r="W167">
        <v>19926</v>
      </c>
      <c r="X167" t="str" cm="1">
        <f t="array" ref="X167">_xlfn.IFS(
HRData[[#This Row],[MonthlyIncome]]&lt;=4000,"Very Low Income",
HRData[[#This Row],[MonthlyIncome]]&lt;=8000,"Low Income",
HRData[[#This Row],[MonthlyIncome]]&lt;=12000,"Moderate Income",
HRData[[#This Row],[MonthlyIncome]]&lt;=16000,"High Income",
HRData[[#This Row],[MonthlyIncome]]&gt;16000,"Very High Income"
)</f>
        <v>Very High Income</v>
      </c>
      <c r="Y167">
        <v>17053</v>
      </c>
      <c r="Z167">
        <v>3</v>
      </c>
      <c r="AA167" t="s">
        <v>42</v>
      </c>
      <c r="AB167" t="s">
        <v>43</v>
      </c>
      <c r="AC167">
        <v>15</v>
      </c>
      <c r="AD167" t="str" cm="1">
        <f t="array" ref="AD167">_xlfn.IFS(HRData[[#This Row],[PercentSalaryHike]]&lt;=15,"11-15",HRData[[#This Row],[PercentSalaryHike]]&lt;=20,"16-20",HRData[[#This Row],[PercentSalaryHike]]&gt;=21,"21+")</f>
        <v>11-15</v>
      </c>
      <c r="AE167">
        <v>3</v>
      </c>
      <c r="AF167">
        <v>2</v>
      </c>
      <c r="AG167">
        <v>80</v>
      </c>
      <c r="AH167">
        <v>0</v>
      </c>
      <c r="AI167">
        <v>21</v>
      </c>
      <c r="AJ167">
        <v>5</v>
      </c>
      <c r="AK167">
        <v>3</v>
      </c>
      <c r="AL167">
        <v>5</v>
      </c>
      <c r="AM167">
        <v>4</v>
      </c>
      <c r="AN167">
        <v>4</v>
      </c>
      <c r="AO167">
        <v>4</v>
      </c>
      <c r="AP16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67" t="str">
        <f>IF(HRData[[#This Row],[Attrition]]="Yes","Left", IF(HRData[[#This Row],[Attrition_Risk_Score]]&gt;=6,"High",IF(HRData[[#This Row],[Attrition_Risk_Score]]&gt;=3,"Medium","Low")))</f>
        <v>Low</v>
      </c>
      <c r="AR167" t="str">
        <f>IF(HRData[[#This Row],[Attrition_Risk_Level]]&lt;&gt;"High","",HRData[[#This Row],[Attrition_Risk_Score]]*10000-HRData[[#This Row],[EmployeeNumber]])</f>
        <v/>
      </c>
    </row>
    <row r="168" spans="1:44">
      <c r="A168">
        <v>41</v>
      </c>
      <c r="B168" t="str" cm="1">
        <f t="array" ref="B168">_xlfn.IFS(
HRData[[#This Row],[Age]]&lt;=24,"18-24",
HRData[[#This Row],[Age]]&lt;=34,"25-34",
HRData[[#This Row],[Age]]&lt;=44,"35-44",
HRData[[#This Row],[Age]]&lt;=54,"45-54",
HRData[[#This Row],[Age]]&gt;=55,"55+"
)</f>
        <v>35-44</v>
      </c>
      <c r="C168" t="s">
        <v>43</v>
      </c>
      <c r="D168">
        <f>IF(HRData[[#This Row],[Attrition]]="Yes",1,0)</f>
        <v>0</v>
      </c>
      <c r="E168" t="s">
        <v>36</v>
      </c>
      <c r="F168">
        <v>465</v>
      </c>
      <c r="G168" t="s">
        <v>45</v>
      </c>
      <c r="H168">
        <v>14</v>
      </c>
      <c r="I168">
        <v>3</v>
      </c>
      <c r="J168" t="s">
        <v>38</v>
      </c>
      <c r="K168">
        <v>1</v>
      </c>
      <c r="L168">
        <v>227</v>
      </c>
      <c r="M168">
        <v>1</v>
      </c>
      <c r="N168" t="str" cm="1">
        <f t="array" ref="N168">_xlfn.IFS(HRData[[#This Row],[EnvironmentSatisfaction]]=1,"Very Dissatisfied",
HRData[[#This Row],[EnvironmentSatisfaction]]=2,"Dissatisfied",
HRData[[#This Row],[EnvironmentSatisfaction]]=3,"Satisfied",
HRData[[#This Row],[EnvironmentSatisfaction]]=4,"Very Satisfied"
)</f>
        <v>Very Dissatisfied</v>
      </c>
      <c r="O168" t="s">
        <v>46</v>
      </c>
      <c r="P168">
        <v>56</v>
      </c>
      <c r="Q168">
        <v>3</v>
      </c>
      <c r="R168">
        <v>1</v>
      </c>
      <c r="S168" t="s">
        <v>47</v>
      </c>
      <c r="T168">
        <v>3</v>
      </c>
      <c r="U168" t="str" cm="1">
        <f t="array" ref="U168">_xlfn.IFS(
HRData[[#This Row],[JobSatisfaction]]=1,"Very Dissatisfied",
HRData[[#This Row],[JobSatisfaction]]=2,"Dissatisfied",
HRData[[#This Row],[JobSatisfaction]]=3,"Satisfied",
HRData[[#This Row],[JobSatisfaction]]=4,"Very Satisfied"
)</f>
        <v>Satisfied</v>
      </c>
      <c r="V168" t="s">
        <v>52</v>
      </c>
      <c r="W168">
        <v>2451</v>
      </c>
      <c r="X168" t="str" cm="1">
        <f t="array" ref="X168">_xlfn.IFS(
HRData[[#This Row],[MonthlyIncome]]&lt;=4000,"Very Low Income",
HRData[[#This Row],[MonthlyIncome]]&lt;=8000,"Low Income",
HRData[[#This Row],[MonthlyIncome]]&lt;=12000,"Moderate Income",
HRData[[#This Row],[MonthlyIncome]]&lt;=16000,"High Income",
HRData[[#This Row],[MonthlyIncome]]&gt;16000,"Very High Income"
)</f>
        <v>Very Low Income</v>
      </c>
      <c r="Y168">
        <v>4609</v>
      </c>
      <c r="Z168">
        <v>4</v>
      </c>
      <c r="AA168" t="s">
        <v>42</v>
      </c>
      <c r="AB168" t="s">
        <v>43</v>
      </c>
      <c r="AC168">
        <v>12</v>
      </c>
      <c r="AD168" t="str" cm="1">
        <f t="array" ref="AD168">_xlfn.IFS(HRData[[#This Row],[PercentSalaryHike]]&lt;=15,"11-15",HRData[[#This Row],[PercentSalaryHike]]&lt;=20,"16-20",HRData[[#This Row],[PercentSalaryHike]]&gt;=21,"21+")</f>
        <v>11-15</v>
      </c>
      <c r="AE168">
        <v>3</v>
      </c>
      <c r="AF168">
        <v>1</v>
      </c>
      <c r="AG168">
        <v>80</v>
      </c>
      <c r="AH168">
        <v>1</v>
      </c>
      <c r="AI168">
        <v>13</v>
      </c>
      <c r="AJ168">
        <v>2</v>
      </c>
      <c r="AK168">
        <v>3</v>
      </c>
      <c r="AL168">
        <v>9</v>
      </c>
      <c r="AM168">
        <v>8</v>
      </c>
      <c r="AN168">
        <v>1</v>
      </c>
      <c r="AO168">
        <v>8</v>
      </c>
      <c r="AP16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68" t="str">
        <f>IF(HRData[[#This Row],[Attrition]]="Yes","Left", IF(HRData[[#This Row],[Attrition_Risk_Score]]&gt;=6,"High",IF(HRData[[#This Row],[Attrition_Risk_Score]]&gt;=3,"Medium","Low")))</f>
        <v>Low</v>
      </c>
      <c r="AR168" t="str">
        <f>IF(HRData[[#This Row],[Attrition_Risk_Level]]&lt;&gt;"High","",HRData[[#This Row],[Attrition_Risk_Score]]*10000-HRData[[#This Row],[EmployeeNumber]])</f>
        <v/>
      </c>
    </row>
    <row r="169" spans="1:44">
      <c r="A169">
        <v>30</v>
      </c>
      <c r="B169" t="str" cm="1">
        <f t="array" ref="B169">_xlfn.IFS(
HRData[[#This Row],[Age]]&lt;=24,"18-24",
HRData[[#This Row],[Age]]&lt;=34,"25-34",
HRData[[#This Row],[Age]]&lt;=44,"35-44",
HRData[[#This Row],[Age]]&lt;=54,"45-54",
HRData[[#This Row],[Age]]&gt;=55,"55+"
)</f>
        <v>25-34</v>
      </c>
      <c r="C169" t="s">
        <v>43</v>
      </c>
      <c r="D169">
        <f>IF(HRData[[#This Row],[Attrition]]="Yes",1,0)</f>
        <v>0</v>
      </c>
      <c r="E169" t="s">
        <v>36</v>
      </c>
      <c r="F169">
        <v>1339</v>
      </c>
      <c r="G169" t="s">
        <v>37</v>
      </c>
      <c r="H169">
        <v>5</v>
      </c>
      <c r="I169">
        <v>3</v>
      </c>
      <c r="J169" t="s">
        <v>38</v>
      </c>
      <c r="K169">
        <v>1</v>
      </c>
      <c r="L169">
        <v>228</v>
      </c>
      <c r="M169">
        <v>2</v>
      </c>
      <c r="N169" t="str" cm="1">
        <f t="array" ref="N169">_xlfn.IFS(HRData[[#This Row],[EnvironmentSatisfaction]]=1,"Very Dissatisfied",
HRData[[#This Row],[EnvironmentSatisfaction]]=2,"Dissatisfied",
HRData[[#This Row],[EnvironmentSatisfaction]]=3,"Satisfied",
HRData[[#This Row],[EnvironmentSatisfaction]]=4,"Very Satisfied"
)</f>
        <v>Dissatisfied</v>
      </c>
      <c r="O169" t="s">
        <v>39</v>
      </c>
      <c r="P169">
        <v>41</v>
      </c>
      <c r="Q169">
        <v>3</v>
      </c>
      <c r="R169">
        <v>3</v>
      </c>
      <c r="S169" t="s">
        <v>40</v>
      </c>
      <c r="T169">
        <v>4</v>
      </c>
      <c r="U169" t="str" cm="1">
        <f t="array" ref="U169">_xlfn.IFS(
HRData[[#This Row],[JobSatisfaction]]=1,"Very Dissatisfied",
HRData[[#This Row],[JobSatisfaction]]=2,"Dissatisfied",
HRData[[#This Row],[JobSatisfaction]]=3,"Satisfied",
HRData[[#This Row],[JobSatisfaction]]=4,"Very Satisfied"
)</f>
        <v>Very Satisfied</v>
      </c>
      <c r="V169" t="s">
        <v>48</v>
      </c>
      <c r="W169">
        <v>9419</v>
      </c>
      <c r="X169" t="str" cm="1">
        <f t="array" ref="X169">_xlfn.IFS(
HRData[[#This Row],[MonthlyIncome]]&lt;=4000,"Very Low Income",
HRData[[#This Row],[MonthlyIncome]]&lt;=8000,"Low Income",
HRData[[#This Row],[MonthlyIncome]]&lt;=12000,"Moderate Income",
HRData[[#This Row],[MonthlyIncome]]&lt;=16000,"High Income",
HRData[[#This Row],[MonthlyIncome]]&gt;16000,"Very High Income"
)</f>
        <v>Moderate Income</v>
      </c>
      <c r="Y169">
        <v>8053</v>
      </c>
      <c r="Z169">
        <v>2</v>
      </c>
      <c r="AA169" t="s">
        <v>42</v>
      </c>
      <c r="AB169" t="s">
        <v>43</v>
      </c>
      <c r="AC169">
        <v>12</v>
      </c>
      <c r="AD169" t="str" cm="1">
        <f t="array" ref="AD169">_xlfn.IFS(HRData[[#This Row],[PercentSalaryHike]]&lt;=15,"11-15",HRData[[#This Row],[PercentSalaryHike]]&lt;=20,"16-20",HRData[[#This Row],[PercentSalaryHike]]&gt;=21,"21+")</f>
        <v>11-15</v>
      </c>
      <c r="AE169">
        <v>3</v>
      </c>
      <c r="AF169">
        <v>3</v>
      </c>
      <c r="AG169">
        <v>80</v>
      </c>
      <c r="AH169">
        <v>1</v>
      </c>
      <c r="AI169">
        <v>12</v>
      </c>
      <c r="AJ169">
        <v>2</v>
      </c>
      <c r="AK169">
        <v>3</v>
      </c>
      <c r="AL169">
        <v>10</v>
      </c>
      <c r="AM169">
        <v>9</v>
      </c>
      <c r="AN169">
        <v>7</v>
      </c>
      <c r="AO169">
        <v>4</v>
      </c>
      <c r="AP16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69" t="str">
        <f>IF(HRData[[#This Row],[Attrition]]="Yes","Left", IF(HRData[[#This Row],[Attrition_Risk_Score]]&gt;=6,"High",IF(HRData[[#This Row],[Attrition_Risk_Score]]&gt;=3,"Medium","Low")))</f>
        <v>Low</v>
      </c>
      <c r="AR169" t="str">
        <f>IF(HRData[[#This Row],[Attrition_Risk_Level]]&lt;&gt;"High","",HRData[[#This Row],[Attrition_Risk_Score]]*10000-HRData[[#This Row],[EmployeeNumber]])</f>
        <v/>
      </c>
    </row>
    <row r="170" spans="1:44">
      <c r="A170">
        <v>38</v>
      </c>
      <c r="B170" t="str" cm="1">
        <f t="array" ref="B170">_xlfn.IFS(
HRData[[#This Row],[Age]]&lt;=24,"18-24",
HRData[[#This Row],[Age]]&lt;=34,"25-34",
HRData[[#This Row],[Age]]&lt;=44,"35-44",
HRData[[#This Row],[Age]]&lt;=54,"45-54",
HRData[[#This Row],[Age]]&gt;=55,"55+"
)</f>
        <v>35-44</v>
      </c>
      <c r="C170" t="s">
        <v>43</v>
      </c>
      <c r="D170">
        <f>IF(HRData[[#This Row],[Attrition]]="Yes",1,0)</f>
        <v>0</v>
      </c>
      <c r="E170" t="s">
        <v>36</v>
      </c>
      <c r="F170">
        <v>702</v>
      </c>
      <c r="G170" t="s">
        <v>37</v>
      </c>
      <c r="H170">
        <v>1</v>
      </c>
      <c r="I170">
        <v>4</v>
      </c>
      <c r="J170" t="s">
        <v>38</v>
      </c>
      <c r="K170">
        <v>1</v>
      </c>
      <c r="L170">
        <v>230</v>
      </c>
      <c r="M170">
        <v>1</v>
      </c>
      <c r="N170" t="str" cm="1">
        <f t="array" ref="N170">_xlfn.IFS(HRData[[#This Row],[EnvironmentSatisfaction]]=1,"Very Dissatisfied",
HRData[[#This Row],[EnvironmentSatisfaction]]=2,"Dissatisfied",
HRData[[#This Row],[EnvironmentSatisfaction]]=3,"Satisfied",
HRData[[#This Row],[EnvironmentSatisfaction]]=4,"Very Satisfied"
)</f>
        <v>Very Dissatisfied</v>
      </c>
      <c r="O170" t="s">
        <v>39</v>
      </c>
      <c r="P170">
        <v>59</v>
      </c>
      <c r="Q170">
        <v>2</v>
      </c>
      <c r="R170">
        <v>2</v>
      </c>
      <c r="S170" t="s">
        <v>40</v>
      </c>
      <c r="T170">
        <v>4</v>
      </c>
      <c r="U170" t="str" cm="1">
        <f t="array" ref="U170">_xlfn.IFS(
HRData[[#This Row],[JobSatisfaction]]=1,"Very Dissatisfied",
HRData[[#This Row],[JobSatisfaction]]=2,"Dissatisfied",
HRData[[#This Row],[JobSatisfaction]]=3,"Satisfied",
HRData[[#This Row],[JobSatisfaction]]=4,"Very Satisfied"
)</f>
        <v>Very Satisfied</v>
      </c>
      <c r="V170" t="s">
        <v>41</v>
      </c>
      <c r="W170">
        <v>8686</v>
      </c>
      <c r="X170" t="str" cm="1">
        <f t="array" ref="X170">_xlfn.IFS(
HRData[[#This Row],[MonthlyIncome]]&lt;=4000,"Very Low Income",
HRData[[#This Row],[MonthlyIncome]]&lt;=8000,"Low Income",
HRData[[#This Row],[MonthlyIncome]]&lt;=12000,"Moderate Income",
HRData[[#This Row],[MonthlyIncome]]&lt;=16000,"High Income",
HRData[[#This Row],[MonthlyIncome]]&gt;16000,"Very High Income"
)</f>
        <v>Moderate Income</v>
      </c>
      <c r="Y170">
        <v>12930</v>
      </c>
      <c r="Z170">
        <v>4</v>
      </c>
      <c r="AA170" t="s">
        <v>42</v>
      </c>
      <c r="AB170" t="s">
        <v>43</v>
      </c>
      <c r="AC170">
        <v>22</v>
      </c>
      <c r="AD170" t="str" cm="1">
        <f t="array" ref="AD170">_xlfn.IFS(HRData[[#This Row],[PercentSalaryHike]]&lt;=15,"11-15",HRData[[#This Row],[PercentSalaryHike]]&lt;=20,"16-20",HRData[[#This Row],[PercentSalaryHike]]&gt;=21,"21+")</f>
        <v>21+</v>
      </c>
      <c r="AE170">
        <v>4</v>
      </c>
      <c r="AF170">
        <v>3</v>
      </c>
      <c r="AG170">
        <v>80</v>
      </c>
      <c r="AH170">
        <v>0</v>
      </c>
      <c r="AI170">
        <v>12</v>
      </c>
      <c r="AJ170">
        <v>2</v>
      </c>
      <c r="AK170">
        <v>4</v>
      </c>
      <c r="AL170">
        <v>8</v>
      </c>
      <c r="AM170">
        <v>3</v>
      </c>
      <c r="AN170">
        <v>0</v>
      </c>
      <c r="AO170">
        <v>7</v>
      </c>
      <c r="AP17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70" t="str">
        <f>IF(HRData[[#This Row],[Attrition]]="Yes","Left", IF(HRData[[#This Row],[Attrition_Risk_Score]]&gt;=6,"High",IF(HRData[[#This Row],[Attrition_Risk_Score]]&gt;=3,"Medium","Low")))</f>
        <v>Low</v>
      </c>
      <c r="AR170" t="str">
        <f>IF(HRData[[#This Row],[Attrition_Risk_Level]]&lt;&gt;"High","",HRData[[#This Row],[Attrition_Risk_Score]]*10000-HRData[[#This Row],[EmployeeNumber]])</f>
        <v/>
      </c>
    </row>
    <row r="171" spans="1:44">
      <c r="A171">
        <v>32</v>
      </c>
      <c r="B171" t="str" cm="1">
        <f t="array" ref="B171">_xlfn.IFS(
HRData[[#This Row],[Age]]&lt;=24,"18-24",
HRData[[#This Row],[Age]]&lt;=34,"25-34",
HRData[[#This Row],[Age]]&lt;=44,"35-44",
HRData[[#This Row],[Age]]&lt;=54,"45-54",
HRData[[#This Row],[Age]]&gt;=55,"55+"
)</f>
        <v>25-34</v>
      </c>
      <c r="C171" t="s">
        <v>43</v>
      </c>
      <c r="D171">
        <f>IF(HRData[[#This Row],[Attrition]]="Yes",1,0)</f>
        <v>0</v>
      </c>
      <c r="E171" t="s">
        <v>36</v>
      </c>
      <c r="F171">
        <v>120</v>
      </c>
      <c r="G171" t="s">
        <v>45</v>
      </c>
      <c r="H171">
        <v>6</v>
      </c>
      <c r="I171">
        <v>5</v>
      </c>
      <c r="J171" t="s">
        <v>38</v>
      </c>
      <c r="K171">
        <v>1</v>
      </c>
      <c r="L171">
        <v>231</v>
      </c>
      <c r="M171">
        <v>3</v>
      </c>
      <c r="N171" t="str" cm="1">
        <f t="array" ref="N171">_xlfn.IFS(HRData[[#This Row],[EnvironmentSatisfaction]]=1,"Very Dissatisfied",
HRData[[#This Row],[EnvironmentSatisfaction]]=2,"Dissatisfied",
HRData[[#This Row],[EnvironmentSatisfaction]]=3,"Satisfied",
HRData[[#This Row],[EnvironmentSatisfaction]]=4,"Very Satisfied"
)</f>
        <v>Satisfied</v>
      </c>
      <c r="O171" t="s">
        <v>46</v>
      </c>
      <c r="P171">
        <v>43</v>
      </c>
      <c r="Q171">
        <v>3</v>
      </c>
      <c r="R171">
        <v>1</v>
      </c>
      <c r="S171" t="s">
        <v>47</v>
      </c>
      <c r="T171">
        <v>3</v>
      </c>
      <c r="U171" t="str" cm="1">
        <f t="array" ref="U171">_xlfn.IFS(
HRData[[#This Row],[JobSatisfaction]]=1,"Very Dissatisfied",
HRData[[#This Row],[JobSatisfaction]]=2,"Dissatisfied",
HRData[[#This Row],[JobSatisfaction]]=3,"Satisfied",
HRData[[#This Row],[JobSatisfaction]]=4,"Very Satisfied"
)</f>
        <v>Satisfied</v>
      </c>
      <c r="V171" t="s">
        <v>41</v>
      </c>
      <c r="W171">
        <v>3038</v>
      </c>
      <c r="X171" t="str" cm="1">
        <f t="array" ref="X171">_xlfn.IFS(
HRData[[#This Row],[MonthlyIncome]]&lt;=4000,"Very Low Income",
HRData[[#This Row],[MonthlyIncome]]&lt;=8000,"Low Income",
HRData[[#This Row],[MonthlyIncome]]&lt;=12000,"Moderate Income",
HRData[[#This Row],[MonthlyIncome]]&lt;=16000,"High Income",
HRData[[#This Row],[MonthlyIncome]]&gt;16000,"Very High Income"
)</f>
        <v>Very Low Income</v>
      </c>
      <c r="Y171">
        <v>12430</v>
      </c>
      <c r="Z171">
        <v>3</v>
      </c>
      <c r="AA171" t="s">
        <v>42</v>
      </c>
      <c r="AB171" t="s">
        <v>43</v>
      </c>
      <c r="AC171">
        <v>20</v>
      </c>
      <c r="AD171" t="str" cm="1">
        <f t="array" ref="AD171">_xlfn.IFS(HRData[[#This Row],[PercentSalaryHike]]&lt;=15,"11-15",HRData[[#This Row],[PercentSalaryHike]]&lt;=20,"16-20",HRData[[#This Row],[PercentSalaryHike]]&gt;=21,"21+")</f>
        <v>16-20</v>
      </c>
      <c r="AE171">
        <v>4</v>
      </c>
      <c r="AF171">
        <v>1</v>
      </c>
      <c r="AG171">
        <v>80</v>
      </c>
      <c r="AH171">
        <v>0</v>
      </c>
      <c r="AI171">
        <v>8</v>
      </c>
      <c r="AJ171">
        <v>2</v>
      </c>
      <c r="AK171">
        <v>3</v>
      </c>
      <c r="AL171">
        <v>5</v>
      </c>
      <c r="AM171">
        <v>4</v>
      </c>
      <c r="AN171">
        <v>1</v>
      </c>
      <c r="AO171">
        <v>4</v>
      </c>
      <c r="AP17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71" t="str">
        <f>IF(HRData[[#This Row],[Attrition]]="Yes","Left", IF(HRData[[#This Row],[Attrition_Risk_Score]]&gt;=6,"High",IF(HRData[[#This Row],[Attrition_Risk_Score]]&gt;=3,"Medium","Low")))</f>
        <v>Medium</v>
      </c>
      <c r="AR171" t="str">
        <f>IF(HRData[[#This Row],[Attrition_Risk_Level]]&lt;&gt;"High","",HRData[[#This Row],[Attrition_Risk_Score]]*10000-HRData[[#This Row],[EmployeeNumber]])</f>
        <v/>
      </c>
    </row>
    <row r="172" spans="1:44">
      <c r="A172">
        <v>27</v>
      </c>
      <c r="B172" t="str" cm="1">
        <f t="array" ref="B172">_xlfn.IFS(
HRData[[#This Row],[Age]]&lt;=24,"18-24",
HRData[[#This Row],[Age]]&lt;=34,"25-34",
HRData[[#This Row],[Age]]&lt;=44,"35-44",
HRData[[#This Row],[Age]]&lt;=54,"45-54",
HRData[[#This Row],[Age]]&gt;=55,"55+"
)</f>
        <v>25-34</v>
      </c>
      <c r="C172" t="s">
        <v>43</v>
      </c>
      <c r="D172">
        <f>IF(HRData[[#This Row],[Attrition]]="Yes",1,0)</f>
        <v>0</v>
      </c>
      <c r="E172" t="s">
        <v>36</v>
      </c>
      <c r="F172">
        <v>1157</v>
      </c>
      <c r="G172" t="s">
        <v>45</v>
      </c>
      <c r="H172">
        <v>17</v>
      </c>
      <c r="I172">
        <v>3</v>
      </c>
      <c r="J172" t="s">
        <v>60</v>
      </c>
      <c r="K172">
        <v>1</v>
      </c>
      <c r="L172">
        <v>233</v>
      </c>
      <c r="M172">
        <v>3</v>
      </c>
      <c r="N172" t="str" cm="1">
        <f t="array" ref="N172">_xlfn.IFS(HRData[[#This Row],[EnvironmentSatisfaction]]=1,"Very Dissatisfied",
HRData[[#This Row],[EnvironmentSatisfaction]]=2,"Dissatisfied",
HRData[[#This Row],[EnvironmentSatisfaction]]=3,"Satisfied",
HRData[[#This Row],[EnvironmentSatisfaction]]=4,"Very Satisfied"
)</f>
        <v>Satisfied</v>
      </c>
      <c r="O172" t="s">
        <v>46</v>
      </c>
      <c r="P172">
        <v>51</v>
      </c>
      <c r="Q172">
        <v>3</v>
      </c>
      <c r="R172">
        <v>1</v>
      </c>
      <c r="S172" t="s">
        <v>47</v>
      </c>
      <c r="T172">
        <v>2</v>
      </c>
      <c r="U172" t="str" cm="1">
        <f t="array" ref="U172">_xlfn.IFS(
HRData[[#This Row],[JobSatisfaction]]=1,"Very Dissatisfied",
HRData[[#This Row],[JobSatisfaction]]=2,"Dissatisfied",
HRData[[#This Row],[JobSatisfaction]]=3,"Satisfied",
HRData[[#This Row],[JobSatisfaction]]=4,"Very Satisfied"
)</f>
        <v>Dissatisfied</v>
      </c>
      <c r="V172" t="s">
        <v>48</v>
      </c>
      <c r="W172">
        <v>3058</v>
      </c>
      <c r="X172" t="str" cm="1">
        <f t="array" ref="X172">_xlfn.IFS(
HRData[[#This Row],[MonthlyIncome]]&lt;=4000,"Very Low Income",
HRData[[#This Row],[MonthlyIncome]]&lt;=8000,"Low Income",
HRData[[#This Row],[MonthlyIncome]]&lt;=12000,"Moderate Income",
HRData[[#This Row],[MonthlyIncome]]&lt;=16000,"High Income",
HRData[[#This Row],[MonthlyIncome]]&gt;16000,"Very High Income"
)</f>
        <v>Very Low Income</v>
      </c>
      <c r="Y172">
        <v>13364</v>
      </c>
      <c r="Z172">
        <v>0</v>
      </c>
      <c r="AA172" t="s">
        <v>42</v>
      </c>
      <c r="AB172" t="s">
        <v>35</v>
      </c>
      <c r="AC172">
        <v>16</v>
      </c>
      <c r="AD172" t="str" cm="1">
        <f t="array" ref="AD172">_xlfn.IFS(HRData[[#This Row],[PercentSalaryHike]]&lt;=15,"11-15",HRData[[#This Row],[PercentSalaryHike]]&lt;=20,"16-20",HRData[[#This Row],[PercentSalaryHike]]&gt;=21,"21+")</f>
        <v>16-20</v>
      </c>
      <c r="AE172">
        <v>3</v>
      </c>
      <c r="AF172">
        <v>4</v>
      </c>
      <c r="AG172">
        <v>80</v>
      </c>
      <c r="AH172">
        <v>1</v>
      </c>
      <c r="AI172">
        <v>6</v>
      </c>
      <c r="AJ172">
        <v>3</v>
      </c>
      <c r="AK172">
        <v>2</v>
      </c>
      <c r="AL172">
        <v>5</v>
      </c>
      <c r="AM172">
        <v>2</v>
      </c>
      <c r="AN172">
        <v>1</v>
      </c>
      <c r="AO172">
        <v>1</v>
      </c>
      <c r="AP17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72" t="str">
        <f>IF(HRData[[#This Row],[Attrition]]="Yes","Left", IF(HRData[[#This Row],[Attrition_Risk_Score]]&gt;=6,"High",IF(HRData[[#This Row],[Attrition_Risk_Score]]&gt;=3,"Medium","Low")))</f>
        <v>Medium</v>
      </c>
      <c r="AR172" t="str">
        <f>IF(HRData[[#This Row],[Attrition_Risk_Level]]&lt;&gt;"High","",HRData[[#This Row],[Attrition_Risk_Score]]*10000-HRData[[#This Row],[EmployeeNumber]])</f>
        <v/>
      </c>
    </row>
    <row r="173" spans="1:44">
      <c r="A173">
        <v>19</v>
      </c>
      <c r="B173" t="str" cm="1">
        <f t="array" ref="B173">_xlfn.IFS(
HRData[[#This Row],[Age]]&lt;=24,"18-24",
HRData[[#This Row],[Age]]&lt;=34,"25-34",
HRData[[#This Row],[Age]]&lt;=44,"35-44",
HRData[[#This Row],[Age]]&lt;=54,"45-54",
HRData[[#This Row],[Age]]&gt;=55,"55+"
)</f>
        <v>18-24</v>
      </c>
      <c r="C173" t="s">
        <v>35</v>
      </c>
      <c r="D173">
        <f>IF(HRData[[#This Row],[Attrition]]="Yes",1,0)</f>
        <v>1</v>
      </c>
      <c r="E173" t="s">
        <v>44</v>
      </c>
      <c r="F173">
        <v>602</v>
      </c>
      <c r="G173" t="s">
        <v>37</v>
      </c>
      <c r="H173">
        <v>1</v>
      </c>
      <c r="I173">
        <v>1</v>
      </c>
      <c r="J173" t="s">
        <v>60</v>
      </c>
      <c r="K173">
        <v>1</v>
      </c>
      <c r="L173">
        <v>235</v>
      </c>
      <c r="M173">
        <v>3</v>
      </c>
      <c r="N173" t="str" cm="1">
        <f t="array" ref="N173">_xlfn.IFS(HRData[[#This Row],[EnvironmentSatisfaction]]=1,"Very Dissatisfied",
HRData[[#This Row],[EnvironmentSatisfaction]]=2,"Dissatisfied",
HRData[[#This Row],[EnvironmentSatisfaction]]=3,"Satisfied",
HRData[[#This Row],[EnvironmentSatisfaction]]=4,"Very Satisfied"
)</f>
        <v>Satisfied</v>
      </c>
      <c r="O173" t="s">
        <v>39</v>
      </c>
      <c r="P173">
        <v>100</v>
      </c>
      <c r="Q173">
        <v>1</v>
      </c>
      <c r="R173">
        <v>1</v>
      </c>
      <c r="S173" t="s">
        <v>57</v>
      </c>
      <c r="T173">
        <v>1</v>
      </c>
      <c r="U173" t="str" cm="1">
        <f t="array" ref="U173">_xlfn.IFS(
HRData[[#This Row],[JobSatisfaction]]=1,"Very Dissatisfied",
HRData[[#This Row],[JobSatisfaction]]=2,"Dissatisfied",
HRData[[#This Row],[JobSatisfaction]]=3,"Satisfied",
HRData[[#This Row],[JobSatisfaction]]=4,"Very Satisfied"
)</f>
        <v>Very Dissatisfied</v>
      </c>
      <c r="V173" t="s">
        <v>41</v>
      </c>
      <c r="W173">
        <v>2325</v>
      </c>
      <c r="X173" t="str" cm="1">
        <f t="array" ref="X173">_xlfn.IFS(
HRData[[#This Row],[MonthlyIncome]]&lt;=4000,"Very Low Income",
HRData[[#This Row],[MonthlyIncome]]&lt;=8000,"Low Income",
HRData[[#This Row],[MonthlyIncome]]&lt;=12000,"Moderate Income",
HRData[[#This Row],[MonthlyIncome]]&lt;=16000,"High Income",
HRData[[#This Row],[MonthlyIncome]]&gt;16000,"Very High Income"
)</f>
        <v>Very Low Income</v>
      </c>
      <c r="Y173">
        <v>20989</v>
      </c>
      <c r="Z173">
        <v>0</v>
      </c>
      <c r="AA173" t="s">
        <v>42</v>
      </c>
      <c r="AB173" t="s">
        <v>43</v>
      </c>
      <c r="AC173">
        <v>21</v>
      </c>
      <c r="AD173" t="str" cm="1">
        <f t="array" ref="AD173">_xlfn.IFS(HRData[[#This Row],[PercentSalaryHike]]&lt;=15,"11-15",HRData[[#This Row],[PercentSalaryHike]]&lt;=20,"16-20",HRData[[#This Row],[PercentSalaryHike]]&gt;=21,"21+")</f>
        <v>21+</v>
      </c>
      <c r="AE173">
        <v>4</v>
      </c>
      <c r="AF173">
        <v>1</v>
      </c>
      <c r="AG173">
        <v>80</v>
      </c>
      <c r="AH173">
        <v>0</v>
      </c>
      <c r="AI173">
        <v>1</v>
      </c>
      <c r="AJ173">
        <v>5</v>
      </c>
      <c r="AK173">
        <v>4</v>
      </c>
      <c r="AL173">
        <v>0</v>
      </c>
      <c r="AM173">
        <v>0</v>
      </c>
      <c r="AN173">
        <v>0</v>
      </c>
      <c r="AO173">
        <v>0</v>
      </c>
      <c r="AP17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73" t="str">
        <f>IF(HRData[[#This Row],[Attrition]]="Yes","Left", IF(HRData[[#This Row],[Attrition_Risk_Score]]&gt;=6,"High",IF(HRData[[#This Row],[Attrition_Risk_Score]]&gt;=3,"Medium","Low")))</f>
        <v>Left</v>
      </c>
      <c r="AR173" t="str">
        <f>IF(HRData[[#This Row],[Attrition_Risk_Level]]&lt;&gt;"High","",HRData[[#This Row],[Attrition_Risk_Score]]*10000-HRData[[#This Row],[EmployeeNumber]])</f>
        <v/>
      </c>
    </row>
    <row r="174" spans="1:44">
      <c r="A174">
        <v>36</v>
      </c>
      <c r="B174" t="str" cm="1">
        <f t="array" ref="B174">_xlfn.IFS(
HRData[[#This Row],[Age]]&lt;=24,"18-24",
HRData[[#This Row],[Age]]&lt;=34,"25-34",
HRData[[#This Row],[Age]]&lt;=44,"35-44",
HRData[[#This Row],[Age]]&lt;=54,"45-54",
HRData[[#This Row],[Age]]&gt;=55,"55+"
)</f>
        <v>35-44</v>
      </c>
      <c r="C174" t="s">
        <v>43</v>
      </c>
      <c r="D174">
        <f>IF(HRData[[#This Row],[Attrition]]="Yes",1,0)</f>
        <v>0</v>
      </c>
      <c r="E174" t="s">
        <v>44</v>
      </c>
      <c r="F174">
        <v>1480</v>
      </c>
      <c r="G174" t="s">
        <v>45</v>
      </c>
      <c r="H174">
        <v>3</v>
      </c>
      <c r="I174">
        <v>2</v>
      </c>
      <c r="J174" t="s">
        <v>51</v>
      </c>
      <c r="K174">
        <v>1</v>
      </c>
      <c r="L174">
        <v>238</v>
      </c>
      <c r="M174">
        <v>4</v>
      </c>
      <c r="N174" t="str" cm="1">
        <f t="array" ref="N174">_xlfn.IFS(HRData[[#This Row],[EnvironmentSatisfaction]]=1,"Very Dissatisfied",
HRData[[#This Row],[EnvironmentSatisfaction]]=2,"Dissatisfied",
HRData[[#This Row],[EnvironmentSatisfaction]]=3,"Satisfied",
HRData[[#This Row],[EnvironmentSatisfaction]]=4,"Very Satisfied"
)</f>
        <v>Very Satisfied</v>
      </c>
      <c r="O174" t="s">
        <v>46</v>
      </c>
      <c r="P174">
        <v>30</v>
      </c>
      <c r="Q174">
        <v>3</v>
      </c>
      <c r="R174">
        <v>1</v>
      </c>
      <c r="S174" t="s">
        <v>50</v>
      </c>
      <c r="T174">
        <v>2</v>
      </c>
      <c r="U174" t="str" cm="1">
        <f t="array" ref="U174">_xlfn.IFS(
HRData[[#This Row],[JobSatisfaction]]=1,"Very Dissatisfied",
HRData[[#This Row],[JobSatisfaction]]=2,"Dissatisfied",
HRData[[#This Row],[JobSatisfaction]]=3,"Satisfied",
HRData[[#This Row],[JobSatisfaction]]=4,"Very Satisfied"
)</f>
        <v>Dissatisfied</v>
      </c>
      <c r="V174" t="s">
        <v>41</v>
      </c>
      <c r="W174">
        <v>2088</v>
      </c>
      <c r="X174" t="str" cm="1">
        <f t="array" ref="X174">_xlfn.IFS(
HRData[[#This Row],[MonthlyIncome]]&lt;=4000,"Very Low Income",
HRData[[#This Row],[MonthlyIncome]]&lt;=8000,"Low Income",
HRData[[#This Row],[MonthlyIncome]]&lt;=12000,"Moderate Income",
HRData[[#This Row],[MonthlyIncome]]&lt;=16000,"High Income",
HRData[[#This Row],[MonthlyIncome]]&gt;16000,"Very High Income"
)</f>
        <v>Very Low Income</v>
      </c>
      <c r="Y174">
        <v>15062</v>
      </c>
      <c r="Z174">
        <v>4</v>
      </c>
      <c r="AA174" t="s">
        <v>42</v>
      </c>
      <c r="AB174" t="s">
        <v>43</v>
      </c>
      <c r="AC174">
        <v>12</v>
      </c>
      <c r="AD174" t="str" cm="1">
        <f t="array" ref="AD174">_xlfn.IFS(HRData[[#This Row],[PercentSalaryHike]]&lt;=15,"11-15",HRData[[#This Row],[PercentSalaryHike]]&lt;=20,"16-20",HRData[[#This Row],[PercentSalaryHike]]&gt;=21,"21+")</f>
        <v>11-15</v>
      </c>
      <c r="AE174">
        <v>3</v>
      </c>
      <c r="AF174">
        <v>3</v>
      </c>
      <c r="AG174">
        <v>80</v>
      </c>
      <c r="AH174">
        <v>0</v>
      </c>
      <c r="AI174">
        <v>13</v>
      </c>
      <c r="AJ174">
        <v>3</v>
      </c>
      <c r="AK174">
        <v>2</v>
      </c>
      <c r="AL174">
        <v>8</v>
      </c>
      <c r="AM174">
        <v>7</v>
      </c>
      <c r="AN174">
        <v>7</v>
      </c>
      <c r="AO174">
        <v>2</v>
      </c>
      <c r="AP17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74" t="str">
        <f>IF(HRData[[#This Row],[Attrition]]="Yes","Left", IF(HRData[[#This Row],[Attrition_Risk_Score]]&gt;=6,"High",IF(HRData[[#This Row],[Attrition_Risk_Score]]&gt;=3,"Medium","Low")))</f>
        <v>Medium</v>
      </c>
      <c r="AR174" t="str">
        <f>IF(HRData[[#This Row],[Attrition_Risk_Level]]&lt;&gt;"High","",HRData[[#This Row],[Attrition_Risk_Score]]*10000-HRData[[#This Row],[EmployeeNumber]])</f>
        <v/>
      </c>
    </row>
    <row r="175" spans="1:44">
      <c r="A175">
        <v>30</v>
      </c>
      <c r="B175" t="str" cm="1">
        <f t="array" ref="B175">_xlfn.IFS(
HRData[[#This Row],[Age]]&lt;=24,"18-24",
HRData[[#This Row],[Age]]&lt;=34,"25-34",
HRData[[#This Row],[Age]]&lt;=44,"35-44",
HRData[[#This Row],[Age]]&lt;=54,"45-54",
HRData[[#This Row],[Age]]&gt;=55,"55+"
)</f>
        <v>25-34</v>
      </c>
      <c r="C175" t="s">
        <v>43</v>
      </c>
      <c r="D175">
        <f>IF(HRData[[#This Row],[Attrition]]="Yes",1,0)</f>
        <v>0</v>
      </c>
      <c r="E175" t="s">
        <v>55</v>
      </c>
      <c r="F175">
        <v>111</v>
      </c>
      <c r="G175" t="s">
        <v>45</v>
      </c>
      <c r="H175">
        <v>9</v>
      </c>
      <c r="I175">
        <v>3</v>
      </c>
      <c r="J175" t="s">
        <v>51</v>
      </c>
      <c r="K175">
        <v>1</v>
      </c>
      <c r="L175">
        <v>239</v>
      </c>
      <c r="M175">
        <v>3</v>
      </c>
      <c r="N175" t="str" cm="1">
        <f t="array" ref="N175">_xlfn.IFS(HRData[[#This Row],[EnvironmentSatisfaction]]=1,"Very Dissatisfied",
HRData[[#This Row],[EnvironmentSatisfaction]]=2,"Dissatisfied",
HRData[[#This Row],[EnvironmentSatisfaction]]=3,"Satisfied",
HRData[[#This Row],[EnvironmentSatisfaction]]=4,"Very Satisfied"
)</f>
        <v>Satisfied</v>
      </c>
      <c r="O175" t="s">
        <v>46</v>
      </c>
      <c r="P175">
        <v>66</v>
      </c>
      <c r="Q175">
        <v>3</v>
      </c>
      <c r="R175">
        <v>2</v>
      </c>
      <c r="S175" t="s">
        <v>50</v>
      </c>
      <c r="T175">
        <v>1</v>
      </c>
      <c r="U175" t="str" cm="1">
        <f t="array" ref="U175">_xlfn.IFS(
HRData[[#This Row],[JobSatisfaction]]=1,"Very Dissatisfied",
HRData[[#This Row],[JobSatisfaction]]=2,"Dissatisfied",
HRData[[#This Row],[JobSatisfaction]]=3,"Satisfied",
HRData[[#This Row],[JobSatisfaction]]=4,"Very Satisfied"
)</f>
        <v>Very Dissatisfied</v>
      </c>
      <c r="V175" t="s">
        <v>52</v>
      </c>
      <c r="W175">
        <v>3072</v>
      </c>
      <c r="X175" t="str" cm="1">
        <f t="array" ref="X175">_xlfn.IFS(
HRData[[#This Row],[MonthlyIncome]]&lt;=4000,"Very Low Income",
HRData[[#This Row],[MonthlyIncome]]&lt;=8000,"Low Income",
HRData[[#This Row],[MonthlyIncome]]&lt;=12000,"Moderate Income",
HRData[[#This Row],[MonthlyIncome]]&lt;=16000,"High Income",
HRData[[#This Row],[MonthlyIncome]]&gt;16000,"Very High Income"
)</f>
        <v>Very Low Income</v>
      </c>
      <c r="Y175">
        <v>11012</v>
      </c>
      <c r="Z175">
        <v>1</v>
      </c>
      <c r="AA175" t="s">
        <v>42</v>
      </c>
      <c r="AB175" t="s">
        <v>43</v>
      </c>
      <c r="AC175">
        <v>11</v>
      </c>
      <c r="AD175" t="str" cm="1">
        <f t="array" ref="AD175">_xlfn.IFS(HRData[[#This Row],[PercentSalaryHike]]&lt;=15,"11-15",HRData[[#This Row],[PercentSalaryHike]]&lt;=20,"16-20",HRData[[#This Row],[PercentSalaryHike]]&gt;=21,"21+")</f>
        <v>11-15</v>
      </c>
      <c r="AE175">
        <v>3</v>
      </c>
      <c r="AF175">
        <v>3</v>
      </c>
      <c r="AG175">
        <v>80</v>
      </c>
      <c r="AH175">
        <v>2</v>
      </c>
      <c r="AI175">
        <v>12</v>
      </c>
      <c r="AJ175">
        <v>4</v>
      </c>
      <c r="AK175">
        <v>3</v>
      </c>
      <c r="AL175">
        <v>12</v>
      </c>
      <c r="AM175">
        <v>9</v>
      </c>
      <c r="AN175">
        <v>6</v>
      </c>
      <c r="AO175">
        <v>10</v>
      </c>
      <c r="AP17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75" t="str">
        <f>IF(HRData[[#This Row],[Attrition]]="Yes","Left", IF(HRData[[#This Row],[Attrition_Risk_Score]]&gt;=6,"High",IF(HRData[[#This Row],[Attrition_Risk_Score]]&gt;=3,"Medium","Low")))</f>
        <v>High</v>
      </c>
      <c r="AR175">
        <f>IF(HRData[[#This Row],[Attrition_Risk_Level]]&lt;&gt;"High","",HRData[[#This Row],[Attrition_Risk_Score]]*10000-HRData[[#This Row],[EmployeeNumber]])</f>
        <v>59761</v>
      </c>
    </row>
    <row r="176" spans="1:44">
      <c r="A176">
        <v>45</v>
      </c>
      <c r="B176" t="str" cm="1">
        <f t="array" ref="B176">_xlfn.IFS(
HRData[[#This Row],[Age]]&lt;=24,"18-24",
HRData[[#This Row],[Age]]&lt;=34,"25-34",
HRData[[#This Row],[Age]]&lt;=44,"35-44",
HRData[[#This Row],[Age]]&lt;=54,"45-54",
HRData[[#This Row],[Age]]&gt;=55,"55+"
)</f>
        <v>45-54</v>
      </c>
      <c r="C176" t="s">
        <v>43</v>
      </c>
      <c r="D176">
        <f>IF(HRData[[#This Row],[Attrition]]="Yes",1,0)</f>
        <v>0</v>
      </c>
      <c r="E176" t="s">
        <v>36</v>
      </c>
      <c r="F176">
        <v>1268</v>
      </c>
      <c r="G176" t="s">
        <v>37</v>
      </c>
      <c r="H176">
        <v>4</v>
      </c>
      <c r="I176">
        <v>2</v>
      </c>
      <c r="J176" t="s">
        <v>38</v>
      </c>
      <c r="K176">
        <v>1</v>
      </c>
      <c r="L176">
        <v>240</v>
      </c>
      <c r="M176">
        <v>3</v>
      </c>
      <c r="N176" t="str" cm="1">
        <f t="array" ref="N176">_xlfn.IFS(HRData[[#This Row],[EnvironmentSatisfaction]]=1,"Very Dissatisfied",
HRData[[#This Row],[EnvironmentSatisfaction]]=2,"Dissatisfied",
HRData[[#This Row],[EnvironmentSatisfaction]]=3,"Satisfied",
HRData[[#This Row],[EnvironmentSatisfaction]]=4,"Very Satisfied"
)</f>
        <v>Satisfied</v>
      </c>
      <c r="O176" t="s">
        <v>39</v>
      </c>
      <c r="P176">
        <v>30</v>
      </c>
      <c r="Q176">
        <v>3</v>
      </c>
      <c r="R176">
        <v>2</v>
      </c>
      <c r="S176" t="s">
        <v>40</v>
      </c>
      <c r="T176">
        <v>1</v>
      </c>
      <c r="U176" t="str" cm="1">
        <f t="array" ref="U176">_xlfn.IFS(
HRData[[#This Row],[JobSatisfaction]]=1,"Very Dissatisfied",
HRData[[#This Row],[JobSatisfaction]]=2,"Dissatisfied",
HRData[[#This Row],[JobSatisfaction]]=3,"Satisfied",
HRData[[#This Row],[JobSatisfaction]]=4,"Very Satisfied"
)</f>
        <v>Very Dissatisfied</v>
      </c>
      <c r="V176" t="s">
        <v>52</v>
      </c>
      <c r="W176">
        <v>5006</v>
      </c>
      <c r="X176" t="str" cm="1">
        <f t="array" ref="X176">_xlfn.IFS(
HRData[[#This Row],[MonthlyIncome]]&lt;=4000,"Very Low Income",
HRData[[#This Row],[MonthlyIncome]]&lt;=8000,"Low Income",
HRData[[#This Row],[MonthlyIncome]]&lt;=12000,"Moderate Income",
HRData[[#This Row],[MonthlyIncome]]&lt;=16000,"High Income",
HRData[[#This Row],[MonthlyIncome]]&gt;16000,"Very High Income"
)</f>
        <v>Low Income</v>
      </c>
      <c r="Y176">
        <v>6319</v>
      </c>
      <c r="Z176">
        <v>4</v>
      </c>
      <c r="AA176" t="s">
        <v>42</v>
      </c>
      <c r="AB176" t="s">
        <v>35</v>
      </c>
      <c r="AC176">
        <v>11</v>
      </c>
      <c r="AD176" t="str" cm="1">
        <f t="array" ref="AD176">_xlfn.IFS(HRData[[#This Row],[PercentSalaryHike]]&lt;=15,"11-15",HRData[[#This Row],[PercentSalaryHike]]&lt;=20,"16-20",HRData[[#This Row],[PercentSalaryHike]]&gt;=21,"21+")</f>
        <v>11-15</v>
      </c>
      <c r="AE176">
        <v>3</v>
      </c>
      <c r="AF176">
        <v>1</v>
      </c>
      <c r="AG176">
        <v>80</v>
      </c>
      <c r="AH176">
        <v>1</v>
      </c>
      <c r="AI176">
        <v>9</v>
      </c>
      <c r="AJ176">
        <v>3</v>
      </c>
      <c r="AK176">
        <v>4</v>
      </c>
      <c r="AL176">
        <v>5</v>
      </c>
      <c r="AM176">
        <v>4</v>
      </c>
      <c r="AN176">
        <v>0</v>
      </c>
      <c r="AO176">
        <v>3</v>
      </c>
      <c r="AP17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76" t="str">
        <f>IF(HRData[[#This Row],[Attrition]]="Yes","Left", IF(HRData[[#This Row],[Attrition_Risk_Score]]&gt;=6,"High",IF(HRData[[#This Row],[Attrition_Risk_Score]]&gt;=3,"Medium","Low")))</f>
        <v>Medium</v>
      </c>
      <c r="AR176" t="str">
        <f>IF(HRData[[#This Row],[Attrition_Risk_Level]]&lt;&gt;"High","",HRData[[#This Row],[Attrition_Risk_Score]]*10000-HRData[[#This Row],[EmployeeNumber]])</f>
        <v/>
      </c>
    </row>
    <row r="177" spans="1:44">
      <c r="A177">
        <v>56</v>
      </c>
      <c r="B177" t="str" cm="1">
        <f t="array" ref="B177">_xlfn.IFS(
HRData[[#This Row],[Age]]&lt;=24,"18-24",
HRData[[#This Row],[Age]]&lt;=34,"25-34",
HRData[[#This Row],[Age]]&lt;=44,"35-44",
HRData[[#This Row],[Age]]&lt;=54,"45-54",
HRData[[#This Row],[Age]]&gt;=55,"55+"
)</f>
        <v>55+</v>
      </c>
      <c r="C177" t="s">
        <v>43</v>
      </c>
      <c r="D177">
        <f>IF(HRData[[#This Row],[Attrition]]="Yes",1,0)</f>
        <v>0</v>
      </c>
      <c r="E177" t="s">
        <v>36</v>
      </c>
      <c r="F177">
        <v>713</v>
      </c>
      <c r="G177" t="s">
        <v>45</v>
      </c>
      <c r="H177">
        <v>8</v>
      </c>
      <c r="I177">
        <v>3</v>
      </c>
      <c r="J177" t="s">
        <v>38</v>
      </c>
      <c r="K177">
        <v>1</v>
      </c>
      <c r="L177">
        <v>241</v>
      </c>
      <c r="M177">
        <v>3</v>
      </c>
      <c r="N177" t="str" cm="1">
        <f t="array" ref="N177">_xlfn.IFS(HRData[[#This Row],[EnvironmentSatisfaction]]=1,"Very Dissatisfied",
HRData[[#This Row],[EnvironmentSatisfaction]]=2,"Dissatisfied",
HRData[[#This Row],[EnvironmentSatisfaction]]=3,"Satisfied",
HRData[[#This Row],[EnvironmentSatisfaction]]=4,"Very Satisfied"
)</f>
        <v>Satisfied</v>
      </c>
      <c r="O177" t="s">
        <v>39</v>
      </c>
      <c r="P177">
        <v>67</v>
      </c>
      <c r="Q177">
        <v>3</v>
      </c>
      <c r="R177">
        <v>1</v>
      </c>
      <c r="S177" t="s">
        <v>47</v>
      </c>
      <c r="T177">
        <v>1</v>
      </c>
      <c r="U177" t="str" cm="1">
        <f t="array" ref="U177">_xlfn.IFS(
HRData[[#This Row],[JobSatisfaction]]=1,"Very Dissatisfied",
HRData[[#This Row],[JobSatisfaction]]=2,"Dissatisfied",
HRData[[#This Row],[JobSatisfaction]]=3,"Satisfied",
HRData[[#This Row],[JobSatisfaction]]=4,"Very Satisfied"
)</f>
        <v>Very Dissatisfied</v>
      </c>
      <c r="V177" t="s">
        <v>52</v>
      </c>
      <c r="W177">
        <v>4257</v>
      </c>
      <c r="X177" t="str" cm="1">
        <f t="array" ref="X177">_xlfn.IFS(
HRData[[#This Row],[MonthlyIncome]]&lt;=4000,"Very Low Income",
HRData[[#This Row],[MonthlyIncome]]&lt;=8000,"Low Income",
HRData[[#This Row],[MonthlyIncome]]&lt;=12000,"Moderate Income",
HRData[[#This Row],[MonthlyIncome]]&lt;=16000,"High Income",
HRData[[#This Row],[MonthlyIncome]]&gt;16000,"Very High Income"
)</f>
        <v>Low Income</v>
      </c>
      <c r="Y177">
        <v>13939</v>
      </c>
      <c r="Z177">
        <v>4</v>
      </c>
      <c r="AA177" t="s">
        <v>42</v>
      </c>
      <c r="AB177" t="s">
        <v>35</v>
      </c>
      <c r="AC177">
        <v>18</v>
      </c>
      <c r="AD177" t="str" cm="1">
        <f t="array" ref="AD177">_xlfn.IFS(HRData[[#This Row],[PercentSalaryHike]]&lt;=15,"11-15",HRData[[#This Row],[PercentSalaryHike]]&lt;=20,"16-20",HRData[[#This Row],[PercentSalaryHike]]&gt;=21,"21+")</f>
        <v>16-20</v>
      </c>
      <c r="AE177">
        <v>3</v>
      </c>
      <c r="AF177">
        <v>3</v>
      </c>
      <c r="AG177">
        <v>80</v>
      </c>
      <c r="AH177">
        <v>1</v>
      </c>
      <c r="AI177">
        <v>19</v>
      </c>
      <c r="AJ177">
        <v>3</v>
      </c>
      <c r="AK177">
        <v>3</v>
      </c>
      <c r="AL177">
        <v>2</v>
      </c>
      <c r="AM177">
        <v>2</v>
      </c>
      <c r="AN177">
        <v>2</v>
      </c>
      <c r="AO177">
        <v>2</v>
      </c>
      <c r="AP17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77" t="str">
        <f>IF(HRData[[#This Row],[Attrition]]="Yes","Left", IF(HRData[[#This Row],[Attrition_Risk_Score]]&gt;=6,"High",IF(HRData[[#This Row],[Attrition_Risk_Score]]&gt;=3,"Medium","Low")))</f>
        <v>Medium</v>
      </c>
      <c r="AR177" t="str">
        <f>IF(HRData[[#This Row],[Attrition_Risk_Level]]&lt;&gt;"High","",HRData[[#This Row],[Attrition_Risk_Score]]*10000-HRData[[#This Row],[EmployeeNumber]])</f>
        <v/>
      </c>
    </row>
    <row r="178" spans="1:44">
      <c r="A178">
        <v>33</v>
      </c>
      <c r="B178" t="str" cm="1">
        <f t="array" ref="B178">_xlfn.IFS(
HRData[[#This Row],[Age]]&lt;=24,"18-24",
HRData[[#This Row],[Age]]&lt;=34,"25-34",
HRData[[#This Row],[Age]]&lt;=44,"35-44",
HRData[[#This Row],[Age]]&lt;=54,"45-54",
HRData[[#This Row],[Age]]&gt;=55,"55+"
)</f>
        <v>25-34</v>
      </c>
      <c r="C178" t="s">
        <v>43</v>
      </c>
      <c r="D178">
        <f>IF(HRData[[#This Row],[Attrition]]="Yes",1,0)</f>
        <v>0</v>
      </c>
      <c r="E178" t="s">
        <v>36</v>
      </c>
      <c r="F178">
        <v>134</v>
      </c>
      <c r="G178" t="s">
        <v>45</v>
      </c>
      <c r="H178">
        <v>2</v>
      </c>
      <c r="I178">
        <v>3</v>
      </c>
      <c r="J178" t="s">
        <v>38</v>
      </c>
      <c r="K178">
        <v>1</v>
      </c>
      <c r="L178">
        <v>242</v>
      </c>
      <c r="M178">
        <v>3</v>
      </c>
      <c r="N178" t="str" cm="1">
        <f t="array" ref="N178">_xlfn.IFS(HRData[[#This Row],[EnvironmentSatisfaction]]=1,"Very Dissatisfied",
HRData[[#This Row],[EnvironmentSatisfaction]]=2,"Dissatisfied",
HRData[[#This Row],[EnvironmentSatisfaction]]=3,"Satisfied",
HRData[[#This Row],[EnvironmentSatisfaction]]=4,"Very Satisfied"
)</f>
        <v>Satisfied</v>
      </c>
      <c r="O178" t="s">
        <v>46</v>
      </c>
      <c r="P178">
        <v>90</v>
      </c>
      <c r="Q178">
        <v>3</v>
      </c>
      <c r="R178">
        <v>1</v>
      </c>
      <c r="S178" t="s">
        <v>47</v>
      </c>
      <c r="T178">
        <v>4</v>
      </c>
      <c r="U178" t="str" cm="1">
        <f t="array" ref="U178">_xlfn.IFS(
HRData[[#This Row],[JobSatisfaction]]=1,"Very Dissatisfied",
HRData[[#This Row],[JobSatisfaction]]=2,"Dissatisfied",
HRData[[#This Row],[JobSatisfaction]]=3,"Satisfied",
HRData[[#This Row],[JobSatisfaction]]=4,"Very Satisfied"
)</f>
        <v>Very Satisfied</v>
      </c>
      <c r="V178" t="s">
        <v>41</v>
      </c>
      <c r="W178">
        <v>2500</v>
      </c>
      <c r="X178" t="str" cm="1">
        <f t="array" ref="X178">_xlfn.IFS(
HRData[[#This Row],[MonthlyIncome]]&lt;=4000,"Very Low Income",
HRData[[#This Row],[MonthlyIncome]]&lt;=8000,"Low Income",
HRData[[#This Row],[MonthlyIncome]]&lt;=12000,"Moderate Income",
HRData[[#This Row],[MonthlyIncome]]&lt;=16000,"High Income",
HRData[[#This Row],[MonthlyIncome]]&gt;16000,"Very High Income"
)</f>
        <v>Very Low Income</v>
      </c>
      <c r="Y178">
        <v>10515</v>
      </c>
      <c r="Z178">
        <v>0</v>
      </c>
      <c r="AA178" t="s">
        <v>42</v>
      </c>
      <c r="AB178" t="s">
        <v>43</v>
      </c>
      <c r="AC178">
        <v>14</v>
      </c>
      <c r="AD178" t="str" cm="1">
        <f t="array" ref="AD178">_xlfn.IFS(HRData[[#This Row],[PercentSalaryHike]]&lt;=15,"11-15",HRData[[#This Row],[PercentSalaryHike]]&lt;=20,"16-20",HRData[[#This Row],[PercentSalaryHike]]&gt;=21,"21+")</f>
        <v>11-15</v>
      </c>
      <c r="AE178">
        <v>3</v>
      </c>
      <c r="AF178">
        <v>1</v>
      </c>
      <c r="AG178">
        <v>80</v>
      </c>
      <c r="AH178">
        <v>0</v>
      </c>
      <c r="AI178">
        <v>4</v>
      </c>
      <c r="AJ178">
        <v>2</v>
      </c>
      <c r="AK178">
        <v>4</v>
      </c>
      <c r="AL178">
        <v>3</v>
      </c>
      <c r="AM178">
        <v>1</v>
      </c>
      <c r="AN178">
        <v>0</v>
      </c>
      <c r="AO178">
        <v>2</v>
      </c>
      <c r="AP17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78" t="str">
        <f>IF(HRData[[#This Row],[Attrition]]="Yes","Left", IF(HRData[[#This Row],[Attrition_Risk_Score]]&gt;=6,"High",IF(HRData[[#This Row],[Attrition_Risk_Score]]&gt;=3,"Medium","Low")))</f>
        <v>Medium</v>
      </c>
      <c r="AR178" t="str">
        <f>IF(HRData[[#This Row],[Attrition_Risk_Level]]&lt;&gt;"High","",HRData[[#This Row],[Attrition_Risk_Score]]*10000-HRData[[#This Row],[EmployeeNumber]])</f>
        <v/>
      </c>
    </row>
    <row r="179" spans="1:44">
      <c r="A179">
        <v>19</v>
      </c>
      <c r="B179" t="str" cm="1">
        <f t="array" ref="B179">_xlfn.IFS(
HRData[[#This Row],[Age]]&lt;=24,"18-24",
HRData[[#This Row],[Age]]&lt;=34,"25-34",
HRData[[#This Row],[Age]]&lt;=44,"35-44",
HRData[[#This Row],[Age]]&lt;=54,"45-54",
HRData[[#This Row],[Age]]&gt;=55,"55+"
)</f>
        <v>18-24</v>
      </c>
      <c r="C179" t="s">
        <v>35</v>
      </c>
      <c r="D179">
        <f>IF(HRData[[#This Row],[Attrition]]="Yes",1,0)</f>
        <v>1</v>
      </c>
      <c r="E179" t="s">
        <v>36</v>
      </c>
      <c r="F179">
        <v>303</v>
      </c>
      <c r="G179" t="s">
        <v>45</v>
      </c>
      <c r="H179">
        <v>2</v>
      </c>
      <c r="I179">
        <v>3</v>
      </c>
      <c r="J179" t="s">
        <v>38</v>
      </c>
      <c r="K179">
        <v>1</v>
      </c>
      <c r="L179">
        <v>243</v>
      </c>
      <c r="M179">
        <v>2</v>
      </c>
      <c r="N179" t="str" cm="1">
        <f t="array" ref="N179">_xlfn.IFS(HRData[[#This Row],[EnvironmentSatisfaction]]=1,"Very Dissatisfied",
HRData[[#This Row],[EnvironmentSatisfaction]]=2,"Dissatisfied",
HRData[[#This Row],[EnvironmentSatisfaction]]=3,"Satisfied",
HRData[[#This Row],[EnvironmentSatisfaction]]=4,"Very Satisfied"
)</f>
        <v>Dissatisfied</v>
      </c>
      <c r="O179" t="s">
        <v>46</v>
      </c>
      <c r="P179">
        <v>47</v>
      </c>
      <c r="Q179">
        <v>2</v>
      </c>
      <c r="R179">
        <v>1</v>
      </c>
      <c r="S179" t="s">
        <v>50</v>
      </c>
      <c r="T179">
        <v>4</v>
      </c>
      <c r="U179" t="str" cm="1">
        <f t="array" ref="U179">_xlfn.IFS(
HRData[[#This Row],[JobSatisfaction]]=1,"Very Dissatisfied",
HRData[[#This Row],[JobSatisfaction]]=2,"Dissatisfied",
HRData[[#This Row],[JobSatisfaction]]=3,"Satisfied",
HRData[[#This Row],[JobSatisfaction]]=4,"Very Satisfied"
)</f>
        <v>Very Satisfied</v>
      </c>
      <c r="V179" t="s">
        <v>41</v>
      </c>
      <c r="W179">
        <v>1102</v>
      </c>
      <c r="X179" t="str" cm="1">
        <f t="array" ref="X179">_xlfn.IFS(
HRData[[#This Row],[MonthlyIncome]]&lt;=4000,"Very Low Income",
HRData[[#This Row],[MonthlyIncome]]&lt;=8000,"Low Income",
HRData[[#This Row],[MonthlyIncome]]&lt;=12000,"Moderate Income",
HRData[[#This Row],[MonthlyIncome]]&lt;=16000,"High Income",
HRData[[#This Row],[MonthlyIncome]]&gt;16000,"Very High Income"
)</f>
        <v>Very Low Income</v>
      </c>
      <c r="Y179">
        <v>9241</v>
      </c>
      <c r="Z179">
        <v>1</v>
      </c>
      <c r="AA179" t="s">
        <v>42</v>
      </c>
      <c r="AB179" t="s">
        <v>43</v>
      </c>
      <c r="AC179">
        <v>22</v>
      </c>
      <c r="AD179" t="str" cm="1">
        <f t="array" ref="AD179">_xlfn.IFS(HRData[[#This Row],[PercentSalaryHike]]&lt;=15,"11-15",HRData[[#This Row],[PercentSalaryHike]]&lt;=20,"16-20",HRData[[#This Row],[PercentSalaryHike]]&gt;=21,"21+")</f>
        <v>21+</v>
      </c>
      <c r="AE179">
        <v>4</v>
      </c>
      <c r="AF179">
        <v>3</v>
      </c>
      <c r="AG179">
        <v>80</v>
      </c>
      <c r="AH179">
        <v>0</v>
      </c>
      <c r="AI179">
        <v>1</v>
      </c>
      <c r="AJ179">
        <v>3</v>
      </c>
      <c r="AK179">
        <v>2</v>
      </c>
      <c r="AL179">
        <v>1</v>
      </c>
      <c r="AM179">
        <v>0</v>
      </c>
      <c r="AN179">
        <v>1</v>
      </c>
      <c r="AO179">
        <v>0</v>
      </c>
      <c r="AP17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79" t="str">
        <f>IF(HRData[[#This Row],[Attrition]]="Yes","Left", IF(HRData[[#This Row],[Attrition_Risk_Score]]&gt;=6,"High",IF(HRData[[#This Row],[Attrition_Risk_Score]]&gt;=3,"Medium","Low")))</f>
        <v>Left</v>
      </c>
      <c r="AR179" t="str">
        <f>IF(HRData[[#This Row],[Attrition_Risk_Level]]&lt;&gt;"High","",HRData[[#This Row],[Attrition_Risk_Score]]*10000-HRData[[#This Row],[EmployeeNumber]])</f>
        <v/>
      </c>
    </row>
    <row r="180" spans="1:44">
      <c r="A180">
        <v>46</v>
      </c>
      <c r="B180" t="str" cm="1">
        <f t="array" ref="B180">_xlfn.IFS(
HRData[[#This Row],[Age]]&lt;=24,"18-24",
HRData[[#This Row],[Age]]&lt;=34,"25-34",
HRData[[#This Row],[Age]]&lt;=44,"35-44",
HRData[[#This Row],[Age]]&lt;=54,"45-54",
HRData[[#This Row],[Age]]&gt;=55,"55+"
)</f>
        <v>45-54</v>
      </c>
      <c r="C180" t="s">
        <v>43</v>
      </c>
      <c r="D180">
        <f>IF(HRData[[#This Row],[Attrition]]="Yes",1,0)</f>
        <v>0</v>
      </c>
      <c r="E180" t="s">
        <v>36</v>
      </c>
      <c r="F180">
        <v>526</v>
      </c>
      <c r="G180" t="s">
        <v>37</v>
      </c>
      <c r="H180">
        <v>1</v>
      </c>
      <c r="I180">
        <v>2</v>
      </c>
      <c r="J180" t="s">
        <v>59</v>
      </c>
      <c r="K180">
        <v>1</v>
      </c>
      <c r="L180">
        <v>244</v>
      </c>
      <c r="M180">
        <v>2</v>
      </c>
      <c r="N180" t="str" cm="1">
        <f t="array" ref="N180">_xlfn.IFS(HRData[[#This Row],[EnvironmentSatisfaction]]=1,"Very Dissatisfied",
HRData[[#This Row],[EnvironmentSatisfaction]]=2,"Dissatisfied",
HRData[[#This Row],[EnvironmentSatisfaction]]=3,"Satisfied",
HRData[[#This Row],[EnvironmentSatisfaction]]=4,"Very Satisfied"
)</f>
        <v>Dissatisfied</v>
      </c>
      <c r="O180" t="s">
        <v>39</v>
      </c>
      <c r="P180">
        <v>92</v>
      </c>
      <c r="Q180">
        <v>3</v>
      </c>
      <c r="R180">
        <v>3</v>
      </c>
      <c r="S180" t="s">
        <v>40</v>
      </c>
      <c r="T180">
        <v>1</v>
      </c>
      <c r="U180" t="str" cm="1">
        <f t="array" ref="U180">_xlfn.IFS(
HRData[[#This Row],[JobSatisfaction]]=1,"Very Dissatisfied",
HRData[[#This Row],[JobSatisfaction]]=2,"Dissatisfied",
HRData[[#This Row],[JobSatisfaction]]=3,"Satisfied",
HRData[[#This Row],[JobSatisfaction]]=4,"Very Satisfied"
)</f>
        <v>Very Dissatisfied</v>
      </c>
      <c r="V180" t="s">
        <v>52</v>
      </c>
      <c r="W180">
        <v>10453</v>
      </c>
      <c r="X180" t="str" cm="1">
        <f t="array" ref="X180">_xlfn.IFS(
HRData[[#This Row],[MonthlyIncome]]&lt;=4000,"Very Low Income",
HRData[[#This Row],[MonthlyIncome]]&lt;=8000,"Low Income",
HRData[[#This Row],[MonthlyIncome]]&lt;=12000,"Moderate Income",
HRData[[#This Row],[MonthlyIncome]]&lt;=16000,"High Income",
HRData[[#This Row],[MonthlyIncome]]&gt;16000,"Very High Income"
)</f>
        <v>Moderate Income</v>
      </c>
      <c r="Y180">
        <v>2137</v>
      </c>
      <c r="Z180">
        <v>1</v>
      </c>
      <c r="AA180" t="s">
        <v>42</v>
      </c>
      <c r="AB180" t="s">
        <v>43</v>
      </c>
      <c r="AC180">
        <v>25</v>
      </c>
      <c r="AD180" t="str" cm="1">
        <f t="array" ref="AD180">_xlfn.IFS(HRData[[#This Row],[PercentSalaryHike]]&lt;=15,"11-15",HRData[[#This Row],[PercentSalaryHike]]&lt;=20,"16-20",HRData[[#This Row],[PercentSalaryHike]]&gt;=21,"21+")</f>
        <v>21+</v>
      </c>
      <c r="AE180">
        <v>4</v>
      </c>
      <c r="AF180">
        <v>3</v>
      </c>
      <c r="AG180">
        <v>80</v>
      </c>
      <c r="AH180">
        <v>3</v>
      </c>
      <c r="AI180">
        <v>24</v>
      </c>
      <c r="AJ180">
        <v>2</v>
      </c>
      <c r="AK180">
        <v>3</v>
      </c>
      <c r="AL180">
        <v>24</v>
      </c>
      <c r="AM180">
        <v>13</v>
      </c>
      <c r="AN180">
        <v>15</v>
      </c>
      <c r="AO180">
        <v>7</v>
      </c>
      <c r="AP18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80" t="str">
        <f>IF(HRData[[#This Row],[Attrition]]="Yes","Left", IF(HRData[[#This Row],[Attrition_Risk_Score]]&gt;=6,"High",IF(HRData[[#This Row],[Attrition_Risk_Score]]&gt;=3,"Medium","Low")))</f>
        <v>Low</v>
      </c>
      <c r="AR180" t="str">
        <f>IF(HRData[[#This Row],[Attrition_Risk_Level]]&lt;&gt;"High","",HRData[[#This Row],[Attrition_Risk_Score]]*10000-HRData[[#This Row],[EmployeeNumber]])</f>
        <v/>
      </c>
    </row>
    <row r="181" spans="1:44">
      <c r="A181">
        <v>38</v>
      </c>
      <c r="B181" t="str" cm="1">
        <f t="array" ref="B181">_xlfn.IFS(
HRData[[#This Row],[Age]]&lt;=24,"18-24",
HRData[[#This Row],[Age]]&lt;=34,"25-34",
HRData[[#This Row],[Age]]&lt;=44,"35-44",
HRData[[#This Row],[Age]]&lt;=54,"45-54",
HRData[[#This Row],[Age]]&gt;=55,"55+"
)</f>
        <v>35-44</v>
      </c>
      <c r="C181" t="s">
        <v>43</v>
      </c>
      <c r="D181">
        <f>IF(HRData[[#This Row],[Attrition]]="Yes",1,0)</f>
        <v>0</v>
      </c>
      <c r="E181" t="s">
        <v>36</v>
      </c>
      <c r="F181">
        <v>1380</v>
      </c>
      <c r="G181" t="s">
        <v>45</v>
      </c>
      <c r="H181">
        <v>9</v>
      </c>
      <c r="I181">
        <v>2</v>
      </c>
      <c r="J181" t="s">
        <v>38</v>
      </c>
      <c r="K181">
        <v>1</v>
      </c>
      <c r="L181">
        <v>245</v>
      </c>
      <c r="M181">
        <v>3</v>
      </c>
      <c r="N181" t="str" cm="1">
        <f t="array" ref="N181">_xlfn.IFS(HRData[[#This Row],[EnvironmentSatisfaction]]=1,"Very Dissatisfied",
HRData[[#This Row],[EnvironmentSatisfaction]]=2,"Dissatisfied",
HRData[[#This Row],[EnvironmentSatisfaction]]=3,"Satisfied",
HRData[[#This Row],[EnvironmentSatisfaction]]=4,"Very Satisfied"
)</f>
        <v>Satisfied</v>
      </c>
      <c r="O181" t="s">
        <v>39</v>
      </c>
      <c r="P181">
        <v>75</v>
      </c>
      <c r="Q181">
        <v>3</v>
      </c>
      <c r="R181">
        <v>1</v>
      </c>
      <c r="S181" t="s">
        <v>50</v>
      </c>
      <c r="T181">
        <v>4</v>
      </c>
      <c r="U181" t="str" cm="1">
        <f t="array" ref="U181">_xlfn.IFS(
HRData[[#This Row],[JobSatisfaction]]=1,"Very Dissatisfied",
HRData[[#This Row],[JobSatisfaction]]=2,"Dissatisfied",
HRData[[#This Row],[JobSatisfaction]]=3,"Satisfied",
HRData[[#This Row],[JobSatisfaction]]=4,"Very Satisfied"
)</f>
        <v>Very Satisfied</v>
      </c>
      <c r="V181" t="s">
        <v>41</v>
      </c>
      <c r="W181">
        <v>2288</v>
      </c>
      <c r="X181" t="str" cm="1">
        <f t="array" ref="X181">_xlfn.IFS(
HRData[[#This Row],[MonthlyIncome]]&lt;=4000,"Very Low Income",
HRData[[#This Row],[MonthlyIncome]]&lt;=8000,"Low Income",
HRData[[#This Row],[MonthlyIncome]]&lt;=12000,"Moderate Income",
HRData[[#This Row],[MonthlyIncome]]&lt;=16000,"High Income",
HRData[[#This Row],[MonthlyIncome]]&gt;16000,"Very High Income"
)</f>
        <v>Very Low Income</v>
      </c>
      <c r="Y181">
        <v>6319</v>
      </c>
      <c r="Z181">
        <v>1</v>
      </c>
      <c r="AA181" t="s">
        <v>42</v>
      </c>
      <c r="AB181" t="s">
        <v>43</v>
      </c>
      <c r="AC181">
        <v>12</v>
      </c>
      <c r="AD181" t="str" cm="1">
        <f t="array" ref="AD181">_xlfn.IFS(HRData[[#This Row],[PercentSalaryHike]]&lt;=15,"11-15",HRData[[#This Row],[PercentSalaryHike]]&lt;=20,"16-20",HRData[[#This Row],[PercentSalaryHike]]&gt;=21,"21+")</f>
        <v>11-15</v>
      </c>
      <c r="AE181">
        <v>3</v>
      </c>
      <c r="AF181">
        <v>3</v>
      </c>
      <c r="AG181">
        <v>80</v>
      </c>
      <c r="AH181">
        <v>0</v>
      </c>
      <c r="AI181">
        <v>2</v>
      </c>
      <c r="AJ181">
        <v>3</v>
      </c>
      <c r="AK181">
        <v>3</v>
      </c>
      <c r="AL181">
        <v>2</v>
      </c>
      <c r="AM181">
        <v>2</v>
      </c>
      <c r="AN181">
        <v>2</v>
      </c>
      <c r="AO181">
        <v>1</v>
      </c>
      <c r="AP18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81" t="str">
        <f>IF(HRData[[#This Row],[Attrition]]="Yes","Left", IF(HRData[[#This Row],[Attrition_Risk_Score]]&gt;=6,"High",IF(HRData[[#This Row],[Attrition_Risk_Score]]&gt;=3,"Medium","Low")))</f>
        <v>Medium</v>
      </c>
      <c r="AR181" t="str">
        <f>IF(HRData[[#This Row],[Attrition_Risk_Level]]&lt;&gt;"High","",HRData[[#This Row],[Attrition_Risk_Score]]*10000-HRData[[#This Row],[EmployeeNumber]])</f>
        <v/>
      </c>
    </row>
    <row r="182" spans="1:44">
      <c r="A182">
        <v>31</v>
      </c>
      <c r="B182" t="str" cm="1">
        <f t="array" ref="B182">_xlfn.IFS(
HRData[[#This Row],[Age]]&lt;=24,"18-24",
HRData[[#This Row],[Age]]&lt;=34,"25-34",
HRData[[#This Row],[Age]]&lt;=44,"35-44",
HRData[[#This Row],[Age]]&lt;=54,"45-54",
HRData[[#This Row],[Age]]&gt;=55,"55+"
)</f>
        <v>25-34</v>
      </c>
      <c r="C182" t="s">
        <v>43</v>
      </c>
      <c r="D182">
        <f>IF(HRData[[#This Row],[Attrition]]="Yes",1,0)</f>
        <v>0</v>
      </c>
      <c r="E182" t="s">
        <v>36</v>
      </c>
      <c r="F182">
        <v>140</v>
      </c>
      <c r="G182" t="s">
        <v>45</v>
      </c>
      <c r="H182">
        <v>12</v>
      </c>
      <c r="I182">
        <v>1</v>
      </c>
      <c r="J182" t="s">
        <v>51</v>
      </c>
      <c r="K182">
        <v>1</v>
      </c>
      <c r="L182">
        <v>246</v>
      </c>
      <c r="M182">
        <v>3</v>
      </c>
      <c r="N182" t="str" cm="1">
        <f t="array" ref="N182">_xlfn.IFS(HRData[[#This Row],[EnvironmentSatisfaction]]=1,"Very Dissatisfied",
HRData[[#This Row],[EnvironmentSatisfaction]]=2,"Dissatisfied",
HRData[[#This Row],[EnvironmentSatisfaction]]=3,"Satisfied",
HRData[[#This Row],[EnvironmentSatisfaction]]=4,"Very Satisfied"
)</f>
        <v>Satisfied</v>
      </c>
      <c r="O182" t="s">
        <v>39</v>
      </c>
      <c r="P182">
        <v>95</v>
      </c>
      <c r="Q182">
        <v>3</v>
      </c>
      <c r="R182">
        <v>1</v>
      </c>
      <c r="S182" t="s">
        <v>47</v>
      </c>
      <c r="T182">
        <v>4</v>
      </c>
      <c r="U182" t="str" cm="1">
        <f t="array" ref="U182">_xlfn.IFS(
HRData[[#This Row],[JobSatisfaction]]=1,"Very Dissatisfied",
HRData[[#This Row],[JobSatisfaction]]=2,"Dissatisfied",
HRData[[#This Row],[JobSatisfaction]]=3,"Satisfied",
HRData[[#This Row],[JobSatisfaction]]=4,"Very Satisfied"
)</f>
        <v>Very Satisfied</v>
      </c>
      <c r="V182" t="s">
        <v>48</v>
      </c>
      <c r="W182">
        <v>3929</v>
      </c>
      <c r="X182" t="str" cm="1">
        <f t="array" ref="X182">_xlfn.IFS(
HRData[[#This Row],[MonthlyIncome]]&lt;=4000,"Very Low Income",
HRData[[#This Row],[MonthlyIncome]]&lt;=8000,"Low Income",
HRData[[#This Row],[MonthlyIncome]]&lt;=12000,"Moderate Income",
HRData[[#This Row],[MonthlyIncome]]&lt;=16000,"High Income",
HRData[[#This Row],[MonthlyIncome]]&gt;16000,"Very High Income"
)</f>
        <v>Very Low Income</v>
      </c>
      <c r="Y182">
        <v>6984</v>
      </c>
      <c r="Z182">
        <v>8</v>
      </c>
      <c r="AA182" t="s">
        <v>42</v>
      </c>
      <c r="AB182" t="s">
        <v>35</v>
      </c>
      <c r="AC182">
        <v>23</v>
      </c>
      <c r="AD182" t="str" cm="1">
        <f t="array" ref="AD182">_xlfn.IFS(HRData[[#This Row],[PercentSalaryHike]]&lt;=15,"11-15",HRData[[#This Row],[PercentSalaryHike]]&lt;=20,"16-20",HRData[[#This Row],[PercentSalaryHike]]&gt;=21,"21+")</f>
        <v>21+</v>
      </c>
      <c r="AE182">
        <v>4</v>
      </c>
      <c r="AF182">
        <v>3</v>
      </c>
      <c r="AG182">
        <v>80</v>
      </c>
      <c r="AH182">
        <v>1</v>
      </c>
      <c r="AI182">
        <v>7</v>
      </c>
      <c r="AJ182">
        <v>0</v>
      </c>
      <c r="AK182">
        <v>3</v>
      </c>
      <c r="AL182">
        <v>4</v>
      </c>
      <c r="AM182">
        <v>2</v>
      </c>
      <c r="AN182">
        <v>0</v>
      </c>
      <c r="AO182">
        <v>2</v>
      </c>
      <c r="AP18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82" t="str">
        <f>IF(HRData[[#This Row],[Attrition]]="Yes","Left", IF(HRData[[#This Row],[Attrition_Risk_Score]]&gt;=6,"High",IF(HRData[[#This Row],[Attrition_Risk_Score]]&gt;=3,"Medium","Low")))</f>
        <v>Medium</v>
      </c>
      <c r="AR182" t="str">
        <f>IF(HRData[[#This Row],[Attrition_Risk_Level]]&lt;&gt;"High","",HRData[[#This Row],[Attrition_Risk_Score]]*10000-HRData[[#This Row],[EmployeeNumber]])</f>
        <v/>
      </c>
    </row>
    <row r="183" spans="1:44">
      <c r="A183">
        <v>34</v>
      </c>
      <c r="B183" t="str" cm="1">
        <f t="array" ref="B183">_xlfn.IFS(
HRData[[#This Row],[Age]]&lt;=24,"18-24",
HRData[[#This Row],[Age]]&lt;=34,"25-34",
HRData[[#This Row],[Age]]&lt;=44,"35-44",
HRData[[#This Row],[Age]]&lt;=54,"45-54",
HRData[[#This Row],[Age]]&gt;=55,"55+"
)</f>
        <v>25-34</v>
      </c>
      <c r="C183" t="s">
        <v>43</v>
      </c>
      <c r="D183">
        <f>IF(HRData[[#This Row],[Attrition]]="Yes",1,0)</f>
        <v>0</v>
      </c>
      <c r="E183" t="s">
        <v>36</v>
      </c>
      <c r="F183">
        <v>629</v>
      </c>
      <c r="G183" t="s">
        <v>45</v>
      </c>
      <c r="H183">
        <v>27</v>
      </c>
      <c r="I183">
        <v>2</v>
      </c>
      <c r="J183" t="s">
        <v>51</v>
      </c>
      <c r="K183">
        <v>1</v>
      </c>
      <c r="L183">
        <v>247</v>
      </c>
      <c r="M183">
        <v>4</v>
      </c>
      <c r="N183" t="str" cm="1">
        <f t="array" ref="N183">_xlfn.IFS(HRData[[#This Row],[EnvironmentSatisfaction]]=1,"Very Dissatisfied",
HRData[[#This Row],[EnvironmentSatisfaction]]=2,"Dissatisfied",
HRData[[#This Row],[EnvironmentSatisfaction]]=3,"Satisfied",
HRData[[#This Row],[EnvironmentSatisfaction]]=4,"Very Satisfied"
)</f>
        <v>Very Satisfied</v>
      </c>
      <c r="O183" t="s">
        <v>39</v>
      </c>
      <c r="P183">
        <v>95</v>
      </c>
      <c r="Q183">
        <v>3</v>
      </c>
      <c r="R183">
        <v>1</v>
      </c>
      <c r="S183" t="s">
        <v>47</v>
      </c>
      <c r="T183">
        <v>2</v>
      </c>
      <c r="U183" t="str" cm="1">
        <f t="array" ref="U183">_xlfn.IFS(
HRData[[#This Row],[JobSatisfaction]]=1,"Very Dissatisfied",
HRData[[#This Row],[JobSatisfaction]]=2,"Dissatisfied",
HRData[[#This Row],[JobSatisfaction]]=3,"Satisfied",
HRData[[#This Row],[JobSatisfaction]]=4,"Very Satisfied"
)</f>
        <v>Dissatisfied</v>
      </c>
      <c r="V183" t="s">
        <v>41</v>
      </c>
      <c r="W183">
        <v>2311</v>
      </c>
      <c r="X183" t="str" cm="1">
        <f t="array" ref="X183">_xlfn.IFS(
HRData[[#This Row],[MonthlyIncome]]&lt;=4000,"Very Low Income",
HRData[[#This Row],[MonthlyIncome]]&lt;=8000,"Low Income",
HRData[[#This Row],[MonthlyIncome]]&lt;=12000,"Moderate Income",
HRData[[#This Row],[MonthlyIncome]]&lt;=16000,"High Income",
HRData[[#This Row],[MonthlyIncome]]&gt;16000,"Very High Income"
)</f>
        <v>Very Low Income</v>
      </c>
      <c r="Y183">
        <v>5711</v>
      </c>
      <c r="Z183">
        <v>2</v>
      </c>
      <c r="AA183" t="s">
        <v>42</v>
      </c>
      <c r="AB183" t="s">
        <v>43</v>
      </c>
      <c r="AC183">
        <v>15</v>
      </c>
      <c r="AD183" t="str" cm="1">
        <f t="array" ref="AD183">_xlfn.IFS(HRData[[#This Row],[PercentSalaryHike]]&lt;=15,"11-15",HRData[[#This Row],[PercentSalaryHike]]&lt;=20,"16-20",HRData[[#This Row],[PercentSalaryHike]]&gt;=21,"21+")</f>
        <v>11-15</v>
      </c>
      <c r="AE183">
        <v>3</v>
      </c>
      <c r="AF183">
        <v>4</v>
      </c>
      <c r="AG183">
        <v>80</v>
      </c>
      <c r="AH183">
        <v>0</v>
      </c>
      <c r="AI183">
        <v>9</v>
      </c>
      <c r="AJ183">
        <v>3</v>
      </c>
      <c r="AK183">
        <v>3</v>
      </c>
      <c r="AL183">
        <v>3</v>
      </c>
      <c r="AM183">
        <v>2</v>
      </c>
      <c r="AN183">
        <v>1</v>
      </c>
      <c r="AO183">
        <v>2</v>
      </c>
      <c r="AP18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83" t="str">
        <f>IF(HRData[[#This Row],[Attrition]]="Yes","Left", IF(HRData[[#This Row],[Attrition_Risk_Score]]&gt;=6,"High",IF(HRData[[#This Row],[Attrition_Risk_Score]]&gt;=3,"Medium","Low")))</f>
        <v>Medium</v>
      </c>
      <c r="AR183" t="str">
        <f>IF(HRData[[#This Row],[Attrition_Risk_Level]]&lt;&gt;"High","",HRData[[#This Row],[Attrition_Risk_Score]]*10000-HRData[[#This Row],[EmployeeNumber]])</f>
        <v/>
      </c>
    </row>
    <row r="184" spans="1:44">
      <c r="A184">
        <v>41</v>
      </c>
      <c r="B184" t="str" cm="1">
        <f t="array" ref="B184">_xlfn.IFS(
HRData[[#This Row],[Age]]&lt;=24,"18-24",
HRData[[#This Row],[Age]]&lt;=34,"25-34",
HRData[[#This Row],[Age]]&lt;=44,"35-44",
HRData[[#This Row],[Age]]&lt;=54,"45-54",
HRData[[#This Row],[Age]]&gt;=55,"55+"
)</f>
        <v>35-44</v>
      </c>
      <c r="C184" t="s">
        <v>35</v>
      </c>
      <c r="D184">
        <f>IF(HRData[[#This Row],[Attrition]]="Yes",1,0)</f>
        <v>1</v>
      </c>
      <c r="E184" t="s">
        <v>36</v>
      </c>
      <c r="F184">
        <v>1356</v>
      </c>
      <c r="G184" t="s">
        <v>37</v>
      </c>
      <c r="H184">
        <v>20</v>
      </c>
      <c r="I184">
        <v>2</v>
      </c>
      <c r="J184" t="s">
        <v>59</v>
      </c>
      <c r="K184">
        <v>1</v>
      </c>
      <c r="L184">
        <v>248</v>
      </c>
      <c r="M184">
        <v>2</v>
      </c>
      <c r="N184" t="str" cm="1">
        <f t="array" ref="N184">_xlfn.IFS(HRData[[#This Row],[EnvironmentSatisfaction]]=1,"Very Dissatisfied",
HRData[[#This Row],[EnvironmentSatisfaction]]=2,"Dissatisfied",
HRData[[#This Row],[EnvironmentSatisfaction]]=3,"Satisfied",
HRData[[#This Row],[EnvironmentSatisfaction]]=4,"Very Satisfied"
)</f>
        <v>Dissatisfied</v>
      </c>
      <c r="O184" t="s">
        <v>39</v>
      </c>
      <c r="P184">
        <v>70</v>
      </c>
      <c r="Q184">
        <v>3</v>
      </c>
      <c r="R184">
        <v>1</v>
      </c>
      <c r="S184" t="s">
        <v>57</v>
      </c>
      <c r="T184">
        <v>2</v>
      </c>
      <c r="U184" t="str" cm="1">
        <f t="array" ref="U184">_xlfn.IFS(
HRData[[#This Row],[JobSatisfaction]]=1,"Very Dissatisfied",
HRData[[#This Row],[JobSatisfaction]]=2,"Dissatisfied",
HRData[[#This Row],[JobSatisfaction]]=3,"Satisfied",
HRData[[#This Row],[JobSatisfaction]]=4,"Very Satisfied"
)</f>
        <v>Dissatisfied</v>
      </c>
      <c r="V184" t="s">
        <v>41</v>
      </c>
      <c r="W184">
        <v>3140</v>
      </c>
      <c r="X184" t="str" cm="1">
        <f t="array" ref="X184">_xlfn.IFS(
HRData[[#This Row],[MonthlyIncome]]&lt;=4000,"Very Low Income",
HRData[[#This Row],[MonthlyIncome]]&lt;=8000,"Low Income",
HRData[[#This Row],[MonthlyIncome]]&lt;=12000,"Moderate Income",
HRData[[#This Row],[MonthlyIncome]]&lt;=16000,"High Income",
HRData[[#This Row],[MonthlyIncome]]&gt;16000,"Very High Income"
)</f>
        <v>Very Low Income</v>
      </c>
      <c r="Y184">
        <v>21728</v>
      </c>
      <c r="Z184">
        <v>1</v>
      </c>
      <c r="AA184" t="s">
        <v>42</v>
      </c>
      <c r="AB184" t="s">
        <v>35</v>
      </c>
      <c r="AC184">
        <v>22</v>
      </c>
      <c r="AD184" t="str" cm="1">
        <f t="array" ref="AD184">_xlfn.IFS(HRData[[#This Row],[PercentSalaryHike]]&lt;=15,"11-15",HRData[[#This Row],[PercentSalaryHike]]&lt;=20,"16-20",HRData[[#This Row],[PercentSalaryHike]]&gt;=21,"21+")</f>
        <v>21+</v>
      </c>
      <c r="AE184">
        <v>4</v>
      </c>
      <c r="AF184">
        <v>4</v>
      </c>
      <c r="AG184">
        <v>80</v>
      </c>
      <c r="AH184">
        <v>0</v>
      </c>
      <c r="AI184">
        <v>4</v>
      </c>
      <c r="AJ184">
        <v>5</v>
      </c>
      <c r="AK184">
        <v>2</v>
      </c>
      <c r="AL184">
        <v>4</v>
      </c>
      <c r="AM184">
        <v>3</v>
      </c>
      <c r="AN184">
        <v>0</v>
      </c>
      <c r="AO184">
        <v>2</v>
      </c>
      <c r="AP18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84" t="str">
        <f>IF(HRData[[#This Row],[Attrition]]="Yes","Left", IF(HRData[[#This Row],[Attrition_Risk_Score]]&gt;=6,"High",IF(HRData[[#This Row],[Attrition_Risk_Score]]&gt;=3,"Medium","Low")))</f>
        <v>Left</v>
      </c>
      <c r="AR184" t="str">
        <f>IF(HRData[[#This Row],[Attrition_Risk_Level]]&lt;&gt;"High","",HRData[[#This Row],[Attrition_Risk_Score]]*10000-HRData[[#This Row],[EmployeeNumber]])</f>
        <v/>
      </c>
    </row>
    <row r="185" spans="1:44">
      <c r="A185">
        <v>50</v>
      </c>
      <c r="B185" t="str" cm="1">
        <f t="array" ref="B185">_xlfn.IFS(
HRData[[#This Row],[Age]]&lt;=24,"18-24",
HRData[[#This Row],[Age]]&lt;=34,"25-34",
HRData[[#This Row],[Age]]&lt;=44,"35-44",
HRData[[#This Row],[Age]]&lt;=54,"45-54",
HRData[[#This Row],[Age]]&gt;=55,"55+"
)</f>
        <v>45-54</v>
      </c>
      <c r="C185" t="s">
        <v>43</v>
      </c>
      <c r="D185">
        <f>IF(HRData[[#This Row],[Attrition]]="Yes",1,0)</f>
        <v>0</v>
      </c>
      <c r="E185" t="s">
        <v>36</v>
      </c>
      <c r="F185">
        <v>328</v>
      </c>
      <c r="G185" t="s">
        <v>45</v>
      </c>
      <c r="H185">
        <v>1</v>
      </c>
      <c r="I185">
        <v>3</v>
      </c>
      <c r="J185" t="s">
        <v>51</v>
      </c>
      <c r="K185">
        <v>1</v>
      </c>
      <c r="L185">
        <v>249</v>
      </c>
      <c r="M185">
        <v>3</v>
      </c>
      <c r="N185" t="str" cm="1">
        <f t="array" ref="N185">_xlfn.IFS(HRData[[#This Row],[EnvironmentSatisfaction]]=1,"Very Dissatisfied",
HRData[[#This Row],[EnvironmentSatisfaction]]=2,"Dissatisfied",
HRData[[#This Row],[EnvironmentSatisfaction]]=3,"Satisfied",
HRData[[#This Row],[EnvironmentSatisfaction]]=4,"Very Satisfied"
)</f>
        <v>Satisfied</v>
      </c>
      <c r="O185" t="s">
        <v>46</v>
      </c>
      <c r="P185">
        <v>86</v>
      </c>
      <c r="Q185">
        <v>2</v>
      </c>
      <c r="R185">
        <v>1</v>
      </c>
      <c r="S185" t="s">
        <v>50</v>
      </c>
      <c r="T185">
        <v>3</v>
      </c>
      <c r="U185" t="str" cm="1">
        <f t="array" ref="U185">_xlfn.IFS(
HRData[[#This Row],[JobSatisfaction]]=1,"Very Dissatisfied",
HRData[[#This Row],[JobSatisfaction]]=2,"Dissatisfied",
HRData[[#This Row],[JobSatisfaction]]=3,"Satisfied",
HRData[[#This Row],[JobSatisfaction]]=4,"Very Satisfied"
)</f>
        <v>Satisfied</v>
      </c>
      <c r="V185" t="s">
        <v>48</v>
      </c>
      <c r="W185">
        <v>3690</v>
      </c>
      <c r="X185" t="str" cm="1">
        <f t="array" ref="X185">_xlfn.IFS(
HRData[[#This Row],[MonthlyIncome]]&lt;=4000,"Very Low Income",
HRData[[#This Row],[MonthlyIncome]]&lt;=8000,"Low Income",
HRData[[#This Row],[MonthlyIncome]]&lt;=12000,"Moderate Income",
HRData[[#This Row],[MonthlyIncome]]&lt;=16000,"High Income",
HRData[[#This Row],[MonthlyIncome]]&gt;16000,"Very High Income"
)</f>
        <v>Very Low Income</v>
      </c>
      <c r="Y185">
        <v>3425</v>
      </c>
      <c r="Z185">
        <v>2</v>
      </c>
      <c r="AA185" t="s">
        <v>42</v>
      </c>
      <c r="AB185" t="s">
        <v>43</v>
      </c>
      <c r="AC185">
        <v>15</v>
      </c>
      <c r="AD185" t="str" cm="1">
        <f t="array" ref="AD185">_xlfn.IFS(HRData[[#This Row],[PercentSalaryHike]]&lt;=15,"11-15",HRData[[#This Row],[PercentSalaryHike]]&lt;=20,"16-20",HRData[[#This Row],[PercentSalaryHike]]&gt;=21,"21+")</f>
        <v>11-15</v>
      </c>
      <c r="AE185">
        <v>3</v>
      </c>
      <c r="AF185">
        <v>4</v>
      </c>
      <c r="AG185">
        <v>80</v>
      </c>
      <c r="AH185">
        <v>1</v>
      </c>
      <c r="AI185">
        <v>5</v>
      </c>
      <c r="AJ185">
        <v>2</v>
      </c>
      <c r="AK185">
        <v>2</v>
      </c>
      <c r="AL185">
        <v>3</v>
      </c>
      <c r="AM185">
        <v>2</v>
      </c>
      <c r="AN185">
        <v>0</v>
      </c>
      <c r="AO185">
        <v>2</v>
      </c>
      <c r="AP18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85" t="str">
        <f>IF(HRData[[#This Row],[Attrition]]="Yes","Left", IF(HRData[[#This Row],[Attrition_Risk_Score]]&gt;=6,"High",IF(HRData[[#This Row],[Attrition_Risk_Score]]&gt;=3,"Medium","Low")))</f>
        <v>Medium</v>
      </c>
      <c r="AR185" t="str">
        <f>IF(HRData[[#This Row],[Attrition_Risk_Level]]&lt;&gt;"High","",HRData[[#This Row],[Attrition_Risk_Score]]*10000-HRData[[#This Row],[EmployeeNumber]])</f>
        <v/>
      </c>
    </row>
    <row r="186" spans="1:44">
      <c r="A186">
        <v>53</v>
      </c>
      <c r="B186" t="str" cm="1">
        <f t="array" ref="B186">_xlfn.IFS(
HRData[[#This Row],[Age]]&lt;=24,"18-24",
HRData[[#This Row],[Age]]&lt;=34,"25-34",
HRData[[#This Row],[Age]]&lt;=44,"35-44",
HRData[[#This Row],[Age]]&lt;=54,"45-54",
HRData[[#This Row],[Age]]&gt;=55,"55+"
)</f>
        <v>45-54</v>
      </c>
      <c r="C186" t="s">
        <v>43</v>
      </c>
      <c r="D186">
        <f>IF(HRData[[#This Row],[Attrition]]="Yes",1,0)</f>
        <v>0</v>
      </c>
      <c r="E186" t="s">
        <v>36</v>
      </c>
      <c r="F186">
        <v>1084</v>
      </c>
      <c r="G186" t="s">
        <v>45</v>
      </c>
      <c r="H186">
        <v>13</v>
      </c>
      <c r="I186">
        <v>2</v>
      </c>
      <c r="J186" t="s">
        <v>51</v>
      </c>
      <c r="K186">
        <v>1</v>
      </c>
      <c r="L186">
        <v>250</v>
      </c>
      <c r="M186">
        <v>4</v>
      </c>
      <c r="N186" t="str" cm="1">
        <f t="array" ref="N186">_xlfn.IFS(HRData[[#This Row],[EnvironmentSatisfaction]]=1,"Very Dissatisfied",
HRData[[#This Row],[EnvironmentSatisfaction]]=2,"Dissatisfied",
HRData[[#This Row],[EnvironmentSatisfaction]]=3,"Satisfied",
HRData[[#This Row],[EnvironmentSatisfaction]]=4,"Very Satisfied"
)</f>
        <v>Very Satisfied</v>
      </c>
      <c r="O186" t="s">
        <v>39</v>
      </c>
      <c r="P186">
        <v>57</v>
      </c>
      <c r="Q186">
        <v>4</v>
      </c>
      <c r="R186">
        <v>2</v>
      </c>
      <c r="S186" t="s">
        <v>53</v>
      </c>
      <c r="T186">
        <v>1</v>
      </c>
      <c r="U186" t="str" cm="1">
        <f t="array" ref="U186">_xlfn.IFS(
HRData[[#This Row],[JobSatisfaction]]=1,"Very Dissatisfied",
HRData[[#This Row],[JobSatisfaction]]=2,"Dissatisfied",
HRData[[#This Row],[JobSatisfaction]]=3,"Satisfied",
HRData[[#This Row],[JobSatisfaction]]=4,"Very Satisfied"
)</f>
        <v>Very Dissatisfied</v>
      </c>
      <c r="V186" t="s">
        <v>52</v>
      </c>
      <c r="W186">
        <v>4450</v>
      </c>
      <c r="X186" t="str" cm="1">
        <f t="array" ref="X186">_xlfn.IFS(
HRData[[#This Row],[MonthlyIncome]]&lt;=4000,"Very Low Income",
HRData[[#This Row],[MonthlyIncome]]&lt;=8000,"Low Income",
HRData[[#This Row],[MonthlyIncome]]&lt;=12000,"Moderate Income",
HRData[[#This Row],[MonthlyIncome]]&lt;=16000,"High Income",
HRData[[#This Row],[MonthlyIncome]]&gt;16000,"Very High Income"
)</f>
        <v>Low Income</v>
      </c>
      <c r="Y186">
        <v>26250</v>
      </c>
      <c r="Z186">
        <v>1</v>
      </c>
      <c r="AA186" t="s">
        <v>42</v>
      </c>
      <c r="AB186" t="s">
        <v>43</v>
      </c>
      <c r="AC186">
        <v>11</v>
      </c>
      <c r="AD186" t="str" cm="1">
        <f t="array" ref="AD186">_xlfn.IFS(HRData[[#This Row],[PercentSalaryHike]]&lt;=15,"11-15",HRData[[#This Row],[PercentSalaryHike]]&lt;=20,"16-20",HRData[[#This Row],[PercentSalaryHike]]&gt;=21,"21+")</f>
        <v>11-15</v>
      </c>
      <c r="AE186">
        <v>3</v>
      </c>
      <c r="AF186">
        <v>3</v>
      </c>
      <c r="AG186">
        <v>80</v>
      </c>
      <c r="AH186">
        <v>2</v>
      </c>
      <c r="AI186">
        <v>5</v>
      </c>
      <c r="AJ186">
        <v>3</v>
      </c>
      <c r="AK186">
        <v>3</v>
      </c>
      <c r="AL186">
        <v>4</v>
      </c>
      <c r="AM186">
        <v>2</v>
      </c>
      <c r="AN186">
        <v>1</v>
      </c>
      <c r="AO186">
        <v>3</v>
      </c>
      <c r="AP18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86" t="str">
        <f>IF(HRData[[#This Row],[Attrition]]="Yes","Left", IF(HRData[[#This Row],[Attrition_Risk_Score]]&gt;=6,"High",IF(HRData[[#This Row],[Attrition_Risk_Score]]&gt;=3,"Medium","Low")))</f>
        <v>Medium</v>
      </c>
      <c r="AR186" t="str">
        <f>IF(HRData[[#This Row],[Attrition_Risk_Level]]&lt;&gt;"High","",HRData[[#This Row],[Attrition_Risk_Score]]*10000-HRData[[#This Row],[EmployeeNumber]])</f>
        <v/>
      </c>
    </row>
    <row r="187" spans="1:44">
      <c r="A187">
        <v>33</v>
      </c>
      <c r="B187" t="str" cm="1">
        <f t="array" ref="B187">_xlfn.IFS(
HRData[[#This Row],[Age]]&lt;=24,"18-24",
HRData[[#This Row],[Age]]&lt;=34,"25-34",
HRData[[#This Row],[Age]]&lt;=44,"35-44",
HRData[[#This Row],[Age]]&lt;=54,"45-54",
HRData[[#This Row],[Age]]&gt;=55,"55+"
)</f>
        <v>25-34</v>
      </c>
      <c r="C187" t="s">
        <v>43</v>
      </c>
      <c r="D187">
        <f>IF(HRData[[#This Row],[Attrition]]="Yes",1,0)</f>
        <v>0</v>
      </c>
      <c r="E187" t="s">
        <v>36</v>
      </c>
      <c r="F187">
        <v>931</v>
      </c>
      <c r="G187" t="s">
        <v>45</v>
      </c>
      <c r="H187">
        <v>14</v>
      </c>
      <c r="I187">
        <v>3</v>
      </c>
      <c r="J187" t="s">
        <v>51</v>
      </c>
      <c r="K187">
        <v>1</v>
      </c>
      <c r="L187">
        <v>252</v>
      </c>
      <c r="M187">
        <v>4</v>
      </c>
      <c r="N187" t="str" cm="1">
        <f t="array" ref="N187">_xlfn.IFS(HRData[[#This Row],[EnvironmentSatisfaction]]=1,"Very Dissatisfied",
HRData[[#This Row],[EnvironmentSatisfaction]]=2,"Dissatisfied",
HRData[[#This Row],[EnvironmentSatisfaction]]=3,"Satisfied",
HRData[[#This Row],[EnvironmentSatisfaction]]=4,"Very Satisfied"
)</f>
        <v>Very Satisfied</v>
      </c>
      <c r="O187" t="s">
        <v>39</v>
      </c>
      <c r="P187">
        <v>72</v>
      </c>
      <c r="Q187">
        <v>3</v>
      </c>
      <c r="R187">
        <v>1</v>
      </c>
      <c r="S187" t="s">
        <v>47</v>
      </c>
      <c r="T187">
        <v>2</v>
      </c>
      <c r="U187" t="str" cm="1">
        <f t="array" ref="U187">_xlfn.IFS(
HRData[[#This Row],[JobSatisfaction]]=1,"Very Dissatisfied",
HRData[[#This Row],[JobSatisfaction]]=2,"Dissatisfied",
HRData[[#This Row],[JobSatisfaction]]=3,"Satisfied",
HRData[[#This Row],[JobSatisfaction]]=4,"Very Satisfied"
)</f>
        <v>Dissatisfied</v>
      </c>
      <c r="V187" t="s">
        <v>48</v>
      </c>
      <c r="W187">
        <v>2756</v>
      </c>
      <c r="X187" t="str" cm="1">
        <f t="array" ref="X187">_xlfn.IFS(
HRData[[#This Row],[MonthlyIncome]]&lt;=4000,"Very Low Income",
HRData[[#This Row],[MonthlyIncome]]&lt;=8000,"Low Income",
HRData[[#This Row],[MonthlyIncome]]&lt;=12000,"Moderate Income",
HRData[[#This Row],[MonthlyIncome]]&lt;=16000,"High Income",
HRData[[#This Row],[MonthlyIncome]]&gt;16000,"Very High Income"
)</f>
        <v>Very Low Income</v>
      </c>
      <c r="Y187">
        <v>4673</v>
      </c>
      <c r="Z187">
        <v>1</v>
      </c>
      <c r="AA187" t="s">
        <v>42</v>
      </c>
      <c r="AB187" t="s">
        <v>43</v>
      </c>
      <c r="AC187">
        <v>13</v>
      </c>
      <c r="AD187" t="str" cm="1">
        <f t="array" ref="AD187">_xlfn.IFS(HRData[[#This Row],[PercentSalaryHike]]&lt;=15,"11-15",HRData[[#This Row],[PercentSalaryHike]]&lt;=20,"16-20",HRData[[#This Row],[PercentSalaryHike]]&gt;=21,"21+")</f>
        <v>11-15</v>
      </c>
      <c r="AE187">
        <v>3</v>
      </c>
      <c r="AF187">
        <v>4</v>
      </c>
      <c r="AG187">
        <v>80</v>
      </c>
      <c r="AH187">
        <v>1</v>
      </c>
      <c r="AI187">
        <v>8</v>
      </c>
      <c r="AJ187">
        <v>5</v>
      </c>
      <c r="AK187">
        <v>3</v>
      </c>
      <c r="AL187">
        <v>8</v>
      </c>
      <c r="AM187">
        <v>7</v>
      </c>
      <c r="AN187">
        <v>1</v>
      </c>
      <c r="AO187">
        <v>6</v>
      </c>
      <c r="AP18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87" t="str">
        <f>IF(HRData[[#This Row],[Attrition]]="Yes","Left", IF(HRData[[#This Row],[Attrition_Risk_Score]]&gt;=6,"High",IF(HRData[[#This Row],[Attrition_Risk_Score]]&gt;=3,"Medium","Low")))</f>
        <v>Medium</v>
      </c>
      <c r="AR187" t="str">
        <f>IF(HRData[[#This Row],[Attrition_Risk_Level]]&lt;&gt;"High","",HRData[[#This Row],[Attrition_Risk_Score]]*10000-HRData[[#This Row],[EmployeeNumber]])</f>
        <v/>
      </c>
    </row>
    <row r="188" spans="1:44">
      <c r="A188">
        <v>40</v>
      </c>
      <c r="B188" t="str" cm="1">
        <f t="array" ref="B188">_xlfn.IFS(
HRData[[#This Row],[Age]]&lt;=24,"18-24",
HRData[[#This Row],[Age]]&lt;=34,"25-34",
HRData[[#This Row],[Age]]&lt;=44,"35-44",
HRData[[#This Row],[Age]]&lt;=54,"45-54",
HRData[[#This Row],[Age]]&gt;=55,"55+"
)</f>
        <v>35-44</v>
      </c>
      <c r="C188" t="s">
        <v>43</v>
      </c>
      <c r="D188">
        <f>IF(HRData[[#This Row],[Attrition]]="Yes",1,0)</f>
        <v>0</v>
      </c>
      <c r="E188" t="s">
        <v>36</v>
      </c>
      <c r="F188">
        <v>989</v>
      </c>
      <c r="G188" t="s">
        <v>45</v>
      </c>
      <c r="H188">
        <v>4</v>
      </c>
      <c r="I188">
        <v>1</v>
      </c>
      <c r="J188" t="s">
        <v>51</v>
      </c>
      <c r="K188">
        <v>1</v>
      </c>
      <c r="L188">
        <v>253</v>
      </c>
      <c r="M188">
        <v>4</v>
      </c>
      <c r="N188" t="str" cm="1">
        <f t="array" ref="N188">_xlfn.IFS(HRData[[#This Row],[EnvironmentSatisfaction]]=1,"Very Dissatisfied",
HRData[[#This Row],[EnvironmentSatisfaction]]=2,"Dissatisfied",
HRData[[#This Row],[EnvironmentSatisfaction]]=3,"Satisfied",
HRData[[#This Row],[EnvironmentSatisfaction]]=4,"Very Satisfied"
)</f>
        <v>Very Satisfied</v>
      </c>
      <c r="O188" t="s">
        <v>39</v>
      </c>
      <c r="P188">
        <v>46</v>
      </c>
      <c r="Q188">
        <v>3</v>
      </c>
      <c r="R188">
        <v>5</v>
      </c>
      <c r="S188" t="s">
        <v>56</v>
      </c>
      <c r="T188">
        <v>3</v>
      </c>
      <c r="U188" t="str" cm="1">
        <f t="array" ref="U188">_xlfn.IFS(
HRData[[#This Row],[JobSatisfaction]]=1,"Very Dissatisfied",
HRData[[#This Row],[JobSatisfaction]]=2,"Dissatisfied",
HRData[[#This Row],[JobSatisfaction]]=3,"Satisfied",
HRData[[#This Row],[JobSatisfaction]]=4,"Very Satisfied"
)</f>
        <v>Satisfied</v>
      </c>
      <c r="V188" t="s">
        <v>48</v>
      </c>
      <c r="W188">
        <v>19033</v>
      </c>
      <c r="X188" t="str" cm="1">
        <f t="array" ref="X188">_xlfn.IFS(
HRData[[#This Row],[MonthlyIncome]]&lt;=4000,"Very Low Income",
HRData[[#This Row],[MonthlyIncome]]&lt;=8000,"Low Income",
HRData[[#This Row],[MonthlyIncome]]&lt;=12000,"Moderate Income",
HRData[[#This Row],[MonthlyIncome]]&lt;=16000,"High Income",
HRData[[#This Row],[MonthlyIncome]]&gt;16000,"Very High Income"
)</f>
        <v>Very High Income</v>
      </c>
      <c r="Y188">
        <v>6499</v>
      </c>
      <c r="Z188">
        <v>1</v>
      </c>
      <c r="AA188" t="s">
        <v>42</v>
      </c>
      <c r="AB188" t="s">
        <v>43</v>
      </c>
      <c r="AC188">
        <v>14</v>
      </c>
      <c r="AD188" t="str" cm="1">
        <f t="array" ref="AD188">_xlfn.IFS(HRData[[#This Row],[PercentSalaryHike]]&lt;=15,"11-15",HRData[[#This Row],[PercentSalaryHike]]&lt;=20,"16-20",HRData[[#This Row],[PercentSalaryHike]]&gt;=21,"21+")</f>
        <v>11-15</v>
      </c>
      <c r="AE188">
        <v>3</v>
      </c>
      <c r="AF188">
        <v>2</v>
      </c>
      <c r="AG188">
        <v>80</v>
      </c>
      <c r="AH188">
        <v>1</v>
      </c>
      <c r="AI188">
        <v>21</v>
      </c>
      <c r="AJ188">
        <v>2</v>
      </c>
      <c r="AK188">
        <v>3</v>
      </c>
      <c r="AL188">
        <v>20</v>
      </c>
      <c r="AM188">
        <v>8</v>
      </c>
      <c r="AN188">
        <v>9</v>
      </c>
      <c r="AO188">
        <v>9</v>
      </c>
      <c r="AP18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88" t="str">
        <f>IF(HRData[[#This Row],[Attrition]]="Yes","Left", IF(HRData[[#This Row],[Attrition_Risk_Score]]&gt;=6,"High",IF(HRData[[#This Row],[Attrition_Risk_Score]]&gt;=3,"Medium","Low")))</f>
        <v>Low</v>
      </c>
      <c r="AR188" t="str">
        <f>IF(HRData[[#This Row],[Attrition_Risk_Level]]&lt;&gt;"High","",HRData[[#This Row],[Attrition_Risk_Score]]*10000-HRData[[#This Row],[EmployeeNumber]])</f>
        <v/>
      </c>
    </row>
    <row r="189" spans="1:44">
      <c r="A189">
        <v>55</v>
      </c>
      <c r="B189" t="str" cm="1">
        <f t="array" ref="B189">_xlfn.IFS(
HRData[[#This Row],[Age]]&lt;=24,"18-24",
HRData[[#This Row],[Age]]&lt;=34,"25-34",
HRData[[#This Row],[Age]]&lt;=44,"35-44",
HRData[[#This Row],[Age]]&lt;=54,"45-54",
HRData[[#This Row],[Age]]&gt;=55,"55+"
)</f>
        <v>55+</v>
      </c>
      <c r="C189" t="s">
        <v>43</v>
      </c>
      <c r="D189">
        <f>IF(HRData[[#This Row],[Attrition]]="Yes",1,0)</f>
        <v>0</v>
      </c>
      <c r="E189" t="s">
        <v>36</v>
      </c>
      <c r="F189">
        <v>692</v>
      </c>
      <c r="G189" t="s">
        <v>45</v>
      </c>
      <c r="H189">
        <v>14</v>
      </c>
      <c r="I189">
        <v>4</v>
      </c>
      <c r="J189" t="s">
        <v>51</v>
      </c>
      <c r="K189">
        <v>1</v>
      </c>
      <c r="L189">
        <v>254</v>
      </c>
      <c r="M189">
        <v>3</v>
      </c>
      <c r="N189" t="str" cm="1">
        <f t="array" ref="N189">_xlfn.IFS(HRData[[#This Row],[EnvironmentSatisfaction]]=1,"Very Dissatisfied",
HRData[[#This Row],[EnvironmentSatisfaction]]=2,"Dissatisfied",
HRData[[#This Row],[EnvironmentSatisfaction]]=3,"Satisfied",
HRData[[#This Row],[EnvironmentSatisfaction]]=4,"Very Satisfied"
)</f>
        <v>Satisfied</v>
      </c>
      <c r="O189" t="s">
        <v>46</v>
      </c>
      <c r="P189">
        <v>61</v>
      </c>
      <c r="Q189">
        <v>4</v>
      </c>
      <c r="R189">
        <v>5</v>
      </c>
      <c r="S189" t="s">
        <v>58</v>
      </c>
      <c r="T189">
        <v>2</v>
      </c>
      <c r="U189" t="str" cm="1">
        <f t="array" ref="U189">_xlfn.IFS(
HRData[[#This Row],[JobSatisfaction]]=1,"Very Dissatisfied",
HRData[[#This Row],[JobSatisfaction]]=2,"Dissatisfied",
HRData[[#This Row],[JobSatisfaction]]=3,"Satisfied",
HRData[[#This Row],[JobSatisfaction]]=4,"Very Satisfied"
)</f>
        <v>Dissatisfied</v>
      </c>
      <c r="V189" t="s">
        <v>41</v>
      </c>
      <c r="W189">
        <v>18722</v>
      </c>
      <c r="X189" t="str" cm="1">
        <f t="array" ref="X189">_xlfn.IFS(
HRData[[#This Row],[MonthlyIncome]]&lt;=4000,"Very Low Income",
HRData[[#This Row],[MonthlyIncome]]&lt;=8000,"Low Income",
HRData[[#This Row],[MonthlyIncome]]&lt;=12000,"Moderate Income",
HRData[[#This Row],[MonthlyIncome]]&lt;=16000,"High Income",
HRData[[#This Row],[MonthlyIncome]]&gt;16000,"Very High Income"
)</f>
        <v>Very High Income</v>
      </c>
      <c r="Y189">
        <v>13339</v>
      </c>
      <c r="Z189">
        <v>8</v>
      </c>
      <c r="AA189" t="s">
        <v>42</v>
      </c>
      <c r="AB189" t="s">
        <v>43</v>
      </c>
      <c r="AC189">
        <v>11</v>
      </c>
      <c r="AD189" t="str" cm="1">
        <f t="array" ref="AD189">_xlfn.IFS(HRData[[#This Row],[PercentSalaryHike]]&lt;=15,"11-15",HRData[[#This Row],[PercentSalaryHike]]&lt;=20,"16-20",HRData[[#This Row],[PercentSalaryHike]]&gt;=21,"21+")</f>
        <v>11-15</v>
      </c>
      <c r="AE189">
        <v>3</v>
      </c>
      <c r="AF189">
        <v>4</v>
      </c>
      <c r="AG189">
        <v>80</v>
      </c>
      <c r="AH189">
        <v>0</v>
      </c>
      <c r="AI189">
        <v>36</v>
      </c>
      <c r="AJ189">
        <v>3</v>
      </c>
      <c r="AK189">
        <v>3</v>
      </c>
      <c r="AL189">
        <v>24</v>
      </c>
      <c r="AM189">
        <v>15</v>
      </c>
      <c r="AN189">
        <v>2</v>
      </c>
      <c r="AO189">
        <v>15</v>
      </c>
      <c r="AP18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89" t="str">
        <f>IF(HRData[[#This Row],[Attrition]]="Yes","Left", IF(HRData[[#This Row],[Attrition_Risk_Score]]&gt;=6,"High",IF(HRData[[#This Row],[Attrition_Risk_Score]]&gt;=3,"Medium","Low")))</f>
        <v>Low</v>
      </c>
      <c r="AR189" t="str">
        <f>IF(HRData[[#This Row],[Attrition_Risk_Level]]&lt;&gt;"High","",HRData[[#This Row],[Attrition_Risk_Score]]*10000-HRData[[#This Row],[EmployeeNumber]])</f>
        <v/>
      </c>
    </row>
    <row r="190" spans="1:44">
      <c r="A190">
        <v>34</v>
      </c>
      <c r="B190" t="str" cm="1">
        <f t="array" ref="B190">_xlfn.IFS(
HRData[[#This Row],[Age]]&lt;=24,"18-24",
HRData[[#This Row],[Age]]&lt;=34,"25-34",
HRData[[#This Row],[Age]]&lt;=44,"35-44",
HRData[[#This Row],[Age]]&lt;=54,"45-54",
HRData[[#This Row],[Age]]&gt;=55,"55+"
)</f>
        <v>25-34</v>
      </c>
      <c r="C190" t="s">
        <v>43</v>
      </c>
      <c r="D190">
        <f>IF(HRData[[#This Row],[Attrition]]="Yes",1,0)</f>
        <v>0</v>
      </c>
      <c r="E190" t="s">
        <v>44</v>
      </c>
      <c r="F190">
        <v>1069</v>
      </c>
      <c r="G190" t="s">
        <v>45</v>
      </c>
      <c r="H190">
        <v>2</v>
      </c>
      <c r="I190">
        <v>1</v>
      </c>
      <c r="J190" t="s">
        <v>38</v>
      </c>
      <c r="K190">
        <v>1</v>
      </c>
      <c r="L190">
        <v>256</v>
      </c>
      <c r="M190">
        <v>4</v>
      </c>
      <c r="N190" t="str" cm="1">
        <f t="array" ref="N190">_xlfn.IFS(HRData[[#This Row],[EnvironmentSatisfaction]]=1,"Very Dissatisfied",
HRData[[#This Row],[EnvironmentSatisfaction]]=2,"Dissatisfied",
HRData[[#This Row],[EnvironmentSatisfaction]]=3,"Satisfied",
HRData[[#This Row],[EnvironmentSatisfaction]]=4,"Very Satisfied"
)</f>
        <v>Very Satisfied</v>
      </c>
      <c r="O190" t="s">
        <v>46</v>
      </c>
      <c r="P190">
        <v>45</v>
      </c>
      <c r="Q190">
        <v>2</v>
      </c>
      <c r="R190">
        <v>2</v>
      </c>
      <c r="S190" t="s">
        <v>53</v>
      </c>
      <c r="T190">
        <v>3</v>
      </c>
      <c r="U190" t="str" cm="1">
        <f t="array" ref="U190">_xlfn.IFS(
HRData[[#This Row],[JobSatisfaction]]=1,"Very Dissatisfied",
HRData[[#This Row],[JobSatisfaction]]=2,"Dissatisfied",
HRData[[#This Row],[JobSatisfaction]]=3,"Satisfied",
HRData[[#This Row],[JobSatisfaction]]=4,"Very Satisfied"
)</f>
        <v>Satisfied</v>
      </c>
      <c r="V190" t="s">
        <v>48</v>
      </c>
      <c r="W190">
        <v>9547</v>
      </c>
      <c r="X190" t="str" cm="1">
        <f t="array" ref="X190">_xlfn.IFS(
HRData[[#This Row],[MonthlyIncome]]&lt;=4000,"Very Low Income",
HRData[[#This Row],[MonthlyIncome]]&lt;=8000,"Low Income",
HRData[[#This Row],[MonthlyIncome]]&lt;=12000,"Moderate Income",
HRData[[#This Row],[MonthlyIncome]]&lt;=16000,"High Income",
HRData[[#This Row],[MonthlyIncome]]&gt;16000,"Very High Income"
)</f>
        <v>Moderate Income</v>
      </c>
      <c r="Y190">
        <v>14074</v>
      </c>
      <c r="Z190">
        <v>1</v>
      </c>
      <c r="AA190" t="s">
        <v>42</v>
      </c>
      <c r="AB190" t="s">
        <v>43</v>
      </c>
      <c r="AC190">
        <v>17</v>
      </c>
      <c r="AD190" t="str" cm="1">
        <f t="array" ref="AD190">_xlfn.IFS(HRData[[#This Row],[PercentSalaryHike]]&lt;=15,"11-15",HRData[[#This Row],[PercentSalaryHike]]&lt;=20,"16-20",HRData[[#This Row],[PercentSalaryHike]]&gt;=21,"21+")</f>
        <v>16-20</v>
      </c>
      <c r="AE190">
        <v>3</v>
      </c>
      <c r="AF190">
        <v>3</v>
      </c>
      <c r="AG190">
        <v>80</v>
      </c>
      <c r="AH190">
        <v>0</v>
      </c>
      <c r="AI190">
        <v>10</v>
      </c>
      <c r="AJ190">
        <v>2</v>
      </c>
      <c r="AK190">
        <v>2</v>
      </c>
      <c r="AL190">
        <v>10</v>
      </c>
      <c r="AM190">
        <v>9</v>
      </c>
      <c r="AN190">
        <v>1</v>
      </c>
      <c r="AO190">
        <v>9</v>
      </c>
      <c r="AP19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90" t="str">
        <f>IF(HRData[[#This Row],[Attrition]]="Yes","Left", IF(HRData[[#This Row],[Attrition_Risk_Score]]&gt;=6,"High",IF(HRData[[#This Row],[Attrition_Risk_Score]]&gt;=3,"Medium","Low")))</f>
        <v>Low</v>
      </c>
      <c r="AR190" t="str">
        <f>IF(HRData[[#This Row],[Attrition_Risk_Level]]&lt;&gt;"High","",HRData[[#This Row],[Attrition_Risk_Score]]*10000-HRData[[#This Row],[EmployeeNumber]])</f>
        <v/>
      </c>
    </row>
    <row r="191" spans="1:44">
      <c r="A191">
        <v>51</v>
      </c>
      <c r="B191" t="str" cm="1">
        <f t="array" ref="B191">_xlfn.IFS(
HRData[[#This Row],[Age]]&lt;=24,"18-24",
HRData[[#This Row],[Age]]&lt;=34,"25-34",
HRData[[#This Row],[Age]]&lt;=44,"35-44",
HRData[[#This Row],[Age]]&lt;=54,"45-54",
HRData[[#This Row],[Age]]&gt;=55,"55+"
)</f>
        <v>45-54</v>
      </c>
      <c r="C191" t="s">
        <v>43</v>
      </c>
      <c r="D191">
        <f>IF(HRData[[#This Row],[Attrition]]="Yes",1,0)</f>
        <v>0</v>
      </c>
      <c r="E191" t="s">
        <v>36</v>
      </c>
      <c r="F191">
        <v>313</v>
      </c>
      <c r="G191" t="s">
        <v>45</v>
      </c>
      <c r="H191">
        <v>3</v>
      </c>
      <c r="I191">
        <v>3</v>
      </c>
      <c r="J191" t="s">
        <v>51</v>
      </c>
      <c r="K191">
        <v>1</v>
      </c>
      <c r="L191">
        <v>258</v>
      </c>
      <c r="M191">
        <v>4</v>
      </c>
      <c r="N191" t="str" cm="1">
        <f t="array" ref="N191">_xlfn.IFS(HRData[[#This Row],[EnvironmentSatisfaction]]=1,"Very Dissatisfied",
HRData[[#This Row],[EnvironmentSatisfaction]]=2,"Dissatisfied",
HRData[[#This Row],[EnvironmentSatisfaction]]=3,"Satisfied",
HRData[[#This Row],[EnvironmentSatisfaction]]=4,"Very Satisfied"
)</f>
        <v>Very Satisfied</v>
      </c>
      <c r="O191" t="s">
        <v>39</v>
      </c>
      <c r="P191">
        <v>98</v>
      </c>
      <c r="Q191">
        <v>3</v>
      </c>
      <c r="R191">
        <v>4</v>
      </c>
      <c r="S191" t="s">
        <v>54</v>
      </c>
      <c r="T191">
        <v>2</v>
      </c>
      <c r="U191" t="str" cm="1">
        <f t="array" ref="U191">_xlfn.IFS(
HRData[[#This Row],[JobSatisfaction]]=1,"Very Dissatisfied",
HRData[[#This Row],[JobSatisfaction]]=2,"Dissatisfied",
HRData[[#This Row],[JobSatisfaction]]=3,"Satisfied",
HRData[[#This Row],[JobSatisfaction]]=4,"Very Satisfied"
)</f>
        <v>Dissatisfied</v>
      </c>
      <c r="V191" t="s">
        <v>41</v>
      </c>
      <c r="W191">
        <v>13734</v>
      </c>
      <c r="X191" t="str" cm="1">
        <f t="array" ref="X191">_xlfn.IFS(
HRData[[#This Row],[MonthlyIncome]]&lt;=4000,"Very Low Income",
HRData[[#This Row],[MonthlyIncome]]&lt;=8000,"Low Income",
HRData[[#This Row],[MonthlyIncome]]&lt;=12000,"Moderate Income",
HRData[[#This Row],[MonthlyIncome]]&lt;=16000,"High Income",
HRData[[#This Row],[MonthlyIncome]]&gt;16000,"Very High Income"
)</f>
        <v>High Income</v>
      </c>
      <c r="Y191">
        <v>7192</v>
      </c>
      <c r="Z191">
        <v>3</v>
      </c>
      <c r="AA191" t="s">
        <v>42</v>
      </c>
      <c r="AB191" t="s">
        <v>43</v>
      </c>
      <c r="AC191">
        <v>18</v>
      </c>
      <c r="AD191" t="str" cm="1">
        <f t="array" ref="AD191">_xlfn.IFS(HRData[[#This Row],[PercentSalaryHike]]&lt;=15,"11-15",HRData[[#This Row],[PercentSalaryHike]]&lt;=20,"16-20",HRData[[#This Row],[PercentSalaryHike]]&gt;=21,"21+")</f>
        <v>16-20</v>
      </c>
      <c r="AE191">
        <v>3</v>
      </c>
      <c r="AF191">
        <v>3</v>
      </c>
      <c r="AG191">
        <v>80</v>
      </c>
      <c r="AH191">
        <v>0</v>
      </c>
      <c r="AI191">
        <v>21</v>
      </c>
      <c r="AJ191">
        <v>6</v>
      </c>
      <c r="AK191">
        <v>3</v>
      </c>
      <c r="AL191">
        <v>7</v>
      </c>
      <c r="AM191">
        <v>7</v>
      </c>
      <c r="AN191">
        <v>1</v>
      </c>
      <c r="AO191">
        <v>0</v>
      </c>
      <c r="AP19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91" t="str">
        <f>IF(HRData[[#This Row],[Attrition]]="Yes","Left", IF(HRData[[#This Row],[Attrition_Risk_Score]]&gt;=6,"High",IF(HRData[[#This Row],[Attrition_Risk_Score]]&gt;=3,"Medium","Low")))</f>
        <v>Low</v>
      </c>
      <c r="AR191" t="str">
        <f>IF(HRData[[#This Row],[Attrition_Risk_Level]]&lt;&gt;"High","",HRData[[#This Row],[Attrition_Risk_Score]]*10000-HRData[[#This Row],[EmployeeNumber]])</f>
        <v/>
      </c>
    </row>
    <row r="192" spans="1:44">
      <c r="A192">
        <v>52</v>
      </c>
      <c r="B192" t="str" cm="1">
        <f t="array" ref="B192">_xlfn.IFS(
HRData[[#This Row],[Age]]&lt;=24,"18-24",
HRData[[#This Row],[Age]]&lt;=34,"25-34",
HRData[[#This Row],[Age]]&lt;=44,"35-44",
HRData[[#This Row],[Age]]&lt;=54,"45-54",
HRData[[#This Row],[Age]]&gt;=55,"55+"
)</f>
        <v>45-54</v>
      </c>
      <c r="C192" t="s">
        <v>43</v>
      </c>
      <c r="D192">
        <f>IF(HRData[[#This Row],[Attrition]]="Yes",1,0)</f>
        <v>0</v>
      </c>
      <c r="E192" t="s">
        <v>36</v>
      </c>
      <c r="F192">
        <v>699</v>
      </c>
      <c r="G192" t="s">
        <v>45</v>
      </c>
      <c r="H192">
        <v>1</v>
      </c>
      <c r="I192">
        <v>4</v>
      </c>
      <c r="J192" t="s">
        <v>38</v>
      </c>
      <c r="K192">
        <v>1</v>
      </c>
      <c r="L192">
        <v>259</v>
      </c>
      <c r="M192">
        <v>3</v>
      </c>
      <c r="N192" t="str" cm="1">
        <f t="array" ref="N192">_xlfn.IFS(HRData[[#This Row],[EnvironmentSatisfaction]]=1,"Very Dissatisfied",
HRData[[#This Row],[EnvironmentSatisfaction]]=2,"Dissatisfied",
HRData[[#This Row],[EnvironmentSatisfaction]]=3,"Satisfied",
HRData[[#This Row],[EnvironmentSatisfaction]]=4,"Very Satisfied"
)</f>
        <v>Satisfied</v>
      </c>
      <c r="O192" t="s">
        <v>46</v>
      </c>
      <c r="P192">
        <v>65</v>
      </c>
      <c r="Q192">
        <v>2</v>
      </c>
      <c r="R192">
        <v>5</v>
      </c>
      <c r="S192" t="s">
        <v>56</v>
      </c>
      <c r="T192">
        <v>3</v>
      </c>
      <c r="U192" t="str" cm="1">
        <f t="array" ref="U192">_xlfn.IFS(
HRData[[#This Row],[JobSatisfaction]]=1,"Very Dissatisfied",
HRData[[#This Row],[JobSatisfaction]]=2,"Dissatisfied",
HRData[[#This Row],[JobSatisfaction]]=3,"Satisfied",
HRData[[#This Row],[JobSatisfaction]]=4,"Very Satisfied"
)</f>
        <v>Satisfied</v>
      </c>
      <c r="V192" t="s">
        <v>48</v>
      </c>
      <c r="W192">
        <v>19999</v>
      </c>
      <c r="X192" t="str" cm="1">
        <f t="array" ref="X192">_xlfn.IFS(
HRData[[#This Row],[MonthlyIncome]]&lt;=4000,"Very Low Income",
HRData[[#This Row],[MonthlyIncome]]&lt;=8000,"Low Income",
HRData[[#This Row],[MonthlyIncome]]&lt;=12000,"Moderate Income",
HRData[[#This Row],[MonthlyIncome]]&lt;=16000,"High Income",
HRData[[#This Row],[MonthlyIncome]]&gt;16000,"Very High Income"
)</f>
        <v>Very High Income</v>
      </c>
      <c r="Y192">
        <v>5678</v>
      </c>
      <c r="Z192">
        <v>0</v>
      </c>
      <c r="AA192" t="s">
        <v>42</v>
      </c>
      <c r="AB192" t="s">
        <v>43</v>
      </c>
      <c r="AC192">
        <v>14</v>
      </c>
      <c r="AD192" t="str" cm="1">
        <f t="array" ref="AD192">_xlfn.IFS(HRData[[#This Row],[PercentSalaryHike]]&lt;=15,"11-15",HRData[[#This Row],[PercentSalaryHike]]&lt;=20,"16-20",HRData[[#This Row],[PercentSalaryHike]]&gt;=21,"21+")</f>
        <v>11-15</v>
      </c>
      <c r="AE192">
        <v>3</v>
      </c>
      <c r="AF192">
        <v>1</v>
      </c>
      <c r="AG192">
        <v>80</v>
      </c>
      <c r="AH192">
        <v>1</v>
      </c>
      <c r="AI192">
        <v>34</v>
      </c>
      <c r="AJ192">
        <v>5</v>
      </c>
      <c r="AK192">
        <v>3</v>
      </c>
      <c r="AL192">
        <v>33</v>
      </c>
      <c r="AM192">
        <v>18</v>
      </c>
      <c r="AN192">
        <v>11</v>
      </c>
      <c r="AO192">
        <v>9</v>
      </c>
      <c r="AP19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92" t="str">
        <f>IF(HRData[[#This Row],[Attrition]]="Yes","Left", IF(HRData[[#This Row],[Attrition_Risk_Score]]&gt;=6,"High",IF(HRData[[#This Row],[Attrition_Risk_Score]]&gt;=3,"Medium","Low")))</f>
        <v>Low</v>
      </c>
      <c r="AR192" t="str">
        <f>IF(HRData[[#This Row],[Attrition_Risk_Level]]&lt;&gt;"High","",HRData[[#This Row],[Attrition_Risk_Score]]*10000-HRData[[#This Row],[EmployeeNumber]])</f>
        <v/>
      </c>
    </row>
    <row r="193" spans="1:44">
      <c r="A193">
        <v>27</v>
      </c>
      <c r="B193" t="str" cm="1">
        <f t="array" ref="B193">_xlfn.IFS(
HRData[[#This Row],[Age]]&lt;=24,"18-24",
HRData[[#This Row],[Age]]&lt;=34,"25-34",
HRData[[#This Row],[Age]]&lt;=44,"35-44",
HRData[[#This Row],[Age]]&lt;=54,"45-54",
HRData[[#This Row],[Age]]&gt;=55,"55+"
)</f>
        <v>25-34</v>
      </c>
      <c r="C193" t="s">
        <v>43</v>
      </c>
      <c r="D193">
        <f>IF(HRData[[#This Row],[Attrition]]="Yes",1,0)</f>
        <v>0</v>
      </c>
      <c r="E193" t="s">
        <v>36</v>
      </c>
      <c r="F193">
        <v>894</v>
      </c>
      <c r="G193" t="s">
        <v>45</v>
      </c>
      <c r="H193">
        <v>9</v>
      </c>
      <c r="I193">
        <v>3</v>
      </c>
      <c r="J193" t="s">
        <v>51</v>
      </c>
      <c r="K193">
        <v>1</v>
      </c>
      <c r="L193">
        <v>260</v>
      </c>
      <c r="M193">
        <v>4</v>
      </c>
      <c r="N193" t="str" cm="1">
        <f t="array" ref="N193">_xlfn.IFS(HRData[[#This Row],[EnvironmentSatisfaction]]=1,"Very Dissatisfied",
HRData[[#This Row],[EnvironmentSatisfaction]]=2,"Dissatisfied",
HRData[[#This Row],[EnvironmentSatisfaction]]=3,"Satisfied",
HRData[[#This Row],[EnvironmentSatisfaction]]=4,"Very Satisfied"
)</f>
        <v>Very Satisfied</v>
      </c>
      <c r="O193" t="s">
        <v>39</v>
      </c>
      <c r="P193">
        <v>99</v>
      </c>
      <c r="Q193">
        <v>3</v>
      </c>
      <c r="R193">
        <v>1</v>
      </c>
      <c r="S193" t="s">
        <v>47</v>
      </c>
      <c r="T193">
        <v>2</v>
      </c>
      <c r="U193" t="str" cm="1">
        <f t="array" ref="U193">_xlfn.IFS(
HRData[[#This Row],[JobSatisfaction]]=1,"Very Dissatisfied",
HRData[[#This Row],[JobSatisfaction]]=2,"Dissatisfied",
HRData[[#This Row],[JobSatisfaction]]=3,"Satisfied",
HRData[[#This Row],[JobSatisfaction]]=4,"Very Satisfied"
)</f>
        <v>Dissatisfied</v>
      </c>
      <c r="V193" t="s">
        <v>41</v>
      </c>
      <c r="W193">
        <v>2279</v>
      </c>
      <c r="X193" t="str" cm="1">
        <f t="array" ref="X193">_xlfn.IFS(
HRData[[#This Row],[MonthlyIncome]]&lt;=4000,"Very Low Income",
HRData[[#This Row],[MonthlyIncome]]&lt;=8000,"Low Income",
HRData[[#This Row],[MonthlyIncome]]&lt;=12000,"Moderate Income",
HRData[[#This Row],[MonthlyIncome]]&lt;=16000,"High Income",
HRData[[#This Row],[MonthlyIncome]]&gt;16000,"Very High Income"
)</f>
        <v>Very Low Income</v>
      </c>
      <c r="Y193">
        <v>11781</v>
      </c>
      <c r="Z193">
        <v>1</v>
      </c>
      <c r="AA193" t="s">
        <v>42</v>
      </c>
      <c r="AB193" t="s">
        <v>43</v>
      </c>
      <c r="AC193">
        <v>16</v>
      </c>
      <c r="AD193" t="str" cm="1">
        <f t="array" ref="AD193">_xlfn.IFS(HRData[[#This Row],[PercentSalaryHike]]&lt;=15,"11-15",HRData[[#This Row],[PercentSalaryHike]]&lt;=20,"16-20",HRData[[#This Row],[PercentSalaryHike]]&gt;=21,"21+")</f>
        <v>16-20</v>
      </c>
      <c r="AE193">
        <v>3</v>
      </c>
      <c r="AF193">
        <v>4</v>
      </c>
      <c r="AG193">
        <v>80</v>
      </c>
      <c r="AH193">
        <v>0</v>
      </c>
      <c r="AI193">
        <v>7</v>
      </c>
      <c r="AJ193">
        <v>2</v>
      </c>
      <c r="AK193">
        <v>2</v>
      </c>
      <c r="AL193">
        <v>7</v>
      </c>
      <c r="AM193">
        <v>7</v>
      </c>
      <c r="AN193">
        <v>0</v>
      </c>
      <c r="AO193">
        <v>3</v>
      </c>
      <c r="AP19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93" t="str">
        <f>IF(HRData[[#This Row],[Attrition]]="Yes","Left", IF(HRData[[#This Row],[Attrition_Risk_Score]]&gt;=6,"High",IF(HRData[[#This Row],[Attrition_Risk_Score]]&gt;=3,"Medium","Low")))</f>
        <v>Medium</v>
      </c>
      <c r="AR193" t="str">
        <f>IF(HRData[[#This Row],[Attrition_Risk_Level]]&lt;&gt;"High","",HRData[[#This Row],[Attrition_Risk_Score]]*10000-HRData[[#This Row],[EmployeeNumber]])</f>
        <v/>
      </c>
    </row>
    <row r="194" spans="1:44">
      <c r="A194">
        <v>35</v>
      </c>
      <c r="B194" t="str" cm="1">
        <f t="array" ref="B194">_xlfn.IFS(
HRData[[#This Row],[Age]]&lt;=24,"18-24",
HRData[[#This Row],[Age]]&lt;=34,"25-34",
HRData[[#This Row],[Age]]&lt;=44,"35-44",
HRData[[#This Row],[Age]]&lt;=54,"45-54",
HRData[[#This Row],[Age]]&gt;=55,"55+"
)</f>
        <v>35-44</v>
      </c>
      <c r="C194" t="s">
        <v>35</v>
      </c>
      <c r="D194">
        <f>IF(HRData[[#This Row],[Attrition]]="Yes",1,0)</f>
        <v>1</v>
      </c>
      <c r="E194" t="s">
        <v>36</v>
      </c>
      <c r="F194">
        <v>556</v>
      </c>
      <c r="G194" t="s">
        <v>45</v>
      </c>
      <c r="H194">
        <v>23</v>
      </c>
      <c r="I194">
        <v>2</v>
      </c>
      <c r="J194" t="s">
        <v>38</v>
      </c>
      <c r="K194">
        <v>1</v>
      </c>
      <c r="L194">
        <v>261</v>
      </c>
      <c r="M194">
        <v>2</v>
      </c>
      <c r="N194" t="str" cm="1">
        <f t="array" ref="N194">_xlfn.IFS(HRData[[#This Row],[EnvironmentSatisfaction]]=1,"Very Dissatisfied",
HRData[[#This Row],[EnvironmentSatisfaction]]=2,"Dissatisfied",
HRData[[#This Row],[EnvironmentSatisfaction]]=3,"Satisfied",
HRData[[#This Row],[EnvironmentSatisfaction]]=4,"Very Satisfied"
)</f>
        <v>Dissatisfied</v>
      </c>
      <c r="O194" t="s">
        <v>46</v>
      </c>
      <c r="P194">
        <v>50</v>
      </c>
      <c r="Q194">
        <v>2</v>
      </c>
      <c r="R194">
        <v>2</v>
      </c>
      <c r="S194" t="s">
        <v>53</v>
      </c>
      <c r="T194">
        <v>3</v>
      </c>
      <c r="U194" t="str" cm="1">
        <f t="array" ref="U194">_xlfn.IFS(
HRData[[#This Row],[JobSatisfaction]]=1,"Very Dissatisfied",
HRData[[#This Row],[JobSatisfaction]]=2,"Dissatisfied",
HRData[[#This Row],[JobSatisfaction]]=3,"Satisfied",
HRData[[#This Row],[JobSatisfaction]]=4,"Very Satisfied"
)</f>
        <v>Satisfied</v>
      </c>
      <c r="V194" t="s">
        <v>48</v>
      </c>
      <c r="W194">
        <v>5916</v>
      </c>
      <c r="X194" t="str" cm="1">
        <f t="array" ref="X194">_xlfn.IFS(
HRData[[#This Row],[MonthlyIncome]]&lt;=4000,"Very Low Income",
HRData[[#This Row],[MonthlyIncome]]&lt;=8000,"Low Income",
HRData[[#This Row],[MonthlyIncome]]&lt;=12000,"Moderate Income",
HRData[[#This Row],[MonthlyIncome]]&lt;=16000,"High Income",
HRData[[#This Row],[MonthlyIncome]]&gt;16000,"Very High Income"
)</f>
        <v>Low Income</v>
      </c>
      <c r="Y194">
        <v>15497</v>
      </c>
      <c r="Z194">
        <v>3</v>
      </c>
      <c r="AA194" t="s">
        <v>42</v>
      </c>
      <c r="AB194" t="s">
        <v>35</v>
      </c>
      <c r="AC194">
        <v>13</v>
      </c>
      <c r="AD194" t="str" cm="1">
        <f t="array" ref="AD194">_xlfn.IFS(HRData[[#This Row],[PercentSalaryHike]]&lt;=15,"11-15",HRData[[#This Row],[PercentSalaryHike]]&lt;=20,"16-20",HRData[[#This Row],[PercentSalaryHike]]&gt;=21,"21+")</f>
        <v>11-15</v>
      </c>
      <c r="AE194">
        <v>3</v>
      </c>
      <c r="AF194">
        <v>1</v>
      </c>
      <c r="AG194">
        <v>80</v>
      </c>
      <c r="AH194">
        <v>0</v>
      </c>
      <c r="AI194">
        <v>8</v>
      </c>
      <c r="AJ194">
        <v>1</v>
      </c>
      <c r="AK194">
        <v>3</v>
      </c>
      <c r="AL194">
        <v>1</v>
      </c>
      <c r="AM194">
        <v>0</v>
      </c>
      <c r="AN194">
        <v>0</v>
      </c>
      <c r="AO194">
        <v>1</v>
      </c>
      <c r="AP19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94" t="str">
        <f>IF(HRData[[#This Row],[Attrition]]="Yes","Left", IF(HRData[[#This Row],[Attrition_Risk_Score]]&gt;=6,"High",IF(HRData[[#This Row],[Attrition_Risk_Score]]&gt;=3,"Medium","Low")))</f>
        <v>Left</v>
      </c>
      <c r="AR194" t="str">
        <f>IF(HRData[[#This Row],[Attrition_Risk_Level]]&lt;&gt;"High","",HRData[[#This Row],[Attrition_Risk_Score]]*10000-HRData[[#This Row],[EmployeeNumber]])</f>
        <v/>
      </c>
    </row>
    <row r="195" spans="1:44">
      <c r="A195">
        <v>43</v>
      </c>
      <c r="B195" t="str" cm="1">
        <f t="array" ref="B195">_xlfn.IFS(
HRData[[#This Row],[Age]]&lt;=24,"18-24",
HRData[[#This Row],[Age]]&lt;=34,"25-34",
HRData[[#This Row],[Age]]&lt;=44,"35-44",
HRData[[#This Row],[Age]]&lt;=54,"45-54",
HRData[[#This Row],[Age]]&gt;=55,"55+"
)</f>
        <v>35-44</v>
      </c>
      <c r="C195" t="s">
        <v>43</v>
      </c>
      <c r="D195">
        <f>IF(HRData[[#This Row],[Attrition]]="Yes",1,0)</f>
        <v>0</v>
      </c>
      <c r="E195" t="s">
        <v>55</v>
      </c>
      <c r="F195">
        <v>1344</v>
      </c>
      <c r="G195" t="s">
        <v>45</v>
      </c>
      <c r="H195">
        <v>7</v>
      </c>
      <c r="I195">
        <v>3</v>
      </c>
      <c r="J195" t="s">
        <v>51</v>
      </c>
      <c r="K195">
        <v>1</v>
      </c>
      <c r="L195">
        <v>262</v>
      </c>
      <c r="M195">
        <v>4</v>
      </c>
      <c r="N195" t="str" cm="1">
        <f t="array" ref="N195">_xlfn.IFS(HRData[[#This Row],[EnvironmentSatisfaction]]=1,"Very Dissatisfied",
HRData[[#This Row],[EnvironmentSatisfaction]]=2,"Dissatisfied",
HRData[[#This Row],[EnvironmentSatisfaction]]=3,"Satisfied",
HRData[[#This Row],[EnvironmentSatisfaction]]=4,"Very Satisfied"
)</f>
        <v>Very Satisfied</v>
      </c>
      <c r="O195" t="s">
        <v>46</v>
      </c>
      <c r="P195">
        <v>37</v>
      </c>
      <c r="Q195">
        <v>4</v>
      </c>
      <c r="R195">
        <v>1</v>
      </c>
      <c r="S195" t="s">
        <v>47</v>
      </c>
      <c r="T195">
        <v>4</v>
      </c>
      <c r="U195" t="str" cm="1">
        <f t="array" ref="U195">_xlfn.IFS(
HRData[[#This Row],[JobSatisfaction]]=1,"Very Dissatisfied",
HRData[[#This Row],[JobSatisfaction]]=2,"Dissatisfied",
HRData[[#This Row],[JobSatisfaction]]=3,"Satisfied",
HRData[[#This Row],[JobSatisfaction]]=4,"Very Satisfied"
)</f>
        <v>Very Satisfied</v>
      </c>
      <c r="V195" t="s">
        <v>52</v>
      </c>
      <c r="W195">
        <v>2089</v>
      </c>
      <c r="X195" t="str" cm="1">
        <f t="array" ref="X195">_xlfn.IFS(
HRData[[#This Row],[MonthlyIncome]]&lt;=4000,"Very Low Income",
HRData[[#This Row],[MonthlyIncome]]&lt;=8000,"Low Income",
HRData[[#This Row],[MonthlyIncome]]&lt;=12000,"Moderate Income",
HRData[[#This Row],[MonthlyIncome]]&lt;=16000,"High Income",
HRData[[#This Row],[MonthlyIncome]]&gt;16000,"Very High Income"
)</f>
        <v>Very Low Income</v>
      </c>
      <c r="Y195">
        <v>5228</v>
      </c>
      <c r="Z195">
        <v>4</v>
      </c>
      <c r="AA195" t="s">
        <v>42</v>
      </c>
      <c r="AB195" t="s">
        <v>43</v>
      </c>
      <c r="AC195">
        <v>14</v>
      </c>
      <c r="AD195" t="str" cm="1">
        <f t="array" ref="AD195">_xlfn.IFS(HRData[[#This Row],[PercentSalaryHike]]&lt;=15,"11-15",HRData[[#This Row],[PercentSalaryHike]]&lt;=20,"16-20",HRData[[#This Row],[PercentSalaryHike]]&gt;=21,"21+")</f>
        <v>11-15</v>
      </c>
      <c r="AE195">
        <v>3</v>
      </c>
      <c r="AF195">
        <v>4</v>
      </c>
      <c r="AG195">
        <v>80</v>
      </c>
      <c r="AH195">
        <v>3</v>
      </c>
      <c r="AI195">
        <v>7</v>
      </c>
      <c r="AJ195">
        <v>3</v>
      </c>
      <c r="AK195">
        <v>4</v>
      </c>
      <c r="AL195">
        <v>5</v>
      </c>
      <c r="AM195">
        <v>4</v>
      </c>
      <c r="AN195">
        <v>2</v>
      </c>
      <c r="AO195">
        <v>2</v>
      </c>
      <c r="AP19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95" t="str">
        <f>IF(HRData[[#This Row],[Attrition]]="Yes","Left", IF(HRData[[#This Row],[Attrition_Risk_Score]]&gt;=6,"High",IF(HRData[[#This Row],[Attrition_Risk_Score]]&gt;=3,"Medium","Low")))</f>
        <v>Low</v>
      </c>
      <c r="AR195" t="str">
        <f>IF(HRData[[#This Row],[Attrition_Risk_Level]]&lt;&gt;"High","",HRData[[#This Row],[Attrition_Risk_Score]]*10000-HRData[[#This Row],[EmployeeNumber]])</f>
        <v/>
      </c>
    </row>
    <row r="196" spans="1:44">
      <c r="A196">
        <v>45</v>
      </c>
      <c r="B196" t="str" cm="1">
        <f t="array" ref="B196">_xlfn.IFS(
HRData[[#This Row],[Age]]&lt;=24,"18-24",
HRData[[#This Row],[Age]]&lt;=34,"25-34",
HRData[[#This Row],[Age]]&lt;=44,"35-44",
HRData[[#This Row],[Age]]&lt;=54,"45-54",
HRData[[#This Row],[Age]]&gt;=55,"55+"
)</f>
        <v>45-54</v>
      </c>
      <c r="C196" t="s">
        <v>43</v>
      </c>
      <c r="D196">
        <f>IF(HRData[[#This Row],[Attrition]]="Yes",1,0)</f>
        <v>0</v>
      </c>
      <c r="E196" t="s">
        <v>55</v>
      </c>
      <c r="F196">
        <v>1195</v>
      </c>
      <c r="G196" t="s">
        <v>45</v>
      </c>
      <c r="H196">
        <v>2</v>
      </c>
      <c r="I196">
        <v>2</v>
      </c>
      <c r="J196" t="s">
        <v>51</v>
      </c>
      <c r="K196">
        <v>1</v>
      </c>
      <c r="L196">
        <v>264</v>
      </c>
      <c r="M196">
        <v>1</v>
      </c>
      <c r="N196" t="str" cm="1">
        <f t="array" ref="N196">_xlfn.IFS(HRData[[#This Row],[EnvironmentSatisfaction]]=1,"Very Dissatisfied",
HRData[[#This Row],[EnvironmentSatisfaction]]=2,"Dissatisfied",
HRData[[#This Row],[EnvironmentSatisfaction]]=3,"Satisfied",
HRData[[#This Row],[EnvironmentSatisfaction]]=4,"Very Satisfied"
)</f>
        <v>Very Dissatisfied</v>
      </c>
      <c r="O196" t="s">
        <v>46</v>
      </c>
      <c r="P196">
        <v>65</v>
      </c>
      <c r="Q196">
        <v>2</v>
      </c>
      <c r="R196">
        <v>4</v>
      </c>
      <c r="S196" t="s">
        <v>56</v>
      </c>
      <c r="T196">
        <v>4</v>
      </c>
      <c r="U196" t="str" cm="1">
        <f t="array" ref="U196">_xlfn.IFS(
HRData[[#This Row],[JobSatisfaction]]=1,"Very Dissatisfied",
HRData[[#This Row],[JobSatisfaction]]=2,"Dissatisfied",
HRData[[#This Row],[JobSatisfaction]]=3,"Satisfied",
HRData[[#This Row],[JobSatisfaction]]=4,"Very Satisfied"
)</f>
        <v>Very Satisfied</v>
      </c>
      <c r="V196" t="s">
        <v>48</v>
      </c>
      <c r="W196">
        <v>16792</v>
      </c>
      <c r="X196" t="str" cm="1">
        <f t="array" ref="X196">_xlfn.IFS(
HRData[[#This Row],[MonthlyIncome]]&lt;=4000,"Very Low Income",
HRData[[#This Row],[MonthlyIncome]]&lt;=8000,"Low Income",
HRData[[#This Row],[MonthlyIncome]]&lt;=12000,"Moderate Income",
HRData[[#This Row],[MonthlyIncome]]&lt;=16000,"High Income",
HRData[[#This Row],[MonthlyIncome]]&gt;16000,"Very High Income"
)</f>
        <v>Very High Income</v>
      </c>
      <c r="Y196">
        <v>20462</v>
      </c>
      <c r="Z196">
        <v>9</v>
      </c>
      <c r="AA196" t="s">
        <v>42</v>
      </c>
      <c r="AB196" t="s">
        <v>43</v>
      </c>
      <c r="AC196">
        <v>23</v>
      </c>
      <c r="AD196" t="str" cm="1">
        <f t="array" ref="AD196">_xlfn.IFS(HRData[[#This Row],[PercentSalaryHike]]&lt;=15,"11-15",HRData[[#This Row],[PercentSalaryHike]]&lt;=20,"16-20",HRData[[#This Row],[PercentSalaryHike]]&gt;=21,"21+")</f>
        <v>21+</v>
      </c>
      <c r="AE196">
        <v>4</v>
      </c>
      <c r="AF196">
        <v>4</v>
      </c>
      <c r="AG196">
        <v>80</v>
      </c>
      <c r="AH196">
        <v>1</v>
      </c>
      <c r="AI196">
        <v>22</v>
      </c>
      <c r="AJ196">
        <v>1</v>
      </c>
      <c r="AK196">
        <v>3</v>
      </c>
      <c r="AL196">
        <v>20</v>
      </c>
      <c r="AM196">
        <v>8</v>
      </c>
      <c r="AN196">
        <v>11</v>
      </c>
      <c r="AO196">
        <v>8</v>
      </c>
      <c r="AP19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96" t="str">
        <f>IF(HRData[[#This Row],[Attrition]]="Yes","Left", IF(HRData[[#This Row],[Attrition_Risk_Score]]&gt;=6,"High",IF(HRData[[#This Row],[Attrition_Risk_Score]]&gt;=3,"Medium","Low")))</f>
        <v>Low</v>
      </c>
      <c r="AR196" t="str">
        <f>IF(HRData[[#This Row],[Attrition_Risk_Level]]&lt;&gt;"High","",HRData[[#This Row],[Attrition_Risk_Score]]*10000-HRData[[#This Row],[EmployeeNumber]])</f>
        <v/>
      </c>
    </row>
    <row r="197" spans="1:44">
      <c r="A197">
        <v>37</v>
      </c>
      <c r="B197" t="str" cm="1">
        <f t="array" ref="B197">_xlfn.IFS(
HRData[[#This Row],[Age]]&lt;=24,"18-24",
HRData[[#This Row],[Age]]&lt;=34,"25-34",
HRData[[#This Row],[Age]]&lt;=44,"35-44",
HRData[[#This Row],[Age]]&lt;=54,"45-54",
HRData[[#This Row],[Age]]&gt;=55,"55+"
)</f>
        <v>35-44</v>
      </c>
      <c r="C197" t="s">
        <v>43</v>
      </c>
      <c r="D197">
        <f>IF(HRData[[#This Row],[Attrition]]="Yes",1,0)</f>
        <v>0</v>
      </c>
      <c r="E197" t="s">
        <v>36</v>
      </c>
      <c r="F197">
        <v>290</v>
      </c>
      <c r="G197" t="s">
        <v>45</v>
      </c>
      <c r="H197">
        <v>21</v>
      </c>
      <c r="I197">
        <v>3</v>
      </c>
      <c r="J197" t="s">
        <v>38</v>
      </c>
      <c r="K197">
        <v>1</v>
      </c>
      <c r="L197">
        <v>267</v>
      </c>
      <c r="M197">
        <v>2</v>
      </c>
      <c r="N197" t="str" cm="1">
        <f t="array" ref="N197">_xlfn.IFS(HRData[[#This Row],[EnvironmentSatisfaction]]=1,"Very Dissatisfied",
HRData[[#This Row],[EnvironmentSatisfaction]]=2,"Dissatisfied",
HRData[[#This Row],[EnvironmentSatisfaction]]=3,"Satisfied",
HRData[[#This Row],[EnvironmentSatisfaction]]=4,"Very Satisfied"
)</f>
        <v>Dissatisfied</v>
      </c>
      <c r="O197" t="s">
        <v>46</v>
      </c>
      <c r="P197">
        <v>65</v>
      </c>
      <c r="Q197">
        <v>4</v>
      </c>
      <c r="R197">
        <v>1</v>
      </c>
      <c r="S197" t="s">
        <v>47</v>
      </c>
      <c r="T197">
        <v>1</v>
      </c>
      <c r="U197" t="str" cm="1">
        <f t="array" ref="U197">_xlfn.IFS(
HRData[[#This Row],[JobSatisfaction]]=1,"Very Dissatisfied",
HRData[[#This Row],[JobSatisfaction]]=2,"Dissatisfied",
HRData[[#This Row],[JobSatisfaction]]=3,"Satisfied",
HRData[[#This Row],[JobSatisfaction]]=4,"Very Satisfied"
)</f>
        <v>Very Dissatisfied</v>
      </c>
      <c r="V197" t="s">
        <v>48</v>
      </c>
      <c r="W197">
        <v>3564</v>
      </c>
      <c r="X197" t="str" cm="1">
        <f t="array" ref="X197">_xlfn.IFS(
HRData[[#This Row],[MonthlyIncome]]&lt;=4000,"Very Low Income",
HRData[[#This Row],[MonthlyIncome]]&lt;=8000,"Low Income",
HRData[[#This Row],[MonthlyIncome]]&lt;=12000,"Moderate Income",
HRData[[#This Row],[MonthlyIncome]]&lt;=16000,"High Income",
HRData[[#This Row],[MonthlyIncome]]&gt;16000,"Very High Income"
)</f>
        <v>Very Low Income</v>
      </c>
      <c r="Y197">
        <v>22977</v>
      </c>
      <c r="Z197">
        <v>1</v>
      </c>
      <c r="AA197" t="s">
        <v>42</v>
      </c>
      <c r="AB197" t="s">
        <v>35</v>
      </c>
      <c r="AC197">
        <v>12</v>
      </c>
      <c r="AD197" t="str" cm="1">
        <f t="array" ref="AD197">_xlfn.IFS(HRData[[#This Row],[PercentSalaryHike]]&lt;=15,"11-15",HRData[[#This Row],[PercentSalaryHike]]&lt;=20,"16-20",HRData[[#This Row],[PercentSalaryHike]]&gt;=21,"21+")</f>
        <v>11-15</v>
      </c>
      <c r="AE197">
        <v>3</v>
      </c>
      <c r="AF197">
        <v>1</v>
      </c>
      <c r="AG197">
        <v>80</v>
      </c>
      <c r="AH197">
        <v>1</v>
      </c>
      <c r="AI197">
        <v>8</v>
      </c>
      <c r="AJ197">
        <v>3</v>
      </c>
      <c r="AK197">
        <v>2</v>
      </c>
      <c r="AL197">
        <v>8</v>
      </c>
      <c r="AM197">
        <v>7</v>
      </c>
      <c r="AN197">
        <v>1</v>
      </c>
      <c r="AO197">
        <v>7</v>
      </c>
      <c r="AP19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97" t="str">
        <f>IF(HRData[[#This Row],[Attrition]]="Yes","Left", IF(HRData[[#This Row],[Attrition_Risk_Score]]&gt;=6,"High",IF(HRData[[#This Row],[Attrition_Risk_Score]]&gt;=3,"Medium","Low")))</f>
        <v>High</v>
      </c>
      <c r="AR197">
        <f>IF(HRData[[#This Row],[Attrition_Risk_Level]]&lt;&gt;"High","",HRData[[#This Row],[Attrition_Risk_Score]]*10000-HRData[[#This Row],[EmployeeNumber]])</f>
        <v>59733</v>
      </c>
    </row>
    <row r="198" spans="1:44">
      <c r="A198">
        <v>35</v>
      </c>
      <c r="B198" t="str" cm="1">
        <f t="array" ref="B198">_xlfn.IFS(
HRData[[#This Row],[Age]]&lt;=24,"18-24",
HRData[[#This Row],[Age]]&lt;=34,"25-34",
HRData[[#This Row],[Age]]&lt;=44,"35-44",
HRData[[#This Row],[Age]]&lt;=54,"45-54",
HRData[[#This Row],[Age]]&gt;=55,"55+"
)</f>
        <v>35-44</v>
      </c>
      <c r="C198" t="s">
        <v>43</v>
      </c>
      <c r="D198">
        <f>IF(HRData[[#This Row],[Attrition]]="Yes",1,0)</f>
        <v>0</v>
      </c>
      <c r="E198" t="s">
        <v>44</v>
      </c>
      <c r="F198">
        <v>138</v>
      </c>
      <c r="G198" t="s">
        <v>45</v>
      </c>
      <c r="H198">
        <v>2</v>
      </c>
      <c r="I198">
        <v>3</v>
      </c>
      <c r="J198" t="s">
        <v>51</v>
      </c>
      <c r="K198">
        <v>1</v>
      </c>
      <c r="L198">
        <v>269</v>
      </c>
      <c r="M198">
        <v>2</v>
      </c>
      <c r="N198" t="str" cm="1">
        <f t="array" ref="N198">_xlfn.IFS(HRData[[#This Row],[EnvironmentSatisfaction]]=1,"Very Dissatisfied",
HRData[[#This Row],[EnvironmentSatisfaction]]=2,"Dissatisfied",
HRData[[#This Row],[EnvironmentSatisfaction]]=3,"Satisfied",
HRData[[#This Row],[EnvironmentSatisfaction]]=4,"Very Satisfied"
)</f>
        <v>Dissatisfied</v>
      </c>
      <c r="O198" t="s">
        <v>39</v>
      </c>
      <c r="P198">
        <v>37</v>
      </c>
      <c r="Q198">
        <v>3</v>
      </c>
      <c r="R198">
        <v>2</v>
      </c>
      <c r="S198" t="s">
        <v>50</v>
      </c>
      <c r="T198">
        <v>2</v>
      </c>
      <c r="U198" t="str" cm="1">
        <f t="array" ref="U198">_xlfn.IFS(
HRData[[#This Row],[JobSatisfaction]]=1,"Very Dissatisfied",
HRData[[#This Row],[JobSatisfaction]]=2,"Dissatisfied",
HRData[[#This Row],[JobSatisfaction]]=3,"Satisfied",
HRData[[#This Row],[JobSatisfaction]]=4,"Very Satisfied"
)</f>
        <v>Dissatisfied</v>
      </c>
      <c r="V198" t="s">
        <v>41</v>
      </c>
      <c r="W198">
        <v>4425</v>
      </c>
      <c r="X198" t="str" cm="1">
        <f t="array" ref="X198">_xlfn.IFS(
HRData[[#This Row],[MonthlyIncome]]&lt;=4000,"Very Low Income",
HRData[[#This Row],[MonthlyIncome]]&lt;=8000,"Low Income",
HRData[[#This Row],[MonthlyIncome]]&lt;=12000,"Moderate Income",
HRData[[#This Row],[MonthlyIncome]]&lt;=16000,"High Income",
HRData[[#This Row],[MonthlyIncome]]&gt;16000,"Very High Income"
)</f>
        <v>Low Income</v>
      </c>
      <c r="Y198">
        <v>15986</v>
      </c>
      <c r="Z198">
        <v>5</v>
      </c>
      <c r="AA198" t="s">
        <v>42</v>
      </c>
      <c r="AB198" t="s">
        <v>43</v>
      </c>
      <c r="AC198">
        <v>11</v>
      </c>
      <c r="AD198" t="str" cm="1">
        <f t="array" ref="AD198">_xlfn.IFS(HRData[[#This Row],[PercentSalaryHike]]&lt;=15,"11-15",HRData[[#This Row],[PercentSalaryHike]]&lt;=20,"16-20",HRData[[#This Row],[PercentSalaryHike]]&gt;=21,"21+")</f>
        <v>11-15</v>
      </c>
      <c r="AE198">
        <v>3</v>
      </c>
      <c r="AF198">
        <v>4</v>
      </c>
      <c r="AG198">
        <v>80</v>
      </c>
      <c r="AH198">
        <v>0</v>
      </c>
      <c r="AI198">
        <v>10</v>
      </c>
      <c r="AJ198">
        <v>5</v>
      </c>
      <c r="AK198">
        <v>3</v>
      </c>
      <c r="AL198">
        <v>6</v>
      </c>
      <c r="AM198">
        <v>2</v>
      </c>
      <c r="AN198">
        <v>1</v>
      </c>
      <c r="AO198">
        <v>2</v>
      </c>
      <c r="AP19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98" t="str">
        <f>IF(HRData[[#This Row],[Attrition]]="Yes","Left", IF(HRData[[#This Row],[Attrition_Risk_Score]]&gt;=6,"High",IF(HRData[[#This Row],[Attrition_Risk_Score]]&gt;=3,"Medium","Low")))</f>
        <v>Low</v>
      </c>
      <c r="AR198" t="str">
        <f>IF(HRData[[#This Row],[Attrition_Risk_Level]]&lt;&gt;"High","",HRData[[#This Row],[Attrition_Risk_Score]]*10000-HRData[[#This Row],[EmployeeNumber]])</f>
        <v/>
      </c>
    </row>
    <row r="199" spans="1:44">
      <c r="A199">
        <v>42</v>
      </c>
      <c r="B199" t="str" cm="1">
        <f t="array" ref="B199">_xlfn.IFS(
HRData[[#This Row],[Age]]&lt;=24,"18-24",
HRData[[#This Row],[Age]]&lt;=34,"25-34",
HRData[[#This Row],[Age]]&lt;=44,"35-44",
HRData[[#This Row],[Age]]&lt;=54,"45-54",
HRData[[#This Row],[Age]]&gt;=55,"55+"
)</f>
        <v>35-44</v>
      </c>
      <c r="C199" t="s">
        <v>43</v>
      </c>
      <c r="D199">
        <f>IF(HRData[[#This Row],[Attrition]]="Yes",1,0)</f>
        <v>0</v>
      </c>
      <c r="E199" t="s">
        <v>55</v>
      </c>
      <c r="F199">
        <v>926</v>
      </c>
      <c r="G199" t="s">
        <v>45</v>
      </c>
      <c r="H199">
        <v>21</v>
      </c>
      <c r="I199">
        <v>2</v>
      </c>
      <c r="J199" t="s">
        <v>51</v>
      </c>
      <c r="K199">
        <v>1</v>
      </c>
      <c r="L199">
        <v>270</v>
      </c>
      <c r="M199">
        <v>3</v>
      </c>
      <c r="N199" t="str" cm="1">
        <f t="array" ref="N199">_xlfn.IFS(HRData[[#This Row],[EnvironmentSatisfaction]]=1,"Very Dissatisfied",
HRData[[#This Row],[EnvironmentSatisfaction]]=2,"Dissatisfied",
HRData[[#This Row],[EnvironmentSatisfaction]]=3,"Satisfied",
HRData[[#This Row],[EnvironmentSatisfaction]]=4,"Very Satisfied"
)</f>
        <v>Satisfied</v>
      </c>
      <c r="O199" t="s">
        <v>39</v>
      </c>
      <c r="P199">
        <v>36</v>
      </c>
      <c r="Q199">
        <v>3</v>
      </c>
      <c r="R199">
        <v>2</v>
      </c>
      <c r="S199" t="s">
        <v>53</v>
      </c>
      <c r="T199">
        <v>3</v>
      </c>
      <c r="U199" t="str" cm="1">
        <f t="array" ref="U199">_xlfn.IFS(
HRData[[#This Row],[JobSatisfaction]]=1,"Very Dissatisfied",
HRData[[#This Row],[JobSatisfaction]]=2,"Dissatisfied",
HRData[[#This Row],[JobSatisfaction]]=3,"Satisfied",
HRData[[#This Row],[JobSatisfaction]]=4,"Very Satisfied"
)</f>
        <v>Satisfied</v>
      </c>
      <c r="V199" t="s">
        <v>52</v>
      </c>
      <c r="W199">
        <v>5265</v>
      </c>
      <c r="X199" t="str" cm="1">
        <f t="array" ref="X199">_xlfn.IFS(
HRData[[#This Row],[MonthlyIncome]]&lt;=4000,"Very Low Income",
HRData[[#This Row],[MonthlyIncome]]&lt;=8000,"Low Income",
HRData[[#This Row],[MonthlyIncome]]&lt;=12000,"Moderate Income",
HRData[[#This Row],[MonthlyIncome]]&lt;=16000,"High Income",
HRData[[#This Row],[MonthlyIncome]]&gt;16000,"Very High Income"
)</f>
        <v>Low Income</v>
      </c>
      <c r="Y199">
        <v>16439</v>
      </c>
      <c r="Z199">
        <v>2</v>
      </c>
      <c r="AA199" t="s">
        <v>42</v>
      </c>
      <c r="AB199" t="s">
        <v>43</v>
      </c>
      <c r="AC199">
        <v>16</v>
      </c>
      <c r="AD199" t="str" cm="1">
        <f t="array" ref="AD199">_xlfn.IFS(HRData[[#This Row],[PercentSalaryHike]]&lt;=15,"11-15",HRData[[#This Row],[PercentSalaryHike]]&lt;=20,"16-20",HRData[[#This Row],[PercentSalaryHike]]&gt;=21,"21+")</f>
        <v>16-20</v>
      </c>
      <c r="AE199">
        <v>3</v>
      </c>
      <c r="AF199">
        <v>2</v>
      </c>
      <c r="AG199">
        <v>80</v>
      </c>
      <c r="AH199">
        <v>1</v>
      </c>
      <c r="AI199">
        <v>11</v>
      </c>
      <c r="AJ199">
        <v>5</v>
      </c>
      <c r="AK199">
        <v>3</v>
      </c>
      <c r="AL199">
        <v>5</v>
      </c>
      <c r="AM199">
        <v>3</v>
      </c>
      <c r="AN199">
        <v>0</v>
      </c>
      <c r="AO199">
        <v>2</v>
      </c>
      <c r="AP19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99" t="str">
        <f>IF(HRData[[#This Row],[Attrition]]="Yes","Left", IF(HRData[[#This Row],[Attrition_Risk_Score]]&gt;=6,"High",IF(HRData[[#This Row],[Attrition_Risk_Score]]&gt;=3,"Medium","Low")))</f>
        <v>Low</v>
      </c>
      <c r="AR199" t="str">
        <f>IF(HRData[[#This Row],[Attrition_Risk_Level]]&lt;&gt;"High","",HRData[[#This Row],[Attrition_Risk_Score]]*10000-HRData[[#This Row],[EmployeeNumber]])</f>
        <v/>
      </c>
    </row>
    <row r="200" spans="1:44">
      <c r="A200">
        <v>38</v>
      </c>
      <c r="B200" t="str" cm="1">
        <f t="array" ref="B200">_xlfn.IFS(
HRData[[#This Row],[Age]]&lt;=24,"18-24",
HRData[[#This Row],[Age]]&lt;=34,"25-34",
HRData[[#This Row],[Age]]&lt;=44,"35-44",
HRData[[#This Row],[Age]]&lt;=54,"45-54",
HRData[[#This Row],[Age]]&gt;=55,"55+"
)</f>
        <v>35-44</v>
      </c>
      <c r="C200" t="s">
        <v>43</v>
      </c>
      <c r="D200">
        <f>IF(HRData[[#This Row],[Attrition]]="Yes",1,0)</f>
        <v>0</v>
      </c>
      <c r="E200" t="s">
        <v>36</v>
      </c>
      <c r="F200">
        <v>1261</v>
      </c>
      <c r="G200" t="s">
        <v>45</v>
      </c>
      <c r="H200">
        <v>2</v>
      </c>
      <c r="I200">
        <v>4</v>
      </c>
      <c r="J200" t="s">
        <v>38</v>
      </c>
      <c r="K200">
        <v>1</v>
      </c>
      <c r="L200">
        <v>271</v>
      </c>
      <c r="M200">
        <v>4</v>
      </c>
      <c r="N200" t="str" cm="1">
        <f t="array" ref="N200">_xlfn.IFS(HRData[[#This Row],[EnvironmentSatisfaction]]=1,"Very Dissatisfied",
HRData[[#This Row],[EnvironmentSatisfaction]]=2,"Dissatisfied",
HRData[[#This Row],[EnvironmentSatisfaction]]=3,"Satisfied",
HRData[[#This Row],[EnvironmentSatisfaction]]=4,"Very Satisfied"
)</f>
        <v>Very Satisfied</v>
      </c>
      <c r="O200" t="s">
        <v>46</v>
      </c>
      <c r="P200">
        <v>88</v>
      </c>
      <c r="Q200">
        <v>3</v>
      </c>
      <c r="R200">
        <v>2</v>
      </c>
      <c r="S200" t="s">
        <v>53</v>
      </c>
      <c r="T200">
        <v>3</v>
      </c>
      <c r="U200" t="str" cm="1">
        <f t="array" ref="U200">_xlfn.IFS(
HRData[[#This Row],[JobSatisfaction]]=1,"Very Dissatisfied",
HRData[[#This Row],[JobSatisfaction]]=2,"Dissatisfied",
HRData[[#This Row],[JobSatisfaction]]=3,"Satisfied",
HRData[[#This Row],[JobSatisfaction]]=4,"Very Satisfied"
)</f>
        <v>Satisfied</v>
      </c>
      <c r="V200" t="s">
        <v>48</v>
      </c>
      <c r="W200">
        <v>6553</v>
      </c>
      <c r="X200" t="str" cm="1">
        <f t="array" ref="X200">_xlfn.IFS(
HRData[[#This Row],[MonthlyIncome]]&lt;=4000,"Very Low Income",
HRData[[#This Row],[MonthlyIncome]]&lt;=8000,"Low Income",
HRData[[#This Row],[MonthlyIncome]]&lt;=12000,"Moderate Income",
HRData[[#This Row],[MonthlyIncome]]&lt;=16000,"High Income",
HRData[[#This Row],[MonthlyIncome]]&gt;16000,"Very High Income"
)</f>
        <v>Low Income</v>
      </c>
      <c r="Y200">
        <v>7259</v>
      </c>
      <c r="Z200">
        <v>9</v>
      </c>
      <c r="AA200" t="s">
        <v>42</v>
      </c>
      <c r="AB200" t="s">
        <v>43</v>
      </c>
      <c r="AC200">
        <v>14</v>
      </c>
      <c r="AD200" t="str" cm="1">
        <f t="array" ref="AD200">_xlfn.IFS(HRData[[#This Row],[PercentSalaryHike]]&lt;=15,"11-15",HRData[[#This Row],[PercentSalaryHike]]&lt;=20,"16-20",HRData[[#This Row],[PercentSalaryHike]]&gt;=21,"21+")</f>
        <v>11-15</v>
      </c>
      <c r="AE200">
        <v>3</v>
      </c>
      <c r="AF200">
        <v>2</v>
      </c>
      <c r="AG200">
        <v>80</v>
      </c>
      <c r="AH200">
        <v>0</v>
      </c>
      <c r="AI200">
        <v>14</v>
      </c>
      <c r="AJ200">
        <v>3</v>
      </c>
      <c r="AK200">
        <v>3</v>
      </c>
      <c r="AL200">
        <v>1</v>
      </c>
      <c r="AM200">
        <v>0</v>
      </c>
      <c r="AN200">
        <v>0</v>
      </c>
      <c r="AO200">
        <v>0</v>
      </c>
      <c r="AP20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200" t="str">
        <f>IF(HRData[[#This Row],[Attrition]]="Yes","Left", IF(HRData[[#This Row],[Attrition_Risk_Score]]&gt;=6,"High",IF(HRData[[#This Row],[Attrition_Risk_Score]]&gt;=3,"Medium","Low")))</f>
        <v>Low</v>
      </c>
      <c r="AR200" t="str">
        <f>IF(HRData[[#This Row],[Attrition_Risk_Level]]&lt;&gt;"High","",HRData[[#This Row],[Attrition_Risk_Score]]*10000-HRData[[#This Row],[EmployeeNumber]])</f>
        <v/>
      </c>
    </row>
    <row r="201" spans="1:44">
      <c r="A201">
        <v>38</v>
      </c>
      <c r="B201" t="str" cm="1">
        <f t="array" ref="B201">_xlfn.IFS(
HRData[[#This Row],[Age]]&lt;=24,"18-24",
HRData[[#This Row],[Age]]&lt;=34,"25-34",
HRData[[#This Row],[Age]]&lt;=44,"35-44",
HRData[[#This Row],[Age]]&lt;=54,"45-54",
HRData[[#This Row],[Age]]&gt;=55,"55+"
)</f>
        <v>35-44</v>
      </c>
      <c r="C201" t="s">
        <v>43</v>
      </c>
      <c r="D201">
        <f>IF(HRData[[#This Row],[Attrition]]="Yes",1,0)</f>
        <v>0</v>
      </c>
      <c r="E201" t="s">
        <v>36</v>
      </c>
      <c r="F201">
        <v>1084</v>
      </c>
      <c r="G201" t="s">
        <v>45</v>
      </c>
      <c r="H201">
        <v>29</v>
      </c>
      <c r="I201">
        <v>3</v>
      </c>
      <c r="J201" t="s">
        <v>60</v>
      </c>
      <c r="K201">
        <v>1</v>
      </c>
      <c r="L201">
        <v>273</v>
      </c>
      <c r="M201">
        <v>4</v>
      </c>
      <c r="N201" t="str" cm="1">
        <f t="array" ref="N201">_xlfn.IFS(HRData[[#This Row],[EnvironmentSatisfaction]]=1,"Very Dissatisfied",
HRData[[#This Row],[EnvironmentSatisfaction]]=2,"Dissatisfied",
HRData[[#This Row],[EnvironmentSatisfaction]]=3,"Satisfied",
HRData[[#This Row],[EnvironmentSatisfaction]]=4,"Very Satisfied"
)</f>
        <v>Very Satisfied</v>
      </c>
      <c r="O201" t="s">
        <v>46</v>
      </c>
      <c r="P201">
        <v>54</v>
      </c>
      <c r="Q201">
        <v>3</v>
      </c>
      <c r="R201">
        <v>2</v>
      </c>
      <c r="S201" t="s">
        <v>53</v>
      </c>
      <c r="T201">
        <v>4</v>
      </c>
      <c r="U201" t="str" cm="1">
        <f t="array" ref="U201">_xlfn.IFS(
HRData[[#This Row],[JobSatisfaction]]=1,"Very Dissatisfied",
HRData[[#This Row],[JobSatisfaction]]=2,"Dissatisfied",
HRData[[#This Row],[JobSatisfaction]]=3,"Satisfied",
HRData[[#This Row],[JobSatisfaction]]=4,"Very Satisfied"
)</f>
        <v>Very Satisfied</v>
      </c>
      <c r="V201" t="s">
        <v>48</v>
      </c>
      <c r="W201">
        <v>6261</v>
      </c>
      <c r="X201" t="str" cm="1">
        <f t="array" ref="X201">_xlfn.IFS(
HRData[[#This Row],[MonthlyIncome]]&lt;=4000,"Very Low Income",
HRData[[#This Row],[MonthlyIncome]]&lt;=8000,"Low Income",
HRData[[#This Row],[MonthlyIncome]]&lt;=12000,"Moderate Income",
HRData[[#This Row],[MonthlyIncome]]&lt;=16000,"High Income",
HRData[[#This Row],[MonthlyIncome]]&gt;16000,"Very High Income"
)</f>
        <v>Low Income</v>
      </c>
      <c r="Y201">
        <v>4185</v>
      </c>
      <c r="Z201">
        <v>3</v>
      </c>
      <c r="AA201" t="s">
        <v>42</v>
      </c>
      <c r="AB201" t="s">
        <v>43</v>
      </c>
      <c r="AC201">
        <v>18</v>
      </c>
      <c r="AD201" t="str" cm="1">
        <f t="array" ref="AD201">_xlfn.IFS(HRData[[#This Row],[PercentSalaryHike]]&lt;=15,"11-15",HRData[[#This Row],[PercentSalaryHike]]&lt;=20,"16-20",HRData[[#This Row],[PercentSalaryHike]]&gt;=21,"21+")</f>
        <v>16-20</v>
      </c>
      <c r="AE201">
        <v>3</v>
      </c>
      <c r="AF201">
        <v>1</v>
      </c>
      <c r="AG201">
        <v>80</v>
      </c>
      <c r="AH201">
        <v>1</v>
      </c>
      <c r="AI201">
        <v>9</v>
      </c>
      <c r="AJ201">
        <v>3</v>
      </c>
      <c r="AK201">
        <v>1</v>
      </c>
      <c r="AL201">
        <v>7</v>
      </c>
      <c r="AM201">
        <v>7</v>
      </c>
      <c r="AN201">
        <v>1</v>
      </c>
      <c r="AO201">
        <v>7</v>
      </c>
      <c r="AP20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201" t="str">
        <f>IF(HRData[[#This Row],[Attrition]]="Yes","Left", IF(HRData[[#This Row],[Attrition_Risk_Score]]&gt;=6,"High",IF(HRData[[#This Row],[Attrition_Risk_Score]]&gt;=3,"Medium","Low")))</f>
        <v>Low</v>
      </c>
      <c r="AR201" t="str">
        <f>IF(HRData[[#This Row],[Attrition_Risk_Level]]&lt;&gt;"High","",HRData[[#This Row],[Attrition_Risk_Score]]*10000-HRData[[#This Row],[EmployeeNumber]])</f>
        <v/>
      </c>
    </row>
    <row r="202" spans="1:44">
      <c r="A202">
        <v>27</v>
      </c>
      <c r="B202" t="str" cm="1">
        <f t="array" ref="B202">_xlfn.IFS(
HRData[[#This Row],[Age]]&lt;=24,"18-24",
HRData[[#This Row],[Age]]&lt;=34,"25-34",
HRData[[#This Row],[Age]]&lt;=44,"35-44",
HRData[[#This Row],[Age]]&lt;=54,"45-54",
HRData[[#This Row],[Age]]&gt;=55,"55+"
)</f>
        <v>25-34</v>
      </c>
      <c r="C202" t="s">
        <v>43</v>
      </c>
      <c r="D202">
        <f>IF(HRData[[#This Row],[Attrition]]="Yes",1,0)</f>
        <v>0</v>
      </c>
      <c r="E202" t="s">
        <v>44</v>
      </c>
      <c r="F202">
        <v>472</v>
      </c>
      <c r="G202" t="s">
        <v>45</v>
      </c>
      <c r="H202">
        <v>1</v>
      </c>
      <c r="I202">
        <v>1</v>
      </c>
      <c r="J202" t="s">
        <v>60</v>
      </c>
      <c r="K202">
        <v>1</v>
      </c>
      <c r="L202">
        <v>274</v>
      </c>
      <c r="M202">
        <v>3</v>
      </c>
      <c r="N202" t="str" cm="1">
        <f t="array" ref="N202">_xlfn.IFS(HRData[[#This Row],[EnvironmentSatisfaction]]=1,"Very Dissatisfied",
HRData[[#This Row],[EnvironmentSatisfaction]]=2,"Dissatisfied",
HRData[[#This Row],[EnvironmentSatisfaction]]=3,"Satisfied",
HRData[[#This Row],[EnvironmentSatisfaction]]=4,"Very Satisfied"
)</f>
        <v>Satisfied</v>
      </c>
      <c r="O202" t="s">
        <v>46</v>
      </c>
      <c r="P202">
        <v>60</v>
      </c>
      <c r="Q202">
        <v>2</v>
      </c>
      <c r="R202">
        <v>2</v>
      </c>
      <c r="S202" t="s">
        <v>53</v>
      </c>
      <c r="T202">
        <v>1</v>
      </c>
      <c r="U202" t="str" cm="1">
        <f t="array" ref="U202">_xlfn.IFS(
HRData[[#This Row],[JobSatisfaction]]=1,"Very Dissatisfied",
HRData[[#This Row],[JobSatisfaction]]=2,"Dissatisfied",
HRData[[#This Row],[JobSatisfaction]]=3,"Satisfied",
HRData[[#This Row],[JobSatisfaction]]=4,"Very Satisfied"
)</f>
        <v>Very Dissatisfied</v>
      </c>
      <c r="V202" t="s">
        <v>48</v>
      </c>
      <c r="W202">
        <v>4298</v>
      </c>
      <c r="X202" t="str" cm="1">
        <f t="array" ref="X202">_xlfn.IFS(
HRData[[#This Row],[MonthlyIncome]]&lt;=4000,"Very Low Income",
HRData[[#This Row],[MonthlyIncome]]&lt;=8000,"Low Income",
HRData[[#This Row],[MonthlyIncome]]&lt;=12000,"Moderate Income",
HRData[[#This Row],[MonthlyIncome]]&lt;=16000,"High Income",
HRData[[#This Row],[MonthlyIncome]]&gt;16000,"Very High Income"
)</f>
        <v>Low Income</v>
      </c>
      <c r="Y202">
        <v>9679</v>
      </c>
      <c r="Z202">
        <v>5</v>
      </c>
      <c r="AA202" t="s">
        <v>42</v>
      </c>
      <c r="AB202" t="s">
        <v>43</v>
      </c>
      <c r="AC202">
        <v>19</v>
      </c>
      <c r="AD202" t="str" cm="1">
        <f t="array" ref="AD202">_xlfn.IFS(HRData[[#This Row],[PercentSalaryHike]]&lt;=15,"11-15",HRData[[#This Row],[PercentSalaryHike]]&lt;=20,"16-20",HRData[[#This Row],[PercentSalaryHike]]&gt;=21,"21+")</f>
        <v>16-20</v>
      </c>
      <c r="AE202">
        <v>3</v>
      </c>
      <c r="AF202">
        <v>3</v>
      </c>
      <c r="AG202">
        <v>80</v>
      </c>
      <c r="AH202">
        <v>1</v>
      </c>
      <c r="AI202">
        <v>6</v>
      </c>
      <c r="AJ202">
        <v>1</v>
      </c>
      <c r="AK202">
        <v>3</v>
      </c>
      <c r="AL202">
        <v>2</v>
      </c>
      <c r="AM202">
        <v>2</v>
      </c>
      <c r="AN202">
        <v>2</v>
      </c>
      <c r="AO202">
        <v>0</v>
      </c>
      <c r="AP20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202" t="str">
        <f>IF(HRData[[#This Row],[Attrition]]="Yes","Left", IF(HRData[[#This Row],[Attrition_Risk_Score]]&gt;=6,"High",IF(HRData[[#This Row],[Attrition_Risk_Score]]&gt;=3,"Medium","Low")))</f>
        <v>Medium</v>
      </c>
      <c r="AR202" t="str">
        <f>IF(HRData[[#This Row],[Attrition_Risk_Level]]&lt;&gt;"High","",HRData[[#This Row],[Attrition_Risk_Score]]*10000-HRData[[#This Row],[EmployeeNumber]])</f>
        <v/>
      </c>
    </row>
    <row r="203" spans="1:44">
      <c r="A203">
        <v>49</v>
      </c>
      <c r="B203" t="str" cm="1">
        <f t="array" ref="B203">_xlfn.IFS(
HRData[[#This Row],[Age]]&lt;=24,"18-24",
HRData[[#This Row],[Age]]&lt;=34,"25-34",
HRData[[#This Row],[Age]]&lt;=44,"35-44",
HRData[[#This Row],[Age]]&lt;=54,"45-54",
HRData[[#This Row],[Age]]&gt;=55,"55+"
)</f>
        <v>45-54</v>
      </c>
      <c r="C203" t="s">
        <v>43</v>
      </c>
      <c r="D203">
        <f>IF(HRData[[#This Row],[Attrition]]="Yes",1,0)</f>
        <v>0</v>
      </c>
      <c r="E203" t="s">
        <v>55</v>
      </c>
      <c r="F203">
        <v>1002</v>
      </c>
      <c r="G203" t="s">
        <v>45</v>
      </c>
      <c r="H203">
        <v>18</v>
      </c>
      <c r="I203">
        <v>4</v>
      </c>
      <c r="J203" t="s">
        <v>38</v>
      </c>
      <c r="K203">
        <v>1</v>
      </c>
      <c r="L203">
        <v>275</v>
      </c>
      <c r="M203">
        <v>4</v>
      </c>
      <c r="N203" t="str" cm="1">
        <f t="array" ref="N203">_xlfn.IFS(HRData[[#This Row],[EnvironmentSatisfaction]]=1,"Very Dissatisfied",
HRData[[#This Row],[EnvironmentSatisfaction]]=2,"Dissatisfied",
HRData[[#This Row],[EnvironmentSatisfaction]]=3,"Satisfied",
HRData[[#This Row],[EnvironmentSatisfaction]]=4,"Very Satisfied"
)</f>
        <v>Very Satisfied</v>
      </c>
      <c r="O203" t="s">
        <v>46</v>
      </c>
      <c r="P203">
        <v>92</v>
      </c>
      <c r="Q203">
        <v>3</v>
      </c>
      <c r="R203">
        <v>2</v>
      </c>
      <c r="S203" t="s">
        <v>53</v>
      </c>
      <c r="T203">
        <v>4</v>
      </c>
      <c r="U203" t="str" cm="1">
        <f t="array" ref="U203">_xlfn.IFS(
HRData[[#This Row],[JobSatisfaction]]=1,"Very Dissatisfied",
HRData[[#This Row],[JobSatisfaction]]=2,"Dissatisfied",
HRData[[#This Row],[JobSatisfaction]]=3,"Satisfied",
HRData[[#This Row],[JobSatisfaction]]=4,"Very Satisfied"
)</f>
        <v>Very Satisfied</v>
      </c>
      <c r="V203" t="s">
        <v>52</v>
      </c>
      <c r="W203">
        <v>6804</v>
      </c>
      <c r="X203" t="str" cm="1">
        <f t="array" ref="X203">_xlfn.IFS(
HRData[[#This Row],[MonthlyIncome]]&lt;=4000,"Very Low Income",
HRData[[#This Row],[MonthlyIncome]]&lt;=8000,"Low Income",
HRData[[#This Row],[MonthlyIncome]]&lt;=12000,"Moderate Income",
HRData[[#This Row],[MonthlyIncome]]&lt;=16000,"High Income",
HRData[[#This Row],[MonthlyIncome]]&gt;16000,"Very High Income"
)</f>
        <v>Low Income</v>
      </c>
      <c r="Y203">
        <v>23793</v>
      </c>
      <c r="Z203">
        <v>1</v>
      </c>
      <c r="AA203" t="s">
        <v>42</v>
      </c>
      <c r="AB203" t="s">
        <v>35</v>
      </c>
      <c r="AC203">
        <v>15</v>
      </c>
      <c r="AD203" t="str" cm="1">
        <f t="array" ref="AD203">_xlfn.IFS(HRData[[#This Row],[PercentSalaryHike]]&lt;=15,"11-15",HRData[[#This Row],[PercentSalaryHike]]&lt;=20,"16-20",HRData[[#This Row],[PercentSalaryHike]]&gt;=21,"21+")</f>
        <v>11-15</v>
      </c>
      <c r="AE203">
        <v>3</v>
      </c>
      <c r="AF203">
        <v>1</v>
      </c>
      <c r="AG203">
        <v>80</v>
      </c>
      <c r="AH203">
        <v>2</v>
      </c>
      <c r="AI203">
        <v>7</v>
      </c>
      <c r="AJ203">
        <v>0</v>
      </c>
      <c r="AK203">
        <v>3</v>
      </c>
      <c r="AL203">
        <v>7</v>
      </c>
      <c r="AM203">
        <v>7</v>
      </c>
      <c r="AN203">
        <v>1</v>
      </c>
      <c r="AO203">
        <v>7</v>
      </c>
      <c r="AP20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203" t="str">
        <f>IF(HRData[[#This Row],[Attrition]]="Yes","Left", IF(HRData[[#This Row],[Attrition_Risk_Score]]&gt;=6,"High",IF(HRData[[#This Row],[Attrition_Risk_Score]]&gt;=3,"Medium","Low")))</f>
        <v>Medium</v>
      </c>
      <c r="AR203" t="str">
        <f>IF(HRData[[#This Row],[Attrition_Risk_Level]]&lt;&gt;"High","",HRData[[#This Row],[Attrition_Risk_Score]]*10000-HRData[[#This Row],[EmployeeNumber]])</f>
        <v/>
      </c>
    </row>
    <row r="204" spans="1:44">
      <c r="A204">
        <v>34</v>
      </c>
      <c r="B204" t="str" cm="1">
        <f t="array" ref="B204">_xlfn.IFS(
HRData[[#This Row],[Age]]&lt;=24,"18-24",
HRData[[#This Row],[Age]]&lt;=34,"25-34",
HRData[[#This Row],[Age]]&lt;=44,"35-44",
HRData[[#This Row],[Age]]&lt;=54,"45-54",
HRData[[#This Row],[Age]]&gt;=55,"55+"
)</f>
        <v>25-34</v>
      </c>
      <c r="C204" t="s">
        <v>43</v>
      </c>
      <c r="D204">
        <f>IF(HRData[[#This Row],[Attrition]]="Yes",1,0)</f>
        <v>0</v>
      </c>
      <c r="E204" t="s">
        <v>44</v>
      </c>
      <c r="F204">
        <v>878</v>
      </c>
      <c r="G204" t="s">
        <v>45</v>
      </c>
      <c r="H204">
        <v>10</v>
      </c>
      <c r="I204">
        <v>4</v>
      </c>
      <c r="J204" t="s">
        <v>51</v>
      </c>
      <c r="K204">
        <v>1</v>
      </c>
      <c r="L204">
        <v>277</v>
      </c>
      <c r="M204">
        <v>4</v>
      </c>
      <c r="N204" t="str" cm="1">
        <f t="array" ref="N204">_xlfn.IFS(HRData[[#This Row],[EnvironmentSatisfaction]]=1,"Very Dissatisfied",
HRData[[#This Row],[EnvironmentSatisfaction]]=2,"Dissatisfied",
HRData[[#This Row],[EnvironmentSatisfaction]]=3,"Satisfied",
HRData[[#This Row],[EnvironmentSatisfaction]]=4,"Very Satisfied"
)</f>
        <v>Very Satisfied</v>
      </c>
      <c r="O204" t="s">
        <v>46</v>
      </c>
      <c r="P204">
        <v>43</v>
      </c>
      <c r="Q204">
        <v>3</v>
      </c>
      <c r="R204">
        <v>1</v>
      </c>
      <c r="S204" t="s">
        <v>47</v>
      </c>
      <c r="T204">
        <v>3</v>
      </c>
      <c r="U204" t="str" cm="1">
        <f t="array" ref="U204">_xlfn.IFS(
HRData[[#This Row],[JobSatisfaction]]=1,"Very Dissatisfied",
HRData[[#This Row],[JobSatisfaction]]=2,"Dissatisfied",
HRData[[#This Row],[JobSatisfaction]]=3,"Satisfied",
HRData[[#This Row],[JobSatisfaction]]=4,"Very Satisfied"
)</f>
        <v>Satisfied</v>
      </c>
      <c r="V204" t="s">
        <v>52</v>
      </c>
      <c r="W204">
        <v>3815</v>
      </c>
      <c r="X204" t="str" cm="1">
        <f t="array" ref="X204">_xlfn.IFS(
HRData[[#This Row],[MonthlyIncome]]&lt;=4000,"Very Low Income",
HRData[[#This Row],[MonthlyIncome]]&lt;=8000,"Low Income",
HRData[[#This Row],[MonthlyIncome]]&lt;=12000,"Moderate Income",
HRData[[#This Row],[MonthlyIncome]]&lt;=16000,"High Income",
HRData[[#This Row],[MonthlyIncome]]&gt;16000,"Very High Income"
)</f>
        <v>Very Low Income</v>
      </c>
      <c r="Y204">
        <v>5972</v>
      </c>
      <c r="Z204">
        <v>1</v>
      </c>
      <c r="AA204" t="s">
        <v>42</v>
      </c>
      <c r="AB204" t="s">
        <v>35</v>
      </c>
      <c r="AC204">
        <v>17</v>
      </c>
      <c r="AD204" t="str" cm="1">
        <f t="array" ref="AD204">_xlfn.IFS(HRData[[#This Row],[PercentSalaryHike]]&lt;=15,"11-15",HRData[[#This Row],[PercentSalaryHike]]&lt;=20,"16-20",HRData[[#This Row],[PercentSalaryHike]]&gt;=21,"21+")</f>
        <v>16-20</v>
      </c>
      <c r="AE204">
        <v>3</v>
      </c>
      <c r="AF204">
        <v>4</v>
      </c>
      <c r="AG204">
        <v>80</v>
      </c>
      <c r="AH204">
        <v>1</v>
      </c>
      <c r="AI204">
        <v>5</v>
      </c>
      <c r="AJ204">
        <v>4</v>
      </c>
      <c r="AK204">
        <v>4</v>
      </c>
      <c r="AL204">
        <v>5</v>
      </c>
      <c r="AM204">
        <v>3</v>
      </c>
      <c r="AN204">
        <v>2</v>
      </c>
      <c r="AO204">
        <v>0</v>
      </c>
      <c r="AP20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204" t="str">
        <f>IF(HRData[[#This Row],[Attrition]]="Yes","Left", IF(HRData[[#This Row],[Attrition_Risk_Score]]&gt;=6,"High",IF(HRData[[#This Row],[Attrition_Risk_Score]]&gt;=3,"Medium","Low")))</f>
        <v>Medium</v>
      </c>
      <c r="AR204" t="str">
        <f>IF(HRData[[#This Row],[Attrition_Risk_Level]]&lt;&gt;"High","",HRData[[#This Row],[Attrition_Risk_Score]]*10000-HRData[[#This Row],[EmployeeNumber]])</f>
        <v/>
      </c>
    </row>
    <row r="205" spans="1:44">
      <c r="A205">
        <v>40</v>
      </c>
      <c r="B205" t="str" cm="1">
        <f t="array" ref="B205">_xlfn.IFS(
HRData[[#This Row],[Age]]&lt;=24,"18-24",
HRData[[#This Row],[Age]]&lt;=34,"25-34",
HRData[[#This Row],[Age]]&lt;=44,"35-44",
HRData[[#This Row],[Age]]&lt;=54,"45-54",
HRData[[#This Row],[Age]]&gt;=55,"55+"
)</f>
        <v>35-44</v>
      </c>
      <c r="C205" t="s">
        <v>43</v>
      </c>
      <c r="D205">
        <f>IF(HRData[[#This Row],[Attrition]]="Yes",1,0)</f>
        <v>0</v>
      </c>
      <c r="E205" t="s">
        <v>36</v>
      </c>
      <c r="F205">
        <v>905</v>
      </c>
      <c r="G205" t="s">
        <v>45</v>
      </c>
      <c r="H205">
        <v>19</v>
      </c>
      <c r="I205">
        <v>2</v>
      </c>
      <c r="J205" t="s">
        <v>51</v>
      </c>
      <c r="K205">
        <v>1</v>
      </c>
      <c r="L205">
        <v>281</v>
      </c>
      <c r="M205">
        <v>3</v>
      </c>
      <c r="N205" t="str" cm="1">
        <f t="array" ref="N205">_xlfn.IFS(HRData[[#This Row],[EnvironmentSatisfaction]]=1,"Very Dissatisfied",
HRData[[#This Row],[EnvironmentSatisfaction]]=2,"Dissatisfied",
HRData[[#This Row],[EnvironmentSatisfaction]]=3,"Satisfied",
HRData[[#This Row],[EnvironmentSatisfaction]]=4,"Very Satisfied"
)</f>
        <v>Satisfied</v>
      </c>
      <c r="O205" t="s">
        <v>46</v>
      </c>
      <c r="P205">
        <v>99</v>
      </c>
      <c r="Q205">
        <v>3</v>
      </c>
      <c r="R205">
        <v>2</v>
      </c>
      <c r="S205" t="s">
        <v>50</v>
      </c>
      <c r="T205">
        <v>4</v>
      </c>
      <c r="U205" t="str" cm="1">
        <f t="array" ref="U205">_xlfn.IFS(
HRData[[#This Row],[JobSatisfaction]]=1,"Very Dissatisfied",
HRData[[#This Row],[JobSatisfaction]]=2,"Dissatisfied",
HRData[[#This Row],[JobSatisfaction]]=3,"Satisfied",
HRData[[#This Row],[JobSatisfaction]]=4,"Very Satisfied"
)</f>
        <v>Very Satisfied</v>
      </c>
      <c r="V205" t="s">
        <v>48</v>
      </c>
      <c r="W205">
        <v>2741</v>
      </c>
      <c r="X205" t="str" cm="1">
        <f t="array" ref="X205">_xlfn.IFS(
HRData[[#This Row],[MonthlyIncome]]&lt;=4000,"Very Low Income",
HRData[[#This Row],[MonthlyIncome]]&lt;=8000,"Low Income",
HRData[[#This Row],[MonthlyIncome]]&lt;=12000,"Moderate Income",
HRData[[#This Row],[MonthlyIncome]]&lt;=16000,"High Income",
HRData[[#This Row],[MonthlyIncome]]&gt;16000,"Very High Income"
)</f>
        <v>Very Low Income</v>
      </c>
      <c r="Y205">
        <v>16523</v>
      </c>
      <c r="Z205">
        <v>8</v>
      </c>
      <c r="AA205" t="s">
        <v>42</v>
      </c>
      <c r="AB205" t="s">
        <v>35</v>
      </c>
      <c r="AC205">
        <v>15</v>
      </c>
      <c r="AD205" t="str" cm="1">
        <f t="array" ref="AD205">_xlfn.IFS(HRData[[#This Row],[PercentSalaryHike]]&lt;=15,"11-15",HRData[[#This Row],[PercentSalaryHike]]&lt;=20,"16-20",HRData[[#This Row],[PercentSalaryHike]]&gt;=21,"21+")</f>
        <v>11-15</v>
      </c>
      <c r="AE205">
        <v>3</v>
      </c>
      <c r="AF205">
        <v>3</v>
      </c>
      <c r="AG205">
        <v>80</v>
      </c>
      <c r="AH205">
        <v>1</v>
      </c>
      <c r="AI205">
        <v>15</v>
      </c>
      <c r="AJ205">
        <v>2</v>
      </c>
      <c r="AK205">
        <v>4</v>
      </c>
      <c r="AL205">
        <v>7</v>
      </c>
      <c r="AM205">
        <v>2</v>
      </c>
      <c r="AN205">
        <v>3</v>
      </c>
      <c r="AO205">
        <v>7</v>
      </c>
      <c r="AP20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205" t="str">
        <f>IF(HRData[[#This Row],[Attrition]]="Yes","Left", IF(HRData[[#This Row],[Attrition_Risk_Score]]&gt;=6,"High",IF(HRData[[#This Row],[Attrition_Risk_Score]]&gt;=3,"Medium","Low")))</f>
        <v>Medium</v>
      </c>
      <c r="AR205" t="str">
        <f>IF(HRData[[#This Row],[Attrition_Risk_Level]]&lt;&gt;"High","",HRData[[#This Row],[Attrition_Risk_Score]]*10000-HRData[[#This Row],[EmployeeNumber]])</f>
        <v/>
      </c>
    </row>
    <row r="206" spans="1:44">
      <c r="A206">
        <v>38</v>
      </c>
      <c r="B206" t="str" cm="1">
        <f t="array" ref="B206">_xlfn.IFS(
HRData[[#This Row],[Age]]&lt;=24,"18-24",
HRData[[#This Row],[Age]]&lt;=34,"25-34",
HRData[[#This Row],[Age]]&lt;=44,"35-44",
HRData[[#This Row],[Age]]&lt;=54,"45-54",
HRData[[#This Row],[Age]]&gt;=55,"55+"
)</f>
        <v>35-44</v>
      </c>
      <c r="C206" t="s">
        <v>35</v>
      </c>
      <c r="D206">
        <f>IF(HRData[[#This Row],[Attrition]]="Yes",1,0)</f>
        <v>1</v>
      </c>
      <c r="E206" t="s">
        <v>36</v>
      </c>
      <c r="F206">
        <v>1180</v>
      </c>
      <c r="G206" t="s">
        <v>45</v>
      </c>
      <c r="H206">
        <v>29</v>
      </c>
      <c r="I206">
        <v>1</v>
      </c>
      <c r="J206" t="s">
        <v>51</v>
      </c>
      <c r="K206">
        <v>1</v>
      </c>
      <c r="L206">
        <v>282</v>
      </c>
      <c r="M206">
        <v>2</v>
      </c>
      <c r="N206" t="str" cm="1">
        <f t="array" ref="N206">_xlfn.IFS(HRData[[#This Row],[EnvironmentSatisfaction]]=1,"Very Dissatisfied",
HRData[[#This Row],[EnvironmentSatisfaction]]=2,"Dissatisfied",
HRData[[#This Row],[EnvironmentSatisfaction]]=3,"Satisfied",
HRData[[#This Row],[EnvironmentSatisfaction]]=4,"Very Satisfied"
)</f>
        <v>Dissatisfied</v>
      </c>
      <c r="O206" t="s">
        <v>46</v>
      </c>
      <c r="P206">
        <v>70</v>
      </c>
      <c r="Q206">
        <v>3</v>
      </c>
      <c r="R206">
        <v>2</v>
      </c>
      <c r="S206" t="s">
        <v>54</v>
      </c>
      <c r="T206">
        <v>1</v>
      </c>
      <c r="U206" t="str" cm="1">
        <f t="array" ref="U206">_xlfn.IFS(
HRData[[#This Row],[JobSatisfaction]]=1,"Very Dissatisfied",
HRData[[#This Row],[JobSatisfaction]]=2,"Dissatisfied",
HRData[[#This Row],[JobSatisfaction]]=3,"Satisfied",
HRData[[#This Row],[JobSatisfaction]]=4,"Very Satisfied"
)</f>
        <v>Very Dissatisfied</v>
      </c>
      <c r="V206" t="s">
        <v>48</v>
      </c>
      <c r="W206">
        <v>6673</v>
      </c>
      <c r="X206" t="str" cm="1">
        <f t="array" ref="X206">_xlfn.IFS(
HRData[[#This Row],[MonthlyIncome]]&lt;=4000,"Very Low Income",
HRData[[#This Row],[MonthlyIncome]]&lt;=8000,"Low Income",
HRData[[#This Row],[MonthlyIncome]]&lt;=12000,"Moderate Income",
HRData[[#This Row],[MonthlyIncome]]&lt;=16000,"High Income",
HRData[[#This Row],[MonthlyIncome]]&gt;16000,"Very High Income"
)</f>
        <v>Low Income</v>
      </c>
      <c r="Y206">
        <v>11354</v>
      </c>
      <c r="Z206">
        <v>7</v>
      </c>
      <c r="AA206" t="s">
        <v>42</v>
      </c>
      <c r="AB206" t="s">
        <v>35</v>
      </c>
      <c r="AC206">
        <v>19</v>
      </c>
      <c r="AD206" t="str" cm="1">
        <f t="array" ref="AD206">_xlfn.IFS(HRData[[#This Row],[PercentSalaryHike]]&lt;=15,"11-15",HRData[[#This Row],[PercentSalaryHike]]&lt;=20,"16-20",HRData[[#This Row],[PercentSalaryHike]]&gt;=21,"21+")</f>
        <v>16-20</v>
      </c>
      <c r="AE206">
        <v>3</v>
      </c>
      <c r="AF206">
        <v>2</v>
      </c>
      <c r="AG206">
        <v>80</v>
      </c>
      <c r="AH206">
        <v>0</v>
      </c>
      <c r="AI206">
        <v>17</v>
      </c>
      <c r="AJ206">
        <v>2</v>
      </c>
      <c r="AK206">
        <v>3</v>
      </c>
      <c r="AL206">
        <v>1</v>
      </c>
      <c r="AM206">
        <v>0</v>
      </c>
      <c r="AN206">
        <v>0</v>
      </c>
      <c r="AO206">
        <v>0</v>
      </c>
      <c r="AP20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06" t="str">
        <f>IF(HRData[[#This Row],[Attrition]]="Yes","Left", IF(HRData[[#This Row],[Attrition_Risk_Score]]&gt;=6,"High",IF(HRData[[#This Row],[Attrition_Risk_Score]]&gt;=3,"Medium","Low")))</f>
        <v>Left</v>
      </c>
      <c r="AR206" t="str">
        <f>IF(HRData[[#This Row],[Attrition_Risk_Level]]&lt;&gt;"High","",HRData[[#This Row],[Attrition_Risk_Score]]*10000-HRData[[#This Row],[EmployeeNumber]])</f>
        <v/>
      </c>
    </row>
    <row r="207" spans="1:44">
      <c r="A207">
        <v>29</v>
      </c>
      <c r="B207" t="str" cm="1">
        <f t="array" ref="B207">_xlfn.IFS(
HRData[[#This Row],[Age]]&lt;=24,"18-24",
HRData[[#This Row],[Age]]&lt;=34,"25-34",
HRData[[#This Row],[Age]]&lt;=44,"35-44",
HRData[[#This Row],[Age]]&lt;=54,"45-54",
HRData[[#This Row],[Age]]&gt;=55,"55+"
)</f>
        <v>25-34</v>
      </c>
      <c r="C207" t="s">
        <v>35</v>
      </c>
      <c r="D207">
        <f>IF(HRData[[#This Row],[Attrition]]="Yes",1,0)</f>
        <v>1</v>
      </c>
      <c r="E207" t="s">
        <v>36</v>
      </c>
      <c r="F207">
        <v>121</v>
      </c>
      <c r="G207" t="s">
        <v>37</v>
      </c>
      <c r="H207">
        <v>27</v>
      </c>
      <c r="I207">
        <v>3</v>
      </c>
      <c r="J207" t="s">
        <v>59</v>
      </c>
      <c r="K207">
        <v>1</v>
      </c>
      <c r="L207">
        <v>283</v>
      </c>
      <c r="M207">
        <v>2</v>
      </c>
      <c r="N207" t="str" cm="1">
        <f t="array" ref="N207">_xlfn.IFS(HRData[[#This Row],[EnvironmentSatisfaction]]=1,"Very Dissatisfied",
HRData[[#This Row],[EnvironmentSatisfaction]]=2,"Dissatisfied",
HRData[[#This Row],[EnvironmentSatisfaction]]=3,"Satisfied",
HRData[[#This Row],[EnvironmentSatisfaction]]=4,"Very Satisfied"
)</f>
        <v>Dissatisfied</v>
      </c>
      <c r="O207" t="s">
        <v>39</v>
      </c>
      <c r="P207">
        <v>35</v>
      </c>
      <c r="Q207">
        <v>3</v>
      </c>
      <c r="R207">
        <v>3</v>
      </c>
      <c r="S207" t="s">
        <v>40</v>
      </c>
      <c r="T207">
        <v>4</v>
      </c>
      <c r="U207" t="str" cm="1">
        <f t="array" ref="U207">_xlfn.IFS(
HRData[[#This Row],[JobSatisfaction]]=1,"Very Dissatisfied",
HRData[[#This Row],[JobSatisfaction]]=2,"Dissatisfied",
HRData[[#This Row],[JobSatisfaction]]=3,"Satisfied",
HRData[[#This Row],[JobSatisfaction]]=4,"Very Satisfied"
)</f>
        <v>Very Satisfied</v>
      </c>
      <c r="V207" t="s">
        <v>48</v>
      </c>
      <c r="W207">
        <v>7639</v>
      </c>
      <c r="X207" t="str" cm="1">
        <f t="array" ref="X207">_xlfn.IFS(
HRData[[#This Row],[MonthlyIncome]]&lt;=4000,"Very Low Income",
HRData[[#This Row],[MonthlyIncome]]&lt;=8000,"Low Income",
HRData[[#This Row],[MonthlyIncome]]&lt;=12000,"Moderate Income",
HRData[[#This Row],[MonthlyIncome]]&lt;=16000,"High Income",
HRData[[#This Row],[MonthlyIncome]]&gt;16000,"Very High Income"
)</f>
        <v>Low Income</v>
      </c>
      <c r="Y207">
        <v>24525</v>
      </c>
      <c r="Z207">
        <v>1</v>
      </c>
      <c r="AA207" t="s">
        <v>42</v>
      </c>
      <c r="AB207" t="s">
        <v>43</v>
      </c>
      <c r="AC207">
        <v>22</v>
      </c>
      <c r="AD207" t="str" cm="1">
        <f t="array" ref="AD207">_xlfn.IFS(HRData[[#This Row],[PercentSalaryHike]]&lt;=15,"11-15",HRData[[#This Row],[PercentSalaryHike]]&lt;=20,"16-20",HRData[[#This Row],[PercentSalaryHike]]&gt;=21,"21+")</f>
        <v>21+</v>
      </c>
      <c r="AE207">
        <v>4</v>
      </c>
      <c r="AF207">
        <v>4</v>
      </c>
      <c r="AG207">
        <v>80</v>
      </c>
      <c r="AH207">
        <v>3</v>
      </c>
      <c r="AI207">
        <v>10</v>
      </c>
      <c r="AJ207">
        <v>3</v>
      </c>
      <c r="AK207">
        <v>2</v>
      </c>
      <c r="AL207">
        <v>10</v>
      </c>
      <c r="AM207">
        <v>4</v>
      </c>
      <c r="AN207">
        <v>1</v>
      </c>
      <c r="AO207">
        <v>9</v>
      </c>
      <c r="AP20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07" t="str">
        <f>IF(HRData[[#This Row],[Attrition]]="Yes","Left", IF(HRData[[#This Row],[Attrition_Risk_Score]]&gt;=6,"High",IF(HRData[[#This Row],[Attrition_Risk_Score]]&gt;=3,"Medium","Low")))</f>
        <v>Left</v>
      </c>
      <c r="AR207" t="str">
        <f>IF(HRData[[#This Row],[Attrition_Risk_Level]]&lt;&gt;"High","",HRData[[#This Row],[Attrition_Risk_Score]]*10000-HRData[[#This Row],[EmployeeNumber]])</f>
        <v/>
      </c>
    </row>
    <row r="208" spans="1:44">
      <c r="A208">
        <v>22</v>
      </c>
      <c r="B208" t="str" cm="1">
        <f t="array" ref="B208">_xlfn.IFS(
HRData[[#This Row],[Age]]&lt;=24,"18-24",
HRData[[#This Row],[Age]]&lt;=34,"25-34",
HRData[[#This Row],[Age]]&lt;=44,"35-44",
HRData[[#This Row],[Age]]&lt;=54,"45-54",
HRData[[#This Row],[Age]]&gt;=55,"55+"
)</f>
        <v>18-24</v>
      </c>
      <c r="C208" t="s">
        <v>43</v>
      </c>
      <c r="D208">
        <f>IF(HRData[[#This Row],[Attrition]]="Yes",1,0)</f>
        <v>0</v>
      </c>
      <c r="E208" t="s">
        <v>36</v>
      </c>
      <c r="F208">
        <v>1136</v>
      </c>
      <c r="G208" t="s">
        <v>45</v>
      </c>
      <c r="H208">
        <v>5</v>
      </c>
      <c r="I208">
        <v>3</v>
      </c>
      <c r="J208" t="s">
        <v>38</v>
      </c>
      <c r="K208">
        <v>1</v>
      </c>
      <c r="L208">
        <v>284</v>
      </c>
      <c r="M208">
        <v>4</v>
      </c>
      <c r="N208" t="str" cm="1">
        <f t="array" ref="N208">_xlfn.IFS(HRData[[#This Row],[EnvironmentSatisfaction]]=1,"Very Dissatisfied",
HRData[[#This Row],[EnvironmentSatisfaction]]=2,"Dissatisfied",
HRData[[#This Row],[EnvironmentSatisfaction]]=3,"Satisfied",
HRData[[#This Row],[EnvironmentSatisfaction]]=4,"Very Satisfied"
)</f>
        <v>Very Satisfied</v>
      </c>
      <c r="O208" t="s">
        <v>46</v>
      </c>
      <c r="P208">
        <v>60</v>
      </c>
      <c r="Q208">
        <v>4</v>
      </c>
      <c r="R208">
        <v>1</v>
      </c>
      <c r="S208" t="s">
        <v>47</v>
      </c>
      <c r="T208">
        <v>2</v>
      </c>
      <c r="U208" t="str" cm="1">
        <f t="array" ref="U208">_xlfn.IFS(
HRData[[#This Row],[JobSatisfaction]]=1,"Very Dissatisfied",
HRData[[#This Row],[JobSatisfaction]]=2,"Dissatisfied",
HRData[[#This Row],[JobSatisfaction]]=3,"Satisfied",
HRData[[#This Row],[JobSatisfaction]]=4,"Very Satisfied"
)</f>
        <v>Dissatisfied</v>
      </c>
      <c r="V208" t="s">
        <v>52</v>
      </c>
      <c r="W208">
        <v>2328</v>
      </c>
      <c r="X208" t="str" cm="1">
        <f t="array" ref="X208">_xlfn.IFS(
HRData[[#This Row],[MonthlyIncome]]&lt;=4000,"Very Low Income",
HRData[[#This Row],[MonthlyIncome]]&lt;=8000,"Low Income",
HRData[[#This Row],[MonthlyIncome]]&lt;=12000,"Moderate Income",
HRData[[#This Row],[MonthlyIncome]]&lt;=16000,"High Income",
HRData[[#This Row],[MonthlyIncome]]&gt;16000,"Very High Income"
)</f>
        <v>Very Low Income</v>
      </c>
      <c r="Y208">
        <v>12392</v>
      </c>
      <c r="Z208">
        <v>1</v>
      </c>
      <c r="AA208" t="s">
        <v>42</v>
      </c>
      <c r="AB208" t="s">
        <v>35</v>
      </c>
      <c r="AC208">
        <v>16</v>
      </c>
      <c r="AD208" t="str" cm="1">
        <f t="array" ref="AD208">_xlfn.IFS(HRData[[#This Row],[PercentSalaryHike]]&lt;=15,"11-15",HRData[[#This Row],[PercentSalaryHike]]&lt;=20,"16-20",HRData[[#This Row],[PercentSalaryHike]]&gt;=21,"21+")</f>
        <v>16-20</v>
      </c>
      <c r="AE208">
        <v>3</v>
      </c>
      <c r="AF208">
        <v>1</v>
      </c>
      <c r="AG208">
        <v>80</v>
      </c>
      <c r="AH208">
        <v>1</v>
      </c>
      <c r="AI208">
        <v>4</v>
      </c>
      <c r="AJ208">
        <v>2</v>
      </c>
      <c r="AK208">
        <v>2</v>
      </c>
      <c r="AL208">
        <v>4</v>
      </c>
      <c r="AM208">
        <v>2</v>
      </c>
      <c r="AN208">
        <v>2</v>
      </c>
      <c r="AO208">
        <v>2</v>
      </c>
      <c r="AP20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208" t="str">
        <f>IF(HRData[[#This Row],[Attrition]]="Yes","Left", IF(HRData[[#This Row],[Attrition_Risk_Score]]&gt;=6,"High",IF(HRData[[#This Row],[Attrition_Risk_Score]]&gt;=3,"Medium","Low")))</f>
        <v>High</v>
      </c>
      <c r="AR208">
        <f>IF(HRData[[#This Row],[Attrition_Risk_Level]]&lt;&gt;"High","",HRData[[#This Row],[Attrition_Risk_Score]]*10000-HRData[[#This Row],[EmployeeNumber]])</f>
        <v>59716</v>
      </c>
    </row>
    <row r="209" spans="1:44">
      <c r="A209">
        <v>36</v>
      </c>
      <c r="B209" t="str" cm="1">
        <f t="array" ref="B209">_xlfn.IFS(
HRData[[#This Row],[Age]]&lt;=24,"18-24",
HRData[[#This Row],[Age]]&lt;=34,"25-34",
HRData[[#This Row],[Age]]&lt;=44,"35-44",
HRData[[#This Row],[Age]]&lt;=54,"45-54",
HRData[[#This Row],[Age]]&gt;=55,"55+"
)</f>
        <v>35-44</v>
      </c>
      <c r="C209" t="s">
        <v>43</v>
      </c>
      <c r="D209">
        <f>IF(HRData[[#This Row],[Attrition]]="Yes",1,0)</f>
        <v>0</v>
      </c>
      <c r="E209" t="s">
        <v>44</v>
      </c>
      <c r="F209">
        <v>635</v>
      </c>
      <c r="G209" t="s">
        <v>45</v>
      </c>
      <c r="H209">
        <v>18</v>
      </c>
      <c r="I209">
        <v>1</v>
      </c>
      <c r="J209" t="s">
        <v>51</v>
      </c>
      <c r="K209">
        <v>1</v>
      </c>
      <c r="L209">
        <v>286</v>
      </c>
      <c r="M209">
        <v>2</v>
      </c>
      <c r="N209" t="str" cm="1">
        <f t="array" ref="N209">_xlfn.IFS(HRData[[#This Row],[EnvironmentSatisfaction]]=1,"Very Dissatisfied",
HRData[[#This Row],[EnvironmentSatisfaction]]=2,"Dissatisfied",
HRData[[#This Row],[EnvironmentSatisfaction]]=3,"Satisfied",
HRData[[#This Row],[EnvironmentSatisfaction]]=4,"Very Satisfied"
)</f>
        <v>Dissatisfied</v>
      </c>
      <c r="O209" t="s">
        <v>39</v>
      </c>
      <c r="P209">
        <v>73</v>
      </c>
      <c r="Q209">
        <v>3</v>
      </c>
      <c r="R209">
        <v>1</v>
      </c>
      <c r="S209" t="s">
        <v>50</v>
      </c>
      <c r="T209">
        <v>4</v>
      </c>
      <c r="U209" t="str" cm="1">
        <f t="array" ref="U209">_xlfn.IFS(
HRData[[#This Row],[JobSatisfaction]]=1,"Very Dissatisfied",
HRData[[#This Row],[JobSatisfaction]]=2,"Dissatisfied",
HRData[[#This Row],[JobSatisfaction]]=3,"Satisfied",
HRData[[#This Row],[JobSatisfaction]]=4,"Very Satisfied"
)</f>
        <v>Very Satisfied</v>
      </c>
      <c r="V209" t="s">
        <v>41</v>
      </c>
      <c r="W209">
        <v>2153</v>
      </c>
      <c r="X209" t="str" cm="1">
        <f t="array" ref="X209">_xlfn.IFS(
HRData[[#This Row],[MonthlyIncome]]&lt;=4000,"Very Low Income",
HRData[[#This Row],[MonthlyIncome]]&lt;=8000,"Low Income",
HRData[[#This Row],[MonthlyIncome]]&lt;=12000,"Moderate Income",
HRData[[#This Row],[MonthlyIncome]]&lt;=16000,"High Income",
HRData[[#This Row],[MonthlyIncome]]&gt;16000,"Very High Income"
)</f>
        <v>Very Low Income</v>
      </c>
      <c r="Y209">
        <v>7703</v>
      </c>
      <c r="Z209">
        <v>1</v>
      </c>
      <c r="AA209" t="s">
        <v>42</v>
      </c>
      <c r="AB209" t="s">
        <v>43</v>
      </c>
      <c r="AC209">
        <v>13</v>
      </c>
      <c r="AD209" t="str" cm="1">
        <f t="array" ref="AD209">_xlfn.IFS(HRData[[#This Row],[PercentSalaryHike]]&lt;=15,"11-15",HRData[[#This Row],[PercentSalaryHike]]&lt;=20,"16-20",HRData[[#This Row],[PercentSalaryHike]]&gt;=21,"21+")</f>
        <v>11-15</v>
      </c>
      <c r="AE209">
        <v>3</v>
      </c>
      <c r="AF209">
        <v>1</v>
      </c>
      <c r="AG209">
        <v>80</v>
      </c>
      <c r="AH209">
        <v>0</v>
      </c>
      <c r="AI209">
        <v>8</v>
      </c>
      <c r="AJ209">
        <v>2</v>
      </c>
      <c r="AK209">
        <v>3</v>
      </c>
      <c r="AL209">
        <v>8</v>
      </c>
      <c r="AM209">
        <v>1</v>
      </c>
      <c r="AN209">
        <v>1</v>
      </c>
      <c r="AO209">
        <v>7</v>
      </c>
      <c r="AP20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209" t="str">
        <f>IF(HRData[[#This Row],[Attrition]]="Yes","Left", IF(HRData[[#This Row],[Attrition_Risk_Score]]&gt;=6,"High",IF(HRData[[#This Row],[Attrition_Risk_Score]]&gt;=3,"Medium","Low")))</f>
        <v>Medium</v>
      </c>
      <c r="AR209" t="str">
        <f>IF(HRData[[#This Row],[Attrition_Risk_Level]]&lt;&gt;"High","",HRData[[#This Row],[Attrition_Risk_Score]]*10000-HRData[[#This Row],[EmployeeNumber]])</f>
        <v/>
      </c>
    </row>
    <row r="210" spans="1:44">
      <c r="A210">
        <v>40</v>
      </c>
      <c r="B210" t="str" cm="1">
        <f t="array" ref="B210">_xlfn.IFS(
HRData[[#This Row],[Age]]&lt;=24,"18-24",
HRData[[#This Row],[Age]]&lt;=34,"25-34",
HRData[[#This Row],[Age]]&lt;=44,"35-44",
HRData[[#This Row],[Age]]&lt;=54,"45-54",
HRData[[#This Row],[Age]]&gt;=55,"55+"
)</f>
        <v>35-44</v>
      </c>
      <c r="C210" t="s">
        <v>43</v>
      </c>
      <c r="D210">
        <f>IF(HRData[[#This Row],[Attrition]]="Yes",1,0)</f>
        <v>0</v>
      </c>
      <c r="E210" t="s">
        <v>55</v>
      </c>
      <c r="F210">
        <v>1151</v>
      </c>
      <c r="G210" t="s">
        <v>45</v>
      </c>
      <c r="H210">
        <v>9</v>
      </c>
      <c r="I210">
        <v>5</v>
      </c>
      <c r="J210" t="s">
        <v>38</v>
      </c>
      <c r="K210">
        <v>1</v>
      </c>
      <c r="L210">
        <v>287</v>
      </c>
      <c r="M210">
        <v>4</v>
      </c>
      <c r="N210" t="str" cm="1">
        <f t="array" ref="N210">_xlfn.IFS(HRData[[#This Row],[EnvironmentSatisfaction]]=1,"Very Dissatisfied",
HRData[[#This Row],[EnvironmentSatisfaction]]=2,"Dissatisfied",
HRData[[#This Row],[EnvironmentSatisfaction]]=3,"Satisfied",
HRData[[#This Row],[EnvironmentSatisfaction]]=4,"Very Satisfied"
)</f>
        <v>Very Satisfied</v>
      </c>
      <c r="O210" t="s">
        <v>46</v>
      </c>
      <c r="P210">
        <v>63</v>
      </c>
      <c r="Q210">
        <v>2</v>
      </c>
      <c r="R210">
        <v>2</v>
      </c>
      <c r="S210" t="s">
        <v>54</v>
      </c>
      <c r="T210">
        <v>4</v>
      </c>
      <c r="U210" t="str" cm="1">
        <f t="array" ref="U210">_xlfn.IFS(
HRData[[#This Row],[JobSatisfaction]]=1,"Very Dissatisfied",
HRData[[#This Row],[JobSatisfaction]]=2,"Dissatisfied",
HRData[[#This Row],[JobSatisfaction]]=3,"Satisfied",
HRData[[#This Row],[JobSatisfaction]]=4,"Very Satisfied"
)</f>
        <v>Very Satisfied</v>
      </c>
      <c r="V210" t="s">
        <v>48</v>
      </c>
      <c r="W210">
        <v>4876</v>
      </c>
      <c r="X210" t="str" cm="1">
        <f t="array" ref="X210">_xlfn.IFS(
HRData[[#This Row],[MonthlyIncome]]&lt;=4000,"Very Low Income",
HRData[[#This Row],[MonthlyIncome]]&lt;=8000,"Low Income",
HRData[[#This Row],[MonthlyIncome]]&lt;=12000,"Moderate Income",
HRData[[#This Row],[MonthlyIncome]]&lt;=16000,"High Income",
HRData[[#This Row],[MonthlyIncome]]&gt;16000,"Very High Income"
)</f>
        <v>Low Income</v>
      </c>
      <c r="Y210">
        <v>14242</v>
      </c>
      <c r="Z210">
        <v>9</v>
      </c>
      <c r="AA210" t="s">
        <v>42</v>
      </c>
      <c r="AB210" t="s">
        <v>43</v>
      </c>
      <c r="AC210">
        <v>14</v>
      </c>
      <c r="AD210" t="str" cm="1">
        <f t="array" ref="AD210">_xlfn.IFS(HRData[[#This Row],[PercentSalaryHike]]&lt;=15,"11-15",HRData[[#This Row],[PercentSalaryHike]]&lt;=20,"16-20",HRData[[#This Row],[PercentSalaryHike]]&gt;=21,"21+")</f>
        <v>11-15</v>
      </c>
      <c r="AE210">
        <v>3</v>
      </c>
      <c r="AF210">
        <v>4</v>
      </c>
      <c r="AG210">
        <v>80</v>
      </c>
      <c r="AH210">
        <v>1</v>
      </c>
      <c r="AI210">
        <v>5</v>
      </c>
      <c r="AJ210">
        <v>5</v>
      </c>
      <c r="AK210">
        <v>1</v>
      </c>
      <c r="AL210">
        <v>3</v>
      </c>
      <c r="AM210">
        <v>2</v>
      </c>
      <c r="AN210">
        <v>0</v>
      </c>
      <c r="AO210">
        <v>2</v>
      </c>
      <c r="AP21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210" t="str">
        <f>IF(HRData[[#This Row],[Attrition]]="Yes","Left", IF(HRData[[#This Row],[Attrition_Risk_Score]]&gt;=6,"High",IF(HRData[[#This Row],[Attrition_Risk_Score]]&gt;=3,"Medium","Low")))</f>
        <v>Low</v>
      </c>
      <c r="AR210" t="str">
        <f>IF(HRData[[#This Row],[Attrition_Risk_Level]]&lt;&gt;"High","",HRData[[#This Row],[Attrition_Risk_Score]]*10000-HRData[[#This Row],[EmployeeNumber]])</f>
        <v/>
      </c>
    </row>
    <row r="211" spans="1:44">
      <c r="A211">
        <v>46</v>
      </c>
      <c r="B211" t="str" cm="1">
        <f t="array" ref="B211">_xlfn.IFS(
HRData[[#This Row],[Age]]&lt;=24,"18-24",
HRData[[#This Row],[Age]]&lt;=34,"25-34",
HRData[[#This Row],[Age]]&lt;=44,"35-44",
HRData[[#This Row],[Age]]&lt;=54,"45-54",
HRData[[#This Row],[Age]]&gt;=55,"55+"
)</f>
        <v>45-54</v>
      </c>
      <c r="C211" t="s">
        <v>43</v>
      </c>
      <c r="D211">
        <f>IF(HRData[[#This Row],[Attrition]]="Yes",1,0)</f>
        <v>0</v>
      </c>
      <c r="E211" t="s">
        <v>36</v>
      </c>
      <c r="F211">
        <v>644</v>
      </c>
      <c r="G211" t="s">
        <v>45</v>
      </c>
      <c r="H211">
        <v>1</v>
      </c>
      <c r="I211">
        <v>4</v>
      </c>
      <c r="J211" t="s">
        <v>51</v>
      </c>
      <c r="K211">
        <v>1</v>
      </c>
      <c r="L211">
        <v>288</v>
      </c>
      <c r="M211">
        <v>4</v>
      </c>
      <c r="N211" t="str" cm="1">
        <f t="array" ref="N211">_xlfn.IFS(HRData[[#This Row],[EnvironmentSatisfaction]]=1,"Very Dissatisfied",
HRData[[#This Row],[EnvironmentSatisfaction]]=2,"Dissatisfied",
HRData[[#This Row],[EnvironmentSatisfaction]]=3,"Satisfied",
HRData[[#This Row],[EnvironmentSatisfaction]]=4,"Very Satisfied"
)</f>
        <v>Very Satisfied</v>
      </c>
      <c r="O211" t="s">
        <v>46</v>
      </c>
      <c r="P211">
        <v>97</v>
      </c>
      <c r="Q211">
        <v>3</v>
      </c>
      <c r="R211">
        <v>3</v>
      </c>
      <c r="S211" t="s">
        <v>54</v>
      </c>
      <c r="T211">
        <v>1</v>
      </c>
      <c r="U211" t="str" cm="1">
        <f t="array" ref="U211">_xlfn.IFS(
HRData[[#This Row],[JobSatisfaction]]=1,"Very Dissatisfied",
HRData[[#This Row],[JobSatisfaction]]=2,"Dissatisfied",
HRData[[#This Row],[JobSatisfaction]]=3,"Satisfied",
HRData[[#This Row],[JobSatisfaction]]=4,"Very Satisfied"
)</f>
        <v>Very Dissatisfied</v>
      </c>
      <c r="V211" t="s">
        <v>52</v>
      </c>
      <c r="W211">
        <v>9396</v>
      </c>
      <c r="X211" t="str" cm="1">
        <f t="array" ref="X211">_xlfn.IFS(
HRData[[#This Row],[MonthlyIncome]]&lt;=4000,"Very Low Income",
HRData[[#This Row],[MonthlyIncome]]&lt;=8000,"Low Income",
HRData[[#This Row],[MonthlyIncome]]&lt;=12000,"Moderate Income",
HRData[[#This Row],[MonthlyIncome]]&lt;=16000,"High Income",
HRData[[#This Row],[MonthlyIncome]]&gt;16000,"Very High Income"
)</f>
        <v>Moderate Income</v>
      </c>
      <c r="Y211">
        <v>12368</v>
      </c>
      <c r="Z211">
        <v>7</v>
      </c>
      <c r="AA211" t="s">
        <v>42</v>
      </c>
      <c r="AB211" t="s">
        <v>43</v>
      </c>
      <c r="AC211">
        <v>16</v>
      </c>
      <c r="AD211" t="str" cm="1">
        <f t="array" ref="AD211">_xlfn.IFS(HRData[[#This Row],[PercentSalaryHike]]&lt;=15,"11-15",HRData[[#This Row],[PercentSalaryHike]]&lt;=20,"16-20",HRData[[#This Row],[PercentSalaryHike]]&gt;=21,"21+")</f>
        <v>16-20</v>
      </c>
      <c r="AE211">
        <v>3</v>
      </c>
      <c r="AF211">
        <v>3</v>
      </c>
      <c r="AG211">
        <v>80</v>
      </c>
      <c r="AH211">
        <v>1</v>
      </c>
      <c r="AI211">
        <v>17</v>
      </c>
      <c r="AJ211">
        <v>3</v>
      </c>
      <c r="AK211">
        <v>3</v>
      </c>
      <c r="AL211">
        <v>4</v>
      </c>
      <c r="AM211">
        <v>2</v>
      </c>
      <c r="AN211">
        <v>0</v>
      </c>
      <c r="AO211">
        <v>3</v>
      </c>
      <c r="AP21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11" t="str">
        <f>IF(HRData[[#This Row],[Attrition]]="Yes","Left", IF(HRData[[#This Row],[Attrition_Risk_Score]]&gt;=6,"High",IF(HRData[[#This Row],[Attrition_Risk_Score]]&gt;=3,"Medium","Low")))</f>
        <v>Low</v>
      </c>
      <c r="AR211" t="str">
        <f>IF(HRData[[#This Row],[Attrition_Risk_Level]]&lt;&gt;"High","",HRData[[#This Row],[Attrition_Risk_Score]]*10000-HRData[[#This Row],[EmployeeNumber]])</f>
        <v/>
      </c>
    </row>
    <row r="212" spans="1:44">
      <c r="A212">
        <v>32</v>
      </c>
      <c r="B212" t="str" cm="1">
        <f t="array" ref="B212">_xlfn.IFS(
HRData[[#This Row],[Age]]&lt;=24,"18-24",
HRData[[#This Row],[Age]]&lt;=34,"25-34",
HRData[[#This Row],[Age]]&lt;=44,"35-44",
HRData[[#This Row],[Age]]&lt;=54,"45-54",
HRData[[#This Row],[Age]]&gt;=55,"55+"
)</f>
        <v>25-34</v>
      </c>
      <c r="C212" t="s">
        <v>35</v>
      </c>
      <c r="D212">
        <f>IF(HRData[[#This Row],[Attrition]]="Yes",1,0)</f>
        <v>1</v>
      </c>
      <c r="E212" t="s">
        <v>36</v>
      </c>
      <c r="F212">
        <v>1045</v>
      </c>
      <c r="G212" t="s">
        <v>37</v>
      </c>
      <c r="H212">
        <v>4</v>
      </c>
      <c r="I212">
        <v>4</v>
      </c>
      <c r="J212" t="s">
        <v>51</v>
      </c>
      <c r="K212">
        <v>1</v>
      </c>
      <c r="L212">
        <v>291</v>
      </c>
      <c r="M212">
        <v>4</v>
      </c>
      <c r="N212" t="str" cm="1">
        <f t="array" ref="N212">_xlfn.IFS(HRData[[#This Row],[EnvironmentSatisfaction]]=1,"Very Dissatisfied",
HRData[[#This Row],[EnvironmentSatisfaction]]=2,"Dissatisfied",
HRData[[#This Row],[EnvironmentSatisfaction]]=3,"Satisfied",
HRData[[#This Row],[EnvironmentSatisfaction]]=4,"Very Satisfied"
)</f>
        <v>Very Satisfied</v>
      </c>
      <c r="O212" t="s">
        <v>46</v>
      </c>
      <c r="P212">
        <v>32</v>
      </c>
      <c r="Q212">
        <v>1</v>
      </c>
      <c r="R212">
        <v>3</v>
      </c>
      <c r="S212" t="s">
        <v>40</v>
      </c>
      <c r="T212">
        <v>4</v>
      </c>
      <c r="U212" t="str" cm="1">
        <f t="array" ref="U212">_xlfn.IFS(
HRData[[#This Row],[JobSatisfaction]]=1,"Very Dissatisfied",
HRData[[#This Row],[JobSatisfaction]]=2,"Dissatisfied",
HRData[[#This Row],[JobSatisfaction]]=3,"Satisfied",
HRData[[#This Row],[JobSatisfaction]]=4,"Very Satisfied"
)</f>
        <v>Very Satisfied</v>
      </c>
      <c r="V212" t="s">
        <v>48</v>
      </c>
      <c r="W212">
        <v>10400</v>
      </c>
      <c r="X212" t="str" cm="1">
        <f t="array" ref="X212">_xlfn.IFS(
HRData[[#This Row],[MonthlyIncome]]&lt;=4000,"Very Low Income",
HRData[[#This Row],[MonthlyIncome]]&lt;=8000,"Low Income",
HRData[[#This Row],[MonthlyIncome]]&lt;=12000,"Moderate Income",
HRData[[#This Row],[MonthlyIncome]]&lt;=16000,"High Income",
HRData[[#This Row],[MonthlyIncome]]&gt;16000,"Very High Income"
)</f>
        <v>Moderate Income</v>
      </c>
      <c r="Y212">
        <v>25812</v>
      </c>
      <c r="Z212">
        <v>1</v>
      </c>
      <c r="AA212" t="s">
        <v>42</v>
      </c>
      <c r="AB212" t="s">
        <v>43</v>
      </c>
      <c r="AC212">
        <v>11</v>
      </c>
      <c r="AD212" t="str" cm="1">
        <f t="array" ref="AD212">_xlfn.IFS(HRData[[#This Row],[PercentSalaryHike]]&lt;=15,"11-15",HRData[[#This Row],[PercentSalaryHike]]&lt;=20,"16-20",HRData[[#This Row],[PercentSalaryHike]]&gt;=21,"21+")</f>
        <v>11-15</v>
      </c>
      <c r="AE212">
        <v>3</v>
      </c>
      <c r="AF212">
        <v>3</v>
      </c>
      <c r="AG212">
        <v>80</v>
      </c>
      <c r="AH212">
        <v>0</v>
      </c>
      <c r="AI212">
        <v>14</v>
      </c>
      <c r="AJ212">
        <v>2</v>
      </c>
      <c r="AK212">
        <v>2</v>
      </c>
      <c r="AL212">
        <v>14</v>
      </c>
      <c r="AM212">
        <v>8</v>
      </c>
      <c r="AN212">
        <v>9</v>
      </c>
      <c r="AO212">
        <v>8</v>
      </c>
      <c r="AP21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12" t="str">
        <f>IF(HRData[[#This Row],[Attrition]]="Yes","Left", IF(HRData[[#This Row],[Attrition_Risk_Score]]&gt;=6,"High",IF(HRData[[#This Row],[Attrition_Risk_Score]]&gt;=3,"Medium","Low")))</f>
        <v>Left</v>
      </c>
      <c r="AR212" t="str">
        <f>IF(HRData[[#This Row],[Attrition_Risk_Level]]&lt;&gt;"High","",HRData[[#This Row],[Attrition_Risk_Score]]*10000-HRData[[#This Row],[EmployeeNumber]])</f>
        <v/>
      </c>
    </row>
    <row r="213" spans="1:44">
      <c r="A213">
        <v>30</v>
      </c>
      <c r="B213" t="str" cm="1">
        <f t="array" ref="B213">_xlfn.IFS(
HRData[[#This Row],[Age]]&lt;=24,"18-24",
HRData[[#This Row],[Age]]&lt;=34,"25-34",
HRData[[#This Row],[Age]]&lt;=44,"35-44",
HRData[[#This Row],[Age]]&lt;=54,"45-54",
HRData[[#This Row],[Age]]&gt;=55,"55+"
)</f>
        <v>25-34</v>
      </c>
      <c r="C213" t="s">
        <v>43</v>
      </c>
      <c r="D213">
        <f>IF(HRData[[#This Row],[Attrition]]="Yes",1,0)</f>
        <v>0</v>
      </c>
      <c r="E213" t="s">
        <v>55</v>
      </c>
      <c r="F213">
        <v>829</v>
      </c>
      <c r="G213" t="s">
        <v>45</v>
      </c>
      <c r="H213">
        <v>1</v>
      </c>
      <c r="I213">
        <v>1</v>
      </c>
      <c r="J213" t="s">
        <v>38</v>
      </c>
      <c r="K213">
        <v>1</v>
      </c>
      <c r="L213">
        <v>292</v>
      </c>
      <c r="M213">
        <v>3</v>
      </c>
      <c r="N213" t="str" cm="1">
        <f t="array" ref="N213">_xlfn.IFS(HRData[[#This Row],[EnvironmentSatisfaction]]=1,"Very Dissatisfied",
HRData[[#This Row],[EnvironmentSatisfaction]]=2,"Dissatisfied",
HRData[[#This Row],[EnvironmentSatisfaction]]=3,"Satisfied",
HRData[[#This Row],[EnvironmentSatisfaction]]=4,"Very Satisfied"
)</f>
        <v>Satisfied</v>
      </c>
      <c r="O213" t="s">
        <v>46</v>
      </c>
      <c r="P213">
        <v>88</v>
      </c>
      <c r="Q213">
        <v>2</v>
      </c>
      <c r="R213">
        <v>3</v>
      </c>
      <c r="S213" t="s">
        <v>53</v>
      </c>
      <c r="T213">
        <v>3</v>
      </c>
      <c r="U213" t="str" cm="1">
        <f t="array" ref="U213">_xlfn.IFS(
HRData[[#This Row],[JobSatisfaction]]=1,"Very Dissatisfied",
HRData[[#This Row],[JobSatisfaction]]=2,"Dissatisfied",
HRData[[#This Row],[JobSatisfaction]]=3,"Satisfied",
HRData[[#This Row],[JobSatisfaction]]=4,"Very Satisfied"
)</f>
        <v>Satisfied</v>
      </c>
      <c r="V213" t="s">
        <v>41</v>
      </c>
      <c r="W213">
        <v>8474</v>
      </c>
      <c r="X213" t="str" cm="1">
        <f t="array" ref="X213">_xlfn.IFS(
HRData[[#This Row],[MonthlyIncome]]&lt;=4000,"Very Low Income",
HRData[[#This Row],[MonthlyIncome]]&lt;=8000,"Low Income",
HRData[[#This Row],[MonthlyIncome]]&lt;=12000,"Moderate Income",
HRData[[#This Row],[MonthlyIncome]]&lt;=16000,"High Income",
HRData[[#This Row],[MonthlyIncome]]&gt;16000,"Very High Income"
)</f>
        <v>Moderate Income</v>
      </c>
      <c r="Y213">
        <v>20925</v>
      </c>
      <c r="Z213">
        <v>1</v>
      </c>
      <c r="AA213" t="s">
        <v>42</v>
      </c>
      <c r="AB213" t="s">
        <v>43</v>
      </c>
      <c r="AC213">
        <v>22</v>
      </c>
      <c r="AD213" t="str" cm="1">
        <f t="array" ref="AD213">_xlfn.IFS(HRData[[#This Row],[PercentSalaryHike]]&lt;=15,"11-15",HRData[[#This Row],[PercentSalaryHike]]&lt;=20,"16-20",HRData[[#This Row],[PercentSalaryHike]]&gt;=21,"21+")</f>
        <v>21+</v>
      </c>
      <c r="AE213">
        <v>4</v>
      </c>
      <c r="AF213">
        <v>3</v>
      </c>
      <c r="AG213">
        <v>80</v>
      </c>
      <c r="AH213">
        <v>0</v>
      </c>
      <c r="AI213">
        <v>12</v>
      </c>
      <c r="AJ213">
        <v>2</v>
      </c>
      <c r="AK213">
        <v>3</v>
      </c>
      <c r="AL213">
        <v>11</v>
      </c>
      <c r="AM213">
        <v>8</v>
      </c>
      <c r="AN213">
        <v>5</v>
      </c>
      <c r="AO213">
        <v>8</v>
      </c>
      <c r="AP21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213" t="str">
        <f>IF(HRData[[#This Row],[Attrition]]="Yes","Left", IF(HRData[[#This Row],[Attrition_Risk_Score]]&gt;=6,"High",IF(HRData[[#This Row],[Attrition_Risk_Score]]&gt;=3,"Medium","Low")))</f>
        <v>Low</v>
      </c>
      <c r="AR213" t="str">
        <f>IF(HRData[[#This Row],[Attrition_Risk_Level]]&lt;&gt;"High","",HRData[[#This Row],[Attrition_Risk_Score]]*10000-HRData[[#This Row],[EmployeeNumber]])</f>
        <v/>
      </c>
    </row>
    <row r="214" spans="1:44">
      <c r="A214">
        <v>27</v>
      </c>
      <c r="B214" t="str" cm="1">
        <f t="array" ref="B214">_xlfn.IFS(
HRData[[#This Row],[Age]]&lt;=24,"18-24",
HRData[[#This Row],[Age]]&lt;=34,"25-34",
HRData[[#This Row],[Age]]&lt;=44,"35-44",
HRData[[#This Row],[Age]]&lt;=54,"45-54",
HRData[[#This Row],[Age]]&gt;=55,"55+"
)</f>
        <v>25-34</v>
      </c>
      <c r="C214" t="s">
        <v>43</v>
      </c>
      <c r="D214">
        <f>IF(HRData[[#This Row],[Attrition]]="Yes",1,0)</f>
        <v>0</v>
      </c>
      <c r="E214" t="s">
        <v>44</v>
      </c>
      <c r="F214">
        <v>1242</v>
      </c>
      <c r="G214" t="s">
        <v>37</v>
      </c>
      <c r="H214">
        <v>20</v>
      </c>
      <c r="I214">
        <v>3</v>
      </c>
      <c r="J214" t="s">
        <v>38</v>
      </c>
      <c r="K214">
        <v>1</v>
      </c>
      <c r="L214">
        <v>293</v>
      </c>
      <c r="M214">
        <v>4</v>
      </c>
      <c r="N214" t="str" cm="1">
        <f t="array" ref="N214">_xlfn.IFS(HRData[[#This Row],[EnvironmentSatisfaction]]=1,"Very Dissatisfied",
HRData[[#This Row],[EnvironmentSatisfaction]]=2,"Dissatisfied",
HRData[[#This Row],[EnvironmentSatisfaction]]=3,"Satisfied",
HRData[[#This Row],[EnvironmentSatisfaction]]=4,"Very Satisfied"
)</f>
        <v>Very Satisfied</v>
      </c>
      <c r="O214" t="s">
        <v>39</v>
      </c>
      <c r="P214">
        <v>90</v>
      </c>
      <c r="Q214">
        <v>3</v>
      </c>
      <c r="R214">
        <v>2</v>
      </c>
      <c r="S214" t="s">
        <v>40</v>
      </c>
      <c r="T214">
        <v>3</v>
      </c>
      <c r="U214" t="str" cm="1">
        <f t="array" ref="U214">_xlfn.IFS(
HRData[[#This Row],[JobSatisfaction]]=1,"Very Dissatisfied",
HRData[[#This Row],[JobSatisfaction]]=2,"Dissatisfied",
HRData[[#This Row],[JobSatisfaction]]=3,"Satisfied",
HRData[[#This Row],[JobSatisfaction]]=4,"Very Satisfied"
)</f>
        <v>Satisfied</v>
      </c>
      <c r="V214" t="s">
        <v>41</v>
      </c>
      <c r="W214">
        <v>9981</v>
      </c>
      <c r="X214" t="str" cm="1">
        <f t="array" ref="X214">_xlfn.IFS(
HRData[[#This Row],[MonthlyIncome]]&lt;=4000,"Very Low Income",
HRData[[#This Row],[MonthlyIncome]]&lt;=8000,"Low Income",
HRData[[#This Row],[MonthlyIncome]]&lt;=12000,"Moderate Income",
HRData[[#This Row],[MonthlyIncome]]&lt;=16000,"High Income",
HRData[[#This Row],[MonthlyIncome]]&gt;16000,"Very High Income"
)</f>
        <v>Moderate Income</v>
      </c>
      <c r="Y214">
        <v>12916</v>
      </c>
      <c r="Z214">
        <v>1</v>
      </c>
      <c r="AA214" t="s">
        <v>42</v>
      </c>
      <c r="AB214" t="s">
        <v>43</v>
      </c>
      <c r="AC214">
        <v>14</v>
      </c>
      <c r="AD214" t="str" cm="1">
        <f t="array" ref="AD214">_xlfn.IFS(HRData[[#This Row],[PercentSalaryHike]]&lt;=15,"11-15",HRData[[#This Row],[PercentSalaryHike]]&lt;=20,"16-20",HRData[[#This Row],[PercentSalaryHike]]&gt;=21,"21+")</f>
        <v>11-15</v>
      </c>
      <c r="AE214">
        <v>3</v>
      </c>
      <c r="AF214">
        <v>4</v>
      </c>
      <c r="AG214">
        <v>80</v>
      </c>
      <c r="AH214">
        <v>0</v>
      </c>
      <c r="AI214">
        <v>7</v>
      </c>
      <c r="AJ214">
        <v>2</v>
      </c>
      <c r="AK214">
        <v>3</v>
      </c>
      <c r="AL214">
        <v>7</v>
      </c>
      <c r="AM214">
        <v>7</v>
      </c>
      <c r="AN214">
        <v>0</v>
      </c>
      <c r="AO214">
        <v>7</v>
      </c>
      <c r="AP21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214" t="str">
        <f>IF(HRData[[#This Row],[Attrition]]="Yes","Left", IF(HRData[[#This Row],[Attrition_Risk_Score]]&gt;=6,"High",IF(HRData[[#This Row],[Attrition_Risk_Score]]&gt;=3,"Medium","Low")))</f>
        <v>Low</v>
      </c>
      <c r="AR214" t="str">
        <f>IF(HRData[[#This Row],[Attrition_Risk_Level]]&lt;&gt;"High","",HRData[[#This Row],[Attrition_Risk_Score]]*10000-HRData[[#This Row],[EmployeeNumber]])</f>
        <v/>
      </c>
    </row>
    <row r="215" spans="1:44">
      <c r="A215">
        <v>51</v>
      </c>
      <c r="B215" t="str" cm="1">
        <f t="array" ref="B215">_xlfn.IFS(
HRData[[#This Row],[Age]]&lt;=24,"18-24",
HRData[[#This Row],[Age]]&lt;=34,"25-34",
HRData[[#This Row],[Age]]&lt;=44,"35-44",
HRData[[#This Row],[Age]]&lt;=54,"45-54",
HRData[[#This Row],[Age]]&gt;=55,"55+"
)</f>
        <v>45-54</v>
      </c>
      <c r="C215" t="s">
        <v>43</v>
      </c>
      <c r="D215">
        <f>IF(HRData[[#This Row],[Attrition]]="Yes",1,0)</f>
        <v>0</v>
      </c>
      <c r="E215" t="s">
        <v>36</v>
      </c>
      <c r="F215">
        <v>1469</v>
      </c>
      <c r="G215" t="s">
        <v>45</v>
      </c>
      <c r="H215">
        <v>8</v>
      </c>
      <c r="I215">
        <v>4</v>
      </c>
      <c r="J215" t="s">
        <v>38</v>
      </c>
      <c r="K215">
        <v>1</v>
      </c>
      <c r="L215">
        <v>296</v>
      </c>
      <c r="M215">
        <v>2</v>
      </c>
      <c r="N215" t="str" cm="1">
        <f t="array" ref="N215">_xlfn.IFS(HRData[[#This Row],[EnvironmentSatisfaction]]=1,"Very Dissatisfied",
HRData[[#This Row],[EnvironmentSatisfaction]]=2,"Dissatisfied",
HRData[[#This Row],[EnvironmentSatisfaction]]=3,"Satisfied",
HRData[[#This Row],[EnvironmentSatisfaction]]=4,"Very Satisfied"
)</f>
        <v>Dissatisfied</v>
      </c>
      <c r="O215" t="s">
        <v>46</v>
      </c>
      <c r="P215">
        <v>81</v>
      </c>
      <c r="Q215">
        <v>2</v>
      </c>
      <c r="R215">
        <v>3</v>
      </c>
      <c r="S215" t="s">
        <v>58</v>
      </c>
      <c r="T215">
        <v>2</v>
      </c>
      <c r="U215" t="str" cm="1">
        <f t="array" ref="U215">_xlfn.IFS(
HRData[[#This Row],[JobSatisfaction]]=1,"Very Dissatisfied",
HRData[[#This Row],[JobSatisfaction]]=2,"Dissatisfied",
HRData[[#This Row],[JobSatisfaction]]=3,"Satisfied",
HRData[[#This Row],[JobSatisfaction]]=4,"Very Satisfied"
)</f>
        <v>Dissatisfied</v>
      </c>
      <c r="V215" t="s">
        <v>48</v>
      </c>
      <c r="W215">
        <v>12490</v>
      </c>
      <c r="X215" t="str" cm="1">
        <f t="array" ref="X215">_xlfn.IFS(
HRData[[#This Row],[MonthlyIncome]]&lt;=4000,"Very Low Income",
HRData[[#This Row],[MonthlyIncome]]&lt;=8000,"Low Income",
HRData[[#This Row],[MonthlyIncome]]&lt;=12000,"Moderate Income",
HRData[[#This Row],[MonthlyIncome]]&lt;=16000,"High Income",
HRData[[#This Row],[MonthlyIncome]]&gt;16000,"Very High Income"
)</f>
        <v>High Income</v>
      </c>
      <c r="Y215">
        <v>15736</v>
      </c>
      <c r="Z215">
        <v>5</v>
      </c>
      <c r="AA215" t="s">
        <v>42</v>
      </c>
      <c r="AB215" t="s">
        <v>43</v>
      </c>
      <c r="AC215">
        <v>16</v>
      </c>
      <c r="AD215" t="str" cm="1">
        <f t="array" ref="AD215">_xlfn.IFS(HRData[[#This Row],[PercentSalaryHike]]&lt;=15,"11-15",HRData[[#This Row],[PercentSalaryHike]]&lt;=20,"16-20",HRData[[#This Row],[PercentSalaryHike]]&gt;=21,"21+")</f>
        <v>16-20</v>
      </c>
      <c r="AE215">
        <v>3</v>
      </c>
      <c r="AF215">
        <v>4</v>
      </c>
      <c r="AG215">
        <v>80</v>
      </c>
      <c r="AH215">
        <v>2</v>
      </c>
      <c r="AI215">
        <v>16</v>
      </c>
      <c r="AJ215">
        <v>5</v>
      </c>
      <c r="AK215">
        <v>1</v>
      </c>
      <c r="AL215">
        <v>10</v>
      </c>
      <c r="AM215">
        <v>9</v>
      </c>
      <c r="AN215">
        <v>4</v>
      </c>
      <c r="AO215">
        <v>7</v>
      </c>
      <c r="AP21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215" t="str">
        <f>IF(HRData[[#This Row],[Attrition]]="Yes","Left", IF(HRData[[#This Row],[Attrition_Risk_Score]]&gt;=6,"High",IF(HRData[[#This Row],[Attrition_Risk_Score]]&gt;=3,"Medium","Low")))</f>
        <v>Low</v>
      </c>
      <c r="AR215" t="str">
        <f>IF(HRData[[#This Row],[Attrition_Risk_Level]]&lt;&gt;"High","",HRData[[#This Row],[Attrition_Risk_Score]]*10000-HRData[[#This Row],[EmployeeNumber]])</f>
        <v/>
      </c>
    </row>
    <row r="216" spans="1:44">
      <c r="A216">
        <v>30</v>
      </c>
      <c r="B216" t="str" cm="1">
        <f t="array" ref="B216">_xlfn.IFS(
HRData[[#This Row],[Age]]&lt;=24,"18-24",
HRData[[#This Row],[Age]]&lt;=34,"25-34",
HRData[[#This Row],[Age]]&lt;=44,"35-44",
HRData[[#This Row],[Age]]&lt;=54,"45-54",
HRData[[#This Row],[Age]]&gt;=55,"55+"
)</f>
        <v>25-34</v>
      </c>
      <c r="C216" t="s">
        <v>35</v>
      </c>
      <c r="D216">
        <f>IF(HRData[[#This Row],[Attrition]]="Yes",1,0)</f>
        <v>1</v>
      </c>
      <c r="E216" t="s">
        <v>36</v>
      </c>
      <c r="F216">
        <v>1005</v>
      </c>
      <c r="G216" t="s">
        <v>45</v>
      </c>
      <c r="H216">
        <v>3</v>
      </c>
      <c r="I216">
        <v>3</v>
      </c>
      <c r="J216" t="s">
        <v>60</v>
      </c>
      <c r="K216">
        <v>1</v>
      </c>
      <c r="L216">
        <v>297</v>
      </c>
      <c r="M216">
        <v>4</v>
      </c>
      <c r="N216" t="str" cm="1">
        <f t="array" ref="N216">_xlfn.IFS(HRData[[#This Row],[EnvironmentSatisfaction]]=1,"Very Dissatisfied",
HRData[[#This Row],[EnvironmentSatisfaction]]=2,"Dissatisfied",
HRData[[#This Row],[EnvironmentSatisfaction]]=3,"Satisfied",
HRData[[#This Row],[EnvironmentSatisfaction]]=4,"Very Satisfied"
)</f>
        <v>Very Satisfied</v>
      </c>
      <c r="O216" t="s">
        <v>39</v>
      </c>
      <c r="P216">
        <v>88</v>
      </c>
      <c r="Q216">
        <v>3</v>
      </c>
      <c r="R216">
        <v>1</v>
      </c>
      <c r="S216" t="s">
        <v>47</v>
      </c>
      <c r="T216">
        <v>1</v>
      </c>
      <c r="U216" t="str" cm="1">
        <f t="array" ref="U216">_xlfn.IFS(
HRData[[#This Row],[JobSatisfaction]]=1,"Very Dissatisfied",
HRData[[#This Row],[JobSatisfaction]]=2,"Dissatisfied",
HRData[[#This Row],[JobSatisfaction]]=3,"Satisfied",
HRData[[#This Row],[JobSatisfaction]]=4,"Very Satisfied"
)</f>
        <v>Very Dissatisfied</v>
      </c>
      <c r="V216" t="s">
        <v>41</v>
      </c>
      <c r="W216">
        <v>2657</v>
      </c>
      <c r="X216" t="str" cm="1">
        <f t="array" ref="X216">_xlfn.IFS(
HRData[[#This Row],[MonthlyIncome]]&lt;=4000,"Very Low Income",
HRData[[#This Row],[MonthlyIncome]]&lt;=8000,"Low Income",
HRData[[#This Row],[MonthlyIncome]]&lt;=12000,"Moderate Income",
HRData[[#This Row],[MonthlyIncome]]&lt;=16000,"High Income",
HRData[[#This Row],[MonthlyIncome]]&gt;16000,"Very High Income"
)</f>
        <v>Very Low Income</v>
      </c>
      <c r="Y216">
        <v>8556</v>
      </c>
      <c r="Z216">
        <v>5</v>
      </c>
      <c r="AA216" t="s">
        <v>42</v>
      </c>
      <c r="AB216" t="s">
        <v>35</v>
      </c>
      <c r="AC216">
        <v>11</v>
      </c>
      <c r="AD216" t="str" cm="1">
        <f t="array" ref="AD216">_xlfn.IFS(HRData[[#This Row],[PercentSalaryHike]]&lt;=15,"11-15",HRData[[#This Row],[PercentSalaryHike]]&lt;=20,"16-20",HRData[[#This Row],[PercentSalaryHike]]&gt;=21,"21+")</f>
        <v>11-15</v>
      </c>
      <c r="AE216">
        <v>3</v>
      </c>
      <c r="AF216">
        <v>3</v>
      </c>
      <c r="AG216">
        <v>80</v>
      </c>
      <c r="AH216">
        <v>0</v>
      </c>
      <c r="AI216">
        <v>8</v>
      </c>
      <c r="AJ216">
        <v>5</v>
      </c>
      <c r="AK216">
        <v>3</v>
      </c>
      <c r="AL216">
        <v>5</v>
      </c>
      <c r="AM216">
        <v>2</v>
      </c>
      <c r="AN216">
        <v>0</v>
      </c>
      <c r="AO216">
        <v>4</v>
      </c>
      <c r="AP21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16" t="str">
        <f>IF(HRData[[#This Row],[Attrition]]="Yes","Left", IF(HRData[[#This Row],[Attrition_Risk_Score]]&gt;=6,"High",IF(HRData[[#This Row],[Attrition_Risk_Score]]&gt;=3,"Medium","Low")))</f>
        <v>Left</v>
      </c>
      <c r="AR216" t="str">
        <f>IF(HRData[[#This Row],[Attrition_Risk_Level]]&lt;&gt;"High","",HRData[[#This Row],[Attrition_Risk_Score]]*10000-HRData[[#This Row],[EmployeeNumber]])</f>
        <v/>
      </c>
    </row>
    <row r="217" spans="1:44">
      <c r="A217">
        <v>41</v>
      </c>
      <c r="B217" t="str" cm="1">
        <f t="array" ref="B217">_xlfn.IFS(
HRData[[#This Row],[Age]]&lt;=24,"18-24",
HRData[[#This Row],[Age]]&lt;=34,"25-34",
HRData[[#This Row],[Age]]&lt;=44,"35-44",
HRData[[#This Row],[Age]]&lt;=54,"45-54",
HRData[[#This Row],[Age]]&gt;=55,"55+"
)</f>
        <v>35-44</v>
      </c>
      <c r="C217" t="s">
        <v>43</v>
      </c>
      <c r="D217">
        <f>IF(HRData[[#This Row],[Attrition]]="Yes",1,0)</f>
        <v>0</v>
      </c>
      <c r="E217" t="s">
        <v>36</v>
      </c>
      <c r="F217">
        <v>896</v>
      </c>
      <c r="G217" t="s">
        <v>37</v>
      </c>
      <c r="H217">
        <v>6</v>
      </c>
      <c r="I217">
        <v>3</v>
      </c>
      <c r="J217" t="s">
        <v>38</v>
      </c>
      <c r="K217">
        <v>1</v>
      </c>
      <c r="L217">
        <v>298</v>
      </c>
      <c r="M217">
        <v>4</v>
      </c>
      <c r="N217" t="str" cm="1">
        <f t="array" ref="N217">_xlfn.IFS(HRData[[#This Row],[EnvironmentSatisfaction]]=1,"Very Dissatisfied",
HRData[[#This Row],[EnvironmentSatisfaction]]=2,"Dissatisfied",
HRData[[#This Row],[EnvironmentSatisfaction]]=3,"Satisfied",
HRData[[#This Row],[EnvironmentSatisfaction]]=4,"Very Satisfied"
)</f>
        <v>Very Satisfied</v>
      </c>
      <c r="O217" t="s">
        <v>39</v>
      </c>
      <c r="P217">
        <v>75</v>
      </c>
      <c r="Q217">
        <v>3</v>
      </c>
      <c r="R217">
        <v>3</v>
      </c>
      <c r="S217" t="s">
        <v>56</v>
      </c>
      <c r="T217">
        <v>4</v>
      </c>
      <c r="U217" t="str" cm="1">
        <f t="array" ref="U217">_xlfn.IFS(
HRData[[#This Row],[JobSatisfaction]]=1,"Very Dissatisfied",
HRData[[#This Row],[JobSatisfaction]]=2,"Dissatisfied",
HRData[[#This Row],[JobSatisfaction]]=3,"Satisfied",
HRData[[#This Row],[JobSatisfaction]]=4,"Very Satisfied"
)</f>
        <v>Very Satisfied</v>
      </c>
      <c r="V217" t="s">
        <v>41</v>
      </c>
      <c r="W217">
        <v>13591</v>
      </c>
      <c r="X217" t="str" cm="1">
        <f t="array" ref="X217">_xlfn.IFS(
HRData[[#This Row],[MonthlyIncome]]&lt;=4000,"Very Low Income",
HRData[[#This Row],[MonthlyIncome]]&lt;=8000,"Low Income",
HRData[[#This Row],[MonthlyIncome]]&lt;=12000,"Moderate Income",
HRData[[#This Row],[MonthlyIncome]]&lt;=16000,"High Income",
HRData[[#This Row],[MonthlyIncome]]&gt;16000,"Very High Income"
)</f>
        <v>High Income</v>
      </c>
      <c r="Y217">
        <v>14674</v>
      </c>
      <c r="Z217">
        <v>3</v>
      </c>
      <c r="AA217" t="s">
        <v>42</v>
      </c>
      <c r="AB217" t="s">
        <v>35</v>
      </c>
      <c r="AC217">
        <v>18</v>
      </c>
      <c r="AD217" t="str" cm="1">
        <f t="array" ref="AD217">_xlfn.IFS(HRData[[#This Row],[PercentSalaryHike]]&lt;=15,"11-15",HRData[[#This Row],[PercentSalaryHike]]&lt;=20,"16-20",HRData[[#This Row],[PercentSalaryHike]]&gt;=21,"21+")</f>
        <v>16-20</v>
      </c>
      <c r="AE217">
        <v>3</v>
      </c>
      <c r="AF217">
        <v>3</v>
      </c>
      <c r="AG217">
        <v>80</v>
      </c>
      <c r="AH217">
        <v>0</v>
      </c>
      <c r="AI217">
        <v>16</v>
      </c>
      <c r="AJ217">
        <v>3</v>
      </c>
      <c r="AK217">
        <v>3</v>
      </c>
      <c r="AL217">
        <v>1</v>
      </c>
      <c r="AM217">
        <v>0</v>
      </c>
      <c r="AN217">
        <v>0</v>
      </c>
      <c r="AO217">
        <v>0</v>
      </c>
      <c r="AP21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17" t="str">
        <f>IF(HRData[[#This Row],[Attrition]]="Yes","Left", IF(HRData[[#This Row],[Attrition_Risk_Score]]&gt;=6,"High",IF(HRData[[#This Row],[Attrition_Risk_Score]]&gt;=3,"Medium","Low")))</f>
        <v>Low</v>
      </c>
      <c r="AR217" t="str">
        <f>IF(HRData[[#This Row],[Attrition_Risk_Level]]&lt;&gt;"High","",HRData[[#This Row],[Attrition_Risk_Score]]*10000-HRData[[#This Row],[EmployeeNumber]])</f>
        <v/>
      </c>
    </row>
    <row r="218" spans="1:44">
      <c r="A218">
        <v>30</v>
      </c>
      <c r="B218" t="str" cm="1">
        <f t="array" ref="B218">_xlfn.IFS(
HRData[[#This Row],[Age]]&lt;=24,"18-24",
HRData[[#This Row],[Age]]&lt;=34,"25-34",
HRData[[#This Row],[Age]]&lt;=44,"35-44",
HRData[[#This Row],[Age]]&lt;=54,"45-54",
HRData[[#This Row],[Age]]&gt;=55,"55+"
)</f>
        <v>25-34</v>
      </c>
      <c r="C218" t="s">
        <v>35</v>
      </c>
      <c r="D218">
        <f>IF(HRData[[#This Row],[Attrition]]="Yes",1,0)</f>
        <v>1</v>
      </c>
      <c r="E218" t="s">
        <v>44</v>
      </c>
      <c r="F218">
        <v>334</v>
      </c>
      <c r="G218" t="s">
        <v>37</v>
      </c>
      <c r="H218">
        <v>26</v>
      </c>
      <c r="I218">
        <v>4</v>
      </c>
      <c r="J218" t="s">
        <v>59</v>
      </c>
      <c r="K218">
        <v>1</v>
      </c>
      <c r="L218">
        <v>299</v>
      </c>
      <c r="M218">
        <v>3</v>
      </c>
      <c r="N218" t="str" cm="1">
        <f t="array" ref="N218">_xlfn.IFS(HRData[[#This Row],[EnvironmentSatisfaction]]=1,"Very Dissatisfied",
HRData[[#This Row],[EnvironmentSatisfaction]]=2,"Dissatisfied",
HRData[[#This Row],[EnvironmentSatisfaction]]=3,"Satisfied",
HRData[[#This Row],[EnvironmentSatisfaction]]=4,"Very Satisfied"
)</f>
        <v>Satisfied</v>
      </c>
      <c r="O218" t="s">
        <v>39</v>
      </c>
      <c r="P218">
        <v>52</v>
      </c>
      <c r="Q218">
        <v>2</v>
      </c>
      <c r="R218">
        <v>2</v>
      </c>
      <c r="S218" t="s">
        <v>40</v>
      </c>
      <c r="T218">
        <v>1</v>
      </c>
      <c r="U218" t="str" cm="1">
        <f t="array" ref="U218">_xlfn.IFS(
HRData[[#This Row],[JobSatisfaction]]=1,"Very Dissatisfied",
HRData[[#This Row],[JobSatisfaction]]=2,"Dissatisfied",
HRData[[#This Row],[JobSatisfaction]]=3,"Satisfied",
HRData[[#This Row],[JobSatisfaction]]=4,"Very Satisfied"
)</f>
        <v>Very Dissatisfied</v>
      </c>
      <c r="V218" t="s">
        <v>41</v>
      </c>
      <c r="W218">
        <v>6696</v>
      </c>
      <c r="X218" t="str" cm="1">
        <f t="array" ref="X218">_xlfn.IFS(
HRData[[#This Row],[MonthlyIncome]]&lt;=4000,"Very Low Income",
HRData[[#This Row],[MonthlyIncome]]&lt;=8000,"Low Income",
HRData[[#This Row],[MonthlyIncome]]&lt;=12000,"Moderate Income",
HRData[[#This Row],[MonthlyIncome]]&lt;=16000,"High Income",
HRData[[#This Row],[MonthlyIncome]]&gt;16000,"Very High Income"
)</f>
        <v>Low Income</v>
      </c>
      <c r="Y218">
        <v>22967</v>
      </c>
      <c r="Z218">
        <v>5</v>
      </c>
      <c r="AA218" t="s">
        <v>42</v>
      </c>
      <c r="AB218" t="s">
        <v>43</v>
      </c>
      <c r="AC218">
        <v>15</v>
      </c>
      <c r="AD218" t="str" cm="1">
        <f t="array" ref="AD218">_xlfn.IFS(HRData[[#This Row],[PercentSalaryHike]]&lt;=15,"11-15",HRData[[#This Row],[PercentSalaryHike]]&lt;=20,"16-20",HRData[[#This Row],[PercentSalaryHike]]&gt;=21,"21+")</f>
        <v>11-15</v>
      </c>
      <c r="AE218">
        <v>3</v>
      </c>
      <c r="AF218">
        <v>3</v>
      </c>
      <c r="AG218">
        <v>80</v>
      </c>
      <c r="AH218">
        <v>0</v>
      </c>
      <c r="AI218">
        <v>9</v>
      </c>
      <c r="AJ218">
        <v>5</v>
      </c>
      <c r="AK218">
        <v>2</v>
      </c>
      <c r="AL218">
        <v>6</v>
      </c>
      <c r="AM218">
        <v>3</v>
      </c>
      <c r="AN218">
        <v>0</v>
      </c>
      <c r="AO218">
        <v>1</v>
      </c>
      <c r="AP21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18" t="str">
        <f>IF(HRData[[#This Row],[Attrition]]="Yes","Left", IF(HRData[[#This Row],[Attrition_Risk_Score]]&gt;=6,"High",IF(HRData[[#This Row],[Attrition_Risk_Score]]&gt;=3,"Medium","Low")))</f>
        <v>Left</v>
      </c>
      <c r="AR218" t="str">
        <f>IF(HRData[[#This Row],[Attrition_Risk_Level]]&lt;&gt;"High","",HRData[[#This Row],[Attrition_Risk_Score]]*10000-HRData[[#This Row],[EmployeeNumber]])</f>
        <v/>
      </c>
    </row>
    <row r="219" spans="1:44">
      <c r="A219">
        <v>29</v>
      </c>
      <c r="B219" t="str" cm="1">
        <f t="array" ref="B219">_xlfn.IFS(
HRData[[#This Row],[Age]]&lt;=24,"18-24",
HRData[[#This Row],[Age]]&lt;=34,"25-34",
HRData[[#This Row],[Age]]&lt;=44,"35-44",
HRData[[#This Row],[Age]]&lt;=54,"45-54",
HRData[[#This Row],[Age]]&gt;=55,"55+"
)</f>
        <v>25-34</v>
      </c>
      <c r="C219" t="s">
        <v>35</v>
      </c>
      <c r="D219">
        <f>IF(HRData[[#This Row],[Attrition]]="Yes",1,0)</f>
        <v>1</v>
      </c>
      <c r="E219" t="s">
        <v>36</v>
      </c>
      <c r="F219">
        <v>992</v>
      </c>
      <c r="G219" t="s">
        <v>45</v>
      </c>
      <c r="H219">
        <v>1</v>
      </c>
      <c r="I219">
        <v>3</v>
      </c>
      <c r="J219" t="s">
        <v>60</v>
      </c>
      <c r="K219">
        <v>1</v>
      </c>
      <c r="L219">
        <v>300</v>
      </c>
      <c r="M219">
        <v>3</v>
      </c>
      <c r="N219" t="str" cm="1">
        <f t="array" ref="N219">_xlfn.IFS(HRData[[#This Row],[EnvironmentSatisfaction]]=1,"Very Dissatisfied",
HRData[[#This Row],[EnvironmentSatisfaction]]=2,"Dissatisfied",
HRData[[#This Row],[EnvironmentSatisfaction]]=3,"Satisfied",
HRData[[#This Row],[EnvironmentSatisfaction]]=4,"Very Satisfied"
)</f>
        <v>Satisfied</v>
      </c>
      <c r="O219" t="s">
        <v>46</v>
      </c>
      <c r="P219">
        <v>85</v>
      </c>
      <c r="Q219">
        <v>3</v>
      </c>
      <c r="R219">
        <v>1</v>
      </c>
      <c r="S219" t="s">
        <v>47</v>
      </c>
      <c r="T219">
        <v>3</v>
      </c>
      <c r="U219" t="str" cm="1">
        <f t="array" ref="U219">_xlfn.IFS(
HRData[[#This Row],[JobSatisfaction]]=1,"Very Dissatisfied",
HRData[[#This Row],[JobSatisfaction]]=2,"Dissatisfied",
HRData[[#This Row],[JobSatisfaction]]=3,"Satisfied",
HRData[[#This Row],[JobSatisfaction]]=4,"Very Satisfied"
)</f>
        <v>Satisfied</v>
      </c>
      <c r="V219" t="s">
        <v>41</v>
      </c>
      <c r="W219">
        <v>2058</v>
      </c>
      <c r="X219" t="str" cm="1">
        <f t="array" ref="X219">_xlfn.IFS(
HRData[[#This Row],[MonthlyIncome]]&lt;=4000,"Very Low Income",
HRData[[#This Row],[MonthlyIncome]]&lt;=8000,"Low Income",
HRData[[#This Row],[MonthlyIncome]]&lt;=12000,"Moderate Income",
HRData[[#This Row],[MonthlyIncome]]&lt;=16000,"High Income",
HRData[[#This Row],[MonthlyIncome]]&gt;16000,"Very High Income"
)</f>
        <v>Very Low Income</v>
      </c>
      <c r="Y219">
        <v>19757</v>
      </c>
      <c r="Z219">
        <v>0</v>
      </c>
      <c r="AA219" t="s">
        <v>42</v>
      </c>
      <c r="AB219" t="s">
        <v>43</v>
      </c>
      <c r="AC219">
        <v>14</v>
      </c>
      <c r="AD219" t="str" cm="1">
        <f t="array" ref="AD219">_xlfn.IFS(HRData[[#This Row],[PercentSalaryHike]]&lt;=15,"11-15",HRData[[#This Row],[PercentSalaryHike]]&lt;=20,"16-20",HRData[[#This Row],[PercentSalaryHike]]&gt;=21,"21+")</f>
        <v>11-15</v>
      </c>
      <c r="AE219">
        <v>3</v>
      </c>
      <c r="AF219">
        <v>4</v>
      </c>
      <c r="AG219">
        <v>80</v>
      </c>
      <c r="AH219">
        <v>0</v>
      </c>
      <c r="AI219">
        <v>7</v>
      </c>
      <c r="AJ219">
        <v>1</v>
      </c>
      <c r="AK219">
        <v>2</v>
      </c>
      <c r="AL219">
        <v>6</v>
      </c>
      <c r="AM219">
        <v>2</v>
      </c>
      <c r="AN219">
        <v>1</v>
      </c>
      <c r="AO219">
        <v>5</v>
      </c>
      <c r="AP21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19" t="str">
        <f>IF(HRData[[#This Row],[Attrition]]="Yes","Left", IF(HRData[[#This Row],[Attrition_Risk_Score]]&gt;=6,"High",IF(HRData[[#This Row],[Attrition_Risk_Score]]&gt;=3,"Medium","Low")))</f>
        <v>Left</v>
      </c>
      <c r="AR219" t="str">
        <f>IF(HRData[[#This Row],[Attrition_Risk_Level]]&lt;&gt;"High","",HRData[[#This Row],[Attrition_Risk_Score]]*10000-HRData[[#This Row],[EmployeeNumber]])</f>
        <v/>
      </c>
    </row>
    <row r="220" spans="1:44">
      <c r="A220">
        <v>45</v>
      </c>
      <c r="B220" t="str" cm="1">
        <f t="array" ref="B220">_xlfn.IFS(
HRData[[#This Row],[Age]]&lt;=24,"18-24",
HRData[[#This Row],[Age]]&lt;=34,"25-34",
HRData[[#This Row],[Age]]&lt;=44,"35-44",
HRData[[#This Row],[Age]]&lt;=54,"45-54",
HRData[[#This Row],[Age]]&gt;=55,"55+"
)</f>
        <v>45-54</v>
      </c>
      <c r="C220" t="s">
        <v>43</v>
      </c>
      <c r="D220">
        <f>IF(HRData[[#This Row],[Attrition]]="Yes",1,0)</f>
        <v>0</v>
      </c>
      <c r="E220" t="s">
        <v>55</v>
      </c>
      <c r="F220">
        <v>1052</v>
      </c>
      <c r="G220" t="s">
        <v>37</v>
      </c>
      <c r="H220">
        <v>6</v>
      </c>
      <c r="I220">
        <v>3</v>
      </c>
      <c r="J220" t="s">
        <v>51</v>
      </c>
      <c r="K220">
        <v>1</v>
      </c>
      <c r="L220">
        <v>302</v>
      </c>
      <c r="M220">
        <v>4</v>
      </c>
      <c r="N220" t="str" cm="1">
        <f t="array" ref="N220">_xlfn.IFS(HRData[[#This Row],[EnvironmentSatisfaction]]=1,"Very Dissatisfied",
HRData[[#This Row],[EnvironmentSatisfaction]]=2,"Dissatisfied",
HRData[[#This Row],[EnvironmentSatisfaction]]=3,"Satisfied",
HRData[[#This Row],[EnvironmentSatisfaction]]=4,"Very Satisfied"
)</f>
        <v>Very Satisfied</v>
      </c>
      <c r="O220" t="s">
        <v>39</v>
      </c>
      <c r="P220">
        <v>57</v>
      </c>
      <c r="Q220">
        <v>2</v>
      </c>
      <c r="R220">
        <v>3</v>
      </c>
      <c r="S220" t="s">
        <v>40</v>
      </c>
      <c r="T220">
        <v>4</v>
      </c>
      <c r="U220" t="str" cm="1">
        <f t="array" ref="U220">_xlfn.IFS(
HRData[[#This Row],[JobSatisfaction]]=1,"Very Dissatisfied",
HRData[[#This Row],[JobSatisfaction]]=2,"Dissatisfied",
HRData[[#This Row],[JobSatisfaction]]=3,"Satisfied",
HRData[[#This Row],[JobSatisfaction]]=4,"Very Satisfied"
)</f>
        <v>Very Satisfied</v>
      </c>
      <c r="V220" t="s">
        <v>41</v>
      </c>
      <c r="W220">
        <v>8865</v>
      </c>
      <c r="X220" t="str" cm="1">
        <f t="array" ref="X220">_xlfn.IFS(
HRData[[#This Row],[MonthlyIncome]]&lt;=4000,"Very Low Income",
HRData[[#This Row],[MonthlyIncome]]&lt;=8000,"Low Income",
HRData[[#This Row],[MonthlyIncome]]&lt;=12000,"Moderate Income",
HRData[[#This Row],[MonthlyIncome]]&lt;=16000,"High Income",
HRData[[#This Row],[MonthlyIncome]]&gt;16000,"Very High Income"
)</f>
        <v>Moderate Income</v>
      </c>
      <c r="Y220">
        <v>16840</v>
      </c>
      <c r="Z220">
        <v>6</v>
      </c>
      <c r="AA220" t="s">
        <v>42</v>
      </c>
      <c r="AB220" t="s">
        <v>43</v>
      </c>
      <c r="AC220">
        <v>12</v>
      </c>
      <c r="AD220" t="str" cm="1">
        <f t="array" ref="AD220">_xlfn.IFS(HRData[[#This Row],[PercentSalaryHike]]&lt;=15,"11-15",HRData[[#This Row],[PercentSalaryHike]]&lt;=20,"16-20",HRData[[#This Row],[PercentSalaryHike]]&gt;=21,"21+")</f>
        <v>11-15</v>
      </c>
      <c r="AE220">
        <v>3</v>
      </c>
      <c r="AF220">
        <v>4</v>
      </c>
      <c r="AG220">
        <v>80</v>
      </c>
      <c r="AH220">
        <v>0</v>
      </c>
      <c r="AI220">
        <v>23</v>
      </c>
      <c r="AJ220">
        <v>2</v>
      </c>
      <c r="AK220">
        <v>3</v>
      </c>
      <c r="AL220">
        <v>19</v>
      </c>
      <c r="AM220">
        <v>7</v>
      </c>
      <c r="AN220">
        <v>12</v>
      </c>
      <c r="AO220">
        <v>8</v>
      </c>
      <c r="AP22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220" t="str">
        <f>IF(HRData[[#This Row],[Attrition]]="Yes","Left", IF(HRData[[#This Row],[Attrition_Risk_Score]]&gt;=6,"High",IF(HRData[[#This Row],[Attrition_Risk_Score]]&gt;=3,"Medium","Low")))</f>
        <v>Low</v>
      </c>
      <c r="AR220" t="str">
        <f>IF(HRData[[#This Row],[Attrition_Risk_Level]]&lt;&gt;"High","",HRData[[#This Row],[Attrition_Risk_Score]]*10000-HRData[[#This Row],[EmployeeNumber]])</f>
        <v/>
      </c>
    </row>
    <row r="221" spans="1:44">
      <c r="A221">
        <v>54</v>
      </c>
      <c r="B221" t="str" cm="1">
        <f t="array" ref="B221">_xlfn.IFS(
HRData[[#This Row],[Age]]&lt;=24,"18-24",
HRData[[#This Row],[Age]]&lt;=34,"25-34",
HRData[[#This Row],[Age]]&lt;=44,"35-44",
HRData[[#This Row],[Age]]&lt;=54,"45-54",
HRData[[#This Row],[Age]]&gt;=55,"55+"
)</f>
        <v>45-54</v>
      </c>
      <c r="C221" t="s">
        <v>43</v>
      </c>
      <c r="D221">
        <f>IF(HRData[[#This Row],[Attrition]]="Yes",1,0)</f>
        <v>0</v>
      </c>
      <c r="E221" t="s">
        <v>36</v>
      </c>
      <c r="F221">
        <v>1147</v>
      </c>
      <c r="G221" t="s">
        <v>37</v>
      </c>
      <c r="H221">
        <v>3</v>
      </c>
      <c r="I221">
        <v>3</v>
      </c>
      <c r="J221" t="s">
        <v>59</v>
      </c>
      <c r="K221">
        <v>1</v>
      </c>
      <c r="L221">
        <v>303</v>
      </c>
      <c r="M221">
        <v>4</v>
      </c>
      <c r="N221" t="str" cm="1">
        <f t="array" ref="N221">_xlfn.IFS(HRData[[#This Row],[EnvironmentSatisfaction]]=1,"Very Dissatisfied",
HRData[[#This Row],[EnvironmentSatisfaction]]=2,"Dissatisfied",
HRData[[#This Row],[EnvironmentSatisfaction]]=3,"Satisfied",
HRData[[#This Row],[EnvironmentSatisfaction]]=4,"Very Satisfied"
)</f>
        <v>Very Satisfied</v>
      </c>
      <c r="O221" t="s">
        <v>39</v>
      </c>
      <c r="P221">
        <v>52</v>
      </c>
      <c r="Q221">
        <v>3</v>
      </c>
      <c r="R221">
        <v>2</v>
      </c>
      <c r="S221" t="s">
        <v>40</v>
      </c>
      <c r="T221">
        <v>1</v>
      </c>
      <c r="U221" t="str" cm="1">
        <f t="array" ref="U221">_xlfn.IFS(
HRData[[#This Row],[JobSatisfaction]]=1,"Very Dissatisfied",
HRData[[#This Row],[JobSatisfaction]]=2,"Dissatisfied",
HRData[[#This Row],[JobSatisfaction]]=3,"Satisfied",
HRData[[#This Row],[JobSatisfaction]]=4,"Very Satisfied"
)</f>
        <v>Very Dissatisfied</v>
      </c>
      <c r="V221" t="s">
        <v>48</v>
      </c>
      <c r="W221">
        <v>5940</v>
      </c>
      <c r="X221" t="str" cm="1">
        <f t="array" ref="X221">_xlfn.IFS(
HRData[[#This Row],[MonthlyIncome]]&lt;=4000,"Very Low Income",
HRData[[#This Row],[MonthlyIncome]]&lt;=8000,"Low Income",
HRData[[#This Row],[MonthlyIncome]]&lt;=12000,"Moderate Income",
HRData[[#This Row],[MonthlyIncome]]&lt;=16000,"High Income",
HRData[[#This Row],[MonthlyIncome]]&gt;16000,"Very High Income"
)</f>
        <v>Low Income</v>
      </c>
      <c r="Y221">
        <v>17011</v>
      </c>
      <c r="Z221">
        <v>2</v>
      </c>
      <c r="AA221" t="s">
        <v>42</v>
      </c>
      <c r="AB221" t="s">
        <v>43</v>
      </c>
      <c r="AC221">
        <v>14</v>
      </c>
      <c r="AD221" t="str" cm="1">
        <f t="array" ref="AD221">_xlfn.IFS(HRData[[#This Row],[PercentSalaryHike]]&lt;=15,"11-15",HRData[[#This Row],[PercentSalaryHike]]&lt;=20,"16-20",HRData[[#This Row],[PercentSalaryHike]]&gt;=21,"21+")</f>
        <v>11-15</v>
      </c>
      <c r="AE221">
        <v>3</v>
      </c>
      <c r="AF221">
        <v>4</v>
      </c>
      <c r="AG221">
        <v>80</v>
      </c>
      <c r="AH221">
        <v>1</v>
      </c>
      <c r="AI221">
        <v>16</v>
      </c>
      <c r="AJ221">
        <v>4</v>
      </c>
      <c r="AK221">
        <v>3</v>
      </c>
      <c r="AL221">
        <v>6</v>
      </c>
      <c r="AM221">
        <v>2</v>
      </c>
      <c r="AN221">
        <v>0</v>
      </c>
      <c r="AO221">
        <v>5</v>
      </c>
      <c r="AP22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221" t="str">
        <f>IF(HRData[[#This Row],[Attrition]]="Yes","Left", IF(HRData[[#This Row],[Attrition_Risk_Score]]&gt;=6,"High",IF(HRData[[#This Row],[Attrition_Risk_Score]]&gt;=3,"Medium","Low")))</f>
        <v>Medium</v>
      </c>
      <c r="AR221" t="str">
        <f>IF(HRData[[#This Row],[Attrition_Risk_Level]]&lt;&gt;"High","",HRData[[#This Row],[Attrition_Risk_Score]]*10000-HRData[[#This Row],[EmployeeNumber]])</f>
        <v/>
      </c>
    </row>
    <row r="222" spans="1:44">
      <c r="A222">
        <v>36</v>
      </c>
      <c r="B222" t="str" cm="1">
        <f t="array" ref="B222">_xlfn.IFS(
HRData[[#This Row],[Age]]&lt;=24,"18-24",
HRData[[#This Row],[Age]]&lt;=34,"25-34",
HRData[[#This Row],[Age]]&lt;=44,"35-44",
HRData[[#This Row],[Age]]&lt;=54,"45-54",
HRData[[#This Row],[Age]]&gt;=55,"55+"
)</f>
        <v>35-44</v>
      </c>
      <c r="C222" t="s">
        <v>43</v>
      </c>
      <c r="D222">
        <f>IF(HRData[[#This Row],[Attrition]]="Yes",1,0)</f>
        <v>0</v>
      </c>
      <c r="E222" t="s">
        <v>36</v>
      </c>
      <c r="F222">
        <v>1396</v>
      </c>
      <c r="G222" t="s">
        <v>45</v>
      </c>
      <c r="H222">
        <v>5</v>
      </c>
      <c r="I222">
        <v>2</v>
      </c>
      <c r="J222" t="s">
        <v>38</v>
      </c>
      <c r="K222">
        <v>1</v>
      </c>
      <c r="L222">
        <v>304</v>
      </c>
      <c r="M222">
        <v>4</v>
      </c>
      <c r="N222" t="str" cm="1">
        <f t="array" ref="N222">_xlfn.IFS(HRData[[#This Row],[EnvironmentSatisfaction]]=1,"Very Dissatisfied",
HRData[[#This Row],[EnvironmentSatisfaction]]=2,"Dissatisfied",
HRData[[#This Row],[EnvironmentSatisfaction]]=3,"Satisfied",
HRData[[#This Row],[EnvironmentSatisfaction]]=4,"Very Satisfied"
)</f>
        <v>Very Satisfied</v>
      </c>
      <c r="O222" t="s">
        <v>46</v>
      </c>
      <c r="P222">
        <v>62</v>
      </c>
      <c r="Q222">
        <v>3</v>
      </c>
      <c r="R222">
        <v>2</v>
      </c>
      <c r="S222" t="s">
        <v>50</v>
      </c>
      <c r="T222">
        <v>2</v>
      </c>
      <c r="U222" t="str" cm="1">
        <f t="array" ref="U222">_xlfn.IFS(
HRData[[#This Row],[JobSatisfaction]]=1,"Very Dissatisfied",
HRData[[#This Row],[JobSatisfaction]]=2,"Dissatisfied",
HRData[[#This Row],[JobSatisfaction]]=3,"Satisfied",
HRData[[#This Row],[JobSatisfaction]]=4,"Very Satisfied"
)</f>
        <v>Dissatisfied</v>
      </c>
      <c r="V222" t="s">
        <v>41</v>
      </c>
      <c r="W222">
        <v>5914</v>
      </c>
      <c r="X222" t="str" cm="1">
        <f t="array" ref="X222">_xlfn.IFS(
HRData[[#This Row],[MonthlyIncome]]&lt;=4000,"Very Low Income",
HRData[[#This Row],[MonthlyIncome]]&lt;=8000,"Low Income",
HRData[[#This Row],[MonthlyIncome]]&lt;=12000,"Moderate Income",
HRData[[#This Row],[MonthlyIncome]]&lt;=16000,"High Income",
HRData[[#This Row],[MonthlyIncome]]&gt;16000,"Very High Income"
)</f>
        <v>Low Income</v>
      </c>
      <c r="Y222">
        <v>9945</v>
      </c>
      <c r="Z222">
        <v>8</v>
      </c>
      <c r="AA222" t="s">
        <v>42</v>
      </c>
      <c r="AB222" t="s">
        <v>43</v>
      </c>
      <c r="AC222">
        <v>16</v>
      </c>
      <c r="AD222" t="str" cm="1">
        <f t="array" ref="AD222">_xlfn.IFS(HRData[[#This Row],[PercentSalaryHike]]&lt;=15,"11-15",HRData[[#This Row],[PercentSalaryHike]]&lt;=20,"16-20",HRData[[#This Row],[PercentSalaryHike]]&gt;=21,"21+")</f>
        <v>16-20</v>
      </c>
      <c r="AE222">
        <v>3</v>
      </c>
      <c r="AF222">
        <v>4</v>
      </c>
      <c r="AG222">
        <v>80</v>
      </c>
      <c r="AH222">
        <v>0</v>
      </c>
      <c r="AI222">
        <v>16</v>
      </c>
      <c r="AJ222">
        <v>3</v>
      </c>
      <c r="AK222">
        <v>4</v>
      </c>
      <c r="AL222">
        <v>13</v>
      </c>
      <c r="AM222">
        <v>11</v>
      </c>
      <c r="AN222">
        <v>3</v>
      </c>
      <c r="AO222">
        <v>7</v>
      </c>
      <c r="AP22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22" t="str">
        <f>IF(HRData[[#This Row],[Attrition]]="Yes","Left", IF(HRData[[#This Row],[Attrition_Risk_Score]]&gt;=6,"High",IF(HRData[[#This Row],[Attrition_Risk_Score]]&gt;=3,"Medium","Low")))</f>
        <v>Low</v>
      </c>
      <c r="AR222" t="str">
        <f>IF(HRData[[#This Row],[Attrition_Risk_Level]]&lt;&gt;"High","",HRData[[#This Row],[Attrition_Risk_Score]]*10000-HRData[[#This Row],[EmployeeNumber]])</f>
        <v/>
      </c>
    </row>
    <row r="223" spans="1:44">
      <c r="A223">
        <v>33</v>
      </c>
      <c r="B223" t="str" cm="1">
        <f t="array" ref="B223">_xlfn.IFS(
HRData[[#This Row],[Age]]&lt;=24,"18-24",
HRData[[#This Row],[Age]]&lt;=34,"25-34",
HRData[[#This Row],[Age]]&lt;=44,"35-44",
HRData[[#This Row],[Age]]&lt;=54,"45-54",
HRData[[#This Row],[Age]]&gt;=55,"55+"
)</f>
        <v>25-34</v>
      </c>
      <c r="C223" t="s">
        <v>43</v>
      </c>
      <c r="D223">
        <f>IF(HRData[[#This Row],[Attrition]]="Yes",1,0)</f>
        <v>0</v>
      </c>
      <c r="E223" t="s">
        <v>36</v>
      </c>
      <c r="F223">
        <v>147</v>
      </c>
      <c r="G223" t="s">
        <v>45</v>
      </c>
      <c r="H223">
        <v>4</v>
      </c>
      <c r="I223">
        <v>4</v>
      </c>
      <c r="J223" t="s">
        <v>51</v>
      </c>
      <c r="K223">
        <v>1</v>
      </c>
      <c r="L223">
        <v>305</v>
      </c>
      <c r="M223">
        <v>3</v>
      </c>
      <c r="N223" t="str" cm="1">
        <f t="array" ref="N223">_xlfn.IFS(HRData[[#This Row],[EnvironmentSatisfaction]]=1,"Very Dissatisfied",
HRData[[#This Row],[EnvironmentSatisfaction]]=2,"Dissatisfied",
HRData[[#This Row],[EnvironmentSatisfaction]]=3,"Satisfied",
HRData[[#This Row],[EnvironmentSatisfaction]]=4,"Very Satisfied"
)</f>
        <v>Satisfied</v>
      </c>
      <c r="O223" t="s">
        <v>39</v>
      </c>
      <c r="P223">
        <v>47</v>
      </c>
      <c r="Q223">
        <v>2</v>
      </c>
      <c r="R223">
        <v>1</v>
      </c>
      <c r="S223" t="s">
        <v>47</v>
      </c>
      <c r="T223">
        <v>2</v>
      </c>
      <c r="U223" t="str" cm="1">
        <f t="array" ref="U223">_xlfn.IFS(
HRData[[#This Row],[JobSatisfaction]]=1,"Very Dissatisfied",
HRData[[#This Row],[JobSatisfaction]]=2,"Dissatisfied",
HRData[[#This Row],[JobSatisfaction]]=3,"Satisfied",
HRData[[#This Row],[JobSatisfaction]]=4,"Very Satisfied"
)</f>
        <v>Dissatisfied</v>
      </c>
      <c r="V223" t="s">
        <v>48</v>
      </c>
      <c r="W223">
        <v>2622</v>
      </c>
      <c r="X223" t="str" cm="1">
        <f t="array" ref="X223">_xlfn.IFS(
HRData[[#This Row],[MonthlyIncome]]&lt;=4000,"Very Low Income",
HRData[[#This Row],[MonthlyIncome]]&lt;=8000,"Low Income",
HRData[[#This Row],[MonthlyIncome]]&lt;=12000,"Moderate Income",
HRData[[#This Row],[MonthlyIncome]]&lt;=16000,"High Income",
HRData[[#This Row],[MonthlyIncome]]&gt;16000,"Very High Income"
)</f>
        <v>Very Low Income</v>
      </c>
      <c r="Y223">
        <v>13248</v>
      </c>
      <c r="Z223">
        <v>6</v>
      </c>
      <c r="AA223" t="s">
        <v>42</v>
      </c>
      <c r="AB223" t="s">
        <v>43</v>
      </c>
      <c r="AC223">
        <v>21</v>
      </c>
      <c r="AD223" t="str" cm="1">
        <f t="array" ref="AD223">_xlfn.IFS(HRData[[#This Row],[PercentSalaryHike]]&lt;=15,"11-15",HRData[[#This Row],[PercentSalaryHike]]&lt;=20,"16-20",HRData[[#This Row],[PercentSalaryHike]]&gt;=21,"21+")</f>
        <v>21+</v>
      </c>
      <c r="AE223">
        <v>4</v>
      </c>
      <c r="AF223">
        <v>4</v>
      </c>
      <c r="AG223">
        <v>80</v>
      </c>
      <c r="AH223">
        <v>0</v>
      </c>
      <c r="AI223">
        <v>7</v>
      </c>
      <c r="AJ223">
        <v>3</v>
      </c>
      <c r="AK223">
        <v>3</v>
      </c>
      <c r="AL223">
        <v>3</v>
      </c>
      <c r="AM223">
        <v>2</v>
      </c>
      <c r="AN223">
        <v>1</v>
      </c>
      <c r="AO223">
        <v>1</v>
      </c>
      <c r="AP22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223" t="str">
        <f>IF(HRData[[#This Row],[Attrition]]="Yes","Left", IF(HRData[[#This Row],[Attrition_Risk_Score]]&gt;=6,"High",IF(HRData[[#This Row],[Attrition_Risk_Score]]&gt;=3,"Medium","Low")))</f>
        <v>Medium</v>
      </c>
      <c r="AR223" t="str">
        <f>IF(HRData[[#This Row],[Attrition_Risk_Level]]&lt;&gt;"High","",HRData[[#This Row],[Attrition_Risk_Score]]*10000-HRData[[#This Row],[EmployeeNumber]])</f>
        <v/>
      </c>
    </row>
    <row r="224" spans="1:44">
      <c r="A224">
        <v>37</v>
      </c>
      <c r="B224" t="str" cm="1">
        <f t="array" ref="B224">_xlfn.IFS(
HRData[[#This Row],[Age]]&lt;=24,"18-24",
HRData[[#This Row],[Age]]&lt;=34,"25-34",
HRData[[#This Row],[Age]]&lt;=44,"35-44",
HRData[[#This Row],[Age]]&lt;=54,"45-54",
HRData[[#This Row],[Age]]&gt;=55,"55+"
)</f>
        <v>35-44</v>
      </c>
      <c r="C224" t="s">
        <v>43</v>
      </c>
      <c r="D224">
        <f>IF(HRData[[#This Row],[Attrition]]="Yes",1,0)</f>
        <v>0</v>
      </c>
      <c r="E224" t="s">
        <v>44</v>
      </c>
      <c r="F224">
        <v>663</v>
      </c>
      <c r="G224" t="s">
        <v>45</v>
      </c>
      <c r="H224">
        <v>11</v>
      </c>
      <c r="I224">
        <v>3</v>
      </c>
      <c r="J224" t="s">
        <v>49</v>
      </c>
      <c r="K224">
        <v>1</v>
      </c>
      <c r="L224">
        <v>306</v>
      </c>
      <c r="M224">
        <v>2</v>
      </c>
      <c r="N224" t="str" cm="1">
        <f t="array" ref="N224">_xlfn.IFS(HRData[[#This Row],[EnvironmentSatisfaction]]=1,"Very Dissatisfied",
HRData[[#This Row],[EnvironmentSatisfaction]]=2,"Dissatisfied",
HRData[[#This Row],[EnvironmentSatisfaction]]=3,"Satisfied",
HRData[[#This Row],[EnvironmentSatisfaction]]=4,"Very Satisfied"
)</f>
        <v>Dissatisfied</v>
      </c>
      <c r="O224" t="s">
        <v>46</v>
      </c>
      <c r="P224">
        <v>47</v>
      </c>
      <c r="Q224">
        <v>3</v>
      </c>
      <c r="R224">
        <v>3</v>
      </c>
      <c r="S224" t="s">
        <v>58</v>
      </c>
      <c r="T224">
        <v>4</v>
      </c>
      <c r="U224" t="str" cm="1">
        <f t="array" ref="U224">_xlfn.IFS(
HRData[[#This Row],[JobSatisfaction]]=1,"Very Dissatisfied",
HRData[[#This Row],[JobSatisfaction]]=2,"Dissatisfied",
HRData[[#This Row],[JobSatisfaction]]=3,"Satisfied",
HRData[[#This Row],[JobSatisfaction]]=4,"Very Satisfied"
)</f>
        <v>Very Satisfied</v>
      </c>
      <c r="V224" t="s">
        <v>52</v>
      </c>
      <c r="W224">
        <v>12185</v>
      </c>
      <c r="X224" t="str" cm="1">
        <f t="array" ref="X224">_xlfn.IFS(
HRData[[#This Row],[MonthlyIncome]]&lt;=4000,"Very Low Income",
HRData[[#This Row],[MonthlyIncome]]&lt;=8000,"Low Income",
HRData[[#This Row],[MonthlyIncome]]&lt;=12000,"Moderate Income",
HRData[[#This Row],[MonthlyIncome]]&lt;=16000,"High Income",
HRData[[#This Row],[MonthlyIncome]]&gt;16000,"Very High Income"
)</f>
        <v>High Income</v>
      </c>
      <c r="Y224">
        <v>10056</v>
      </c>
      <c r="Z224">
        <v>1</v>
      </c>
      <c r="AA224" t="s">
        <v>42</v>
      </c>
      <c r="AB224" t="s">
        <v>35</v>
      </c>
      <c r="AC224">
        <v>14</v>
      </c>
      <c r="AD224" t="str" cm="1">
        <f t="array" ref="AD224">_xlfn.IFS(HRData[[#This Row],[PercentSalaryHike]]&lt;=15,"11-15",HRData[[#This Row],[PercentSalaryHike]]&lt;=20,"16-20",HRData[[#This Row],[PercentSalaryHike]]&gt;=21,"21+")</f>
        <v>11-15</v>
      </c>
      <c r="AE224">
        <v>3</v>
      </c>
      <c r="AF224">
        <v>3</v>
      </c>
      <c r="AG224">
        <v>80</v>
      </c>
      <c r="AH224">
        <v>3</v>
      </c>
      <c r="AI224">
        <v>10</v>
      </c>
      <c r="AJ224">
        <v>1</v>
      </c>
      <c r="AK224">
        <v>3</v>
      </c>
      <c r="AL224">
        <v>10</v>
      </c>
      <c r="AM224">
        <v>8</v>
      </c>
      <c r="AN224">
        <v>0</v>
      </c>
      <c r="AO224">
        <v>7</v>
      </c>
      <c r="AP22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24" t="str">
        <f>IF(HRData[[#This Row],[Attrition]]="Yes","Left", IF(HRData[[#This Row],[Attrition_Risk_Score]]&gt;=6,"High",IF(HRData[[#This Row],[Attrition_Risk_Score]]&gt;=3,"Medium","Low")))</f>
        <v>Low</v>
      </c>
      <c r="AR224" t="str">
        <f>IF(HRData[[#This Row],[Attrition_Risk_Level]]&lt;&gt;"High","",HRData[[#This Row],[Attrition_Risk_Score]]*10000-HRData[[#This Row],[EmployeeNumber]])</f>
        <v/>
      </c>
    </row>
    <row r="225" spans="1:44">
      <c r="A225">
        <v>38</v>
      </c>
      <c r="B225" t="str" cm="1">
        <f t="array" ref="B225">_xlfn.IFS(
HRData[[#This Row],[Age]]&lt;=24,"18-24",
HRData[[#This Row],[Age]]&lt;=34,"25-34",
HRData[[#This Row],[Age]]&lt;=44,"35-44",
HRData[[#This Row],[Age]]&lt;=54,"45-54",
HRData[[#This Row],[Age]]&gt;=55,"55+"
)</f>
        <v>35-44</v>
      </c>
      <c r="C225" t="s">
        <v>43</v>
      </c>
      <c r="D225">
        <f>IF(HRData[[#This Row],[Attrition]]="Yes",1,0)</f>
        <v>0</v>
      </c>
      <c r="E225" t="s">
        <v>36</v>
      </c>
      <c r="F225">
        <v>119</v>
      </c>
      <c r="G225" t="s">
        <v>37</v>
      </c>
      <c r="H225">
        <v>3</v>
      </c>
      <c r="I225">
        <v>3</v>
      </c>
      <c r="J225" t="s">
        <v>38</v>
      </c>
      <c r="K225">
        <v>1</v>
      </c>
      <c r="L225">
        <v>307</v>
      </c>
      <c r="M225">
        <v>1</v>
      </c>
      <c r="N225" t="str" cm="1">
        <f t="array" ref="N225">_xlfn.IFS(HRData[[#This Row],[EnvironmentSatisfaction]]=1,"Very Dissatisfied",
HRData[[#This Row],[EnvironmentSatisfaction]]=2,"Dissatisfied",
HRData[[#This Row],[EnvironmentSatisfaction]]=3,"Satisfied",
HRData[[#This Row],[EnvironmentSatisfaction]]=4,"Very Satisfied"
)</f>
        <v>Very Dissatisfied</v>
      </c>
      <c r="O225" t="s">
        <v>46</v>
      </c>
      <c r="P225">
        <v>76</v>
      </c>
      <c r="Q225">
        <v>3</v>
      </c>
      <c r="R225">
        <v>3</v>
      </c>
      <c r="S225" t="s">
        <v>40</v>
      </c>
      <c r="T225">
        <v>3</v>
      </c>
      <c r="U225" t="str" cm="1">
        <f t="array" ref="U225">_xlfn.IFS(
HRData[[#This Row],[JobSatisfaction]]=1,"Very Dissatisfied",
HRData[[#This Row],[JobSatisfaction]]=2,"Dissatisfied",
HRData[[#This Row],[JobSatisfaction]]=3,"Satisfied",
HRData[[#This Row],[JobSatisfaction]]=4,"Very Satisfied"
)</f>
        <v>Satisfied</v>
      </c>
      <c r="V225" t="s">
        <v>52</v>
      </c>
      <c r="W225">
        <v>10609</v>
      </c>
      <c r="X225" t="str" cm="1">
        <f t="array" ref="X225">_xlfn.IFS(
HRData[[#This Row],[MonthlyIncome]]&lt;=4000,"Very Low Income",
HRData[[#This Row],[MonthlyIncome]]&lt;=8000,"Low Income",
HRData[[#This Row],[MonthlyIncome]]&lt;=12000,"Moderate Income",
HRData[[#This Row],[MonthlyIncome]]&lt;=16000,"High Income",
HRData[[#This Row],[MonthlyIncome]]&gt;16000,"Very High Income"
)</f>
        <v>Moderate Income</v>
      </c>
      <c r="Y225">
        <v>9647</v>
      </c>
      <c r="Z225">
        <v>0</v>
      </c>
      <c r="AA225" t="s">
        <v>42</v>
      </c>
      <c r="AB225" t="s">
        <v>43</v>
      </c>
      <c r="AC225">
        <v>12</v>
      </c>
      <c r="AD225" t="str" cm="1">
        <f t="array" ref="AD225">_xlfn.IFS(HRData[[#This Row],[PercentSalaryHike]]&lt;=15,"11-15",HRData[[#This Row],[PercentSalaryHike]]&lt;=20,"16-20",HRData[[#This Row],[PercentSalaryHike]]&gt;=21,"21+")</f>
        <v>11-15</v>
      </c>
      <c r="AE225">
        <v>3</v>
      </c>
      <c r="AF225">
        <v>3</v>
      </c>
      <c r="AG225">
        <v>80</v>
      </c>
      <c r="AH225">
        <v>2</v>
      </c>
      <c r="AI225">
        <v>17</v>
      </c>
      <c r="AJ225">
        <v>6</v>
      </c>
      <c r="AK225">
        <v>2</v>
      </c>
      <c r="AL225">
        <v>16</v>
      </c>
      <c r="AM225">
        <v>10</v>
      </c>
      <c r="AN225">
        <v>5</v>
      </c>
      <c r="AO225">
        <v>13</v>
      </c>
      <c r="AP22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225" t="str">
        <f>IF(HRData[[#This Row],[Attrition]]="Yes","Left", IF(HRData[[#This Row],[Attrition_Risk_Score]]&gt;=6,"High",IF(HRData[[#This Row],[Attrition_Risk_Score]]&gt;=3,"Medium","Low")))</f>
        <v>Low</v>
      </c>
      <c r="AR225" t="str">
        <f>IF(HRData[[#This Row],[Attrition_Risk_Level]]&lt;&gt;"High","",HRData[[#This Row],[Attrition_Risk_Score]]*10000-HRData[[#This Row],[EmployeeNumber]])</f>
        <v/>
      </c>
    </row>
    <row r="226" spans="1:44">
      <c r="A226">
        <v>31</v>
      </c>
      <c r="B226" t="str" cm="1">
        <f t="array" ref="B226">_xlfn.IFS(
HRData[[#This Row],[Age]]&lt;=24,"18-24",
HRData[[#This Row],[Age]]&lt;=34,"25-34",
HRData[[#This Row],[Age]]&lt;=44,"35-44",
HRData[[#This Row],[Age]]&lt;=54,"45-54",
HRData[[#This Row],[Age]]&gt;=55,"55+"
)</f>
        <v>25-34</v>
      </c>
      <c r="C226" t="s">
        <v>43</v>
      </c>
      <c r="D226">
        <f>IF(HRData[[#This Row],[Attrition]]="Yes",1,0)</f>
        <v>0</v>
      </c>
      <c r="E226" t="s">
        <v>55</v>
      </c>
      <c r="F226">
        <v>979</v>
      </c>
      <c r="G226" t="s">
        <v>45</v>
      </c>
      <c r="H226">
        <v>1</v>
      </c>
      <c r="I226">
        <v>4</v>
      </c>
      <c r="J226" t="s">
        <v>51</v>
      </c>
      <c r="K226">
        <v>1</v>
      </c>
      <c r="L226">
        <v>308</v>
      </c>
      <c r="M226">
        <v>3</v>
      </c>
      <c r="N226" t="str" cm="1">
        <f t="array" ref="N226">_xlfn.IFS(HRData[[#This Row],[EnvironmentSatisfaction]]=1,"Very Dissatisfied",
HRData[[#This Row],[EnvironmentSatisfaction]]=2,"Dissatisfied",
HRData[[#This Row],[EnvironmentSatisfaction]]=3,"Satisfied",
HRData[[#This Row],[EnvironmentSatisfaction]]=4,"Very Satisfied"
)</f>
        <v>Satisfied</v>
      </c>
      <c r="O226" t="s">
        <v>46</v>
      </c>
      <c r="P226">
        <v>90</v>
      </c>
      <c r="Q226">
        <v>1</v>
      </c>
      <c r="R226">
        <v>2</v>
      </c>
      <c r="S226" t="s">
        <v>53</v>
      </c>
      <c r="T226">
        <v>3</v>
      </c>
      <c r="U226" t="str" cm="1">
        <f t="array" ref="U226">_xlfn.IFS(
HRData[[#This Row],[JobSatisfaction]]=1,"Very Dissatisfied",
HRData[[#This Row],[JobSatisfaction]]=2,"Dissatisfied",
HRData[[#This Row],[JobSatisfaction]]=3,"Satisfied",
HRData[[#This Row],[JobSatisfaction]]=4,"Very Satisfied"
)</f>
        <v>Satisfied</v>
      </c>
      <c r="V226" t="s">
        <v>48</v>
      </c>
      <c r="W226">
        <v>4345</v>
      </c>
      <c r="X226" t="str" cm="1">
        <f t="array" ref="X226">_xlfn.IFS(
HRData[[#This Row],[MonthlyIncome]]&lt;=4000,"Very Low Income",
HRData[[#This Row],[MonthlyIncome]]&lt;=8000,"Low Income",
HRData[[#This Row],[MonthlyIncome]]&lt;=12000,"Moderate Income",
HRData[[#This Row],[MonthlyIncome]]&lt;=16000,"High Income",
HRData[[#This Row],[MonthlyIncome]]&gt;16000,"Very High Income"
)</f>
        <v>Low Income</v>
      </c>
      <c r="Y226">
        <v>4381</v>
      </c>
      <c r="Z226">
        <v>0</v>
      </c>
      <c r="AA226" t="s">
        <v>42</v>
      </c>
      <c r="AB226" t="s">
        <v>43</v>
      </c>
      <c r="AC226">
        <v>12</v>
      </c>
      <c r="AD226" t="str" cm="1">
        <f t="array" ref="AD226">_xlfn.IFS(HRData[[#This Row],[PercentSalaryHike]]&lt;=15,"11-15",HRData[[#This Row],[PercentSalaryHike]]&lt;=20,"16-20",HRData[[#This Row],[PercentSalaryHike]]&gt;=21,"21+")</f>
        <v>11-15</v>
      </c>
      <c r="AE226">
        <v>3</v>
      </c>
      <c r="AF226">
        <v>4</v>
      </c>
      <c r="AG226">
        <v>80</v>
      </c>
      <c r="AH226">
        <v>1</v>
      </c>
      <c r="AI226">
        <v>6</v>
      </c>
      <c r="AJ226">
        <v>2</v>
      </c>
      <c r="AK226">
        <v>3</v>
      </c>
      <c r="AL226">
        <v>5</v>
      </c>
      <c r="AM226">
        <v>4</v>
      </c>
      <c r="AN226">
        <v>1</v>
      </c>
      <c r="AO226">
        <v>4</v>
      </c>
      <c r="AP22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26" t="str">
        <f>IF(HRData[[#This Row],[Attrition]]="Yes","Left", IF(HRData[[#This Row],[Attrition_Risk_Score]]&gt;=6,"High",IF(HRData[[#This Row],[Attrition_Risk_Score]]&gt;=3,"Medium","Low")))</f>
        <v>Low</v>
      </c>
      <c r="AR226" t="str">
        <f>IF(HRData[[#This Row],[Attrition_Risk_Level]]&lt;&gt;"High","",HRData[[#This Row],[Attrition_Risk_Score]]*10000-HRData[[#This Row],[EmployeeNumber]])</f>
        <v/>
      </c>
    </row>
    <row r="227" spans="1:44">
      <c r="A227">
        <v>59</v>
      </c>
      <c r="B227" t="str" cm="1">
        <f t="array" ref="B227">_xlfn.IFS(
HRData[[#This Row],[Age]]&lt;=24,"18-24",
HRData[[#This Row],[Age]]&lt;=34,"25-34",
HRData[[#This Row],[Age]]&lt;=44,"35-44",
HRData[[#This Row],[Age]]&lt;=54,"45-54",
HRData[[#This Row],[Age]]&gt;=55,"55+"
)</f>
        <v>55+</v>
      </c>
      <c r="C227" t="s">
        <v>43</v>
      </c>
      <c r="D227">
        <f>IF(HRData[[#This Row],[Attrition]]="Yes",1,0)</f>
        <v>0</v>
      </c>
      <c r="E227" t="s">
        <v>36</v>
      </c>
      <c r="F227">
        <v>142</v>
      </c>
      <c r="G227" t="s">
        <v>45</v>
      </c>
      <c r="H227">
        <v>3</v>
      </c>
      <c r="I227">
        <v>3</v>
      </c>
      <c r="J227" t="s">
        <v>38</v>
      </c>
      <c r="K227">
        <v>1</v>
      </c>
      <c r="L227">
        <v>309</v>
      </c>
      <c r="M227">
        <v>3</v>
      </c>
      <c r="N227" t="str" cm="1">
        <f t="array" ref="N227">_xlfn.IFS(HRData[[#This Row],[EnvironmentSatisfaction]]=1,"Very Dissatisfied",
HRData[[#This Row],[EnvironmentSatisfaction]]=2,"Dissatisfied",
HRData[[#This Row],[EnvironmentSatisfaction]]=3,"Satisfied",
HRData[[#This Row],[EnvironmentSatisfaction]]=4,"Very Satisfied"
)</f>
        <v>Satisfied</v>
      </c>
      <c r="O227" t="s">
        <v>46</v>
      </c>
      <c r="P227">
        <v>70</v>
      </c>
      <c r="Q227">
        <v>2</v>
      </c>
      <c r="R227">
        <v>1</v>
      </c>
      <c r="S227" t="s">
        <v>47</v>
      </c>
      <c r="T227">
        <v>4</v>
      </c>
      <c r="U227" t="str" cm="1">
        <f t="array" ref="U227">_xlfn.IFS(
HRData[[#This Row],[JobSatisfaction]]=1,"Very Dissatisfied",
HRData[[#This Row],[JobSatisfaction]]=2,"Dissatisfied",
HRData[[#This Row],[JobSatisfaction]]=3,"Satisfied",
HRData[[#This Row],[JobSatisfaction]]=4,"Very Satisfied"
)</f>
        <v>Very Satisfied</v>
      </c>
      <c r="V227" t="s">
        <v>48</v>
      </c>
      <c r="W227">
        <v>2177</v>
      </c>
      <c r="X227" t="str" cm="1">
        <f t="array" ref="X227">_xlfn.IFS(
HRData[[#This Row],[MonthlyIncome]]&lt;=4000,"Very Low Income",
HRData[[#This Row],[MonthlyIncome]]&lt;=8000,"Low Income",
HRData[[#This Row],[MonthlyIncome]]&lt;=12000,"Moderate Income",
HRData[[#This Row],[MonthlyIncome]]&lt;=16000,"High Income",
HRData[[#This Row],[MonthlyIncome]]&gt;16000,"Very High Income"
)</f>
        <v>Very Low Income</v>
      </c>
      <c r="Y227">
        <v>8456</v>
      </c>
      <c r="Z227">
        <v>3</v>
      </c>
      <c r="AA227" t="s">
        <v>42</v>
      </c>
      <c r="AB227" t="s">
        <v>43</v>
      </c>
      <c r="AC227">
        <v>17</v>
      </c>
      <c r="AD227" t="str" cm="1">
        <f t="array" ref="AD227">_xlfn.IFS(HRData[[#This Row],[PercentSalaryHike]]&lt;=15,"11-15",HRData[[#This Row],[PercentSalaryHike]]&lt;=20,"16-20",HRData[[#This Row],[PercentSalaryHike]]&gt;=21,"21+")</f>
        <v>16-20</v>
      </c>
      <c r="AE227">
        <v>3</v>
      </c>
      <c r="AF227">
        <v>1</v>
      </c>
      <c r="AG227">
        <v>80</v>
      </c>
      <c r="AH227">
        <v>1</v>
      </c>
      <c r="AI227">
        <v>7</v>
      </c>
      <c r="AJ227">
        <v>6</v>
      </c>
      <c r="AK227">
        <v>3</v>
      </c>
      <c r="AL227">
        <v>1</v>
      </c>
      <c r="AM227">
        <v>0</v>
      </c>
      <c r="AN227">
        <v>0</v>
      </c>
      <c r="AO227">
        <v>0</v>
      </c>
      <c r="AP22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27" t="str">
        <f>IF(HRData[[#This Row],[Attrition]]="Yes","Left", IF(HRData[[#This Row],[Attrition_Risk_Score]]&gt;=6,"High",IF(HRData[[#This Row],[Attrition_Risk_Score]]&gt;=3,"Medium","Low")))</f>
        <v>Low</v>
      </c>
      <c r="AR227" t="str">
        <f>IF(HRData[[#This Row],[Attrition_Risk_Level]]&lt;&gt;"High","",HRData[[#This Row],[Attrition_Risk_Score]]*10000-HRData[[#This Row],[EmployeeNumber]])</f>
        <v/>
      </c>
    </row>
    <row r="228" spans="1:44">
      <c r="A228">
        <v>37</v>
      </c>
      <c r="B228" t="str" cm="1">
        <f t="array" ref="B228">_xlfn.IFS(
HRData[[#This Row],[Age]]&lt;=24,"18-24",
HRData[[#This Row],[Age]]&lt;=34,"25-34",
HRData[[#This Row],[Age]]&lt;=44,"35-44",
HRData[[#This Row],[Age]]&lt;=54,"45-54",
HRData[[#This Row],[Age]]&gt;=55,"55+"
)</f>
        <v>35-44</v>
      </c>
      <c r="C228" t="s">
        <v>43</v>
      </c>
      <c r="D228">
        <f>IF(HRData[[#This Row],[Attrition]]="Yes",1,0)</f>
        <v>0</v>
      </c>
      <c r="E228" t="s">
        <v>44</v>
      </c>
      <c r="F228">
        <v>319</v>
      </c>
      <c r="G228" t="s">
        <v>37</v>
      </c>
      <c r="H228">
        <v>4</v>
      </c>
      <c r="I228">
        <v>4</v>
      </c>
      <c r="J228" t="s">
        <v>59</v>
      </c>
      <c r="K228">
        <v>1</v>
      </c>
      <c r="L228">
        <v>311</v>
      </c>
      <c r="M228">
        <v>1</v>
      </c>
      <c r="N228" t="str" cm="1">
        <f t="array" ref="N228">_xlfn.IFS(HRData[[#This Row],[EnvironmentSatisfaction]]=1,"Very Dissatisfied",
HRData[[#This Row],[EnvironmentSatisfaction]]=2,"Dissatisfied",
HRData[[#This Row],[EnvironmentSatisfaction]]=3,"Satisfied",
HRData[[#This Row],[EnvironmentSatisfaction]]=4,"Very Satisfied"
)</f>
        <v>Very Dissatisfied</v>
      </c>
      <c r="O228" t="s">
        <v>46</v>
      </c>
      <c r="P228">
        <v>41</v>
      </c>
      <c r="Q228">
        <v>3</v>
      </c>
      <c r="R228">
        <v>1</v>
      </c>
      <c r="S228" t="s">
        <v>57</v>
      </c>
      <c r="T228">
        <v>4</v>
      </c>
      <c r="U228" t="str" cm="1">
        <f t="array" ref="U228">_xlfn.IFS(
HRData[[#This Row],[JobSatisfaction]]=1,"Very Dissatisfied",
HRData[[#This Row],[JobSatisfaction]]=2,"Dissatisfied",
HRData[[#This Row],[JobSatisfaction]]=3,"Satisfied",
HRData[[#This Row],[JobSatisfaction]]=4,"Very Satisfied"
)</f>
        <v>Very Satisfied</v>
      </c>
      <c r="V228" t="s">
        <v>52</v>
      </c>
      <c r="W228">
        <v>2793</v>
      </c>
      <c r="X228" t="str" cm="1">
        <f t="array" ref="X228">_xlfn.IFS(
HRData[[#This Row],[MonthlyIncome]]&lt;=4000,"Very Low Income",
HRData[[#This Row],[MonthlyIncome]]&lt;=8000,"Low Income",
HRData[[#This Row],[MonthlyIncome]]&lt;=12000,"Moderate Income",
HRData[[#This Row],[MonthlyIncome]]&lt;=16000,"High Income",
HRData[[#This Row],[MonthlyIncome]]&gt;16000,"Very High Income"
)</f>
        <v>Very Low Income</v>
      </c>
      <c r="Y228">
        <v>2539</v>
      </c>
      <c r="Z228">
        <v>4</v>
      </c>
      <c r="AA228" t="s">
        <v>42</v>
      </c>
      <c r="AB228" t="s">
        <v>43</v>
      </c>
      <c r="AC228">
        <v>17</v>
      </c>
      <c r="AD228" t="str" cm="1">
        <f t="array" ref="AD228">_xlfn.IFS(HRData[[#This Row],[PercentSalaryHike]]&lt;=15,"11-15",HRData[[#This Row],[PercentSalaryHike]]&lt;=20,"16-20",HRData[[#This Row],[PercentSalaryHike]]&gt;=21,"21+")</f>
        <v>16-20</v>
      </c>
      <c r="AE228">
        <v>3</v>
      </c>
      <c r="AF228">
        <v>3</v>
      </c>
      <c r="AG228">
        <v>80</v>
      </c>
      <c r="AH228">
        <v>1</v>
      </c>
      <c r="AI228">
        <v>13</v>
      </c>
      <c r="AJ228">
        <v>2</v>
      </c>
      <c r="AK228">
        <v>3</v>
      </c>
      <c r="AL228">
        <v>9</v>
      </c>
      <c r="AM228">
        <v>8</v>
      </c>
      <c r="AN228">
        <v>5</v>
      </c>
      <c r="AO228">
        <v>8</v>
      </c>
      <c r="AP22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228" t="str">
        <f>IF(HRData[[#This Row],[Attrition]]="Yes","Left", IF(HRData[[#This Row],[Attrition_Risk_Score]]&gt;=6,"High",IF(HRData[[#This Row],[Attrition_Risk_Score]]&gt;=3,"Medium","Low")))</f>
        <v>Medium</v>
      </c>
      <c r="AR228" t="str">
        <f>IF(HRData[[#This Row],[Attrition_Risk_Level]]&lt;&gt;"High","",HRData[[#This Row],[Attrition_Risk_Score]]*10000-HRData[[#This Row],[EmployeeNumber]])</f>
        <v/>
      </c>
    </row>
    <row r="229" spans="1:44">
      <c r="A229">
        <v>29</v>
      </c>
      <c r="B229" t="str" cm="1">
        <f t="array" ref="B229">_xlfn.IFS(
HRData[[#This Row],[Age]]&lt;=24,"18-24",
HRData[[#This Row],[Age]]&lt;=34,"25-34",
HRData[[#This Row],[Age]]&lt;=44,"35-44",
HRData[[#This Row],[Age]]&lt;=54,"45-54",
HRData[[#This Row],[Age]]&gt;=55,"55+"
)</f>
        <v>25-34</v>
      </c>
      <c r="C229" t="s">
        <v>43</v>
      </c>
      <c r="D229">
        <f>IF(HRData[[#This Row],[Attrition]]="Yes",1,0)</f>
        <v>0</v>
      </c>
      <c r="E229" t="s">
        <v>44</v>
      </c>
      <c r="F229">
        <v>1413</v>
      </c>
      <c r="G229" t="s">
        <v>37</v>
      </c>
      <c r="H229">
        <v>1</v>
      </c>
      <c r="I229">
        <v>1</v>
      </c>
      <c r="J229" t="s">
        <v>51</v>
      </c>
      <c r="K229">
        <v>1</v>
      </c>
      <c r="L229">
        <v>312</v>
      </c>
      <c r="M229">
        <v>2</v>
      </c>
      <c r="N229" t="str" cm="1">
        <f t="array" ref="N229">_xlfn.IFS(HRData[[#This Row],[EnvironmentSatisfaction]]=1,"Very Dissatisfied",
HRData[[#This Row],[EnvironmentSatisfaction]]=2,"Dissatisfied",
HRData[[#This Row],[EnvironmentSatisfaction]]=3,"Satisfied",
HRData[[#This Row],[EnvironmentSatisfaction]]=4,"Very Satisfied"
)</f>
        <v>Dissatisfied</v>
      </c>
      <c r="O229" t="s">
        <v>39</v>
      </c>
      <c r="P229">
        <v>42</v>
      </c>
      <c r="Q229">
        <v>3</v>
      </c>
      <c r="R229">
        <v>3</v>
      </c>
      <c r="S229" t="s">
        <v>40</v>
      </c>
      <c r="T229">
        <v>4</v>
      </c>
      <c r="U229" t="str" cm="1">
        <f t="array" ref="U229">_xlfn.IFS(
HRData[[#This Row],[JobSatisfaction]]=1,"Very Dissatisfied",
HRData[[#This Row],[JobSatisfaction]]=2,"Dissatisfied",
HRData[[#This Row],[JobSatisfaction]]=3,"Satisfied",
HRData[[#This Row],[JobSatisfaction]]=4,"Very Satisfied"
)</f>
        <v>Very Satisfied</v>
      </c>
      <c r="V229" t="s">
        <v>48</v>
      </c>
      <c r="W229">
        <v>7918</v>
      </c>
      <c r="X229" t="str" cm="1">
        <f t="array" ref="X229">_xlfn.IFS(
HRData[[#This Row],[MonthlyIncome]]&lt;=4000,"Very Low Income",
HRData[[#This Row],[MonthlyIncome]]&lt;=8000,"Low Income",
HRData[[#This Row],[MonthlyIncome]]&lt;=12000,"Moderate Income",
HRData[[#This Row],[MonthlyIncome]]&lt;=16000,"High Income",
HRData[[#This Row],[MonthlyIncome]]&gt;16000,"Very High Income"
)</f>
        <v>Low Income</v>
      </c>
      <c r="Y229">
        <v>6599</v>
      </c>
      <c r="Z229">
        <v>1</v>
      </c>
      <c r="AA229" t="s">
        <v>42</v>
      </c>
      <c r="AB229" t="s">
        <v>43</v>
      </c>
      <c r="AC229">
        <v>14</v>
      </c>
      <c r="AD229" t="str" cm="1">
        <f t="array" ref="AD229">_xlfn.IFS(HRData[[#This Row],[PercentSalaryHike]]&lt;=15,"11-15",HRData[[#This Row],[PercentSalaryHike]]&lt;=20,"16-20",HRData[[#This Row],[PercentSalaryHike]]&gt;=21,"21+")</f>
        <v>11-15</v>
      </c>
      <c r="AE229">
        <v>3</v>
      </c>
      <c r="AF229">
        <v>4</v>
      </c>
      <c r="AG229">
        <v>80</v>
      </c>
      <c r="AH229">
        <v>1</v>
      </c>
      <c r="AI229">
        <v>11</v>
      </c>
      <c r="AJ229">
        <v>5</v>
      </c>
      <c r="AK229">
        <v>3</v>
      </c>
      <c r="AL229">
        <v>11</v>
      </c>
      <c r="AM229">
        <v>10</v>
      </c>
      <c r="AN229">
        <v>4</v>
      </c>
      <c r="AO229">
        <v>1</v>
      </c>
      <c r="AP22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29" t="str">
        <f>IF(HRData[[#This Row],[Attrition]]="Yes","Left", IF(HRData[[#This Row],[Attrition_Risk_Score]]&gt;=6,"High",IF(HRData[[#This Row],[Attrition_Risk_Score]]&gt;=3,"Medium","Low")))</f>
        <v>Low</v>
      </c>
      <c r="AR229" t="str">
        <f>IF(HRData[[#This Row],[Attrition_Risk_Level]]&lt;&gt;"High","",HRData[[#This Row],[Attrition_Risk_Score]]*10000-HRData[[#This Row],[EmployeeNumber]])</f>
        <v/>
      </c>
    </row>
    <row r="230" spans="1:44">
      <c r="A230">
        <v>35</v>
      </c>
      <c r="B230" t="str" cm="1">
        <f t="array" ref="B230">_xlfn.IFS(
HRData[[#This Row],[Age]]&lt;=24,"18-24",
HRData[[#This Row],[Age]]&lt;=34,"25-34",
HRData[[#This Row],[Age]]&lt;=44,"35-44",
HRData[[#This Row],[Age]]&lt;=54,"45-54",
HRData[[#This Row],[Age]]&gt;=55,"55+"
)</f>
        <v>35-44</v>
      </c>
      <c r="C230" t="s">
        <v>43</v>
      </c>
      <c r="D230">
        <f>IF(HRData[[#This Row],[Attrition]]="Yes",1,0)</f>
        <v>0</v>
      </c>
      <c r="E230" t="s">
        <v>44</v>
      </c>
      <c r="F230">
        <v>944</v>
      </c>
      <c r="G230" t="s">
        <v>37</v>
      </c>
      <c r="H230">
        <v>1</v>
      </c>
      <c r="I230">
        <v>3</v>
      </c>
      <c r="J230" t="s">
        <v>59</v>
      </c>
      <c r="K230">
        <v>1</v>
      </c>
      <c r="L230">
        <v>314</v>
      </c>
      <c r="M230">
        <v>3</v>
      </c>
      <c r="N230" t="str" cm="1">
        <f t="array" ref="N230">_xlfn.IFS(HRData[[#This Row],[EnvironmentSatisfaction]]=1,"Very Dissatisfied",
HRData[[#This Row],[EnvironmentSatisfaction]]=2,"Dissatisfied",
HRData[[#This Row],[EnvironmentSatisfaction]]=3,"Satisfied",
HRData[[#This Row],[EnvironmentSatisfaction]]=4,"Very Satisfied"
)</f>
        <v>Satisfied</v>
      </c>
      <c r="O230" t="s">
        <v>39</v>
      </c>
      <c r="P230">
        <v>92</v>
      </c>
      <c r="Q230">
        <v>3</v>
      </c>
      <c r="R230">
        <v>3</v>
      </c>
      <c r="S230" t="s">
        <v>40</v>
      </c>
      <c r="T230">
        <v>3</v>
      </c>
      <c r="U230" t="str" cm="1">
        <f t="array" ref="U230">_xlfn.IFS(
HRData[[#This Row],[JobSatisfaction]]=1,"Very Dissatisfied",
HRData[[#This Row],[JobSatisfaction]]=2,"Dissatisfied",
HRData[[#This Row],[JobSatisfaction]]=3,"Satisfied",
HRData[[#This Row],[JobSatisfaction]]=4,"Very Satisfied"
)</f>
        <v>Satisfied</v>
      </c>
      <c r="V230" t="s">
        <v>41</v>
      </c>
      <c r="W230">
        <v>8789</v>
      </c>
      <c r="X230" t="str" cm="1">
        <f t="array" ref="X230">_xlfn.IFS(
HRData[[#This Row],[MonthlyIncome]]&lt;=4000,"Very Low Income",
HRData[[#This Row],[MonthlyIncome]]&lt;=8000,"Low Income",
HRData[[#This Row],[MonthlyIncome]]&lt;=12000,"Moderate Income",
HRData[[#This Row],[MonthlyIncome]]&lt;=16000,"High Income",
HRData[[#This Row],[MonthlyIncome]]&gt;16000,"Very High Income"
)</f>
        <v>Moderate Income</v>
      </c>
      <c r="Y230">
        <v>9096</v>
      </c>
      <c r="Z230">
        <v>1</v>
      </c>
      <c r="AA230" t="s">
        <v>42</v>
      </c>
      <c r="AB230" t="s">
        <v>43</v>
      </c>
      <c r="AC230">
        <v>14</v>
      </c>
      <c r="AD230" t="str" cm="1">
        <f t="array" ref="AD230">_xlfn.IFS(HRData[[#This Row],[PercentSalaryHike]]&lt;=15,"11-15",HRData[[#This Row],[PercentSalaryHike]]&lt;=20,"16-20",HRData[[#This Row],[PercentSalaryHike]]&gt;=21,"21+")</f>
        <v>11-15</v>
      </c>
      <c r="AE230">
        <v>3</v>
      </c>
      <c r="AF230">
        <v>1</v>
      </c>
      <c r="AG230">
        <v>80</v>
      </c>
      <c r="AH230">
        <v>0</v>
      </c>
      <c r="AI230">
        <v>10</v>
      </c>
      <c r="AJ230">
        <v>3</v>
      </c>
      <c r="AK230">
        <v>4</v>
      </c>
      <c r="AL230">
        <v>10</v>
      </c>
      <c r="AM230">
        <v>7</v>
      </c>
      <c r="AN230">
        <v>0</v>
      </c>
      <c r="AO230">
        <v>8</v>
      </c>
      <c r="AP23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230" t="str">
        <f>IF(HRData[[#This Row],[Attrition]]="Yes","Left", IF(HRData[[#This Row],[Attrition_Risk_Score]]&gt;=6,"High",IF(HRData[[#This Row],[Attrition_Risk_Score]]&gt;=3,"Medium","Low")))</f>
        <v>Low</v>
      </c>
      <c r="AR230" t="str">
        <f>IF(HRData[[#This Row],[Attrition_Risk_Level]]&lt;&gt;"High","",HRData[[#This Row],[Attrition_Risk_Score]]*10000-HRData[[#This Row],[EmployeeNumber]])</f>
        <v/>
      </c>
    </row>
    <row r="231" spans="1:44">
      <c r="A231">
        <v>29</v>
      </c>
      <c r="B231" t="str" cm="1">
        <f t="array" ref="B231">_xlfn.IFS(
HRData[[#This Row],[Age]]&lt;=24,"18-24",
HRData[[#This Row],[Age]]&lt;=34,"25-34",
HRData[[#This Row],[Age]]&lt;=44,"35-44",
HRData[[#This Row],[Age]]&lt;=54,"45-54",
HRData[[#This Row],[Age]]&gt;=55,"55+"
)</f>
        <v>25-34</v>
      </c>
      <c r="C231" t="s">
        <v>35</v>
      </c>
      <c r="D231">
        <f>IF(HRData[[#This Row],[Attrition]]="Yes",1,0)</f>
        <v>1</v>
      </c>
      <c r="E231" t="s">
        <v>36</v>
      </c>
      <c r="F231">
        <v>896</v>
      </c>
      <c r="G231" t="s">
        <v>45</v>
      </c>
      <c r="H231">
        <v>18</v>
      </c>
      <c r="I231">
        <v>1</v>
      </c>
      <c r="J231" t="s">
        <v>51</v>
      </c>
      <c r="K231">
        <v>1</v>
      </c>
      <c r="L231">
        <v>315</v>
      </c>
      <c r="M231">
        <v>3</v>
      </c>
      <c r="N231" t="str" cm="1">
        <f t="array" ref="N231">_xlfn.IFS(HRData[[#This Row],[EnvironmentSatisfaction]]=1,"Very Dissatisfied",
HRData[[#This Row],[EnvironmentSatisfaction]]=2,"Dissatisfied",
HRData[[#This Row],[EnvironmentSatisfaction]]=3,"Satisfied",
HRData[[#This Row],[EnvironmentSatisfaction]]=4,"Very Satisfied"
)</f>
        <v>Satisfied</v>
      </c>
      <c r="O231" t="s">
        <v>46</v>
      </c>
      <c r="P231">
        <v>86</v>
      </c>
      <c r="Q231">
        <v>2</v>
      </c>
      <c r="R231">
        <v>1</v>
      </c>
      <c r="S231" t="s">
        <v>47</v>
      </c>
      <c r="T231">
        <v>4</v>
      </c>
      <c r="U231" t="str" cm="1">
        <f t="array" ref="U231">_xlfn.IFS(
HRData[[#This Row],[JobSatisfaction]]=1,"Very Dissatisfied",
HRData[[#This Row],[JobSatisfaction]]=2,"Dissatisfied",
HRData[[#This Row],[JobSatisfaction]]=3,"Satisfied",
HRData[[#This Row],[JobSatisfaction]]=4,"Very Satisfied"
)</f>
        <v>Very Satisfied</v>
      </c>
      <c r="V231" t="s">
        <v>41</v>
      </c>
      <c r="W231">
        <v>2389</v>
      </c>
      <c r="X231" t="str" cm="1">
        <f t="array" ref="X231">_xlfn.IFS(
HRData[[#This Row],[MonthlyIncome]]&lt;=4000,"Very Low Income",
HRData[[#This Row],[MonthlyIncome]]&lt;=8000,"Low Income",
HRData[[#This Row],[MonthlyIncome]]&lt;=12000,"Moderate Income",
HRData[[#This Row],[MonthlyIncome]]&lt;=16000,"High Income",
HRData[[#This Row],[MonthlyIncome]]&gt;16000,"Very High Income"
)</f>
        <v>Very Low Income</v>
      </c>
      <c r="Y231">
        <v>14961</v>
      </c>
      <c r="Z231">
        <v>1</v>
      </c>
      <c r="AA231" t="s">
        <v>42</v>
      </c>
      <c r="AB231" t="s">
        <v>35</v>
      </c>
      <c r="AC231">
        <v>13</v>
      </c>
      <c r="AD231" t="str" cm="1">
        <f t="array" ref="AD231">_xlfn.IFS(HRData[[#This Row],[PercentSalaryHike]]&lt;=15,"11-15",HRData[[#This Row],[PercentSalaryHike]]&lt;=20,"16-20",HRData[[#This Row],[PercentSalaryHike]]&gt;=21,"21+")</f>
        <v>11-15</v>
      </c>
      <c r="AE231">
        <v>3</v>
      </c>
      <c r="AF231">
        <v>3</v>
      </c>
      <c r="AG231">
        <v>80</v>
      </c>
      <c r="AH231">
        <v>0</v>
      </c>
      <c r="AI231">
        <v>4</v>
      </c>
      <c r="AJ231">
        <v>3</v>
      </c>
      <c r="AK231">
        <v>2</v>
      </c>
      <c r="AL231">
        <v>4</v>
      </c>
      <c r="AM231">
        <v>3</v>
      </c>
      <c r="AN231">
        <v>0</v>
      </c>
      <c r="AO231">
        <v>1</v>
      </c>
      <c r="AP23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31" t="str">
        <f>IF(HRData[[#This Row],[Attrition]]="Yes","Left", IF(HRData[[#This Row],[Attrition_Risk_Score]]&gt;=6,"High",IF(HRData[[#This Row],[Attrition_Risk_Score]]&gt;=3,"Medium","Low")))</f>
        <v>Left</v>
      </c>
      <c r="AR231" t="str">
        <f>IF(HRData[[#This Row],[Attrition_Risk_Level]]&lt;&gt;"High","",HRData[[#This Row],[Attrition_Risk_Score]]*10000-HRData[[#This Row],[EmployeeNumber]])</f>
        <v/>
      </c>
    </row>
    <row r="232" spans="1:44">
      <c r="A232">
        <v>52</v>
      </c>
      <c r="B232" t="str" cm="1">
        <f t="array" ref="B232">_xlfn.IFS(
HRData[[#This Row],[Age]]&lt;=24,"18-24",
HRData[[#This Row],[Age]]&lt;=34,"25-34",
HRData[[#This Row],[Age]]&lt;=44,"35-44",
HRData[[#This Row],[Age]]&lt;=54,"45-54",
HRData[[#This Row],[Age]]&gt;=55,"55+"
)</f>
        <v>45-54</v>
      </c>
      <c r="C232" t="s">
        <v>43</v>
      </c>
      <c r="D232">
        <f>IF(HRData[[#This Row],[Attrition]]="Yes",1,0)</f>
        <v>0</v>
      </c>
      <c r="E232" t="s">
        <v>36</v>
      </c>
      <c r="F232">
        <v>1323</v>
      </c>
      <c r="G232" t="s">
        <v>45</v>
      </c>
      <c r="H232">
        <v>2</v>
      </c>
      <c r="I232">
        <v>3</v>
      </c>
      <c r="J232" t="s">
        <v>38</v>
      </c>
      <c r="K232">
        <v>1</v>
      </c>
      <c r="L232">
        <v>316</v>
      </c>
      <c r="M232">
        <v>3</v>
      </c>
      <c r="N232" t="str" cm="1">
        <f t="array" ref="N232">_xlfn.IFS(HRData[[#This Row],[EnvironmentSatisfaction]]=1,"Very Dissatisfied",
HRData[[#This Row],[EnvironmentSatisfaction]]=2,"Dissatisfied",
HRData[[#This Row],[EnvironmentSatisfaction]]=3,"Satisfied",
HRData[[#This Row],[EnvironmentSatisfaction]]=4,"Very Satisfied"
)</f>
        <v>Satisfied</v>
      </c>
      <c r="O232" t="s">
        <v>39</v>
      </c>
      <c r="P232">
        <v>89</v>
      </c>
      <c r="Q232">
        <v>2</v>
      </c>
      <c r="R232">
        <v>1</v>
      </c>
      <c r="S232" t="s">
        <v>50</v>
      </c>
      <c r="T232">
        <v>4</v>
      </c>
      <c r="U232" t="str" cm="1">
        <f t="array" ref="U232">_xlfn.IFS(
HRData[[#This Row],[JobSatisfaction]]=1,"Very Dissatisfied",
HRData[[#This Row],[JobSatisfaction]]=2,"Dissatisfied",
HRData[[#This Row],[JobSatisfaction]]=3,"Satisfied",
HRData[[#This Row],[JobSatisfaction]]=4,"Very Satisfied"
)</f>
        <v>Very Satisfied</v>
      </c>
      <c r="V232" t="s">
        <v>41</v>
      </c>
      <c r="W232">
        <v>3212</v>
      </c>
      <c r="X232" t="str" cm="1">
        <f t="array" ref="X232">_xlfn.IFS(
HRData[[#This Row],[MonthlyIncome]]&lt;=4000,"Very Low Income",
HRData[[#This Row],[MonthlyIncome]]&lt;=8000,"Low Income",
HRData[[#This Row],[MonthlyIncome]]&lt;=12000,"Moderate Income",
HRData[[#This Row],[MonthlyIncome]]&lt;=16000,"High Income",
HRData[[#This Row],[MonthlyIncome]]&gt;16000,"Very High Income"
)</f>
        <v>Very Low Income</v>
      </c>
      <c r="Y232">
        <v>3300</v>
      </c>
      <c r="Z232">
        <v>7</v>
      </c>
      <c r="AA232" t="s">
        <v>42</v>
      </c>
      <c r="AB232" t="s">
        <v>43</v>
      </c>
      <c r="AC232">
        <v>15</v>
      </c>
      <c r="AD232" t="str" cm="1">
        <f t="array" ref="AD232">_xlfn.IFS(HRData[[#This Row],[PercentSalaryHike]]&lt;=15,"11-15",HRData[[#This Row],[PercentSalaryHike]]&lt;=20,"16-20",HRData[[#This Row],[PercentSalaryHike]]&gt;=21,"21+")</f>
        <v>11-15</v>
      </c>
      <c r="AE232">
        <v>3</v>
      </c>
      <c r="AF232">
        <v>2</v>
      </c>
      <c r="AG232">
        <v>80</v>
      </c>
      <c r="AH232">
        <v>0</v>
      </c>
      <c r="AI232">
        <v>6</v>
      </c>
      <c r="AJ232">
        <v>3</v>
      </c>
      <c r="AK232">
        <v>2</v>
      </c>
      <c r="AL232">
        <v>2</v>
      </c>
      <c r="AM232">
        <v>2</v>
      </c>
      <c r="AN232">
        <v>2</v>
      </c>
      <c r="AO232">
        <v>2</v>
      </c>
      <c r="AP23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232" t="str">
        <f>IF(HRData[[#This Row],[Attrition]]="Yes","Left", IF(HRData[[#This Row],[Attrition_Risk_Score]]&gt;=6,"High",IF(HRData[[#This Row],[Attrition_Risk_Score]]&gt;=3,"Medium","Low")))</f>
        <v>Medium</v>
      </c>
      <c r="AR232" t="str">
        <f>IF(HRData[[#This Row],[Attrition_Risk_Level]]&lt;&gt;"High","",HRData[[#This Row],[Attrition_Risk_Score]]*10000-HRData[[#This Row],[EmployeeNumber]])</f>
        <v/>
      </c>
    </row>
    <row r="233" spans="1:44">
      <c r="A233">
        <v>42</v>
      </c>
      <c r="B233" t="str" cm="1">
        <f t="array" ref="B233">_xlfn.IFS(
HRData[[#This Row],[Age]]&lt;=24,"18-24",
HRData[[#This Row],[Age]]&lt;=34,"25-34",
HRData[[#This Row],[Age]]&lt;=44,"35-44",
HRData[[#This Row],[Age]]&lt;=54,"45-54",
HRData[[#This Row],[Age]]&gt;=55,"55+"
)</f>
        <v>35-44</v>
      </c>
      <c r="C233" t="s">
        <v>43</v>
      </c>
      <c r="D233">
        <f>IF(HRData[[#This Row],[Attrition]]="Yes",1,0)</f>
        <v>0</v>
      </c>
      <c r="E233" t="s">
        <v>36</v>
      </c>
      <c r="F233">
        <v>532</v>
      </c>
      <c r="G233" t="s">
        <v>45</v>
      </c>
      <c r="H233">
        <v>4</v>
      </c>
      <c r="I233">
        <v>2</v>
      </c>
      <c r="J233" t="s">
        <v>60</v>
      </c>
      <c r="K233">
        <v>1</v>
      </c>
      <c r="L233">
        <v>319</v>
      </c>
      <c r="M233">
        <v>3</v>
      </c>
      <c r="N233" t="str" cm="1">
        <f t="array" ref="N233">_xlfn.IFS(HRData[[#This Row],[EnvironmentSatisfaction]]=1,"Very Dissatisfied",
HRData[[#This Row],[EnvironmentSatisfaction]]=2,"Dissatisfied",
HRData[[#This Row],[EnvironmentSatisfaction]]=3,"Satisfied",
HRData[[#This Row],[EnvironmentSatisfaction]]=4,"Very Satisfied"
)</f>
        <v>Satisfied</v>
      </c>
      <c r="O233" t="s">
        <v>46</v>
      </c>
      <c r="P233">
        <v>58</v>
      </c>
      <c r="Q233">
        <v>3</v>
      </c>
      <c r="R233">
        <v>5</v>
      </c>
      <c r="S233" t="s">
        <v>56</v>
      </c>
      <c r="T233">
        <v>4</v>
      </c>
      <c r="U233" t="str" cm="1">
        <f t="array" ref="U233">_xlfn.IFS(
HRData[[#This Row],[JobSatisfaction]]=1,"Very Dissatisfied",
HRData[[#This Row],[JobSatisfaction]]=2,"Dissatisfied",
HRData[[#This Row],[JobSatisfaction]]=3,"Satisfied",
HRData[[#This Row],[JobSatisfaction]]=4,"Very Satisfied"
)</f>
        <v>Very Satisfied</v>
      </c>
      <c r="V233" t="s">
        <v>48</v>
      </c>
      <c r="W233">
        <v>19232</v>
      </c>
      <c r="X233" t="str" cm="1">
        <f t="array" ref="X233">_xlfn.IFS(
HRData[[#This Row],[MonthlyIncome]]&lt;=4000,"Very Low Income",
HRData[[#This Row],[MonthlyIncome]]&lt;=8000,"Low Income",
HRData[[#This Row],[MonthlyIncome]]&lt;=12000,"Moderate Income",
HRData[[#This Row],[MonthlyIncome]]&lt;=16000,"High Income",
HRData[[#This Row],[MonthlyIncome]]&gt;16000,"Very High Income"
)</f>
        <v>Very High Income</v>
      </c>
      <c r="Y233">
        <v>4933</v>
      </c>
      <c r="Z233">
        <v>1</v>
      </c>
      <c r="AA233" t="s">
        <v>42</v>
      </c>
      <c r="AB233" t="s">
        <v>43</v>
      </c>
      <c r="AC233">
        <v>11</v>
      </c>
      <c r="AD233" t="str" cm="1">
        <f t="array" ref="AD233">_xlfn.IFS(HRData[[#This Row],[PercentSalaryHike]]&lt;=15,"11-15",HRData[[#This Row],[PercentSalaryHike]]&lt;=20,"16-20",HRData[[#This Row],[PercentSalaryHike]]&gt;=21,"21+")</f>
        <v>11-15</v>
      </c>
      <c r="AE233">
        <v>3</v>
      </c>
      <c r="AF233">
        <v>4</v>
      </c>
      <c r="AG233">
        <v>80</v>
      </c>
      <c r="AH233">
        <v>0</v>
      </c>
      <c r="AI233">
        <v>22</v>
      </c>
      <c r="AJ233">
        <v>3</v>
      </c>
      <c r="AK233">
        <v>3</v>
      </c>
      <c r="AL233">
        <v>22</v>
      </c>
      <c r="AM233">
        <v>17</v>
      </c>
      <c r="AN233">
        <v>11</v>
      </c>
      <c r="AO233">
        <v>15</v>
      </c>
      <c r="AP23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233" t="str">
        <f>IF(HRData[[#This Row],[Attrition]]="Yes","Left", IF(HRData[[#This Row],[Attrition_Risk_Score]]&gt;=6,"High",IF(HRData[[#This Row],[Attrition_Risk_Score]]&gt;=3,"Medium","Low")))</f>
        <v>Low</v>
      </c>
      <c r="AR233" t="str">
        <f>IF(HRData[[#This Row],[Attrition_Risk_Level]]&lt;&gt;"High","",HRData[[#This Row],[Attrition_Risk_Score]]*10000-HRData[[#This Row],[EmployeeNumber]])</f>
        <v/>
      </c>
    </row>
    <row r="234" spans="1:44">
      <c r="A234">
        <v>59</v>
      </c>
      <c r="B234" t="str" cm="1">
        <f t="array" ref="B234">_xlfn.IFS(
HRData[[#This Row],[Age]]&lt;=24,"18-24",
HRData[[#This Row],[Age]]&lt;=34,"25-34",
HRData[[#This Row],[Age]]&lt;=44,"35-44",
HRData[[#This Row],[Age]]&lt;=54,"45-54",
HRData[[#This Row],[Age]]&gt;=55,"55+"
)</f>
        <v>55+</v>
      </c>
      <c r="C234" t="s">
        <v>43</v>
      </c>
      <c r="D234">
        <f>IF(HRData[[#This Row],[Attrition]]="Yes",1,0)</f>
        <v>0</v>
      </c>
      <c r="E234" t="s">
        <v>36</v>
      </c>
      <c r="F234">
        <v>818</v>
      </c>
      <c r="G234" t="s">
        <v>61</v>
      </c>
      <c r="H234">
        <v>6</v>
      </c>
      <c r="I234">
        <v>2</v>
      </c>
      <c r="J234" t="s">
        <v>51</v>
      </c>
      <c r="K234">
        <v>1</v>
      </c>
      <c r="L234">
        <v>321</v>
      </c>
      <c r="M234">
        <v>2</v>
      </c>
      <c r="N234" t="str" cm="1">
        <f t="array" ref="N234">_xlfn.IFS(HRData[[#This Row],[EnvironmentSatisfaction]]=1,"Very Dissatisfied",
HRData[[#This Row],[EnvironmentSatisfaction]]=2,"Dissatisfied",
HRData[[#This Row],[EnvironmentSatisfaction]]=3,"Satisfied",
HRData[[#This Row],[EnvironmentSatisfaction]]=4,"Very Satisfied"
)</f>
        <v>Dissatisfied</v>
      </c>
      <c r="O234" t="s">
        <v>46</v>
      </c>
      <c r="P234">
        <v>52</v>
      </c>
      <c r="Q234">
        <v>3</v>
      </c>
      <c r="R234">
        <v>1</v>
      </c>
      <c r="S234" t="s">
        <v>61</v>
      </c>
      <c r="T234">
        <v>3</v>
      </c>
      <c r="U234" t="str" cm="1">
        <f t="array" ref="U234">_xlfn.IFS(
HRData[[#This Row],[JobSatisfaction]]=1,"Very Dissatisfied",
HRData[[#This Row],[JobSatisfaction]]=2,"Dissatisfied",
HRData[[#This Row],[JobSatisfaction]]=3,"Satisfied",
HRData[[#This Row],[JobSatisfaction]]=4,"Very Satisfied"
)</f>
        <v>Satisfied</v>
      </c>
      <c r="V234" t="s">
        <v>48</v>
      </c>
      <c r="W234">
        <v>2267</v>
      </c>
      <c r="X234" t="str" cm="1">
        <f t="array" ref="X234">_xlfn.IFS(
HRData[[#This Row],[MonthlyIncome]]&lt;=4000,"Very Low Income",
HRData[[#This Row],[MonthlyIncome]]&lt;=8000,"Low Income",
HRData[[#This Row],[MonthlyIncome]]&lt;=12000,"Moderate Income",
HRData[[#This Row],[MonthlyIncome]]&lt;=16000,"High Income",
HRData[[#This Row],[MonthlyIncome]]&gt;16000,"Very High Income"
)</f>
        <v>Very Low Income</v>
      </c>
      <c r="Y234">
        <v>25657</v>
      </c>
      <c r="Z234">
        <v>8</v>
      </c>
      <c r="AA234" t="s">
        <v>42</v>
      </c>
      <c r="AB234" t="s">
        <v>43</v>
      </c>
      <c r="AC234">
        <v>17</v>
      </c>
      <c r="AD234" t="str" cm="1">
        <f t="array" ref="AD234">_xlfn.IFS(HRData[[#This Row],[PercentSalaryHike]]&lt;=15,"11-15",HRData[[#This Row],[PercentSalaryHike]]&lt;=20,"16-20",HRData[[#This Row],[PercentSalaryHike]]&gt;=21,"21+")</f>
        <v>16-20</v>
      </c>
      <c r="AE234">
        <v>3</v>
      </c>
      <c r="AF234">
        <v>4</v>
      </c>
      <c r="AG234">
        <v>80</v>
      </c>
      <c r="AH234">
        <v>0</v>
      </c>
      <c r="AI234">
        <v>7</v>
      </c>
      <c r="AJ234">
        <v>2</v>
      </c>
      <c r="AK234">
        <v>2</v>
      </c>
      <c r="AL234">
        <v>2</v>
      </c>
      <c r="AM234">
        <v>2</v>
      </c>
      <c r="AN234">
        <v>2</v>
      </c>
      <c r="AO234">
        <v>2</v>
      </c>
      <c r="AP23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234" t="str">
        <f>IF(HRData[[#This Row],[Attrition]]="Yes","Left", IF(HRData[[#This Row],[Attrition_Risk_Score]]&gt;=6,"High",IF(HRData[[#This Row],[Attrition_Risk_Score]]&gt;=3,"Medium","Low")))</f>
        <v>Medium</v>
      </c>
      <c r="AR234" t="str">
        <f>IF(HRData[[#This Row],[Attrition_Risk_Level]]&lt;&gt;"High","",HRData[[#This Row],[Attrition_Risk_Score]]*10000-HRData[[#This Row],[EmployeeNumber]])</f>
        <v/>
      </c>
    </row>
    <row r="235" spans="1:44">
      <c r="A235">
        <v>50</v>
      </c>
      <c r="B235" t="str" cm="1">
        <f t="array" ref="B235">_xlfn.IFS(
HRData[[#This Row],[Age]]&lt;=24,"18-24",
HRData[[#This Row],[Age]]&lt;=34,"25-34",
HRData[[#This Row],[Age]]&lt;=44,"35-44",
HRData[[#This Row],[Age]]&lt;=54,"45-54",
HRData[[#This Row],[Age]]&gt;=55,"55+"
)</f>
        <v>45-54</v>
      </c>
      <c r="C235" t="s">
        <v>43</v>
      </c>
      <c r="D235">
        <f>IF(HRData[[#This Row],[Attrition]]="Yes",1,0)</f>
        <v>0</v>
      </c>
      <c r="E235" t="s">
        <v>36</v>
      </c>
      <c r="F235">
        <v>854</v>
      </c>
      <c r="G235" t="s">
        <v>37</v>
      </c>
      <c r="H235">
        <v>1</v>
      </c>
      <c r="I235">
        <v>4</v>
      </c>
      <c r="J235" t="s">
        <v>51</v>
      </c>
      <c r="K235">
        <v>1</v>
      </c>
      <c r="L235">
        <v>323</v>
      </c>
      <c r="M235">
        <v>4</v>
      </c>
      <c r="N235" t="str" cm="1">
        <f t="array" ref="N235">_xlfn.IFS(HRData[[#This Row],[EnvironmentSatisfaction]]=1,"Very Dissatisfied",
HRData[[#This Row],[EnvironmentSatisfaction]]=2,"Dissatisfied",
HRData[[#This Row],[EnvironmentSatisfaction]]=3,"Satisfied",
HRData[[#This Row],[EnvironmentSatisfaction]]=4,"Very Satisfied"
)</f>
        <v>Very Satisfied</v>
      </c>
      <c r="O235" t="s">
        <v>39</v>
      </c>
      <c r="P235">
        <v>68</v>
      </c>
      <c r="Q235">
        <v>3</v>
      </c>
      <c r="R235">
        <v>5</v>
      </c>
      <c r="S235" t="s">
        <v>56</v>
      </c>
      <c r="T235">
        <v>4</v>
      </c>
      <c r="U235" t="str" cm="1">
        <f t="array" ref="U235">_xlfn.IFS(
HRData[[#This Row],[JobSatisfaction]]=1,"Very Dissatisfied",
HRData[[#This Row],[JobSatisfaction]]=2,"Dissatisfied",
HRData[[#This Row],[JobSatisfaction]]=3,"Satisfied",
HRData[[#This Row],[JobSatisfaction]]=4,"Very Satisfied"
)</f>
        <v>Very Satisfied</v>
      </c>
      <c r="V235" t="s">
        <v>52</v>
      </c>
      <c r="W235">
        <v>19517</v>
      </c>
      <c r="X235" t="str" cm="1">
        <f t="array" ref="X235">_xlfn.IFS(
HRData[[#This Row],[MonthlyIncome]]&lt;=4000,"Very Low Income",
HRData[[#This Row],[MonthlyIncome]]&lt;=8000,"Low Income",
HRData[[#This Row],[MonthlyIncome]]&lt;=12000,"Moderate Income",
HRData[[#This Row],[MonthlyIncome]]&lt;=16000,"High Income",
HRData[[#This Row],[MonthlyIncome]]&gt;16000,"Very High Income"
)</f>
        <v>Very High Income</v>
      </c>
      <c r="Y235">
        <v>24118</v>
      </c>
      <c r="Z235">
        <v>3</v>
      </c>
      <c r="AA235" t="s">
        <v>42</v>
      </c>
      <c r="AB235" t="s">
        <v>43</v>
      </c>
      <c r="AC235">
        <v>11</v>
      </c>
      <c r="AD235" t="str" cm="1">
        <f t="array" ref="AD235">_xlfn.IFS(HRData[[#This Row],[PercentSalaryHike]]&lt;=15,"11-15",HRData[[#This Row],[PercentSalaryHike]]&lt;=20,"16-20",HRData[[#This Row],[PercentSalaryHike]]&gt;=21,"21+")</f>
        <v>11-15</v>
      </c>
      <c r="AE235">
        <v>3</v>
      </c>
      <c r="AF235">
        <v>3</v>
      </c>
      <c r="AG235">
        <v>80</v>
      </c>
      <c r="AH235">
        <v>1</v>
      </c>
      <c r="AI235">
        <v>32</v>
      </c>
      <c r="AJ235">
        <v>3</v>
      </c>
      <c r="AK235">
        <v>2</v>
      </c>
      <c r="AL235">
        <v>7</v>
      </c>
      <c r="AM235">
        <v>0</v>
      </c>
      <c r="AN235">
        <v>0</v>
      </c>
      <c r="AO235">
        <v>6</v>
      </c>
      <c r="AP23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235" t="str">
        <f>IF(HRData[[#This Row],[Attrition]]="Yes","Left", IF(HRData[[#This Row],[Attrition_Risk_Score]]&gt;=6,"High",IF(HRData[[#This Row],[Attrition_Risk_Score]]&gt;=3,"Medium","Low")))</f>
        <v>Low</v>
      </c>
      <c r="AR235" t="str">
        <f>IF(HRData[[#This Row],[Attrition_Risk_Level]]&lt;&gt;"High","",HRData[[#This Row],[Attrition_Risk_Score]]*10000-HRData[[#This Row],[EmployeeNumber]])</f>
        <v/>
      </c>
    </row>
    <row r="236" spans="1:44">
      <c r="A236">
        <v>33</v>
      </c>
      <c r="B236" t="str" cm="1">
        <f t="array" ref="B236">_xlfn.IFS(
HRData[[#This Row],[Age]]&lt;=24,"18-24",
HRData[[#This Row],[Age]]&lt;=34,"25-34",
HRData[[#This Row],[Age]]&lt;=44,"35-44",
HRData[[#This Row],[Age]]&lt;=54,"45-54",
HRData[[#This Row],[Age]]&gt;=55,"55+"
)</f>
        <v>25-34</v>
      </c>
      <c r="C236" t="s">
        <v>35</v>
      </c>
      <c r="D236">
        <f>IF(HRData[[#This Row],[Attrition]]="Yes",1,0)</f>
        <v>1</v>
      </c>
      <c r="E236" t="s">
        <v>36</v>
      </c>
      <c r="F236">
        <v>813</v>
      </c>
      <c r="G236" t="s">
        <v>45</v>
      </c>
      <c r="H236">
        <v>14</v>
      </c>
      <c r="I236">
        <v>3</v>
      </c>
      <c r="J236" t="s">
        <v>51</v>
      </c>
      <c r="K236">
        <v>1</v>
      </c>
      <c r="L236">
        <v>325</v>
      </c>
      <c r="M236">
        <v>3</v>
      </c>
      <c r="N236" t="str" cm="1">
        <f t="array" ref="N236">_xlfn.IFS(HRData[[#This Row],[EnvironmentSatisfaction]]=1,"Very Dissatisfied",
HRData[[#This Row],[EnvironmentSatisfaction]]=2,"Dissatisfied",
HRData[[#This Row],[EnvironmentSatisfaction]]=3,"Satisfied",
HRData[[#This Row],[EnvironmentSatisfaction]]=4,"Very Satisfied"
)</f>
        <v>Satisfied</v>
      </c>
      <c r="O236" t="s">
        <v>46</v>
      </c>
      <c r="P236">
        <v>58</v>
      </c>
      <c r="Q236">
        <v>3</v>
      </c>
      <c r="R236">
        <v>1</v>
      </c>
      <c r="S236" t="s">
        <v>50</v>
      </c>
      <c r="T236">
        <v>4</v>
      </c>
      <c r="U236" t="str" cm="1">
        <f t="array" ref="U236">_xlfn.IFS(
HRData[[#This Row],[JobSatisfaction]]=1,"Very Dissatisfied",
HRData[[#This Row],[JobSatisfaction]]=2,"Dissatisfied",
HRData[[#This Row],[JobSatisfaction]]=3,"Satisfied",
HRData[[#This Row],[JobSatisfaction]]=4,"Very Satisfied"
)</f>
        <v>Very Satisfied</v>
      </c>
      <c r="V236" t="s">
        <v>48</v>
      </c>
      <c r="W236">
        <v>2436</v>
      </c>
      <c r="X236" t="str" cm="1">
        <f t="array" ref="X236">_xlfn.IFS(
HRData[[#This Row],[MonthlyIncome]]&lt;=4000,"Very Low Income",
HRData[[#This Row],[MonthlyIncome]]&lt;=8000,"Low Income",
HRData[[#This Row],[MonthlyIncome]]&lt;=12000,"Moderate Income",
HRData[[#This Row],[MonthlyIncome]]&lt;=16000,"High Income",
HRData[[#This Row],[MonthlyIncome]]&gt;16000,"Very High Income"
)</f>
        <v>Very Low Income</v>
      </c>
      <c r="Y236">
        <v>22149</v>
      </c>
      <c r="Z236">
        <v>5</v>
      </c>
      <c r="AA236" t="s">
        <v>42</v>
      </c>
      <c r="AB236" t="s">
        <v>35</v>
      </c>
      <c r="AC236">
        <v>13</v>
      </c>
      <c r="AD236" t="str" cm="1">
        <f t="array" ref="AD236">_xlfn.IFS(HRData[[#This Row],[PercentSalaryHike]]&lt;=15,"11-15",HRData[[#This Row],[PercentSalaryHike]]&lt;=20,"16-20",HRData[[#This Row],[PercentSalaryHike]]&gt;=21,"21+")</f>
        <v>11-15</v>
      </c>
      <c r="AE236">
        <v>3</v>
      </c>
      <c r="AF236">
        <v>3</v>
      </c>
      <c r="AG236">
        <v>80</v>
      </c>
      <c r="AH236">
        <v>1</v>
      </c>
      <c r="AI236">
        <v>8</v>
      </c>
      <c r="AJ236">
        <v>2</v>
      </c>
      <c r="AK236">
        <v>1</v>
      </c>
      <c r="AL236">
        <v>5</v>
      </c>
      <c r="AM236">
        <v>4</v>
      </c>
      <c r="AN236">
        <v>0</v>
      </c>
      <c r="AO236">
        <v>4</v>
      </c>
      <c r="AP23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36" t="str">
        <f>IF(HRData[[#This Row],[Attrition]]="Yes","Left", IF(HRData[[#This Row],[Attrition_Risk_Score]]&gt;=6,"High",IF(HRData[[#This Row],[Attrition_Risk_Score]]&gt;=3,"Medium","Low")))</f>
        <v>Left</v>
      </c>
      <c r="AR236" t="str">
        <f>IF(HRData[[#This Row],[Attrition_Risk_Level]]&lt;&gt;"High","",HRData[[#This Row],[Attrition_Risk_Score]]*10000-HRData[[#This Row],[EmployeeNumber]])</f>
        <v/>
      </c>
    </row>
    <row r="237" spans="1:44">
      <c r="A237">
        <v>43</v>
      </c>
      <c r="B237" t="str" cm="1">
        <f t="array" ref="B237">_xlfn.IFS(
HRData[[#This Row],[Age]]&lt;=24,"18-24",
HRData[[#This Row],[Age]]&lt;=34,"25-34",
HRData[[#This Row],[Age]]&lt;=44,"35-44",
HRData[[#This Row],[Age]]&lt;=54,"45-54",
HRData[[#This Row],[Age]]&gt;=55,"55+"
)</f>
        <v>35-44</v>
      </c>
      <c r="C237" t="s">
        <v>43</v>
      </c>
      <c r="D237">
        <f>IF(HRData[[#This Row],[Attrition]]="Yes",1,0)</f>
        <v>0</v>
      </c>
      <c r="E237" t="s">
        <v>36</v>
      </c>
      <c r="F237">
        <v>1034</v>
      </c>
      <c r="G237" t="s">
        <v>37</v>
      </c>
      <c r="H237">
        <v>16</v>
      </c>
      <c r="I237">
        <v>3</v>
      </c>
      <c r="J237" t="s">
        <v>59</v>
      </c>
      <c r="K237">
        <v>1</v>
      </c>
      <c r="L237">
        <v>327</v>
      </c>
      <c r="M237">
        <v>4</v>
      </c>
      <c r="N237" t="str" cm="1">
        <f t="array" ref="N237">_xlfn.IFS(HRData[[#This Row],[EnvironmentSatisfaction]]=1,"Very Dissatisfied",
HRData[[#This Row],[EnvironmentSatisfaction]]=2,"Dissatisfied",
HRData[[#This Row],[EnvironmentSatisfaction]]=3,"Satisfied",
HRData[[#This Row],[EnvironmentSatisfaction]]=4,"Very Satisfied"
)</f>
        <v>Very Satisfied</v>
      </c>
      <c r="O237" t="s">
        <v>39</v>
      </c>
      <c r="P237">
        <v>80</v>
      </c>
      <c r="Q237">
        <v>3</v>
      </c>
      <c r="R237">
        <v>4</v>
      </c>
      <c r="S237" t="s">
        <v>56</v>
      </c>
      <c r="T237">
        <v>4</v>
      </c>
      <c r="U237" t="str" cm="1">
        <f t="array" ref="U237">_xlfn.IFS(
HRData[[#This Row],[JobSatisfaction]]=1,"Very Dissatisfied",
HRData[[#This Row],[JobSatisfaction]]=2,"Dissatisfied",
HRData[[#This Row],[JobSatisfaction]]=3,"Satisfied",
HRData[[#This Row],[JobSatisfaction]]=4,"Very Satisfied"
)</f>
        <v>Very Satisfied</v>
      </c>
      <c r="V237" t="s">
        <v>48</v>
      </c>
      <c r="W237">
        <v>16064</v>
      </c>
      <c r="X237" t="str" cm="1">
        <f t="array" ref="X237">_xlfn.IFS(
HRData[[#This Row],[MonthlyIncome]]&lt;=4000,"Very Low Income",
HRData[[#This Row],[MonthlyIncome]]&lt;=8000,"Low Income",
HRData[[#This Row],[MonthlyIncome]]&lt;=12000,"Moderate Income",
HRData[[#This Row],[MonthlyIncome]]&lt;=16000,"High Income",
HRData[[#This Row],[MonthlyIncome]]&gt;16000,"Very High Income"
)</f>
        <v>Very High Income</v>
      </c>
      <c r="Y237">
        <v>7744</v>
      </c>
      <c r="Z237">
        <v>5</v>
      </c>
      <c r="AA237" t="s">
        <v>42</v>
      </c>
      <c r="AB237" t="s">
        <v>35</v>
      </c>
      <c r="AC237">
        <v>22</v>
      </c>
      <c r="AD237" t="str" cm="1">
        <f t="array" ref="AD237">_xlfn.IFS(HRData[[#This Row],[PercentSalaryHike]]&lt;=15,"11-15",HRData[[#This Row],[PercentSalaryHike]]&lt;=20,"16-20",HRData[[#This Row],[PercentSalaryHike]]&gt;=21,"21+")</f>
        <v>21+</v>
      </c>
      <c r="AE237">
        <v>4</v>
      </c>
      <c r="AF237">
        <v>3</v>
      </c>
      <c r="AG237">
        <v>80</v>
      </c>
      <c r="AH237">
        <v>1</v>
      </c>
      <c r="AI237">
        <v>22</v>
      </c>
      <c r="AJ237">
        <v>3</v>
      </c>
      <c r="AK237">
        <v>3</v>
      </c>
      <c r="AL237">
        <v>17</v>
      </c>
      <c r="AM237">
        <v>13</v>
      </c>
      <c r="AN237">
        <v>1</v>
      </c>
      <c r="AO237">
        <v>9</v>
      </c>
      <c r="AP23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37" t="str">
        <f>IF(HRData[[#This Row],[Attrition]]="Yes","Left", IF(HRData[[#This Row],[Attrition_Risk_Score]]&gt;=6,"High",IF(HRData[[#This Row],[Attrition_Risk_Score]]&gt;=3,"Medium","Low")))</f>
        <v>Low</v>
      </c>
      <c r="AR237" t="str">
        <f>IF(HRData[[#This Row],[Attrition_Risk_Level]]&lt;&gt;"High","",HRData[[#This Row],[Attrition_Risk_Score]]*10000-HRData[[#This Row],[EmployeeNumber]])</f>
        <v/>
      </c>
    </row>
    <row r="238" spans="1:44">
      <c r="A238">
        <v>33</v>
      </c>
      <c r="B238" t="str" cm="1">
        <f t="array" ref="B238">_xlfn.IFS(
HRData[[#This Row],[Age]]&lt;=24,"18-24",
HRData[[#This Row],[Age]]&lt;=34,"25-34",
HRData[[#This Row],[Age]]&lt;=44,"35-44",
HRData[[#This Row],[Age]]&lt;=54,"45-54",
HRData[[#This Row],[Age]]&gt;=55,"55+"
)</f>
        <v>25-34</v>
      </c>
      <c r="C238" t="s">
        <v>35</v>
      </c>
      <c r="D238">
        <f>IF(HRData[[#This Row],[Attrition]]="Yes",1,0)</f>
        <v>1</v>
      </c>
      <c r="E238" t="s">
        <v>36</v>
      </c>
      <c r="F238">
        <v>465</v>
      </c>
      <c r="G238" t="s">
        <v>45</v>
      </c>
      <c r="H238">
        <v>2</v>
      </c>
      <c r="I238">
        <v>2</v>
      </c>
      <c r="J238" t="s">
        <v>38</v>
      </c>
      <c r="K238">
        <v>1</v>
      </c>
      <c r="L238">
        <v>328</v>
      </c>
      <c r="M238">
        <v>1</v>
      </c>
      <c r="N238" t="str" cm="1">
        <f t="array" ref="N238">_xlfn.IFS(HRData[[#This Row],[EnvironmentSatisfaction]]=1,"Very Dissatisfied",
HRData[[#This Row],[EnvironmentSatisfaction]]=2,"Dissatisfied",
HRData[[#This Row],[EnvironmentSatisfaction]]=3,"Satisfied",
HRData[[#This Row],[EnvironmentSatisfaction]]=4,"Very Satisfied"
)</f>
        <v>Very Dissatisfied</v>
      </c>
      <c r="O238" t="s">
        <v>39</v>
      </c>
      <c r="P238">
        <v>39</v>
      </c>
      <c r="Q238">
        <v>3</v>
      </c>
      <c r="R238">
        <v>1</v>
      </c>
      <c r="S238" t="s">
        <v>50</v>
      </c>
      <c r="T238">
        <v>1</v>
      </c>
      <c r="U238" t="str" cm="1">
        <f t="array" ref="U238">_xlfn.IFS(
HRData[[#This Row],[JobSatisfaction]]=1,"Very Dissatisfied",
HRData[[#This Row],[JobSatisfaction]]=2,"Dissatisfied",
HRData[[#This Row],[JobSatisfaction]]=3,"Satisfied",
HRData[[#This Row],[JobSatisfaction]]=4,"Very Satisfied"
)</f>
        <v>Very Dissatisfied</v>
      </c>
      <c r="V238" t="s">
        <v>48</v>
      </c>
      <c r="W238">
        <v>2707</v>
      </c>
      <c r="X238" t="str" cm="1">
        <f t="array" ref="X238">_xlfn.IFS(
HRData[[#This Row],[MonthlyIncome]]&lt;=4000,"Very Low Income",
HRData[[#This Row],[MonthlyIncome]]&lt;=8000,"Low Income",
HRData[[#This Row],[MonthlyIncome]]&lt;=12000,"Moderate Income",
HRData[[#This Row],[MonthlyIncome]]&lt;=16000,"High Income",
HRData[[#This Row],[MonthlyIncome]]&gt;16000,"Very High Income"
)</f>
        <v>Very Low Income</v>
      </c>
      <c r="Y238">
        <v>21509</v>
      </c>
      <c r="Z238">
        <v>7</v>
      </c>
      <c r="AA238" t="s">
        <v>42</v>
      </c>
      <c r="AB238" t="s">
        <v>43</v>
      </c>
      <c r="AC238">
        <v>20</v>
      </c>
      <c r="AD238" t="str" cm="1">
        <f t="array" ref="AD238">_xlfn.IFS(HRData[[#This Row],[PercentSalaryHike]]&lt;=15,"11-15",HRData[[#This Row],[PercentSalaryHike]]&lt;=20,"16-20",HRData[[#This Row],[PercentSalaryHike]]&gt;=21,"21+")</f>
        <v>16-20</v>
      </c>
      <c r="AE238">
        <v>4</v>
      </c>
      <c r="AF238">
        <v>1</v>
      </c>
      <c r="AG238">
        <v>80</v>
      </c>
      <c r="AH238">
        <v>0</v>
      </c>
      <c r="AI238">
        <v>13</v>
      </c>
      <c r="AJ238">
        <v>3</v>
      </c>
      <c r="AK238">
        <v>4</v>
      </c>
      <c r="AL238">
        <v>9</v>
      </c>
      <c r="AM238">
        <v>7</v>
      </c>
      <c r="AN238">
        <v>1</v>
      </c>
      <c r="AO238">
        <v>7</v>
      </c>
      <c r="AP23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38" t="str">
        <f>IF(HRData[[#This Row],[Attrition]]="Yes","Left", IF(HRData[[#This Row],[Attrition_Risk_Score]]&gt;=6,"High",IF(HRData[[#This Row],[Attrition_Risk_Score]]&gt;=3,"Medium","Low")))</f>
        <v>Left</v>
      </c>
      <c r="AR238" t="str">
        <f>IF(HRData[[#This Row],[Attrition_Risk_Level]]&lt;&gt;"High","",HRData[[#This Row],[Attrition_Risk_Score]]*10000-HRData[[#This Row],[EmployeeNumber]])</f>
        <v/>
      </c>
    </row>
    <row r="239" spans="1:44">
      <c r="A239">
        <v>52</v>
      </c>
      <c r="B239" t="str" cm="1">
        <f t="array" ref="B239">_xlfn.IFS(
HRData[[#This Row],[Age]]&lt;=24,"18-24",
HRData[[#This Row],[Age]]&lt;=34,"25-34",
HRData[[#This Row],[Age]]&lt;=44,"35-44",
HRData[[#This Row],[Age]]&lt;=54,"45-54",
HRData[[#This Row],[Age]]&gt;=55,"55+"
)</f>
        <v>45-54</v>
      </c>
      <c r="C239" t="s">
        <v>43</v>
      </c>
      <c r="D239">
        <f>IF(HRData[[#This Row],[Attrition]]="Yes",1,0)</f>
        <v>0</v>
      </c>
      <c r="E239" t="s">
        <v>55</v>
      </c>
      <c r="F239">
        <v>771</v>
      </c>
      <c r="G239" t="s">
        <v>37</v>
      </c>
      <c r="H239">
        <v>2</v>
      </c>
      <c r="I239">
        <v>4</v>
      </c>
      <c r="J239" t="s">
        <v>38</v>
      </c>
      <c r="K239">
        <v>1</v>
      </c>
      <c r="L239">
        <v>329</v>
      </c>
      <c r="M239">
        <v>1</v>
      </c>
      <c r="N239" t="str" cm="1">
        <f t="array" ref="N239">_xlfn.IFS(HRData[[#This Row],[EnvironmentSatisfaction]]=1,"Very Dissatisfied",
HRData[[#This Row],[EnvironmentSatisfaction]]=2,"Dissatisfied",
HRData[[#This Row],[EnvironmentSatisfaction]]=3,"Satisfied",
HRData[[#This Row],[EnvironmentSatisfaction]]=4,"Very Satisfied"
)</f>
        <v>Very Dissatisfied</v>
      </c>
      <c r="O239" t="s">
        <v>46</v>
      </c>
      <c r="P239">
        <v>79</v>
      </c>
      <c r="Q239">
        <v>2</v>
      </c>
      <c r="R239">
        <v>5</v>
      </c>
      <c r="S239" t="s">
        <v>56</v>
      </c>
      <c r="T239">
        <v>3</v>
      </c>
      <c r="U239" t="str" cm="1">
        <f t="array" ref="U239">_xlfn.IFS(
HRData[[#This Row],[JobSatisfaction]]=1,"Very Dissatisfied",
HRData[[#This Row],[JobSatisfaction]]=2,"Dissatisfied",
HRData[[#This Row],[JobSatisfaction]]=3,"Satisfied",
HRData[[#This Row],[JobSatisfaction]]=4,"Very Satisfied"
)</f>
        <v>Satisfied</v>
      </c>
      <c r="V239" t="s">
        <v>41</v>
      </c>
      <c r="W239">
        <v>19068</v>
      </c>
      <c r="X239" t="str" cm="1">
        <f t="array" ref="X239">_xlfn.IFS(
HRData[[#This Row],[MonthlyIncome]]&lt;=4000,"Very Low Income",
HRData[[#This Row],[MonthlyIncome]]&lt;=8000,"Low Income",
HRData[[#This Row],[MonthlyIncome]]&lt;=12000,"Moderate Income",
HRData[[#This Row],[MonthlyIncome]]&lt;=16000,"High Income",
HRData[[#This Row],[MonthlyIncome]]&gt;16000,"Very High Income"
)</f>
        <v>Very High Income</v>
      </c>
      <c r="Y239">
        <v>21030</v>
      </c>
      <c r="Z239">
        <v>1</v>
      </c>
      <c r="AA239" t="s">
        <v>42</v>
      </c>
      <c r="AB239" t="s">
        <v>35</v>
      </c>
      <c r="AC239">
        <v>18</v>
      </c>
      <c r="AD239" t="str" cm="1">
        <f t="array" ref="AD239">_xlfn.IFS(HRData[[#This Row],[PercentSalaryHike]]&lt;=15,"11-15",HRData[[#This Row],[PercentSalaryHike]]&lt;=20,"16-20",HRData[[#This Row],[PercentSalaryHike]]&gt;=21,"21+")</f>
        <v>16-20</v>
      </c>
      <c r="AE239">
        <v>3</v>
      </c>
      <c r="AF239">
        <v>4</v>
      </c>
      <c r="AG239">
        <v>80</v>
      </c>
      <c r="AH239">
        <v>0</v>
      </c>
      <c r="AI239">
        <v>33</v>
      </c>
      <c r="AJ239">
        <v>2</v>
      </c>
      <c r="AK239">
        <v>4</v>
      </c>
      <c r="AL239">
        <v>33</v>
      </c>
      <c r="AM239">
        <v>7</v>
      </c>
      <c r="AN239">
        <v>15</v>
      </c>
      <c r="AO239">
        <v>12</v>
      </c>
      <c r="AP23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39" t="str">
        <f>IF(HRData[[#This Row],[Attrition]]="Yes","Left", IF(HRData[[#This Row],[Attrition_Risk_Score]]&gt;=6,"High",IF(HRData[[#This Row],[Attrition_Risk_Score]]&gt;=3,"Medium","Low")))</f>
        <v>Low</v>
      </c>
      <c r="AR239" t="str">
        <f>IF(HRData[[#This Row],[Attrition_Risk_Level]]&lt;&gt;"High","",HRData[[#This Row],[Attrition_Risk_Score]]*10000-HRData[[#This Row],[EmployeeNumber]])</f>
        <v/>
      </c>
    </row>
    <row r="240" spans="1:44">
      <c r="A240">
        <v>32</v>
      </c>
      <c r="B240" t="str" cm="1">
        <f t="array" ref="B240">_xlfn.IFS(
HRData[[#This Row],[Age]]&lt;=24,"18-24",
HRData[[#This Row],[Age]]&lt;=34,"25-34",
HRData[[#This Row],[Age]]&lt;=44,"35-44",
HRData[[#This Row],[Age]]&lt;=54,"45-54",
HRData[[#This Row],[Age]]&gt;=55,"55+"
)</f>
        <v>25-34</v>
      </c>
      <c r="C240" t="s">
        <v>43</v>
      </c>
      <c r="D240">
        <f>IF(HRData[[#This Row],[Attrition]]="Yes",1,0)</f>
        <v>0</v>
      </c>
      <c r="E240" t="s">
        <v>36</v>
      </c>
      <c r="F240">
        <v>1401</v>
      </c>
      <c r="G240" t="s">
        <v>37</v>
      </c>
      <c r="H240">
        <v>4</v>
      </c>
      <c r="I240">
        <v>2</v>
      </c>
      <c r="J240" t="s">
        <v>38</v>
      </c>
      <c r="K240">
        <v>1</v>
      </c>
      <c r="L240">
        <v>330</v>
      </c>
      <c r="M240">
        <v>3</v>
      </c>
      <c r="N240" t="str" cm="1">
        <f t="array" ref="N240">_xlfn.IFS(HRData[[#This Row],[EnvironmentSatisfaction]]=1,"Very Dissatisfied",
HRData[[#This Row],[EnvironmentSatisfaction]]=2,"Dissatisfied",
HRData[[#This Row],[EnvironmentSatisfaction]]=3,"Satisfied",
HRData[[#This Row],[EnvironmentSatisfaction]]=4,"Very Satisfied"
)</f>
        <v>Satisfied</v>
      </c>
      <c r="O240" t="s">
        <v>39</v>
      </c>
      <c r="P240">
        <v>56</v>
      </c>
      <c r="Q240">
        <v>3</v>
      </c>
      <c r="R240">
        <v>1</v>
      </c>
      <c r="S240" t="s">
        <v>57</v>
      </c>
      <c r="T240">
        <v>2</v>
      </c>
      <c r="U240" t="str" cm="1">
        <f t="array" ref="U240">_xlfn.IFS(
HRData[[#This Row],[JobSatisfaction]]=1,"Very Dissatisfied",
HRData[[#This Row],[JobSatisfaction]]=2,"Dissatisfied",
HRData[[#This Row],[JobSatisfaction]]=3,"Satisfied",
HRData[[#This Row],[JobSatisfaction]]=4,"Very Satisfied"
)</f>
        <v>Dissatisfied</v>
      </c>
      <c r="V240" t="s">
        <v>48</v>
      </c>
      <c r="W240">
        <v>3931</v>
      </c>
      <c r="X240" t="str" cm="1">
        <f t="array" ref="X240">_xlfn.IFS(
HRData[[#This Row],[MonthlyIncome]]&lt;=4000,"Very Low Income",
HRData[[#This Row],[MonthlyIncome]]&lt;=8000,"Low Income",
HRData[[#This Row],[MonthlyIncome]]&lt;=12000,"Moderate Income",
HRData[[#This Row],[MonthlyIncome]]&lt;=16000,"High Income",
HRData[[#This Row],[MonthlyIncome]]&gt;16000,"Very High Income"
)</f>
        <v>Very Low Income</v>
      </c>
      <c r="Y240">
        <v>20990</v>
      </c>
      <c r="Z240">
        <v>2</v>
      </c>
      <c r="AA240" t="s">
        <v>42</v>
      </c>
      <c r="AB240" t="s">
        <v>43</v>
      </c>
      <c r="AC240">
        <v>11</v>
      </c>
      <c r="AD240" t="str" cm="1">
        <f t="array" ref="AD240">_xlfn.IFS(HRData[[#This Row],[PercentSalaryHike]]&lt;=15,"11-15",HRData[[#This Row],[PercentSalaryHike]]&lt;=20,"16-20",HRData[[#This Row],[PercentSalaryHike]]&gt;=21,"21+")</f>
        <v>11-15</v>
      </c>
      <c r="AE240">
        <v>3</v>
      </c>
      <c r="AF240">
        <v>1</v>
      </c>
      <c r="AG240">
        <v>80</v>
      </c>
      <c r="AH240">
        <v>1</v>
      </c>
      <c r="AI240">
        <v>6</v>
      </c>
      <c r="AJ240">
        <v>5</v>
      </c>
      <c r="AK240">
        <v>3</v>
      </c>
      <c r="AL240">
        <v>4</v>
      </c>
      <c r="AM240">
        <v>3</v>
      </c>
      <c r="AN240">
        <v>1</v>
      </c>
      <c r="AO240">
        <v>2</v>
      </c>
      <c r="AP24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240" t="str">
        <f>IF(HRData[[#This Row],[Attrition]]="Yes","Left", IF(HRData[[#This Row],[Attrition_Risk_Score]]&gt;=6,"High",IF(HRData[[#This Row],[Attrition_Risk_Score]]&gt;=3,"Medium","Low")))</f>
        <v>Medium</v>
      </c>
      <c r="AR240" t="str">
        <f>IF(HRData[[#This Row],[Attrition_Risk_Level]]&lt;&gt;"High","",HRData[[#This Row],[Attrition_Risk_Score]]*10000-HRData[[#This Row],[EmployeeNumber]])</f>
        <v/>
      </c>
    </row>
    <row r="241" spans="1:44">
      <c r="A241">
        <v>32</v>
      </c>
      <c r="B241" t="str" cm="1">
        <f t="array" ref="B241">_xlfn.IFS(
HRData[[#This Row],[Age]]&lt;=24,"18-24",
HRData[[#This Row],[Age]]&lt;=34,"25-34",
HRData[[#This Row],[Age]]&lt;=44,"35-44",
HRData[[#This Row],[Age]]&lt;=54,"45-54",
HRData[[#This Row],[Age]]&gt;=55,"55+"
)</f>
        <v>25-34</v>
      </c>
      <c r="C241" t="s">
        <v>35</v>
      </c>
      <c r="D241">
        <f>IF(HRData[[#This Row],[Attrition]]="Yes",1,0)</f>
        <v>1</v>
      </c>
      <c r="E241" t="s">
        <v>36</v>
      </c>
      <c r="F241">
        <v>515</v>
      </c>
      <c r="G241" t="s">
        <v>45</v>
      </c>
      <c r="H241">
        <v>1</v>
      </c>
      <c r="I241">
        <v>3</v>
      </c>
      <c r="J241" t="s">
        <v>38</v>
      </c>
      <c r="K241">
        <v>1</v>
      </c>
      <c r="L241">
        <v>331</v>
      </c>
      <c r="M241">
        <v>4</v>
      </c>
      <c r="N241" t="str" cm="1">
        <f t="array" ref="N241">_xlfn.IFS(HRData[[#This Row],[EnvironmentSatisfaction]]=1,"Very Dissatisfied",
HRData[[#This Row],[EnvironmentSatisfaction]]=2,"Dissatisfied",
HRData[[#This Row],[EnvironmentSatisfaction]]=3,"Satisfied",
HRData[[#This Row],[EnvironmentSatisfaction]]=4,"Very Satisfied"
)</f>
        <v>Very Satisfied</v>
      </c>
      <c r="O241" t="s">
        <v>46</v>
      </c>
      <c r="P241">
        <v>62</v>
      </c>
      <c r="Q241">
        <v>2</v>
      </c>
      <c r="R241">
        <v>1</v>
      </c>
      <c r="S241" t="s">
        <v>50</v>
      </c>
      <c r="T241">
        <v>3</v>
      </c>
      <c r="U241" t="str" cm="1">
        <f t="array" ref="U241">_xlfn.IFS(
HRData[[#This Row],[JobSatisfaction]]=1,"Very Dissatisfied",
HRData[[#This Row],[JobSatisfaction]]=2,"Dissatisfied",
HRData[[#This Row],[JobSatisfaction]]=3,"Satisfied",
HRData[[#This Row],[JobSatisfaction]]=4,"Very Satisfied"
)</f>
        <v>Satisfied</v>
      </c>
      <c r="V241" t="s">
        <v>41</v>
      </c>
      <c r="W241">
        <v>3730</v>
      </c>
      <c r="X241" t="str" cm="1">
        <f t="array" ref="X241">_xlfn.IFS(
HRData[[#This Row],[MonthlyIncome]]&lt;=4000,"Very Low Income",
HRData[[#This Row],[MonthlyIncome]]&lt;=8000,"Low Income",
HRData[[#This Row],[MonthlyIncome]]&lt;=12000,"Moderate Income",
HRData[[#This Row],[MonthlyIncome]]&lt;=16000,"High Income",
HRData[[#This Row],[MonthlyIncome]]&gt;16000,"Very High Income"
)</f>
        <v>Very Low Income</v>
      </c>
      <c r="Y241">
        <v>9571</v>
      </c>
      <c r="Z241">
        <v>0</v>
      </c>
      <c r="AA241" t="s">
        <v>42</v>
      </c>
      <c r="AB241" t="s">
        <v>35</v>
      </c>
      <c r="AC241">
        <v>14</v>
      </c>
      <c r="AD241" t="str" cm="1">
        <f t="array" ref="AD241">_xlfn.IFS(HRData[[#This Row],[PercentSalaryHike]]&lt;=15,"11-15",HRData[[#This Row],[PercentSalaryHike]]&lt;=20,"16-20",HRData[[#This Row],[PercentSalaryHike]]&gt;=21,"21+")</f>
        <v>11-15</v>
      </c>
      <c r="AE241">
        <v>3</v>
      </c>
      <c r="AF241">
        <v>4</v>
      </c>
      <c r="AG241">
        <v>80</v>
      </c>
      <c r="AH241">
        <v>0</v>
      </c>
      <c r="AI241">
        <v>4</v>
      </c>
      <c r="AJ241">
        <v>2</v>
      </c>
      <c r="AK241">
        <v>1</v>
      </c>
      <c r="AL241">
        <v>3</v>
      </c>
      <c r="AM241">
        <v>2</v>
      </c>
      <c r="AN241">
        <v>1</v>
      </c>
      <c r="AO241">
        <v>2</v>
      </c>
      <c r="AP24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41" t="str">
        <f>IF(HRData[[#This Row],[Attrition]]="Yes","Left", IF(HRData[[#This Row],[Attrition_Risk_Score]]&gt;=6,"High",IF(HRData[[#This Row],[Attrition_Risk_Score]]&gt;=3,"Medium","Low")))</f>
        <v>Left</v>
      </c>
      <c r="AR241" t="str">
        <f>IF(HRData[[#This Row],[Attrition_Risk_Level]]&lt;&gt;"High","",HRData[[#This Row],[Attrition_Risk_Score]]*10000-HRData[[#This Row],[EmployeeNumber]])</f>
        <v/>
      </c>
    </row>
    <row r="242" spans="1:44">
      <c r="A242">
        <v>39</v>
      </c>
      <c r="B242" t="str" cm="1">
        <f t="array" ref="B242">_xlfn.IFS(
HRData[[#This Row],[Age]]&lt;=24,"18-24",
HRData[[#This Row],[Age]]&lt;=34,"25-34",
HRData[[#This Row],[Age]]&lt;=44,"35-44",
HRData[[#This Row],[Age]]&lt;=54,"45-54",
HRData[[#This Row],[Age]]&gt;=55,"55+"
)</f>
        <v>35-44</v>
      </c>
      <c r="C242" t="s">
        <v>43</v>
      </c>
      <c r="D242">
        <f>IF(HRData[[#This Row],[Attrition]]="Yes",1,0)</f>
        <v>0</v>
      </c>
      <c r="E242" t="s">
        <v>36</v>
      </c>
      <c r="F242">
        <v>1431</v>
      </c>
      <c r="G242" t="s">
        <v>45</v>
      </c>
      <c r="H242">
        <v>1</v>
      </c>
      <c r="I242">
        <v>4</v>
      </c>
      <c r="J242" t="s">
        <v>51</v>
      </c>
      <c r="K242">
        <v>1</v>
      </c>
      <c r="L242">
        <v>332</v>
      </c>
      <c r="M242">
        <v>3</v>
      </c>
      <c r="N242" t="str" cm="1">
        <f t="array" ref="N242">_xlfn.IFS(HRData[[#This Row],[EnvironmentSatisfaction]]=1,"Very Dissatisfied",
HRData[[#This Row],[EnvironmentSatisfaction]]=2,"Dissatisfied",
HRData[[#This Row],[EnvironmentSatisfaction]]=3,"Satisfied",
HRData[[#This Row],[EnvironmentSatisfaction]]=4,"Very Satisfied"
)</f>
        <v>Satisfied</v>
      </c>
      <c r="O242" t="s">
        <v>39</v>
      </c>
      <c r="P242">
        <v>96</v>
      </c>
      <c r="Q242">
        <v>3</v>
      </c>
      <c r="R242">
        <v>1</v>
      </c>
      <c r="S242" t="s">
        <v>50</v>
      </c>
      <c r="T242">
        <v>3</v>
      </c>
      <c r="U242" t="str" cm="1">
        <f t="array" ref="U242">_xlfn.IFS(
HRData[[#This Row],[JobSatisfaction]]=1,"Very Dissatisfied",
HRData[[#This Row],[JobSatisfaction]]=2,"Dissatisfied",
HRData[[#This Row],[JobSatisfaction]]=3,"Satisfied",
HRData[[#This Row],[JobSatisfaction]]=4,"Very Satisfied"
)</f>
        <v>Satisfied</v>
      </c>
      <c r="V242" t="s">
        <v>52</v>
      </c>
      <c r="W242">
        <v>2232</v>
      </c>
      <c r="X242" t="str" cm="1">
        <f t="array" ref="X242">_xlfn.IFS(
HRData[[#This Row],[MonthlyIncome]]&lt;=4000,"Very Low Income",
HRData[[#This Row],[MonthlyIncome]]&lt;=8000,"Low Income",
HRData[[#This Row],[MonthlyIncome]]&lt;=12000,"Moderate Income",
HRData[[#This Row],[MonthlyIncome]]&lt;=16000,"High Income",
HRData[[#This Row],[MonthlyIncome]]&gt;16000,"Very High Income"
)</f>
        <v>Very Low Income</v>
      </c>
      <c r="Y242">
        <v>15417</v>
      </c>
      <c r="Z242">
        <v>7</v>
      </c>
      <c r="AA242" t="s">
        <v>42</v>
      </c>
      <c r="AB242" t="s">
        <v>43</v>
      </c>
      <c r="AC242">
        <v>14</v>
      </c>
      <c r="AD242" t="str" cm="1">
        <f t="array" ref="AD242">_xlfn.IFS(HRData[[#This Row],[PercentSalaryHike]]&lt;=15,"11-15",HRData[[#This Row],[PercentSalaryHike]]&lt;=20,"16-20",HRData[[#This Row],[PercentSalaryHike]]&gt;=21,"21+")</f>
        <v>11-15</v>
      </c>
      <c r="AE242">
        <v>3</v>
      </c>
      <c r="AF242">
        <v>3</v>
      </c>
      <c r="AG242">
        <v>80</v>
      </c>
      <c r="AH242">
        <v>3</v>
      </c>
      <c r="AI242">
        <v>7</v>
      </c>
      <c r="AJ242">
        <v>1</v>
      </c>
      <c r="AK242">
        <v>3</v>
      </c>
      <c r="AL242">
        <v>3</v>
      </c>
      <c r="AM242">
        <v>2</v>
      </c>
      <c r="AN242">
        <v>1</v>
      </c>
      <c r="AO242">
        <v>2</v>
      </c>
      <c r="AP24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242" t="str">
        <f>IF(HRData[[#This Row],[Attrition]]="Yes","Left", IF(HRData[[#This Row],[Attrition_Risk_Score]]&gt;=6,"High",IF(HRData[[#This Row],[Attrition_Risk_Score]]&gt;=3,"Medium","Low")))</f>
        <v>Medium</v>
      </c>
      <c r="AR242" t="str">
        <f>IF(HRData[[#This Row],[Attrition_Risk_Level]]&lt;&gt;"High","",HRData[[#This Row],[Attrition_Risk_Score]]*10000-HRData[[#This Row],[EmployeeNumber]])</f>
        <v/>
      </c>
    </row>
    <row r="243" spans="1:44">
      <c r="A243">
        <v>32</v>
      </c>
      <c r="B243" t="str" cm="1">
        <f t="array" ref="B243">_xlfn.IFS(
HRData[[#This Row],[Age]]&lt;=24,"18-24",
HRData[[#This Row],[Age]]&lt;=34,"25-34",
HRData[[#This Row],[Age]]&lt;=44,"35-44",
HRData[[#This Row],[Age]]&lt;=54,"45-54",
HRData[[#This Row],[Age]]&gt;=55,"55+"
)</f>
        <v>25-34</v>
      </c>
      <c r="C243" t="s">
        <v>43</v>
      </c>
      <c r="D243">
        <f>IF(HRData[[#This Row],[Attrition]]="Yes",1,0)</f>
        <v>0</v>
      </c>
      <c r="E243" t="s">
        <v>55</v>
      </c>
      <c r="F243">
        <v>976</v>
      </c>
      <c r="G243" t="s">
        <v>37</v>
      </c>
      <c r="H243">
        <v>26</v>
      </c>
      <c r="I243">
        <v>4</v>
      </c>
      <c r="J243" t="s">
        <v>59</v>
      </c>
      <c r="K243">
        <v>1</v>
      </c>
      <c r="L243">
        <v>333</v>
      </c>
      <c r="M243">
        <v>3</v>
      </c>
      <c r="N243" t="str" cm="1">
        <f t="array" ref="N243">_xlfn.IFS(HRData[[#This Row],[EnvironmentSatisfaction]]=1,"Very Dissatisfied",
HRData[[#This Row],[EnvironmentSatisfaction]]=2,"Dissatisfied",
HRData[[#This Row],[EnvironmentSatisfaction]]=3,"Satisfied",
HRData[[#This Row],[EnvironmentSatisfaction]]=4,"Very Satisfied"
)</f>
        <v>Satisfied</v>
      </c>
      <c r="O243" t="s">
        <v>46</v>
      </c>
      <c r="P243">
        <v>100</v>
      </c>
      <c r="Q243">
        <v>3</v>
      </c>
      <c r="R243">
        <v>2</v>
      </c>
      <c r="S243" t="s">
        <v>40</v>
      </c>
      <c r="T243">
        <v>4</v>
      </c>
      <c r="U243" t="str" cm="1">
        <f t="array" ref="U243">_xlfn.IFS(
HRData[[#This Row],[JobSatisfaction]]=1,"Very Dissatisfied",
HRData[[#This Row],[JobSatisfaction]]=2,"Dissatisfied",
HRData[[#This Row],[JobSatisfaction]]=3,"Satisfied",
HRData[[#This Row],[JobSatisfaction]]=4,"Very Satisfied"
)</f>
        <v>Very Satisfied</v>
      </c>
      <c r="V243" t="s">
        <v>48</v>
      </c>
      <c r="W243">
        <v>4465</v>
      </c>
      <c r="X243" t="str" cm="1">
        <f t="array" ref="X243">_xlfn.IFS(
HRData[[#This Row],[MonthlyIncome]]&lt;=4000,"Very Low Income",
HRData[[#This Row],[MonthlyIncome]]&lt;=8000,"Low Income",
HRData[[#This Row],[MonthlyIncome]]&lt;=12000,"Moderate Income",
HRData[[#This Row],[MonthlyIncome]]&lt;=16000,"High Income",
HRData[[#This Row],[MonthlyIncome]]&gt;16000,"Very High Income"
)</f>
        <v>Low Income</v>
      </c>
      <c r="Y243">
        <v>12069</v>
      </c>
      <c r="Z243">
        <v>0</v>
      </c>
      <c r="AA243" t="s">
        <v>42</v>
      </c>
      <c r="AB243" t="s">
        <v>43</v>
      </c>
      <c r="AC243">
        <v>18</v>
      </c>
      <c r="AD243" t="str" cm="1">
        <f t="array" ref="AD243">_xlfn.IFS(HRData[[#This Row],[PercentSalaryHike]]&lt;=15,"11-15",HRData[[#This Row],[PercentSalaryHike]]&lt;=20,"16-20",HRData[[#This Row],[PercentSalaryHike]]&gt;=21,"21+")</f>
        <v>16-20</v>
      </c>
      <c r="AE243">
        <v>3</v>
      </c>
      <c r="AF243">
        <v>1</v>
      </c>
      <c r="AG243">
        <v>80</v>
      </c>
      <c r="AH243">
        <v>0</v>
      </c>
      <c r="AI243">
        <v>4</v>
      </c>
      <c r="AJ243">
        <v>2</v>
      </c>
      <c r="AK243">
        <v>3</v>
      </c>
      <c r="AL243">
        <v>3</v>
      </c>
      <c r="AM243">
        <v>2</v>
      </c>
      <c r="AN243">
        <v>2</v>
      </c>
      <c r="AO243">
        <v>2</v>
      </c>
      <c r="AP24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43" t="str">
        <f>IF(HRData[[#This Row],[Attrition]]="Yes","Left", IF(HRData[[#This Row],[Attrition_Risk_Score]]&gt;=6,"High",IF(HRData[[#This Row],[Attrition_Risk_Score]]&gt;=3,"Medium","Low")))</f>
        <v>Low</v>
      </c>
      <c r="AR243" t="str">
        <f>IF(HRData[[#This Row],[Attrition_Risk_Level]]&lt;&gt;"High","",HRData[[#This Row],[Attrition_Risk_Score]]*10000-HRData[[#This Row],[EmployeeNumber]])</f>
        <v/>
      </c>
    </row>
    <row r="244" spans="1:44">
      <c r="A244">
        <v>41</v>
      </c>
      <c r="B244" t="str" cm="1">
        <f t="array" ref="B244">_xlfn.IFS(
HRData[[#This Row],[Age]]&lt;=24,"18-24",
HRData[[#This Row],[Age]]&lt;=34,"25-34",
HRData[[#This Row],[Age]]&lt;=44,"35-44",
HRData[[#This Row],[Age]]&lt;=54,"45-54",
HRData[[#This Row],[Age]]&gt;=55,"55+"
)</f>
        <v>35-44</v>
      </c>
      <c r="C244" t="s">
        <v>43</v>
      </c>
      <c r="D244">
        <f>IF(HRData[[#This Row],[Attrition]]="Yes",1,0)</f>
        <v>0</v>
      </c>
      <c r="E244" t="s">
        <v>36</v>
      </c>
      <c r="F244">
        <v>1411</v>
      </c>
      <c r="G244" t="s">
        <v>45</v>
      </c>
      <c r="H244">
        <v>19</v>
      </c>
      <c r="I244">
        <v>2</v>
      </c>
      <c r="J244" t="s">
        <v>38</v>
      </c>
      <c r="K244">
        <v>1</v>
      </c>
      <c r="L244">
        <v>334</v>
      </c>
      <c r="M244">
        <v>3</v>
      </c>
      <c r="N244" t="str" cm="1">
        <f t="array" ref="N244">_xlfn.IFS(HRData[[#This Row],[EnvironmentSatisfaction]]=1,"Very Dissatisfied",
HRData[[#This Row],[EnvironmentSatisfaction]]=2,"Dissatisfied",
HRData[[#This Row],[EnvironmentSatisfaction]]=3,"Satisfied",
HRData[[#This Row],[EnvironmentSatisfaction]]=4,"Very Satisfied"
)</f>
        <v>Satisfied</v>
      </c>
      <c r="O244" t="s">
        <v>46</v>
      </c>
      <c r="P244">
        <v>36</v>
      </c>
      <c r="Q244">
        <v>3</v>
      </c>
      <c r="R244">
        <v>2</v>
      </c>
      <c r="S244" t="s">
        <v>47</v>
      </c>
      <c r="T244">
        <v>1</v>
      </c>
      <c r="U244" t="str" cm="1">
        <f t="array" ref="U244">_xlfn.IFS(
HRData[[#This Row],[JobSatisfaction]]=1,"Very Dissatisfied",
HRData[[#This Row],[JobSatisfaction]]=2,"Dissatisfied",
HRData[[#This Row],[JobSatisfaction]]=3,"Satisfied",
HRData[[#This Row],[JobSatisfaction]]=4,"Very Satisfied"
)</f>
        <v>Very Dissatisfied</v>
      </c>
      <c r="V244" t="s">
        <v>52</v>
      </c>
      <c r="W244">
        <v>3072</v>
      </c>
      <c r="X244" t="str" cm="1">
        <f t="array" ref="X244">_xlfn.IFS(
HRData[[#This Row],[MonthlyIncome]]&lt;=4000,"Very Low Income",
HRData[[#This Row],[MonthlyIncome]]&lt;=8000,"Low Income",
HRData[[#This Row],[MonthlyIncome]]&lt;=12000,"Moderate Income",
HRData[[#This Row],[MonthlyIncome]]&lt;=16000,"High Income",
HRData[[#This Row],[MonthlyIncome]]&gt;16000,"Very High Income"
)</f>
        <v>Very Low Income</v>
      </c>
      <c r="Y244">
        <v>19877</v>
      </c>
      <c r="Z244">
        <v>2</v>
      </c>
      <c r="AA244" t="s">
        <v>42</v>
      </c>
      <c r="AB244" t="s">
        <v>43</v>
      </c>
      <c r="AC244">
        <v>16</v>
      </c>
      <c r="AD244" t="str" cm="1">
        <f t="array" ref="AD244">_xlfn.IFS(HRData[[#This Row],[PercentSalaryHike]]&lt;=15,"11-15",HRData[[#This Row],[PercentSalaryHike]]&lt;=20,"16-20",HRData[[#This Row],[PercentSalaryHike]]&gt;=21,"21+")</f>
        <v>16-20</v>
      </c>
      <c r="AE244">
        <v>3</v>
      </c>
      <c r="AF244">
        <v>1</v>
      </c>
      <c r="AG244">
        <v>80</v>
      </c>
      <c r="AH244">
        <v>2</v>
      </c>
      <c r="AI244">
        <v>17</v>
      </c>
      <c r="AJ244">
        <v>2</v>
      </c>
      <c r="AK244">
        <v>2</v>
      </c>
      <c r="AL244">
        <v>1</v>
      </c>
      <c r="AM244">
        <v>0</v>
      </c>
      <c r="AN244">
        <v>0</v>
      </c>
      <c r="AO244">
        <v>0</v>
      </c>
      <c r="AP24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244" t="str">
        <f>IF(HRData[[#This Row],[Attrition]]="Yes","Left", IF(HRData[[#This Row],[Attrition_Risk_Score]]&gt;=6,"High",IF(HRData[[#This Row],[Attrition_Risk_Score]]&gt;=3,"Medium","Low")))</f>
        <v>Medium</v>
      </c>
      <c r="AR244" t="str">
        <f>IF(HRData[[#This Row],[Attrition_Risk_Level]]&lt;&gt;"High","",HRData[[#This Row],[Attrition_Risk_Score]]*10000-HRData[[#This Row],[EmployeeNumber]])</f>
        <v/>
      </c>
    </row>
    <row r="245" spans="1:44">
      <c r="A245">
        <v>40</v>
      </c>
      <c r="B245" t="str" cm="1">
        <f t="array" ref="B245">_xlfn.IFS(
HRData[[#This Row],[Age]]&lt;=24,"18-24",
HRData[[#This Row],[Age]]&lt;=34,"25-34",
HRData[[#This Row],[Age]]&lt;=44,"35-44",
HRData[[#This Row],[Age]]&lt;=54,"45-54",
HRData[[#This Row],[Age]]&gt;=55,"55+"
)</f>
        <v>35-44</v>
      </c>
      <c r="C245" t="s">
        <v>43</v>
      </c>
      <c r="D245">
        <f>IF(HRData[[#This Row],[Attrition]]="Yes",1,0)</f>
        <v>0</v>
      </c>
      <c r="E245" t="s">
        <v>36</v>
      </c>
      <c r="F245">
        <v>1300</v>
      </c>
      <c r="G245" t="s">
        <v>45</v>
      </c>
      <c r="H245">
        <v>24</v>
      </c>
      <c r="I245">
        <v>2</v>
      </c>
      <c r="J245" t="s">
        <v>60</v>
      </c>
      <c r="K245">
        <v>1</v>
      </c>
      <c r="L245">
        <v>335</v>
      </c>
      <c r="M245">
        <v>1</v>
      </c>
      <c r="N245" t="str" cm="1">
        <f t="array" ref="N245">_xlfn.IFS(HRData[[#This Row],[EnvironmentSatisfaction]]=1,"Very Dissatisfied",
HRData[[#This Row],[EnvironmentSatisfaction]]=2,"Dissatisfied",
HRData[[#This Row],[EnvironmentSatisfaction]]=3,"Satisfied",
HRData[[#This Row],[EnvironmentSatisfaction]]=4,"Very Satisfied"
)</f>
        <v>Very Dissatisfied</v>
      </c>
      <c r="O245" t="s">
        <v>46</v>
      </c>
      <c r="P245">
        <v>62</v>
      </c>
      <c r="Q245">
        <v>3</v>
      </c>
      <c r="R245">
        <v>2</v>
      </c>
      <c r="S245" t="s">
        <v>47</v>
      </c>
      <c r="T245">
        <v>4</v>
      </c>
      <c r="U245" t="str" cm="1">
        <f t="array" ref="U245">_xlfn.IFS(
HRData[[#This Row],[JobSatisfaction]]=1,"Very Dissatisfied",
HRData[[#This Row],[JobSatisfaction]]=2,"Dissatisfied",
HRData[[#This Row],[JobSatisfaction]]=3,"Satisfied",
HRData[[#This Row],[JobSatisfaction]]=4,"Very Satisfied"
)</f>
        <v>Very Satisfied</v>
      </c>
      <c r="V245" t="s">
        <v>52</v>
      </c>
      <c r="W245">
        <v>3319</v>
      </c>
      <c r="X245" t="str" cm="1">
        <f t="array" ref="X245">_xlfn.IFS(
HRData[[#This Row],[MonthlyIncome]]&lt;=4000,"Very Low Income",
HRData[[#This Row],[MonthlyIncome]]&lt;=8000,"Low Income",
HRData[[#This Row],[MonthlyIncome]]&lt;=12000,"Moderate Income",
HRData[[#This Row],[MonthlyIncome]]&lt;=16000,"High Income",
HRData[[#This Row],[MonthlyIncome]]&gt;16000,"Very High Income"
)</f>
        <v>Very Low Income</v>
      </c>
      <c r="Y245">
        <v>24447</v>
      </c>
      <c r="Z245">
        <v>1</v>
      </c>
      <c r="AA245" t="s">
        <v>42</v>
      </c>
      <c r="AB245" t="s">
        <v>43</v>
      </c>
      <c r="AC245">
        <v>17</v>
      </c>
      <c r="AD245" t="str" cm="1">
        <f t="array" ref="AD245">_xlfn.IFS(HRData[[#This Row],[PercentSalaryHike]]&lt;=15,"11-15",HRData[[#This Row],[PercentSalaryHike]]&lt;=20,"16-20",HRData[[#This Row],[PercentSalaryHike]]&gt;=21,"21+")</f>
        <v>16-20</v>
      </c>
      <c r="AE245">
        <v>3</v>
      </c>
      <c r="AF245">
        <v>1</v>
      </c>
      <c r="AG245">
        <v>80</v>
      </c>
      <c r="AH245">
        <v>2</v>
      </c>
      <c r="AI245">
        <v>9</v>
      </c>
      <c r="AJ245">
        <v>3</v>
      </c>
      <c r="AK245">
        <v>3</v>
      </c>
      <c r="AL245">
        <v>9</v>
      </c>
      <c r="AM245">
        <v>8</v>
      </c>
      <c r="AN245">
        <v>4</v>
      </c>
      <c r="AO245">
        <v>7</v>
      </c>
      <c r="AP24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45" t="str">
        <f>IF(HRData[[#This Row],[Attrition]]="Yes","Left", IF(HRData[[#This Row],[Attrition_Risk_Score]]&gt;=6,"High",IF(HRData[[#This Row],[Attrition_Risk_Score]]&gt;=3,"Medium","Low")))</f>
        <v>Low</v>
      </c>
      <c r="AR245" t="str">
        <f>IF(HRData[[#This Row],[Attrition_Risk_Level]]&lt;&gt;"High","",HRData[[#This Row],[Attrition_Risk_Score]]*10000-HRData[[#This Row],[EmployeeNumber]])</f>
        <v/>
      </c>
    </row>
    <row r="246" spans="1:44">
      <c r="A246">
        <v>45</v>
      </c>
      <c r="B246" t="str" cm="1">
        <f t="array" ref="B246">_xlfn.IFS(
HRData[[#This Row],[Age]]&lt;=24,"18-24",
HRData[[#This Row],[Age]]&lt;=34,"25-34",
HRData[[#This Row],[Age]]&lt;=44,"35-44",
HRData[[#This Row],[Age]]&lt;=54,"45-54",
HRData[[#This Row],[Age]]&gt;=55,"55+"
)</f>
        <v>45-54</v>
      </c>
      <c r="C246" t="s">
        <v>43</v>
      </c>
      <c r="D246">
        <f>IF(HRData[[#This Row],[Attrition]]="Yes",1,0)</f>
        <v>0</v>
      </c>
      <c r="E246" t="s">
        <v>36</v>
      </c>
      <c r="F246">
        <v>252</v>
      </c>
      <c r="G246" t="s">
        <v>45</v>
      </c>
      <c r="H246">
        <v>1</v>
      </c>
      <c r="I246">
        <v>3</v>
      </c>
      <c r="J246" t="s">
        <v>49</v>
      </c>
      <c r="K246">
        <v>1</v>
      </c>
      <c r="L246">
        <v>336</v>
      </c>
      <c r="M246">
        <v>3</v>
      </c>
      <c r="N246" t="str" cm="1">
        <f t="array" ref="N246">_xlfn.IFS(HRData[[#This Row],[EnvironmentSatisfaction]]=1,"Very Dissatisfied",
HRData[[#This Row],[EnvironmentSatisfaction]]=2,"Dissatisfied",
HRData[[#This Row],[EnvironmentSatisfaction]]=3,"Satisfied",
HRData[[#This Row],[EnvironmentSatisfaction]]=4,"Very Satisfied"
)</f>
        <v>Satisfied</v>
      </c>
      <c r="O246" t="s">
        <v>46</v>
      </c>
      <c r="P246">
        <v>70</v>
      </c>
      <c r="Q246">
        <v>4</v>
      </c>
      <c r="R246">
        <v>5</v>
      </c>
      <c r="S246" t="s">
        <v>56</v>
      </c>
      <c r="T246">
        <v>4</v>
      </c>
      <c r="U246" t="str" cm="1">
        <f t="array" ref="U246">_xlfn.IFS(
HRData[[#This Row],[JobSatisfaction]]=1,"Very Dissatisfied",
HRData[[#This Row],[JobSatisfaction]]=2,"Dissatisfied",
HRData[[#This Row],[JobSatisfaction]]=3,"Satisfied",
HRData[[#This Row],[JobSatisfaction]]=4,"Very Satisfied"
)</f>
        <v>Very Satisfied</v>
      </c>
      <c r="V246" t="s">
        <v>48</v>
      </c>
      <c r="W246">
        <v>19202</v>
      </c>
      <c r="X246" t="str" cm="1">
        <f t="array" ref="X246">_xlfn.IFS(
HRData[[#This Row],[MonthlyIncome]]&lt;=4000,"Very Low Income",
HRData[[#This Row],[MonthlyIncome]]&lt;=8000,"Low Income",
HRData[[#This Row],[MonthlyIncome]]&lt;=12000,"Moderate Income",
HRData[[#This Row],[MonthlyIncome]]&lt;=16000,"High Income",
HRData[[#This Row],[MonthlyIncome]]&gt;16000,"Very High Income"
)</f>
        <v>Very High Income</v>
      </c>
      <c r="Y246">
        <v>15970</v>
      </c>
      <c r="Z246">
        <v>0</v>
      </c>
      <c r="AA246" t="s">
        <v>42</v>
      </c>
      <c r="AB246" t="s">
        <v>43</v>
      </c>
      <c r="AC246">
        <v>11</v>
      </c>
      <c r="AD246" t="str" cm="1">
        <f t="array" ref="AD246">_xlfn.IFS(HRData[[#This Row],[PercentSalaryHike]]&lt;=15,"11-15",HRData[[#This Row],[PercentSalaryHike]]&lt;=20,"16-20",HRData[[#This Row],[PercentSalaryHike]]&gt;=21,"21+")</f>
        <v>11-15</v>
      </c>
      <c r="AE246">
        <v>3</v>
      </c>
      <c r="AF246">
        <v>3</v>
      </c>
      <c r="AG246">
        <v>80</v>
      </c>
      <c r="AH246">
        <v>1</v>
      </c>
      <c r="AI246">
        <v>25</v>
      </c>
      <c r="AJ246">
        <v>2</v>
      </c>
      <c r="AK246">
        <v>3</v>
      </c>
      <c r="AL246">
        <v>24</v>
      </c>
      <c r="AM246">
        <v>0</v>
      </c>
      <c r="AN246">
        <v>1</v>
      </c>
      <c r="AO246">
        <v>7</v>
      </c>
      <c r="AP24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246" t="str">
        <f>IF(HRData[[#This Row],[Attrition]]="Yes","Left", IF(HRData[[#This Row],[Attrition_Risk_Score]]&gt;=6,"High",IF(HRData[[#This Row],[Attrition_Risk_Score]]&gt;=3,"Medium","Low")))</f>
        <v>Low</v>
      </c>
      <c r="AR246" t="str">
        <f>IF(HRData[[#This Row],[Attrition_Risk_Level]]&lt;&gt;"High","",HRData[[#This Row],[Attrition_Risk_Score]]*10000-HRData[[#This Row],[EmployeeNumber]])</f>
        <v/>
      </c>
    </row>
    <row r="247" spans="1:44">
      <c r="A247">
        <v>31</v>
      </c>
      <c r="B247" t="str" cm="1">
        <f t="array" ref="B247">_xlfn.IFS(
HRData[[#This Row],[Age]]&lt;=24,"18-24",
HRData[[#This Row],[Age]]&lt;=34,"25-34",
HRData[[#This Row],[Age]]&lt;=44,"35-44",
HRData[[#This Row],[Age]]&lt;=54,"45-54",
HRData[[#This Row],[Age]]&gt;=55,"55+"
)</f>
        <v>25-34</v>
      </c>
      <c r="C247" t="s">
        <v>43</v>
      </c>
      <c r="D247">
        <f>IF(HRData[[#This Row],[Attrition]]="Yes",1,0)</f>
        <v>0</v>
      </c>
      <c r="E247" t="s">
        <v>44</v>
      </c>
      <c r="F247">
        <v>1327</v>
      </c>
      <c r="G247" t="s">
        <v>45</v>
      </c>
      <c r="H247">
        <v>3</v>
      </c>
      <c r="I247">
        <v>4</v>
      </c>
      <c r="J247" t="s">
        <v>51</v>
      </c>
      <c r="K247">
        <v>1</v>
      </c>
      <c r="L247">
        <v>337</v>
      </c>
      <c r="M247">
        <v>2</v>
      </c>
      <c r="N247" t="str" cm="1">
        <f t="array" ref="N247">_xlfn.IFS(HRData[[#This Row],[EnvironmentSatisfaction]]=1,"Very Dissatisfied",
HRData[[#This Row],[EnvironmentSatisfaction]]=2,"Dissatisfied",
HRData[[#This Row],[EnvironmentSatisfaction]]=3,"Satisfied",
HRData[[#This Row],[EnvironmentSatisfaction]]=4,"Very Satisfied"
)</f>
        <v>Dissatisfied</v>
      </c>
      <c r="O247" t="s">
        <v>46</v>
      </c>
      <c r="P247">
        <v>73</v>
      </c>
      <c r="Q247">
        <v>3</v>
      </c>
      <c r="R247">
        <v>3</v>
      </c>
      <c r="S247" t="s">
        <v>58</v>
      </c>
      <c r="T247">
        <v>3</v>
      </c>
      <c r="U247" t="str" cm="1">
        <f t="array" ref="U247">_xlfn.IFS(
HRData[[#This Row],[JobSatisfaction]]=1,"Very Dissatisfied",
HRData[[#This Row],[JobSatisfaction]]=2,"Dissatisfied",
HRData[[#This Row],[JobSatisfaction]]=3,"Satisfied",
HRData[[#This Row],[JobSatisfaction]]=4,"Very Satisfied"
)</f>
        <v>Satisfied</v>
      </c>
      <c r="V247" t="s">
        <v>52</v>
      </c>
      <c r="W247">
        <v>13675</v>
      </c>
      <c r="X247" t="str" cm="1">
        <f t="array" ref="X247">_xlfn.IFS(
HRData[[#This Row],[MonthlyIncome]]&lt;=4000,"Very Low Income",
HRData[[#This Row],[MonthlyIncome]]&lt;=8000,"Low Income",
HRData[[#This Row],[MonthlyIncome]]&lt;=12000,"Moderate Income",
HRData[[#This Row],[MonthlyIncome]]&lt;=16000,"High Income",
HRData[[#This Row],[MonthlyIncome]]&gt;16000,"Very High Income"
)</f>
        <v>High Income</v>
      </c>
      <c r="Y247">
        <v>13523</v>
      </c>
      <c r="Z247">
        <v>9</v>
      </c>
      <c r="AA247" t="s">
        <v>42</v>
      </c>
      <c r="AB247" t="s">
        <v>43</v>
      </c>
      <c r="AC247">
        <v>12</v>
      </c>
      <c r="AD247" t="str" cm="1">
        <f t="array" ref="AD247">_xlfn.IFS(HRData[[#This Row],[PercentSalaryHike]]&lt;=15,"11-15",HRData[[#This Row],[PercentSalaryHike]]&lt;=20,"16-20",HRData[[#This Row],[PercentSalaryHike]]&gt;=21,"21+")</f>
        <v>11-15</v>
      </c>
      <c r="AE247">
        <v>3</v>
      </c>
      <c r="AF247">
        <v>1</v>
      </c>
      <c r="AG247">
        <v>80</v>
      </c>
      <c r="AH247">
        <v>1</v>
      </c>
      <c r="AI247">
        <v>9</v>
      </c>
      <c r="AJ247">
        <v>3</v>
      </c>
      <c r="AK247">
        <v>3</v>
      </c>
      <c r="AL247">
        <v>2</v>
      </c>
      <c r="AM247">
        <v>2</v>
      </c>
      <c r="AN247">
        <v>2</v>
      </c>
      <c r="AO247">
        <v>2</v>
      </c>
      <c r="AP24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247" t="str">
        <f>IF(HRData[[#This Row],[Attrition]]="Yes","Left", IF(HRData[[#This Row],[Attrition_Risk_Score]]&gt;=6,"High",IF(HRData[[#This Row],[Attrition_Risk_Score]]&gt;=3,"Medium","Low")))</f>
        <v>Low</v>
      </c>
      <c r="AR247" t="str">
        <f>IF(HRData[[#This Row],[Attrition_Risk_Level]]&lt;&gt;"High","",HRData[[#This Row],[Attrition_Risk_Score]]*10000-HRData[[#This Row],[EmployeeNumber]])</f>
        <v/>
      </c>
    </row>
    <row r="248" spans="1:44">
      <c r="A248">
        <v>33</v>
      </c>
      <c r="B248" t="str" cm="1">
        <f t="array" ref="B248">_xlfn.IFS(
HRData[[#This Row],[Age]]&lt;=24,"18-24",
HRData[[#This Row],[Age]]&lt;=34,"25-34",
HRData[[#This Row],[Age]]&lt;=44,"35-44",
HRData[[#This Row],[Age]]&lt;=54,"45-54",
HRData[[#This Row],[Age]]&gt;=55,"55+"
)</f>
        <v>25-34</v>
      </c>
      <c r="C248" t="s">
        <v>43</v>
      </c>
      <c r="D248">
        <f>IF(HRData[[#This Row],[Attrition]]="Yes",1,0)</f>
        <v>0</v>
      </c>
      <c r="E248" t="s">
        <v>36</v>
      </c>
      <c r="F248">
        <v>832</v>
      </c>
      <c r="G248" t="s">
        <v>45</v>
      </c>
      <c r="H248">
        <v>5</v>
      </c>
      <c r="I248">
        <v>4</v>
      </c>
      <c r="J248" t="s">
        <v>38</v>
      </c>
      <c r="K248">
        <v>1</v>
      </c>
      <c r="L248">
        <v>338</v>
      </c>
      <c r="M248">
        <v>3</v>
      </c>
      <c r="N248" t="str" cm="1">
        <f t="array" ref="N248">_xlfn.IFS(HRData[[#This Row],[EnvironmentSatisfaction]]=1,"Very Dissatisfied",
HRData[[#This Row],[EnvironmentSatisfaction]]=2,"Dissatisfied",
HRData[[#This Row],[EnvironmentSatisfaction]]=3,"Satisfied",
HRData[[#This Row],[EnvironmentSatisfaction]]=4,"Very Satisfied"
)</f>
        <v>Satisfied</v>
      </c>
      <c r="O248" t="s">
        <v>39</v>
      </c>
      <c r="P248">
        <v>63</v>
      </c>
      <c r="Q248">
        <v>2</v>
      </c>
      <c r="R248">
        <v>1</v>
      </c>
      <c r="S248" t="s">
        <v>47</v>
      </c>
      <c r="T248">
        <v>4</v>
      </c>
      <c r="U248" t="str" cm="1">
        <f t="array" ref="U248">_xlfn.IFS(
HRData[[#This Row],[JobSatisfaction]]=1,"Very Dissatisfied",
HRData[[#This Row],[JobSatisfaction]]=2,"Dissatisfied",
HRData[[#This Row],[JobSatisfaction]]=3,"Satisfied",
HRData[[#This Row],[JobSatisfaction]]=4,"Very Satisfied"
)</f>
        <v>Very Satisfied</v>
      </c>
      <c r="V248" t="s">
        <v>48</v>
      </c>
      <c r="W248">
        <v>2911</v>
      </c>
      <c r="X248" t="str" cm="1">
        <f t="array" ref="X248">_xlfn.IFS(
HRData[[#This Row],[MonthlyIncome]]&lt;=4000,"Very Low Income",
HRData[[#This Row],[MonthlyIncome]]&lt;=8000,"Low Income",
HRData[[#This Row],[MonthlyIncome]]&lt;=12000,"Moderate Income",
HRData[[#This Row],[MonthlyIncome]]&lt;=16000,"High Income",
HRData[[#This Row],[MonthlyIncome]]&gt;16000,"Very High Income"
)</f>
        <v>Very Low Income</v>
      </c>
      <c r="Y248">
        <v>14776</v>
      </c>
      <c r="Z248">
        <v>1</v>
      </c>
      <c r="AA248" t="s">
        <v>42</v>
      </c>
      <c r="AB248" t="s">
        <v>43</v>
      </c>
      <c r="AC248">
        <v>13</v>
      </c>
      <c r="AD248" t="str" cm="1">
        <f t="array" ref="AD248">_xlfn.IFS(HRData[[#This Row],[PercentSalaryHike]]&lt;=15,"11-15",HRData[[#This Row],[PercentSalaryHike]]&lt;=20,"16-20",HRData[[#This Row],[PercentSalaryHike]]&gt;=21,"21+")</f>
        <v>11-15</v>
      </c>
      <c r="AE248">
        <v>3</v>
      </c>
      <c r="AF248">
        <v>3</v>
      </c>
      <c r="AG248">
        <v>80</v>
      </c>
      <c r="AH248">
        <v>1</v>
      </c>
      <c r="AI248">
        <v>2</v>
      </c>
      <c r="AJ248">
        <v>2</v>
      </c>
      <c r="AK248">
        <v>2</v>
      </c>
      <c r="AL248">
        <v>2</v>
      </c>
      <c r="AM248">
        <v>2</v>
      </c>
      <c r="AN248">
        <v>0</v>
      </c>
      <c r="AO248">
        <v>2</v>
      </c>
      <c r="AP24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248" t="str">
        <f>IF(HRData[[#This Row],[Attrition]]="Yes","Left", IF(HRData[[#This Row],[Attrition_Risk_Score]]&gt;=6,"High",IF(HRData[[#This Row],[Attrition_Risk_Score]]&gt;=3,"Medium","Low")))</f>
        <v>Medium</v>
      </c>
      <c r="AR248" t="str">
        <f>IF(HRData[[#This Row],[Attrition_Risk_Level]]&lt;&gt;"High","",HRData[[#This Row],[Attrition_Risk_Score]]*10000-HRData[[#This Row],[EmployeeNumber]])</f>
        <v/>
      </c>
    </row>
    <row r="249" spans="1:44">
      <c r="A249">
        <v>34</v>
      </c>
      <c r="B249" t="str" cm="1">
        <f t="array" ref="B249">_xlfn.IFS(
HRData[[#This Row],[Age]]&lt;=24,"18-24",
HRData[[#This Row],[Age]]&lt;=34,"25-34",
HRData[[#This Row],[Age]]&lt;=44,"35-44",
HRData[[#This Row],[Age]]&lt;=54,"45-54",
HRData[[#This Row],[Age]]&gt;=55,"55+"
)</f>
        <v>25-34</v>
      </c>
      <c r="C249" t="s">
        <v>43</v>
      </c>
      <c r="D249">
        <f>IF(HRData[[#This Row],[Attrition]]="Yes",1,0)</f>
        <v>0</v>
      </c>
      <c r="E249" t="s">
        <v>36</v>
      </c>
      <c r="F249">
        <v>470</v>
      </c>
      <c r="G249" t="s">
        <v>45</v>
      </c>
      <c r="H249">
        <v>2</v>
      </c>
      <c r="I249">
        <v>4</v>
      </c>
      <c r="J249" t="s">
        <v>38</v>
      </c>
      <c r="K249">
        <v>1</v>
      </c>
      <c r="L249">
        <v>339</v>
      </c>
      <c r="M249">
        <v>4</v>
      </c>
      <c r="N249" t="str" cm="1">
        <f t="array" ref="N249">_xlfn.IFS(HRData[[#This Row],[EnvironmentSatisfaction]]=1,"Very Dissatisfied",
HRData[[#This Row],[EnvironmentSatisfaction]]=2,"Dissatisfied",
HRData[[#This Row],[EnvironmentSatisfaction]]=3,"Satisfied",
HRData[[#This Row],[EnvironmentSatisfaction]]=4,"Very Satisfied"
)</f>
        <v>Very Satisfied</v>
      </c>
      <c r="O249" t="s">
        <v>46</v>
      </c>
      <c r="P249">
        <v>84</v>
      </c>
      <c r="Q249">
        <v>2</v>
      </c>
      <c r="R249">
        <v>2</v>
      </c>
      <c r="S249" t="s">
        <v>53</v>
      </c>
      <c r="T249">
        <v>1</v>
      </c>
      <c r="U249" t="str" cm="1">
        <f t="array" ref="U249">_xlfn.IFS(
HRData[[#This Row],[JobSatisfaction]]=1,"Very Dissatisfied",
HRData[[#This Row],[JobSatisfaction]]=2,"Dissatisfied",
HRData[[#This Row],[JobSatisfaction]]=3,"Satisfied",
HRData[[#This Row],[JobSatisfaction]]=4,"Very Satisfied"
)</f>
        <v>Very Dissatisfied</v>
      </c>
      <c r="V249" t="s">
        <v>48</v>
      </c>
      <c r="W249">
        <v>5957</v>
      </c>
      <c r="X249" t="str" cm="1">
        <f t="array" ref="X249">_xlfn.IFS(
HRData[[#This Row],[MonthlyIncome]]&lt;=4000,"Very Low Income",
HRData[[#This Row],[MonthlyIncome]]&lt;=8000,"Low Income",
HRData[[#This Row],[MonthlyIncome]]&lt;=12000,"Moderate Income",
HRData[[#This Row],[MonthlyIncome]]&lt;=16000,"High Income",
HRData[[#This Row],[MonthlyIncome]]&gt;16000,"Very High Income"
)</f>
        <v>Low Income</v>
      </c>
      <c r="Y249">
        <v>23687</v>
      </c>
      <c r="Z249">
        <v>6</v>
      </c>
      <c r="AA249" t="s">
        <v>42</v>
      </c>
      <c r="AB249" t="s">
        <v>43</v>
      </c>
      <c r="AC249">
        <v>13</v>
      </c>
      <c r="AD249" t="str" cm="1">
        <f t="array" ref="AD249">_xlfn.IFS(HRData[[#This Row],[PercentSalaryHike]]&lt;=15,"11-15",HRData[[#This Row],[PercentSalaryHike]]&lt;=20,"16-20",HRData[[#This Row],[PercentSalaryHike]]&gt;=21,"21+")</f>
        <v>11-15</v>
      </c>
      <c r="AE249">
        <v>3</v>
      </c>
      <c r="AF249">
        <v>2</v>
      </c>
      <c r="AG249">
        <v>80</v>
      </c>
      <c r="AH249">
        <v>1</v>
      </c>
      <c r="AI249">
        <v>13</v>
      </c>
      <c r="AJ249">
        <v>3</v>
      </c>
      <c r="AK249">
        <v>3</v>
      </c>
      <c r="AL249">
        <v>11</v>
      </c>
      <c r="AM249">
        <v>9</v>
      </c>
      <c r="AN249">
        <v>5</v>
      </c>
      <c r="AO249">
        <v>9</v>
      </c>
      <c r="AP24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249" t="str">
        <f>IF(HRData[[#This Row],[Attrition]]="Yes","Left", IF(HRData[[#This Row],[Attrition_Risk_Score]]&gt;=6,"High",IF(HRData[[#This Row],[Attrition_Risk_Score]]&gt;=3,"Medium","Low")))</f>
        <v>Medium</v>
      </c>
      <c r="AR249" t="str">
        <f>IF(HRData[[#This Row],[Attrition_Risk_Level]]&lt;&gt;"High","",HRData[[#This Row],[Attrition_Risk_Score]]*10000-HRData[[#This Row],[EmployeeNumber]])</f>
        <v/>
      </c>
    </row>
    <row r="250" spans="1:44">
      <c r="A250">
        <v>37</v>
      </c>
      <c r="B250" t="str" cm="1">
        <f t="array" ref="B250">_xlfn.IFS(
HRData[[#This Row],[Age]]&lt;=24,"18-24",
HRData[[#This Row],[Age]]&lt;=34,"25-34",
HRData[[#This Row],[Age]]&lt;=44,"35-44",
HRData[[#This Row],[Age]]&lt;=54,"45-54",
HRData[[#This Row],[Age]]&gt;=55,"55+"
)</f>
        <v>35-44</v>
      </c>
      <c r="C250" t="s">
        <v>43</v>
      </c>
      <c r="D250">
        <f>IF(HRData[[#This Row],[Attrition]]="Yes",1,0)</f>
        <v>0</v>
      </c>
      <c r="E250" t="s">
        <v>36</v>
      </c>
      <c r="F250">
        <v>1017</v>
      </c>
      <c r="G250" t="s">
        <v>45</v>
      </c>
      <c r="H250">
        <v>1</v>
      </c>
      <c r="I250">
        <v>2</v>
      </c>
      <c r="J250" t="s">
        <v>51</v>
      </c>
      <c r="K250">
        <v>1</v>
      </c>
      <c r="L250">
        <v>340</v>
      </c>
      <c r="M250">
        <v>3</v>
      </c>
      <c r="N250" t="str" cm="1">
        <f t="array" ref="N250">_xlfn.IFS(HRData[[#This Row],[EnvironmentSatisfaction]]=1,"Very Dissatisfied",
HRData[[#This Row],[EnvironmentSatisfaction]]=2,"Dissatisfied",
HRData[[#This Row],[EnvironmentSatisfaction]]=3,"Satisfied",
HRData[[#This Row],[EnvironmentSatisfaction]]=4,"Very Satisfied"
)</f>
        <v>Satisfied</v>
      </c>
      <c r="O250" t="s">
        <v>39</v>
      </c>
      <c r="P250">
        <v>83</v>
      </c>
      <c r="Q250">
        <v>2</v>
      </c>
      <c r="R250">
        <v>1</v>
      </c>
      <c r="S250" t="s">
        <v>47</v>
      </c>
      <c r="T250">
        <v>1</v>
      </c>
      <c r="U250" t="str" cm="1">
        <f t="array" ref="U250">_xlfn.IFS(
HRData[[#This Row],[JobSatisfaction]]=1,"Very Dissatisfied",
HRData[[#This Row],[JobSatisfaction]]=2,"Dissatisfied",
HRData[[#This Row],[JobSatisfaction]]=3,"Satisfied",
HRData[[#This Row],[JobSatisfaction]]=4,"Very Satisfied"
)</f>
        <v>Very Dissatisfied</v>
      </c>
      <c r="V250" t="s">
        <v>48</v>
      </c>
      <c r="W250">
        <v>3920</v>
      </c>
      <c r="X250" t="str" cm="1">
        <f t="array" ref="X250">_xlfn.IFS(
HRData[[#This Row],[MonthlyIncome]]&lt;=4000,"Very Low Income",
HRData[[#This Row],[MonthlyIncome]]&lt;=8000,"Low Income",
HRData[[#This Row],[MonthlyIncome]]&lt;=12000,"Moderate Income",
HRData[[#This Row],[MonthlyIncome]]&lt;=16000,"High Income",
HRData[[#This Row],[MonthlyIncome]]&gt;16000,"Very High Income"
)</f>
        <v>Very Low Income</v>
      </c>
      <c r="Y250">
        <v>18697</v>
      </c>
      <c r="Z250">
        <v>2</v>
      </c>
      <c r="AA250" t="s">
        <v>42</v>
      </c>
      <c r="AB250" t="s">
        <v>43</v>
      </c>
      <c r="AC250">
        <v>14</v>
      </c>
      <c r="AD250" t="str" cm="1">
        <f t="array" ref="AD250">_xlfn.IFS(HRData[[#This Row],[PercentSalaryHike]]&lt;=15,"11-15",HRData[[#This Row],[PercentSalaryHike]]&lt;=20,"16-20",HRData[[#This Row],[PercentSalaryHike]]&gt;=21,"21+")</f>
        <v>11-15</v>
      </c>
      <c r="AE250">
        <v>3</v>
      </c>
      <c r="AF250">
        <v>1</v>
      </c>
      <c r="AG250">
        <v>80</v>
      </c>
      <c r="AH250">
        <v>1</v>
      </c>
      <c r="AI250">
        <v>17</v>
      </c>
      <c r="AJ250">
        <v>2</v>
      </c>
      <c r="AK250">
        <v>2</v>
      </c>
      <c r="AL250">
        <v>3</v>
      </c>
      <c r="AM250">
        <v>1</v>
      </c>
      <c r="AN250">
        <v>0</v>
      </c>
      <c r="AO250">
        <v>2</v>
      </c>
      <c r="AP25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250" t="str">
        <f>IF(HRData[[#This Row],[Attrition]]="Yes","Left", IF(HRData[[#This Row],[Attrition_Risk_Score]]&gt;=6,"High",IF(HRData[[#This Row],[Attrition_Risk_Score]]&gt;=3,"Medium","Low")))</f>
        <v>Medium</v>
      </c>
      <c r="AR250" t="str">
        <f>IF(HRData[[#This Row],[Attrition_Risk_Level]]&lt;&gt;"High","",HRData[[#This Row],[Attrition_Risk_Score]]*10000-HRData[[#This Row],[EmployeeNumber]])</f>
        <v/>
      </c>
    </row>
    <row r="251" spans="1:44">
      <c r="A251">
        <v>45</v>
      </c>
      <c r="B251" t="str" cm="1">
        <f t="array" ref="B251">_xlfn.IFS(
HRData[[#This Row],[Age]]&lt;=24,"18-24",
HRData[[#This Row],[Age]]&lt;=34,"25-34",
HRData[[#This Row],[Age]]&lt;=44,"35-44",
HRData[[#This Row],[Age]]&lt;=54,"45-54",
HRData[[#This Row],[Age]]&gt;=55,"55+"
)</f>
        <v>45-54</v>
      </c>
      <c r="C251" t="s">
        <v>43</v>
      </c>
      <c r="D251">
        <f>IF(HRData[[#This Row],[Attrition]]="Yes",1,0)</f>
        <v>0</v>
      </c>
      <c r="E251" t="s">
        <v>44</v>
      </c>
      <c r="F251">
        <v>1199</v>
      </c>
      <c r="G251" t="s">
        <v>45</v>
      </c>
      <c r="H251">
        <v>7</v>
      </c>
      <c r="I251">
        <v>4</v>
      </c>
      <c r="J251" t="s">
        <v>38</v>
      </c>
      <c r="K251">
        <v>1</v>
      </c>
      <c r="L251">
        <v>341</v>
      </c>
      <c r="M251">
        <v>1</v>
      </c>
      <c r="N251" t="str" cm="1">
        <f t="array" ref="N251">_xlfn.IFS(HRData[[#This Row],[EnvironmentSatisfaction]]=1,"Very Dissatisfied",
HRData[[#This Row],[EnvironmentSatisfaction]]=2,"Dissatisfied",
HRData[[#This Row],[EnvironmentSatisfaction]]=3,"Satisfied",
HRData[[#This Row],[EnvironmentSatisfaction]]=4,"Very Satisfied"
)</f>
        <v>Very Dissatisfied</v>
      </c>
      <c r="O251" t="s">
        <v>46</v>
      </c>
      <c r="P251">
        <v>77</v>
      </c>
      <c r="Q251">
        <v>4</v>
      </c>
      <c r="R251">
        <v>2</v>
      </c>
      <c r="S251" t="s">
        <v>53</v>
      </c>
      <c r="T251">
        <v>3</v>
      </c>
      <c r="U251" t="str" cm="1">
        <f t="array" ref="U251">_xlfn.IFS(
HRData[[#This Row],[JobSatisfaction]]=1,"Very Dissatisfied",
HRData[[#This Row],[JobSatisfaction]]=2,"Dissatisfied",
HRData[[#This Row],[JobSatisfaction]]=3,"Satisfied",
HRData[[#This Row],[JobSatisfaction]]=4,"Very Satisfied"
)</f>
        <v>Satisfied</v>
      </c>
      <c r="V251" t="s">
        <v>48</v>
      </c>
      <c r="W251">
        <v>6434</v>
      </c>
      <c r="X251" t="str" cm="1">
        <f t="array" ref="X251">_xlfn.IFS(
HRData[[#This Row],[MonthlyIncome]]&lt;=4000,"Very Low Income",
HRData[[#This Row],[MonthlyIncome]]&lt;=8000,"Low Income",
HRData[[#This Row],[MonthlyIncome]]&lt;=12000,"Moderate Income",
HRData[[#This Row],[MonthlyIncome]]&lt;=16000,"High Income",
HRData[[#This Row],[MonthlyIncome]]&gt;16000,"Very High Income"
)</f>
        <v>Low Income</v>
      </c>
      <c r="Y251">
        <v>5118</v>
      </c>
      <c r="Z251">
        <v>4</v>
      </c>
      <c r="AA251" t="s">
        <v>42</v>
      </c>
      <c r="AB251" t="s">
        <v>43</v>
      </c>
      <c r="AC251">
        <v>17</v>
      </c>
      <c r="AD251" t="str" cm="1">
        <f t="array" ref="AD251">_xlfn.IFS(HRData[[#This Row],[PercentSalaryHike]]&lt;=15,"11-15",HRData[[#This Row],[PercentSalaryHike]]&lt;=20,"16-20",HRData[[#This Row],[PercentSalaryHike]]&gt;=21,"21+")</f>
        <v>16-20</v>
      </c>
      <c r="AE251">
        <v>3</v>
      </c>
      <c r="AF251">
        <v>4</v>
      </c>
      <c r="AG251">
        <v>80</v>
      </c>
      <c r="AH251">
        <v>1</v>
      </c>
      <c r="AI251">
        <v>9</v>
      </c>
      <c r="AJ251">
        <v>1</v>
      </c>
      <c r="AK251">
        <v>3</v>
      </c>
      <c r="AL251">
        <v>3</v>
      </c>
      <c r="AM251">
        <v>2</v>
      </c>
      <c r="AN251">
        <v>0</v>
      </c>
      <c r="AO251">
        <v>2</v>
      </c>
      <c r="AP25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251" t="str">
        <f>IF(HRData[[#This Row],[Attrition]]="Yes","Left", IF(HRData[[#This Row],[Attrition_Risk_Score]]&gt;=6,"High",IF(HRData[[#This Row],[Attrition_Risk_Score]]&gt;=3,"Medium","Low")))</f>
        <v>Low</v>
      </c>
      <c r="AR251" t="str">
        <f>IF(HRData[[#This Row],[Attrition_Risk_Level]]&lt;&gt;"High","",HRData[[#This Row],[Attrition_Risk_Score]]*10000-HRData[[#This Row],[EmployeeNumber]])</f>
        <v/>
      </c>
    </row>
    <row r="252" spans="1:44">
      <c r="A252">
        <v>37</v>
      </c>
      <c r="B252" t="str" cm="1">
        <f t="array" ref="B252">_xlfn.IFS(
HRData[[#This Row],[Age]]&lt;=24,"18-24",
HRData[[#This Row],[Age]]&lt;=34,"25-34",
HRData[[#This Row],[Age]]&lt;=44,"35-44",
HRData[[#This Row],[Age]]&lt;=54,"45-54",
HRData[[#This Row],[Age]]&gt;=55,"55+"
)</f>
        <v>35-44</v>
      </c>
      <c r="C252" t="s">
        <v>35</v>
      </c>
      <c r="D252">
        <f>IF(HRData[[#This Row],[Attrition]]="Yes",1,0)</f>
        <v>1</v>
      </c>
      <c r="E252" t="s">
        <v>44</v>
      </c>
      <c r="F252">
        <v>504</v>
      </c>
      <c r="G252" t="s">
        <v>45</v>
      </c>
      <c r="H252">
        <v>10</v>
      </c>
      <c r="I252">
        <v>3</v>
      </c>
      <c r="J252" t="s">
        <v>51</v>
      </c>
      <c r="K252">
        <v>1</v>
      </c>
      <c r="L252">
        <v>342</v>
      </c>
      <c r="M252">
        <v>1</v>
      </c>
      <c r="N252" t="str" cm="1">
        <f t="array" ref="N252">_xlfn.IFS(HRData[[#This Row],[EnvironmentSatisfaction]]=1,"Very Dissatisfied",
HRData[[#This Row],[EnvironmentSatisfaction]]=2,"Dissatisfied",
HRData[[#This Row],[EnvironmentSatisfaction]]=3,"Satisfied",
HRData[[#This Row],[EnvironmentSatisfaction]]=4,"Very Satisfied"
)</f>
        <v>Very Dissatisfied</v>
      </c>
      <c r="O252" t="s">
        <v>46</v>
      </c>
      <c r="P252">
        <v>61</v>
      </c>
      <c r="Q252">
        <v>3</v>
      </c>
      <c r="R252">
        <v>3</v>
      </c>
      <c r="S252" t="s">
        <v>53</v>
      </c>
      <c r="T252">
        <v>3</v>
      </c>
      <c r="U252" t="str" cm="1">
        <f t="array" ref="U252">_xlfn.IFS(
HRData[[#This Row],[JobSatisfaction]]=1,"Very Dissatisfied",
HRData[[#This Row],[JobSatisfaction]]=2,"Dissatisfied",
HRData[[#This Row],[JobSatisfaction]]=3,"Satisfied",
HRData[[#This Row],[JobSatisfaction]]=4,"Very Satisfied"
)</f>
        <v>Satisfied</v>
      </c>
      <c r="V252" t="s">
        <v>52</v>
      </c>
      <c r="W252">
        <v>10048</v>
      </c>
      <c r="X252" t="str" cm="1">
        <f t="array" ref="X252">_xlfn.IFS(
HRData[[#This Row],[MonthlyIncome]]&lt;=4000,"Very Low Income",
HRData[[#This Row],[MonthlyIncome]]&lt;=8000,"Low Income",
HRData[[#This Row],[MonthlyIncome]]&lt;=12000,"Moderate Income",
HRData[[#This Row],[MonthlyIncome]]&lt;=16000,"High Income",
HRData[[#This Row],[MonthlyIncome]]&gt;16000,"Very High Income"
)</f>
        <v>Moderate Income</v>
      </c>
      <c r="Y252">
        <v>22573</v>
      </c>
      <c r="Z252">
        <v>6</v>
      </c>
      <c r="AA252" t="s">
        <v>42</v>
      </c>
      <c r="AB252" t="s">
        <v>43</v>
      </c>
      <c r="AC252">
        <v>11</v>
      </c>
      <c r="AD252" t="str" cm="1">
        <f t="array" ref="AD252">_xlfn.IFS(HRData[[#This Row],[PercentSalaryHike]]&lt;=15,"11-15",HRData[[#This Row],[PercentSalaryHike]]&lt;=20,"16-20",HRData[[#This Row],[PercentSalaryHike]]&gt;=21,"21+")</f>
        <v>11-15</v>
      </c>
      <c r="AE252">
        <v>3</v>
      </c>
      <c r="AF252">
        <v>2</v>
      </c>
      <c r="AG252">
        <v>80</v>
      </c>
      <c r="AH252">
        <v>2</v>
      </c>
      <c r="AI252">
        <v>17</v>
      </c>
      <c r="AJ252">
        <v>5</v>
      </c>
      <c r="AK252">
        <v>3</v>
      </c>
      <c r="AL252">
        <v>1</v>
      </c>
      <c r="AM252">
        <v>0</v>
      </c>
      <c r="AN252">
        <v>0</v>
      </c>
      <c r="AO252">
        <v>0</v>
      </c>
      <c r="AP25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52" t="str">
        <f>IF(HRData[[#This Row],[Attrition]]="Yes","Left", IF(HRData[[#This Row],[Attrition_Risk_Score]]&gt;=6,"High",IF(HRData[[#This Row],[Attrition_Risk_Score]]&gt;=3,"Medium","Low")))</f>
        <v>Left</v>
      </c>
      <c r="AR252" t="str">
        <f>IF(HRData[[#This Row],[Attrition_Risk_Level]]&lt;&gt;"High","",HRData[[#This Row],[Attrition_Risk_Score]]*10000-HRData[[#This Row],[EmployeeNumber]])</f>
        <v/>
      </c>
    </row>
    <row r="253" spans="1:44">
      <c r="A253">
        <v>39</v>
      </c>
      <c r="B253" t="str" cm="1">
        <f t="array" ref="B253">_xlfn.IFS(
HRData[[#This Row],[Age]]&lt;=24,"18-24",
HRData[[#This Row],[Age]]&lt;=34,"25-34",
HRData[[#This Row],[Age]]&lt;=44,"35-44",
HRData[[#This Row],[Age]]&lt;=54,"45-54",
HRData[[#This Row],[Age]]&gt;=55,"55+"
)</f>
        <v>35-44</v>
      </c>
      <c r="C253" t="s">
        <v>43</v>
      </c>
      <c r="D253">
        <f>IF(HRData[[#This Row],[Attrition]]="Yes",1,0)</f>
        <v>0</v>
      </c>
      <c r="E253" t="s">
        <v>44</v>
      </c>
      <c r="F253">
        <v>505</v>
      </c>
      <c r="G253" t="s">
        <v>45</v>
      </c>
      <c r="H253">
        <v>2</v>
      </c>
      <c r="I253">
        <v>4</v>
      </c>
      <c r="J253" t="s">
        <v>60</v>
      </c>
      <c r="K253">
        <v>1</v>
      </c>
      <c r="L253">
        <v>343</v>
      </c>
      <c r="M253">
        <v>3</v>
      </c>
      <c r="N253" t="str" cm="1">
        <f t="array" ref="N253">_xlfn.IFS(HRData[[#This Row],[EnvironmentSatisfaction]]=1,"Very Dissatisfied",
HRData[[#This Row],[EnvironmentSatisfaction]]=2,"Dissatisfied",
HRData[[#This Row],[EnvironmentSatisfaction]]=3,"Satisfied",
HRData[[#This Row],[EnvironmentSatisfaction]]=4,"Very Satisfied"
)</f>
        <v>Satisfied</v>
      </c>
      <c r="O253" t="s">
        <v>39</v>
      </c>
      <c r="P253">
        <v>64</v>
      </c>
      <c r="Q253">
        <v>3</v>
      </c>
      <c r="R253">
        <v>3</v>
      </c>
      <c r="S253" t="s">
        <v>54</v>
      </c>
      <c r="T253">
        <v>3</v>
      </c>
      <c r="U253" t="str" cm="1">
        <f t="array" ref="U253">_xlfn.IFS(
HRData[[#This Row],[JobSatisfaction]]=1,"Very Dissatisfied",
HRData[[#This Row],[JobSatisfaction]]=2,"Dissatisfied",
HRData[[#This Row],[JobSatisfaction]]=3,"Satisfied",
HRData[[#This Row],[JobSatisfaction]]=4,"Very Satisfied"
)</f>
        <v>Satisfied</v>
      </c>
      <c r="V253" t="s">
        <v>41</v>
      </c>
      <c r="W253">
        <v>10938</v>
      </c>
      <c r="X253" t="str" cm="1">
        <f t="array" ref="X253">_xlfn.IFS(
HRData[[#This Row],[MonthlyIncome]]&lt;=4000,"Very Low Income",
HRData[[#This Row],[MonthlyIncome]]&lt;=8000,"Low Income",
HRData[[#This Row],[MonthlyIncome]]&lt;=12000,"Moderate Income",
HRData[[#This Row],[MonthlyIncome]]&lt;=16000,"High Income",
HRData[[#This Row],[MonthlyIncome]]&gt;16000,"Very High Income"
)</f>
        <v>Moderate Income</v>
      </c>
      <c r="Y253">
        <v>6420</v>
      </c>
      <c r="Z253">
        <v>0</v>
      </c>
      <c r="AA253" t="s">
        <v>42</v>
      </c>
      <c r="AB253" t="s">
        <v>43</v>
      </c>
      <c r="AC253">
        <v>25</v>
      </c>
      <c r="AD253" t="str" cm="1">
        <f t="array" ref="AD253">_xlfn.IFS(HRData[[#This Row],[PercentSalaryHike]]&lt;=15,"11-15",HRData[[#This Row],[PercentSalaryHike]]&lt;=20,"16-20",HRData[[#This Row],[PercentSalaryHike]]&gt;=21,"21+")</f>
        <v>21+</v>
      </c>
      <c r="AE253">
        <v>4</v>
      </c>
      <c r="AF253">
        <v>4</v>
      </c>
      <c r="AG253">
        <v>80</v>
      </c>
      <c r="AH253">
        <v>0</v>
      </c>
      <c r="AI253">
        <v>20</v>
      </c>
      <c r="AJ253">
        <v>1</v>
      </c>
      <c r="AK253">
        <v>3</v>
      </c>
      <c r="AL253">
        <v>19</v>
      </c>
      <c r="AM253">
        <v>6</v>
      </c>
      <c r="AN253">
        <v>11</v>
      </c>
      <c r="AO253">
        <v>8</v>
      </c>
      <c r="AP25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253" t="str">
        <f>IF(HRData[[#This Row],[Attrition]]="Yes","Left", IF(HRData[[#This Row],[Attrition_Risk_Score]]&gt;=6,"High",IF(HRData[[#This Row],[Attrition_Risk_Score]]&gt;=3,"Medium","Low")))</f>
        <v>Low</v>
      </c>
      <c r="AR253" t="str">
        <f>IF(HRData[[#This Row],[Attrition_Risk_Level]]&lt;&gt;"High","",HRData[[#This Row],[Attrition_Risk_Score]]*10000-HRData[[#This Row],[EmployeeNumber]])</f>
        <v/>
      </c>
    </row>
    <row r="254" spans="1:44">
      <c r="A254">
        <v>29</v>
      </c>
      <c r="B254" t="str" cm="1">
        <f t="array" ref="B254">_xlfn.IFS(
HRData[[#This Row],[Age]]&lt;=24,"18-24",
HRData[[#This Row],[Age]]&lt;=34,"25-34",
HRData[[#This Row],[Age]]&lt;=44,"35-44",
HRData[[#This Row],[Age]]&lt;=54,"45-54",
HRData[[#This Row],[Age]]&gt;=55,"55+"
)</f>
        <v>25-34</v>
      </c>
      <c r="C254" t="s">
        <v>43</v>
      </c>
      <c r="D254">
        <f>IF(HRData[[#This Row],[Attrition]]="Yes",1,0)</f>
        <v>0</v>
      </c>
      <c r="E254" t="s">
        <v>36</v>
      </c>
      <c r="F254">
        <v>665</v>
      </c>
      <c r="G254" t="s">
        <v>45</v>
      </c>
      <c r="H254">
        <v>15</v>
      </c>
      <c r="I254">
        <v>3</v>
      </c>
      <c r="J254" t="s">
        <v>38</v>
      </c>
      <c r="K254">
        <v>1</v>
      </c>
      <c r="L254">
        <v>346</v>
      </c>
      <c r="M254">
        <v>3</v>
      </c>
      <c r="N254" t="str" cm="1">
        <f t="array" ref="N254">_xlfn.IFS(HRData[[#This Row],[EnvironmentSatisfaction]]=1,"Very Dissatisfied",
HRData[[#This Row],[EnvironmentSatisfaction]]=2,"Dissatisfied",
HRData[[#This Row],[EnvironmentSatisfaction]]=3,"Satisfied",
HRData[[#This Row],[EnvironmentSatisfaction]]=4,"Very Satisfied"
)</f>
        <v>Satisfied</v>
      </c>
      <c r="O254" t="s">
        <v>46</v>
      </c>
      <c r="P254">
        <v>60</v>
      </c>
      <c r="Q254">
        <v>3</v>
      </c>
      <c r="R254">
        <v>1</v>
      </c>
      <c r="S254" t="s">
        <v>47</v>
      </c>
      <c r="T254">
        <v>4</v>
      </c>
      <c r="U254" t="str" cm="1">
        <f t="array" ref="U254">_xlfn.IFS(
HRData[[#This Row],[JobSatisfaction]]=1,"Very Dissatisfied",
HRData[[#This Row],[JobSatisfaction]]=2,"Dissatisfied",
HRData[[#This Row],[JobSatisfaction]]=3,"Satisfied",
HRData[[#This Row],[JobSatisfaction]]=4,"Very Satisfied"
)</f>
        <v>Very Satisfied</v>
      </c>
      <c r="V254" t="s">
        <v>41</v>
      </c>
      <c r="W254">
        <v>2340</v>
      </c>
      <c r="X254" t="str" cm="1">
        <f t="array" ref="X254">_xlfn.IFS(
HRData[[#This Row],[MonthlyIncome]]&lt;=4000,"Very Low Income",
HRData[[#This Row],[MonthlyIncome]]&lt;=8000,"Low Income",
HRData[[#This Row],[MonthlyIncome]]&lt;=12000,"Moderate Income",
HRData[[#This Row],[MonthlyIncome]]&lt;=16000,"High Income",
HRData[[#This Row],[MonthlyIncome]]&gt;16000,"Very High Income"
)</f>
        <v>Very Low Income</v>
      </c>
      <c r="Y254">
        <v>22673</v>
      </c>
      <c r="Z254">
        <v>1</v>
      </c>
      <c r="AA254" t="s">
        <v>42</v>
      </c>
      <c r="AB254" t="s">
        <v>43</v>
      </c>
      <c r="AC254">
        <v>19</v>
      </c>
      <c r="AD254" t="str" cm="1">
        <f t="array" ref="AD254">_xlfn.IFS(HRData[[#This Row],[PercentSalaryHike]]&lt;=15,"11-15",HRData[[#This Row],[PercentSalaryHike]]&lt;=20,"16-20",HRData[[#This Row],[PercentSalaryHike]]&gt;=21,"21+")</f>
        <v>16-20</v>
      </c>
      <c r="AE254">
        <v>3</v>
      </c>
      <c r="AF254">
        <v>1</v>
      </c>
      <c r="AG254">
        <v>80</v>
      </c>
      <c r="AH254">
        <v>0</v>
      </c>
      <c r="AI254">
        <v>6</v>
      </c>
      <c r="AJ254">
        <v>1</v>
      </c>
      <c r="AK254">
        <v>3</v>
      </c>
      <c r="AL254">
        <v>6</v>
      </c>
      <c r="AM254">
        <v>5</v>
      </c>
      <c r="AN254">
        <v>1</v>
      </c>
      <c r="AO254">
        <v>5</v>
      </c>
      <c r="AP25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254" t="str">
        <f>IF(HRData[[#This Row],[Attrition]]="Yes","Left", IF(HRData[[#This Row],[Attrition_Risk_Score]]&gt;=6,"High",IF(HRData[[#This Row],[Attrition_Risk_Score]]&gt;=3,"Medium","Low")))</f>
        <v>Medium</v>
      </c>
      <c r="AR254" t="str">
        <f>IF(HRData[[#This Row],[Attrition_Risk_Level]]&lt;&gt;"High","",HRData[[#This Row],[Attrition_Risk_Score]]*10000-HRData[[#This Row],[EmployeeNumber]])</f>
        <v/>
      </c>
    </row>
    <row r="255" spans="1:44">
      <c r="A255">
        <v>42</v>
      </c>
      <c r="B255" t="str" cm="1">
        <f t="array" ref="B255">_xlfn.IFS(
HRData[[#This Row],[Age]]&lt;=24,"18-24",
HRData[[#This Row],[Age]]&lt;=34,"25-34",
HRData[[#This Row],[Age]]&lt;=44,"35-44",
HRData[[#This Row],[Age]]&lt;=54,"45-54",
HRData[[#This Row],[Age]]&gt;=55,"55+"
)</f>
        <v>35-44</v>
      </c>
      <c r="C255" t="s">
        <v>43</v>
      </c>
      <c r="D255">
        <f>IF(HRData[[#This Row],[Attrition]]="Yes",1,0)</f>
        <v>0</v>
      </c>
      <c r="E255" t="s">
        <v>36</v>
      </c>
      <c r="F255">
        <v>916</v>
      </c>
      <c r="G255" t="s">
        <v>45</v>
      </c>
      <c r="H255">
        <v>17</v>
      </c>
      <c r="I255">
        <v>2</v>
      </c>
      <c r="J255" t="s">
        <v>38</v>
      </c>
      <c r="K255">
        <v>1</v>
      </c>
      <c r="L255">
        <v>347</v>
      </c>
      <c r="M255">
        <v>4</v>
      </c>
      <c r="N255" t="str" cm="1">
        <f t="array" ref="N255">_xlfn.IFS(HRData[[#This Row],[EnvironmentSatisfaction]]=1,"Very Dissatisfied",
HRData[[#This Row],[EnvironmentSatisfaction]]=2,"Dissatisfied",
HRData[[#This Row],[EnvironmentSatisfaction]]=3,"Satisfied",
HRData[[#This Row],[EnvironmentSatisfaction]]=4,"Very Satisfied"
)</f>
        <v>Very Satisfied</v>
      </c>
      <c r="O255" t="s">
        <v>39</v>
      </c>
      <c r="P255">
        <v>82</v>
      </c>
      <c r="Q255">
        <v>4</v>
      </c>
      <c r="R255">
        <v>2</v>
      </c>
      <c r="S255" t="s">
        <v>47</v>
      </c>
      <c r="T255">
        <v>1</v>
      </c>
      <c r="U255" t="str" cm="1">
        <f t="array" ref="U255">_xlfn.IFS(
HRData[[#This Row],[JobSatisfaction]]=1,"Very Dissatisfied",
HRData[[#This Row],[JobSatisfaction]]=2,"Dissatisfied",
HRData[[#This Row],[JobSatisfaction]]=3,"Satisfied",
HRData[[#This Row],[JobSatisfaction]]=4,"Very Satisfied"
)</f>
        <v>Very Dissatisfied</v>
      </c>
      <c r="V255" t="s">
        <v>41</v>
      </c>
      <c r="W255">
        <v>6545</v>
      </c>
      <c r="X255" t="str" cm="1">
        <f t="array" ref="X255">_xlfn.IFS(
HRData[[#This Row],[MonthlyIncome]]&lt;=4000,"Very Low Income",
HRData[[#This Row],[MonthlyIncome]]&lt;=8000,"Low Income",
HRData[[#This Row],[MonthlyIncome]]&lt;=12000,"Moderate Income",
HRData[[#This Row],[MonthlyIncome]]&lt;=16000,"High Income",
HRData[[#This Row],[MonthlyIncome]]&gt;16000,"Very High Income"
)</f>
        <v>Low Income</v>
      </c>
      <c r="Y255">
        <v>23016</v>
      </c>
      <c r="Z255">
        <v>3</v>
      </c>
      <c r="AA255" t="s">
        <v>42</v>
      </c>
      <c r="AB255" t="s">
        <v>35</v>
      </c>
      <c r="AC255">
        <v>13</v>
      </c>
      <c r="AD255" t="str" cm="1">
        <f t="array" ref="AD255">_xlfn.IFS(HRData[[#This Row],[PercentSalaryHike]]&lt;=15,"11-15",HRData[[#This Row],[PercentSalaryHike]]&lt;=20,"16-20",HRData[[#This Row],[PercentSalaryHike]]&gt;=21,"21+")</f>
        <v>11-15</v>
      </c>
      <c r="AE255">
        <v>3</v>
      </c>
      <c r="AF255">
        <v>3</v>
      </c>
      <c r="AG255">
        <v>80</v>
      </c>
      <c r="AH255">
        <v>0</v>
      </c>
      <c r="AI255">
        <v>10</v>
      </c>
      <c r="AJ255">
        <v>1</v>
      </c>
      <c r="AK255">
        <v>3</v>
      </c>
      <c r="AL255">
        <v>3</v>
      </c>
      <c r="AM255">
        <v>2</v>
      </c>
      <c r="AN255">
        <v>0</v>
      </c>
      <c r="AO255">
        <v>2</v>
      </c>
      <c r="AP25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255" t="str">
        <f>IF(HRData[[#This Row],[Attrition]]="Yes","Left", IF(HRData[[#This Row],[Attrition_Risk_Score]]&gt;=6,"High",IF(HRData[[#This Row],[Attrition_Risk_Score]]&gt;=3,"Medium","Low")))</f>
        <v>Medium</v>
      </c>
      <c r="AR255" t="str">
        <f>IF(HRData[[#This Row],[Attrition_Risk_Level]]&lt;&gt;"High","",HRData[[#This Row],[Attrition_Risk_Score]]*10000-HRData[[#This Row],[EmployeeNumber]])</f>
        <v/>
      </c>
    </row>
    <row r="256" spans="1:44">
      <c r="A256">
        <v>29</v>
      </c>
      <c r="B256" t="str" cm="1">
        <f t="array" ref="B256">_xlfn.IFS(
HRData[[#This Row],[Age]]&lt;=24,"18-24",
HRData[[#This Row],[Age]]&lt;=34,"25-34",
HRData[[#This Row],[Age]]&lt;=44,"35-44",
HRData[[#This Row],[Age]]&lt;=54,"45-54",
HRData[[#This Row],[Age]]&gt;=55,"55+"
)</f>
        <v>25-34</v>
      </c>
      <c r="C256" t="s">
        <v>43</v>
      </c>
      <c r="D256">
        <f>IF(HRData[[#This Row],[Attrition]]="Yes",1,0)</f>
        <v>0</v>
      </c>
      <c r="E256" t="s">
        <v>36</v>
      </c>
      <c r="F256">
        <v>1247</v>
      </c>
      <c r="G256" t="s">
        <v>37</v>
      </c>
      <c r="H256">
        <v>20</v>
      </c>
      <c r="I256">
        <v>2</v>
      </c>
      <c r="J256" t="s">
        <v>59</v>
      </c>
      <c r="K256">
        <v>1</v>
      </c>
      <c r="L256">
        <v>349</v>
      </c>
      <c r="M256">
        <v>4</v>
      </c>
      <c r="N256" t="str" cm="1">
        <f t="array" ref="N256">_xlfn.IFS(HRData[[#This Row],[EnvironmentSatisfaction]]=1,"Very Dissatisfied",
HRData[[#This Row],[EnvironmentSatisfaction]]=2,"Dissatisfied",
HRData[[#This Row],[EnvironmentSatisfaction]]=3,"Satisfied",
HRData[[#This Row],[EnvironmentSatisfaction]]=4,"Very Satisfied"
)</f>
        <v>Very Satisfied</v>
      </c>
      <c r="O256" t="s">
        <v>46</v>
      </c>
      <c r="P256">
        <v>45</v>
      </c>
      <c r="Q256">
        <v>3</v>
      </c>
      <c r="R256">
        <v>2</v>
      </c>
      <c r="S256" t="s">
        <v>40</v>
      </c>
      <c r="T256">
        <v>4</v>
      </c>
      <c r="U256" t="str" cm="1">
        <f t="array" ref="U256">_xlfn.IFS(
HRData[[#This Row],[JobSatisfaction]]=1,"Very Dissatisfied",
HRData[[#This Row],[JobSatisfaction]]=2,"Dissatisfied",
HRData[[#This Row],[JobSatisfaction]]=3,"Satisfied",
HRData[[#This Row],[JobSatisfaction]]=4,"Very Satisfied"
)</f>
        <v>Very Satisfied</v>
      </c>
      <c r="V256" t="s">
        <v>52</v>
      </c>
      <c r="W256">
        <v>6931</v>
      </c>
      <c r="X256" t="str" cm="1">
        <f t="array" ref="X256">_xlfn.IFS(
HRData[[#This Row],[MonthlyIncome]]&lt;=4000,"Very Low Income",
HRData[[#This Row],[MonthlyIncome]]&lt;=8000,"Low Income",
HRData[[#This Row],[MonthlyIncome]]&lt;=12000,"Moderate Income",
HRData[[#This Row],[MonthlyIncome]]&lt;=16000,"High Income",
HRData[[#This Row],[MonthlyIncome]]&gt;16000,"Very High Income"
)</f>
        <v>Low Income</v>
      </c>
      <c r="Y256">
        <v>10732</v>
      </c>
      <c r="Z256">
        <v>2</v>
      </c>
      <c r="AA256" t="s">
        <v>42</v>
      </c>
      <c r="AB256" t="s">
        <v>43</v>
      </c>
      <c r="AC256">
        <v>14</v>
      </c>
      <c r="AD256" t="str" cm="1">
        <f t="array" ref="AD256">_xlfn.IFS(HRData[[#This Row],[PercentSalaryHike]]&lt;=15,"11-15",HRData[[#This Row],[PercentSalaryHike]]&lt;=20,"16-20",HRData[[#This Row],[PercentSalaryHike]]&gt;=21,"21+")</f>
        <v>11-15</v>
      </c>
      <c r="AE256">
        <v>3</v>
      </c>
      <c r="AF256">
        <v>4</v>
      </c>
      <c r="AG256">
        <v>80</v>
      </c>
      <c r="AH256">
        <v>1</v>
      </c>
      <c r="AI256">
        <v>10</v>
      </c>
      <c r="AJ256">
        <v>2</v>
      </c>
      <c r="AK256">
        <v>3</v>
      </c>
      <c r="AL256">
        <v>3</v>
      </c>
      <c r="AM256">
        <v>2</v>
      </c>
      <c r="AN256">
        <v>0</v>
      </c>
      <c r="AO256">
        <v>2</v>
      </c>
      <c r="AP25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56" t="str">
        <f>IF(HRData[[#This Row],[Attrition]]="Yes","Left", IF(HRData[[#This Row],[Attrition_Risk_Score]]&gt;=6,"High",IF(HRData[[#This Row],[Attrition_Risk_Score]]&gt;=3,"Medium","Low")))</f>
        <v>Low</v>
      </c>
      <c r="AR256" t="str">
        <f>IF(HRData[[#This Row],[Attrition_Risk_Level]]&lt;&gt;"High","",HRData[[#This Row],[Attrition_Risk_Score]]*10000-HRData[[#This Row],[EmployeeNumber]])</f>
        <v/>
      </c>
    </row>
    <row r="257" spans="1:44">
      <c r="A257">
        <v>25</v>
      </c>
      <c r="B257" t="str" cm="1">
        <f t="array" ref="B257">_xlfn.IFS(
HRData[[#This Row],[Age]]&lt;=24,"18-24",
HRData[[#This Row],[Age]]&lt;=34,"25-34",
HRData[[#This Row],[Age]]&lt;=44,"35-44",
HRData[[#This Row],[Age]]&lt;=54,"45-54",
HRData[[#This Row],[Age]]&gt;=55,"55+"
)</f>
        <v>25-34</v>
      </c>
      <c r="C257" t="s">
        <v>43</v>
      </c>
      <c r="D257">
        <f>IF(HRData[[#This Row],[Attrition]]="Yes",1,0)</f>
        <v>0</v>
      </c>
      <c r="E257" t="s">
        <v>36</v>
      </c>
      <c r="F257">
        <v>685</v>
      </c>
      <c r="G257" t="s">
        <v>45</v>
      </c>
      <c r="H257">
        <v>1</v>
      </c>
      <c r="I257">
        <v>3</v>
      </c>
      <c r="J257" t="s">
        <v>38</v>
      </c>
      <c r="K257">
        <v>1</v>
      </c>
      <c r="L257">
        <v>350</v>
      </c>
      <c r="M257">
        <v>1</v>
      </c>
      <c r="N257" t="str" cm="1">
        <f t="array" ref="N257">_xlfn.IFS(HRData[[#This Row],[EnvironmentSatisfaction]]=1,"Very Dissatisfied",
HRData[[#This Row],[EnvironmentSatisfaction]]=2,"Dissatisfied",
HRData[[#This Row],[EnvironmentSatisfaction]]=3,"Satisfied",
HRData[[#This Row],[EnvironmentSatisfaction]]=4,"Very Satisfied"
)</f>
        <v>Very Dissatisfied</v>
      </c>
      <c r="O257" t="s">
        <v>39</v>
      </c>
      <c r="P257">
        <v>62</v>
      </c>
      <c r="Q257">
        <v>3</v>
      </c>
      <c r="R257">
        <v>2</v>
      </c>
      <c r="S257" t="s">
        <v>53</v>
      </c>
      <c r="T257">
        <v>3</v>
      </c>
      <c r="U257" t="str" cm="1">
        <f t="array" ref="U257">_xlfn.IFS(
HRData[[#This Row],[JobSatisfaction]]=1,"Very Dissatisfied",
HRData[[#This Row],[JobSatisfaction]]=2,"Dissatisfied",
HRData[[#This Row],[JobSatisfaction]]=3,"Satisfied",
HRData[[#This Row],[JobSatisfaction]]=4,"Very Satisfied"
)</f>
        <v>Satisfied</v>
      </c>
      <c r="V257" t="s">
        <v>48</v>
      </c>
      <c r="W257">
        <v>4898</v>
      </c>
      <c r="X257" t="str" cm="1">
        <f t="array" ref="X257">_xlfn.IFS(
HRData[[#This Row],[MonthlyIncome]]&lt;=4000,"Very Low Income",
HRData[[#This Row],[MonthlyIncome]]&lt;=8000,"Low Income",
HRData[[#This Row],[MonthlyIncome]]&lt;=12000,"Moderate Income",
HRData[[#This Row],[MonthlyIncome]]&lt;=16000,"High Income",
HRData[[#This Row],[MonthlyIncome]]&gt;16000,"Very High Income"
)</f>
        <v>Low Income</v>
      </c>
      <c r="Y257">
        <v>7505</v>
      </c>
      <c r="Z257">
        <v>0</v>
      </c>
      <c r="AA257" t="s">
        <v>42</v>
      </c>
      <c r="AB257" t="s">
        <v>43</v>
      </c>
      <c r="AC257">
        <v>12</v>
      </c>
      <c r="AD257" t="str" cm="1">
        <f t="array" ref="AD257">_xlfn.IFS(HRData[[#This Row],[PercentSalaryHike]]&lt;=15,"11-15",HRData[[#This Row],[PercentSalaryHike]]&lt;=20,"16-20",HRData[[#This Row],[PercentSalaryHike]]&gt;=21,"21+")</f>
        <v>11-15</v>
      </c>
      <c r="AE257">
        <v>3</v>
      </c>
      <c r="AF257">
        <v>4</v>
      </c>
      <c r="AG257">
        <v>80</v>
      </c>
      <c r="AH257">
        <v>2</v>
      </c>
      <c r="AI257">
        <v>5</v>
      </c>
      <c r="AJ257">
        <v>3</v>
      </c>
      <c r="AK257">
        <v>3</v>
      </c>
      <c r="AL257">
        <v>4</v>
      </c>
      <c r="AM257">
        <v>2</v>
      </c>
      <c r="AN257">
        <v>1</v>
      </c>
      <c r="AO257">
        <v>2</v>
      </c>
      <c r="AP25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57" t="str">
        <f>IF(HRData[[#This Row],[Attrition]]="Yes","Left", IF(HRData[[#This Row],[Attrition_Risk_Score]]&gt;=6,"High",IF(HRData[[#This Row],[Attrition_Risk_Score]]&gt;=3,"Medium","Low")))</f>
        <v>Low</v>
      </c>
      <c r="AR257" t="str">
        <f>IF(HRData[[#This Row],[Attrition_Risk_Level]]&lt;&gt;"High","",HRData[[#This Row],[Attrition_Risk_Score]]*10000-HRData[[#This Row],[EmployeeNumber]])</f>
        <v/>
      </c>
    </row>
    <row r="258" spans="1:44">
      <c r="A258">
        <v>42</v>
      </c>
      <c r="B258" t="str" cm="1">
        <f t="array" ref="B258">_xlfn.IFS(
HRData[[#This Row],[Age]]&lt;=24,"18-24",
HRData[[#This Row],[Age]]&lt;=34,"25-34",
HRData[[#This Row],[Age]]&lt;=44,"35-44",
HRData[[#This Row],[Age]]&lt;=54,"45-54",
HRData[[#This Row],[Age]]&gt;=55,"55+"
)</f>
        <v>35-44</v>
      </c>
      <c r="C258" t="s">
        <v>43</v>
      </c>
      <c r="D258">
        <f>IF(HRData[[#This Row],[Attrition]]="Yes",1,0)</f>
        <v>0</v>
      </c>
      <c r="E258" t="s">
        <v>36</v>
      </c>
      <c r="F258">
        <v>269</v>
      </c>
      <c r="G258" t="s">
        <v>45</v>
      </c>
      <c r="H258">
        <v>2</v>
      </c>
      <c r="I258">
        <v>3</v>
      </c>
      <c r="J258" t="s">
        <v>51</v>
      </c>
      <c r="K258">
        <v>1</v>
      </c>
      <c r="L258">
        <v>351</v>
      </c>
      <c r="M258">
        <v>4</v>
      </c>
      <c r="N258" t="str" cm="1">
        <f t="array" ref="N258">_xlfn.IFS(HRData[[#This Row],[EnvironmentSatisfaction]]=1,"Very Dissatisfied",
HRData[[#This Row],[EnvironmentSatisfaction]]=2,"Dissatisfied",
HRData[[#This Row],[EnvironmentSatisfaction]]=3,"Satisfied",
HRData[[#This Row],[EnvironmentSatisfaction]]=4,"Very Satisfied"
)</f>
        <v>Very Satisfied</v>
      </c>
      <c r="O258" t="s">
        <v>39</v>
      </c>
      <c r="P258">
        <v>56</v>
      </c>
      <c r="Q258">
        <v>2</v>
      </c>
      <c r="R258">
        <v>1</v>
      </c>
      <c r="S258" t="s">
        <v>50</v>
      </c>
      <c r="T258">
        <v>1</v>
      </c>
      <c r="U258" t="str" cm="1">
        <f t="array" ref="U258">_xlfn.IFS(
HRData[[#This Row],[JobSatisfaction]]=1,"Very Dissatisfied",
HRData[[#This Row],[JobSatisfaction]]=2,"Dissatisfied",
HRData[[#This Row],[JobSatisfaction]]=3,"Satisfied",
HRData[[#This Row],[JobSatisfaction]]=4,"Very Satisfied"
)</f>
        <v>Very Dissatisfied</v>
      </c>
      <c r="V258" t="s">
        <v>52</v>
      </c>
      <c r="W258">
        <v>2593</v>
      </c>
      <c r="X258" t="str" cm="1">
        <f t="array" ref="X258">_xlfn.IFS(
HRData[[#This Row],[MonthlyIncome]]&lt;=4000,"Very Low Income",
HRData[[#This Row],[MonthlyIncome]]&lt;=8000,"Low Income",
HRData[[#This Row],[MonthlyIncome]]&lt;=12000,"Moderate Income",
HRData[[#This Row],[MonthlyIncome]]&lt;=16000,"High Income",
HRData[[#This Row],[MonthlyIncome]]&gt;16000,"Very High Income"
)</f>
        <v>Very Low Income</v>
      </c>
      <c r="Y258">
        <v>8007</v>
      </c>
      <c r="Z258">
        <v>0</v>
      </c>
      <c r="AA258" t="s">
        <v>42</v>
      </c>
      <c r="AB258" t="s">
        <v>35</v>
      </c>
      <c r="AC258">
        <v>11</v>
      </c>
      <c r="AD258" t="str" cm="1">
        <f t="array" ref="AD258">_xlfn.IFS(HRData[[#This Row],[PercentSalaryHike]]&lt;=15,"11-15",HRData[[#This Row],[PercentSalaryHike]]&lt;=20,"16-20",HRData[[#This Row],[PercentSalaryHike]]&gt;=21,"21+")</f>
        <v>11-15</v>
      </c>
      <c r="AE258">
        <v>3</v>
      </c>
      <c r="AF258">
        <v>3</v>
      </c>
      <c r="AG258">
        <v>80</v>
      </c>
      <c r="AH258">
        <v>1</v>
      </c>
      <c r="AI258">
        <v>10</v>
      </c>
      <c r="AJ258">
        <v>4</v>
      </c>
      <c r="AK258">
        <v>3</v>
      </c>
      <c r="AL258">
        <v>9</v>
      </c>
      <c r="AM258">
        <v>6</v>
      </c>
      <c r="AN258">
        <v>7</v>
      </c>
      <c r="AO258">
        <v>8</v>
      </c>
      <c r="AP25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258" t="str">
        <f>IF(HRData[[#This Row],[Attrition]]="Yes","Left", IF(HRData[[#This Row],[Attrition_Risk_Score]]&gt;=6,"High",IF(HRData[[#This Row],[Attrition_Risk_Score]]&gt;=3,"Medium","Low")))</f>
        <v>High</v>
      </c>
      <c r="AR258">
        <f>IF(HRData[[#This Row],[Attrition_Risk_Level]]&lt;&gt;"High","",HRData[[#This Row],[Attrition_Risk_Score]]*10000-HRData[[#This Row],[EmployeeNumber]])</f>
        <v>69649</v>
      </c>
    </row>
    <row r="259" spans="1:44">
      <c r="A259">
        <v>40</v>
      </c>
      <c r="B259" t="str" cm="1">
        <f t="array" ref="B259">_xlfn.IFS(
HRData[[#This Row],[Age]]&lt;=24,"18-24",
HRData[[#This Row],[Age]]&lt;=34,"25-34",
HRData[[#This Row],[Age]]&lt;=44,"35-44",
HRData[[#This Row],[Age]]&lt;=54,"45-54",
HRData[[#This Row],[Age]]&gt;=55,"55+"
)</f>
        <v>35-44</v>
      </c>
      <c r="C259" t="s">
        <v>43</v>
      </c>
      <c r="D259">
        <f>IF(HRData[[#This Row],[Attrition]]="Yes",1,0)</f>
        <v>0</v>
      </c>
      <c r="E259" t="s">
        <v>36</v>
      </c>
      <c r="F259">
        <v>1416</v>
      </c>
      <c r="G259" t="s">
        <v>45</v>
      </c>
      <c r="H259">
        <v>2</v>
      </c>
      <c r="I259">
        <v>2</v>
      </c>
      <c r="J259" t="s">
        <v>51</v>
      </c>
      <c r="K259">
        <v>1</v>
      </c>
      <c r="L259">
        <v>352</v>
      </c>
      <c r="M259">
        <v>1</v>
      </c>
      <c r="N259" t="str" cm="1">
        <f t="array" ref="N259">_xlfn.IFS(HRData[[#This Row],[EnvironmentSatisfaction]]=1,"Very Dissatisfied",
HRData[[#This Row],[EnvironmentSatisfaction]]=2,"Dissatisfied",
HRData[[#This Row],[EnvironmentSatisfaction]]=3,"Satisfied",
HRData[[#This Row],[EnvironmentSatisfaction]]=4,"Very Satisfied"
)</f>
        <v>Very Dissatisfied</v>
      </c>
      <c r="O259" t="s">
        <v>46</v>
      </c>
      <c r="P259">
        <v>49</v>
      </c>
      <c r="Q259">
        <v>3</v>
      </c>
      <c r="R259">
        <v>5</v>
      </c>
      <c r="S259" t="s">
        <v>58</v>
      </c>
      <c r="T259">
        <v>3</v>
      </c>
      <c r="U259" t="str" cm="1">
        <f t="array" ref="U259">_xlfn.IFS(
HRData[[#This Row],[JobSatisfaction]]=1,"Very Dissatisfied",
HRData[[#This Row],[JobSatisfaction]]=2,"Dissatisfied",
HRData[[#This Row],[JobSatisfaction]]=3,"Satisfied",
HRData[[#This Row],[JobSatisfaction]]=4,"Very Satisfied"
)</f>
        <v>Satisfied</v>
      </c>
      <c r="V259" t="s">
        <v>52</v>
      </c>
      <c r="W259">
        <v>19436</v>
      </c>
      <c r="X259" t="str" cm="1">
        <f t="array" ref="X259">_xlfn.IFS(
HRData[[#This Row],[MonthlyIncome]]&lt;=4000,"Very Low Income",
HRData[[#This Row],[MonthlyIncome]]&lt;=8000,"Low Income",
HRData[[#This Row],[MonthlyIncome]]&lt;=12000,"Moderate Income",
HRData[[#This Row],[MonthlyIncome]]&lt;=16000,"High Income",
HRData[[#This Row],[MonthlyIncome]]&gt;16000,"Very High Income"
)</f>
        <v>Very High Income</v>
      </c>
      <c r="Y259">
        <v>5949</v>
      </c>
      <c r="Z259">
        <v>0</v>
      </c>
      <c r="AA259" t="s">
        <v>42</v>
      </c>
      <c r="AB259" t="s">
        <v>43</v>
      </c>
      <c r="AC259">
        <v>19</v>
      </c>
      <c r="AD259" t="str" cm="1">
        <f t="array" ref="AD259">_xlfn.IFS(HRData[[#This Row],[PercentSalaryHike]]&lt;=15,"11-15",HRData[[#This Row],[PercentSalaryHike]]&lt;=20,"16-20",HRData[[#This Row],[PercentSalaryHike]]&gt;=21,"21+")</f>
        <v>16-20</v>
      </c>
      <c r="AE259">
        <v>3</v>
      </c>
      <c r="AF259">
        <v>4</v>
      </c>
      <c r="AG259">
        <v>80</v>
      </c>
      <c r="AH259">
        <v>1</v>
      </c>
      <c r="AI259">
        <v>22</v>
      </c>
      <c r="AJ259">
        <v>5</v>
      </c>
      <c r="AK259">
        <v>3</v>
      </c>
      <c r="AL259">
        <v>21</v>
      </c>
      <c r="AM259">
        <v>7</v>
      </c>
      <c r="AN259">
        <v>3</v>
      </c>
      <c r="AO259">
        <v>9</v>
      </c>
      <c r="AP25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259" t="str">
        <f>IF(HRData[[#This Row],[Attrition]]="Yes","Left", IF(HRData[[#This Row],[Attrition_Risk_Score]]&gt;=6,"High",IF(HRData[[#This Row],[Attrition_Risk_Score]]&gt;=3,"Medium","Low")))</f>
        <v>Low</v>
      </c>
      <c r="AR259" t="str">
        <f>IF(HRData[[#This Row],[Attrition_Risk_Level]]&lt;&gt;"High","",HRData[[#This Row],[Attrition_Risk_Score]]*10000-HRData[[#This Row],[EmployeeNumber]])</f>
        <v/>
      </c>
    </row>
    <row r="260" spans="1:44">
      <c r="A260">
        <v>51</v>
      </c>
      <c r="B260" t="str" cm="1">
        <f t="array" ref="B260">_xlfn.IFS(
HRData[[#This Row],[Age]]&lt;=24,"18-24",
HRData[[#This Row],[Age]]&lt;=34,"25-34",
HRData[[#This Row],[Age]]&lt;=44,"35-44",
HRData[[#This Row],[Age]]&lt;=54,"45-54",
HRData[[#This Row],[Age]]&gt;=55,"55+"
)</f>
        <v>45-54</v>
      </c>
      <c r="C260" t="s">
        <v>43</v>
      </c>
      <c r="D260">
        <f>IF(HRData[[#This Row],[Attrition]]="Yes",1,0)</f>
        <v>0</v>
      </c>
      <c r="E260" t="s">
        <v>36</v>
      </c>
      <c r="F260">
        <v>833</v>
      </c>
      <c r="G260" t="s">
        <v>45</v>
      </c>
      <c r="H260">
        <v>1</v>
      </c>
      <c r="I260">
        <v>3</v>
      </c>
      <c r="J260" t="s">
        <v>38</v>
      </c>
      <c r="K260">
        <v>1</v>
      </c>
      <c r="L260">
        <v>353</v>
      </c>
      <c r="M260">
        <v>3</v>
      </c>
      <c r="N260" t="str" cm="1">
        <f t="array" ref="N260">_xlfn.IFS(HRData[[#This Row],[EnvironmentSatisfaction]]=1,"Very Dissatisfied",
HRData[[#This Row],[EnvironmentSatisfaction]]=2,"Dissatisfied",
HRData[[#This Row],[EnvironmentSatisfaction]]=3,"Satisfied",
HRData[[#This Row],[EnvironmentSatisfaction]]=4,"Very Satisfied"
)</f>
        <v>Satisfied</v>
      </c>
      <c r="O260" t="s">
        <v>46</v>
      </c>
      <c r="P260">
        <v>96</v>
      </c>
      <c r="Q260">
        <v>3</v>
      </c>
      <c r="R260">
        <v>1</v>
      </c>
      <c r="S260" t="s">
        <v>47</v>
      </c>
      <c r="T260">
        <v>4</v>
      </c>
      <c r="U260" t="str" cm="1">
        <f t="array" ref="U260">_xlfn.IFS(
HRData[[#This Row],[JobSatisfaction]]=1,"Very Dissatisfied",
HRData[[#This Row],[JobSatisfaction]]=2,"Dissatisfied",
HRData[[#This Row],[JobSatisfaction]]=3,"Satisfied",
HRData[[#This Row],[JobSatisfaction]]=4,"Very Satisfied"
)</f>
        <v>Very Satisfied</v>
      </c>
      <c r="V260" t="s">
        <v>48</v>
      </c>
      <c r="W260">
        <v>2723</v>
      </c>
      <c r="X260" t="str" cm="1">
        <f t="array" ref="X260">_xlfn.IFS(
HRData[[#This Row],[MonthlyIncome]]&lt;=4000,"Very Low Income",
HRData[[#This Row],[MonthlyIncome]]&lt;=8000,"Low Income",
HRData[[#This Row],[MonthlyIncome]]&lt;=12000,"Moderate Income",
HRData[[#This Row],[MonthlyIncome]]&lt;=16000,"High Income",
HRData[[#This Row],[MonthlyIncome]]&gt;16000,"Very High Income"
)</f>
        <v>Very Low Income</v>
      </c>
      <c r="Y260">
        <v>23231</v>
      </c>
      <c r="Z260">
        <v>1</v>
      </c>
      <c r="AA260" t="s">
        <v>42</v>
      </c>
      <c r="AB260" t="s">
        <v>43</v>
      </c>
      <c r="AC260">
        <v>11</v>
      </c>
      <c r="AD260" t="str" cm="1">
        <f t="array" ref="AD260">_xlfn.IFS(HRData[[#This Row],[PercentSalaryHike]]&lt;=15,"11-15",HRData[[#This Row],[PercentSalaryHike]]&lt;=20,"16-20",HRData[[#This Row],[PercentSalaryHike]]&gt;=21,"21+")</f>
        <v>11-15</v>
      </c>
      <c r="AE260">
        <v>3</v>
      </c>
      <c r="AF260">
        <v>2</v>
      </c>
      <c r="AG260">
        <v>80</v>
      </c>
      <c r="AH260">
        <v>0</v>
      </c>
      <c r="AI260">
        <v>1</v>
      </c>
      <c r="AJ260">
        <v>0</v>
      </c>
      <c r="AK260">
        <v>2</v>
      </c>
      <c r="AL260">
        <v>1</v>
      </c>
      <c r="AM260">
        <v>0</v>
      </c>
      <c r="AN260">
        <v>0</v>
      </c>
      <c r="AO260">
        <v>0</v>
      </c>
      <c r="AP26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60" t="str">
        <f>IF(HRData[[#This Row],[Attrition]]="Yes","Left", IF(HRData[[#This Row],[Attrition_Risk_Score]]&gt;=6,"High",IF(HRData[[#This Row],[Attrition_Risk_Score]]&gt;=3,"Medium","Low")))</f>
        <v>Low</v>
      </c>
      <c r="AR260" t="str">
        <f>IF(HRData[[#This Row],[Attrition_Risk_Level]]&lt;&gt;"High","",HRData[[#This Row],[Attrition_Risk_Score]]*10000-HRData[[#This Row],[EmployeeNumber]])</f>
        <v/>
      </c>
    </row>
    <row r="261" spans="1:44">
      <c r="A261">
        <v>31</v>
      </c>
      <c r="B261" t="str" cm="1">
        <f t="array" ref="B261">_xlfn.IFS(
HRData[[#This Row],[Age]]&lt;=24,"18-24",
HRData[[#This Row],[Age]]&lt;=34,"25-34",
HRData[[#This Row],[Age]]&lt;=44,"35-44",
HRData[[#This Row],[Age]]&lt;=54,"45-54",
HRData[[#This Row],[Age]]&gt;=55,"55+"
)</f>
        <v>25-34</v>
      </c>
      <c r="C261" t="s">
        <v>35</v>
      </c>
      <c r="D261">
        <f>IF(HRData[[#This Row],[Attrition]]="Yes",1,0)</f>
        <v>1</v>
      </c>
      <c r="E261" t="s">
        <v>44</v>
      </c>
      <c r="F261">
        <v>307</v>
      </c>
      <c r="G261" t="s">
        <v>45</v>
      </c>
      <c r="H261">
        <v>29</v>
      </c>
      <c r="I261">
        <v>2</v>
      </c>
      <c r="J261" t="s">
        <v>51</v>
      </c>
      <c r="K261">
        <v>1</v>
      </c>
      <c r="L261">
        <v>355</v>
      </c>
      <c r="M261">
        <v>3</v>
      </c>
      <c r="N261" t="str" cm="1">
        <f t="array" ref="N261">_xlfn.IFS(HRData[[#This Row],[EnvironmentSatisfaction]]=1,"Very Dissatisfied",
HRData[[#This Row],[EnvironmentSatisfaction]]=2,"Dissatisfied",
HRData[[#This Row],[EnvironmentSatisfaction]]=3,"Satisfied",
HRData[[#This Row],[EnvironmentSatisfaction]]=4,"Very Satisfied"
)</f>
        <v>Satisfied</v>
      </c>
      <c r="O261" t="s">
        <v>46</v>
      </c>
      <c r="P261">
        <v>71</v>
      </c>
      <c r="Q261">
        <v>2</v>
      </c>
      <c r="R261">
        <v>1</v>
      </c>
      <c r="S261" t="s">
        <v>50</v>
      </c>
      <c r="T261">
        <v>2</v>
      </c>
      <c r="U261" t="str" cm="1">
        <f t="array" ref="U261">_xlfn.IFS(
HRData[[#This Row],[JobSatisfaction]]=1,"Very Dissatisfied",
HRData[[#This Row],[JobSatisfaction]]=2,"Dissatisfied",
HRData[[#This Row],[JobSatisfaction]]=3,"Satisfied",
HRData[[#This Row],[JobSatisfaction]]=4,"Very Satisfied"
)</f>
        <v>Dissatisfied</v>
      </c>
      <c r="V261" t="s">
        <v>41</v>
      </c>
      <c r="W261">
        <v>3479</v>
      </c>
      <c r="X261" t="str" cm="1">
        <f t="array" ref="X261">_xlfn.IFS(
HRData[[#This Row],[MonthlyIncome]]&lt;=4000,"Very Low Income",
HRData[[#This Row],[MonthlyIncome]]&lt;=8000,"Low Income",
HRData[[#This Row],[MonthlyIncome]]&lt;=12000,"Moderate Income",
HRData[[#This Row],[MonthlyIncome]]&lt;=16000,"High Income",
HRData[[#This Row],[MonthlyIncome]]&gt;16000,"Very High Income"
)</f>
        <v>Very Low Income</v>
      </c>
      <c r="Y261">
        <v>11652</v>
      </c>
      <c r="Z261">
        <v>0</v>
      </c>
      <c r="AA261" t="s">
        <v>42</v>
      </c>
      <c r="AB261" t="s">
        <v>43</v>
      </c>
      <c r="AC261">
        <v>11</v>
      </c>
      <c r="AD261" t="str" cm="1">
        <f t="array" ref="AD261">_xlfn.IFS(HRData[[#This Row],[PercentSalaryHike]]&lt;=15,"11-15",HRData[[#This Row],[PercentSalaryHike]]&lt;=20,"16-20",HRData[[#This Row],[PercentSalaryHike]]&gt;=21,"21+")</f>
        <v>11-15</v>
      </c>
      <c r="AE261">
        <v>3</v>
      </c>
      <c r="AF261">
        <v>2</v>
      </c>
      <c r="AG261">
        <v>80</v>
      </c>
      <c r="AH261">
        <v>0</v>
      </c>
      <c r="AI261">
        <v>6</v>
      </c>
      <c r="AJ261">
        <v>2</v>
      </c>
      <c r="AK261">
        <v>4</v>
      </c>
      <c r="AL261">
        <v>5</v>
      </c>
      <c r="AM261">
        <v>4</v>
      </c>
      <c r="AN261">
        <v>1</v>
      </c>
      <c r="AO261">
        <v>4</v>
      </c>
      <c r="AP26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61" t="str">
        <f>IF(HRData[[#This Row],[Attrition]]="Yes","Left", IF(HRData[[#This Row],[Attrition_Risk_Score]]&gt;=6,"High",IF(HRData[[#This Row],[Attrition_Risk_Score]]&gt;=3,"Medium","Low")))</f>
        <v>Left</v>
      </c>
      <c r="AR261" t="str">
        <f>IF(HRData[[#This Row],[Attrition_Risk_Level]]&lt;&gt;"High","",HRData[[#This Row],[Attrition_Risk_Score]]*10000-HRData[[#This Row],[EmployeeNumber]])</f>
        <v/>
      </c>
    </row>
    <row r="262" spans="1:44">
      <c r="A262">
        <v>32</v>
      </c>
      <c r="B262" t="str" cm="1">
        <f t="array" ref="B262">_xlfn.IFS(
HRData[[#This Row],[Age]]&lt;=24,"18-24",
HRData[[#This Row],[Age]]&lt;=34,"25-34",
HRData[[#This Row],[Age]]&lt;=44,"35-44",
HRData[[#This Row],[Age]]&lt;=54,"45-54",
HRData[[#This Row],[Age]]&gt;=55,"55+"
)</f>
        <v>25-34</v>
      </c>
      <c r="C262" t="s">
        <v>43</v>
      </c>
      <c r="D262">
        <f>IF(HRData[[#This Row],[Attrition]]="Yes",1,0)</f>
        <v>0</v>
      </c>
      <c r="E262" t="s">
        <v>44</v>
      </c>
      <c r="F262">
        <v>1311</v>
      </c>
      <c r="G262" t="s">
        <v>45</v>
      </c>
      <c r="H262">
        <v>7</v>
      </c>
      <c r="I262">
        <v>3</v>
      </c>
      <c r="J262" t="s">
        <v>38</v>
      </c>
      <c r="K262">
        <v>1</v>
      </c>
      <c r="L262">
        <v>359</v>
      </c>
      <c r="M262">
        <v>2</v>
      </c>
      <c r="N262" t="str" cm="1">
        <f t="array" ref="N262">_xlfn.IFS(HRData[[#This Row],[EnvironmentSatisfaction]]=1,"Very Dissatisfied",
HRData[[#This Row],[EnvironmentSatisfaction]]=2,"Dissatisfied",
HRData[[#This Row],[EnvironmentSatisfaction]]=3,"Satisfied",
HRData[[#This Row],[EnvironmentSatisfaction]]=4,"Very Satisfied"
)</f>
        <v>Dissatisfied</v>
      </c>
      <c r="O262" t="s">
        <v>46</v>
      </c>
      <c r="P262">
        <v>100</v>
      </c>
      <c r="Q262">
        <v>4</v>
      </c>
      <c r="R262">
        <v>1</v>
      </c>
      <c r="S262" t="s">
        <v>50</v>
      </c>
      <c r="T262">
        <v>2</v>
      </c>
      <c r="U262" t="str" cm="1">
        <f t="array" ref="U262">_xlfn.IFS(
HRData[[#This Row],[JobSatisfaction]]=1,"Very Dissatisfied",
HRData[[#This Row],[JobSatisfaction]]=2,"Dissatisfied",
HRData[[#This Row],[JobSatisfaction]]=3,"Satisfied",
HRData[[#This Row],[JobSatisfaction]]=4,"Very Satisfied"
)</f>
        <v>Dissatisfied</v>
      </c>
      <c r="V262" t="s">
        <v>48</v>
      </c>
      <c r="W262">
        <v>2794</v>
      </c>
      <c r="X262" t="str" cm="1">
        <f t="array" ref="X262">_xlfn.IFS(
HRData[[#This Row],[MonthlyIncome]]&lt;=4000,"Very Low Income",
HRData[[#This Row],[MonthlyIncome]]&lt;=8000,"Low Income",
HRData[[#This Row],[MonthlyIncome]]&lt;=12000,"Moderate Income",
HRData[[#This Row],[MonthlyIncome]]&lt;=16000,"High Income",
HRData[[#This Row],[MonthlyIncome]]&gt;16000,"Very High Income"
)</f>
        <v>Very Low Income</v>
      </c>
      <c r="Y262">
        <v>26062</v>
      </c>
      <c r="Z262">
        <v>1</v>
      </c>
      <c r="AA262" t="s">
        <v>42</v>
      </c>
      <c r="AB262" t="s">
        <v>43</v>
      </c>
      <c r="AC262">
        <v>20</v>
      </c>
      <c r="AD262" t="str" cm="1">
        <f t="array" ref="AD262">_xlfn.IFS(HRData[[#This Row],[PercentSalaryHike]]&lt;=15,"11-15",HRData[[#This Row],[PercentSalaryHike]]&lt;=20,"16-20",HRData[[#This Row],[PercentSalaryHike]]&gt;=21,"21+")</f>
        <v>16-20</v>
      </c>
      <c r="AE262">
        <v>4</v>
      </c>
      <c r="AF262">
        <v>3</v>
      </c>
      <c r="AG262">
        <v>80</v>
      </c>
      <c r="AH262">
        <v>0</v>
      </c>
      <c r="AI262">
        <v>5</v>
      </c>
      <c r="AJ262">
        <v>3</v>
      </c>
      <c r="AK262">
        <v>1</v>
      </c>
      <c r="AL262">
        <v>5</v>
      </c>
      <c r="AM262">
        <v>1</v>
      </c>
      <c r="AN262">
        <v>0</v>
      </c>
      <c r="AO262">
        <v>3</v>
      </c>
      <c r="AP26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262" t="str">
        <f>IF(HRData[[#This Row],[Attrition]]="Yes","Left", IF(HRData[[#This Row],[Attrition_Risk_Score]]&gt;=6,"High",IF(HRData[[#This Row],[Attrition_Risk_Score]]&gt;=3,"Medium","Low")))</f>
        <v>Medium</v>
      </c>
      <c r="AR262" t="str">
        <f>IF(HRData[[#This Row],[Attrition_Risk_Level]]&lt;&gt;"High","",HRData[[#This Row],[Attrition_Risk_Score]]*10000-HRData[[#This Row],[EmployeeNumber]])</f>
        <v/>
      </c>
    </row>
    <row r="263" spans="1:44">
      <c r="A263">
        <v>38</v>
      </c>
      <c r="B263" t="str" cm="1">
        <f t="array" ref="B263">_xlfn.IFS(
HRData[[#This Row],[Age]]&lt;=24,"18-24",
HRData[[#This Row],[Age]]&lt;=34,"25-34",
HRData[[#This Row],[Age]]&lt;=44,"35-44",
HRData[[#This Row],[Age]]&lt;=54,"45-54",
HRData[[#This Row],[Age]]&gt;=55,"55+"
)</f>
        <v>35-44</v>
      </c>
      <c r="C263" t="s">
        <v>43</v>
      </c>
      <c r="D263">
        <f>IF(HRData[[#This Row],[Attrition]]="Yes",1,0)</f>
        <v>0</v>
      </c>
      <c r="E263" t="s">
        <v>55</v>
      </c>
      <c r="F263">
        <v>1327</v>
      </c>
      <c r="G263" t="s">
        <v>37</v>
      </c>
      <c r="H263">
        <v>2</v>
      </c>
      <c r="I263">
        <v>2</v>
      </c>
      <c r="J263" t="s">
        <v>38</v>
      </c>
      <c r="K263">
        <v>1</v>
      </c>
      <c r="L263">
        <v>361</v>
      </c>
      <c r="M263">
        <v>4</v>
      </c>
      <c r="N263" t="str" cm="1">
        <f t="array" ref="N263">_xlfn.IFS(HRData[[#This Row],[EnvironmentSatisfaction]]=1,"Very Dissatisfied",
HRData[[#This Row],[EnvironmentSatisfaction]]=2,"Dissatisfied",
HRData[[#This Row],[EnvironmentSatisfaction]]=3,"Satisfied",
HRData[[#This Row],[EnvironmentSatisfaction]]=4,"Very Satisfied"
)</f>
        <v>Very Satisfied</v>
      </c>
      <c r="O263" t="s">
        <v>46</v>
      </c>
      <c r="P263">
        <v>39</v>
      </c>
      <c r="Q263">
        <v>2</v>
      </c>
      <c r="R263">
        <v>2</v>
      </c>
      <c r="S263" t="s">
        <v>40</v>
      </c>
      <c r="T263">
        <v>4</v>
      </c>
      <c r="U263" t="str" cm="1">
        <f t="array" ref="U263">_xlfn.IFS(
HRData[[#This Row],[JobSatisfaction]]=1,"Very Dissatisfied",
HRData[[#This Row],[JobSatisfaction]]=2,"Dissatisfied",
HRData[[#This Row],[JobSatisfaction]]=3,"Satisfied",
HRData[[#This Row],[JobSatisfaction]]=4,"Very Satisfied"
)</f>
        <v>Very Satisfied</v>
      </c>
      <c r="V263" t="s">
        <v>48</v>
      </c>
      <c r="W263">
        <v>5249</v>
      </c>
      <c r="X263" t="str" cm="1">
        <f t="array" ref="X263">_xlfn.IFS(
HRData[[#This Row],[MonthlyIncome]]&lt;=4000,"Very Low Income",
HRData[[#This Row],[MonthlyIncome]]&lt;=8000,"Low Income",
HRData[[#This Row],[MonthlyIncome]]&lt;=12000,"Moderate Income",
HRData[[#This Row],[MonthlyIncome]]&lt;=16000,"High Income",
HRData[[#This Row],[MonthlyIncome]]&gt;16000,"Very High Income"
)</f>
        <v>Low Income</v>
      </c>
      <c r="Y263">
        <v>19682</v>
      </c>
      <c r="Z263">
        <v>3</v>
      </c>
      <c r="AA263" t="s">
        <v>42</v>
      </c>
      <c r="AB263" t="s">
        <v>43</v>
      </c>
      <c r="AC263">
        <v>18</v>
      </c>
      <c r="AD263" t="str" cm="1">
        <f t="array" ref="AD263">_xlfn.IFS(HRData[[#This Row],[PercentSalaryHike]]&lt;=15,"11-15",HRData[[#This Row],[PercentSalaryHike]]&lt;=20,"16-20",HRData[[#This Row],[PercentSalaryHike]]&gt;=21,"21+")</f>
        <v>16-20</v>
      </c>
      <c r="AE263">
        <v>3</v>
      </c>
      <c r="AF263">
        <v>4</v>
      </c>
      <c r="AG263">
        <v>80</v>
      </c>
      <c r="AH263">
        <v>1</v>
      </c>
      <c r="AI263">
        <v>13</v>
      </c>
      <c r="AJ263">
        <v>0</v>
      </c>
      <c r="AK263">
        <v>3</v>
      </c>
      <c r="AL263">
        <v>8</v>
      </c>
      <c r="AM263">
        <v>7</v>
      </c>
      <c r="AN263">
        <v>7</v>
      </c>
      <c r="AO263">
        <v>5</v>
      </c>
      <c r="AP26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263" t="str">
        <f>IF(HRData[[#This Row],[Attrition]]="Yes","Left", IF(HRData[[#This Row],[Attrition_Risk_Score]]&gt;=6,"High",IF(HRData[[#This Row],[Attrition_Risk_Score]]&gt;=3,"Medium","Low")))</f>
        <v>Low</v>
      </c>
      <c r="AR263" t="str">
        <f>IF(HRData[[#This Row],[Attrition_Risk_Level]]&lt;&gt;"High","",HRData[[#This Row],[Attrition_Risk_Score]]*10000-HRData[[#This Row],[EmployeeNumber]])</f>
        <v/>
      </c>
    </row>
    <row r="264" spans="1:44">
      <c r="A264">
        <v>32</v>
      </c>
      <c r="B264" t="str" cm="1">
        <f t="array" ref="B264">_xlfn.IFS(
HRData[[#This Row],[Age]]&lt;=24,"18-24",
HRData[[#This Row],[Age]]&lt;=34,"25-34",
HRData[[#This Row],[Age]]&lt;=44,"35-44",
HRData[[#This Row],[Age]]&lt;=54,"45-54",
HRData[[#This Row],[Age]]&gt;=55,"55+"
)</f>
        <v>25-34</v>
      </c>
      <c r="C264" t="s">
        <v>43</v>
      </c>
      <c r="D264">
        <f>IF(HRData[[#This Row],[Attrition]]="Yes",1,0)</f>
        <v>0</v>
      </c>
      <c r="E264" t="s">
        <v>36</v>
      </c>
      <c r="F264">
        <v>128</v>
      </c>
      <c r="G264" t="s">
        <v>45</v>
      </c>
      <c r="H264">
        <v>2</v>
      </c>
      <c r="I264">
        <v>1</v>
      </c>
      <c r="J264" t="s">
        <v>60</v>
      </c>
      <c r="K264">
        <v>1</v>
      </c>
      <c r="L264">
        <v>362</v>
      </c>
      <c r="M264">
        <v>4</v>
      </c>
      <c r="N264" t="str" cm="1">
        <f t="array" ref="N264">_xlfn.IFS(HRData[[#This Row],[EnvironmentSatisfaction]]=1,"Very Dissatisfied",
HRData[[#This Row],[EnvironmentSatisfaction]]=2,"Dissatisfied",
HRData[[#This Row],[EnvironmentSatisfaction]]=3,"Satisfied",
HRData[[#This Row],[EnvironmentSatisfaction]]=4,"Very Satisfied"
)</f>
        <v>Very Satisfied</v>
      </c>
      <c r="O264" t="s">
        <v>46</v>
      </c>
      <c r="P264">
        <v>84</v>
      </c>
      <c r="Q264">
        <v>2</v>
      </c>
      <c r="R264">
        <v>2</v>
      </c>
      <c r="S264" t="s">
        <v>50</v>
      </c>
      <c r="T264">
        <v>1</v>
      </c>
      <c r="U264" t="str" cm="1">
        <f t="array" ref="U264">_xlfn.IFS(
HRData[[#This Row],[JobSatisfaction]]=1,"Very Dissatisfied",
HRData[[#This Row],[JobSatisfaction]]=2,"Dissatisfied",
HRData[[#This Row],[JobSatisfaction]]=3,"Satisfied",
HRData[[#This Row],[JobSatisfaction]]=4,"Very Satisfied"
)</f>
        <v>Very Dissatisfied</v>
      </c>
      <c r="V264" t="s">
        <v>41</v>
      </c>
      <c r="W264">
        <v>2176</v>
      </c>
      <c r="X264" t="str" cm="1">
        <f t="array" ref="X264">_xlfn.IFS(
HRData[[#This Row],[MonthlyIncome]]&lt;=4000,"Very Low Income",
HRData[[#This Row],[MonthlyIncome]]&lt;=8000,"Low Income",
HRData[[#This Row],[MonthlyIncome]]&lt;=12000,"Moderate Income",
HRData[[#This Row],[MonthlyIncome]]&lt;=16000,"High Income",
HRData[[#This Row],[MonthlyIncome]]&gt;16000,"Very High Income"
)</f>
        <v>Very Low Income</v>
      </c>
      <c r="Y264">
        <v>19737</v>
      </c>
      <c r="Z264">
        <v>4</v>
      </c>
      <c r="AA264" t="s">
        <v>42</v>
      </c>
      <c r="AB264" t="s">
        <v>43</v>
      </c>
      <c r="AC264">
        <v>13</v>
      </c>
      <c r="AD264" t="str" cm="1">
        <f t="array" ref="AD264">_xlfn.IFS(HRData[[#This Row],[PercentSalaryHike]]&lt;=15,"11-15",HRData[[#This Row],[PercentSalaryHike]]&lt;=20,"16-20",HRData[[#This Row],[PercentSalaryHike]]&gt;=21,"21+")</f>
        <v>11-15</v>
      </c>
      <c r="AE264">
        <v>3</v>
      </c>
      <c r="AF264">
        <v>4</v>
      </c>
      <c r="AG264">
        <v>80</v>
      </c>
      <c r="AH264">
        <v>0</v>
      </c>
      <c r="AI264">
        <v>9</v>
      </c>
      <c r="AJ264">
        <v>5</v>
      </c>
      <c r="AK264">
        <v>3</v>
      </c>
      <c r="AL264">
        <v>6</v>
      </c>
      <c r="AM264">
        <v>2</v>
      </c>
      <c r="AN264">
        <v>0</v>
      </c>
      <c r="AO264">
        <v>4</v>
      </c>
      <c r="AP26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264" t="str">
        <f>IF(HRData[[#This Row],[Attrition]]="Yes","Left", IF(HRData[[#This Row],[Attrition_Risk_Score]]&gt;=6,"High",IF(HRData[[#This Row],[Attrition_Risk_Score]]&gt;=3,"Medium","Low")))</f>
        <v>High</v>
      </c>
      <c r="AR264">
        <f>IF(HRData[[#This Row],[Attrition_Risk_Level]]&lt;&gt;"High","",HRData[[#This Row],[Attrition_Risk_Score]]*10000-HRData[[#This Row],[EmployeeNumber]])</f>
        <v>59638</v>
      </c>
    </row>
    <row r="265" spans="1:44">
      <c r="A265">
        <v>46</v>
      </c>
      <c r="B265" t="str" cm="1">
        <f t="array" ref="B265">_xlfn.IFS(
HRData[[#This Row],[Age]]&lt;=24,"18-24",
HRData[[#This Row],[Age]]&lt;=34,"25-34",
HRData[[#This Row],[Age]]&lt;=44,"35-44",
HRData[[#This Row],[Age]]&lt;=54,"45-54",
HRData[[#This Row],[Age]]&gt;=55,"55+"
)</f>
        <v>45-54</v>
      </c>
      <c r="C265" t="s">
        <v>43</v>
      </c>
      <c r="D265">
        <f>IF(HRData[[#This Row],[Attrition]]="Yes",1,0)</f>
        <v>0</v>
      </c>
      <c r="E265" t="s">
        <v>36</v>
      </c>
      <c r="F265">
        <v>488</v>
      </c>
      <c r="G265" t="s">
        <v>37</v>
      </c>
      <c r="H265">
        <v>2</v>
      </c>
      <c r="I265">
        <v>3</v>
      </c>
      <c r="J265" t="s">
        <v>60</v>
      </c>
      <c r="K265">
        <v>1</v>
      </c>
      <c r="L265">
        <v>363</v>
      </c>
      <c r="M265">
        <v>3</v>
      </c>
      <c r="N265" t="str" cm="1">
        <f t="array" ref="N265">_xlfn.IFS(HRData[[#This Row],[EnvironmentSatisfaction]]=1,"Very Dissatisfied",
HRData[[#This Row],[EnvironmentSatisfaction]]=2,"Dissatisfied",
HRData[[#This Row],[EnvironmentSatisfaction]]=3,"Satisfied",
HRData[[#This Row],[EnvironmentSatisfaction]]=4,"Very Satisfied"
)</f>
        <v>Satisfied</v>
      </c>
      <c r="O265" t="s">
        <v>39</v>
      </c>
      <c r="P265">
        <v>75</v>
      </c>
      <c r="Q265">
        <v>1</v>
      </c>
      <c r="R265">
        <v>4</v>
      </c>
      <c r="S265" t="s">
        <v>56</v>
      </c>
      <c r="T265">
        <v>2</v>
      </c>
      <c r="U265" t="str" cm="1">
        <f t="array" ref="U265">_xlfn.IFS(
HRData[[#This Row],[JobSatisfaction]]=1,"Very Dissatisfied",
HRData[[#This Row],[JobSatisfaction]]=2,"Dissatisfied",
HRData[[#This Row],[JobSatisfaction]]=3,"Satisfied",
HRData[[#This Row],[JobSatisfaction]]=4,"Very Satisfied"
)</f>
        <v>Dissatisfied</v>
      </c>
      <c r="V265" t="s">
        <v>48</v>
      </c>
      <c r="W265">
        <v>16872</v>
      </c>
      <c r="X265" t="str" cm="1">
        <f t="array" ref="X265">_xlfn.IFS(
HRData[[#This Row],[MonthlyIncome]]&lt;=4000,"Very Low Income",
HRData[[#This Row],[MonthlyIncome]]&lt;=8000,"Low Income",
HRData[[#This Row],[MonthlyIncome]]&lt;=12000,"Moderate Income",
HRData[[#This Row],[MonthlyIncome]]&lt;=16000,"High Income",
HRData[[#This Row],[MonthlyIncome]]&gt;16000,"Very High Income"
)</f>
        <v>Very High Income</v>
      </c>
      <c r="Y265">
        <v>14977</v>
      </c>
      <c r="Z265">
        <v>3</v>
      </c>
      <c r="AA265" t="s">
        <v>42</v>
      </c>
      <c r="AB265" t="s">
        <v>35</v>
      </c>
      <c r="AC265">
        <v>12</v>
      </c>
      <c r="AD265" t="str" cm="1">
        <f t="array" ref="AD265">_xlfn.IFS(HRData[[#This Row],[PercentSalaryHike]]&lt;=15,"11-15",HRData[[#This Row],[PercentSalaryHike]]&lt;=20,"16-20",HRData[[#This Row],[PercentSalaryHike]]&gt;=21,"21+")</f>
        <v>11-15</v>
      </c>
      <c r="AE265">
        <v>3</v>
      </c>
      <c r="AF265">
        <v>2</v>
      </c>
      <c r="AG265">
        <v>80</v>
      </c>
      <c r="AH265">
        <v>1</v>
      </c>
      <c r="AI265">
        <v>28</v>
      </c>
      <c r="AJ265">
        <v>2</v>
      </c>
      <c r="AK265">
        <v>2</v>
      </c>
      <c r="AL265">
        <v>7</v>
      </c>
      <c r="AM265">
        <v>7</v>
      </c>
      <c r="AN265">
        <v>7</v>
      </c>
      <c r="AO265">
        <v>7</v>
      </c>
      <c r="AP26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65" t="str">
        <f>IF(HRData[[#This Row],[Attrition]]="Yes","Left", IF(HRData[[#This Row],[Attrition_Risk_Score]]&gt;=6,"High",IF(HRData[[#This Row],[Attrition_Risk_Score]]&gt;=3,"Medium","Low")))</f>
        <v>Low</v>
      </c>
      <c r="AR265" t="str">
        <f>IF(HRData[[#This Row],[Attrition_Risk_Level]]&lt;&gt;"High","",HRData[[#This Row],[Attrition_Risk_Score]]*10000-HRData[[#This Row],[EmployeeNumber]])</f>
        <v/>
      </c>
    </row>
    <row r="266" spans="1:44">
      <c r="A266">
        <v>28</v>
      </c>
      <c r="B266" t="str" cm="1">
        <f t="array" ref="B266">_xlfn.IFS(
HRData[[#This Row],[Age]]&lt;=24,"18-24",
HRData[[#This Row],[Age]]&lt;=34,"25-34",
HRData[[#This Row],[Age]]&lt;=44,"35-44",
HRData[[#This Row],[Age]]&lt;=54,"45-54",
HRData[[#This Row],[Age]]&gt;=55,"55+"
)</f>
        <v>25-34</v>
      </c>
      <c r="C266" t="s">
        <v>35</v>
      </c>
      <c r="D266">
        <f>IF(HRData[[#This Row],[Attrition]]="Yes",1,0)</f>
        <v>1</v>
      </c>
      <c r="E266" t="s">
        <v>36</v>
      </c>
      <c r="F266">
        <v>529</v>
      </c>
      <c r="G266" t="s">
        <v>45</v>
      </c>
      <c r="H266">
        <v>2</v>
      </c>
      <c r="I266">
        <v>4</v>
      </c>
      <c r="J266" t="s">
        <v>38</v>
      </c>
      <c r="K266">
        <v>1</v>
      </c>
      <c r="L266">
        <v>364</v>
      </c>
      <c r="M266">
        <v>1</v>
      </c>
      <c r="N266" t="str" cm="1">
        <f t="array" ref="N266">_xlfn.IFS(HRData[[#This Row],[EnvironmentSatisfaction]]=1,"Very Dissatisfied",
HRData[[#This Row],[EnvironmentSatisfaction]]=2,"Dissatisfied",
HRData[[#This Row],[EnvironmentSatisfaction]]=3,"Satisfied",
HRData[[#This Row],[EnvironmentSatisfaction]]=4,"Very Satisfied"
)</f>
        <v>Very Dissatisfied</v>
      </c>
      <c r="O266" t="s">
        <v>46</v>
      </c>
      <c r="P266">
        <v>79</v>
      </c>
      <c r="Q266">
        <v>3</v>
      </c>
      <c r="R266">
        <v>1</v>
      </c>
      <c r="S266" t="s">
        <v>50</v>
      </c>
      <c r="T266">
        <v>3</v>
      </c>
      <c r="U266" t="str" cm="1">
        <f t="array" ref="U266">_xlfn.IFS(
HRData[[#This Row],[JobSatisfaction]]=1,"Very Dissatisfied",
HRData[[#This Row],[JobSatisfaction]]=2,"Dissatisfied",
HRData[[#This Row],[JobSatisfaction]]=3,"Satisfied",
HRData[[#This Row],[JobSatisfaction]]=4,"Very Satisfied"
)</f>
        <v>Satisfied</v>
      </c>
      <c r="V266" t="s">
        <v>41</v>
      </c>
      <c r="W266">
        <v>3485</v>
      </c>
      <c r="X266" t="str" cm="1">
        <f t="array" ref="X266">_xlfn.IFS(
HRData[[#This Row],[MonthlyIncome]]&lt;=4000,"Very Low Income",
HRData[[#This Row],[MonthlyIncome]]&lt;=8000,"Low Income",
HRData[[#This Row],[MonthlyIncome]]&lt;=12000,"Moderate Income",
HRData[[#This Row],[MonthlyIncome]]&lt;=16000,"High Income",
HRData[[#This Row],[MonthlyIncome]]&gt;16000,"Very High Income"
)</f>
        <v>Very Low Income</v>
      </c>
      <c r="Y266">
        <v>14935</v>
      </c>
      <c r="Z266">
        <v>2</v>
      </c>
      <c r="AA266" t="s">
        <v>42</v>
      </c>
      <c r="AB266" t="s">
        <v>43</v>
      </c>
      <c r="AC266">
        <v>11</v>
      </c>
      <c r="AD266" t="str" cm="1">
        <f t="array" ref="AD266">_xlfn.IFS(HRData[[#This Row],[PercentSalaryHike]]&lt;=15,"11-15",HRData[[#This Row],[PercentSalaryHike]]&lt;=20,"16-20",HRData[[#This Row],[PercentSalaryHike]]&gt;=21,"21+")</f>
        <v>11-15</v>
      </c>
      <c r="AE266">
        <v>3</v>
      </c>
      <c r="AF266">
        <v>3</v>
      </c>
      <c r="AG266">
        <v>80</v>
      </c>
      <c r="AH266">
        <v>0</v>
      </c>
      <c r="AI266">
        <v>5</v>
      </c>
      <c r="AJ266">
        <v>5</v>
      </c>
      <c r="AK266">
        <v>1</v>
      </c>
      <c r="AL266">
        <v>0</v>
      </c>
      <c r="AM266">
        <v>0</v>
      </c>
      <c r="AN266">
        <v>0</v>
      </c>
      <c r="AO266">
        <v>0</v>
      </c>
      <c r="AP26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66" t="str">
        <f>IF(HRData[[#This Row],[Attrition]]="Yes","Left", IF(HRData[[#This Row],[Attrition_Risk_Score]]&gt;=6,"High",IF(HRData[[#This Row],[Attrition_Risk_Score]]&gt;=3,"Medium","Low")))</f>
        <v>Left</v>
      </c>
      <c r="AR266" t="str">
        <f>IF(HRData[[#This Row],[Attrition_Risk_Level]]&lt;&gt;"High","",HRData[[#This Row],[Attrition_Risk_Score]]*10000-HRData[[#This Row],[EmployeeNumber]])</f>
        <v/>
      </c>
    </row>
    <row r="267" spans="1:44">
      <c r="A267">
        <v>29</v>
      </c>
      <c r="B267" t="str" cm="1">
        <f t="array" ref="B267">_xlfn.IFS(
HRData[[#This Row],[Age]]&lt;=24,"18-24",
HRData[[#This Row],[Age]]&lt;=34,"25-34",
HRData[[#This Row],[Age]]&lt;=44,"35-44",
HRData[[#This Row],[Age]]&lt;=54,"45-54",
HRData[[#This Row],[Age]]&gt;=55,"55+"
)</f>
        <v>25-34</v>
      </c>
      <c r="C267" t="s">
        <v>43</v>
      </c>
      <c r="D267">
        <f>IF(HRData[[#This Row],[Attrition]]="Yes",1,0)</f>
        <v>0</v>
      </c>
      <c r="E267" t="s">
        <v>36</v>
      </c>
      <c r="F267">
        <v>1210</v>
      </c>
      <c r="G267" t="s">
        <v>37</v>
      </c>
      <c r="H267">
        <v>2</v>
      </c>
      <c r="I267">
        <v>3</v>
      </c>
      <c r="J267" t="s">
        <v>51</v>
      </c>
      <c r="K267">
        <v>1</v>
      </c>
      <c r="L267">
        <v>366</v>
      </c>
      <c r="M267">
        <v>1</v>
      </c>
      <c r="N267" t="str" cm="1">
        <f t="array" ref="N267">_xlfn.IFS(HRData[[#This Row],[EnvironmentSatisfaction]]=1,"Very Dissatisfied",
HRData[[#This Row],[EnvironmentSatisfaction]]=2,"Dissatisfied",
HRData[[#This Row],[EnvironmentSatisfaction]]=3,"Satisfied",
HRData[[#This Row],[EnvironmentSatisfaction]]=4,"Very Satisfied"
)</f>
        <v>Very Dissatisfied</v>
      </c>
      <c r="O267" t="s">
        <v>46</v>
      </c>
      <c r="P267">
        <v>78</v>
      </c>
      <c r="Q267">
        <v>2</v>
      </c>
      <c r="R267">
        <v>2</v>
      </c>
      <c r="S267" t="s">
        <v>40</v>
      </c>
      <c r="T267">
        <v>2</v>
      </c>
      <c r="U267" t="str" cm="1">
        <f t="array" ref="U267">_xlfn.IFS(
HRData[[#This Row],[JobSatisfaction]]=1,"Very Dissatisfied",
HRData[[#This Row],[JobSatisfaction]]=2,"Dissatisfied",
HRData[[#This Row],[JobSatisfaction]]=3,"Satisfied",
HRData[[#This Row],[JobSatisfaction]]=4,"Very Satisfied"
)</f>
        <v>Dissatisfied</v>
      </c>
      <c r="V267" t="s">
        <v>48</v>
      </c>
      <c r="W267">
        <v>6644</v>
      </c>
      <c r="X267" t="str" cm="1">
        <f t="array" ref="X267">_xlfn.IFS(
HRData[[#This Row],[MonthlyIncome]]&lt;=4000,"Very Low Income",
HRData[[#This Row],[MonthlyIncome]]&lt;=8000,"Low Income",
HRData[[#This Row],[MonthlyIncome]]&lt;=12000,"Moderate Income",
HRData[[#This Row],[MonthlyIncome]]&lt;=16000,"High Income",
HRData[[#This Row],[MonthlyIncome]]&gt;16000,"Very High Income"
)</f>
        <v>Low Income</v>
      </c>
      <c r="Y267">
        <v>3687</v>
      </c>
      <c r="Z267">
        <v>2</v>
      </c>
      <c r="AA267" t="s">
        <v>42</v>
      </c>
      <c r="AB267" t="s">
        <v>43</v>
      </c>
      <c r="AC267">
        <v>19</v>
      </c>
      <c r="AD267" t="str" cm="1">
        <f t="array" ref="AD267">_xlfn.IFS(HRData[[#This Row],[PercentSalaryHike]]&lt;=15,"11-15",HRData[[#This Row],[PercentSalaryHike]]&lt;=20,"16-20",HRData[[#This Row],[PercentSalaryHike]]&gt;=21,"21+")</f>
        <v>16-20</v>
      </c>
      <c r="AE267">
        <v>3</v>
      </c>
      <c r="AF267">
        <v>2</v>
      </c>
      <c r="AG267">
        <v>80</v>
      </c>
      <c r="AH267">
        <v>2</v>
      </c>
      <c r="AI267">
        <v>10</v>
      </c>
      <c r="AJ267">
        <v>2</v>
      </c>
      <c r="AK267">
        <v>3</v>
      </c>
      <c r="AL267">
        <v>0</v>
      </c>
      <c r="AM267">
        <v>0</v>
      </c>
      <c r="AN267">
        <v>0</v>
      </c>
      <c r="AO267">
        <v>0</v>
      </c>
      <c r="AP26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67" t="str">
        <f>IF(HRData[[#This Row],[Attrition]]="Yes","Left", IF(HRData[[#This Row],[Attrition_Risk_Score]]&gt;=6,"High",IF(HRData[[#This Row],[Attrition_Risk_Score]]&gt;=3,"Medium","Low")))</f>
        <v>Low</v>
      </c>
      <c r="AR267" t="str">
        <f>IF(HRData[[#This Row],[Attrition_Risk_Level]]&lt;&gt;"High","",HRData[[#This Row],[Attrition_Risk_Score]]*10000-HRData[[#This Row],[EmployeeNumber]])</f>
        <v/>
      </c>
    </row>
    <row r="268" spans="1:44">
      <c r="A268">
        <v>31</v>
      </c>
      <c r="B268" t="str" cm="1">
        <f t="array" ref="B268">_xlfn.IFS(
HRData[[#This Row],[Age]]&lt;=24,"18-24",
HRData[[#This Row],[Age]]&lt;=34,"25-34",
HRData[[#This Row],[Age]]&lt;=44,"35-44",
HRData[[#This Row],[Age]]&lt;=54,"45-54",
HRData[[#This Row],[Age]]&gt;=55,"55+"
)</f>
        <v>25-34</v>
      </c>
      <c r="C268" t="s">
        <v>43</v>
      </c>
      <c r="D268">
        <f>IF(HRData[[#This Row],[Attrition]]="Yes",1,0)</f>
        <v>0</v>
      </c>
      <c r="E268" t="s">
        <v>36</v>
      </c>
      <c r="F268">
        <v>1463</v>
      </c>
      <c r="G268" t="s">
        <v>45</v>
      </c>
      <c r="H268">
        <v>23</v>
      </c>
      <c r="I268">
        <v>3</v>
      </c>
      <c r="J268" t="s">
        <v>51</v>
      </c>
      <c r="K268">
        <v>1</v>
      </c>
      <c r="L268">
        <v>367</v>
      </c>
      <c r="M268">
        <v>2</v>
      </c>
      <c r="N268" t="str" cm="1">
        <f t="array" ref="N268">_xlfn.IFS(HRData[[#This Row],[EnvironmentSatisfaction]]=1,"Very Dissatisfied",
HRData[[#This Row],[EnvironmentSatisfaction]]=2,"Dissatisfied",
HRData[[#This Row],[EnvironmentSatisfaction]]=3,"Satisfied",
HRData[[#This Row],[EnvironmentSatisfaction]]=4,"Very Satisfied"
)</f>
        <v>Dissatisfied</v>
      </c>
      <c r="O268" t="s">
        <v>46</v>
      </c>
      <c r="P268">
        <v>64</v>
      </c>
      <c r="Q268">
        <v>2</v>
      </c>
      <c r="R268">
        <v>2</v>
      </c>
      <c r="S268" t="s">
        <v>54</v>
      </c>
      <c r="T268">
        <v>4</v>
      </c>
      <c r="U268" t="str" cm="1">
        <f t="array" ref="U268">_xlfn.IFS(
HRData[[#This Row],[JobSatisfaction]]=1,"Very Dissatisfied",
HRData[[#This Row],[JobSatisfaction]]=2,"Dissatisfied",
HRData[[#This Row],[JobSatisfaction]]=3,"Satisfied",
HRData[[#This Row],[JobSatisfaction]]=4,"Very Satisfied"
)</f>
        <v>Very Satisfied</v>
      </c>
      <c r="V268" t="s">
        <v>48</v>
      </c>
      <c r="W268">
        <v>5582</v>
      </c>
      <c r="X268" t="str" cm="1">
        <f t="array" ref="X268">_xlfn.IFS(
HRData[[#This Row],[MonthlyIncome]]&lt;=4000,"Very Low Income",
HRData[[#This Row],[MonthlyIncome]]&lt;=8000,"Low Income",
HRData[[#This Row],[MonthlyIncome]]&lt;=12000,"Moderate Income",
HRData[[#This Row],[MonthlyIncome]]&lt;=16000,"High Income",
HRData[[#This Row],[MonthlyIncome]]&gt;16000,"Very High Income"
)</f>
        <v>Low Income</v>
      </c>
      <c r="Y268">
        <v>14408</v>
      </c>
      <c r="Z268">
        <v>0</v>
      </c>
      <c r="AA268" t="s">
        <v>42</v>
      </c>
      <c r="AB268" t="s">
        <v>43</v>
      </c>
      <c r="AC268">
        <v>21</v>
      </c>
      <c r="AD268" t="str" cm="1">
        <f t="array" ref="AD268">_xlfn.IFS(HRData[[#This Row],[PercentSalaryHike]]&lt;=15,"11-15",HRData[[#This Row],[PercentSalaryHike]]&lt;=20,"16-20",HRData[[#This Row],[PercentSalaryHike]]&gt;=21,"21+")</f>
        <v>21+</v>
      </c>
      <c r="AE268">
        <v>4</v>
      </c>
      <c r="AF268">
        <v>2</v>
      </c>
      <c r="AG268">
        <v>80</v>
      </c>
      <c r="AH268">
        <v>1</v>
      </c>
      <c r="AI268">
        <v>10</v>
      </c>
      <c r="AJ268">
        <v>2</v>
      </c>
      <c r="AK268">
        <v>3</v>
      </c>
      <c r="AL268">
        <v>9</v>
      </c>
      <c r="AM268">
        <v>0</v>
      </c>
      <c r="AN268">
        <v>7</v>
      </c>
      <c r="AO268">
        <v>8</v>
      </c>
      <c r="AP26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68" t="str">
        <f>IF(HRData[[#This Row],[Attrition]]="Yes","Left", IF(HRData[[#This Row],[Attrition_Risk_Score]]&gt;=6,"High",IF(HRData[[#This Row],[Attrition_Risk_Score]]&gt;=3,"Medium","Low")))</f>
        <v>Low</v>
      </c>
      <c r="AR268" t="str">
        <f>IF(HRData[[#This Row],[Attrition_Risk_Level]]&lt;&gt;"High","",HRData[[#This Row],[Attrition_Risk_Score]]*10000-HRData[[#This Row],[EmployeeNumber]])</f>
        <v/>
      </c>
    </row>
    <row r="269" spans="1:44">
      <c r="A269">
        <v>25</v>
      </c>
      <c r="B269" t="str" cm="1">
        <f t="array" ref="B269">_xlfn.IFS(
HRData[[#This Row],[Age]]&lt;=24,"18-24",
HRData[[#This Row],[Age]]&lt;=34,"25-34",
HRData[[#This Row],[Age]]&lt;=44,"35-44",
HRData[[#This Row],[Age]]&lt;=54,"45-54",
HRData[[#This Row],[Age]]&gt;=55,"55+"
)</f>
        <v>25-34</v>
      </c>
      <c r="C269" t="s">
        <v>43</v>
      </c>
      <c r="D269">
        <f>IF(HRData[[#This Row],[Attrition]]="Yes",1,0)</f>
        <v>0</v>
      </c>
      <c r="E269" t="s">
        <v>55</v>
      </c>
      <c r="F269">
        <v>675</v>
      </c>
      <c r="G269" t="s">
        <v>45</v>
      </c>
      <c r="H269">
        <v>5</v>
      </c>
      <c r="I269">
        <v>2</v>
      </c>
      <c r="J269" t="s">
        <v>38</v>
      </c>
      <c r="K269">
        <v>1</v>
      </c>
      <c r="L269">
        <v>369</v>
      </c>
      <c r="M269">
        <v>2</v>
      </c>
      <c r="N269" t="str" cm="1">
        <f t="array" ref="N269">_xlfn.IFS(HRData[[#This Row],[EnvironmentSatisfaction]]=1,"Very Dissatisfied",
HRData[[#This Row],[EnvironmentSatisfaction]]=2,"Dissatisfied",
HRData[[#This Row],[EnvironmentSatisfaction]]=3,"Satisfied",
HRData[[#This Row],[EnvironmentSatisfaction]]=4,"Very Satisfied"
)</f>
        <v>Dissatisfied</v>
      </c>
      <c r="O269" t="s">
        <v>46</v>
      </c>
      <c r="P269">
        <v>85</v>
      </c>
      <c r="Q269">
        <v>4</v>
      </c>
      <c r="R269">
        <v>2</v>
      </c>
      <c r="S269" t="s">
        <v>54</v>
      </c>
      <c r="T269">
        <v>1</v>
      </c>
      <c r="U269" t="str" cm="1">
        <f t="array" ref="U269">_xlfn.IFS(
HRData[[#This Row],[JobSatisfaction]]=1,"Very Dissatisfied",
HRData[[#This Row],[JobSatisfaction]]=2,"Dissatisfied",
HRData[[#This Row],[JobSatisfaction]]=3,"Satisfied",
HRData[[#This Row],[JobSatisfaction]]=4,"Very Satisfied"
)</f>
        <v>Very Dissatisfied</v>
      </c>
      <c r="V269" t="s">
        <v>52</v>
      </c>
      <c r="W269">
        <v>4000</v>
      </c>
      <c r="X269" t="str" cm="1">
        <f t="array" ref="X269">_xlfn.IFS(
HRData[[#This Row],[MonthlyIncome]]&lt;=4000,"Very Low Income",
HRData[[#This Row],[MonthlyIncome]]&lt;=8000,"Low Income",
HRData[[#This Row],[MonthlyIncome]]&lt;=12000,"Moderate Income",
HRData[[#This Row],[MonthlyIncome]]&lt;=16000,"High Income",
HRData[[#This Row],[MonthlyIncome]]&gt;16000,"Very High Income"
)</f>
        <v>Very Low Income</v>
      </c>
      <c r="Y269">
        <v>18384</v>
      </c>
      <c r="Z269">
        <v>1</v>
      </c>
      <c r="AA269" t="s">
        <v>42</v>
      </c>
      <c r="AB269" t="s">
        <v>43</v>
      </c>
      <c r="AC269">
        <v>12</v>
      </c>
      <c r="AD269" t="str" cm="1">
        <f t="array" ref="AD269">_xlfn.IFS(HRData[[#This Row],[PercentSalaryHike]]&lt;=15,"11-15",HRData[[#This Row],[PercentSalaryHike]]&lt;=20,"16-20",HRData[[#This Row],[PercentSalaryHike]]&gt;=21,"21+")</f>
        <v>11-15</v>
      </c>
      <c r="AE269">
        <v>3</v>
      </c>
      <c r="AF269">
        <v>4</v>
      </c>
      <c r="AG269">
        <v>80</v>
      </c>
      <c r="AH269">
        <v>2</v>
      </c>
      <c r="AI269">
        <v>6</v>
      </c>
      <c r="AJ269">
        <v>2</v>
      </c>
      <c r="AK269">
        <v>3</v>
      </c>
      <c r="AL269">
        <v>6</v>
      </c>
      <c r="AM269">
        <v>3</v>
      </c>
      <c r="AN269">
        <v>1</v>
      </c>
      <c r="AO269">
        <v>5</v>
      </c>
      <c r="AP26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269" t="str">
        <f>IF(HRData[[#This Row],[Attrition]]="Yes","Left", IF(HRData[[#This Row],[Attrition_Risk_Score]]&gt;=6,"High",IF(HRData[[#This Row],[Attrition_Risk_Score]]&gt;=3,"Medium","Low")))</f>
        <v>Medium</v>
      </c>
      <c r="AR269" t="str">
        <f>IF(HRData[[#This Row],[Attrition_Risk_Level]]&lt;&gt;"High","",HRData[[#This Row],[Attrition_Risk_Score]]*10000-HRData[[#This Row],[EmployeeNumber]])</f>
        <v/>
      </c>
    </row>
    <row r="270" spans="1:44">
      <c r="A270">
        <v>45</v>
      </c>
      <c r="B270" t="str" cm="1">
        <f t="array" ref="B270">_xlfn.IFS(
HRData[[#This Row],[Age]]&lt;=24,"18-24",
HRData[[#This Row],[Age]]&lt;=34,"25-34",
HRData[[#This Row],[Age]]&lt;=44,"35-44",
HRData[[#This Row],[Age]]&lt;=54,"45-54",
HRData[[#This Row],[Age]]&gt;=55,"55+"
)</f>
        <v>45-54</v>
      </c>
      <c r="C270" t="s">
        <v>43</v>
      </c>
      <c r="D270">
        <f>IF(HRData[[#This Row],[Attrition]]="Yes",1,0)</f>
        <v>0</v>
      </c>
      <c r="E270" t="s">
        <v>36</v>
      </c>
      <c r="F270">
        <v>1385</v>
      </c>
      <c r="G270" t="s">
        <v>45</v>
      </c>
      <c r="H270">
        <v>20</v>
      </c>
      <c r="I270">
        <v>2</v>
      </c>
      <c r="J270" t="s">
        <v>51</v>
      </c>
      <c r="K270">
        <v>1</v>
      </c>
      <c r="L270">
        <v>372</v>
      </c>
      <c r="M270">
        <v>3</v>
      </c>
      <c r="N270" t="str" cm="1">
        <f t="array" ref="N270">_xlfn.IFS(HRData[[#This Row],[EnvironmentSatisfaction]]=1,"Very Dissatisfied",
HRData[[#This Row],[EnvironmentSatisfaction]]=2,"Dissatisfied",
HRData[[#This Row],[EnvironmentSatisfaction]]=3,"Satisfied",
HRData[[#This Row],[EnvironmentSatisfaction]]=4,"Very Satisfied"
)</f>
        <v>Satisfied</v>
      </c>
      <c r="O270" t="s">
        <v>46</v>
      </c>
      <c r="P270">
        <v>79</v>
      </c>
      <c r="Q270">
        <v>3</v>
      </c>
      <c r="R270">
        <v>4</v>
      </c>
      <c r="S270" t="s">
        <v>54</v>
      </c>
      <c r="T270">
        <v>4</v>
      </c>
      <c r="U270" t="str" cm="1">
        <f t="array" ref="U270">_xlfn.IFS(
HRData[[#This Row],[JobSatisfaction]]=1,"Very Dissatisfied",
HRData[[#This Row],[JobSatisfaction]]=2,"Dissatisfied",
HRData[[#This Row],[JobSatisfaction]]=3,"Satisfied",
HRData[[#This Row],[JobSatisfaction]]=4,"Very Satisfied"
)</f>
        <v>Very Satisfied</v>
      </c>
      <c r="V270" t="s">
        <v>48</v>
      </c>
      <c r="W270">
        <v>13496</v>
      </c>
      <c r="X270" t="str" cm="1">
        <f t="array" ref="X270">_xlfn.IFS(
HRData[[#This Row],[MonthlyIncome]]&lt;=4000,"Very Low Income",
HRData[[#This Row],[MonthlyIncome]]&lt;=8000,"Low Income",
HRData[[#This Row],[MonthlyIncome]]&lt;=12000,"Moderate Income",
HRData[[#This Row],[MonthlyIncome]]&lt;=16000,"High Income",
HRData[[#This Row],[MonthlyIncome]]&gt;16000,"Very High Income"
)</f>
        <v>High Income</v>
      </c>
      <c r="Y270">
        <v>7501</v>
      </c>
      <c r="Z270">
        <v>0</v>
      </c>
      <c r="AA270" t="s">
        <v>42</v>
      </c>
      <c r="AB270" t="s">
        <v>35</v>
      </c>
      <c r="AC270">
        <v>14</v>
      </c>
      <c r="AD270" t="str" cm="1">
        <f t="array" ref="AD270">_xlfn.IFS(HRData[[#This Row],[PercentSalaryHike]]&lt;=15,"11-15",HRData[[#This Row],[PercentSalaryHike]]&lt;=20,"16-20",HRData[[#This Row],[PercentSalaryHike]]&gt;=21,"21+")</f>
        <v>11-15</v>
      </c>
      <c r="AE270">
        <v>3</v>
      </c>
      <c r="AF270">
        <v>2</v>
      </c>
      <c r="AG270">
        <v>80</v>
      </c>
      <c r="AH270">
        <v>0</v>
      </c>
      <c r="AI270">
        <v>21</v>
      </c>
      <c r="AJ270">
        <v>2</v>
      </c>
      <c r="AK270">
        <v>3</v>
      </c>
      <c r="AL270">
        <v>20</v>
      </c>
      <c r="AM270">
        <v>7</v>
      </c>
      <c r="AN270">
        <v>4</v>
      </c>
      <c r="AO270">
        <v>10</v>
      </c>
      <c r="AP27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70" t="str">
        <f>IF(HRData[[#This Row],[Attrition]]="Yes","Left", IF(HRData[[#This Row],[Attrition_Risk_Score]]&gt;=6,"High",IF(HRData[[#This Row],[Attrition_Risk_Score]]&gt;=3,"Medium","Low")))</f>
        <v>Low</v>
      </c>
      <c r="AR270" t="str">
        <f>IF(HRData[[#This Row],[Attrition_Risk_Level]]&lt;&gt;"High","",HRData[[#This Row],[Attrition_Risk_Score]]*10000-HRData[[#This Row],[EmployeeNumber]])</f>
        <v/>
      </c>
    </row>
    <row r="271" spans="1:44">
      <c r="A271">
        <v>36</v>
      </c>
      <c r="B271" t="str" cm="1">
        <f t="array" ref="B271">_xlfn.IFS(
HRData[[#This Row],[Age]]&lt;=24,"18-24",
HRData[[#This Row],[Age]]&lt;=34,"25-34",
HRData[[#This Row],[Age]]&lt;=44,"35-44",
HRData[[#This Row],[Age]]&lt;=54,"45-54",
HRData[[#This Row],[Age]]&gt;=55,"55+"
)</f>
        <v>35-44</v>
      </c>
      <c r="C271" t="s">
        <v>43</v>
      </c>
      <c r="D271">
        <f>IF(HRData[[#This Row],[Attrition]]="Yes",1,0)</f>
        <v>0</v>
      </c>
      <c r="E271" t="s">
        <v>36</v>
      </c>
      <c r="F271">
        <v>1403</v>
      </c>
      <c r="G271" t="s">
        <v>45</v>
      </c>
      <c r="H271">
        <v>6</v>
      </c>
      <c r="I271">
        <v>3</v>
      </c>
      <c r="J271" t="s">
        <v>38</v>
      </c>
      <c r="K271">
        <v>1</v>
      </c>
      <c r="L271">
        <v>373</v>
      </c>
      <c r="M271">
        <v>4</v>
      </c>
      <c r="N271" t="str" cm="1">
        <f t="array" ref="N271">_xlfn.IFS(HRData[[#This Row],[EnvironmentSatisfaction]]=1,"Very Dissatisfied",
HRData[[#This Row],[EnvironmentSatisfaction]]=2,"Dissatisfied",
HRData[[#This Row],[EnvironmentSatisfaction]]=3,"Satisfied",
HRData[[#This Row],[EnvironmentSatisfaction]]=4,"Very Satisfied"
)</f>
        <v>Very Satisfied</v>
      </c>
      <c r="O271" t="s">
        <v>46</v>
      </c>
      <c r="P271">
        <v>47</v>
      </c>
      <c r="Q271">
        <v>3</v>
      </c>
      <c r="R271">
        <v>1</v>
      </c>
      <c r="S271" t="s">
        <v>50</v>
      </c>
      <c r="T271">
        <v>4</v>
      </c>
      <c r="U271" t="str" cm="1">
        <f t="array" ref="U271">_xlfn.IFS(
HRData[[#This Row],[JobSatisfaction]]=1,"Very Dissatisfied",
HRData[[#This Row],[JobSatisfaction]]=2,"Dissatisfied",
HRData[[#This Row],[JobSatisfaction]]=3,"Satisfied",
HRData[[#This Row],[JobSatisfaction]]=4,"Very Satisfied"
)</f>
        <v>Very Satisfied</v>
      </c>
      <c r="V271" t="s">
        <v>48</v>
      </c>
      <c r="W271">
        <v>3210</v>
      </c>
      <c r="X271" t="str" cm="1">
        <f t="array" ref="X271">_xlfn.IFS(
HRData[[#This Row],[MonthlyIncome]]&lt;=4000,"Very Low Income",
HRData[[#This Row],[MonthlyIncome]]&lt;=8000,"Low Income",
HRData[[#This Row],[MonthlyIncome]]&lt;=12000,"Moderate Income",
HRData[[#This Row],[MonthlyIncome]]&lt;=16000,"High Income",
HRData[[#This Row],[MonthlyIncome]]&gt;16000,"Very High Income"
)</f>
        <v>Very Low Income</v>
      </c>
      <c r="Y271">
        <v>20251</v>
      </c>
      <c r="Z271">
        <v>0</v>
      </c>
      <c r="AA271" t="s">
        <v>42</v>
      </c>
      <c r="AB271" t="s">
        <v>43</v>
      </c>
      <c r="AC271">
        <v>11</v>
      </c>
      <c r="AD271" t="str" cm="1">
        <f t="array" ref="AD271">_xlfn.IFS(HRData[[#This Row],[PercentSalaryHike]]&lt;=15,"11-15",HRData[[#This Row],[PercentSalaryHike]]&lt;=20,"16-20",HRData[[#This Row],[PercentSalaryHike]]&gt;=21,"21+")</f>
        <v>11-15</v>
      </c>
      <c r="AE271">
        <v>3</v>
      </c>
      <c r="AF271">
        <v>3</v>
      </c>
      <c r="AG271">
        <v>80</v>
      </c>
      <c r="AH271">
        <v>1</v>
      </c>
      <c r="AI271">
        <v>16</v>
      </c>
      <c r="AJ271">
        <v>4</v>
      </c>
      <c r="AK271">
        <v>3</v>
      </c>
      <c r="AL271">
        <v>15</v>
      </c>
      <c r="AM271">
        <v>13</v>
      </c>
      <c r="AN271">
        <v>10</v>
      </c>
      <c r="AO271">
        <v>11</v>
      </c>
      <c r="AP27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271" t="str">
        <f>IF(HRData[[#This Row],[Attrition]]="Yes","Left", IF(HRData[[#This Row],[Attrition_Risk_Score]]&gt;=6,"High",IF(HRData[[#This Row],[Attrition_Risk_Score]]&gt;=3,"Medium","Low")))</f>
        <v>Medium</v>
      </c>
      <c r="AR271" t="str">
        <f>IF(HRData[[#This Row],[Attrition_Risk_Level]]&lt;&gt;"High","",HRData[[#This Row],[Attrition_Risk_Score]]*10000-HRData[[#This Row],[EmployeeNumber]])</f>
        <v/>
      </c>
    </row>
    <row r="272" spans="1:44">
      <c r="A272">
        <v>55</v>
      </c>
      <c r="B272" t="str" cm="1">
        <f t="array" ref="B272">_xlfn.IFS(
HRData[[#This Row],[Age]]&lt;=24,"18-24",
HRData[[#This Row],[Age]]&lt;=34,"25-34",
HRData[[#This Row],[Age]]&lt;=44,"35-44",
HRData[[#This Row],[Age]]&lt;=54,"45-54",
HRData[[#This Row],[Age]]&gt;=55,"55+"
)</f>
        <v>55+</v>
      </c>
      <c r="C272" t="s">
        <v>43</v>
      </c>
      <c r="D272">
        <f>IF(HRData[[#This Row],[Attrition]]="Yes",1,0)</f>
        <v>0</v>
      </c>
      <c r="E272" t="s">
        <v>36</v>
      </c>
      <c r="F272">
        <v>452</v>
      </c>
      <c r="G272" t="s">
        <v>45</v>
      </c>
      <c r="H272">
        <v>1</v>
      </c>
      <c r="I272">
        <v>3</v>
      </c>
      <c r="J272" t="s">
        <v>51</v>
      </c>
      <c r="K272">
        <v>1</v>
      </c>
      <c r="L272">
        <v>374</v>
      </c>
      <c r="M272">
        <v>4</v>
      </c>
      <c r="N272" t="str" cm="1">
        <f t="array" ref="N272">_xlfn.IFS(HRData[[#This Row],[EnvironmentSatisfaction]]=1,"Very Dissatisfied",
HRData[[#This Row],[EnvironmentSatisfaction]]=2,"Dissatisfied",
HRData[[#This Row],[EnvironmentSatisfaction]]=3,"Satisfied",
HRData[[#This Row],[EnvironmentSatisfaction]]=4,"Very Satisfied"
)</f>
        <v>Very Satisfied</v>
      </c>
      <c r="O272" t="s">
        <v>46</v>
      </c>
      <c r="P272">
        <v>81</v>
      </c>
      <c r="Q272">
        <v>3</v>
      </c>
      <c r="R272">
        <v>5</v>
      </c>
      <c r="S272" t="s">
        <v>56</v>
      </c>
      <c r="T272">
        <v>1</v>
      </c>
      <c r="U272" t="str" cm="1">
        <f t="array" ref="U272">_xlfn.IFS(
HRData[[#This Row],[JobSatisfaction]]=1,"Very Dissatisfied",
HRData[[#This Row],[JobSatisfaction]]=2,"Dissatisfied",
HRData[[#This Row],[JobSatisfaction]]=3,"Satisfied",
HRData[[#This Row],[JobSatisfaction]]=4,"Very Satisfied"
)</f>
        <v>Very Dissatisfied</v>
      </c>
      <c r="V272" t="s">
        <v>41</v>
      </c>
      <c r="W272">
        <v>19045</v>
      </c>
      <c r="X272" t="str" cm="1">
        <f t="array" ref="X272">_xlfn.IFS(
HRData[[#This Row],[MonthlyIncome]]&lt;=4000,"Very Low Income",
HRData[[#This Row],[MonthlyIncome]]&lt;=8000,"Low Income",
HRData[[#This Row],[MonthlyIncome]]&lt;=12000,"Moderate Income",
HRData[[#This Row],[MonthlyIncome]]&lt;=16000,"High Income",
HRData[[#This Row],[MonthlyIncome]]&gt;16000,"Very High Income"
)</f>
        <v>Very High Income</v>
      </c>
      <c r="Y272">
        <v>18938</v>
      </c>
      <c r="Z272">
        <v>0</v>
      </c>
      <c r="AA272" t="s">
        <v>42</v>
      </c>
      <c r="AB272" t="s">
        <v>35</v>
      </c>
      <c r="AC272">
        <v>14</v>
      </c>
      <c r="AD272" t="str" cm="1">
        <f t="array" ref="AD272">_xlfn.IFS(HRData[[#This Row],[PercentSalaryHike]]&lt;=15,"11-15",HRData[[#This Row],[PercentSalaryHike]]&lt;=20,"16-20",HRData[[#This Row],[PercentSalaryHike]]&gt;=21,"21+")</f>
        <v>11-15</v>
      </c>
      <c r="AE272">
        <v>3</v>
      </c>
      <c r="AF272">
        <v>3</v>
      </c>
      <c r="AG272">
        <v>80</v>
      </c>
      <c r="AH272">
        <v>0</v>
      </c>
      <c r="AI272">
        <v>37</v>
      </c>
      <c r="AJ272">
        <v>2</v>
      </c>
      <c r="AK272">
        <v>3</v>
      </c>
      <c r="AL272">
        <v>36</v>
      </c>
      <c r="AM272">
        <v>10</v>
      </c>
      <c r="AN272">
        <v>4</v>
      </c>
      <c r="AO272">
        <v>13</v>
      </c>
      <c r="AP27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272" t="str">
        <f>IF(HRData[[#This Row],[Attrition]]="Yes","Left", IF(HRData[[#This Row],[Attrition_Risk_Score]]&gt;=6,"High",IF(HRData[[#This Row],[Attrition_Risk_Score]]&gt;=3,"Medium","Low")))</f>
        <v>Medium</v>
      </c>
      <c r="AR272" t="str">
        <f>IF(HRData[[#This Row],[Attrition_Risk_Level]]&lt;&gt;"High","",HRData[[#This Row],[Attrition_Risk_Score]]*10000-HRData[[#This Row],[EmployeeNumber]])</f>
        <v/>
      </c>
    </row>
    <row r="273" spans="1:44">
      <c r="A273">
        <v>47</v>
      </c>
      <c r="B273" t="str" cm="1">
        <f t="array" ref="B273">_xlfn.IFS(
HRData[[#This Row],[Age]]&lt;=24,"18-24",
HRData[[#This Row],[Age]]&lt;=34,"25-34",
HRData[[#This Row],[Age]]&lt;=44,"35-44",
HRData[[#This Row],[Age]]&lt;=54,"45-54",
HRData[[#This Row],[Age]]&gt;=55,"55+"
)</f>
        <v>45-54</v>
      </c>
      <c r="C273" t="s">
        <v>35</v>
      </c>
      <c r="D273">
        <f>IF(HRData[[#This Row],[Attrition]]="Yes",1,0)</f>
        <v>1</v>
      </c>
      <c r="E273" t="s">
        <v>55</v>
      </c>
      <c r="F273">
        <v>666</v>
      </c>
      <c r="G273" t="s">
        <v>45</v>
      </c>
      <c r="H273">
        <v>29</v>
      </c>
      <c r="I273">
        <v>4</v>
      </c>
      <c r="J273" t="s">
        <v>38</v>
      </c>
      <c r="K273">
        <v>1</v>
      </c>
      <c r="L273">
        <v>376</v>
      </c>
      <c r="M273">
        <v>1</v>
      </c>
      <c r="N273" t="str" cm="1">
        <f t="array" ref="N273">_xlfn.IFS(HRData[[#This Row],[EnvironmentSatisfaction]]=1,"Very Dissatisfied",
HRData[[#This Row],[EnvironmentSatisfaction]]=2,"Dissatisfied",
HRData[[#This Row],[EnvironmentSatisfaction]]=3,"Satisfied",
HRData[[#This Row],[EnvironmentSatisfaction]]=4,"Very Satisfied"
)</f>
        <v>Very Dissatisfied</v>
      </c>
      <c r="O273" t="s">
        <v>46</v>
      </c>
      <c r="P273">
        <v>88</v>
      </c>
      <c r="Q273">
        <v>3</v>
      </c>
      <c r="R273">
        <v>3</v>
      </c>
      <c r="S273" t="s">
        <v>56</v>
      </c>
      <c r="T273">
        <v>2</v>
      </c>
      <c r="U273" t="str" cm="1">
        <f t="array" ref="U273">_xlfn.IFS(
HRData[[#This Row],[JobSatisfaction]]=1,"Very Dissatisfied",
HRData[[#This Row],[JobSatisfaction]]=2,"Dissatisfied",
HRData[[#This Row],[JobSatisfaction]]=3,"Satisfied",
HRData[[#This Row],[JobSatisfaction]]=4,"Very Satisfied"
)</f>
        <v>Dissatisfied</v>
      </c>
      <c r="V273" t="s">
        <v>48</v>
      </c>
      <c r="W273">
        <v>11849</v>
      </c>
      <c r="X273" t="str" cm="1">
        <f t="array" ref="X273">_xlfn.IFS(
HRData[[#This Row],[MonthlyIncome]]&lt;=4000,"Very Low Income",
HRData[[#This Row],[MonthlyIncome]]&lt;=8000,"Low Income",
HRData[[#This Row],[MonthlyIncome]]&lt;=12000,"Moderate Income",
HRData[[#This Row],[MonthlyIncome]]&lt;=16000,"High Income",
HRData[[#This Row],[MonthlyIncome]]&gt;16000,"Very High Income"
)</f>
        <v>Moderate Income</v>
      </c>
      <c r="Y273">
        <v>10268</v>
      </c>
      <c r="Z273">
        <v>1</v>
      </c>
      <c r="AA273" t="s">
        <v>42</v>
      </c>
      <c r="AB273" t="s">
        <v>35</v>
      </c>
      <c r="AC273">
        <v>12</v>
      </c>
      <c r="AD273" t="str" cm="1">
        <f t="array" ref="AD273">_xlfn.IFS(HRData[[#This Row],[PercentSalaryHike]]&lt;=15,"11-15",HRData[[#This Row],[PercentSalaryHike]]&lt;=20,"16-20",HRData[[#This Row],[PercentSalaryHike]]&gt;=21,"21+")</f>
        <v>11-15</v>
      </c>
      <c r="AE273">
        <v>3</v>
      </c>
      <c r="AF273">
        <v>4</v>
      </c>
      <c r="AG273">
        <v>80</v>
      </c>
      <c r="AH273">
        <v>1</v>
      </c>
      <c r="AI273">
        <v>10</v>
      </c>
      <c r="AJ273">
        <v>2</v>
      </c>
      <c r="AK273">
        <v>2</v>
      </c>
      <c r="AL273">
        <v>10</v>
      </c>
      <c r="AM273">
        <v>7</v>
      </c>
      <c r="AN273">
        <v>9</v>
      </c>
      <c r="AO273">
        <v>9</v>
      </c>
      <c r="AP27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73" t="str">
        <f>IF(HRData[[#This Row],[Attrition]]="Yes","Left", IF(HRData[[#This Row],[Attrition_Risk_Score]]&gt;=6,"High",IF(HRData[[#This Row],[Attrition_Risk_Score]]&gt;=3,"Medium","Low")))</f>
        <v>Left</v>
      </c>
      <c r="AR273" t="str">
        <f>IF(HRData[[#This Row],[Attrition_Risk_Level]]&lt;&gt;"High","",HRData[[#This Row],[Attrition_Risk_Score]]*10000-HRData[[#This Row],[EmployeeNumber]])</f>
        <v/>
      </c>
    </row>
    <row r="274" spans="1:44">
      <c r="A274">
        <v>28</v>
      </c>
      <c r="B274" t="str" cm="1">
        <f t="array" ref="B274">_xlfn.IFS(
HRData[[#This Row],[Age]]&lt;=24,"18-24",
HRData[[#This Row],[Age]]&lt;=34,"25-34",
HRData[[#This Row],[Age]]&lt;=44,"35-44",
HRData[[#This Row],[Age]]&lt;=54,"45-54",
HRData[[#This Row],[Age]]&gt;=55,"55+"
)</f>
        <v>25-34</v>
      </c>
      <c r="C274" t="s">
        <v>43</v>
      </c>
      <c r="D274">
        <f>IF(HRData[[#This Row],[Attrition]]="Yes",1,0)</f>
        <v>0</v>
      </c>
      <c r="E274" t="s">
        <v>36</v>
      </c>
      <c r="F274">
        <v>1158</v>
      </c>
      <c r="G274" t="s">
        <v>45</v>
      </c>
      <c r="H274">
        <v>9</v>
      </c>
      <c r="I274">
        <v>3</v>
      </c>
      <c r="J274" t="s">
        <v>51</v>
      </c>
      <c r="K274">
        <v>1</v>
      </c>
      <c r="L274">
        <v>377</v>
      </c>
      <c r="M274">
        <v>4</v>
      </c>
      <c r="N274" t="str" cm="1">
        <f t="array" ref="N274">_xlfn.IFS(HRData[[#This Row],[EnvironmentSatisfaction]]=1,"Very Dissatisfied",
HRData[[#This Row],[EnvironmentSatisfaction]]=2,"Dissatisfied",
HRData[[#This Row],[EnvironmentSatisfaction]]=3,"Satisfied",
HRData[[#This Row],[EnvironmentSatisfaction]]=4,"Very Satisfied"
)</f>
        <v>Very Satisfied</v>
      </c>
      <c r="O274" t="s">
        <v>46</v>
      </c>
      <c r="P274">
        <v>94</v>
      </c>
      <c r="Q274">
        <v>3</v>
      </c>
      <c r="R274">
        <v>1</v>
      </c>
      <c r="S274" t="s">
        <v>47</v>
      </c>
      <c r="T274">
        <v>4</v>
      </c>
      <c r="U274" t="str" cm="1">
        <f t="array" ref="U274">_xlfn.IFS(
HRData[[#This Row],[JobSatisfaction]]=1,"Very Dissatisfied",
HRData[[#This Row],[JobSatisfaction]]=2,"Dissatisfied",
HRData[[#This Row],[JobSatisfaction]]=3,"Satisfied",
HRData[[#This Row],[JobSatisfaction]]=4,"Very Satisfied"
)</f>
        <v>Very Satisfied</v>
      </c>
      <c r="V274" t="s">
        <v>48</v>
      </c>
      <c r="W274">
        <v>2070</v>
      </c>
      <c r="X274" t="str" cm="1">
        <f t="array" ref="X274">_xlfn.IFS(
HRData[[#This Row],[MonthlyIncome]]&lt;=4000,"Very Low Income",
HRData[[#This Row],[MonthlyIncome]]&lt;=8000,"Low Income",
HRData[[#This Row],[MonthlyIncome]]&lt;=12000,"Moderate Income",
HRData[[#This Row],[MonthlyIncome]]&lt;=16000,"High Income",
HRData[[#This Row],[MonthlyIncome]]&gt;16000,"Very High Income"
)</f>
        <v>Very Low Income</v>
      </c>
      <c r="Y274">
        <v>2613</v>
      </c>
      <c r="Z274">
        <v>1</v>
      </c>
      <c r="AA274" t="s">
        <v>42</v>
      </c>
      <c r="AB274" t="s">
        <v>43</v>
      </c>
      <c r="AC274">
        <v>23</v>
      </c>
      <c r="AD274" t="str" cm="1">
        <f t="array" ref="AD274">_xlfn.IFS(HRData[[#This Row],[PercentSalaryHike]]&lt;=15,"11-15",HRData[[#This Row],[PercentSalaryHike]]&lt;=20,"16-20",HRData[[#This Row],[PercentSalaryHike]]&gt;=21,"21+")</f>
        <v>21+</v>
      </c>
      <c r="AE274">
        <v>4</v>
      </c>
      <c r="AF274">
        <v>4</v>
      </c>
      <c r="AG274">
        <v>80</v>
      </c>
      <c r="AH274">
        <v>1</v>
      </c>
      <c r="AI274">
        <v>5</v>
      </c>
      <c r="AJ274">
        <v>3</v>
      </c>
      <c r="AK274">
        <v>2</v>
      </c>
      <c r="AL274">
        <v>5</v>
      </c>
      <c r="AM274">
        <v>2</v>
      </c>
      <c r="AN274">
        <v>0</v>
      </c>
      <c r="AO274">
        <v>4</v>
      </c>
      <c r="AP27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274" t="str">
        <f>IF(HRData[[#This Row],[Attrition]]="Yes","Left", IF(HRData[[#This Row],[Attrition_Risk_Score]]&gt;=6,"High",IF(HRData[[#This Row],[Attrition_Risk_Score]]&gt;=3,"Medium","Low")))</f>
        <v>Medium</v>
      </c>
      <c r="AR274" t="str">
        <f>IF(HRData[[#This Row],[Attrition_Risk_Level]]&lt;&gt;"High","",HRData[[#This Row],[Attrition_Risk_Score]]*10000-HRData[[#This Row],[EmployeeNumber]])</f>
        <v/>
      </c>
    </row>
    <row r="275" spans="1:44">
      <c r="A275">
        <v>37</v>
      </c>
      <c r="B275" t="str" cm="1">
        <f t="array" ref="B275">_xlfn.IFS(
HRData[[#This Row],[Age]]&lt;=24,"18-24",
HRData[[#This Row],[Age]]&lt;=34,"25-34",
HRData[[#This Row],[Age]]&lt;=44,"35-44",
HRData[[#This Row],[Age]]&lt;=54,"45-54",
HRData[[#This Row],[Age]]&gt;=55,"55+"
)</f>
        <v>35-44</v>
      </c>
      <c r="C275" t="s">
        <v>43</v>
      </c>
      <c r="D275">
        <f>IF(HRData[[#This Row],[Attrition]]="Yes",1,0)</f>
        <v>0</v>
      </c>
      <c r="E275" t="s">
        <v>36</v>
      </c>
      <c r="F275">
        <v>228</v>
      </c>
      <c r="G275" t="s">
        <v>37</v>
      </c>
      <c r="H275">
        <v>6</v>
      </c>
      <c r="I275">
        <v>4</v>
      </c>
      <c r="J275" t="s">
        <v>51</v>
      </c>
      <c r="K275">
        <v>1</v>
      </c>
      <c r="L275">
        <v>378</v>
      </c>
      <c r="M275">
        <v>3</v>
      </c>
      <c r="N275" t="str" cm="1">
        <f t="array" ref="N275">_xlfn.IFS(HRData[[#This Row],[EnvironmentSatisfaction]]=1,"Very Dissatisfied",
HRData[[#This Row],[EnvironmentSatisfaction]]=2,"Dissatisfied",
HRData[[#This Row],[EnvironmentSatisfaction]]=3,"Satisfied",
HRData[[#This Row],[EnvironmentSatisfaction]]=4,"Very Satisfied"
)</f>
        <v>Satisfied</v>
      </c>
      <c r="O275" t="s">
        <v>46</v>
      </c>
      <c r="P275">
        <v>98</v>
      </c>
      <c r="Q275">
        <v>3</v>
      </c>
      <c r="R275">
        <v>2</v>
      </c>
      <c r="S275" t="s">
        <v>40</v>
      </c>
      <c r="T275">
        <v>4</v>
      </c>
      <c r="U275" t="str" cm="1">
        <f t="array" ref="U275">_xlfn.IFS(
HRData[[#This Row],[JobSatisfaction]]=1,"Very Dissatisfied",
HRData[[#This Row],[JobSatisfaction]]=2,"Dissatisfied",
HRData[[#This Row],[JobSatisfaction]]=3,"Satisfied",
HRData[[#This Row],[JobSatisfaction]]=4,"Very Satisfied"
)</f>
        <v>Very Satisfied</v>
      </c>
      <c r="V275" t="s">
        <v>48</v>
      </c>
      <c r="W275">
        <v>6502</v>
      </c>
      <c r="X275" t="str" cm="1">
        <f t="array" ref="X275">_xlfn.IFS(
HRData[[#This Row],[MonthlyIncome]]&lt;=4000,"Very Low Income",
HRData[[#This Row],[MonthlyIncome]]&lt;=8000,"Low Income",
HRData[[#This Row],[MonthlyIncome]]&lt;=12000,"Moderate Income",
HRData[[#This Row],[MonthlyIncome]]&lt;=16000,"High Income",
HRData[[#This Row],[MonthlyIncome]]&gt;16000,"Very High Income"
)</f>
        <v>Low Income</v>
      </c>
      <c r="Y275">
        <v>22825</v>
      </c>
      <c r="Z275">
        <v>4</v>
      </c>
      <c r="AA275" t="s">
        <v>42</v>
      </c>
      <c r="AB275" t="s">
        <v>43</v>
      </c>
      <c r="AC275">
        <v>14</v>
      </c>
      <c r="AD275" t="str" cm="1">
        <f t="array" ref="AD275">_xlfn.IFS(HRData[[#This Row],[PercentSalaryHike]]&lt;=15,"11-15",HRData[[#This Row],[PercentSalaryHike]]&lt;=20,"16-20",HRData[[#This Row],[PercentSalaryHike]]&gt;=21,"21+")</f>
        <v>11-15</v>
      </c>
      <c r="AE275">
        <v>3</v>
      </c>
      <c r="AF275">
        <v>2</v>
      </c>
      <c r="AG275">
        <v>80</v>
      </c>
      <c r="AH275">
        <v>1</v>
      </c>
      <c r="AI275">
        <v>7</v>
      </c>
      <c r="AJ275">
        <v>5</v>
      </c>
      <c r="AK275">
        <v>4</v>
      </c>
      <c r="AL275">
        <v>5</v>
      </c>
      <c r="AM275">
        <v>4</v>
      </c>
      <c r="AN275">
        <v>0</v>
      </c>
      <c r="AO275">
        <v>1</v>
      </c>
      <c r="AP27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275" t="str">
        <f>IF(HRData[[#This Row],[Attrition]]="Yes","Left", IF(HRData[[#This Row],[Attrition_Risk_Score]]&gt;=6,"High",IF(HRData[[#This Row],[Attrition_Risk_Score]]&gt;=3,"Medium","Low")))</f>
        <v>Low</v>
      </c>
      <c r="AR275" t="str">
        <f>IF(HRData[[#This Row],[Attrition_Risk_Level]]&lt;&gt;"High","",HRData[[#This Row],[Attrition_Risk_Score]]*10000-HRData[[#This Row],[EmployeeNumber]])</f>
        <v/>
      </c>
    </row>
    <row r="276" spans="1:44">
      <c r="A276">
        <v>21</v>
      </c>
      <c r="B276" t="str" cm="1">
        <f t="array" ref="B276">_xlfn.IFS(
HRData[[#This Row],[Age]]&lt;=24,"18-24",
HRData[[#This Row],[Age]]&lt;=34,"25-34",
HRData[[#This Row],[Age]]&lt;=44,"35-44",
HRData[[#This Row],[Age]]&lt;=54,"45-54",
HRData[[#This Row],[Age]]&gt;=55,"55+"
)</f>
        <v>18-24</v>
      </c>
      <c r="C276" t="s">
        <v>43</v>
      </c>
      <c r="D276">
        <f>IF(HRData[[#This Row],[Attrition]]="Yes",1,0)</f>
        <v>0</v>
      </c>
      <c r="E276" t="s">
        <v>36</v>
      </c>
      <c r="F276">
        <v>996</v>
      </c>
      <c r="G276" t="s">
        <v>45</v>
      </c>
      <c r="H276">
        <v>3</v>
      </c>
      <c r="I276">
        <v>2</v>
      </c>
      <c r="J276" t="s">
        <v>51</v>
      </c>
      <c r="K276">
        <v>1</v>
      </c>
      <c r="L276">
        <v>379</v>
      </c>
      <c r="M276">
        <v>4</v>
      </c>
      <c r="N276" t="str" cm="1">
        <f t="array" ref="N276">_xlfn.IFS(HRData[[#This Row],[EnvironmentSatisfaction]]=1,"Very Dissatisfied",
HRData[[#This Row],[EnvironmentSatisfaction]]=2,"Dissatisfied",
HRData[[#This Row],[EnvironmentSatisfaction]]=3,"Satisfied",
HRData[[#This Row],[EnvironmentSatisfaction]]=4,"Very Satisfied"
)</f>
        <v>Very Satisfied</v>
      </c>
      <c r="O276" t="s">
        <v>46</v>
      </c>
      <c r="P276">
        <v>100</v>
      </c>
      <c r="Q276">
        <v>2</v>
      </c>
      <c r="R276">
        <v>1</v>
      </c>
      <c r="S276" t="s">
        <v>47</v>
      </c>
      <c r="T276">
        <v>3</v>
      </c>
      <c r="U276" t="str" cm="1">
        <f t="array" ref="U276">_xlfn.IFS(
HRData[[#This Row],[JobSatisfaction]]=1,"Very Dissatisfied",
HRData[[#This Row],[JobSatisfaction]]=2,"Dissatisfied",
HRData[[#This Row],[JobSatisfaction]]=3,"Satisfied",
HRData[[#This Row],[JobSatisfaction]]=4,"Very Satisfied"
)</f>
        <v>Satisfied</v>
      </c>
      <c r="V276" t="s">
        <v>41</v>
      </c>
      <c r="W276">
        <v>3230</v>
      </c>
      <c r="X276" t="str" cm="1">
        <f t="array" ref="X276">_xlfn.IFS(
HRData[[#This Row],[MonthlyIncome]]&lt;=4000,"Very Low Income",
HRData[[#This Row],[MonthlyIncome]]&lt;=8000,"Low Income",
HRData[[#This Row],[MonthlyIncome]]&lt;=12000,"Moderate Income",
HRData[[#This Row],[MonthlyIncome]]&lt;=16000,"High Income",
HRData[[#This Row],[MonthlyIncome]]&gt;16000,"Very High Income"
)</f>
        <v>Very Low Income</v>
      </c>
      <c r="Y276">
        <v>10531</v>
      </c>
      <c r="Z276">
        <v>1</v>
      </c>
      <c r="AA276" t="s">
        <v>42</v>
      </c>
      <c r="AB276" t="s">
        <v>43</v>
      </c>
      <c r="AC276">
        <v>17</v>
      </c>
      <c r="AD276" t="str" cm="1">
        <f t="array" ref="AD276">_xlfn.IFS(HRData[[#This Row],[PercentSalaryHike]]&lt;=15,"11-15",HRData[[#This Row],[PercentSalaryHike]]&lt;=20,"16-20",HRData[[#This Row],[PercentSalaryHike]]&gt;=21,"21+")</f>
        <v>16-20</v>
      </c>
      <c r="AE276">
        <v>3</v>
      </c>
      <c r="AF276">
        <v>1</v>
      </c>
      <c r="AG276">
        <v>80</v>
      </c>
      <c r="AH276">
        <v>0</v>
      </c>
      <c r="AI276">
        <v>3</v>
      </c>
      <c r="AJ276">
        <v>4</v>
      </c>
      <c r="AK276">
        <v>4</v>
      </c>
      <c r="AL276">
        <v>3</v>
      </c>
      <c r="AM276">
        <v>2</v>
      </c>
      <c r="AN276">
        <v>1</v>
      </c>
      <c r="AO276">
        <v>0</v>
      </c>
      <c r="AP27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276" t="str">
        <f>IF(HRData[[#This Row],[Attrition]]="Yes","Left", IF(HRData[[#This Row],[Attrition_Risk_Score]]&gt;=6,"High",IF(HRData[[#This Row],[Attrition_Risk_Score]]&gt;=3,"Medium","Low")))</f>
        <v>Medium</v>
      </c>
      <c r="AR276" t="str">
        <f>IF(HRData[[#This Row],[Attrition_Risk_Level]]&lt;&gt;"High","",HRData[[#This Row],[Attrition_Risk_Score]]*10000-HRData[[#This Row],[EmployeeNumber]])</f>
        <v/>
      </c>
    </row>
    <row r="277" spans="1:44">
      <c r="A277">
        <v>37</v>
      </c>
      <c r="B277" t="str" cm="1">
        <f t="array" ref="B277">_xlfn.IFS(
HRData[[#This Row],[Age]]&lt;=24,"18-24",
HRData[[#This Row],[Age]]&lt;=34,"25-34",
HRData[[#This Row],[Age]]&lt;=44,"35-44",
HRData[[#This Row],[Age]]&lt;=54,"45-54",
HRData[[#This Row],[Age]]&gt;=55,"55+"
)</f>
        <v>35-44</v>
      </c>
      <c r="C277" t="s">
        <v>43</v>
      </c>
      <c r="D277">
        <f>IF(HRData[[#This Row],[Attrition]]="Yes",1,0)</f>
        <v>0</v>
      </c>
      <c r="E277" t="s">
        <v>55</v>
      </c>
      <c r="F277">
        <v>728</v>
      </c>
      <c r="G277" t="s">
        <v>45</v>
      </c>
      <c r="H277">
        <v>1</v>
      </c>
      <c r="I277">
        <v>4</v>
      </c>
      <c r="J277" t="s">
        <v>51</v>
      </c>
      <c r="K277">
        <v>1</v>
      </c>
      <c r="L277">
        <v>380</v>
      </c>
      <c r="M277">
        <v>1</v>
      </c>
      <c r="N277" t="str" cm="1">
        <f t="array" ref="N277">_xlfn.IFS(HRData[[#This Row],[EnvironmentSatisfaction]]=1,"Very Dissatisfied",
HRData[[#This Row],[EnvironmentSatisfaction]]=2,"Dissatisfied",
HRData[[#This Row],[EnvironmentSatisfaction]]=3,"Satisfied",
HRData[[#This Row],[EnvironmentSatisfaction]]=4,"Very Satisfied"
)</f>
        <v>Very Dissatisfied</v>
      </c>
      <c r="O277" t="s">
        <v>39</v>
      </c>
      <c r="P277">
        <v>80</v>
      </c>
      <c r="Q277">
        <v>3</v>
      </c>
      <c r="R277">
        <v>3</v>
      </c>
      <c r="S277" t="s">
        <v>58</v>
      </c>
      <c r="T277">
        <v>4</v>
      </c>
      <c r="U277" t="str" cm="1">
        <f t="array" ref="U277">_xlfn.IFS(
HRData[[#This Row],[JobSatisfaction]]=1,"Very Dissatisfied",
HRData[[#This Row],[JobSatisfaction]]=2,"Dissatisfied",
HRData[[#This Row],[JobSatisfaction]]=3,"Satisfied",
HRData[[#This Row],[JobSatisfaction]]=4,"Very Satisfied"
)</f>
        <v>Very Satisfied</v>
      </c>
      <c r="V277" t="s">
        <v>52</v>
      </c>
      <c r="W277">
        <v>13603</v>
      </c>
      <c r="X277" t="str" cm="1">
        <f t="array" ref="X277">_xlfn.IFS(
HRData[[#This Row],[MonthlyIncome]]&lt;=4000,"Very Low Income",
HRData[[#This Row],[MonthlyIncome]]&lt;=8000,"Low Income",
HRData[[#This Row],[MonthlyIncome]]&lt;=12000,"Moderate Income",
HRData[[#This Row],[MonthlyIncome]]&lt;=16000,"High Income",
HRData[[#This Row],[MonthlyIncome]]&gt;16000,"Very High Income"
)</f>
        <v>High Income</v>
      </c>
      <c r="Y277">
        <v>11677</v>
      </c>
      <c r="Z277">
        <v>2</v>
      </c>
      <c r="AA277" t="s">
        <v>42</v>
      </c>
      <c r="AB277" t="s">
        <v>35</v>
      </c>
      <c r="AC277">
        <v>18</v>
      </c>
      <c r="AD277" t="str" cm="1">
        <f t="array" ref="AD277">_xlfn.IFS(HRData[[#This Row],[PercentSalaryHike]]&lt;=15,"11-15",HRData[[#This Row],[PercentSalaryHike]]&lt;=20,"16-20",HRData[[#This Row],[PercentSalaryHike]]&gt;=21,"21+")</f>
        <v>16-20</v>
      </c>
      <c r="AE277">
        <v>3</v>
      </c>
      <c r="AF277">
        <v>1</v>
      </c>
      <c r="AG277">
        <v>80</v>
      </c>
      <c r="AH277">
        <v>2</v>
      </c>
      <c r="AI277">
        <v>15</v>
      </c>
      <c r="AJ277">
        <v>2</v>
      </c>
      <c r="AK277">
        <v>3</v>
      </c>
      <c r="AL277">
        <v>5</v>
      </c>
      <c r="AM277">
        <v>2</v>
      </c>
      <c r="AN277">
        <v>0</v>
      </c>
      <c r="AO277">
        <v>2</v>
      </c>
      <c r="AP27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77" t="str">
        <f>IF(HRData[[#This Row],[Attrition]]="Yes","Left", IF(HRData[[#This Row],[Attrition_Risk_Score]]&gt;=6,"High",IF(HRData[[#This Row],[Attrition_Risk_Score]]&gt;=3,"Medium","Low")))</f>
        <v>Low</v>
      </c>
      <c r="AR277" t="str">
        <f>IF(HRData[[#This Row],[Attrition_Risk_Level]]&lt;&gt;"High","",HRData[[#This Row],[Attrition_Risk_Score]]*10000-HRData[[#This Row],[EmployeeNumber]])</f>
        <v/>
      </c>
    </row>
    <row r="278" spans="1:44">
      <c r="A278">
        <v>35</v>
      </c>
      <c r="B278" t="str" cm="1">
        <f t="array" ref="B278">_xlfn.IFS(
HRData[[#This Row],[Age]]&lt;=24,"18-24",
HRData[[#This Row],[Age]]&lt;=34,"25-34",
HRData[[#This Row],[Age]]&lt;=44,"35-44",
HRData[[#This Row],[Age]]&lt;=54,"45-54",
HRData[[#This Row],[Age]]&gt;=55,"55+"
)</f>
        <v>35-44</v>
      </c>
      <c r="C278" t="s">
        <v>43</v>
      </c>
      <c r="D278">
        <f>IF(HRData[[#This Row],[Attrition]]="Yes",1,0)</f>
        <v>0</v>
      </c>
      <c r="E278" t="s">
        <v>36</v>
      </c>
      <c r="F278">
        <v>1315</v>
      </c>
      <c r="G278" t="s">
        <v>45</v>
      </c>
      <c r="H278">
        <v>22</v>
      </c>
      <c r="I278">
        <v>3</v>
      </c>
      <c r="J278" t="s">
        <v>38</v>
      </c>
      <c r="K278">
        <v>1</v>
      </c>
      <c r="L278">
        <v>381</v>
      </c>
      <c r="M278">
        <v>2</v>
      </c>
      <c r="N278" t="str" cm="1">
        <f t="array" ref="N278">_xlfn.IFS(HRData[[#This Row],[EnvironmentSatisfaction]]=1,"Very Dissatisfied",
HRData[[#This Row],[EnvironmentSatisfaction]]=2,"Dissatisfied",
HRData[[#This Row],[EnvironmentSatisfaction]]=3,"Satisfied",
HRData[[#This Row],[EnvironmentSatisfaction]]=4,"Very Satisfied"
)</f>
        <v>Dissatisfied</v>
      </c>
      <c r="O278" t="s">
        <v>39</v>
      </c>
      <c r="P278">
        <v>71</v>
      </c>
      <c r="Q278">
        <v>4</v>
      </c>
      <c r="R278">
        <v>3</v>
      </c>
      <c r="S278" t="s">
        <v>56</v>
      </c>
      <c r="T278">
        <v>2</v>
      </c>
      <c r="U278" t="str" cm="1">
        <f t="array" ref="U278">_xlfn.IFS(
HRData[[#This Row],[JobSatisfaction]]=1,"Very Dissatisfied",
HRData[[#This Row],[JobSatisfaction]]=2,"Dissatisfied",
HRData[[#This Row],[JobSatisfaction]]=3,"Satisfied",
HRData[[#This Row],[JobSatisfaction]]=4,"Very Satisfied"
)</f>
        <v>Dissatisfied</v>
      </c>
      <c r="V278" t="s">
        <v>52</v>
      </c>
      <c r="W278">
        <v>11996</v>
      </c>
      <c r="X278" t="str" cm="1">
        <f t="array" ref="X278">_xlfn.IFS(
HRData[[#This Row],[MonthlyIncome]]&lt;=4000,"Very Low Income",
HRData[[#This Row],[MonthlyIncome]]&lt;=8000,"Low Income",
HRData[[#This Row],[MonthlyIncome]]&lt;=12000,"Moderate Income",
HRData[[#This Row],[MonthlyIncome]]&lt;=16000,"High Income",
HRData[[#This Row],[MonthlyIncome]]&gt;16000,"Very High Income"
)</f>
        <v>Moderate Income</v>
      </c>
      <c r="Y278">
        <v>19100</v>
      </c>
      <c r="Z278">
        <v>7</v>
      </c>
      <c r="AA278" t="s">
        <v>42</v>
      </c>
      <c r="AB278" t="s">
        <v>43</v>
      </c>
      <c r="AC278">
        <v>18</v>
      </c>
      <c r="AD278" t="str" cm="1">
        <f t="array" ref="AD278">_xlfn.IFS(HRData[[#This Row],[PercentSalaryHike]]&lt;=15,"11-15",HRData[[#This Row],[PercentSalaryHike]]&lt;=20,"16-20",HRData[[#This Row],[PercentSalaryHike]]&gt;=21,"21+")</f>
        <v>16-20</v>
      </c>
      <c r="AE278">
        <v>3</v>
      </c>
      <c r="AF278">
        <v>2</v>
      </c>
      <c r="AG278">
        <v>80</v>
      </c>
      <c r="AH278">
        <v>1</v>
      </c>
      <c r="AI278">
        <v>10</v>
      </c>
      <c r="AJ278">
        <v>6</v>
      </c>
      <c r="AK278">
        <v>2</v>
      </c>
      <c r="AL278">
        <v>7</v>
      </c>
      <c r="AM278">
        <v>7</v>
      </c>
      <c r="AN278">
        <v>6</v>
      </c>
      <c r="AO278">
        <v>2</v>
      </c>
      <c r="AP27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278" t="str">
        <f>IF(HRData[[#This Row],[Attrition]]="Yes","Left", IF(HRData[[#This Row],[Attrition_Risk_Score]]&gt;=6,"High",IF(HRData[[#This Row],[Attrition_Risk_Score]]&gt;=3,"Medium","Low")))</f>
        <v>Low</v>
      </c>
      <c r="AR278" t="str">
        <f>IF(HRData[[#This Row],[Attrition_Risk_Level]]&lt;&gt;"High","",HRData[[#This Row],[Attrition_Risk_Score]]*10000-HRData[[#This Row],[EmployeeNumber]])</f>
        <v/>
      </c>
    </row>
    <row r="279" spans="1:44">
      <c r="A279">
        <v>38</v>
      </c>
      <c r="B279" t="str" cm="1">
        <f t="array" ref="B279">_xlfn.IFS(
HRData[[#This Row],[Age]]&lt;=24,"18-24",
HRData[[#This Row],[Age]]&lt;=34,"25-34",
HRData[[#This Row],[Age]]&lt;=44,"35-44",
HRData[[#This Row],[Age]]&lt;=54,"45-54",
HRData[[#This Row],[Age]]&gt;=55,"55+"
)</f>
        <v>35-44</v>
      </c>
      <c r="C279" t="s">
        <v>43</v>
      </c>
      <c r="D279">
        <f>IF(HRData[[#This Row],[Attrition]]="Yes",1,0)</f>
        <v>0</v>
      </c>
      <c r="E279" t="s">
        <v>36</v>
      </c>
      <c r="F279">
        <v>322</v>
      </c>
      <c r="G279" t="s">
        <v>37</v>
      </c>
      <c r="H279">
        <v>7</v>
      </c>
      <c r="I279">
        <v>2</v>
      </c>
      <c r="J279" t="s">
        <v>51</v>
      </c>
      <c r="K279">
        <v>1</v>
      </c>
      <c r="L279">
        <v>382</v>
      </c>
      <c r="M279">
        <v>1</v>
      </c>
      <c r="N279" t="str" cm="1">
        <f t="array" ref="N279">_xlfn.IFS(HRData[[#This Row],[EnvironmentSatisfaction]]=1,"Very Dissatisfied",
HRData[[#This Row],[EnvironmentSatisfaction]]=2,"Dissatisfied",
HRData[[#This Row],[EnvironmentSatisfaction]]=3,"Satisfied",
HRData[[#This Row],[EnvironmentSatisfaction]]=4,"Very Satisfied"
)</f>
        <v>Very Dissatisfied</v>
      </c>
      <c r="O279" t="s">
        <v>39</v>
      </c>
      <c r="P279">
        <v>44</v>
      </c>
      <c r="Q279">
        <v>4</v>
      </c>
      <c r="R279">
        <v>2</v>
      </c>
      <c r="S279" t="s">
        <v>40</v>
      </c>
      <c r="T279">
        <v>1</v>
      </c>
      <c r="U279" t="str" cm="1">
        <f t="array" ref="U279">_xlfn.IFS(
HRData[[#This Row],[JobSatisfaction]]=1,"Very Dissatisfied",
HRData[[#This Row],[JobSatisfaction]]=2,"Dissatisfied",
HRData[[#This Row],[JobSatisfaction]]=3,"Satisfied",
HRData[[#This Row],[JobSatisfaction]]=4,"Very Satisfied"
)</f>
        <v>Very Dissatisfied</v>
      </c>
      <c r="V279" t="s">
        <v>52</v>
      </c>
      <c r="W279">
        <v>5605</v>
      </c>
      <c r="X279" t="str" cm="1">
        <f t="array" ref="X279">_xlfn.IFS(
HRData[[#This Row],[MonthlyIncome]]&lt;=4000,"Very Low Income",
HRData[[#This Row],[MonthlyIncome]]&lt;=8000,"Low Income",
HRData[[#This Row],[MonthlyIncome]]&lt;=12000,"Moderate Income",
HRData[[#This Row],[MonthlyIncome]]&lt;=16000,"High Income",
HRData[[#This Row],[MonthlyIncome]]&gt;16000,"Very High Income"
)</f>
        <v>Low Income</v>
      </c>
      <c r="Y279">
        <v>19191</v>
      </c>
      <c r="Z279">
        <v>1</v>
      </c>
      <c r="AA279" t="s">
        <v>42</v>
      </c>
      <c r="AB279" t="s">
        <v>35</v>
      </c>
      <c r="AC279">
        <v>24</v>
      </c>
      <c r="AD279" t="str" cm="1">
        <f t="array" ref="AD279">_xlfn.IFS(HRData[[#This Row],[PercentSalaryHike]]&lt;=15,"11-15",HRData[[#This Row],[PercentSalaryHike]]&lt;=20,"16-20",HRData[[#This Row],[PercentSalaryHike]]&gt;=21,"21+")</f>
        <v>21+</v>
      </c>
      <c r="AE279">
        <v>4</v>
      </c>
      <c r="AF279">
        <v>3</v>
      </c>
      <c r="AG279">
        <v>80</v>
      </c>
      <c r="AH279">
        <v>1</v>
      </c>
      <c r="AI279">
        <v>8</v>
      </c>
      <c r="AJ279">
        <v>3</v>
      </c>
      <c r="AK279">
        <v>3</v>
      </c>
      <c r="AL279">
        <v>8</v>
      </c>
      <c r="AM279">
        <v>0</v>
      </c>
      <c r="AN279">
        <v>7</v>
      </c>
      <c r="AO279">
        <v>7</v>
      </c>
      <c r="AP27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279" t="str">
        <f>IF(HRData[[#This Row],[Attrition]]="Yes","Left", IF(HRData[[#This Row],[Attrition_Risk_Score]]&gt;=6,"High",IF(HRData[[#This Row],[Attrition_Risk_Score]]&gt;=3,"Medium","Low")))</f>
        <v>Medium</v>
      </c>
      <c r="AR279" t="str">
        <f>IF(HRData[[#This Row],[Attrition_Risk_Level]]&lt;&gt;"High","",HRData[[#This Row],[Attrition_Risk_Score]]*10000-HRData[[#This Row],[EmployeeNumber]])</f>
        <v/>
      </c>
    </row>
    <row r="280" spans="1:44">
      <c r="A280">
        <v>26</v>
      </c>
      <c r="B280" t="str" cm="1">
        <f t="array" ref="B280">_xlfn.IFS(
HRData[[#This Row],[Age]]&lt;=24,"18-24",
HRData[[#This Row],[Age]]&lt;=34,"25-34",
HRData[[#This Row],[Age]]&lt;=44,"35-44",
HRData[[#This Row],[Age]]&lt;=54,"45-54",
HRData[[#This Row],[Age]]&gt;=55,"55+"
)</f>
        <v>25-34</v>
      </c>
      <c r="C280" t="s">
        <v>43</v>
      </c>
      <c r="D280">
        <f>IF(HRData[[#This Row],[Attrition]]="Yes",1,0)</f>
        <v>0</v>
      </c>
      <c r="E280" t="s">
        <v>44</v>
      </c>
      <c r="F280">
        <v>1479</v>
      </c>
      <c r="G280" t="s">
        <v>45</v>
      </c>
      <c r="H280">
        <v>1</v>
      </c>
      <c r="I280">
        <v>3</v>
      </c>
      <c r="J280" t="s">
        <v>38</v>
      </c>
      <c r="K280">
        <v>1</v>
      </c>
      <c r="L280">
        <v>384</v>
      </c>
      <c r="M280">
        <v>3</v>
      </c>
      <c r="N280" t="str" cm="1">
        <f t="array" ref="N280">_xlfn.IFS(HRData[[#This Row],[EnvironmentSatisfaction]]=1,"Very Dissatisfied",
HRData[[#This Row],[EnvironmentSatisfaction]]=2,"Dissatisfied",
HRData[[#This Row],[EnvironmentSatisfaction]]=3,"Satisfied",
HRData[[#This Row],[EnvironmentSatisfaction]]=4,"Very Satisfied"
)</f>
        <v>Satisfied</v>
      </c>
      <c r="O280" t="s">
        <v>39</v>
      </c>
      <c r="P280">
        <v>84</v>
      </c>
      <c r="Q280">
        <v>3</v>
      </c>
      <c r="R280">
        <v>2</v>
      </c>
      <c r="S280" t="s">
        <v>53</v>
      </c>
      <c r="T280">
        <v>2</v>
      </c>
      <c r="U280" t="str" cm="1">
        <f t="array" ref="U280">_xlfn.IFS(
HRData[[#This Row],[JobSatisfaction]]=1,"Very Dissatisfied",
HRData[[#This Row],[JobSatisfaction]]=2,"Dissatisfied",
HRData[[#This Row],[JobSatisfaction]]=3,"Satisfied",
HRData[[#This Row],[JobSatisfaction]]=4,"Very Satisfied"
)</f>
        <v>Dissatisfied</v>
      </c>
      <c r="V280" t="s">
        <v>52</v>
      </c>
      <c r="W280">
        <v>6397</v>
      </c>
      <c r="X280" t="str" cm="1">
        <f t="array" ref="X280">_xlfn.IFS(
HRData[[#This Row],[MonthlyIncome]]&lt;=4000,"Very Low Income",
HRData[[#This Row],[MonthlyIncome]]&lt;=8000,"Low Income",
HRData[[#This Row],[MonthlyIncome]]&lt;=12000,"Moderate Income",
HRData[[#This Row],[MonthlyIncome]]&lt;=16000,"High Income",
HRData[[#This Row],[MonthlyIncome]]&gt;16000,"Very High Income"
)</f>
        <v>Low Income</v>
      </c>
      <c r="Y280">
        <v>26767</v>
      </c>
      <c r="Z280">
        <v>1</v>
      </c>
      <c r="AA280" t="s">
        <v>42</v>
      </c>
      <c r="AB280" t="s">
        <v>43</v>
      </c>
      <c r="AC280">
        <v>20</v>
      </c>
      <c r="AD280" t="str" cm="1">
        <f t="array" ref="AD280">_xlfn.IFS(HRData[[#This Row],[PercentSalaryHike]]&lt;=15,"11-15",HRData[[#This Row],[PercentSalaryHike]]&lt;=20,"16-20",HRData[[#This Row],[PercentSalaryHike]]&gt;=21,"21+")</f>
        <v>16-20</v>
      </c>
      <c r="AE280">
        <v>4</v>
      </c>
      <c r="AF280">
        <v>1</v>
      </c>
      <c r="AG280">
        <v>80</v>
      </c>
      <c r="AH280">
        <v>1</v>
      </c>
      <c r="AI280">
        <v>6</v>
      </c>
      <c r="AJ280">
        <v>6</v>
      </c>
      <c r="AK280">
        <v>1</v>
      </c>
      <c r="AL280">
        <v>6</v>
      </c>
      <c r="AM280">
        <v>5</v>
      </c>
      <c r="AN280">
        <v>1</v>
      </c>
      <c r="AO280">
        <v>4</v>
      </c>
      <c r="AP28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80" t="str">
        <f>IF(HRData[[#This Row],[Attrition]]="Yes","Left", IF(HRData[[#This Row],[Attrition_Risk_Score]]&gt;=6,"High",IF(HRData[[#This Row],[Attrition_Risk_Score]]&gt;=3,"Medium","Low")))</f>
        <v>Low</v>
      </c>
      <c r="AR280" t="str">
        <f>IF(HRData[[#This Row],[Attrition_Risk_Level]]&lt;&gt;"High","",HRData[[#This Row],[Attrition_Risk_Score]]*10000-HRData[[#This Row],[EmployeeNumber]])</f>
        <v/>
      </c>
    </row>
    <row r="281" spans="1:44">
      <c r="A281">
        <v>50</v>
      </c>
      <c r="B281" t="str" cm="1">
        <f t="array" ref="B281">_xlfn.IFS(
HRData[[#This Row],[Age]]&lt;=24,"18-24",
HRData[[#This Row],[Age]]&lt;=34,"25-34",
HRData[[#This Row],[Age]]&lt;=44,"35-44",
HRData[[#This Row],[Age]]&lt;=54,"45-54",
HRData[[#This Row],[Age]]&gt;=55,"55+"
)</f>
        <v>45-54</v>
      </c>
      <c r="C281" t="s">
        <v>43</v>
      </c>
      <c r="D281">
        <f>IF(HRData[[#This Row],[Attrition]]="Yes",1,0)</f>
        <v>0</v>
      </c>
      <c r="E281" t="s">
        <v>36</v>
      </c>
      <c r="F281">
        <v>797</v>
      </c>
      <c r="G281" t="s">
        <v>45</v>
      </c>
      <c r="H281">
        <v>4</v>
      </c>
      <c r="I281">
        <v>1</v>
      </c>
      <c r="J281" t="s">
        <v>38</v>
      </c>
      <c r="K281">
        <v>1</v>
      </c>
      <c r="L281">
        <v>385</v>
      </c>
      <c r="M281">
        <v>1</v>
      </c>
      <c r="N281" t="str" cm="1">
        <f t="array" ref="N281">_xlfn.IFS(HRData[[#This Row],[EnvironmentSatisfaction]]=1,"Very Dissatisfied",
HRData[[#This Row],[EnvironmentSatisfaction]]=2,"Dissatisfied",
HRData[[#This Row],[EnvironmentSatisfaction]]=3,"Satisfied",
HRData[[#This Row],[EnvironmentSatisfaction]]=4,"Very Satisfied"
)</f>
        <v>Very Dissatisfied</v>
      </c>
      <c r="O281" t="s">
        <v>46</v>
      </c>
      <c r="P281">
        <v>96</v>
      </c>
      <c r="Q281">
        <v>3</v>
      </c>
      <c r="R281">
        <v>5</v>
      </c>
      <c r="S281" t="s">
        <v>58</v>
      </c>
      <c r="T281">
        <v>2</v>
      </c>
      <c r="U281" t="str" cm="1">
        <f t="array" ref="U281">_xlfn.IFS(
HRData[[#This Row],[JobSatisfaction]]=1,"Very Dissatisfied",
HRData[[#This Row],[JobSatisfaction]]=2,"Dissatisfied",
HRData[[#This Row],[JobSatisfaction]]=3,"Satisfied",
HRData[[#This Row],[JobSatisfaction]]=4,"Very Satisfied"
)</f>
        <v>Dissatisfied</v>
      </c>
      <c r="V281" t="s">
        <v>52</v>
      </c>
      <c r="W281">
        <v>19144</v>
      </c>
      <c r="X281" t="str" cm="1">
        <f t="array" ref="X281">_xlfn.IFS(
HRData[[#This Row],[MonthlyIncome]]&lt;=4000,"Very Low Income",
HRData[[#This Row],[MonthlyIncome]]&lt;=8000,"Low Income",
HRData[[#This Row],[MonthlyIncome]]&lt;=12000,"Moderate Income",
HRData[[#This Row],[MonthlyIncome]]&lt;=16000,"High Income",
HRData[[#This Row],[MonthlyIncome]]&gt;16000,"Very High Income"
)</f>
        <v>Very High Income</v>
      </c>
      <c r="Y281">
        <v>15815</v>
      </c>
      <c r="Z281">
        <v>3</v>
      </c>
      <c r="AA281" t="s">
        <v>42</v>
      </c>
      <c r="AB281" t="s">
        <v>43</v>
      </c>
      <c r="AC281">
        <v>14</v>
      </c>
      <c r="AD281" t="str" cm="1">
        <f t="array" ref="AD281">_xlfn.IFS(HRData[[#This Row],[PercentSalaryHike]]&lt;=15,"11-15",HRData[[#This Row],[PercentSalaryHike]]&lt;=20,"16-20",HRData[[#This Row],[PercentSalaryHike]]&gt;=21,"21+")</f>
        <v>11-15</v>
      </c>
      <c r="AE281">
        <v>3</v>
      </c>
      <c r="AF281">
        <v>1</v>
      </c>
      <c r="AG281">
        <v>80</v>
      </c>
      <c r="AH281">
        <v>2</v>
      </c>
      <c r="AI281">
        <v>28</v>
      </c>
      <c r="AJ281">
        <v>4</v>
      </c>
      <c r="AK281">
        <v>2</v>
      </c>
      <c r="AL281">
        <v>10</v>
      </c>
      <c r="AM281">
        <v>4</v>
      </c>
      <c r="AN281">
        <v>1</v>
      </c>
      <c r="AO281">
        <v>6</v>
      </c>
      <c r="AP28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281" t="str">
        <f>IF(HRData[[#This Row],[Attrition]]="Yes","Left", IF(HRData[[#This Row],[Attrition_Risk_Score]]&gt;=6,"High",IF(HRData[[#This Row],[Attrition_Risk_Score]]&gt;=3,"Medium","Low")))</f>
        <v>Low</v>
      </c>
      <c r="AR281" t="str">
        <f>IF(HRData[[#This Row],[Attrition_Risk_Level]]&lt;&gt;"High","",HRData[[#This Row],[Attrition_Risk_Score]]*10000-HRData[[#This Row],[EmployeeNumber]])</f>
        <v/>
      </c>
    </row>
    <row r="282" spans="1:44">
      <c r="A282">
        <v>53</v>
      </c>
      <c r="B282" t="str" cm="1">
        <f t="array" ref="B282">_xlfn.IFS(
HRData[[#This Row],[Age]]&lt;=24,"18-24",
HRData[[#This Row],[Age]]&lt;=34,"25-34",
HRData[[#This Row],[Age]]&lt;=44,"35-44",
HRData[[#This Row],[Age]]&lt;=54,"45-54",
HRData[[#This Row],[Age]]&gt;=55,"55+"
)</f>
        <v>45-54</v>
      </c>
      <c r="C282" t="s">
        <v>43</v>
      </c>
      <c r="D282">
        <f>IF(HRData[[#This Row],[Attrition]]="Yes",1,0)</f>
        <v>0</v>
      </c>
      <c r="E282" t="s">
        <v>36</v>
      </c>
      <c r="F282">
        <v>1070</v>
      </c>
      <c r="G282" t="s">
        <v>45</v>
      </c>
      <c r="H282">
        <v>3</v>
      </c>
      <c r="I282">
        <v>4</v>
      </c>
      <c r="J282" t="s">
        <v>51</v>
      </c>
      <c r="K282">
        <v>1</v>
      </c>
      <c r="L282">
        <v>386</v>
      </c>
      <c r="M282">
        <v>3</v>
      </c>
      <c r="N282" t="str" cm="1">
        <f t="array" ref="N282">_xlfn.IFS(HRData[[#This Row],[EnvironmentSatisfaction]]=1,"Very Dissatisfied",
HRData[[#This Row],[EnvironmentSatisfaction]]=2,"Dissatisfied",
HRData[[#This Row],[EnvironmentSatisfaction]]=3,"Satisfied",
HRData[[#This Row],[EnvironmentSatisfaction]]=4,"Very Satisfied"
)</f>
        <v>Satisfied</v>
      </c>
      <c r="O282" t="s">
        <v>46</v>
      </c>
      <c r="P282">
        <v>45</v>
      </c>
      <c r="Q282">
        <v>3</v>
      </c>
      <c r="R282">
        <v>4</v>
      </c>
      <c r="S282" t="s">
        <v>58</v>
      </c>
      <c r="T282">
        <v>3</v>
      </c>
      <c r="U282" t="str" cm="1">
        <f t="array" ref="U282">_xlfn.IFS(
HRData[[#This Row],[JobSatisfaction]]=1,"Very Dissatisfied",
HRData[[#This Row],[JobSatisfaction]]=2,"Dissatisfied",
HRData[[#This Row],[JobSatisfaction]]=3,"Satisfied",
HRData[[#This Row],[JobSatisfaction]]=4,"Very Satisfied"
)</f>
        <v>Satisfied</v>
      </c>
      <c r="V282" t="s">
        <v>48</v>
      </c>
      <c r="W282">
        <v>17584</v>
      </c>
      <c r="X282" t="str" cm="1">
        <f t="array" ref="X282">_xlfn.IFS(
HRData[[#This Row],[MonthlyIncome]]&lt;=4000,"Very Low Income",
HRData[[#This Row],[MonthlyIncome]]&lt;=8000,"Low Income",
HRData[[#This Row],[MonthlyIncome]]&lt;=12000,"Moderate Income",
HRData[[#This Row],[MonthlyIncome]]&lt;=16000,"High Income",
HRData[[#This Row],[MonthlyIncome]]&gt;16000,"Very High Income"
)</f>
        <v>Very High Income</v>
      </c>
      <c r="Y282">
        <v>21016</v>
      </c>
      <c r="Z282">
        <v>3</v>
      </c>
      <c r="AA282" t="s">
        <v>42</v>
      </c>
      <c r="AB282" t="s">
        <v>35</v>
      </c>
      <c r="AC282">
        <v>16</v>
      </c>
      <c r="AD282" t="str" cm="1">
        <f t="array" ref="AD282">_xlfn.IFS(HRData[[#This Row],[PercentSalaryHike]]&lt;=15,"11-15",HRData[[#This Row],[PercentSalaryHike]]&lt;=20,"16-20",HRData[[#This Row],[PercentSalaryHike]]&gt;=21,"21+")</f>
        <v>16-20</v>
      </c>
      <c r="AE282">
        <v>3</v>
      </c>
      <c r="AF282">
        <v>4</v>
      </c>
      <c r="AG282">
        <v>80</v>
      </c>
      <c r="AH282">
        <v>3</v>
      </c>
      <c r="AI282">
        <v>21</v>
      </c>
      <c r="AJ282">
        <v>5</v>
      </c>
      <c r="AK282">
        <v>2</v>
      </c>
      <c r="AL282">
        <v>5</v>
      </c>
      <c r="AM282">
        <v>3</v>
      </c>
      <c r="AN282">
        <v>1</v>
      </c>
      <c r="AO282">
        <v>3</v>
      </c>
      <c r="AP28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82" t="str">
        <f>IF(HRData[[#This Row],[Attrition]]="Yes","Left", IF(HRData[[#This Row],[Attrition_Risk_Score]]&gt;=6,"High",IF(HRData[[#This Row],[Attrition_Risk_Score]]&gt;=3,"Medium","Low")))</f>
        <v>Low</v>
      </c>
      <c r="AR282" t="str">
        <f>IF(HRData[[#This Row],[Attrition_Risk_Level]]&lt;&gt;"High","",HRData[[#This Row],[Attrition_Risk_Score]]*10000-HRData[[#This Row],[EmployeeNumber]])</f>
        <v/>
      </c>
    </row>
    <row r="283" spans="1:44">
      <c r="A283">
        <v>42</v>
      </c>
      <c r="B283" t="str" cm="1">
        <f t="array" ref="B283">_xlfn.IFS(
HRData[[#This Row],[Age]]&lt;=24,"18-24",
HRData[[#This Row],[Age]]&lt;=34,"25-34",
HRData[[#This Row],[Age]]&lt;=44,"35-44",
HRData[[#This Row],[Age]]&lt;=54,"45-54",
HRData[[#This Row],[Age]]&gt;=55,"55+"
)</f>
        <v>35-44</v>
      </c>
      <c r="C283" t="s">
        <v>43</v>
      </c>
      <c r="D283">
        <f>IF(HRData[[#This Row],[Attrition]]="Yes",1,0)</f>
        <v>0</v>
      </c>
      <c r="E283" t="s">
        <v>36</v>
      </c>
      <c r="F283">
        <v>635</v>
      </c>
      <c r="G283" t="s">
        <v>37</v>
      </c>
      <c r="H283">
        <v>1</v>
      </c>
      <c r="I283">
        <v>1</v>
      </c>
      <c r="J283" t="s">
        <v>38</v>
      </c>
      <c r="K283">
        <v>1</v>
      </c>
      <c r="L283">
        <v>387</v>
      </c>
      <c r="M283">
        <v>2</v>
      </c>
      <c r="N283" t="str" cm="1">
        <f t="array" ref="N283">_xlfn.IFS(HRData[[#This Row],[EnvironmentSatisfaction]]=1,"Very Dissatisfied",
HRData[[#This Row],[EnvironmentSatisfaction]]=2,"Dissatisfied",
HRData[[#This Row],[EnvironmentSatisfaction]]=3,"Satisfied",
HRData[[#This Row],[EnvironmentSatisfaction]]=4,"Very Satisfied"
)</f>
        <v>Dissatisfied</v>
      </c>
      <c r="O283" t="s">
        <v>46</v>
      </c>
      <c r="P283">
        <v>99</v>
      </c>
      <c r="Q283">
        <v>3</v>
      </c>
      <c r="R283">
        <v>2</v>
      </c>
      <c r="S283" t="s">
        <v>40</v>
      </c>
      <c r="T283">
        <v>3</v>
      </c>
      <c r="U283" t="str" cm="1">
        <f t="array" ref="U283">_xlfn.IFS(
HRData[[#This Row],[JobSatisfaction]]=1,"Very Dissatisfied",
HRData[[#This Row],[JobSatisfaction]]=2,"Dissatisfied",
HRData[[#This Row],[JobSatisfaction]]=3,"Satisfied",
HRData[[#This Row],[JobSatisfaction]]=4,"Very Satisfied"
)</f>
        <v>Satisfied</v>
      </c>
      <c r="V283" t="s">
        <v>48</v>
      </c>
      <c r="W283">
        <v>4907</v>
      </c>
      <c r="X283" t="str" cm="1">
        <f t="array" ref="X283">_xlfn.IFS(
HRData[[#This Row],[MonthlyIncome]]&lt;=4000,"Very Low Income",
HRData[[#This Row],[MonthlyIncome]]&lt;=8000,"Low Income",
HRData[[#This Row],[MonthlyIncome]]&lt;=12000,"Moderate Income",
HRData[[#This Row],[MonthlyIncome]]&lt;=16000,"High Income",
HRData[[#This Row],[MonthlyIncome]]&gt;16000,"Very High Income"
)</f>
        <v>Low Income</v>
      </c>
      <c r="Y283">
        <v>24532</v>
      </c>
      <c r="Z283">
        <v>1</v>
      </c>
      <c r="AA283" t="s">
        <v>42</v>
      </c>
      <c r="AB283" t="s">
        <v>43</v>
      </c>
      <c r="AC283">
        <v>25</v>
      </c>
      <c r="AD283" t="str" cm="1">
        <f t="array" ref="AD283">_xlfn.IFS(HRData[[#This Row],[PercentSalaryHike]]&lt;=15,"11-15",HRData[[#This Row],[PercentSalaryHike]]&lt;=20,"16-20",HRData[[#This Row],[PercentSalaryHike]]&gt;=21,"21+")</f>
        <v>21+</v>
      </c>
      <c r="AE283">
        <v>4</v>
      </c>
      <c r="AF283">
        <v>3</v>
      </c>
      <c r="AG283">
        <v>80</v>
      </c>
      <c r="AH283">
        <v>0</v>
      </c>
      <c r="AI283">
        <v>20</v>
      </c>
      <c r="AJ283">
        <v>3</v>
      </c>
      <c r="AK283">
        <v>3</v>
      </c>
      <c r="AL283">
        <v>20</v>
      </c>
      <c r="AM283">
        <v>16</v>
      </c>
      <c r="AN283">
        <v>11</v>
      </c>
      <c r="AO283">
        <v>6</v>
      </c>
      <c r="AP28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283" t="str">
        <f>IF(HRData[[#This Row],[Attrition]]="Yes","Left", IF(HRData[[#This Row],[Attrition_Risk_Score]]&gt;=6,"High",IF(HRData[[#This Row],[Attrition_Risk_Score]]&gt;=3,"Medium","Low")))</f>
        <v>Low</v>
      </c>
      <c r="AR283" t="str">
        <f>IF(HRData[[#This Row],[Attrition_Risk_Level]]&lt;&gt;"High","",HRData[[#This Row],[Attrition_Risk_Score]]*10000-HRData[[#This Row],[EmployeeNumber]])</f>
        <v/>
      </c>
    </row>
    <row r="284" spans="1:44">
      <c r="A284">
        <v>29</v>
      </c>
      <c r="B284" t="str" cm="1">
        <f t="array" ref="B284">_xlfn.IFS(
HRData[[#This Row],[Age]]&lt;=24,"18-24",
HRData[[#This Row],[Age]]&lt;=34,"25-34",
HRData[[#This Row],[Age]]&lt;=44,"35-44",
HRData[[#This Row],[Age]]&lt;=54,"45-54",
HRData[[#This Row],[Age]]&gt;=55,"55+"
)</f>
        <v>25-34</v>
      </c>
      <c r="C284" t="s">
        <v>43</v>
      </c>
      <c r="D284">
        <f>IF(HRData[[#This Row],[Attrition]]="Yes",1,0)</f>
        <v>0</v>
      </c>
      <c r="E284" t="s">
        <v>44</v>
      </c>
      <c r="F284">
        <v>442</v>
      </c>
      <c r="G284" t="s">
        <v>37</v>
      </c>
      <c r="H284">
        <v>2</v>
      </c>
      <c r="I284">
        <v>2</v>
      </c>
      <c r="J284" t="s">
        <v>38</v>
      </c>
      <c r="K284">
        <v>1</v>
      </c>
      <c r="L284">
        <v>388</v>
      </c>
      <c r="M284">
        <v>2</v>
      </c>
      <c r="N284" t="str" cm="1">
        <f t="array" ref="N284">_xlfn.IFS(HRData[[#This Row],[EnvironmentSatisfaction]]=1,"Very Dissatisfied",
HRData[[#This Row],[EnvironmentSatisfaction]]=2,"Dissatisfied",
HRData[[#This Row],[EnvironmentSatisfaction]]=3,"Satisfied",
HRData[[#This Row],[EnvironmentSatisfaction]]=4,"Very Satisfied"
)</f>
        <v>Dissatisfied</v>
      </c>
      <c r="O284" t="s">
        <v>46</v>
      </c>
      <c r="P284">
        <v>44</v>
      </c>
      <c r="Q284">
        <v>3</v>
      </c>
      <c r="R284">
        <v>2</v>
      </c>
      <c r="S284" t="s">
        <v>40</v>
      </c>
      <c r="T284">
        <v>4</v>
      </c>
      <c r="U284" t="str" cm="1">
        <f t="array" ref="U284">_xlfn.IFS(
HRData[[#This Row],[JobSatisfaction]]=1,"Very Dissatisfied",
HRData[[#This Row],[JobSatisfaction]]=2,"Dissatisfied",
HRData[[#This Row],[JobSatisfaction]]=3,"Satisfied",
HRData[[#This Row],[JobSatisfaction]]=4,"Very Satisfied"
)</f>
        <v>Very Satisfied</v>
      </c>
      <c r="V284" t="s">
        <v>41</v>
      </c>
      <c r="W284">
        <v>4554</v>
      </c>
      <c r="X284" t="str" cm="1">
        <f t="array" ref="X284">_xlfn.IFS(
HRData[[#This Row],[MonthlyIncome]]&lt;=4000,"Very Low Income",
HRData[[#This Row],[MonthlyIncome]]&lt;=8000,"Low Income",
HRData[[#This Row],[MonthlyIncome]]&lt;=12000,"Moderate Income",
HRData[[#This Row],[MonthlyIncome]]&lt;=16000,"High Income",
HRData[[#This Row],[MonthlyIncome]]&gt;16000,"Very High Income"
)</f>
        <v>Low Income</v>
      </c>
      <c r="Y284">
        <v>20260</v>
      </c>
      <c r="Z284">
        <v>1</v>
      </c>
      <c r="AA284" t="s">
        <v>42</v>
      </c>
      <c r="AB284" t="s">
        <v>43</v>
      </c>
      <c r="AC284">
        <v>18</v>
      </c>
      <c r="AD284" t="str" cm="1">
        <f t="array" ref="AD284">_xlfn.IFS(HRData[[#This Row],[PercentSalaryHike]]&lt;=15,"11-15",HRData[[#This Row],[PercentSalaryHike]]&lt;=20,"16-20",HRData[[#This Row],[PercentSalaryHike]]&gt;=21,"21+")</f>
        <v>16-20</v>
      </c>
      <c r="AE284">
        <v>3</v>
      </c>
      <c r="AF284">
        <v>1</v>
      </c>
      <c r="AG284">
        <v>80</v>
      </c>
      <c r="AH284">
        <v>0</v>
      </c>
      <c r="AI284">
        <v>10</v>
      </c>
      <c r="AJ284">
        <v>3</v>
      </c>
      <c r="AK284">
        <v>2</v>
      </c>
      <c r="AL284">
        <v>10</v>
      </c>
      <c r="AM284">
        <v>7</v>
      </c>
      <c r="AN284">
        <v>0</v>
      </c>
      <c r="AO284">
        <v>9</v>
      </c>
      <c r="AP28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84" t="str">
        <f>IF(HRData[[#This Row],[Attrition]]="Yes","Left", IF(HRData[[#This Row],[Attrition_Risk_Score]]&gt;=6,"High",IF(HRData[[#This Row],[Attrition_Risk_Score]]&gt;=3,"Medium","Low")))</f>
        <v>Low</v>
      </c>
      <c r="AR284" t="str">
        <f>IF(HRData[[#This Row],[Attrition_Risk_Level]]&lt;&gt;"High","",HRData[[#This Row],[Attrition_Risk_Score]]*10000-HRData[[#This Row],[EmployeeNumber]])</f>
        <v/>
      </c>
    </row>
    <row r="285" spans="1:44">
      <c r="A285">
        <v>55</v>
      </c>
      <c r="B285" t="str" cm="1">
        <f t="array" ref="B285">_xlfn.IFS(
HRData[[#This Row],[Age]]&lt;=24,"18-24",
HRData[[#This Row],[Age]]&lt;=34,"25-34",
HRData[[#This Row],[Age]]&lt;=44,"35-44",
HRData[[#This Row],[Age]]&lt;=54,"45-54",
HRData[[#This Row],[Age]]&gt;=55,"55+"
)</f>
        <v>55+</v>
      </c>
      <c r="C285" t="s">
        <v>43</v>
      </c>
      <c r="D285">
        <f>IF(HRData[[#This Row],[Attrition]]="Yes",1,0)</f>
        <v>0</v>
      </c>
      <c r="E285" t="s">
        <v>36</v>
      </c>
      <c r="F285">
        <v>147</v>
      </c>
      <c r="G285" t="s">
        <v>45</v>
      </c>
      <c r="H285">
        <v>20</v>
      </c>
      <c r="I285">
        <v>2</v>
      </c>
      <c r="J285" t="s">
        <v>60</v>
      </c>
      <c r="K285">
        <v>1</v>
      </c>
      <c r="L285">
        <v>389</v>
      </c>
      <c r="M285">
        <v>2</v>
      </c>
      <c r="N285" t="str" cm="1">
        <f t="array" ref="N285">_xlfn.IFS(HRData[[#This Row],[EnvironmentSatisfaction]]=1,"Very Dissatisfied",
HRData[[#This Row],[EnvironmentSatisfaction]]=2,"Dissatisfied",
HRData[[#This Row],[EnvironmentSatisfaction]]=3,"Satisfied",
HRData[[#This Row],[EnvironmentSatisfaction]]=4,"Very Satisfied"
)</f>
        <v>Dissatisfied</v>
      </c>
      <c r="O285" t="s">
        <v>46</v>
      </c>
      <c r="P285">
        <v>37</v>
      </c>
      <c r="Q285">
        <v>3</v>
      </c>
      <c r="R285">
        <v>2</v>
      </c>
      <c r="S285" t="s">
        <v>50</v>
      </c>
      <c r="T285">
        <v>4</v>
      </c>
      <c r="U285" t="str" cm="1">
        <f t="array" ref="U285">_xlfn.IFS(
HRData[[#This Row],[JobSatisfaction]]=1,"Very Dissatisfied",
HRData[[#This Row],[JobSatisfaction]]=2,"Dissatisfied",
HRData[[#This Row],[JobSatisfaction]]=3,"Satisfied",
HRData[[#This Row],[JobSatisfaction]]=4,"Very Satisfied"
)</f>
        <v>Very Satisfied</v>
      </c>
      <c r="V285" t="s">
        <v>48</v>
      </c>
      <c r="W285">
        <v>5415</v>
      </c>
      <c r="X285" t="str" cm="1">
        <f t="array" ref="X285">_xlfn.IFS(
HRData[[#This Row],[MonthlyIncome]]&lt;=4000,"Very Low Income",
HRData[[#This Row],[MonthlyIncome]]&lt;=8000,"Low Income",
HRData[[#This Row],[MonthlyIncome]]&lt;=12000,"Moderate Income",
HRData[[#This Row],[MonthlyIncome]]&lt;=16000,"High Income",
HRData[[#This Row],[MonthlyIncome]]&gt;16000,"Very High Income"
)</f>
        <v>Low Income</v>
      </c>
      <c r="Y285">
        <v>15972</v>
      </c>
      <c r="Z285">
        <v>3</v>
      </c>
      <c r="AA285" t="s">
        <v>42</v>
      </c>
      <c r="AB285" t="s">
        <v>35</v>
      </c>
      <c r="AC285">
        <v>19</v>
      </c>
      <c r="AD285" t="str" cm="1">
        <f t="array" ref="AD285">_xlfn.IFS(HRData[[#This Row],[PercentSalaryHike]]&lt;=15,"11-15",HRData[[#This Row],[PercentSalaryHike]]&lt;=20,"16-20",HRData[[#This Row],[PercentSalaryHike]]&gt;=21,"21+")</f>
        <v>16-20</v>
      </c>
      <c r="AE285">
        <v>3</v>
      </c>
      <c r="AF285">
        <v>4</v>
      </c>
      <c r="AG285">
        <v>80</v>
      </c>
      <c r="AH285">
        <v>1</v>
      </c>
      <c r="AI285">
        <v>12</v>
      </c>
      <c r="AJ285">
        <v>4</v>
      </c>
      <c r="AK285">
        <v>3</v>
      </c>
      <c r="AL285">
        <v>10</v>
      </c>
      <c r="AM285">
        <v>7</v>
      </c>
      <c r="AN285">
        <v>0</v>
      </c>
      <c r="AO285">
        <v>8</v>
      </c>
      <c r="AP28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285" t="str">
        <f>IF(HRData[[#This Row],[Attrition]]="Yes","Left", IF(HRData[[#This Row],[Attrition_Risk_Score]]&gt;=6,"High",IF(HRData[[#This Row],[Attrition_Risk_Score]]&gt;=3,"Medium","Low")))</f>
        <v>Medium</v>
      </c>
      <c r="AR285" t="str">
        <f>IF(HRData[[#This Row],[Attrition_Risk_Level]]&lt;&gt;"High","",HRData[[#This Row],[Attrition_Risk_Score]]*10000-HRData[[#This Row],[EmployeeNumber]])</f>
        <v/>
      </c>
    </row>
    <row r="286" spans="1:44">
      <c r="A286">
        <v>26</v>
      </c>
      <c r="B286" t="str" cm="1">
        <f t="array" ref="B286">_xlfn.IFS(
HRData[[#This Row],[Age]]&lt;=24,"18-24",
HRData[[#This Row],[Age]]&lt;=34,"25-34",
HRData[[#This Row],[Age]]&lt;=44,"35-44",
HRData[[#This Row],[Age]]&lt;=54,"45-54",
HRData[[#This Row],[Age]]&gt;=55,"55+"
)</f>
        <v>25-34</v>
      </c>
      <c r="C286" t="s">
        <v>43</v>
      </c>
      <c r="D286">
        <f>IF(HRData[[#This Row],[Attrition]]="Yes",1,0)</f>
        <v>0</v>
      </c>
      <c r="E286" t="s">
        <v>44</v>
      </c>
      <c r="F286">
        <v>496</v>
      </c>
      <c r="G286" t="s">
        <v>45</v>
      </c>
      <c r="H286">
        <v>11</v>
      </c>
      <c r="I286">
        <v>2</v>
      </c>
      <c r="J286" t="s">
        <v>51</v>
      </c>
      <c r="K286">
        <v>1</v>
      </c>
      <c r="L286">
        <v>390</v>
      </c>
      <c r="M286">
        <v>1</v>
      </c>
      <c r="N286" t="str" cm="1">
        <f t="array" ref="N286">_xlfn.IFS(HRData[[#This Row],[EnvironmentSatisfaction]]=1,"Very Dissatisfied",
HRData[[#This Row],[EnvironmentSatisfaction]]=2,"Dissatisfied",
HRData[[#This Row],[EnvironmentSatisfaction]]=3,"Satisfied",
HRData[[#This Row],[EnvironmentSatisfaction]]=4,"Very Satisfied"
)</f>
        <v>Very Dissatisfied</v>
      </c>
      <c r="O286" t="s">
        <v>46</v>
      </c>
      <c r="P286">
        <v>60</v>
      </c>
      <c r="Q286">
        <v>3</v>
      </c>
      <c r="R286">
        <v>2</v>
      </c>
      <c r="S286" t="s">
        <v>54</v>
      </c>
      <c r="T286">
        <v>1</v>
      </c>
      <c r="U286" t="str" cm="1">
        <f t="array" ref="U286">_xlfn.IFS(
HRData[[#This Row],[JobSatisfaction]]=1,"Very Dissatisfied",
HRData[[#This Row],[JobSatisfaction]]=2,"Dissatisfied",
HRData[[#This Row],[JobSatisfaction]]=3,"Satisfied",
HRData[[#This Row],[JobSatisfaction]]=4,"Very Satisfied"
)</f>
        <v>Very Dissatisfied</v>
      </c>
      <c r="V286" t="s">
        <v>48</v>
      </c>
      <c r="W286">
        <v>4741</v>
      </c>
      <c r="X286" t="str" cm="1">
        <f t="array" ref="X286">_xlfn.IFS(
HRData[[#This Row],[MonthlyIncome]]&lt;=4000,"Very Low Income",
HRData[[#This Row],[MonthlyIncome]]&lt;=8000,"Low Income",
HRData[[#This Row],[MonthlyIncome]]&lt;=12000,"Moderate Income",
HRData[[#This Row],[MonthlyIncome]]&lt;=16000,"High Income",
HRData[[#This Row],[MonthlyIncome]]&gt;16000,"Very High Income"
)</f>
        <v>Low Income</v>
      </c>
      <c r="Y286">
        <v>22722</v>
      </c>
      <c r="Z286">
        <v>1</v>
      </c>
      <c r="AA286" t="s">
        <v>42</v>
      </c>
      <c r="AB286" t="s">
        <v>35</v>
      </c>
      <c r="AC286">
        <v>13</v>
      </c>
      <c r="AD286" t="str" cm="1">
        <f t="array" ref="AD286">_xlfn.IFS(HRData[[#This Row],[PercentSalaryHike]]&lt;=15,"11-15",HRData[[#This Row],[PercentSalaryHike]]&lt;=20,"16-20",HRData[[#This Row],[PercentSalaryHike]]&gt;=21,"21+")</f>
        <v>11-15</v>
      </c>
      <c r="AE286">
        <v>3</v>
      </c>
      <c r="AF286">
        <v>3</v>
      </c>
      <c r="AG286">
        <v>80</v>
      </c>
      <c r="AH286">
        <v>1</v>
      </c>
      <c r="AI286">
        <v>5</v>
      </c>
      <c r="AJ286">
        <v>3</v>
      </c>
      <c r="AK286">
        <v>3</v>
      </c>
      <c r="AL286">
        <v>5</v>
      </c>
      <c r="AM286">
        <v>3</v>
      </c>
      <c r="AN286">
        <v>3</v>
      </c>
      <c r="AO286">
        <v>3</v>
      </c>
      <c r="AP28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286" t="str">
        <f>IF(HRData[[#This Row],[Attrition]]="Yes","Left", IF(HRData[[#This Row],[Attrition_Risk_Score]]&gt;=6,"High",IF(HRData[[#This Row],[Attrition_Risk_Score]]&gt;=3,"Medium","Low")))</f>
        <v>High</v>
      </c>
      <c r="AR286">
        <f>IF(HRData[[#This Row],[Attrition_Risk_Level]]&lt;&gt;"High","",HRData[[#This Row],[Attrition_Risk_Score]]*10000-HRData[[#This Row],[EmployeeNumber]])</f>
        <v>59610</v>
      </c>
    </row>
    <row r="287" spans="1:44">
      <c r="A287">
        <v>37</v>
      </c>
      <c r="B287" t="str" cm="1">
        <f t="array" ref="B287">_xlfn.IFS(
HRData[[#This Row],[Age]]&lt;=24,"18-24",
HRData[[#This Row],[Age]]&lt;=34,"25-34",
HRData[[#This Row],[Age]]&lt;=44,"35-44",
HRData[[#This Row],[Age]]&lt;=54,"45-54",
HRData[[#This Row],[Age]]&gt;=55,"55+"
)</f>
        <v>35-44</v>
      </c>
      <c r="C287" t="s">
        <v>43</v>
      </c>
      <c r="D287">
        <f>IF(HRData[[#This Row],[Attrition]]="Yes",1,0)</f>
        <v>0</v>
      </c>
      <c r="E287" t="s">
        <v>36</v>
      </c>
      <c r="F287">
        <v>1372</v>
      </c>
      <c r="G287" t="s">
        <v>45</v>
      </c>
      <c r="H287">
        <v>1</v>
      </c>
      <c r="I287">
        <v>3</v>
      </c>
      <c r="J287" t="s">
        <v>38</v>
      </c>
      <c r="K287">
        <v>1</v>
      </c>
      <c r="L287">
        <v>391</v>
      </c>
      <c r="M287">
        <v>4</v>
      </c>
      <c r="N287" t="str" cm="1">
        <f t="array" ref="N287">_xlfn.IFS(HRData[[#This Row],[EnvironmentSatisfaction]]=1,"Very Dissatisfied",
HRData[[#This Row],[EnvironmentSatisfaction]]=2,"Dissatisfied",
HRData[[#This Row],[EnvironmentSatisfaction]]=3,"Satisfied",
HRData[[#This Row],[EnvironmentSatisfaction]]=4,"Very Satisfied"
)</f>
        <v>Very Satisfied</v>
      </c>
      <c r="O287" t="s">
        <v>39</v>
      </c>
      <c r="P287">
        <v>42</v>
      </c>
      <c r="Q287">
        <v>3</v>
      </c>
      <c r="R287">
        <v>1</v>
      </c>
      <c r="S287" t="s">
        <v>47</v>
      </c>
      <c r="T287">
        <v>4</v>
      </c>
      <c r="U287" t="str" cm="1">
        <f t="array" ref="U287">_xlfn.IFS(
HRData[[#This Row],[JobSatisfaction]]=1,"Very Dissatisfied",
HRData[[#This Row],[JobSatisfaction]]=2,"Dissatisfied",
HRData[[#This Row],[JobSatisfaction]]=3,"Satisfied",
HRData[[#This Row],[JobSatisfaction]]=4,"Very Satisfied"
)</f>
        <v>Very Satisfied</v>
      </c>
      <c r="V287" t="s">
        <v>41</v>
      </c>
      <c r="W287">
        <v>2115</v>
      </c>
      <c r="X287" t="str" cm="1">
        <f t="array" ref="X287">_xlfn.IFS(
HRData[[#This Row],[MonthlyIncome]]&lt;=4000,"Very Low Income",
HRData[[#This Row],[MonthlyIncome]]&lt;=8000,"Low Income",
HRData[[#This Row],[MonthlyIncome]]&lt;=12000,"Moderate Income",
HRData[[#This Row],[MonthlyIncome]]&lt;=16000,"High Income",
HRData[[#This Row],[MonthlyIncome]]&gt;16000,"Very High Income"
)</f>
        <v>Very Low Income</v>
      </c>
      <c r="Y287">
        <v>15881</v>
      </c>
      <c r="Z287">
        <v>1</v>
      </c>
      <c r="AA287" t="s">
        <v>42</v>
      </c>
      <c r="AB287" t="s">
        <v>43</v>
      </c>
      <c r="AC287">
        <v>12</v>
      </c>
      <c r="AD287" t="str" cm="1">
        <f t="array" ref="AD287">_xlfn.IFS(HRData[[#This Row],[PercentSalaryHike]]&lt;=15,"11-15",HRData[[#This Row],[PercentSalaryHike]]&lt;=20,"16-20",HRData[[#This Row],[PercentSalaryHike]]&gt;=21,"21+")</f>
        <v>11-15</v>
      </c>
      <c r="AE287">
        <v>3</v>
      </c>
      <c r="AF287">
        <v>2</v>
      </c>
      <c r="AG287">
        <v>80</v>
      </c>
      <c r="AH287">
        <v>0</v>
      </c>
      <c r="AI287">
        <v>17</v>
      </c>
      <c r="AJ287">
        <v>3</v>
      </c>
      <c r="AK287">
        <v>3</v>
      </c>
      <c r="AL287">
        <v>17</v>
      </c>
      <c r="AM287">
        <v>12</v>
      </c>
      <c r="AN287">
        <v>5</v>
      </c>
      <c r="AO287">
        <v>7</v>
      </c>
      <c r="AP28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87" t="str">
        <f>IF(HRData[[#This Row],[Attrition]]="Yes","Left", IF(HRData[[#This Row],[Attrition_Risk_Score]]&gt;=6,"High",IF(HRData[[#This Row],[Attrition_Risk_Score]]&gt;=3,"Medium","Low")))</f>
        <v>Low</v>
      </c>
      <c r="AR287" t="str">
        <f>IF(HRData[[#This Row],[Attrition_Risk_Level]]&lt;&gt;"High","",HRData[[#This Row],[Attrition_Risk_Score]]*10000-HRData[[#This Row],[EmployeeNumber]])</f>
        <v/>
      </c>
    </row>
    <row r="288" spans="1:44">
      <c r="A288">
        <v>44</v>
      </c>
      <c r="B288" t="str" cm="1">
        <f t="array" ref="B288">_xlfn.IFS(
HRData[[#This Row],[Age]]&lt;=24,"18-24",
HRData[[#This Row],[Age]]&lt;=34,"25-34",
HRData[[#This Row],[Age]]&lt;=44,"35-44",
HRData[[#This Row],[Age]]&lt;=54,"45-54",
HRData[[#This Row],[Age]]&gt;=55,"55+"
)</f>
        <v>35-44</v>
      </c>
      <c r="C288" t="s">
        <v>35</v>
      </c>
      <c r="D288">
        <f>IF(HRData[[#This Row],[Attrition]]="Yes",1,0)</f>
        <v>1</v>
      </c>
      <c r="E288" t="s">
        <v>44</v>
      </c>
      <c r="F288">
        <v>920</v>
      </c>
      <c r="G288" t="s">
        <v>45</v>
      </c>
      <c r="H288">
        <v>24</v>
      </c>
      <c r="I288">
        <v>3</v>
      </c>
      <c r="J288" t="s">
        <v>38</v>
      </c>
      <c r="K288">
        <v>1</v>
      </c>
      <c r="L288">
        <v>392</v>
      </c>
      <c r="M288">
        <v>4</v>
      </c>
      <c r="N288" t="str" cm="1">
        <f t="array" ref="N288">_xlfn.IFS(HRData[[#This Row],[EnvironmentSatisfaction]]=1,"Very Dissatisfied",
HRData[[#This Row],[EnvironmentSatisfaction]]=2,"Dissatisfied",
HRData[[#This Row],[EnvironmentSatisfaction]]=3,"Satisfied",
HRData[[#This Row],[EnvironmentSatisfaction]]=4,"Very Satisfied"
)</f>
        <v>Very Satisfied</v>
      </c>
      <c r="O288" t="s">
        <v>46</v>
      </c>
      <c r="P288">
        <v>43</v>
      </c>
      <c r="Q288">
        <v>3</v>
      </c>
      <c r="R288">
        <v>1</v>
      </c>
      <c r="S288" t="s">
        <v>50</v>
      </c>
      <c r="T288">
        <v>3</v>
      </c>
      <c r="U288" t="str" cm="1">
        <f t="array" ref="U288">_xlfn.IFS(
HRData[[#This Row],[JobSatisfaction]]=1,"Very Dissatisfied",
HRData[[#This Row],[JobSatisfaction]]=2,"Dissatisfied",
HRData[[#This Row],[JobSatisfaction]]=3,"Satisfied",
HRData[[#This Row],[JobSatisfaction]]=4,"Very Satisfied"
)</f>
        <v>Satisfied</v>
      </c>
      <c r="V288" t="s">
        <v>52</v>
      </c>
      <c r="W288">
        <v>3161</v>
      </c>
      <c r="X288" t="str" cm="1">
        <f t="array" ref="X288">_xlfn.IFS(
HRData[[#This Row],[MonthlyIncome]]&lt;=4000,"Very Low Income",
HRData[[#This Row],[MonthlyIncome]]&lt;=8000,"Low Income",
HRData[[#This Row],[MonthlyIncome]]&lt;=12000,"Moderate Income",
HRData[[#This Row],[MonthlyIncome]]&lt;=16000,"High Income",
HRData[[#This Row],[MonthlyIncome]]&gt;16000,"Very High Income"
)</f>
        <v>Very Low Income</v>
      </c>
      <c r="Y288">
        <v>19920</v>
      </c>
      <c r="Z288">
        <v>3</v>
      </c>
      <c r="AA288" t="s">
        <v>42</v>
      </c>
      <c r="AB288" t="s">
        <v>35</v>
      </c>
      <c r="AC288">
        <v>22</v>
      </c>
      <c r="AD288" t="str" cm="1">
        <f t="array" ref="AD288">_xlfn.IFS(HRData[[#This Row],[PercentSalaryHike]]&lt;=15,"11-15",HRData[[#This Row],[PercentSalaryHike]]&lt;=20,"16-20",HRData[[#This Row],[PercentSalaryHike]]&gt;=21,"21+")</f>
        <v>21+</v>
      </c>
      <c r="AE288">
        <v>4</v>
      </c>
      <c r="AF288">
        <v>4</v>
      </c>
      <c r="AG288">
        <v>80</v>
      </c>
      <c r="AH288">
        <v>1</v>
      </c>
      <c r="AI288">
        <v>19</v>
      </c>
      <c r="AJ288">
        <v>0</v>
      </c>
      <c r="AK288">
        <v>1</v>
      </c>
      <c r="AL288">
        <v>1</v>
      </c>
      <c r="AM288">
        <v>0</v>
      </c>
      <c r="AN288">
        <v>0</v>
      </c>
      <c r="AO288">
        <v>0</v>
      </c>
      <c r="AP28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88" t="str">
        <f>IF(HRData[[#This Row],[Attrition]]="Yes","Left", IF(HRData[[#This Row],[Attrition_Risk_Score]]&gt;=6,"High",IF(HRData[[#This Row],[Attrition_Risk_Score]]&gt;=3,"Medium","Low")))</f>
        <v>Left</v>
      </c>
      <c r="AR288" t="str">
        <f>IF(HRData[[#This Row],[Attrition_Risk_Level]]&lt;&gt;"High","",HRData[[#This Row],[Attrition_Risk_Score]]*10000-HRData[[#This Row],[EmployeeNumber]])</f>
        <v/>
      </c>
    </row>
    <row r="289" spans="1:44">
      <c r="A289">
        <v>38</v>
      </c>
      <c r="B289" t="str" cm="1">
        <f t="array" ref="B289">_xlfn.IFS(
HRData[[#This Row],[Age]]&lt;=24,"18-24",
HRData[[#This Row],[Age]]&lt;=34,"25-34",
HRData[[#This Row],[Age]]&lt;=44,"35-44",
HRData[[#This Row],[Age]]&lt;=54,"45-54",
HRData[[#This Row],[Age]]&gt;=55,"55+"
)</f>
        <v>35-44</v>
      </c>
      <c r="C289" t="s">
        <v>43</v>
      </c>
      <c r="D289">
        <f>IF(HRData[[#This Row],[Attrition]]="Yes",1,0)</f>
        <v>0</v>
      </c>
      <c r="E289" t="s">
        <v>36</v>
      </c>
      <c r="F289">
        <v>688</v>
      </c>
      <c r="G289" t="s">
        <v>45</v>
      </c>
      <c r="H289">
        <v>23</v>
      </c>
      <c r="I289">
        <v>4</v>
      </c>
      <c r="J289" t="s">
        <v>38</v>
      </c>
      <c r="K289">
        <v>1</v>
      </c>
      <c r="L289">
        <v>393</v>
      </c>
      <c r="M289">
        <v>4</v>
      </c>
      <c r="N289" t="str" cm="1">
        <f t="array" ref="N289">_xlfn.IFS(HRData[[#This Row],[EnvironmentSatisfaction]]=1,"Very Dissatisfied",
HRData[[#This Row],[EnvironmentSatisfaction]]=2,"Dissatisfied",
HRData[[#This Row],[EnvironmentSatisfaction]]=3,"Satisfied",
HRData[[#This Row],[EnvironmentSatisfaction]]=4,"Very Satisfied"
)</f>
        <v>Very Satisfied</v>
      </c>
      <c r="O289" t="s">
        <v>46</v>
      </c>
      <c r="P289">
        <v>82</v>
      </c>
      <c r="Q289">
        <v>3</v>
      </c>
      <c r="R289">
        <v>2</v>
      </c>
      <c r="S289" t="s">
        <v>54</v>
      </c>
      <c r="T289">
        <v>4</v>
      </c>
      <c r="U289" t="str" cm="1">
        <f t="array" ref="U289">_xlfn.IFS(
HRData[[#This Row],[JobSatisfaction]]=1,"Very Dissatisfied",
HRData[[#This Row],[JobSatisfaction]]=2,"Dissatisfied",
HRData[[#This Row],[JobSatisfaction]]=3,"Satisfied",
HRData[[#This Row],[JobSatisfaction]]=4,"Very Satisfied"
)</f>
        <v>Very Satisfied</v>
      </c>
      <c r="V289" t="s">
        <v>52</v>
      </c>
      <c r="W289">
        <v>5745</v>
      </c>
      <c r="X289" t="str" cm="1">
        <f t="array" ref="X289">_xlfn.IFS(
HRData[[#This Row],[MonthlyIncome]]&lt;=4000,"Very Low Income",
HRData[[#This Row],[MonthlyIncome]]&lt;=8000,"Low Income",
HRData[[#This Row],[MonthlyIncome]]&lt;=12000,"Moderate Income",
HRData[[#This Row],[MonthlyIncome]]&lt;=16000,"High Income",
HRData[[#This Row],[MonthlyIncome]]&gt;16000,"Very High Income"
)</f>
        <v>Low Income</v>
      </c>
      <c r="Y289">
        <v>18899</v>
      </c>
      <c r="Z289">
        <v>9</v>
      </c>
      <c r="AA289" t="s">
        <v>42</v>
      </c>
      <c r="AB289" t="s">
        <v>43</v>
      </c>
      <c r="AC289">
        <v>14</v>
      </c>
      <c r="AD289" t="str" cm="1">
        <f t="array" ref="AD289">_xlfn.IFS(HRData[[#This Row],[PercentSalaryHike]]&lt;=15,"11-15",HRData[[#This Row],[PercentSalaryHike]]&lt;=20,"16-20",HRData[[#This Row],[PercentSalaryHike]]&gt;=21,"21+")</f>
        <v>11-15</v>
      </c>
      <c r="AE289">
        <v>3</v>
      </c>
      <c r="AF289">
        <v>2</v>
      </c>
      <c r="AG289">
        <v>80</v>
      </c>
      <c r="AH289">
        <v>1</v>
      </c>
      <c r="AI289">
        <v>10</v>
      </c>
      <c r="AJ289">
        <v>2</v>
      </c>
      <c r="AK289">
        <v>3</v>
      </c>
      <c r="AL289">
        <v>2</v>
      </c>
      <c r="AM289">
        <v>2</v>
      </c>
      <c r="AN289">
        <v>1</v>
      </c>
      <c r="AO289">
        <v>2</v>
      </c>
      <c r="AP28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289" t="str">
        <f>IF(HRData[[#This Row],[Attrition]]="Yes","Left", IF(HRData[[#This Row],[Attrition_Risk_Score]]&gt;=6,"High",IF(HRData[[#This Row],[Attrition_Risk_Score]]&gt;=3,"Medium","Low")))</f>
        <v>Low</v>
      </c>
      <c r="AR289" t="str">
        <f>IF(HRData[[#This Row],[Attrition_Risk_Level]]&lt;&gt;"High","",HRData[[#This Row],[Attrition_Risk_Score]]*10000-HRData[[#This Row],[EmployeeNumber]])</f>
        <v/>
      </c>
    </row>
    <row r="290" spans="1:44">
      <c r="A290">
        <v>26</v>
      </c>
      <c r="B290" t="str" cm="1">
        <f t="array" ref="B290">_xlfn.IFS(
HRData[[#This Row],[Age]]&lt;=24,"18-24",
HRData[[#This Row],[Age]]&lt;=34,"25-34",
HRData[[#This Row],[Age]]&lt;=44,"35-44",
HRData[[#This Row],[Age]]&lt;=54,"45-54",
HRData[[#This Row],[Age]]&gt;=55,"55+"
)</f>
        <v>25-34</v>
      </c>
      <c r="C290" t="s">
        <v>35</v>
      </c>
      <c r="D290">
        <f>IF(HRData[[#This Row],[Attrition]]="Yes",1,0)</f>
        <v>1</v>
      </c>
      <c r="E290" t="s">
        <v>36</v>
      </c>
      <c r="F290">
        <v>1449</v>
      </c>
      <c r="G290" t="s">
        <v>45</v>
      </c>
      <c r="H290">
        <v>16</v>
      </c>
      <c r="I290">
        <v>4</v>
      </c>
      <c r="J290" t="s">
        <v>51</v>
      </c>
      <c r="K290">
        <v>1</v>
      </c>
      <c r="L290">
        <v>394</v>
      </c>
      <c r="M290">
        <v>1</v>
      </c>
      <c r="N290" t="str" cm="1">
        <f t="array" ref="N290">_xlfn.IFS(HRData[[#This Row],[EnvironmentSatisfaction]]=1,"Very Dissatisfied",
HRData[[#This Row],[EnvironmentSatisfaction]]=2,"Dissatisfied",
HRData[[#This Row],[EnvironmentSatisfaction]]=3,"Satisfied",
HRData[[#This Row],[EnvironmentSatisfaction]]=4,"Very Satisfied"
)</f>
        <v>Very Dissatisfied</v>
      </c>
      <c r="O290" t="s">
        <v>46</v>
      </c>
      <c r="P290">
        <v>45</v>
      </c>
      <c r="Q290">
        <v>3</v>
      </c>
      <c r="R290">
        <v>1</v>
      </c>
      <c r="S290" t="s">
        <v>50</v>
      </c>
      <c r="T290">
        <v>2</v>
      </c>
      <c r="U290" t="str" cm="1">
        <f t="array" ref="U290">_xlfn.IFS(
HRData[[#This Row],[JobSatisfaction]]=1,"Very Dissatisfied",
HRData[[#This Row],[JobSatisfaction]]=2,"Dissatisfied",
HRData[[#This Row],[JobSatisfaction]]=3,"Satisfied",
HRData[[#This Row],[JobSatisfaction]]=4,"Very Satisfied"
)</f>
        <v>Dissatisfied</v>
      </c>
      <c r="V290" t="s">
        <v>52</v>
      </c>
      <c r="W290">
        <v>2373</v>
      </c>
      <c r="X290" t="str" cm="1">
        <f t="array" ref="X290">_xlfn.IFS(
HRData[[#This Row],[MonthlyIncome]]&lt;=4000,"Very Low Income",
HRData[[#This Row],[MonthlyIncome]]&lt;=8000,"Low Income",
HRData[[#This Row],[MonthlyIncome]]&lt;=12000,"Moderate Income",
HRData[[#This Row],[MonthlyIncome]]&lt;=16000,"High Income",
HRData[[#This Row],[MonthlyIncome]]&gt;16000,"Very High Income"
)</f>
        <v>Very Low Income</v>
      </c>
      <c r="Y290">
        <v>14180</v>
      </c>
      <c r="Z290">
        <v>2</v>
      </c>
      <c r="AA290" t="s">
        <v>42</v>
      </c>
      <c r="AB290" t="s">
        <v>35</v>
      </c>
      <c r="AC290">
        <v>13</v>
      </c>
      <c r="AD290" t="str" cm="1">
        <f t="array" ref="AD290">_xlfn.IFS(HRData[[#This Row],[PercentSalaryHike]]&lt;=15,"11-15",HRData[[#This Row],[PercentSalaryHike]]&lt;=20,"16-20",HRData[[#This Row],[PercentSalaryHike]]&gt;=21,"21+")</f>
        <v>11-15</v>
      </c>
      <c r="AE290">
        <v>3</v>
      </c>
      <c r="AF290">
        <v>4</v>
      </c>
      <c r="AG290">
        <v>80</v>
      </c>
      <c r="AH290">
        <v>1</v>
      </c>
      <c r="AI290">
        <v>5</v>
      </c>
      <c r="AJ290">
        <v>2</v>
      </c>
      <c r="AK290">
        <v>3</v>
      </c>
      <c r="AL290">
        <v>3</v>
      </c>
      <c r="AM290">
        <v>2</v>
      </c>
      <c r="AN290">
        <v>0</v>
      </c>
      <c r="AO290">
        <v>2</v>
      </c>
      <c r="AP29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90" t="str">
        <f>IF(HRData[[#This Row],[Attrition]]="Yes","Left", IF(HRData[[#This Row],[Attrition_Risk_Score]]&gt;=6,"High",IF(HRData[[#This Row],[Attrition_Risk_Score]]&gt;=3,"Medium","Low")))</f>
        <v>Left</v>
      </c>
      <c r="AR290" t="str">
        <f>IF(HRData[[#This Row],[Attrition_Risk_Level]]&lt;&gt;"High","",HRData[[#This Row],[Attrition_Risk_Score]]*10000-HRData[[#This Row],[EmployeeNumber]])</f>
        <v/>
      </c>
    </row>
    <row r="291" spans="1:44">
      <c r="A291">
        <v>28</v>
      </c>
      <c r="B291" t="str" cm="1">
        <f t="array" ref="B291">_xlfn.IFS(
HRData[[#This Row],[Age]]&lt;=24,"18-24",
HRData[[#This Row],[Age]]&lt;=34,"25-34",
HRData[[#This Row],[Age]]&lt;=44,"35-44",
HRData[[#This Row],[Age]]&lt;=54,"45-54",
HRData[[#This Row],[Age]]&gt;=55,"55+"
)</f>
        <v>25-34</v>
      </c>
      <c r="C291" t="s">
        <v>43</v>
      </c>
      <c r="D291">
        <f>IF(HRData[[#This Row],[Attrition]]="Yes",1,0)</f>
        <v>0</v>
      </c>
      <c r="E291" t="s">
        <v>36</v>
      </c>
      <c r="F291">
        <v>1117</v>
      </c>
      <c r="G291" t="s">
        <v>45</v>
      </c>
      <c r="H291">
        <v>8</v>
      </c>
      <c r="I291">
        <v>2</v>
      </c>
      <c r="J291" t="s">
        <v>38</v>
      </c>
      <c r="K291">
        <v>1</v>
      </c>
      <c r="L291">
        <v>395</v>
      </c>
      <c r="M291">
        <v>4</v>
      </c>
      <c r="N291" t="str" cm="1">
        <f t="array" ref="N291">_xlfn.IFS(HRData[[#This Row],[EnvironmentSatisfaction]]=1,"Very Dissatisfied",
HRData[[#This Row],[EnvironmentSatisfaction]]=2,"Dissatisfied",
HRData[[#This Row],[EnvironmentSatisfaction]]=3,"Satisfied",
HRData[[#This Row],[EnvironmentSatisfaction]]=4,"Very Satisfied"
)</f>
        <v>Very Satisfied</v>
      </c>
      <c r="O291" t="s">
        <v>39</v>
      </c>
      <c r="P291">
        <v>66</v>
      </c>
      <c r="Q291">
        <v>3</v>
      </c>
      <c r="R291">
        <v>1</v>
      </c>
      <c r="S291" t="s">
        <v>47</v>
      </c>
      <c r="T291">
        <v>4</v>
      </c>
      <c r="U291" t="str" cm="1">
        <f t="array" ref="U291">_xlfn.IFS(
HRData[[#This Row],[JobSatisfaction]]=1,"Very Dissatisfied",
HRData[[#This Row],[JobSatisfaction]]=2,"Dissatisfied",
HRData[[#This Row],[JobSatisfaction]]=3,"Satisfied",
HRData[[#This Row],[JobSatisfaction]]=4,"Very Satisfied"
)</f>
        <v>Very Satisfied</v>
      </c>
      <c r="V291" t="s">
        <v>41</v>
      </c>
      <c r="W291">
        <v>3310</v>
      </c>
      <c r="X291" t="str" cm="1">
        <f t="array" ref="X291">_xlfn.IFS(
HRData[[#This Row],[MonthlyIncome]]&lt;=4000,"Very Low Income",
HRData[[#This Row],[MonthlyIncome]]&lt;=8000,"Low Income",
HRData[[#This Row],[MonthlyIncome]]&lt;=12000,"Moderate Income",
HRData[[#This Row],[MonthlyIncome]]&lt;=16000,"High Income",
HRData[[#This Row],[MonthlyIncome]]&gt;16000,"Very High Income"
)</f>
        <v>Very Low Income</v>
      </c>
      <c r="Y291">
        <v>4488</v>
      </c>
      <c r="Z291">
        <v>1</v>
      </c>
      <c r="AA291" t="s">
        <v>42</v>
      </c>
      <c r="AB291" t="s">
        <v>43</v>
      </c>
      <c r="AC291">
        <v>21</v>
      </c>
      <c r="AD291" t="str" cm="1">
        <f t="array" ref="AD291">_xlfn.IFS(HRData[[#This Row],[PercentSalaryHike]]&lt;=15,"11-15",HRData[[#This Row],[PercentSalaryHike]]&lt;=20,"16-20",HRData[[#This Row],[PercentSalaryHike]]&gt;=21,"21+")</f>
        <v>21+</v>
      </c>
      <c r="AE291">
        <v>4</v>
      </c>
      <c r="AF291">
        <v>4</v>
      </c>
      <c r="AG291">
        <v>80</v>
      </c>
      <c r="AH291">
        <v>0</v>
      </c>
      <c r="AI291">
        <v>5</v>
      </c>
      <c r="AJ291">
        <v>3</v>
      </c>
      <c r="AK291">
        <v>3</v>
      </c>
      <c r="AL291">
        <v>5</v>
      </c>
      <c r="AM291">
        <v>3</v>
      </c>
      <c r="AN291">
        <v>0</v>
      </c>
      <c r="AO291">
        <v>2</v>
      </c>
      <c r="AP29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291" t="str">
        <f>IF(HRData[[#This Row],[Attrition]]="Yes","Left", IF(HRData[[#This Row],[Attrition_Risk_Score]]&gt;=6,"High",IF(HRData[[#This Row],[Attrition_Risk_Score]]&gt;=3,"Medium","Low")))</f>
        <v>Medium</v>
      </c>
      <c r="AR291" t="str">
        <f>IF(HRData[[#This Row],[Attrition_Risk_Level]]&lt;&gt;"High","",HRData[[#This Row],[Attrition_Risk_Score]]*10000-HRData[[#This Row],[EmployeeNumber]])</f>
        <v/>
      </c>
    </row>
    <row r="292" spans="1:44">
      <c r="A292">
        <v>49</v>
      </c>
      <c r="B292" t="str" cm="1">
        <f t="array" ref="B292">_xlfn.IFS(
HRData[[#This Row],[Age]]&lt;=24,"18-24",
HRData[[#This Row],[Age]]&lt;=34,"25-34",
HRData[[#This Row],[Age]]&lt;=44,"35-44",
HRData[[#This Row],[Age]]&lt;=54,"45-54",
HRData[[#This Row],[Age]]&gt;=55,"55+"
)</f>
        <v>45-54</v>
      </c>
      <c r="C292" t="s">
        <v>43</v>
      </c>
      <c r="D292">
        <f>IF(HRData[[#This Row],[Attrition]]="Yes",1,0)</f>
        <v>0</v>
      </c>
      <c r="E292" t="s">
        <v>44</v>
      </c>
      <c r="F292">
        <v>636</v>
      </c>
      <c r="G292" t="s">
        <v>45</v>
      </c>
      <c r="H292">
        <v>10</v>
      </c>
      <c r="I292">
        <v>4</v>
      </c>
      <c r="J292" t="s">
        <v>38</v>
      </c>
      <c r="K292">
        <v>1</v>
      </c>
      <c r="L292">
        <v>396</v>
      </c>
      <c r="M292">
        <v>3</v>
      </c>
      <c r="N292" t="str" cm="1">
        <f t="array" ref="N292">_xlfn.IFS(HRData[[#This Row],[EnvironmentSatisfaction]]=1,"Very Dissatisfied",
HRData[[#This Row],[EnvironmentSatisfaction]]=2,"Dissatisfied",
HRData[[#This Row],[EnvironmentSatisfaction]]=3,"Satisfied",
HRData[[#This Row],[EnvironmentSatisfaction]]=4,"Very Satisfied"
)</f>
        <v>Satisfied</v>
      </c>
      <c r="O292" t="s">
        <v>39</v>
      </c>
      <c r="P292">
        <v>35</v>
      </c>
      <c r="Q292">
        <v>3</v>
      </c>
      <c r="R292">
        <v>5</v>
      </c>
      <c r="S292" t="s">
        <v>58</v>
      </c>
      <c r="T292">
        <v>1</v>
      </c>
      <c r="U292" t="str" cm="1">
        <f t="array" ref="U292">_xlfn.IFS(
HRData[[#This Row],[JobSatisfaction]]=1,"Very Dissatisfied",
HRData[[#This Row],[JobSatisfaction]]=2,"Dissatisfied",
HRData[[#This Row],[JobSatisfaction]]=3,"Satisfied",
HRData[[#This Row],[JobSatisfaction]]=4,"Very Satisfied"
)</f>
        <v>Very Dissatisfied</v>
      </c>
      <c r="V292" t="s">
        <v>41</v>
      </c>
      <c r="W292">
        <v>18665</v>
      </c>
      <c r="X292" t="str" cm="1">
        <f t="array" ref="X292">_xlfn.IFS(
HRData[[#This Row],[MonthlyIncome]]&lt;=4000,"Very Low Income",
HRData[[#This Row],[MonthlyIncome]]&lt;=8000,"Low Income",
HRData[[#This Row],[MonthlyIncome]]&lt;=12000,"Moderate Income",
HRData[[#This Row],[MonthlyIncome]]&lt;=16000,"High Income",
HRData[[#This Row],[MonthlyIncome]]&gt;16000,"Very High Income"
)</f>
        <v>Very High Income</v>
      </c>
      <c r="Y292">
        <v>25594</v>
      </c>
      <c r="Z292">
        <v>9</v>
      </c>
      <c r="AA292" t="s">
        <v>42</v>
      </c>
      <c r="AB292" t="s">
        <v>35</v>
      </c>
      <c r="AC292">
        <v>11</v>
      </c>
      <c r="AD292" t="str" cm="1">
        <f t="array" ref="AD292">_xlfn.IFS(HRData[[#This Row],[PercentSalaryHike]]&lt;=15,"11-15",HRData[[#This Row],[PercentSalaryHike]]&lt;=20,"16-20",HRData[[#This Row],[PercentSalaryHike]]&gt;=21,"21+")</f>
        <v>11-15</v>
      </c>
      <c r="AE292">
        <v>3</v>
      </c>
      <c r="AF292">
        <v>4</v>
      </c>
      <c r="AG292">
        <v>80</v>
      </c>
      <c r="AH292">
        <v>0</v>
      </c>
      <c r="AI292">
        <v>22</v>
      </c>
      <c r="AJ292">
        <v>4</v>
      </c>
      <c r="AK292">
        <v>3</v>
      </c>
      <c r="AL292">
        <v>3</v>
      </c>
      <c r="AM292">
        <v>2</v>
      </c>
      <c r="AN292">
        <v>1</v>
      </c>
      <c r="AO292">
        <v>2</v>
      </c>
      <c r="AP29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292" t="str">
        <f>IF(HRData[[#This Row],[Attrition]]="Yes","Left", IF(HRData[[#This Row],[Attrition_Risk_Score]]&gt;=6,"High",IF(HRData[[#This Row],[Attrition_Risk_Score]]&gt;=3,"Medium","Low")))</f>
        <v>Medium</v>
      </c>
      <c r="AR292" t="str">
        <f>IF(HRData[[#This Row],[Attrition_Risk_Level]]&lt;&gt;"High","",HRData[[#This Row],[Attrition_Risk_Score]]*10000-HRData[[#This Row],[EmployeeNumber]])</f>
        <v/>
      </c>
    </row>
    <row r="293" spans="1:44">
      <c r="A293">
        <v>36</v>
      </c>
      <c r="B293" t="str" cm="1">
        <f t="array" ref="B293">_xlfn.IFS(
HRData[[#This Row],[Age]]&lt;=24,"18-24",
HRData[[#This Row],[Age]]&lt;=34,"25-34",
HRData[[#This Row],[Age]]&lt;=44,"35-44",
HRData[[#This Row],[Age]]&lt;=54,"45-54",
HRData[[#This Row],[Age]]&gt;=55,"55+"
)</f>
        <v>35-44</v>
      </c>
      <c r="C293" t="s">
        <v>43</v>
      </c>
      <c r="D293">
        <f>IF(HRData[[#This Row],[Attrition]]="Yes",1,0)</f>
        <v>0</v>
      </c>
      <c r="E293" t="s">
        <v>36</v>
      </c>
      <c r="F293">
        <v>506</v>
      </c>
      <c r="G293" t="s">
        <v>45</v>
      </c>
      <c r="H293">
        <v>3</v>
      </c>
      <c r="I293">
        <v>3</v>
      </c>
      <c r="J293" t="s">
        <v>60</v>
      </c>
      <c r="K293">
        <v>1</v>
      </c>
      <c r="L293">
        <v>397</v>
      </c>
      <c r="M293">
        <v>3</v>
      </c>
      <c r="N293" t="str" cm="1">
        <f t="array" ref="N293">_xlfn.IFS(HRData[[#This Row],[EnvironmentSatisfaction]]=1,"Very Dissatisfied",
HRData[[#This Row],[EnvironmentSatisfaction]]=2,"Dissatisfied",
HRData[[#This Row],[EnvironmentSatisfaction]]=3,"Satisfied",
HRData[[#This Row],[EnvironmentSatisfaction]]=4,"Very Satisfied"
)</f>
        <v>Satisfied</v>
      </c>
      <c r="O293" t="s">
        <v>46</v>
      </c>
      <c r="P293">
        <v>30</v>
      </c>
      <c r="Q293">
        <v>3</v>
      </c>
      <c r="R293">
        <v>2</v>
      </c>
      <c r="S293" t="s">
        <v>47</v>
      </c>
      <c r="T293">
        <v>2</v>
      </c>
      <c r="U293" t="str" cm="1">
        <f t="array" ref="U293">_xlfn.IFS(
HRData[[#This Row],[JobSatisfaction]]=1,"Very Dissatisfied",
HRData[[#This Row],[JobSatisfaction]]=2,"Dissatisfied",
HRData[[#This Row],[JobSatisfaction]]=3,"Satisfied",
HRData[[#This Row],[JobSatisfaction]]=4,"Very Satisfied"
)</f>
        <v>Dissatisfied</v>
      </c>
      <c r="V293" t="s">
        <v>41</v>
      </c>
      <c r="W293">
        <v>4485</v>
      </c>
      <c r="X293" t="str" cm="1">
        <f t="array" ref="X293">_xlfn.IFS(
HRData[[#This Row],[MonthlyIncome]]&lt;=4000,"Very Low Income",
HRData[[#This Row],[MonthlyIncome]]&lt;=8000,"Low Income",
HRData[[#This Row],[MonthlyIncome]]&lt;=12000,"Moderate Income",
HRData[[#This Row],[MonthlyIncome]]&lt;=16000,"High Income",
HRData[[#This Row],[MonthlyIncome]]&gt;16000,"Very High Income"
)</f>
        <v>Low Income</v>
      </c>
      <c r="Y293">
        <v>26285</v>
      </c>
      <c r="Z293">
        <v>4</v>
      </c>
      <c r="AA293" t="s">
        <v>42</v>
      </c>
      <c r="AB293" t="s">
        <v>43</v>
      </c>
      <c r="AC293">
        <v>12</v>
      </c>
      <c r="AD293" t="str" cm="1">
        <f t="array" ref="AD293">_xlfn.IFS(HRData[[#This Row],[PercentSalaryHike]]&lt;=15,"11-15",HRData[[#This Row],[PercentSalaryHike]]&lt;=20,"16-20",HRData[[#This Row],[PercentSalaryHike]]&gt;=21,"21+")</f>
        <v>11-15</v>
      </c>
      <c r="AE293">
        <v>3</v>
      </c>
      <c r="AF293">
        <v>4</v>
      </c>
      <c r="AG293">
        <v>80</v>
      </c>
      <c r="AH293">
        <v>0</v>
      </c>
      <c r="AI293">
        <v>10</v>
      </c>
      <c r="AJ293">
        <v>2</v>
      </c>
      <c r="AK293">
        <v>3</v>
      </c>
      <c r="AL293">
        <v>8</v>
      </c>
      <c r="AM293">
        <v>0</v>
      </c>
      <c r="AN293">
        <v>7</v>
      </c>
      <c r="AO293">
        <v>7</v>
      </c>
      <c r="AP29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293" t="str">
        <f>IF(HRData[[#This Row],[Attrition]]="Yes","Left", IF(HRData[[#This Row],[Attrition_Risk_Score]]&gt;=6,"High",IF(HRData[[#This Row],[Attrition_Risk_Score]]&gt;=3,"Medium","Low")))</f>
        <v>Low</v>
      </c>
      <c r="AR293" t="str">
        <f>IF(HRData[[#This Row],[Attrition_Risk_Level]]&lt;&gt;"High","",HRData[[#This Row],[Attrition_Risk_Score]]*10000-HRData[[#This Row],[EmployeeNumber]])</f>
        <v/>
      </c>
    </row>
    <row r="294" spans="1:44">
      <c r="A294">
        <v>31</v>
      </c>
      <c r="B294" t="str" cm="1">
        <f t="array" ref="B294">_xlfn.IFS(
HRData[[#This Row],[Age]]&lt;=24,"18-24",
HRData[[#This Row],[Age]]&lt;=34,"25-34",
HRData[[#This Row],[Age]]&lt;=44,"35-44",
HRData[[#This Row],[Age]]&lt;=54,"45-54",
HRData[[#This Row],[Age]]&gt;=55,"55+"
)</f>
        <v>25-34</v>
      </c>
      <c r="C294" t="s">
        <v>43</v>
      </c>
      <c r="D294">
        <f>IF(HRData[[#This Row],[Attrition]]="Yes",1,0)</f>
        <v>0</v>
      </c>
      <c r="E294" t="s">
        <v>44</v>
      </c>
      <c r="F294">
        <v>444</v>
      </c>
      <c r="G294" t="s">
        <v>37</v>
      </c>
      <c r="H294">
        <v>5</v>
      </c>
      <c r="I294">
        <v>3</v>
      </c>
      <c r="J294" t="s">
        <v>59</v>
      </c>
      <c r="K294">
        <v>1</v>
      </c>
      <c r="L294">
        <v>399</v>
      </c>
      <c r="M294">
        <v>4</v>
      </c>
      <c r="N294" t="str" cm="1">
        <f t="array" ref="N294">_xlfn.IFS(HRData[[#This Row],[EnvironmentSatisfaction]]=1,"Very Dissatisfied",
HRData[[#This Row],[EnvironmentSatisfaction]]=2,"Dissatisfied",
HRData[[#This Row],[EnvironmentSatisfaction]]=3,"Satisfied",
HRData[[#This Row],[EnvironmentSatisfaction]]=4,"Very Satisfied"
)</f>
        <v>Very Satisfied</v>
      </c>
      <c r="O294" t="s">
        <v>39</v>
      </c>
      <c r="P294">
        <v>84</v>
      </c>
      <c r="Q294">
        <v>3</v>
      </c>
      <c r="R294">
        <v>1</v>
      </c>
      <c r="S294" t="s">
        <v>57</v>
      </c>
      <c r="T294">
        <v>2</v>
      </c>
      <c r="U294" t="str" cm="1">
        <f t="array" ref="U294">_xlfn.IFS(
HRData[[#This Row],[JobSatisfaction]]=1,"Very Dissatisfied",
HRData[[#This Row],[JobSatisfaction]]=2,"Dissatisfied",
HRData[[#This Row],[JobSatisfaction]]=3,"Satisfied",
HRData[[#This Row],[JobSatisfaction]]=4,"Very Satisfied"
)</f>
        <v>Dissatisfied</v>
      </c>
      <c r="V294" t="s">
        <v>52</v>
      </c>
      <c r="W294">
        <v>2789</v>
      </c>
      <c r="X294" t="str" cm="1">
        <f t="array" ref="X294">_xlfn.IFS(
HRData[[#This Row],[MonthlyIncome]]&lt;=4000,"Very Low Income",
HRData[[#This Row],[MonthlyIncome]]&lt;=8000,"Low Income",
HRData[[#This Row],[MonthlyIncome]]&lt;=12000,"Moderate Income",
HRData[[#This Row],[MonthlyIncome]]&lt;=16000,"High Income",
HRData[[#This Row],[MonthlyIncome]]&gt;16000,"Very High Income"
)</f>
        <v>Very Low Income</v>
      </c>
      <c r="Y294">
        <v>3909</v>
      </c>
      <c r="Z294">
        <v>1</v>
      </c>
      <c r="AA294" t="s">
        <v>42</v>
      </c>
      <c r="AB294" t="s">
        <v>43</v>
      </c>
      <c r="AC294">
        <v>11</v>
      </c>
      <c r="AD294" t="str" cm="1">
        <f t="array" ref="AD294">_xlfn.IFS(HRData[[#This Row],[PercentSalaryHike]]&lt;=15,"11-15",HRData[[#This Row],[PercentSalaryHike]]&lt;=20,"16-20",HRData[[#This Row],[PercentSalaryHike]]&gt;=21,"21+")</f>
        <v>11-15</v>
      </c>
      <c r="AE294">
        <v>3</v>
      </c>
      <c r="AF294">
        <v>3</v>
      </c>
      <c r="AG294">
        <v>80</v>
      </c>
      <c r="AH294">
        <v>1</v>
      </c>
      <c r="AI294">
        <v>2</v>
      </c>
      <c r="AJ294">
        <v>5</v>
      </c>
      <c r="AK294">
        <v>2</v>
      </c>
      <c r="AL294">
        <v>2</v>
      </c>
      <c r="AM294">
        <v>2</v>
      </c>
      <c r="AN294">
        <v>2</v>
      </c>
      <c r="AO294">
        <v>2</v>
      </c>
      <c r="AP29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294" t="str">
        <f>IF(HRData[[#This Row],[Attrition]]="Yes","Left", IF(HRData[[#This Row],[Attrition_Risk_Score]]&gt;=6,"High",IF(HRData[[#This Row],[Attrition_Risk_Score]]&gt;=3,"Medium","Low")))</f>
        <v>Medium</v>
      </c>
      <c r="AR294" t="str">
        <f>IF(HRData[[#This Row],[Attrition_Risk_Level]]&lt;&gt;"High","",HRData[[#This Row],[Attrition_Risk_Score]]*10000-HRData[[#This Row],[EmployeeNumber]])</f>
        <v/>
      </c>
    </row>
    <row r="295" spans="1:44">
      <c r="A295">
        <v>26</v>
      </c>
      <c r="B295" t="str" cm="1">
        <f t="array" ref="B295">_xlfn.IFS(
HRData[[#This Row],[Age]]&lt;=24,"18-24",
HRData[[#This Row],[Age]]&lt;=34,"25-34",
HRData[[#This Row],[Age]]&lt;=44,"35-44",
HRData[[#This Row],[Age]]&lt;=54,"45-54",
HRData[[#This Row],[Age]]&gt;=55,"55+"
)</f>
        <v>25-34</v>
      </c>
      <c r="C295" t="s">
        <v>35</v>
      </c>
      <c r="D295">
        <f>IF(HRData[[#This Row],[Attrition]]="Yes",1,0)</f>
        <v>1</v>
      </c>
      <c r="E295" t="s">
        <v>36</v>
      </c>
      <c r="F295">
        <v>950</v>
      </c>
      <c r="G295" t="s">
        <v>37</v>
      </c>
      <c r="H295">
        <v>4</v>
      </c>
      <c r="I295">
        <v>4</v>
      </c>
      <c r="J295" t="s">
        <v>59</v>
      </c>
      <c r="K295">
        <v>1</v>
      </c>
      <c r="L295">
        <v>401</v>
      </c>
      <c r="M295">
        <v>4</v>
      </c>
      <c r="N295" t="str" cm="1">
        <f t="array" ref="N295">_xlfn.IFS(HRData[[#This Row],[EnvironmentSatisfaction]]=1,"Very Dissatisfied",
HRData[[#This Row],[EnvironmentSatisfaction]]=2,"Dissatisfied",
HRData[[#This Row],[EnvironmentSatisfaction]]=3,"Satisfied",
HRData[[#This Row],[EnvironmentSatisfaction]]=4,"Very Satisfied"
)</f>
        <v>Very Satisfied</v>
      </c>
      <c r="O295" t="s">
        <v>46</v>
      </c>
      <c r="P295">
        <v>48</v>
      </c>
      <c r="Q295">
        <v>2</v>
      </c>
      <c r="R295">
        <v>2</v>
      </c>
      <c r="S295" t="s">
        <v>40</v>
      </c>
      <c r="T295">
        <v>4</v>
      </c>
      <c r="U295" t="str" cm="1">
        <f t="array" ref="U295">_xlfn.IFS(
HRData[[#This Row],[JobSatisfaction]]=1,"Very Dissatisfied",
HRData[[#This Row],[JobSatisfaction]]=2,"Dissatisfied",
HRData[[#This Row],[JobSatisfaction]]=3,"Satisfied",
HRData[[#This Row],[JobSatisfaction]]=4,"Very Satisfied"
)</f>
        <v>Very Satisfied</v>
      </c>
      <c r="V295" t="s">
        <v>41</v>
      </c>
      <c r="W295">
        <v>5828</v>
      </c>
      <c r="X295" t="str" cm="1">
        <f t="array" ref="X295">_xlfn.IFS(
HRData[[#This Row],[MonthlyIncome]]&lt;=4000,"Very Low Income",
HRData[[#This Row],[MonthlyIncome]]&lt;=8000,"Low Income",
HRData[[#This Row],[MonthlyIncome]]&lt;=12000,"Moderate Income",
HRData[[#This Row],[MonthlyIncome]]&lt;=16000,"High Income",
HRData[[#This Row],[MonthlyIncome]]&gt;16000,"Very High Income"
)</f>
        <v>Low Income</v>
      </c>
      <c r="Y295">
        <v>8450</v>
      </c>
      <c r="Z295">
        <v>1</v>
      </c>
      <c r="AA295" t="s">
        <v>42</v>
      </c>
      <c r="AB295" t="s">
        <v>35</v>
      </c>
      <c r="AC295">
        <v>12</v>
      </c>
      <c r="AD295" t="str" cm="1">
        <f t="array" ref="AD295">_xlfn.IFS(HRData[[#This Row],[PercentSalaryHike]]&lt;=15,"11-15",HRData[[#This Row],[PercentSalaryHike]]&lt;=20,"16-20",HRData[[#This Row],[PercentSalaryHike]]&gt;=21,"21+")</f>
        <v>11-15</v>
      </c>
      <c r="AE295">
        <v>3</v>
      </c>
      <c r="AF295">
        <v>2</v>
      </c>
      <c r="AG295">
        <v>80</v>
      </c>
      <c r="AH295">
        <v>0</v>
      </c>
      <c r="AI295">
        <v>8</v>
      </c>
      <c r="AJ295">
        <v>0</v>
      </c>
      <c r="AK295">
        <v>3</v>
      </c>
      <c r="AL295">
        <v>8</v>
      </c>
      <c r="AM295">
        <v>7</v>
      </c>
      <c r="AN295">
        <v>7</v>
      </c>
      <c r="AO295">
        <v>4</v>
      </c>
      <c r="AP29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95" t="str">
        <f>IF(HRData[[#This Row],[Attrition]]="Yes","Left", IF(HRData[[#This Row],[Attrition_Risk_Score]]&gt;=6,"High",IF(HRData[[#This Row],[Attrition_Risk_Score]]&gt;=3,"Medium","Low")))</f>
        <v>Left</v>
      </c>
      <c r="AR295" t="str">
        <f>IF(HRData[[#This Row],[Attrition_Risk_Level]]&lt;&gt;"High","",HRData[[#This Row],[Attrition_Risk_Score]]*10000-HRData[[#This Row],[EmployeeNumber]])</f>
        <v/>
      </c>
    </row>
    <row r="296" spans="1:44">
      <c r="A296">
        <v>37</v>
      </c>
      <c r="B296" t="str" cm="1">
        <f t="array" ref="B296">_xlfn.IFS(
HRData[[#This Row],[Age]]&lt;=24,"18-24",
HRData[[#This Row],[Age]]&lt;=34,"25-34",
HRData[[#This Row],[Age]]&lt;=44,"35-44",
HRData[[#This Row],[Age]]&lt;=54,"45-54",
HRData[[#This Row],[Age]]&gt;=55,"55+"
)</f>
        <v>35-44</v>
      </c>
      <c r="C296" t="s">
        <v>43</v>
      </c>
      <c r="D296">
        <f>IF(HRData[[#This Row],[Attrition]]="Yes",1,0)</f>
        <v>0</v>
      </c>
      <c r="E296" t="s">
        <v>44</v>
      </c>
      <c r="F296">
        <v>889</v>
      </c>
      <c r="G296" t="s">
        <v>45</v>
      </c>
      <c r="H296">
        <v>9</v>
      </c>
      <c r="I296">
        <v>3</v>
      </c>
      <c r="J296" t="s">
        <v>51</v>
      </c>
      <c r="K296">
        <v>1</v>
      </c>
      <c r="L296">
        <v>403</v>
      </c>
      <c r="M296">
        <v>2</v>
      </c>
      <c r="N296" t="str" cm="1">
        <f t="array" ref="N296">_xlfn.IFS(HRData[[#This Row],[EnvironmentSatisfaction]]=1,"Very Dissatisfied",
HRData[[#This Row],[EnvironmentSatisfaction]]=2,"Dissatisfied",
HRData[[#This Row],[EnvironmentSatisfaction]]=3,"Satisfied",
HRData[[#This Row],[EnvironmentSatisfaction]]=4,"Very Satisfied"
)</f>
        <v>Dissatisfied</v>
      </c>
      <c r="O296" t="s">
        <v>46</v>
      </c>
      <c r="P296">
        <v>53</v>
      </c>
      <c r="Q296">
        <v>3</v>
      </c>
      <c r="R296">
        <v>1</v>
      </c>
      <c r="S296" t="s">
        <v>47</v>
      </c>
      <c r="T296">
        <v>4</v>
      </c>
      <c r="U296" t="str" cm="1">
        <f t="array" ref="U296">_xlfn.IFS(
HRData[[#This Row],[JobSatisfaction]]=1,"Very Dissatisfied",
HRData[[#This Row],[JobSatisfaction]]=2,"Dissatisfied",
HRData[[#This Row],[JobSatisfaction]]=3,"Satisfied",
HRData[[#This Row],[JobSatisfaction]]=4,"Very Satisfied"
)</f>
        <v>Very Satisfied</v>
      </c>
      <c r="V296" t="s">
        <v>48</v>
      </c>
      <c r="W296">
        <v>2326</v>
      </c>
      <c r="X296" t="str" cm="1">
        <f t="array" ref="X296">_xlfn.IFS(
HRData[[#This Row],[MonthlyIncome]]&lt;=4000,"Very Low Income",
HRData[[#This Row],[MonthlyIncome]]&lt;=8000,"Low Income",
HRData[[#This Row],[MonthlyIncome]]&lt;=12000,"Moderate Income",
HRData[[#This Row],[MonthlyIncome]]&lt;=16000,"High Income",
HRData[[#This Row],[MonthlyIncome]]&gt;16000,"Very High Income"
)</f>
        <v>Very Low Income</v>
      </c>
      <c r="Y296">
        <v>11411</v>
      </c>
      <c r="Z296">
        <v>1</v>
      </c>
      <c r="AA296" t="s">
        <v>42</v>
      </c>
      <c r="AB296" t="s">
        <v>35</v>
      </c>
      <c r="AC296">
        <v>12</v>
      </c>
      <c r="AD296" t="str" cm="1">
        <f t="array" ref="AD296">_xlfn.IFS(HRData[[#This Row],[PercentSalaryHike]]&lt;=15,"11-15",HRData[[#This Row],[PercentSalaryHike]]&lt;=20,"16-20",HRData[[#This Row],[PercentSalaryHike]]&gt;=21,"21+")</f>
        <v>11-15</v>
      </c>
      <c r="AE296">
        <v>3</v>
      </c>
      <c r="AF296">
        <v>3</v>
      </c>
      <c r="AG296">
        <v>80</v>
      </c>
      <c r="AH296">
        <v>3</v>
      </c>
      <c r="AI296">
        <v>4</v>
      </c>
      <c r="AJ296">
        <v>3</v>
      </c>
      <c r="AK296">
        <v>2</v>
      </c>
      <c r="AL296">
        <v>4</v>
      </c>
      <c r="AM296">
        <v>2</v>
      </c>
      <c r="AN296">
        <v>1</v>
      </c>
      <c r="AO296">
        <v>2</v>
      </c>
      <c r="AP29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296" t="str">
        <f>IF(HRData[[#This Row],[Attrition]]="Yes","Left", IF(HRData[[#This Row],[Attrition_Risk_Score]]&gt;=6,"High",IF(HRData[[#This Row],[Attrition_Risk_Score]]&gt;=3,"Medium","Low")))</f>
        <v>Medium</v>
      </c>
      <c r="AR296" t="str">
        <f>IF(HRData[[#This Row],[Attrition_Risk_Level]]&lt;&gt;"High","",HRData[[#This Row],[Attrition_Risk_Score]]*10000-HRData[[#This Row],[EmployeeNumber]])</f>
        <v/>
      </c>
    </row>
    <row r="297" spans="1:44">
      <c r="A297">
        <v>42</v>
      </c>
      <c r="B297" t="str" cm="1">
        <f t="array" ref="B297">_xlfn.IFS(
HRData[[#This Row],[Age]]&lt;=24,"18-24",
HRData[[#This Row],[Age]]&lt;=34,"25-34",
HRData[[#This Row],[Age]]&lt;=44,"35-44",
HRData[[#This Row],[Age]]&lt;=54,"45-54",
HRData[[#This Row],[Age]]&gt;=55,"55+"
)</f>
        <v>35-44</v>
      </c>
      <c r="C297" t="s">
        <v>43</v>
      </c>
      <c r="D297">
        <f>IF(HRData[[#This Row],[Attrition]]="Yes",1,0)</f>
        <v>0</v>
      </c>
      <c r="E297" t="s">
        <v>44</v>
      </c>
      <c r="F297">
        <v>555</v>
      </c>
      <c r="G297" t="s">
        <v>37</v>
      </c>
      <c r="H297">
        <v>26</v>
      </c>
      <c r="I297">
        <v>3</v>
      </c>
      <c r="J297" t="s">
        <v>59</v>
      </c>
      <c r="K297">
        <v>1</v>
      </c>
      <c r="L297">
        <v>404</v>
      </c>
      <c r="M297">
        <v>3</v>
      </c>
      <c r="N297" t="str" cm="1">
        <f t="array" ref="N297">_xlfn.IFS(HRData[[#This Row],[EnvironmentSatisfaction]]=1,"Very Dissatisfied",
HRData[[#This Row],[EnvironmentSatisfaction]]=2,"Dissatisfied",
HRData[[#This Row],[EnvironmentSatisfaction]]=3,"Satisfied",
HRData[[#This Row],[EnvironmentSatisfaction]]=4,"Very Satisfied"
)</f>
        <v>Satisfied</v>
      </c>
      <c r="O297" t="s">
        <v>39</v>
      </c>
      <c r="P297">
        <v>77</v>
      </c>
      <c r="Q297">
        <v>3</v>
      </c>
      <c r="R297">
        <v>4</v>
      </c>
      <c r="S297" t="s">
        <v>40</v>
      </c>
      <c r="T297">
        <v>2</v>
      </c>
      <c r="U297" t="str" cm="1">
        <f t="array" ref="U297">_xlfn.IFS(
HRData[[#This Row],[JobSatisfaction]]=1,"Very Dissatisfied",
HRData[[#This Row],[JobSatisfaction]]=2,"Dissatisfied",
HRData[[#This Row],[JobSatisfaction]]=3,"Satisfied",
HRData[[#This Row],[JobSatisfaction]]=4,"Very Satisfied"
)</f>
        <v>Dissatisfied</v>
      </c>
      <c r="V297" t="s">
        <v>48</v>
      </c>
      <c r="W297">
        <v>13525</v>
      </c>
      <c r="X297" t="str" cm="1">
        <f t="array" ref="X297">_xlfn.IFS(
HRData[[#This Row],[MonthlyIncome]]&lt;=4000,"Very Low Income",
HRData[[#This Row],[MonthlyIncome]]&lt;=8000,"Low Income",
HRData[[#This Row],[MonthlyIncome]]&lt;=12000,"Moderate Income",
HRData[[#This Row],[MonthlyIncome]]&lt;=16000,"High Income",
HRData[[#This Row],[MonthlyIncome]]&gt;16000,"Very High Income"
)</f>
        <v>High Income</v>
      </c>
      <c r="Y297">
        <v>14864</v>
      </c>
      <c r="Z297">
        <v>5</v>
      </c>
      <c r="AA297" t="s">
        <v>42</v>
      </c>
      <c r="AB297" t="s">
        <v>43</v>
      </c>
      <c r="AC297">
        <v>14</v>
      </c>
      <c r="AD297" t="str" cm="1">
        <f t="array" ref="AD297">_xlfn.IFS(HRData[[#This Row],[PercentSalaryHike]]&lt;=15,"11-15",HRData[[#This Row],[PercentSalaryHike]]&lt;=20,"16-20",HRData[[#This Row],[PercentSalaryHike]]&gt;=21,"21+")</f>
        <v>11-15</v>
      </c>
      <c r="AE297">
        <v>3</v>
      </c>
      <c r="AF297">
        <v>4</v>
      </c>
      <c r="AG297">
        <v>80</v>
      </c>
      <c r="AH297">
        <v>1</v>
      </c>
      <c r="AI297">
        <v>23</v>
      </c>
      <c r="AJ297">
        <v>2</v>
      </c>
      <c r="AK297">
        <v>4</v>
      </c>
      <c r="AL297">
        <v>20</v>
      </c>
      <c r="AM297">
        <v>4</v>
      </c>
      <c r="AN297">
        <v>4</v>
      </c>
      <c r="AO297">
        <v>8</v>
      </c>
      <c r="AP29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297" t="str">
        <f>IF(HRData[[#This Row],[Attrition]]="Yes","Left", IF(HRData[[#This Row],[Attrition_Risk_Score]]&gt;=6,"High",IF(HRData[[#This Row],[Attrition_Risk_Score]]&gt;=3,"Medium","Low")))</f>
        <v>Low</v>
      </c>
      <c r="AR297" t="str">
        <f>IF(HRData[[#This Row],[Attrition_Risk_Level]]&lt;&gt;"High","",HRData[[#This Row],[Attrition_Risk_Score]]*10000-HRData[[#This Row],[EmployeeNumber]])</f>
        <v/>
      </c>
    </row>
    <row r="298" spans="1:44">
      <c r="A298">
        <v>18</v>
      </c>
      <c r="B298" t="str" cm="1">
        <f t="array" ref="B298">_xlfn.IFS(
HRData[[#This Row],[Age]]&lt;=24,"18-24",
HRData[[#This Row],[Age]]&lt;=34,"25-34",
HRData[[#This Row],[Age]]&lt;=44,"35-44",
HRData[[#This Row],[Age]]&lt;=54,"45-54",
HRData[[#This Row],[Age]]&gt;=55,"55+"
)</f>
        <v>18-24</v>
      </c>
      <c r="C298" t="s">
        <v>35</v>
      </c>
      <c r="D298">
        <f>IF(HRData[[#This Row],[Attrition]]="Yes",1,0)</f>
        <v>1</v>
      </c>
      <c r="E298" t="s">
        <v>36</v>
      </c>
      <c r="F298">
        <v>230</v>
      </c>
      <c r="G298" t="s">
        <v>45</v>
      </c>
      <c r="H298">
        <v>3</v>
      </c>
      <c r="I298">
        <v>3</v>
      </c>
      <c r="J298" t="s">
        <v>38</v>
      </c>
      <c r="K298">
        <v>1</v>
      </c>
      <c r="L298">
        <v>405</v>
      </c>
      <c r="M298">
        <v>3</v>
      </c>
      <c r="N298" t="str" cm="1">
        <f t="array" ref="N298">_xlfn.IFS(HRData[[#This Row],[EnvironmentSatisfaction]]=1,"Very Dissatisfied",
HRData[[#This Row],[EnvironmentSatisfaction]]=2,"Dissatisfied",
HRData[[#This Row],[EnvironmentSatisfaction]]=3,"Satisfied",
HRData[[#This Row],[EnvironmentSatisfaction]]=4,"Very Satisfied"
)</f>
        <v>Satisfied</v>
      </c>
      <c r="O298" t="s">
        <v>46</v>
      </c>
      <c r="P298">
        <v>54</v>
      </c>
      <c r="Q298">
        <v>3</v>
      </c>
      <c r="R298">
        <v>1</v>
      </c>
      <c r="S298" t="s">
        <v>50</v>
      </c>
      <c r="T298">
        <v>3</v>
      </c>
      <c r="U298" t="str" cm="1">
        <f t="array" ref="U298">_xlfn.IFS(
HRData[[#This Row],[JobSatisfaction]]=1,"Very Dissatisfied",
HRData[[#This Row],[JobSatisfaction]]=2,"Dissatisfied",
HRData[[#This Row],[JobSatisfaction]]=3,"Satisfied",
HRData[[#This Row],[JobSatisfaction]]=4,"Very Satisfied"
)</f>
        <v>Satisfied</v>
      </c>
      <c r="V298" t="s">
        <v>41</v>
      </c>
      <c r="W298">
        <v>1420</v>
      </c>
      <c r="X298" t="str" cm="1">
        <f t="array" ref="X298">_xlfn.IFS(
HRData[[#This Row],[MonthlyIncome]]&lt;=4000,"Very Low Income",
HRData[[#This Row],[MonthlyIncome]]&lt;=8000,"Low Income",
HRData[[#This Row],[MonthlyIncome]]&lt;=12000,"Moderate Income",
HRData[[#This Row],[MonthlyIncome]]&lt;=16000,"High Income",
HRData[[#This Row],[MonthlyIncome]]&gt;16000,"Very High Income"
)</f>
        <v>Very Low Income</v>
      </c>
      <c r="Y298">
        <v>25233</v>
      </c>
      <c r="Z298">
        <v>1</v>
      </c>
      <c r="AA298" t="s">
        <v>42</v>
      </c>
      <c r="AB298" t="s">
        <v>43</v>
      </c>
      <c r="AC298">
        <v>13</v>
      </c>
      <c r="AD298" t="str" cm="1">
        <f t="array" ref="AD298">_xlfn.IFS(HRData[[#This Row],[PercentSalaryHike]]&lt;=15,"11-15",HRData[[#This Row],[PercentSalaryHike]]&lt;=20,"16-20",HRData[[#This Row],[PercentSalaryHike]]&gt;=21,"21+")</f>
        <v>11-15</v>
      </c>
      <c r="AE298">
        <v>3</v>
      </c>
      <c r="AF298">
        <v>3</v>
      </c>
      <c r="AG298">
        <v>80</v>
      </c>
      <c r="AH298">
        <v>0</v>
      </c>
      <c r="AI298">
        <v>0</v>
      </c>
      <c r="AJ298">
        <v>2</v>
      </c>
      <c r="AK298">
        <v>3</v>
      </c>
      <c r="AL298">
        <v>0</v>
      </c>
      <c r="AM298">
        <v>0</v>
      </c>
      <c r="AN298">
        <v>0</v>
      </c>
      <c r="AO298">
        <v>0</v>
      </c>
      <c r="AP29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98" t="str">
        <f>IF(HRData[[#This Row],[Attrition]]="Yes","Left", IF(HRData[[#This Row],[Attrition_Risk_Score]]&gt;=6,"High",IF(HRData[[#This Row],[Attrition_Risk_Score]]&gt;=3,"Medium","Low")))</f>
        <v>Left</v>
      </c>
      <c r="AR298" t="str">
        <f>IF(HRData[[#This Row],[Attrition_Risk_Level]]&lt;&gt;"High","",HRData[[#This Row],[Attrition_Risk_Score]]*10000-HRData[[#This Row],[EmployeeNumber]])</f>
        <v/>
      </c>
    </row>
    <row r="299" spans="1:44">
      <c r="A299">
        <v>35</v>
      </c>
      <c r="B299" t="str" cm="1">
        <f t="array" ref="B299">_xlfn.IFS(
HRData[[#This Row],[Age]]&lt;=24,"18-24",
HRData[[#This Row],[Age]]&lt;=34,"25-34",
HRData[[#This Row],[Age]]&lt;=44,"35-44",
HRData[[#This Row],[Age]]&lt;=54,"45-54",
HRData[[#This Row],[Age]]&gt;=55,"55+"
)</f>
        <v>35-44</v>
      </c>
      <c r="C299" t="s">
        <v>43</v>
      </c>
      <c r="D299">
        <f>IF(HRData[[#This Row],[Attrition]]="Yes",1,0)</f>
        <v>0</v>
      </c>
      <c r="E299" t="s">
        <v>36</v>
      </c>
      <c r="F299">
        <v>1232</v>
      </c>
      <c r="G299" t="s">
        <v>37</v>
      </c>
      <c r="H299">
        <v>16</v>
      </c>
      <c r="I299">
        <v>3</v>
      </c>
      <c r="J299" t="s">
        <v>59</v>
      </c>
      <c r="K299">
        <v>1</v>
      </c>
      <c r="L299">
        <v>406</v>
      </c>
      <c r="M299">
        <v>3</v>
      </c>
      <c r="N299" t="str" cm="1">
        <f t="array" ref="N299">_xlfn.IFS(HRData[[#This Row],[EnvironmentSatisfaction]]=1,"Very Dissatisfied",
HRData[[#This Row],[EnvironmentSatisfaction]]=2,"Dissatisfied",
HRData[[#This Row],[EnvironmentSatisfaction]]=3,"Satisfied",
HRData[[#This Row],[EnvironmentSatisfaction]]=4,"Very Satisfied"
)</f>
        <v>Satisfied</v>
      </c>
      <c r="O299" t="s">
        <v>46</v>
      </c>
      <c r="P299">
        <v>96</v>
      </c>
      <c r="Q299">
        <v>3</v>
      </c>
      <c r="R299">
        <v>3</v>
      </c>
      <c r="S299" t="s">
        <v>40</v>
      </c>
      <c r="T299">
        <v>2</v>
      </c>
      <c r="U299" t="str" cm="1">
        <f t="array" ref="U299">_xlfn.IFS(
HRData[[#This Row],[JobSatisfaction]]=1,"Very Dissatisfied",
HRData[[#This Row],[JobSatisfaction]]=2,"Dissatisfied",
HRData[[#This Row],[JobSatisfaction]]=3,"Satisfied",
HRData[[#This Row],[JobSatisfaction]]=4,"Very Satisfied"
)</f>
        <v>Dissatisfied</v>
      </c>
      <c r="V299" t="s">
        <v>48</v>
      </c>
      <c r="W299">
        <v>8020</v>
      </c>
      <c r="X299" t="str" cm="1">
        <f t="array" ref="X299">_xlfn.IFS(
HRData[[#This Row],[MonthlyIncome]]&lt;=4000,"Very Low Income",
HRData[[#This Row],[MonthlyIncome]]&lt;=8000,"Low Income",
HRData[[#This Row],[MonthlyIncome]]&lt;=12000,"Moderate Income",
HRData[[#This Row],[MonthlyIncome]]&lt;=16000,"High Income",
HRData[[#This Row],[MonthlyIncome]]&gt;16000,"Very High Income"
)</f>
        <v>Moderate Income</v>
      </c>
      <c r="Y299">
        <v>5100</v>
      </c>
      <c r="Z299">
        <v>0</v>
      </c>
      <c r="AA299" t="s">
        <v>42</v>
      </c>
      <c r="AB299" t="s">
        <v>43</v>
      </c>
      <c r="AC299">
        <v>15</v>
      </c>
      <c r="AD299" t="str" cm="1">
        <f t="array" ref="AD299">_xlfn.IFS(HRData[[#This Row],[PercentSalaryHike]]&lt;=15,"11-15",HRData[[#This Row],[PercentSalaryHike]]&lt;=20,"16-20",HRData[[#This Row],[PercentSalaryHike]]&gt;=21,"21+")</f>
        <v>11-15</v>
      </c>
      <c r="AE299">
        <v>3</v>
      </c>
      <c r="AF299">
        <v>3</v>
      </c>
      <c r="AG299">
        <v>80</v>
      </c>
      <c r="AH299">
        <v>2</v>
      </c>
      <c r="AI299">
        <v>12</v>
      </c>
      <c r="AJ299">
        <v>3</v>
      </c>
      <c r="AK299">
        <v>2</v>
      </c>
      <c r="AL299">
        <v>11</v>
      </c>
      <c r="AM299">
        <v>9</v>
      </c>
      <c r="AN299">
        <v>6</v>
      </c>
      <c r="AO299">
        <v>9</v>
      </c>
      <c r="AP29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299" t="str">
        <f>IF(HRData[[#This Row],[Attrition]]="Yes","Left", IF(HRData[[#This Row],[Attrition_Risk_Score]]&gt;=6,"High",IF(HRData[[#This Row],[Attrition_Risk_Score]]&gt;=3,"Medium","Low")))</f>
        <v>Low</v>
      </c>
      <c r="AR299" t="str">
        <f>IF(HRData[[#This Row],[Attrition_Risk_Level]]&lt;&gt;"High","",HRData[[#This Row],[Attrition_Risk_Score]]*10000-HRData[[#This Row],[EmployeeNumber]])</f>
        <v/>
      </c>
    </row>
    <row r="300" spans="1:44">
      <c r="A300">
        <v>36</v>
      </c>
      <c r="B300" t="str" cm="1">
        <f t="array" ref="B300">_xlfn.IFS(
HRData[[#This Row],[Age]]&lt;=24,"18-24",
HRData[[#This Row],[Age]]&lt;=34,"25-34",
HRData[[#This Row],[Age]]&lt;=44,"35-44",
HRData[[#This Row],[Age]]&lt;=54,"45-54",
HRData[[#This Row],[Age]]&gt;=55,"55+"
)</f>
        <v>35-44</v>
      </c>
      <c r="C300" t="s">
        <v>43</v>
      </c>
      <c r="D300">
        <f>IF(HRData[[#This Row],[Attrition]]="Yes",1,0)</f>
        <v>0</v>
      </c>
      <c r="E300" t="s">
        <v>44</v>
      </c>
      <c r="F300">
        <v>566</v>
      </c>
      <c r="G300" t="s">
        <v>45</v>
      </c>
      <c r="H300">
        <v>18</v>
      </c>
      <c r="I300">
        <v>4</v>
      </c>
      <c r="J300" t="s">
        <v>38</v>
      </c>
      <c r="K300">
        <v>1</v>
      </c>
      <c r="L300">
        <v>407</v>
      </c>
      <c r="M300">
        <v>3</v>
      </c>
      <c r="N300" t="str" cm="1">
        <f t="array" ref="N300">_xlfn.IFS(HRData[[#This Row],[EnvironmentSatisfaction]]=1,"Very Dissatisfied",
HRData[[#This Row],[EnvironmentSatisfaction]]=2,"Dissatisfied",
HRData[[#This Row],[EnvironmentSatisfaction]]=3,"Satisfied",
HRData[[#This Row],[EnvironmentSatisfaction]]=4,"Very Satisfied"
)</f>
        <v>Satisfied</v>
      </c>
      <c r="O300" t="s">
        <v>46</v>
      </c>
      <c r="P300">
        <v>81</v>
      </c>
      <c r="Q300">
        <v>4</v>
      </c>
      <c r="R300">
        <v>1</v>
      </c>
      <c r="S300" t="s">
        <v>50</v>
      </c>
      <c r="T300">
        <v>4</v>
      </c>
      <c r="U300" t="str" cm="1">
        <f t="array" ref="U300">_xlfn.IFS(
HRData[[#This Row],[JobSatisfaction]]=1,"Very Dissatisfied",
HRData[[#This Row],[JobSatisfaction]]=2,"Dissatisfied",
HRData[[#This Row],[JobSatisfaction]]=3,"Satisfied",
HRData[[#This Row],[JobSatisfaction]]=4,"Very Satisfied"
)</f>
        <v>Very Satisfied</v>
      </c>
      <c r="V300" t="s">
        <v>48</v>
      </c>
      <c r="W300">
        <v>3688</v>
      </c>
      <c r="X300" t="str" cm="1">
        <f t="array" ref="X300">_xlfn.IFS(
HRData[[#This Row],[MonthlyIncome]]&lt;=4000,"Very Low Income",
HRData[[#This Row],[MonthlyIncome]]&lt;=8000,"Low Income",
HRData[[#This Row],[MonthlyIncome]]&lt;=12000,"Moderate Income",
HRData[[#This Row],[MonthlyIncome]]&lt;=16000,"High Income",
HRData[[#This Row],[MonthlyIncome]]&gt;16000,"Very High Income"
)</f>
        <v>Very Low Income</v>
      </c>
      <c r="Y300">
        <v>7122</v>
      </c>
      <c r="Z300">
        <v>4</v>
      </c>
      <c r="AA300" t="s">
        <v>42</v>
      </c>
      <c r="AB300" t="s">
        <v>43</v>
      </c>
      <c r="AC300">
        <v>18</v>
      </c>
      <c r="AD300" t="str" cm="1">
        <f t="array" ref="AD300">_xlfn.IFS(HRData[[#This Row],[PercentSalaryHike]]&lt;=15,"11-15",HRData[[#This Row],[PercentSalaryHike]]&lt;=20,"16-20",HRData[[#This Row],[PercentSalaryHike]]&gt;=21,"21+")</f>
        <v>16-20</v>
      </c>
      <c r="AE300">
        <v>3</v>
      </c>
      <c r="AF300">
        <v>4</v>
      </c>
      <c r="AG300">
        <v>80</v>
      </c>
      <c r="AH300">
        <v>2</v>
      </c>
      <c r="AI300">
        <v>4</v>
      </c>
      <c r="AJ300">
        <v>2</v>
      </c>
      <c r="AK300">
        <v>3</v>
      </c>
      <c r="AL300">
        <v>1</v>
      </c>
      <c r="AM300">
        <v>0</v>
      </c>
      <c r="AN300">
        <v>0</v>
      </c>
      <c r="AO300">
        <v>0</v>
      </c>
      <c r="AP30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300" t="str">
        <f>IF(HRData[[#This Row],[Attrition]]="Yes","Left", IF(HRData[[#This Row],[Attrition_Risk_Score]]&gt;=6,"High",IF(HRData[[#This Row],[Attrition_Risk_Score]]&gt;=3,"Medium","Low")))</f>
        <v>Medium</v>
      </c>
      <c r="AR300" t="str">
        <f>IF(HRData[[#This Row],[Attrition_Risk_Level]]&lt;&gt;"High","",HRData[[#This Row],[Attrition_Risk_Score]]*10000-HRData[[#This Row],[EmployeeNumber]])</f>
        <v/>
      </c>
    </row>
    <row r="301" spans="1:44">
      <c r="A301">
        <v>51</v>
      </c>
      <c r="B301" t="str" cm="1">
        <f t="array" ref="B301">_xlfn.IFS(
HRData[[#This Row],[Age]]&lt;=24,"18-24",
HRData[[#This Row],[Age]]&lt;=34,"25-34",
HRData[[#This Row],[Age]]&lt;=44,"35-44",
HRData[[#This Row],[Age]]&lt;=54,"45-54",
HRData[[#This Row],[Age]]&gt;=55,"55+"
)</f>
        <v>45-54</v>
      </c>
      <c r="C301" t="s">
        <v>43</v>
      </c>
      <c r="D301">
        <f>IF(HRData[[#This Row],[Attrition]]="Yes",1,0)</f>
        <v>0</v>
      </c>
      <c r="E301" t="s">
        <v>36</v>
      </c>
      <c r="F301">
        <v>1302</v>
      </c>
      <c r="G301" t="s">
        <v>45</v>
      </c>
      <c r="H301">
        <v>2</v>
      </c>
      <c r="I301">
        <v>3</v>
      </c>
      <c r="J301" t="s">
        <v>51</v>
      </c>
      <c r="K301">
        <v>1</v>
      </c>
      <c r="L301">
        <v>408</v>
      </c>
      <c r="M301">
        <v>4</v>
      </c>
      <c r="N301" t="str" cm="1">
        <f t="array" ref="N301">_xlfn.IFS(HRData[[#This Row],[EnvironmentSatisfaction]]=1,"Very Dissatisfied",
HRData[[#This Row],[EnvironmentSatisfaction]]=2,"Dissatisfied",
HRData[[#This Row],[EnvironmentSatisfaction]]=3,"Satisfied",
HRData[[#This Row],[EnvironmentSatisfaction]]=4,"Very Satisfied"
)</f>
        <v>Very Satisfied</v>
      </c>
      <c r="O301" t="s">
        <v>46</v>
      </c>
      <c r="P301">
        <v>84</v>
      </c>
      <c r="Q301">
        <v>1</v>
      </c>
      <c r="R301">
        <v>2</v>
      </c>
      <c r="S301" t="s">
        <v>53</v>
      </c>
      <c r="T301">
        <v>2</v>
      </c>
      <c r="U301" t="str" cm="1">
        <f t="array" ref="U301">_xlfn.IFS(
HRData[[#This Row],[JobSatisfaction]]=1,"Very Dissatisfied",
HRData[[#This Row],[JobSatisfaction]]=2,"Dissatisfied",
HRData[[#This Row],[JobSatisfaction]]=3,"Satisfied",
HRData[[#This Row],[JobSatisfaction]]=4,"Very Satisfied"
)</f>
        <v>Dissatisfied</v>
      </c>
      <c r="V301" t="s">
        <v>52</v>
      </c>
      <c r="W301">
        <v>5482</v>
      </c>
      <c r="X301" t="str" cm="1">
        <f t="array" ref="X301">_xlfn.IFS(
HRData[[#This Row],[MonthlyIncome]]&lt;=4000,"Very Low Income",
HRData[[#This Row],[MonthlyIncome]]&lt;=8000,"Low Income",
HRData[[#This Row],[MonthlyIncome]]&lt;=12000,"Moderate Income",
HRData[[#This Row],[MonthlyIncome]]&lt;=16000,"High Income",
HRData[[#This Row],[MonthlyIncome]]&gt;16000,"Very High Income"
)</f>
        <v>Low Income</v>
      </c>
      <c r="Y301">
        <v>16321</v>
      </c>
      <c r="Z301">
        <v>5</v>
      </c>
      <c r="AA301" t="s">
        <v>42</v>
      </c>
      <c r="AB301" t="s">
        <v>43</v>
      </c>
      <c r="AC301">
        <v>18</v>
      </c>
      <c r="AD301" t="str" cm="1">
        <f t="array" ref="AD301">_xlfn.IFS(HRData[[#This Row],[PercentSalaryHike]]&lt;=15,"11-15",HRData[[#This Row],[PercentSalaryHike]]&lt;=20,"16-20",HRData[[#This Row],[PercentSalaryHike]]&gt;=21,"21+")</f>
        <v>16-20</v>
      </c>
      <c r="AE301">
        <v>3</v>
      </c>
      <c r="AF301">
        <v>4</v>
      </c>
      <c r="AG301">
        <v>80</v>
      </c>
      <c r="AH301">
        <v>1</v>
      </c>
      <c r="AI301">
        <v>13</v>
      </c>
      <c r="AJ301">
        <v>3</v>
      </c>
      <c r="AK301">
        <v>3</v>
      </c>
      <c r="AL301">
        <v>4</v>
      </c>
      <c r="AM301">
        <v>1</v>
      </c>
      <c r="AN301">
        <v>1</v>
      </c>
      <c r="AO301">
        <v>2</v>
      </c>
      <c r="AP30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301" t="str">
        <f>IF(HRData[[#This Row],[Attrition]]="Yes","Left", IF(HRData[[#This Row],[Attrition_Risk_Score]]&gt;=6,"High",IF(HRData[[#This Row],[Attrition_Risk_Score]]&gt;=3,"Medium","Low")))</f>
        <v>Low</v>
      </c>
      <c r="AR301" t="str">
        <f>IF(HRData[[#This Row],[Attrition_Risk_Level]]&lt;&gt;"High","",HRData[[#This Row],[Attrition_Risk_Score]]*10000-HRData[[#This Row],[EmployeeNumber]])</f>
        <v/>
      </c>
    </row>
    <row r="302" spans="1:44">
      <c r="A302">
        <v>41</v>
      </c>
      <c r="B302" t="str" cm="1">
        <f t="array" ref="B302">_xlfn.IFS(
HRData[[#This Row],[Age]]&lt;=24,"18-24",
HRData[[#This Row],[Age]]&lt;=34,"25-34",
HRData[[#This Row],[Age]]&lt;=44,"35-44",
HRData[[#This Row],[Age]]&lt;=54,"45-54",
HRData[[#This Row],[Age]]&gt;=55,"55+"
)</f>
        <v>35-44</v>
      </c>
      <c r="C302" t="s">
        <v>43</v>
      </c>
      <c r="D302">
        <f>IF(HRData[[#This Row],[Attrition]]="Yes",1,0)</f>
        <v>0</v>
      </c>
      <c r="E302" t="s">
        <v>36</v>
      </c>
      <c r="F302">
        <v>334</v>
      </c>
      <c r="G302" t="s">
        <v>37</v>
      </c>
      <c r="H302">
        <v>2</v>
      </c>
      <c r="I302">
        <v>4</v>
      </c>
      <c r="J302" t="s">
        <v>38</v>
      </c>
      <c r="K302">
        <v>1</v>
      </c>
      <c r="L302">
        <v>410</v>
      </c>
      <c r="M302">
        <v>4</v>
      </c>
      <c r="N302" t="str" cm="1">
        <f t="array" ref="N302">_xlfn.IFS(HRData[[#This Row],[EnvironmentSatisfaction]]=1,"Very Dissatisfied",
HRData[[#This Row],[EnvironmentSatisfaction]]=2,"Dissatisfied",
HRData[[#This Row],[EnvironmentSatisfaction]]=3,"Satisfied",
HRData[[#This Row],[EnvironmentSatisfaction]]=4,"Very Satisfied"
)</f>
        <v>Very Satisfied</v>
      </c>
      <c r="O302" t="s">
        <v>46</v>
      </c>
      <c r="P302">
        <v>88</v>
      </c>
      <c r="Q302">
        <v>3</v>
      </c>
      <c r="R302">
        <v>4</v>
      </c>
      <c r="S302" t="s">
        <v>56</v>
      </c>
      <c r="T302">
        <v>2</v>
      </c>
      <c r="U302" t="str" cm="1">
        <f t="array" ref="U302">_xlfn.IFS(
HRData[[#This Row],[JobSatisfaction]]=1,"Very Dissatisfied",
HRData[[#This Row],[JobSatisfaction]]=2,"Dissatisfied",
HRData[[#This Row],[JobSatisfaction]]=3,"Satisfied",
HRData[[#This Row],[JobSatisfaction]]=4,"Very Satisfied"
)</f>
        <v>Dissatisfied</v>
      </c>
      <c r="V302" t="s">
        <v>41</v>
      </c>
      <c r="W302">
        <v>16015</v>
      </c>
      <c r="X302" t="str" cm="1">
        <f t="array" ref="X302">_xlfn.IFS(
HRData[[#This Row],[MonthlyIncome]]&lt;=4000,"Very Low Income",
HRData[[#This Row],[MonthlyIncome]]&lt;=8000,"Low Income",
HRData[[#This Row],[MonthlyIncome]]&lt;=12000,"Moderate Income",
HRData[[#This Row],[MonthlyIncome]]&lt;=16000,"High Income",
HRData[[#This Row],[MonthlyIncome]]&gt;16000,"Very High Income"
)</f>
        <v>Very High Income</v>
      </c>
      <c r="Y302">
        <v>15896</v>
      </c>
      <c r="Z302">
        <v>1</v>
      </c>
      <c r="AA302" t="s">
        <v>42</v>
      </c>
      <c r="AB302" t="s">
        <v>43</v>
      </c>
      <c r="AC302">
        <v>19</v>
      </c>
      <c r="AD302" t="str" cm="1">
        <f t="array" ref="AD302">_xlfn.IFS(HRData[[#This Row],[PercentSalaryHike]]&lt;=15,"11-15",HRData[[#This Row],[PercentSalaryHike]]&lt;=20,"16-20",HRData[[#This Row],[PercentSalaryHike]]&gt;=21,"21+")</f>
        <v>16-20</v>
      </c>
      <c r="AE302">
        <v>3</v>
      </c>
      <c r="AF302">
        <v>2</v>
      </c>
      <c r="AG302">
        <v>80</v>
      </c>
      <c r="AH302">
        <v>0</v>
      </c>
      <c r="AI302">
        <v>22</v>
      </c>
      <c r="AJ302">
        <v>2</v>
      </c>
      <c r="AK302">
        <v>3</v>
      </c>
      <c r="AL302">
        <v>22</v>
      </c>
      <c r="AM302">
        <v>10</v>
      </c>
      <c r="AN302">
        <v>0</v>
      </c>
      <c r="AO302">
        <v>4</v>
      </c>
      <c r="AP30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302" t="str">
        <f>IF(HRData[[#This Row],[Attrition]]="Yes","Left", IF(HRData[[#This Row],[Attrition_Risk_Score]]&gt;=6,"High",IF(HRData[[#This Row],[Attrition_Risk_Score]]&gt;=3,"Medium","Low")))</f>
        <v>Low</v>
      </c>
      <c r="AR302" t="str">
        <f>IF(HRData[[#This Row],[Attrition_Risk_Level]]&lt;&gt;"High","",HRData[[#This Row],[Attrition_Risk_Score]]*10000-HRData[[#This Row],[EmployeeNumber]])</f>
        <v/>
      </c>
    </row>
    <row r="303" spans="1:44">
      <c r="A303">
        <v>18</v>
      </c>
      <c r="B303" t="str" cm="1">
        <f t="array" ref="B303">_xlfn.IFS(
HRData[[#This Row],[Age]]&lt;=24,"18-24",
HRData[[#This Row],[Age]]&lt;=34,"25-34",
HRData[[#This Row],[Age]]&lt;=44,"35-44",
HRData[[#This Row],[Age]]&lt;=54,"45-54",
HRData[[#This Row],[Age]]&gt;=55,"55+"
)</f>
        <v>18-24</v>
      </c>
      <c r="C303" t="s">
        <v>43</v>
      </c>
      <c r="D303">
        <f>IF(HRData[[#This Row],[Attrition]]="Yes",1,0)</f>
        <v>0</v>
      </c>
      <c r="E303" t="s">
        <v>36</v>
      </c>
      <c r="F303">
        <v>812</v>
      </c>
      <c r="G303" t="s">
        <v>37</v>
      </c>
      <c r="H303">
        <v>10</v>
      </c>
      <c r="I303">
        <v>3</v>
      </c>
      <c r="J303" t="s">
        <v>51</v>
      </c>
      <c r="K303">
        <v>1</v>
      </c>
      <c r="L303">
        <v>411</v>
      </c>
      <c r="M303">
        <v>4</v>
      </c>
      <c r="N303" t="str" cm="1">
        <f t="array" ref="N303">_xlfn.IFS(HRData[[#This Row],[EnvironmentSatisfaction]]=1,"Very Dissatisfied",
HRData[[#This Row],[EnvironmentSatisfaction]]=2,"Dissatisfied",
HRData[[#This Row],[EnvironmentSatisfaction]]=3,"Satisfied",
HRData[[#This Row],[EnvironmentSatisfaction]]=4,"Very Satisfied"
)</f>
        <v>Very Satisfied</v>
      </c>
      <c r="O303" t="s">
        <v>39</v>
      </c>
      <c r="P303">
        <v>69</v>
      </c>
      <c r="Q303">
        <v>2</v>
      </c>
      <c r="R303">
        <v>1</v>
      </c>
      <c r="S303" t="s">
        <v>57</v>
      </c>
      <c r="T303">
        <v>3</v>
      </c>
      <c r="U303" t="str" cm="1">
        <f t="array" ref="U303">_xlfn.IFS(
HRData[[#This Row],[JobSatisfaction]]=1,"Very Dissatisfied",
HRData[[#This Row],[JobSatisfaction]]=2,"Dissatisfied",
HRData[[#This Row],[JobSatisfaction]]=3,"Satisfied",
HRData[[#This Row],[JobSatisfaction]]=4,"Very Satisfied"
)</f>
        <v>Satisfied</v>
      </c>
      <c r="V303" t="s">
        <v>41</v>
      </c>
      <c r="W303">
        <v>1200</v>
      </c>
      <c r="X303" t="str" cm="1">
        <f t="array" ref="X303">_xlfn.IFS(
HRData[[#This Row],[MonthlyIncome]]&lt;=4000,"Very Low Income",
HRData[[#This Row],[MonthlyIncome]]&lt;=8000,"Low Income",
HRData[[#This Row],[MonthlyIncome]]&lt;=12000,"Moderate Income",
HRData[[#This Row],[MonthlyIncome]]&lt;=16000,"High Income",
HRData[[#This Row],[MonthlyIncome]]&gt;16000,"Very High Income"
)</f>
        <v>Very Low Income</v>
      </c>
      <c r="Y303">
        <v>9724</v>
      </c>
      <c r="Z303">
        <v>1</v>
      </c>
      <c r="AA303" t="s">
        <v>42</v>
      </c>
      <c r="AB303" t="s">
        <v>43</v>
      </c>
      <c r="AC303">
        <v>12</v>
      </c>
      <c r="AD303" t="str" cm="1">
        <f t="array" ref="AD303">_xlfn.IFS(HRData[[#This Row],[PercentSalaryHike]]&lt;=15,"11-15",HRData[[#This Row],[PercentSalaryHike]]&lt;=20,"16-20",HRData[[#This Row],[PercentSalaryHike]]&gt;=21,"21+")</f>
        <v>11-15</v>
      </c>
      <c r="AE303">
        <v>3</v>
      </c>
      <c r="AF303">
        <v>1</v>
      </c>
      <c r="AG303">
        <v>80</v>
      </c>
      <c r="AH303">
        <v>0</v>
      </c>
      <c r="AI303">
        <v>0</v>
      </c>
      <c r="AJ303">
        <v>2</v>
      </c>
      <c r="AK303">
        <v>3</v>
      </c>
      <c r="AL303">
        <v>0</v>
      </c>
      <c r="AM303">
        <v>0</v>
      </c>
      <c r="AN303">
        <v>0</v>
      </c>
      <c r="AO303">
        <v>0</v>
      </c>
      <c r="AP30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303" t="str">
        <f>IF(HRData[[#This Row],[Attrition]]="Yes","Left", IF(HRData[[#This Row],[Attrition_Risk_Score]]&gt;=6,"High",IF(HRData[[#This Row],[Attrition_Risk_Score]]&gt;=3,"Medium","Low")))</f>
        <v>High</v>
      </c>
      <c r="AR303">
        <f>IF(HRData[[#This Row],[Attrition_Risk_Level]]&lt;&gt;"High","",HRData[[#This Row],[Attrition_Risk_Score]]*10000-HRData[[#This Row],[EmployeeNumber]])</f>
        <v>59589</v>
      </c>
    </row>
    <row r="304" spans="1:44">
      <c r="A304">
        <v>28</v>
      </c>
      <c r="B304" t="str" cm="1">
        <f t="array" ref="B304">_xlfn.IFS(
HRData[[#This Row],[Age]]&lt;=24,"18-24",
HRData[[#This Row],[Age]]&lt;=34,"25-34",
HRData[[#This Row],[Age]]&lt;=44,"35-44",
HRData[[#This Row],[Age]]&lt;=54,"45-54",
HRData[[#This Row],[Age]]&gt;=55,"55+"
)</f>
        <v>25-34</v>
      </c>
      <c r="C304" t="s">
        <v>43</v>
      </c>
      <c r="D304">
        <f>IF(HRData[[#This Row],[Attrition]]="Yes",1,0)</f>
        <v>0</v>
      </c>
      <c r="E304" t="s">
        <v>36</v>
      </c>
      <c r="F304">
        <v>1476</v>
      </c>
      <c r="G304" t="s">
        <v>45</v>
      </c>
      <c r="H304">
        <v>16</v>
      </c>
      <c r="I304">
        <v>2</v>
      </c>
      <c r="J304" t="s">
        <v>51</v>
      </c>
      <c r="K304">
        <v>1</v>
      </c>
      <c r="L304">
        <v>412</v>
      </c>
      <c r="M304">
        <v>2</v>
      </c>
      <c r="N304" t="str" cm="1">
        <f t="array" ref="N304">_xlfn.IFS(HRData[[#This Row],[EnvironmentSatisfaction]]=1,"Very Dissatisfied",
HRData[[#This Row],[EnvironmentSatisfaction]]=2,"Dissatisfied",
HRData[[#This Row],[EnvironmentSatisfaction]]=3,"Satisfied",
HRData[[#This Row],[EnvironmentSatisfaction]]=4,"Very Satisfied"
)</f>
        <v>Dissatisfied</v>
      </c>
      <c r="O304" t="s">
        <v>46</v>
      </c>
      <c r="P304">
        <v>68</v>
      </c>
      <c r="Q304">
        <v>4</v>
      </c>
      <c r="R304">
        <v>2</v>
      </c>
      <c r="S304" t="s">
        <v>54</v>
      </c>
      <c r="T304">
        <v>1</v>
      </c>
      <c r="U304" t="str" cm="1">
        <f t="array" ref="U304">_xlfn.IFS(
HRData[[#This Row],[JobSatisfaction]]=1,"Very Dissatisfied",
HRData[[#This Row],[JobSatisfaction]]=2,"Dissatisfied",
HRData[[#This Row],[JobSatisfaction]]=3,"Satisfied",
HRData[[#This Row],[JobSatisfaction]]=4,"Very Satisfied"
)</f>
        <v>Very Dissatisfied</v>
      </c>
      <c r="V304" t="s">
        <v>41</v>
      </c>
      <c r="W304">
        <v>5661</v>
      </c>
      <c r="X304" t="str" cm="1">
        <f t="array" ref="X304">_xlfn.IFS(
HRData[[#This Row],[MonthlyIncome]]&lt;=4000,"Very Low Income",
HRData[[#This Row],[MonthlyIncome]]&lt;=8000,"Low Income",
HRData[[#This Row],[MonthlyIncome]]&lt;=12000,"Moderate Income",
HRData[[#This Row],[MonthlyIncome]]&lt;=16000,"High Income",
HRData[[#This Row],[MonthlyIncome]]&gt;16000,"Very High Income"
)</f>
        <v>Low Income</v>
      </c>
      <c r="Y304">
        <v>4824</v>
      </c>
      <c r="Z304">
        <v>0</v>
      </c>
      <c r="AA304" t="s">
        <v>42</v>
      </c>
      <c r="AB304" t="s">
        <v>43</v>
      </c>
      <c r="AC304">
        <v>19</v>
      </c>
      <c r="AD304" t="str" cm="1">
        <f t="array" ref="AD304">_xlfn.IFS(HRData[[#This Row],[PercentSalaryHike]]&lt;=15,"11-15",HRData[[#This Row],[PercentSalaryHike]]&lt;=20,"16-20",HRData[[#This Row],[PercentSalaryHike]]&gt;=21,"21+")</f>
        <v>16-20</v>
      </c>
      <c r="AE304">
        <v>3</v>
      </c>
      <c r="AF304">
        <v>3</v>
      </c>
      <c r="AG304">
        <v>80</v>
      </c>
      <c r="AH304">
        <v>0</v>
      </c>
      <c r="AI304">
        <v>9</v>
      </c>
      <c r="AJ304">
        <v>2</v>
      </c>
      <c r="AK304">
        <v>3</v>
      </c>
      <c r="AL304">
        <v>8</v>
      </c>
      <c r="AM304">
        <v>3</v>
      </c>
      <c r="AN304">
        <v>0</v>
      </c>
      <c r="AO304">
        <v>7</v>
      </c>
      <c r="AP30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04" t="str">
        <f>IF(HRData[[#This Row],[Attrition]]="Yes","Left", IF(HRData[[#This Row],[Attrition_Risk_Score]]&gt;=6,"High",IF(HRData[[#This Row],[Attrition_Risk_Score]]&gt;=3,"Medium","Low")))</f>
        <v>Medium</v>
      </c>
      <c r="AR304" t="str">
        <f>IF(HRData[[#This Row],[Attrition_Risk_Level]]&lt;&gt;"High","",HRData[[#This Row],[Attrition_Risk_Score]]*10000-HRData[[#This Row],[EmployeeNumber]])</f>
        <v/>
      </c>
    </row>
    <row r="305" spans="1:44">
      <c r="A305">
        <v>31</v>
      </c>
      <c r="B305" t="str" cm="1">
        <f t="array" ref="B305">_xlfn.IFS(
HRData[[#This Row],[Age]]&lt;=24,"18-24",
HRData[[#This Row],[Age]]&lt;=34,"25-34",
HRData[[#This Row],[Age]]&lt;=44,"35-44",
HRData[[#This Row],[Age]]&lt;=54,"45-54",
HRData[[#This Row],[Age]]&gt;=55,"55+"
)</f>
        <v>25-34</v>
      </c>
      <c r="C305" t="s">
        <v>43</v>
      </c>
      <c r="D305">
        <f>IF(HRData[[#This Row],[Attrition]]="Yes",1,0)</f>
        <v>0</v>
      </c>
      <c r="E305" t="s">
        <v>36</v>
      </c>
      <c r="F305">
        <v>218</v>
      </c>
      <c r="G305" t="s">
        <v>37</v>
      </c>
      <c r="H305">
        <v>7</v>
      </c>
      <c r="I305">
        <v>3</v>
      </c>
      <c r="J305" t="s">
        <v>60</v>
      </c>
      <c r="K305">
        <v>1</v>
      </c>
      <c r="L305">
        <v>416</v>
      </c>
      <c r="M305">
        <v>2</v>
      </c>
      <c r="N305" t="str" cm="1">
        <f t="array" ref="N305">_xlfn.IFS(HRData[[#This Row],[EnvironmentSatisfaction]]=1,"Very Dissatisfied",
HRData[[#This Row],[EnvironmentSatisfaction]]=2,"Dissatisfied",
HRData[[#This Row],[EnvironmentSatisfaction]]=3,"Satisfied",
HRData[[#This Row],[EnvironmentSatisfaction]]=4,"Very Satisfied"
)</f>
        <v>Dissatisfied</v>
      </c>
      <c r="O305" t="s">
        <v>46</v>
      </c>
      <c r="P305">
        <v>100</v>
      </c>
      <c r="Q305">
        <v>4</v>
      </c>
      <c r="R305">
        <v>2</v>
      </c>
      <c r="S305" t="s">
        <v>40</v>
      </c>
      <c r="T305">
        <v>4</v>
      </c>
      <c r="U305" t="str" cm="1">
        <f t="array" ref="U305">_xlfn.IFS(
HRData[[#This Row],[JobSatisfaction]]=1,"Very Dissatisfied",
HRData[[#This Row],[JobSatisfaction]]=2,"Dissatisfied",
HRData[[#This Row],[JobSatisfaction]]=3,"Satisfied",
HRData[[#This Row],[JobSatisfaction]]=4,"Very Satisfied"
)</f>
        <v>Very Satisfied</v>
      </c>
      <c r="V305" t="s">
        <v>48</v>
      </c>
      <c r="W305">
        <v>6929</v>
      </c>
      <c r="X305" t="str" cm="1">
        <f t="array" ref="X305">_xlfn.IFS(
HRData[[#This Row],[MonthlyIncome]]&lt;=4000,"Very Low Income",
HRData[[#This Row],[MonthlyIncome]]&lt;=8000,"Low Income",
HRData[[#This Row],[MonthlyIncome]]&lt;=12000,"Moderate Income",
HRData[[#This Row],[MonthlyIncome]]&lt;=16000,"High Income",
HRData[[#This Row],[MonthlyIncome]]&gt;16000,"Very High Income"
)</f>
        <v>Low Income</v>
      </c>
      <c r="Y305">
        <v>12241</v>
      </c>
      <c r="Z305">
        <v>4</v>
      </c>
      <c r="AA305" t="s">
        <v>42</v>
      </c>
      <c r="AB305" t="s">
        <v>43</v>
      </c>
      <c r="AC305">
        <v>11</v>
      </c>
      <c r="AD305" t="str" cm="1">
        <f t="array" ref="AD305">_xlfn.IFS(HRData[[#This Row],[PercentSalaryHike]]&lt;=15,"11-15",HRData[[#This Row],[PercentSalaryHike]]&lt;=20,"16-20",HRData[[#This Row],[PercentSalaryHike]]&gt;=21,"21+")</f>
        <v>11-15</v>
      </c>
      <c r="AE305">
        <v>3</v>
      </c>
      <c r="AF305">
        <v>2</v>
      </c>
      <c r="AG305">
        <v>80</v>
      </c>
      <c r="AH305">
        <v>1</v>
      </c>
      <c r="AI305">
        <v>10</v>
      </c>
      <c r="AJ305">
        <v>3</v>
      </c>
      <c r="AK305">
        <v>2</v>
      </c>
      <c r="AL305">
        <v>8</v>
      </c>
      <c r="AM305">
        <v>7</v>
      </c>
      <c r="AN305">
        <v>7</v>
      </c>
      <c r="AO305">
        <v>7</v>
      </c>
      <c r="AP30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05" t="str">
        <f>IF(HRData[[#This Row],[Attrition]]="Yes","Left", IF(HRData[[#This Row],[Attrition_Risk_Score]]&gt;=6,"High",IF(HRData[[#This Row],[Attrition_Risk_Score]]&gt;=3,"Medium","Low")))</f>
        <v>Low</v>
      </c>
      <c r="AR305" t="str">
        <f>IF(HRData[[#This Row],[Attrition_Risk_Level]]&lt;&gt;"High","",HRData[[#This Row],[Attrition_Risk_Score]]*10000-HRData[[#This Row],[EmployeeNumber]])</f>
        <v/>
      </c>
    </row>
    <row r="306" spans="1:44">
      <c r="A306">
        <v>39</v>
      </c>
      <c r="B306" t="str" cm="1">
        <f t="array" ref="B306">_xlfn.IFS(
HRData[[#This Row],[Age]]&lt;=24,"18-24",
HRData[[#This Row],[Age]]&lt;=34,"25-34",
HRData[[#This Row],[Age]]&lt;=44,"35-44",
HRData[[#This Row],[Age]]&lt;=54,"45-54",
HRData[[#This Row],[Age]]&gt;=55,"55+"
)</f>
        <v>35-44</v>
      </c>
      <c r="C306" t="s">
        <v>43</v>
      </c>
      <c r="D306">
        <f>IF(HRData[[#This Row],[Attrition]]="Yes",1,0)</f>
        <v>0</v>
      </c>
      <c r="E306" t="s">
        <v>36</v>
      </c>
      <c r="F306">
        <v>1132</v>
      </c>
      <c r="G306" t="s">
        <v>45</v>
      </c>
      <c r="H306">
        <v>1</v>
      </c>
      <c r="I306">
        <v>3</v>
      </c>
      <c r="J306" t="s">
        <v>51</v>
      </c>
      <c r="K306">
        <v>1</v>
      </c>
      <c r="L306">
        <v>417</v>
      </c>
      <c r="M306">
        <v>3</v>
      </c>
      <c r="N306" t="str" cm="1">
        <f t="array" ref="N306">_xlfn.IFS(HRData[[#This Row],[EnvironmentSatisfaction]]=1,"Very Dissatisfied",
HRData[[#This Row],[EnvironmentSatisfaction]]=2,"Dissatisfied",
HRData[[#This Row],[EnvironmentSatisfaction]]=3,"Satisfied",
HRData[[#This Row],[EnvironmentSatisfaction]]=4,"Very Satisfied"
)</f>
        <v>Satisfied</v>
      </c>
      <c r="O306" t="s">
        <v>46</v>
      </c>
      <c r="P306">
        <v>48</v>
      </c>
      <c r="Q306">
        <v>4</v>
      </c>
      <c r="R306">
        <v>3</v>
      </c>
      <c r="S306" t="s">
        <v>54</v>
      </c>
      <c r="T306">
        <v>4</v>
      </c>
      <c r="U306" t="str" cm="1">
        <f t="array" ref="U306">_xlfn.IFS(
HRData[[#This Row],[JobSatisfaction]]=1,"Very Dissatisfied",
HRData[[#This Row],[JobSatisfaction]]=2,"Dissatisfied",
HRData[[#This Row],[JobSatisfaction]]=3,"Satisfied",
HRData[[#This Row],[JobSatisfaction]]=4,"Very Satisfied"
)</f>
        <v>Very Satisfied</v>
      </c>
      <c r="V306" t="s">
        <v>52</v>
      </c>
      <c r="W306">
        <v>9613</v>
      </c>
      <c r="X306" t="str" cm="1">
        <f t="array" ref="X306">_xlfn.IFS(
HRData[[#This Row],[MonthlyIncome]]&lt;=4000,"Very Low Income",
HRData[[#This Row],[MonthlyIncome]]&lt;=8000,"Low Income",
HRData[[#This Row],[MonthlyIncome]]&lt;=12000,"Moderate Income",
HRData[[#This Row],[MonthlyIncome]]&lt;=16000,"High Income",
HRData[[#This Row],[MonthlyIncome]]&gt;16000,"Very High Income"
)</f>
        <v>Moderate Income</v>
      </c>
      <c r="Y306">
        <v>10942</v>
      </c>
      <c r="Z306">
        <v>0</v>
      </c>
      <c r="AA306" t="s">
        <v>42</v>
      </c>
      <c r="AB306" t="s">
        <v>43</v>
      </c>
      <c r="AC306">
        <v>17</v>
      </c>
      <c r="AD306" t="str" cm="1">
        <f t="array" ref="AD306">_xlfn.IFS(HRData[[#This Row],[PercentSalaryHike]]&lt;=15,"11-15",HRData[[#This Row],[PercentSalaryHike]]&lt;=20,"16-20",HRData[[#This Row],[PercentSalaryHike]]&gt;=21,"21+")</f>
        <v>16-20</v>
      </c>
      <c r="AE306">
        <v>3</v>
      </c>
      <c r="AF306">
        <v>1</v>
      </c>
      <c r="AG306">
        <v>80</v>
      </c>
      <c r="AH306">
        <v>3</v>
      </c>
      <c r="AI306">
        <v>19</v>
      </c>
      <c r="AJ306">
        <v>5</v>
      </c>
      <c r="AK306">
        <v>2</v>
      </c>
      <c r="AL306">
        <v>18</v>
      </c>
      <c r="AM306">
        <v>10</v>
      </c>
      <c r="AN306">
        <v>3</v>
      </c>
      <c r="AO306">
        <v>7</v>
      </c>
      <c r="AP30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306" t="str">
        <f>IF(HRData[[#This Row],[Attrition]]="Yes","Left", IF(HRData[[#This Row],[Attrition_Risk_Score]]&gt;=6,"High",IF(HRData[[#This Row],[Attrition_Risk_Score]]&gt;=3,"Medium","Low")))</f>
        <v>Low</v>
      </c>
      <c r="AR306" t="str">
        <f>IF(HRData[[#This Row],[Attrition_Risk_Level]]&lt;&gt;"High","",HRData[[#This Row],[Attrition_Risk_Score]]*10000-HRData[[#This Row],[EmployeeNumber]])</f>
        <v/>
      </c>
    </row>
    <row r="307" spans="1:44">
      <c r="A307">
        <v>36</v>
      </c>
      <c r="B307" t="str" cm="1">
        <f t="array" ref="B307">_xlfn.IFS(
HRData[[#This Row],[Age]]&lt;=24,"18-24",
HRData[[#This Row],[Age]]&lt;=34,"25-34",
HRData[[#This Row],[Age]]&lt;=44,"35-44",
HRData[[#This Row],[Age]]&lt;=54,"45-54",
HRData[[#This Row],[Age]]&gt;=55,"55+"
)</f>
        <v>35-44</v>
      </c>
      <c r="C307" t="s">
        <v>43</v>
      </c>
      <c r="D307">
        <f>IF(HRData[[#This Row],[Attrition]]="Yes",1,0)</f>
        <v>0</v>
      </c>
      <c r="E307" t="s">
        <v>55</v>
      </c>
      <c r="F307">
        <v>1105</v>
      </c>
      <c r="G307" t="s">
        <v>45</v>
      </c>
      <c r="H307">
        <v>24</v>
      </c>
      <c r="I307">
        <v>4</v>
      </c>
      <c r="J307" t="s">
        <v>38</v>
      </c>
      <c r="K307">
        <v>1</v>
      </c>
      <c r="L307">
        <v>419</v>
      </c>
      <c r="M307">
        <v>2</v>
      </c>
      <c r="N307" t="str" cm="1">
        <f t="array" ref="N307">_xlfn.IFS(HRData[[#This Row],[EnvironmentSatisfaction]]=1,"Very Dissatisfied",
HRData[[#This Row],[EnvironmentSatisfaction]]=2,"Dissatisfied",
HRData[[#This Row],[EnvironmentSatisfaction]]=3,"Satisfied",
HRData[[#This Row],[EnvironmentSatisfaction]]=4,"Very Satisfied"
)</f>
        <v>Dissatisfied</v>
      </c>
      <c r="O307" t="s">
        <v>39</v>
      </c>
      <c r="P307">
        <v>47</v>
      </c>
      <c r="Q307">
        <v>3</v>
      </c>
      <c r="R307">
        <v>2</v>
      </c>
      <c r="S307" t="s">
        <v>50</v>
      </c>
      <c r="T307">
        <v>2</v>
      </c>
      <c r="U307" t="str" cm="1">
        <f t="array" ref="U307">_xlfn.IFS(
HRData[[#This Row],[JobSatisfaction]]=1,"Very Dissatisfied",
HRData[[#This Row],[JobSatisfaction]]=2,"Dissatisfied",
HRData[[#This Row],[JobSatisfaction]]=3,"Satisfied",
HRData[[#This Row],[JobSatisfaction]]=4,"Very Satisfied"
)</f>
        <v>Dissatisfied</v>
      </c>
      <c r="V307" t="s">
        <v>48</v>
      </c>
      <c r="W307">
        <v>5674</v>
      </c>
      <c r="X307" t="str" cm="1">
        <f t="array" ref="X307">_xlfn.IFS(
HRData[[#This Row],[MonthlyIncome]]&lt;=4000,"Very Low Income",
HRData[[#This Row],[MonthlyIncome]]&lt;=8000,"Low Income",
HRData[[#This Row],[MonthlyIncome]]&lt;=12000,"Moderate Income",
HRData[[#This Row],[MonthlyIncome]]&lt;=16000,"High Income",
HRData[[#This Row],[MonthlyIncome]]&gt;16000,"Very High Income"
)</f>
        <v>Low Income</v>
      </c>
      <c r="Y307">
        <v>6927</v>
      </c>
      <c r="Z307">
        <v>7</v>
      </c>
      <c r="AA307" t="s">
        <v>42</v>
      </c>
      <c r="AB307" t="s">
        <v>43</v>
      </c>
      <c r="AC307">
        <v>15</v>
      </c>
      <c r="AD307" t="str" cm="1">
        <f t="array" ref="AD307">_xlfn.IFS(HRData[[#This Row],[PercentSalaryHike]]&lt;=15,"11-15",HRData[[#This Row],[PercentSalaryHike]]&lt;=20,"16-20",HRData[[#This Row],[PercentSalaryHike]]&gt;=21,"21+")</f>
        <v>11-15</v>
      </c>
      <c r="AE307">
        <v>3</v>
      </c>
      <c r="AF307">
        <v>3</v>
      </c>
      <c r="AG307">
        <v>80</v>
      </c>
      <c r="AH307">
        <v>1</v>
      </c>
      <c r="AI307">
        <v>11</v>
      </c>
      <c r="AJ307">
        <v>3</v>
      </c>
      <c r="AK307">
        <v>3</v>
      </c>
      <c r="AL307">
        <v>9</v>
      </c>
      <c r="AM307">
        <v>8</v>
      </c>
      <c r="AN307">
        <v>0</v>
      </c>
      <c r="AO307">
        <v>8</v>
      </c>
      <c r="AP30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07" t="str">
        <f>IF(HRData[[#This Row],[Attrition]]="Yes","Left", IF(HRData[[#This Row],[Attrition_Risk_Score]]&gt;=6,"High",IF(HRData[[#This Row],[Attrition_Risk_Score]]&gt;=3,"Medium","Low")))</f>
        <v>Low</v>
      </c>
      <c r="AR307" t="str">
        <f>IF(HRData[[#This Row],[Attrition_Risk_Level]]&lt;&gt;"High","",HRData[[#This Row],[Attrition_Risk_Score]]*10000-HRData[[#This Row],[EmployeeNumber]])</f>
        <v/>
      </c>
    </row>
    <row r="308" spans="1:44">
      <c r="A308">
        <v>32</v>
      </c>
      <c r="B308" t="str" cm="1">
        <f t="array" ref="B308">_xlfn.IFS(
HRData[[#This Row],[Age]]&lt;=24,"18-24",
HRData[[#This Row],[Age]]&lt;=34,"25-34",
HRData[[#This Row],[Age]]&lt;=44,"35-44",
HRData[[#This Row],[Age]]&lt;=54,"45-54",
HRData[[#This Row],[Age]]&gt;=55,"55+"
)</f>
        <v>25-34</v>
      </c>
      <c r="C308" t="s">
        <v>43</v>
      </c>
      <c r="D308">
        <f>IF(HRData[[#This Row],[Attrition]]="Yes",1,0)</f>
        <v>0</v>
      </c>
      <c r="E308" t="s">
        <v>36</v>
      </c>
      <c r="F308">
        <v>906</v>
      </c>
      <c r="G308" t="s">
        <v>37</v>
      </c>
      <c r="H308">
        <v>7</v>
      </c>
      <c r="I308">
        <v>3</v>
      </c>
      <c r="J308" t="s">
        <v>38</v>
      </c>
      <c r="K308">
        <v>1</v>
      </c>
      <c r="L308">
        <v>420</v>
      </c>
      <c r="M308">
        <v>4</v>
      </c>
      <c r="N308" t="str" cm="1">
        <f t="array" ref="N308">_xlfn.IFS(HRData[[#This Row],[EnvironmentSatisfaction]]=1,"Very Dissatisfied",
HRData[[#This Row],[EnvironmentSatisfaction]]=2,"Dissatisfied",
HRData[[#This Row],[EnvironmentSatisfaction]]=3,"Satisfied",
HRData[[#This Row],[EnvironmentSatisfaction]]=4,"Very Satisfied"
)</f>
        <v>Very Satisfied</v>
      </c>
      <c r="O308" t="s">
        <v>46</v>
      </c>
      <c r="P308">
        <v>91</v>
      </c>
      <c r="Q308">
        <v>2</v>
      </c>
      <c r="R308">
        <v>2</v>
      </c>
      <c r="S308" t="s">
        <v>40</v>
      </c>
      <c r="T308">
        <v>3</v>
      </c>
      <c r="U308" t="str" cm="1">
        <f t="array" ref="U308">_xlfn.IFS(
HRData[[#This Row],[JobSatisfaction]]=1,"Very Dissatisfied",
HRData[[#This Row],[JobSatisfaction]]=2,"Dissatisfied",
HRData[[#This Row],[JobSatisfaction]]=3,"Satisfied",
HRData[[#This Row],[JobSatisfaction]]=4,"Very Satisfied"
)</f>
        <v>Satisfied</v>
      </c>
      <c r="V308" t="s">
        <v>48</v>
      </c>
      <c r="W308">
        <v>5484</v>
      </c>
      <c r="X308" t="str" cm="1">
        <f t="array" ref="X308">_xlfn.IFS(
HRData[[#This Row],[MonthlyIncome]]&lt;=4000,"Very Low Income",
HRData[[#This Row],[MonthlyIncome]]&lt;=8000,"Low Income",
HRData[[#This Row],[MonthlyIncome]]&lt;=12000,"Moderate Income",
HRData[[#This Row],[MonthlyIncome]]&lt;=16000,"High Income",
HRData[[#This Row],[MonthlyIncome]]&gt;16000,"Very High Income"
)</f>
        <v>Low Income</v>
      </c>
      <c r="Y308">
        <v>16985</v>
      </c>
      <c r="Z308">
        <v>1</v>
      </c>
      <c r="AA308" t="s">
        <v>42</v>
      </c>
      <c r="AB308" t="s">
        <v>43</v>
      </c>
      <c r="AC308">
        <v>14</v>
      </c>
      <c r="AD308" t="str" cm="1">
        <f t="array" ref="AD308">_xlfn.IFS(HRData[[#This Row],[PercentSalaryHike]]&lt;=15,"11-15",HRData[[#This Row],[PercentSalaryHike]]&lt;=20,"16-20",HRData[[#This Row],[PercentSalaryHike]]&gt;=21,"21+")</f>
        <v>11-15</v>
      </c>
      <c r="AE308">
        <v>3</v>
      </c>
      <c r="AF308">
        <v>3</v>
      </c>
      <c r="AG308">
        <v>80</v>
      </c>
      <c r="AH308">
        <v>1</v>
      </c>
      <c r="AI308">
        <v>13</v>
      </c>
      <c r="AJ308">
        <v>3</v>
      </c>
      <c r="AK308">
        <v>2</v>
      </c>
      <c r="AL308">
        <v>13</v>
      </c>
      <c r="AM308">
        <v>8</v>
      </c>
      <c r="AN308">
        <v>4</v>
      </c>
      <c r="AO308">
        <v>8</v>
      </c>
      <c r="AP30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08" t="str">
        <f>IF(HRData[[#This Row],[Attrition]]="Yes","Left", IF(HRData[[#This Row],[Attrition_Risk_Score]]&gt;=6,"High",IF(HRData[[#This Row],[Attrition_Risk_Score]]&gt;=3,"Medium","Low")))</f>
        <v>Low</v>
      </c>
      <c r="AR308" t="str">
        <f>IF(HRData[[#This Row],[Attrition_Risk_Level]]&lt;&gt;"High","",HRData[[#This Row],[Attrition_Risk_Score]]*10000-HRData[[#This Row],[EmployeeNumber]])</f>
        <v/>
      </c>
    </row>
    <row r="309" spans="1:44">
      <c r="A309">
        <v>38</v>
      </c>
      <c r="B309" t="str" cm="1">
        <f t="array" ref="B309">_xlfn.IFS(
HRData[[#This Row],[Age]]&lt;=24,"18-24",
HRData[[#This Row],[Age]]&lt;=34,"25-34",
HRData[[#This Row],[Age]]&lt;=44,"35-44",
HRData[[#This Row],[Age]]&lt;=54,"45-54",
HRData[[#This Row],[Age]]&gt;=55,"55+"
)</f>
        <v>35-44</v>
      </c>
      <c r="C309" t="s">
        <v>43</v>
      </c>
      <c r="D309">
        <f>IF(HRData[[#This Row],[Attrition]]="Yes",1,0)</f>
        <v>0</v>
      </c>
      <c r="E309" t="s">
        <v>36</v>
      </c>
      <c r="F309">
        <v>849</v>
      </c>
      <c r="G309" t="s">
        <v>45</v>
      </c>
      <c r="H309">
        <v>25</v>
      </c>
      <c r="I309">
        <v>2</v>
      </c>
      <c r="J309" t="s">
        <v>38</v>
      </c>
      <c r="K309">
        <v>1</v>
      </c>
      <c r="L309">
        <v>421</v>
      </c>
      <c r="M309">
        <v>1</v>
      </c>
      <c r="N309" t="str" cm="1">
        <f t="array" ref="N309">_xlfn.IFS(HRData[[#This Row],[EnvironmentSatisfaction]]=1,"Very Dissatisfied",
HRData[[#This Row],[EnvironmentSatisfaction]]=2,"Dissatisfied",
HRData[[#This Row],[EnvironmentSatisfaction]]=3,"Satisfied",
HRData[[#This Row],[EnvironmentSatisfaction]]=4,"Very Satisfied"
)</f>
        <v>Very Dissatisfied</v>
      </c>
      <c r="O309" t="s">
        <v>39</v>
      </c>
      <c r="P309">
        <v>81</v>
      </c>
      <c r="Q309">
        <v>2</v>
      </c>
      <c r="R309">
        <v>3</v>
      </c>
      <c r="S309" t="s">
        <v>58</v>
      </c>
      <c r="T309">
        <v>2</v>
      </c>
      <c r="U309" t="str" cm="1">
        <f t="array" ref="U309">_xlfn.IFS(
HRData[[#This Row],[JobSatisfaction]]=1,"Very Dissatisfied",
HRData[[#This Row],[JobSatisfaction]]=2,"Dissatisfied",
HRData[[#This Row],[JobSatisfaction]]=3,"Satisfied",
HRData[[#This Row],[JobSatisfaction]]=4,"Very Satisfied"
)</f>
        <v>Dissatisfied</v>
      </c>
      <c r="V309" t="s">
        <v>48</v>
      </c>
      <c r="W309">
        <v>12061</v>
      </c>
      <c r="X309" t="str" cm="1">
        <f t="array" ref="X309">_xlfn.IFS(
HRData[[#This Row],[MonthlyIncome]]&lt;=4000,"Very Low Income",
HRData[[#This Row],[MonthlyIncome]]&lt;=8000,"Low Income",
HRData[[#This Row],[MonthlyIncome]]&lt;=12000,"Moderate Income",
HRData[[#This Row],[MonthlyIncome]]&lt;=16000,"High Income",
HRData[[#This Row],[MonthlyIncome]]&gt;16000,"Very High Income"
)</f>
        <v>High Income</v>
      </c>
      <c r="Y309">
        <v>26707</v>
      </c>
      <c r="Z309">
        <v>3</v>
      </c>
      <c r="AA309" t="s">
        <v>42</v>
      </c>
      <c r="AB309" t="s">
        <v>43</v>
      </c>
      <c r="AC309">
        <v>17</v>
      </c>
      <c r="AD309" t="str" cm="1">
        <f t="array" ref="AD309">_xlfn.IFS(HRData[[#This Row],[PercentSalaryHike]]&lt;=15,"11-15",HRData[[#This Row],[PercentSalaryHike]]&lt;=20,"16-20",HRData[[#This Row],[PercentSalaryHike]]&gt;=21,"21+")</f>
        <v>16-20</v>
      </c>
      <c r="AE309">
        <v>3</v>
      </c>
      <c r="AF309">
        <v>3</v>
      </c>
      <c r="AG309">
        <v>80</v>
      </c>
      <c r="AH309">
        <v>1</v>
      </c>
      <c r="AI309">
        <v>19</v>
      </c>
      <c r="AJ309">
        <v>2</v>
      </c>
      <c r="AK309">
        <v>3</v>
      </c>
      <c r="AL309">
        <v>10</v>
      </c>
      <c r="AM309">
        <v>8</v>
      </c>
      <c r="AN309">
        <v>0</v>
      </c>
      <c r="AO309">
        <v>1</v>
      </c>
      <c r="AP30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309" t="str">
        <f>IF(HRData[[#This Row],[Attrition]]="Yes","Left", IF(HRData[[#This Row],[Attrition_Risk_Score]]&gt;=6,"High",IF(HRData[[#This Row],[Attrition_Risk_Score]]&gt;=3,"Medium","Low")))</f>
        <v>Low</v>
      </c>
      <c r="AR309" t="str">
        <f>IF(HRData[[#This Row],[Attrition_Risk_Level]]&lt;&gt;"High","",HRData[[#This Row],[Attrition_Risk_Score]]*10000-HRData[[#This Row],[EmployeeNumber]])</f>
        <v/>
      </c>
    </row>
    <row r="310" spans="1:44">
      <c r="A310">
        <v>58</v>
      </c>
      <c r="B310" t="str" cm="1">
        <f t="array" ref="B310">_xlfn.IFS(
HRData[[#This Row],[Age]]&lt;=24,"18-24",
HRData[[#This Row],[Age]]&lt;=34,"25-34",
HRData[[#This Row],[Age]]&lt;=44,"35-44",
HRData[[#This Row],[Age]]&lt;=54,"45-54",
HRData[[#This Row],[Age]]&gt;=55,"55+"
)</f>
        <v>55+</v>
      </c>
      <c r="C310" t="s">
        <v>43</v>
      </c>
      <c r="D310">
        <f>IF(HRData[[#This Row],[Attrition]]="Yes",1,0)</f>
        <v>0</v>
      </c>
      <c r="E310" t="s">
        <v>55</v>
      </c>
      <c r="F310">
        <v>390</v>
      </c>
      <c r="G310" t="s">
        <v>45</v>
      </c>
      <c r="H310">
        <v>1</v>
      </c>
      <c r="I310">
        <v>4</v>
      </c>
      <c r="J310" t="s">
        <v>38</v>
      </c>
      <c r="K310">
        <v>1</v>
      </c>
      <c r="L310">
        <v>422</v>
      </c>
      <c r="M310">
        <v>4</v>
      </c>
      <c r="N310" t="str" cm="1">
        <f t="array" ref="N310">_xlfn.IFS(HRData[[#This Row],[EnvironmentSatisfaction]]=1,"Very Dissatisfied",
HRData[[#This Row],[EnvironmentSatisfaction]]=2,"Dissatisfied",
HRData[[#This Row],[EnvironmentSatisfaction]]=3,"Satisfied",
HRData[[#This Row],[EnvironmentSatisfaction]]=4,"Very Satisfied"
)</f>
        <v>Very Satisfied</v>
      </c>
      <c r="O310" t="s">
        <v>46</v>
      </c>
      <c r="P310">
        <v>32</v>
      </c>
      <c r="Q310">
        <v>1</v>
      </c>
      <c r="R310">
        <v>2</v>
      </c>
      <c r="S310" t="s">
        <v>54</v>
      </c>
      <c r="T310">
        <v>3</v>
      </c>
      <c r="U310" t="str" cm="1">
        <f t="array" ref="U310">_xlfn.IFS(
HRData[[#This Row],[JobSatisfaction]]=1,"Very Dissatisfied",
HRData[[#This Row],[JobSatisfaction]]=2,"Dissatisfied",
HRData[[#This Row],[JobSatisfaction]]=3,"Satisfied",
HRData[[#This Row],[JobSatisfaction]]=4,"Very Satisfied"
)</f>
        <v>Satisfied</v>
      </c>
      <c r="V310" t="s">
        <v>52</v>
      </c>
      <c r="W310">
        <v>5660</v>
      </c>
      <c r="X310" t="str" cm="1">
        <f t="array" ref="X310">_xlfn.IFS(
HRData[[#This Row],[MonthlyIncome]]&lt;=4000,"Very Low Income",
HRData[[#This Row],[MonthlyIncome]]&lt;=8000,"Low Income",
HRData[[#This Row],[MonthlyIncome]]&lt;=12000,"Moderate Income",
HRData[[#This Row],[MonthlyIncome]]&lt;=16000,"High Income",
HRData[[#This Row],[MonthlyIncome]]&gt;16000,"Very High Income"
)</f>
        <v>Low Income</v>
      </c>
      <c r="Y310">
        <v>17056</v>
      </c>
      <c r="Z310">
        <v>2</v>
      </c>
      <c r="AA310" t="s">
        <v>42</v>
      </c>
      <c r="AB310" t="s">
        <v>35</v>
      </c>
      <c r="AC310">
        <v>13</v>
      </c>
      <c r="AD310" t="str" cm="1">
        <f t="array" ref="AD310">_xlfn.IFS(HRData[[#This Row],[PercentSalaryHike]]&lt;=15,"11-15",HRData[[#This Row],[PercentSalaryHike]]&lt;=20,"16-20",HRData[[#This Row],[PercentSalaryHike]]&gt;=21,"21+")</f>
        <v>11-15</v>
      </c>
      <c r="AE310">
        <v>3</v>
      </c>
      <c r="AF310">
        <v>4</v>
      </c>
      <c r="AG310">
        <v>80</v>
      </c>
      <c r="AH310">
        <v>1</v>
      </c>
      <c r="AI310">
        <v>12</v>
      </c>
      <c r="AJ310">
        <v>2</v>
      </c>
      <c r="AK310">
        <v>3</v>
      </c>
      <c r="AL310">
        <v>5</v>
      </c>
      <c r="AM310">
        <v>3</v>
      </c>
      <c r="AN310">
        <v>1</v>
      </c>
      <c r="AO310">
        <v>2</v>
      </c>
      <c r="AP31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310" t="str">
        <f>IF(HRData[[#This Row],[Attrition]]="Yes","Left", IF(HRData[[#This Row],[Attrition_Risk_Score]]&gt;=6,"High",IF(HRData[[#This Row],[Attrition_Risk_Score]]&gt;=3,"Medium","Low")))</f>
        <v>Medium</v>
      </c>
      <c r="AR310" t="str">
        <f>IF(HRData[[#This Row],[Attrition_Risk_Level]]&lt;&gt;"High","",HRData[[#This Row],[Attrition_Risk_Score]]*10000-HRData[[#This Row],[EmployeeNumber]])</f>
        <v/>
      </c>
    </row>
    <row r="311" spans="1:44">
      <c r="A311">
        <v>31</v>
      </c>
      <c r="B311" t="str" cm="1">
        <f t="array" ref="B311">_xlfn.IFS(
HRData[[#This Row],[Age]]&lt;=24,"18-24",
HRData[[#This Row],[Age]]&lt;=34,"25-34",
HRData[[#This Row],[Age]]&lt;=44,"35-44",
HRData[[#This Row],[Age]]&lt;=54,"45-54",
HRData[[#This Row],[Age]]&gt;=55,"55+"
)</f>
        <v>25-34</v>
      </c>
      <c r="C311" t="s">
        <v>43</v>
      </c>
      <c r="D311">
        <f>IF(HRData[[#This Row],[Attrition]]="Yes",1,0)</f>
        <v>0</v>
      </c>
      <c r="E311" t="s">
        <v>36</v>
      </c>
      <c r="F311">
        <v>691</v>
      </c>
      <c r="G311" t="s">
        <v>45</v>
      </c>
      <c r="H311">
        <v>5</v>
      </c>
      <c r="I311">
        <v>4</v>
      </c>
      <c r="J311" t="s">
        <v>60</v>
      </c>
      <c r="K311">
        <v>1</v>
      </c>
      <c r="L311">
        <v>423</v>
      </c>
      <c r="M311">
        <v>3</v>
      </c>
      <c r="N311" t="str" cm="1">
        <f t="array" ref="N311">_xlfn.IFS(HRData[[#This Row],[EnvironmentSatisfaction]]=1,"Very Dissatisfied",
HRData[[#This Row],[EnvironmentSatisfaction]]=2,"Dissatisfied",
HRData[[#This Row],[EnvironmentSatisfaction]]=3,"Satisfied",
HRData[[#This Row],[EnvironmentSatisfaction]]=4,"Very Satisfied"
)</f>
        <v>Satisfied</v>
      </c>
      <c r="O311" t="s">
        <v>46</v>
      </c>
      <c r="P311">
        <v>86</v>
      </c>
      <c r="Q311">
        <v>3</v>
      </c>
      <c r="R311">
        <v>1</v>
      </c>
      <c r="S311" t="s">
        <v>47</v>
      </c>
      <c r="T311">
        <v>4</v>
      </c>
      <c r="U311" t="str" cm="1">
        <f t="array" ref="U311">_xlfn.IFS(
HRData[[#This Row],[JobSatisfaction]]=1,"Very Dissatisfied",
HRData[[#This Row],[JobSatisfaction]]=2,"Dissatisfied",
HRData[[#This Row],[JobSatisfaction]]=3,"Satisfied",
HRData[[#This Row],[JobSatisfaction]]=4,"Very Satisfied"
)</f>
        <v>Very Satisfied</v>
      </c>
      <c r="V311" t="s">
        <v>48</v>
      </c>
      <c r="W311">
        <v>4821</v>
      </c>
      <c r="X311" t="str" cm="1">
        <f t="array" ref="X311">_xlfn.IFS(
HRData[[#This Row],[MonthlyIncome]]&lt;=4000,"Very Low Income",
HRData[[#This Row],[MonthlyIncome]]&lt;=8000,"Low Income",
HRData[[#This Row],[MonthlyIncome]]&lt;=12000,"Moderate Income",
HRData[[#This Row],[MonthlyIncome]]&lt;=16000,"High Income",
HRData[[#This Row],[MonthlyIncome]]&gt;16000,"Very High Income"
)</f>
        <v>Low Income</v>
      </c>
      <c r="Y311">
        <v>10077</v>
      </c>
      <c r="Z311">
        <v>0</v>
      </c>
      <c r="AA311" t="s">
        <v>42</v>
      </c>
      <c r="AB311" t="s">
        <v>35</v>
      </c>
      <c r="AC311">
        <v>12</v>
      </c>
      <c r="AD311" t="str" cm="1">
        <f t="array" ref="AD311">_xlfn.IFS(HRData[[#This Row],[PercentSalaryHike]]&lt;=15,"11-15",HRData[[#This Row],[PercentSalaryHike]]&lt;=20,"16-20",HRData[[#This Row],[PercentSalaryHike]]&gt;=21,"21+")</f>
        <v>11-15</v>
      </c>
      <c r="AE311">
        <v>3</v>
      </c>
      <c r="AF311">
        <v>3</v>
      </c>
      <c r="AG311">
        <v>80</v>
      </c>
      <c r="AH311">
        <v>1</v>
      </c>
      <c r="AI311">
        <v>6</v>
      </c>
      <c r="AJ311">
        <v>4</v>
      </c>
      <c r="AK311">
        <v>3</v>
      </c>
      <c r="AL311">
        <v>5</v>
      </c>
      <c r="AM311">
        <v>2</v>
      </c>
      <c r="AN311">
        <v>0</v>
      </c>
      <c r="AO311">
        <v>3</v>
      </c>
      <c r="AP31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11" t="str">
        <f>IF(HRData[[#This Row],[Attrition]]="Yes","Left", IF(HRData[[#This Row],[Attrition_Risk_Score]]&gt;=6,"High",IF(HRData[[#This Row],[Attrition_Risk_Score]]&gt;=3,"Medium","Low")))</f>
        <v>Medium</v>
      </c>
      <c r="AR311" t="str">
        <f>IF(HRData[[#This Row],[Attrition_Risk_Level]]&lt;&gt;"High","",HRData[[#This Row],[Attrition_Risk_Score]]*10000-HRData[[#This Row],[EmployeeNumber]])</f>
        <v/>
      </c>
    </row>
    <row r="312" spans="1:44">
      <c r="A312">
        <v>31</v>
      </c>
      <c r="B312" t="str" cm="1">
        <f t="array" ref="B312">_xlfn.IFS(
HRData[[#This Row],[Age]]&lt;=24,"18-24",
HRData[[#This Row],[Age]]&lt;=34,"25-34",
HRData[[#This Row],[Age]]&lt;=44,"35-44",
HRData[[#This Row],[Age]]&lt;=54,"45-54",
HRData[[#This Row],[Age]]&gt;=55,"55+"
)</f>
        <v>25-34</v>
      </c>
      <c r="C312" t="s">
        <v>43</v>
      </c>
      <c r="D312">
        <f>IF(HRData[[#This Row],[Attrition]]="Yes",1,0)</f>
        <v>0</v>
      </c>
      <c r="E312" t="s">
        <v>36</v>
      </c>
      <c r="F312">
        <v>106</v>
      </c>
      <c r="G312" t="s">
        <v>61</v>
      </c>
      <c r="H312">
        <v>2</v>
      </c>
      <c r="I312">
        <v>3</v>
      </c>
      <c r="J312" t="s">
        <v>61</v>
      </c>
      <c r="K312">
        <v>1</v>
      </c>
      <c r="L312">
        <v>424</v>
      </c>
      <c r="M312">
        <v>1</v>
      </c>
      <c r="N312" t="str" cm="1">
        <f t="array" ref="N312">_xlfn.IFS(HRData[[#This Row],[EnvironmentSatisfaction]]=1,"Very Dissatisfied",
HRData[[#This Row],[EnvironmentSatisfaction]]=2,"Dissatisfied",
HRData[[#This Row],[EnvironmentSatisfaction]]=3,"Satisfied",
HRData[[#This Row],[EnvironmentSatisfaction]]=4,"Very Satisfied"
)</f>
        <v>Very Dissatisfied</v>
      </c>
      <c r="O312" t="s">
        <v>46</v>
      </c>
      <c r="P312">
        <v>62</v>
      </c>
      <c r="Q312">
        <v>2</v>
      </c>
      <c r="R312">
        <v>2</v>
      </c>
      <c r="S312" t="s">
        <v>61</v>
      </c>
      <c r="T312">
        <v>1</v>
      </c>
      <c r="U312" t="str" cm="1">
        <f t="array" ref="U312">_xlfn.IFS(
HRData[[#This Row],[JobSatisfaction]]=1,"Very Dissatisfied",
HRData[[#This Row],[JobSatisfaction]]=2,"Dissatisfied",
HRData[[#This Row],[JobSatisfaction]]=3,"Satisfied",
HRData[[#This Row],[JobSatisfaction]]=4,"Very Satisfied"
)</f>
        <v>Very Dissatisfied</v>
      </c>
      <c r="V312" t="s">
        <v>48</v>
      </c>
      <c r="W312">
        <v>6410</v>
      </c>
      <c r="X312" t="str" cm="1">
        <f t="array" ref="X312">_xlfn.IFS(
HRData[[#This Row],[MonthlyIncome]]&lt;=4000,"Very Low Income",
HRData[[#This Row],[MonthlyIncome]]&lt;=8000,"Low Income",
HRData[[#This Row],[MonthlyIncome]]&lt;=12000,"Moderate Income",
HRData[[#This Row],[MonthlyIncome]]&lt;=16000,"High Income",
HRData[[#This Row],[MonthlyIncome]]&gt;16000,"Very High Income"
)</f>
        <v>Low Income</v>
      </c>
      <c r="Y312">
        <v>17822</v>
      </c>
      <c r="Z312">
        <v>3</v>
      </c>
      <c r="AA312" t="s">
        <v>42</v>
      </c>
      <c r="AB312" t="s">
        <v>43</v>
      </c>
      <c r="AC312">
        <v>12</v>
      </c>
      <c r="AD312" t="str" cm="1">
        <f t="array" ref="AD312">_xlfn.IFS(HRData[[#This Row],[PercentSalaryHike]]&lt;=15,"11-15",HRData[[#This Row],[PercentSalaryHike]]&lt;=20,"16-20",HRData[[#This Row],[PercentSalaryHike]]&gt;=21,"21+")</f>
        <v>11-15</v>
      </c>
      <c r="AE312">
        <v>3</v>
      </c>
      <c r="AF312">
        <v>4</v>
      </c>
      <c r="AG312">
        <v>80</v>
      </c>
      <c r="AH312">
        <v>0</v>
      </c>
      <c r="AI312">
        <v>9</v>
      </c>
      <c r="AJ312">
        <v>1</v>
      </c>
      <c r="AK312">
        <v>3</v>
      </c>
      <c r="AL312">
        <v>2</v>
      </c>
      <c r="AM312">
        <v>2</v>
      </c>
      <c r="AN312">
        <v>1</v>
      </c>
      <c r="AO312">
        <v>0</v>
      </c>
      <c r="AP31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312" t="str">
        <f>IF(HRData[[#This Row],[Attrition]]="Yes","Left", IF(HRData[[#This Row],[Attrition_Risk_Score]]&gt;=6,"High",IF(HRData[[#This Row],[Attrition_Risk_Score]]&gt;=3,"Medium","Low")))</f>
        <v>Medium</v>
      </c>
      <c r="AR312" t="str">
        <f>IF(HRData[[#This Row],[Attrition_Risk_Level]]&lt;&gt;"High","",HRData[[#This Row],[Attrition_Risk_Score]]*10000-HRData[[#This Row],[EmployeeNumber]])</f>
        <v/>
      </c>
    </row>
    <row r="313" spans="1:44">
      <c r="A313">
        <v>45</v>
      </c>
      <c r="B313" t="str" cm="1">
        <f t="array" ref="B313">_xlfn.IFS(
HRData[[#This Row],[Age]]&lt;=24,"18-24",
HRData[[#This Row],[Age]]&lt;=34,"25-34",
HRData[[#This Row],[Age]]&lt;=44,"35-44",
HRData[[#This Row],[Age]]&lt;=54,"45-54",
HRData[[#This Row],[Age]]&gt;=55,"55+"
)</f>
        <v>45-54</v>
      </c>
      <c r="C313" t="s">
        <v>43</v>
      </c>
      <c r="D313">
        <f>IF(HRData[[#This Row],[Attrition]]="Yes",1,0)</f>
        <v>0</v>
      </c>
      <c r="E313" t="s">
        <v>44</v>
      </c>
      <c r="F313">
        <v>1249</v>
      </c>
      <c r="G313" t="s">
        <v>45</v>
      </c>
      <c r="H313">
        <v>7</v>
      </c>
      <c r="I313">
        <v>3</v>
      </c>
      <c r="J313" t="s">
        <v>38</v>
      </c>
      <c r="K313">
        <v>1</v>
      </c>
      <c r="L313">
        <v>425</v>
      </c>
      <c r="M313">
        <v>1</v>
      </c>
      <c r="N313" t="str" cm="1">
        <f t="array" ref="N313">_xlfn.IFS(HRData[[#This Row],[EnvironmentSatisfaction]]=1,"Very Dissatisfied",
HRData[[#This Row],[EnvironmentSatisfaction]]=2,"Dissatisfied",
HRData[[#This Row],[EnvironmentSatisfaction]]=3,"Satisfied",
HRData[[#This Row],[EnvironmentSatisfaction]]=4,"Very Satisfied"
)</f>
        <v>Very Dissatisfied</v>
      </c>
      <c r="O313" t="s">
        <v>46</v>
      </c>
      <c r="P313">
        <v>97</v>
      </c>
      <c r="Q313">
        <v>3</v>
      </c>
      <c r="R313">
        <v>3</v>
      </c>
      <c r="S313" t="s">
        <v>50</v>
      </c>
      <c r="T313">
        <v>1</v>
      </c>
      <c r="U313" t="str" cm="1">
        <f t="array" ref="U313">_xlfn.IFS(
HRData[[#This Row],[JobSatisfaction]]=1,"Very Dissatisfied",
HRData[[#This Row],[JobSatisfaction]]=2,"Dissatisfied",
HRData[[#This Row],[JobSatisfaction]]=3,"Satisfied",
HRData[[#This Row],[JobSatisfaction]]=4,"Very Satisfied"
)</f>
        <v>Very Dissatisfied</v>
      </c>
      <c r="V313" t="s">
        <v>52</v>
      </c>
      <c r="W313">
        <v>5210</v>
      </c>
      <c r="X313" t="str" cm="1">
        <f t="array" ref="X313">_xlfn.IFS(
HRData[[#This Row],[MonthlyIncome]]&lt;=4000,"Very Low Income",
HRData[[#This Row],[MonthlyIncome]]&lt;=8000,"Low Income",
HRData[[#This Row],[MonthlyIncome]]&lt;=12000,"Moderate Income",
HRData[[#This Row],[MonthlyIncome]]&lt;=16000,"High Income",
HRData[[#This Row],[MonthlyIncome]]&gt;16000,"Very High Income"
)</f>
        <v>Low Income</v>
      </c>
      <c r="Y313">
        <v>20308</v>
      </c>
      <c r="Z313">
        <v>1</v>
      </c>
      <c r="AA313" t="s">
        <v>42</v>
      </c>
      <c r="AB313" t="s">
        <v>43</v>
      </c>
      <c r="AC313">
        <v>18</v>
      </c>
      <c r="AD313" t="str" cm="1">
        <f t="array" ref="AD313">_xlfn.IFS(HRData[[#This Row],[PercentSalaryHike]]&lt;=15,"11-15",HRData[[#This Row],[PercentSalaryHike]]&lt;=20,"16-20",HRData[[#This Row],[PercentSalaryHike]]&gt;=21,"21+")</f>
        <v>16-20</v>
      </c>
      <c r="AE313">
        <v>3</v>
      </c>
      <c r="AF313">
        <v>1</v>
      </c>
      <c r="AG313">
        <v>80</v>
      </c>
      <c r="AH313">
        <v>1</v>
      </c>
      <c r="AI313">
        <v>24</v>
      </c>
      <c r="AJ313">
        <v>2</v>
      </c>
      <c r="AK313">
        <v>3</v>
      </c>
      <c r="AL313">
        <v>24</v>
      </c>
      <c r="AM313">
        <v>9</v>
      </c>
      <c r="AN313">
        <v>9</v>
      </c>
      <c r="AO313">
        <v>11</v>
      </c>
      <c r="AP31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13" t="str">
        <f>IF(HRData[[#This Row],[Attrition]]="Yes","Left", IF(HRData[[#This Row],[Attrition_Risk_Score]]&gt;=6,"High",IF(HRData[[#This Row],[Attrition_Risk_Score]]&gt;=3,"Medium","Low")))</f>
        <v>Medium</v>
      </c>
      <c r="AR313" t="str">
        <f>IF(HRData[[#This Row],[Attrition_Risk_Level]]&lt;&gt;"High","",HRData[[#This Row],[Attrition_Risk_Score]]*10000-HRData[[#This Row],[EmployeeNumber]])</f>
        <v/>
      </c>
    </row>
    <row r="314" spans="1:44">
      <c r="A314">
        <v>31</v>
      </c>
      <c r="B314" t="str" cm="1">
        <f t="array" ref="B314">_xlfn.IFS(
HRData[[#This Row],[Age]]&lt;=24,"18-24",
HRData[[#This Row],[Age]]&lt;=34,"25-34",
HRData[[#This Row],[Age]]&lt;=44,"35-44",
HRData[[#This Row],[Age]]&lt;=54,"45-54",
HRData[[#This Row],[Age]]&gt;=55,"55+"
)</f>
        <v>25-34</v>
      </c>
      <c r="C314" t="s">
        <v>43</v>
      </c>
      <c r="D314">
        <f>IF(HRData[[#This Row],[Attrition]]="Yes",1,0)</f>
        <v>0</v>
      </c>
      <c r="E314" t="s">
        <v>36</v>
      </c>
      <c r="F314">
        <v>192</v>
      </c>
      <c r="G314" t="s">
        <v>45</v>
      </c>
      <c r="H314">
        <v>2</v>
      </c>
      <c r="I314">
        <v>4</v>
      </c>
      <c r="J314" t="s">
        <v>38</v>
      </c>
      <c r="K314">
        <v>1</v>
      </c>
      <c r="L314">
        <v>426</v>
      </c>
      <c r="M314">
        <v>3</v>
      </c>
      <c r="N314" t="str" cm="1">
        <f t="array" ref="N314">_xlfn.IFS(HRData[[#This Row],[EnvironmentSatisfaction]]=1,"Very Dissatisfied",
HRData[[#This Row],[EnvironmentSatisfaction]]=2,"Dissatisfied",
HRData[[#This Row],[EnvironmentSatisfaction]]=3,"Satisfied",
HRData[[#This Row],[EnvironmentSatisfaction]]=4,"Very Satisfied"
)</f>
        <v>Satisfied</v>
      </c>
      <c r="O314" t="s">
        <v>46</v>
      </c>
      <c r="P314">
        <v>32</v>
      </c>
      <c r="Q314">
        <v>3</v>
      </c>
      <c r="R314">
        <v>1</v>
      </c>
      <c r="S314" t="s">
        <v>47</v>
      </c>
      <c r="T314">
        <v>4</v>
      </c>
      <c r="U314" t="str" cm="1">
        <f t="array" ref="U314">_xlfn.IFS(
HRData[[#This Row],[JobSatisfaction]]=1,"Very Dissatisfied",
HRData[[#This Row],[JobSatisfaction]]=2,"Dissatisfied",
HRData[[#This Row],[JobSatisfaction]]=3,"Satisfied",
HRData[[#This Row],[JobSatisfaction]]=4,"Very Satisfied"
)</f>
        <v>Very Satisfied</v>
      </c>
      <c r="V314" t="s">
        <v>52</v>
      </c>
      <c r="W314">
        <v>2695</v>
      </c>
      <c r="X314" t="str" cm="1">
        <f t="array" ref="X314">_xlfn.IFS(
HRData[[#This Row],[MonthlyIncome]]&lt;=4000,"Very Low Income",
HRData[[#This Row],[MonthlyIncome]]&lt;=8000,"Low Income",
HRData[[#This Row],[MonthlyIncome]]&lt;=12000,"Moderate Income",
HRData[[#This Row],[MonthlyIncome]]&lt;=16000,"High Income",
HRData[[#This Row],[MonthlyIncome]]&gt;16000,"Very High Income"
)</f>
        <v>Very Low Income</v>
      </c>
      <c r="Y314">
        <v>7747</v>
      </c>
      <c r="Z314">
        <v>0</v>
      </c>
      <c r="AA314" t="s">
        <v>42</v>
      </c>
      <c r="AB314" t="s">
        <v>35</v>
      </c>
      <c r="AC314">
        <v>18</v>
      </c>
      <c r="AD314" t="str" cm="1">
        <f t="array" ref="AD314">_xlfn.IFS(HRData[[#This Row],[PercentSalaryHike]]&lt;=15,"11-15",HRData[[#This Row],[PercentSalaryHike]]&lt;=20,"16-20",HRData[[#This Row],[PercentSalaryHike]]&gt;=21,"21+")</f>
        <v>16-20</v>
      </c>
      <c r="AE314">
        <v>3</v>
      </c>
      <c r="AF314">
        <v>2</v>
      </c>
      <c r="AG314">
        <v>80</v>
      </c>
      <c r="AH314">
        <v>1</v>
      </c>
      <c r="AI314">
        <v>3</v>
      </c>
      <c r="AJ314">
        <v>2</v>
      </c>
      <c r="AK314">
        <v>1</v>
      </c>
      <c r="AL314">
        <v>2</v>
      </c>
      <c r="AM314">
        <v>2</v>
      </c>
      <c r="AN314">
        <v>2</v>
      </c>
      <c r="AO314">
        <v>2</v>
      </c>
      <c r="AP31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314" t="str">
        <f>IF(HRData[[#This Row],[Attrition]]="Yes","Left", IF(HRData[[#This Row],[Attrition_Risk_Score]]&gt;=6,"High",IF(HRData[[#This Row],[Attrition_Risk_Score]]&gt;=3,"Medium","Low")))</f>
        <v>Medium</v>
      </c>
      <c r="AR314" t="str">
        <f>IF(HRData[[#This Row],[Attrition_Risk_Level]]&lt;&gt;"High","",HRData[[#This Row],[Attrition_Risk_Score]]*10000-HRData[[#This Row],[EmployeeNumber]])</f>
        <v/>
      </c>
    </row>
    <row r="315" spans="1:44">
      <c r="A315">
        <v>33</v>
      </c>
      <c r="B315" t="str" cm="1">
        <f t="array" ref="B315">_xlfn.IFS(
HRData[[#This Row],[Age]]&lt;=24,"18-24",
HRData[[#This Row],[Age]]&lt;=34,"25-34",
HRData[[#This Row],[Age]]&lt;=44,"35-44",
HRData[[#This Row],[Age]]&lt;=54,"45-54",
HRData[[#This Row],[Age]]&gt;=55,"55+"
)</f>
        <v>25-34</v>
      </c>
      <c r="C315" t="s">
        <v>43</v>
      </c>
      <c r="D315">
        <f>IF(HRData[[#This Row],[Attrition]]="Yes",1,0)</f>
        <v>0</v>
      </c>
      <c r="E315" t="s">
        <v>44</v>
      </c>
      <c r="F315">
        <v>553</v>
      </c>
      <c r="G315" t="s">
        <v>45</v>
      </c>
      <c r="H315">
        <v>5</v>
      </c>
      <c r="I315">
        <v>4</v>
      </c>
      <c r="J315" t="s">
        <v>38</v>
      </c>
      <c r="K315">
        <v>1</v>
      </c>
      <c r="L315">
        <v>428</v>
      </c>
      <c r="M315">
        <v>4</v>
      </c>
      <c r="N315" t="str" cm="1">
        <f t="array" ref="N315">_xlfn.IFS(HRData[[#This Row],[EnvironmentSatisfaction]]=1,"Very Dissatisfied",
HRData[[#This Row],[EnvironmentSatisfaction]]=2,"Dissatisfied",
HRData[[#This Row],[EnvironmentSatisfaction]]=3,"Satisfied",
HRData[[#This Row],[EnvironmentSatisfaction]]=4,"Very Satisfied"
)</f>
        <v>Very Satisfied</v>
      </c>
      <c r="O315" t="s">
        <v>39</v>
      </c>
      <c r="P315">
        <v>74</v>
      </c>
      <c r="Q315">
        <v>3</v>
      </c>
      <c r="R315">
        <v>3</v>
      </c>
      <c r="S315" t="s">
        <v>56</v>
      </c>
      <c r="T315">
        <v>2</v>
      </c>
      <c r="U315" t="str" cm="1">
        <f t="array" ref="U315">_xlfn.IFS(
HRData[[#This Row],[JobSatisfaction]]=1,"Very Dissatisfied",
HRData[[#This Row],[JobSatisfaction]]=2,"Dissatisfied",
HRData[[#This Row],[JobSatisfaction]]=3,"Satisfied",
HRData[[#This Row],[JobSatisfaction]]=4,"Very Satisfied"
)</f>
        <v>Dissatisfied</v>
      </c>
      <c r="V315" t="s">
        <v>48</v>
      </c>
      <c r="W315">
        <v>11878</v>
      </c>
      <c r="X315" t="str" cm="1">
        <f t="array" ref="X315">_xlfn.IFS(
HRData[[#This Row],[MonthlyIncome]]&lt;=4000,"Very Low Income",
HRData[[#This Row],[MonthlyIncome]]&lt;=8000,"Low Income",
HRData[[#This Row],[MonthlyIncome]]&lt;=12000,"Moderate Income",
HRData[[#This Row],[MonthlyIncome]]&lt;=16000,"High Income",
HRData[[#This Row],[MonthlyIncome]]&gt;16000,"Very High Income"
)</f>
        <v>Moderate Income</v>
      </c>
      <c r="Y315">
        <v>23364</v>
      </c>
      <c r="Z315">
        <v>6</v>
      </c>
      <c r="AA315" t="s">
        <v>42</v>
      </c>
      <c r="AB315" t="s">
        <v>43</v>
      </c>
      <c r="AC315">
        <v>11</v>
      </c>
      <c r="AD315" t="str" cm="1">
        <f t="array" ref="AD315">_xlfn.IFS(HRData[[#This Row],[PercentSalaryHike]]&lt;=15,"11-15",HRData[[#This Row],[PercentSalaryHike]]&lt;=20,"16-20",HRData[[#This Row],[PercentSalaryHike]]&gt;=21,"21+")</f>
        <v>11-15</v>
      </c>
      <c r="AE315">
        <v>3</v>
      </c>
      <c r="AF315">
        <v>2</v>
      </c>
      <c r="AG315">
        <v>80</v>
      </c>
      <c r="AH315">
        <v>2</v>
      </c>
      <c r="AI315">
        <v>12</v>
      </c>
      <c r="AJ315">
        <v>2</v>
      </c>
      <c r="AK315">
        <v>3</v>
      </c>
      <c r="AL315">
        <v>10</v>
      </c>
      <c r="AM315">
        <v>6</v>
      </c>
      <c r="AN315">
        <v>8</v>
      </c>
      <c r="AO315">
        <v>8</v>
      </c>
      <c r="AP31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315" t="str">
        <f>IF(HRData[[#This Row],[Attrition]]="Yes","Left", IF(HRData[[#This Row],[Attrition_Risk_Score]]&gt;=6,"High",IF(HRData[[#This Row],[Attrition_Risk_Score]]&gt;=3,"Medium","Low")))</f>
        <v>Low</v>
      </c>
      <c r="AR315" t="str">
        <f>IF(HRData[[#This Row],[Attrition_Risk_Level]]&lt;&gt;"High","",HRData[[#This Row],[Attrition_Risk_Score]]*10000-HRData[[#This Row],[EmployeeNumber]])</f>
        <v/>
      </c>
    </row>
    <row r="316" spans="1:44">
      <c r="A316">
        <v>39</v>
      </c>
      <c r="B316" t="str" cm="1">
        <f t="array" ref="B316">_xlfn.IFS(
HRData[[#This Row],[Age]]&lt;=24,"18-24",
HRData[[#This Row],[Age]]&lt;=34,"25-34",
HRData[[#This Row],[Age]]&lt;=44,"35-44",
HRData[[#This Row],[Age]]&lt;=54,"45-54",
HRData[[#This Row],[Age]]&gt;=55,"55+"
)</f>
        <v>35-44</v>
      </c>
      <c r="C316" t="s">
        <v>43</v>
      </c>
      <c r="D316">
        <f>IF(HRData[[#This Row],[Attrition]]="Yes",1,0)</f>
        <v>0</v>
      </c>
      <c r="E316" t="s">
        <v>36</v>
      </c>
      <c r="F316">
        <v>117</v>
      </c>
      <c r="G316" t="s">
        <v>45</v>
      </c>
      <c r="H316">
        <v>10</v>
      </c>
      <c r="I316">
        <v>1</v>
      </c>
      <c r="J316" t="s">
        <v>51</v>
      </c>
      <c r="K316">
        <v>1</v>
      </c>
      <c r="L316">
        <v>429</v>
      </c>
      <c r="M316">
        <v>3</v>
      </c>
      <c r="N316" t="str" cm="1">
        <f t="array" ref="N316">_xlfn.IFS(HRData[[#This Row],[EnvironmentSatisfaction]]=1,"Very Dissatisfied",
HRData[[#This Row],[EnvironmentSatisfaction]]=2,"Dissatisfied",
HRData[[#This Row],[EnvironmentSatisfaction]]=3,"Satisfied",
HRData[[#This Row],[EnvironmentSatisfaction]]=4,"Very Satisfied"
)</f>
        <v>Satisfied</v>
      </c>
      <c r="O316" t="s">
        <v>46</v>
      </c>
      <c r="P316">
        <v>99</v>
      </c>
      <c r="Q316">
        <v>3</v>
      </c>
      <c r="R316">
        <v>4</v>
      </c>
      <c r="S316" t="s">
        <v>56</v>
      </c>
      <c r="T316">
        <v>1</v>
      </c>
      <c r="U316" t="str" cm="1">
        <f t="array" ref="U316">_xlfn.IFS(
HRData[[#This Row],[JobSatisfaction]]=1,"Very Dissatisfied",
HRData[[#This Row],[JobSatisfaction]]=2,"Dissatisfied",
HRData[[#This Row],[JobSatisfaction]]=3,"Satisfied",
HRData[[#This Row],[JobSatisfaction]]=4,"Very Satisfied"
)</f>
        <v>Very Dissatisfied</v>
      </c>
      <c r="V316" t="s">
        <v>48</v>
      </c>
      <c r="W316">
        <v>17068</v>
      </c>
      <c r="X316" t="str" cm="1">
        <f t="array" ref="X316">_xlfn.IFS(
HRData[[#This Row],[MonthlyIncome]]&lt;=4000,"Very Low Income",
HRData[[#This Row],[MonthlyIncome]]&lt;=8000,"Low Income",
HRData[[#This Row],[MonthlyIncome]]&lt;=12000,"Moderate Income",
HRData[[#This Row],[MonthlyIncome]]&lt;=16000,"High Income",
HRData[[#This Row],[MonthlyIncome]]&gt;16000,"Very High Income"
)</f>
        <v>Very High Income</v>
      </c>
      <c r="Y316">
        <v>5355</v>
      </c>
      <c r="Z316">
        <v>1</v>
      </c>
      <c r="AA316" t="s">
        <v>42</v>
      </c>
      <c r="AB316" t="s">
        <v>35</v>
      </c>
      <c r="AC316">
        <v>14</v>
      </c>
      <c r="AD316" t="str" cm="1">
        <f t="array" ref="AD316">_xlfn.IFS(HRData[[#This Row],[PercentSalaryHike]]&lt;=15,"11-15",HRData[[#This Row],[PercentSalaryHike]]&lt;=20,"16-20",HRData[[#This Row],[PercentSalaryHike]]&gt;=21,"21+")</f>
        <v>11-15</v>
      </c>
      <c r="AE316">
        <v>3</v>
      </c>
      <c r="AF316">
        <v>4</v>
      </c>
      <c r="AG316">
        <v>80</v>
      </c>
      <c r="AH316">
        <v>0</v>
      </c>
      <c r="AI316">
        <v>21</v>
      </c>
      <c r="AJ316">
        <v>3</v>
      </c>
      <c r="AK316">
        <v>3</v>
      </c>
      <c r="AL316">
        <v>21</v>
      </c>
      <c r="AM316">
        <v>9</v>
      </c>
      <c r="AN316">
        <v>11</v>
      </c>
      <c r="AO316">
        <v>10</v>
      </c>
      <c r="AP31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16" t="str">
        <f>IF(HRData[[#This Row],[Attrition]]="Yes","Left", IF(HRData[[#This Row],[Attrition_Risk_Score]]&gt;=6,"High",IF(HRData[[#This Row],[Attrition_Risk_Score]]&gt;=3,"Medium","Low")))</f>
        <v>Medium</v>
      </c>
      <c r="AR316" t="str">
        <f>IF(HRData[[#This Row],[Attrition_Risk_Level]]&lt;&gt;"High","",HRData[[#This Row],[Attrition_Risk_Score]]*10000-HRData[[#This Row],[EmployeeNumber]])</f>
        <v/>
      </c>
    </row>
    <row r="317" spans="1:44">
      <c r="A317">
        <v>43</v>
      </c>
      <c r="B317" t="str" cm="1">
        <f t="array" ref="B317">_xlfn.IFS(
HRData[[#This Row],[Age]]&lt;=24,"18-24",
HRData[[#This Row],[Age]]&lt;=34,"25-34",
HRData[[#This Row],[Age]]&lt;=44,"35-44",
HRData[[#This Row],[Age]]&lt;=54,"45-54",
HRData[[#This Row],[Age]]&gt;=55,"55+"
)</f>
        <v>35-44</v>
      </c>
      <c r="C317" t="s">
        <v>43</v>
      </c>
      <c r="D317">
        <f>IF(HRData[[#This Row],[Attrition]]="Yes",1,0)</f>
        <v>0</v>
      </c>
      <c r="E317" t="s">
        <v>44</v>
      </c>
      <c r="F317">
        <v>185</v>
      </c>
      <c r="G317" t="s">
        <v>45</v>
      </c>
      <c r="H317">
        <v>10</v>
      </c>
      <c r="I317">
        <v>4</v>
      </c>
      <c r="J317" t="s">
        <v>38</v>
      </c>
      <c r="K317">
        <v>1</v>
      </c>
      <c r="L317">
        <v>430</v>
      </c>
      <c r="M317">
        <v>3</v>
      </c>
      <c r="N317" t="str" cm="1">
        <f t="array" ref="N317">_xlfn.IFS(HRData[[#This Row],[EnvironmentSatisfaction]]=1,"Very Dissatisfied",
HRData[[#This Row],[EnvironmentSatisfaction]]=2,"Dissatisfied",
HRData[[#This Row],[EnvironmentSatisfaction]]=3,"Satisfied",
HRData[[#This Row],[EnvironmentSatisfaction]]=4,"Very Satisfied"
)</f>
        <v>Satisfied</v>
      </c>
      <c r="O317" t="s">
        <v>39</v>
      </c>
      <c r="P317">
        <v>33</v>
      </c>
      <c r="Q317">
        <v>3</v>
      </c>
      <c r="R317">
        <v>1</v>
      </c>
      <c r="S317" t="s">
        <v>50</v>
      </c>
      <c r="T317">
        <v>4</v>
      </c>
      <c r="U317" t="str" cm="1">
        <f t="array" ref="U317">_xlfn.IFS(
HRData[[#This Row],[JobSatisfaction]]=1,"Very Dissatisfied",
HRData[[#This Row],[JobSatisfaction]]=2,"Dissatisfied",
HRData[[#This Row],[JobSatisfaction]]=3,"Satisfied",
HRData[[#This Row],[JobSatisfaction]]=4,"Very Satisfied"
)</f>
        <v>Very Satisfied</v>
      </c>
      <c r="V317" t="s">
        <v>41</v>
      </c>
      <c r="W317">
        <v>2455</v>
      </c>
      <c r="X317" t="str" cm="1">
        <f t="array" ref="X317">_xlfn.IFS(
HRData[[#This Row],[MonthlyIncome]]&lt;=4000,"Very Low Income",
HRData[[#This Row],[MonthlyIncome]]&lt;=8000,"Low Income",
HRData[[#This Row],[MonthlyIncome]]&lt;=12000,"Moderate Income",
HRData[[#This Row],[MonthlyIncome]]&lt;=16000,"High Income",
HRData[[#This Row],[MonthlyIncome]]&gt;16000,"Very High Income"
)</f>
        <v>Very Low Income</v>
      </c>
      <c r="Y317">
        <v>10675</v>
      </c>
      <c r="Z317">
        <v>0</v>
      </c>
      <c r="AA317" t="s">
        <v>42</v>
      </c>
      <c r="AB317" t="s">
        <v>43</v>
      </c>
      <c r="AC317">
        <v>19</v>
      </c>
      <c r="AD317" t="str" cm="1">
        <f t="array" ref="AD317">_xlfn.IFS(HRData[[#This Row],[PercentSalaryHike]]&lt;=15,"11-15",HRData[[#This Row],[PercentSalaryHike]]&lt;=20,"16-20",HRData[[#This Row],[PercentSalaryHike]]&gt;=21,"21+")</f>
        <v>16-20</v>
      </c>
      <c r="AE317">
        <v>3</v>
      </c>
      <c r="AF317">
        <v>1</v>
      </c>
      <c r="AG317">
        <v>80</v>
      </c>
      <c r="AH317">
        <v>0</v>
      </c>
      <c r="AI317">
        <v>9</v>
      </c>
      <c r="AJ317">
        <v>5</v>
      </c>
      <c r="AK317">
        <v>3</v>
      </c>
      <c r="AL317">
        <v>8</v>
      </c>
      <c r="AM317">
        <v>7</v>
      </c>
      <c r="AN317">
        <v>1</v>
      </c>
      <c r="AO317">
        <v>7</v>
      </c>
      <c r="AP31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317" t="str">
        <f>IF(HRData[[#This Row],[Attrition]]="Yes","Left", IF(HRData[[#This Row],[Attrition_Risk_Score]]&gt;=6,"High",IF(HRData[[#This Row],[Attrition_Risk_Score]]&gt;=3,"Medium","Low")))</f>
        <v>Medium</v>
      </c>
      <c r="AR317" t="str">
        <f>IF(HRData[[#This Row],[Attrition_Risk_Level]]&lt;&gt;"High","",HRData[[#This Row],[Attrition_Risk_Score]]*10000-HRData[[#This Row],[EmployeeNumber]])</f>
        <v/>
      </c>
    </row>
    <row r="318" spans="1:44">
      <c r="A318">
        <v>49</v>
      </c>
      <c r="B318" t="str" cm="1">
        <f t="array" ref="B318">_xlfn.IFS(
HRData[[#This Row],[Age]]&lt;=24,"18-24",
HRData[[#This Row],[Age]]&lt;=34,"25-34",
HRData[[#This Row],[Age]]&lt;=44,"35-44",
HRData[[#This Row],[Age]]&lt;=54,"45-54",
HRData[[#This Row],[Age]]&gt;=55,"55+"
)</f>
        <v>45-54</v>
      </c>
      <c r="C318" t="s">
        <v>43</v>
      </c>
      <c r="D318">
        <f>IF(HRData[[#This Row],[Attrition]]="Yes",1,0)</f>
        <v>0</v>
      </c>
      <c r="E318" t="s">
        <v>36</v>
      </c>
      <c r="F318">
        <v>1091</v>
      </c>
      <c r="G318" t="s">
        <v>45</v>
      </c>
      <c r="H318">
        <v>1</v>
      </c>
      <c r="I318">
        <v>2</v>
      </c>
      <c r="J318" t="s">
        <v>60</v>
      </c>
      <c r="K318">
        <v>1</v>
      </c>
      <c r="L318">
        <v>431</v>
      </c>
      <c r="M318">
        <v>3</v>
      </c>
      <c r="N318" t="str" cm="1">
        <f t="array" ref="N318">_xlfn.IFS(HRData[[#This Row],[EnvironmentSatisfaction]]=1,"Very Dissatisfied",
HRData[[#This Row],[EnvironmentSatisfaction]]=2,"Dissatisfied",
HRData[[#This Row],[EnvironmentSatisfaction]]=3,"Satisfied",
HRData[[#This Row],[EnvironmentSatisfaction]]=4,"Very Satisfied"
)</f>
        <v>Satisfied</v>
      </c>
      <c r="O318" t="s">
        <v>39</v>
      </c>
      <c r="P318">
        <v>90</v>
      </c>
      <c r="Q318">
        <v>2</v>
      </c>
      <c r="R318">
        <v>4</v>
      </c>
      <c r="S318" t="s">
        <v>54</v>
      </c>
      <c r="T318">
        <v>3</v>
      </c>
      <c r="U318" t="str" cm="1">
        <f t="array" ref="U318">_xlfn.IFS(
HRData[[#This Row],[JobSatisfaction]]=1,"Very Dissatisfied",
HRData[[#This Row],[JobSatisfaction]]=2,"Dissatisfied",
HRData[[#This Row],[JobSatisfaction]]=3,"Satisfied",
HRData[[#This Row],[JobSatisfaction]]=4,"Very Satisfied"
)</f>
        <v>Satisfied</v>
      </c>
      <c r="V318" t="s">
        <v>41</v>
      </c>
      <c r="W318">
        <v>13964</v>
      </c>
      <c r="X318" t="str" cm="1">
        <f t="array" ref="X318">_xlfn.IFS(
HRData[[#This Row],[MonthlyIncome]]&lt;=4000,"Very Low Income",
HRData[[#This Row],[MonthlyIncome]]&lt;=8000,"Low Income",
HRData[[#This Row],[MonthlyIncome]]&lt;=12000,"Moderate Income",
HRData[[#This Row],[MonthlyIncome]]&lt;=16000,"High Income",
HRData[[#This Row],[MonthlyIncome]]&gt;16000,"Very High Income"
)</f>
        <v>High Income</v>
      </c>
      <c r="Y318">
        <v>17810</v>
      </c>
      <c r="Z318">
        <v>7</v>
      </c>
      <c r="AA318" t="s">
        <v>42</v>
      </c>
      <c r="AB318" t="s">
        <v>35</v>
      </c>
      <c r="AC318">
        <v>12</v>
      </c>
      <c r="AD318" t="str" cm="1">
        <f t="array" ref="AD318">_xlfn.IFS(HRData[[#This Row],[PercentSalaryHike]]&lt;=15,"11-15",HRData[[#This Row],[PercentSalaryHike]]&lt;=20,"16-20",HRData[[#This Row],[PercentSalaryHike]]&gt;=21,"21+")</f>
        <v>11-15</v>
      </c>
      <c r="AE318">
        <v>3</v>
      </c>
      <c r="AF318">
        <v>4</v>
      </c>
      <c r="AG318">
        <v>80</v>
      </c>
      <c r="AH318">
        <v>0</v>
      </c>
      <c r="AI318">
        <v>25</v>
      </c>
      <c r="AJ318">
        <v>2</v>
      </c>
      <c r="AK318">
        <v>3</v>
      </c>
      <c r="AL318">
        <v>7</v>
      </c>
      <c r="AM318">
        <v>1</v>
      </c>
      <c r="AN318">
        <v>0</v>
      </c>
      <c r="AO318">
        <v>7</v>
      </c>
      <c r="AP31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18" t="str">
        <f>IF(HRData[[#This Row],[Attrition]]="Yes","Left", IF(HRData[[#This Row],[Attrition_Risk_Score]]&gt;=6,"High",IF(HRData[[#This Row],[Attrition_Risk_Score]]&gt;=3,"Medium","Low")))</f>
        <v>Low</v>
      </c>
      <c r="AR318" t="str">
        <f>IF(HRData[[#This Row],[Attrition_Risk_Level]]&lt;&gt;"High","",HRData[[#This Row],[Attrition_Risk_Score]]*10000-HRData[[#This Row],[EmployeeNumber]])</f>
        <v/>
      </c>
    </row>
    <row r="319" spans="1:44">
      <c r="A319">
        <v>52</v>
      </c>
      <c r="B319" t="str" cm="1">
        <f t="array" ref="B319">_xlfn.IFS(
HRData[[#This Row],[Age]]&lt;=24,"18-24",
HRData[[#This Row],[Age]]&lt;=34,"25-34",
HRData[[#This Row],[Age]]&lt;=44,"35-44",
HRData[[#This Row],[Age]]&lt;=54,"45-54",
HRData[[#This Row],[Age]]&gt;=55,"55+"
)</f>
        <v>45-54</v>
      </c>
      <c r="C319" t="s">
        <v>35</v>
      </c>
      <c r="D319">
        <f>IF(HRData[[#This Row],[Attrition]]="Yes",1,0)</f>
        <v>1</v>
      </c>
      <c r="E319" t="s">
        <v>36</v>
      </c>
      <c r="F319">
        <v>723</v>
      </c>
      <c r="G319" t="s">
        <v>45</v>
      </c>
      <c r="H319">
        <v>8</v>
      </c>
      <c r="I319">
        <v>4</v>
      </c>
      <c r="J319" t="s">
        <v>51</v>
      </c>
      <c r="K319">
        <v>1</v>
      </c>
      <c r="L319">
        <v>433</v>
      </c>
      <c r="M319">
        <v>3</v>
      </c>
      <c r="N319" t="str" cm="1">
        <f t="array" ref="N319">_xlfn.IFS(HRData[[#This Row],[EnvironmentSatisfaction]]=1,"Very Dissatisfied",
HRData[[#This Row],[EnvironmentSatisfaction]]=2,"Dissatisfied",
HRData[[#This Row],[EnvironmentSatisfaction]]=3,"Satisfied",
HRData[[#This Row],[EnvironmentSatisfaction]]=4,"Very Satisfied"
)</f>
        <v>Satisfied</v>
      </c>
      <c r="O319" t="s">
        <v>46</v>
      </c>
      <c r="P319">
        <v>85</v>
      </c>
      <c r="Q319">
        <v>2</v>
      </c>
      <c r="R319">
        <v>2</v>
      </c>
      <c r="S319" t="s">
        <v>47</v>
      </c>
      <c r="T319">
        <v>2</v>
      </c>
      <c r="U319" t="str" cm="1">
        <f t="array" ref="U319">_xlfn.IFS(
HRData[[#This Row],[JobSatisfaction]]=1,"Very Dissatisfied",
HRData[[#This Row],[JobSatisfaction]]=2,"Dissatisfied",
HRData[[#This Row],[JobSatisfaction]]=3,"Satisfied",
HRData[[#This Row],[JobSatisfaction]]=4,"Very Satisfied"
)</f>
        <v>Dissatisfied</v>
      </c>
      <c r="V319" t="s">
        <v>48</v>
      </c>
      <c r="W319">
        <v>4941</v>
      </c>
      <c r="X319" t="str" cm="1">
        <f t="array" ref="X319">_xlfn.IFS(
HRData[[#This Row],[MonthlyIncome]]&lt;=4000,"Very Low Income",
HRData[[#This Row],[MonthlyIncome]]&lt;=8000,"Low Income",
HRData[[#This Row],[MonthlyIncome]]&lt;=12000,"Moderate Income",
HRData[[#This Row],[MonthlyIncome]]&lt;=16000,"High Income",
HRData[[#This Row],[MonthlyIncome]]&gt;16000,"Very High Income"
)</f>
        <v>Low Income</v>
      </c>
      <c r="Y319">
        <v>17747</v>
      </c>
      <c r="Z319">
        <v>2</v>
      </c>
      <c r="AA319" t="s">
        <v>42</v>
      </c>
      <c r="AB319" t="s">
        <v>43</v>
      </c>
      <c r="AC319">
        <v>15</v>
      </c>
      <c r="AD319" t="str" cm="1">
        <f t="array" ref="AD319">_xlfn.IFS(HRData[[#This Row],[PercentSalaryHike]]&lt;=15,"11-15",HRData[[#This Row],[PercentSalaryHike]]&lt;=20,"16-20",HRData[[#This Row],[PercentSalaryHike]]&gt;=21,"21+")</f>
        <v>11-15</v>
      </c>
      <c r="AE319">
        <v>3</v>
      </c>
      <c r="AF319">
        <v>1</v>
      </c>
      <c r="AG319">
        <v>80</v>
      </c>
      <c r="AH319">
        <v>0</v>
      </c>
      <c r="AI319">
        <v>11</v>
      </c>
      <c r="AJ319">
        <v>3</v>
      </c>
      <c r="AK319">
        <v>2</v>
      </c>
      <c r="AL319">
        <v>8</v>
      </c>
      <c r="AM319">
        <v>2</v>
      </c>
      <c r="AN319">
        <v>7</v>
      </c>
      <c r="AO319">
        <v>7</v>
      </c>
      <c r="AP31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319" t="str">
        <f>IF(HRData[[#This Row],[Attrition]]="Yes","Left", IF(HRData[[#This Row],[Attrition_Risk_Score]]&gt;=6,"High",IF(HRData[[#This Row],[Attrition_Risk_Score]]&gt;=3,"Medium","Low")))</f>
        <v>Left</v>
      </c>
      <c r="AR319" t="str">
        <f>IF(HRData[[#This Row],[Attrition_Risk_Level]]&lt;&gt;"High","",HRData[[#This Row],[Attrition_Risk_Score]]*10000-HRData[[#This Row],[EmployeeNumber]])</f>
        <v/>
      </c>
    </row>
    <row r="320" spans="1:44">
      <c r="A320">
        <v>27</v>
      </c>
      <c r="B320" t="str" cm="1">
        <f t="array" ref="B320">_xlfn.IFS(
HRData[[#This Row],[Age]]&lt;=24,"18-24",
HRData[[#This Row],[Age]]&lt;=34,"25-34",
HRData[[#This Row],[Age]]&lt;=44,"35-44",
HRData[[#This Row],[Age]]&lt;=54,"45-54",
HRData[[#This Row],[Age]]&gt;=55,"55+"
)</f>
        <v>25-34</v>
      </c>
      <c r="C320" t="s">
        <v>43</v>
      </c>
      <c r="D320">
        <f>IF(HRData[[#This Row],[Attrition]]="Yes",1,0)</f>
        <v>0</v>
      </c>
      <c r="E320" t="s">
        <v>36</v>
      </c>
      <c r="F320">
        <v>1220</v>
      </c>
      <c r="G320" t="s">
        <v>45</v>
      </c>
      <c r="H320">
        <v>5</v>
      </c>
      <c r="I320">
        <v>3</v>
      </c>
      <c r="J320" t="s">
        <v>38</v>
      </c>
      <c r="K320">
        <v>1</v>
      </c>
      <c r="L320">
        <v>434</v>
      </c>
      <c r="M320">
        <v>3</v>
      </c>
      <c r="N320" t="str" cm="1">
        <f t="array" ref="N320">_xlfn.IFS(HRData[[#This Row],[EnvironmentSatisfaction]]=1,"Very Dissatisfied",
HRData[[#This Row],[EnvironmentSatisfaction]]=2,"Dissatisfied",
HRData[[#This Row],[EnvironmentSatisfaction]]=3,"Satisfied",
HRData[[#This Row],[EnvironmentSatisfaction]]=4,"Very Satisfied"
)</f>
        <v>Satisfied</v>
      </c>
      <c r="O320" t="s">
        <v>39</v>
      </c>
      <c r="P320">
        <v>85</v>
      </c>
      <c r="Q320">
        <v>3</v>
      </c>
      <c r="R320">
        <v>1</v>
      </c>
      <c r="S320" t="s">
        <v>47</v>
      </c>
      <c r="T320">
        <v>2</v>
      </c>
      <c r="U320" t="str" cm="1">
        <f t="array" ref="U320">_xlfn.IFS(
HRData[[#This Row],[JobSatisfaction]]=1,"Very Dissatisfied",
HRData[[#This Row],[JobSatisfaction]]=2,"Dissatisfied",
HRData[[#This Row],[JobSatisfaction]]=3,"Satisfied",
HRData[[#This Row],[JobSatisfaction]]=4,"Very Satisfied"
)</f>
        <v>Dissatisfied</v>
      </c>
      <c r="V320" t="s">
        <v>41</v>
      </c>
      <c r="W320">
        <v>2478</v>
      </c>
      <c r="X320" t="str" cm="1">
        <f t="array" ref="X320">_xlfn.IFS(
HRData[[#This Row],[MonthlyIncome]]&lt;=4000,"Very Low Income",
HRData[[#This Row],[MonthlyIncome]]&lt;=8000,"Low Income",
HRData[[#This Row],[MonthlyIncome]]&lt;=12000,"Moderate Income",
HRData[[#This Row],[MonthlyIncome]]&lt;=16000,"High Income",
HRData[[#This Row],[MonthlyIncome]]&gt;16000,"Very High Income"
)</f>
        <v>Very Low Income</v>
      </c>
      <c r="Y320">
        <v>20938</v>
      </c>
      <c r="Z320">
        <v>1</v>
      </c>
      <c r="AA320" t="s">
        <v>42</v>
      </c>
      <c r="AB320" t="s">
        <v>35</v>
      </c>
      <c r="AC320">
        <v>12</v>
      </c>
      <c r="AD320" t="str" cm="1">
        <f t="array" ref="AD320">_xlfn.IFS(HRData[[#This Row],[PercentSalaryHike]]&lt;=15,"11-15",HRData[[#This Row],[PercentSalaryHike]]&lt;=20,"16-20",HRData[[#This Row],[PercentSalaryHike]]&gt;=21,"21+")</f>
        <v>11-15</v>
      </c>
      <c r="AE320">
        <v>3</v>
      </c>
      <c r="AF320">
        <v>2</v>
      </c>
      <c r="AG320">
        <v>80</v>
      </c>
      <c r="AH320">
        <v>0</v>
      </c>
      <c r="AI320">
        <v>4</v>
      </c>
      <c r="AJ320">
        <v>2</v>
      </c>
      <c r="AK320">
        <v>2</v>
      </c>
      <c r="AL320">
        <v>4</v>
      </c>
      <c r="AM320">
        <v>3</v>
      </c>
      <c r="AN320">
        <v>1</v>
      </c>
      <c r="AO320">
        <v>2</v>
      </c>
      <c r="AP32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320" t="str">
        <f>IF(HRData[[#This Row],[Attrition]]="Yes","Left", IF(HRData[[#This Row],[Attrition_Risk_Score]]&gt;=6,"High",IF(HRData[[#This Row],[Attrition_Risk_Score]]&gt;=3,"Medium","Low")))</f>
        <v>Medium</v>
      </c>
      <c r="AR320" t="str">
        <f>IF(HRData[[#This Row],[Attrition_Risk_Level]]&lt;&gt;"High","",HRData[[#This Row],[Attrition_Risk_Score]]*10000-HRData[[#This Row],[EmployeeNumber]])</f>
        <v/>
      </c>
    </row>
    <row r="321" spans="1:44">
      <c r="A321">
        <v>32</v>
      </c>
      <c r="B321" t="str" cm="1">
        <f t="array" ref="B321">_xlfn.IFS(
HRData[[#This Row],[Age]]&lt;=24,"18-24",
HRData[[#This Row],[Age]]&lt;=34,"25-34",
HRData[[#This Row],[Age]]&lt;=44,"35-44",
HRData[[#This Row],[Age]]&lt;=54,"45-54",
HRData[[#This Row],[Age]]&gt;=55,"55+"
)</f>
        <v>25-34</v>
      </c>
      <c r="C321" t="s">
        <v>43</v>
      </c>
      <c r="D321">
        <f>IF(HRData[[#This Row],[Attrition]]="Yes",1,0)</f>
        <v>0</v>
      </c>
      <c r="E321" t="s">
        <v>36</v>
      </c>
      <c r="F321">
        <v>588</v>
      </c>
      <c r="G321" t="s">
        <v>37</v>
      </c>
      <c r="H321">
        <v>8</v>
      </c>
      <c r="I321">
        <v>2</v>
      </c>
      <c r="J321" t="s">
        <v>60</v>
      </c>
      <c r="K321">
        <v>1</v>
      </c>
      <c r="L321">
        <v>436</v>
      </c>
      <c r="M321">
        <v>3</v>
      </c>
      <c r="N321" t="str" cm="1">
        <f t="array" ref="N321">_xlfn.IFS(HRData[[#This Row],[EnvironmentSatisfaction]]=1,"Very Dissatisfied",
HRData[[#This Row],[EnvironmentSatisfaction]]=2,"Dissatisfied",
HRData[[#This Row],[EnvironmentSatisfaction]]=3,"Satisfied",
HRData[[#This Row],[EnvironmentSatisfaction]]=4,"Very Satisfied"
)</f>
        <v>Satisfied</v>
      </c>
      <c r="O321" t="s">
        <v>39</v>
      </c>
      <c r="P321">
        <v>65</v>
      </c>
      <c r="Q321">
        <v>2</v>
      </c>
      <c r="R321">
        <v>2</v>
      </c>
      <c r="S321" t="s">
        <v>40</v>
      </c>
      <c r="T321">
        <v>2</v>
      </c>
      <c r="U321" t="str" cm="1">
        <f t="array" ref="U321">_xlfn.IFS(
HRData[[#This Row],[JobSatisfaction]]=1,"Very Dissatisfied",
HRData[[#This Row],[JobSatisfaction]]=2,"Dissatisfied",
HRData[[#This Row],[JobSatisfaction]]=3,"Satisfied",
HRData[[#This Row],[JobSatisfaction]]=4,"Very Satisfied"
)</f>
        <v>Dissatisfied</v>
      </c>
      <c r="V321" t="s">
        <v>48</v>
      </c>
      <c r="W321">
        <v>5228</v>
      </c>
      <c r="X321" t="str" cm="1">
        <f t="array" ref="X321">_xlfn.IFS(
HRData[[#This Row],[MonthlyIncome]]&lt;=4000,"Very Low Income",
HRData[[#This Row],[MonthlyIncome]]&lt;=8000,"Low Income",
HRData[[#This Row],[MonthlyIncome]]&lt;=12000,"Moderate Income",
HRData[[#This Row],[MonthlyIncome]]&lt;=16000,"High Income",
HRData[[#This Row],[MonthlyIncome]]&gt;16000,"Very High Income"
)</f>
        <v>Low Income</v>
      </c>
      <c r="Y321">
        <v>24624</v>
      </c>
      <c r="Z321">
        <v>1</v>
      </c>
      <c r="AA321" t="s">
        <v>42</v>
      </c>
      <c r="AB321" t="s">
        <v>35</v>
      </c>
      <c r="AC321">
        <v>11</v>
      </c>
      <c r="AD321" t="str" cm="1">
        <f t="array" ref="AD321">_xlfn.IFS(HRData[[#This Row],[PercentSalaryHike]]&lt;=15,"11-15",HRData[[#This Row],[PercentSalaryHike]]&lt;=20,"16-20",HRData[[#This Row],[PercentSalaryHike]]&gt;=21,"21+")</f>
        <v>11-15</v>
      </c>
      <c r="AE321">
        <v>3</v>
      </c>
      <c r="AF321">
        <v>4</v>
      </c>
      <c r="AG321">
        <v>80</v>
      </c>
      <c r="AH321">
        <v>0</v>
      </c>
      <c r="AI321">
        <v>13</v>
      </c>
      <c r="AJ321">
        <v>2</v>
      </c>
      <c r="AK321">
        <v>3</v>
      </c>
      <c r="AL321">
        <v>13</v>
      </c>
      <c r="AM321">
        <v>12</v>
      </c>
      <c r="AN321">
        <v>11</v>
      </c>
      <c r="AO321">
        <v>9</v>
      </c>
      <c r="AP32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21" t="str">
        <f>IF(HRData[[#This Row],[Attrition]]="Yes","Left", IF(HRData[[#This Row],[Attrition_Risk_Score]]&gt;=6,"High",IF(HRData[[#This Row],[Attrition_Risk_Score]]&gt;=3,"Medium","Low")))</f>
        <v>Medium</v>
      </c>
      <c r="AR321" t="str">
        <f>IF(HRData[[#This Row],[Attrition_Risk_Level]]&lt;&gt;"High","",HRData[[#This Row],[Attrition_Risk_Score]]*10000-HRData[[#This Row],[EmployeeNumber]])</f>
        <v/>
      </c>
    </row>
    <row r="322" spans="1:44">
      <c r="A322">
        <v>27</v>
      </c>
      <c r="B322" t="str" cm="1">
        <f t="array" ref="B322">_xlfn.IFS(
HRData[[#This Row],[Age]]&lt;=24,"18-24",
HRData[[#This Row],[Age]]&lt;=34,"25-34",
HRData[[#This Row],[Age]]&lt;=44,"35-44",
HRData[[#This Row],[Age]]&lt;=54,"45-54",
HRData[[#This Row],[Age]]&gt;=55,"55+"
)</f>
        <v>25-34</v>
      </c>
      <c r="C322" t="s">
        <v>43</v>
      </c>
      <c r="D322">
        <f>IF(HRData[[#This Row],[Attrition]]="Yes",1,0)</f>
        <v>0</v>
      </c>
      <c r="E322" t="s">
        <v>36</v>
      </c>
      <c r="F322">
        <v>1377</v>
      </c>
      <c r="G322" t="s">
        <v>37</v>
      </c>
      <c r="H322">
        <v>2</v>
      </c>
      <c r="I322">
        <v>3</v>
      </c>
      <c r="J322" t="s">
        <v>38</v>
      </c>
      <c r="K322">
        <v>1</v>
      </c>
      <c r="L322">
        <v>437</v>
      </c>
      <c r="M322">
        <v>4</v>
      </c>
      <c r="N322" t="str" cm="1">
        <f t="array" ref="N322">_xlfn.IFS(HRData[[#This Row],[EnvironmentSatisfaction]]=1,"Very Dissatisfied",
HRData[[#This Row],[EnvironmentSatisfaction]]=2,"Dissatisfied",
HRData[[#This Row],[EnvironmentSatisfaction]]=3,"Satisfied",
HRData[[#This Row],[EnvironmentSatisfaction]]=4,"Very Satisfied"
)</f>
        <v>Very Satisfied</v>
      </c>
      <c r="O322" t="s">
        <v>46</v>
      </c>
      <c r="P322">
        <v>74</v>
      </c>
      <c r="Q322">
        <v>3</v>
      </c>
      <c r="R322">
        <v>2</v>
      </c>
      <c r="S322" t="s">
        <v>40</v>
      </c>
      <c r="T322">
        <v>3</v>
      </c>
      <c r="U322" t="str" cm="1">
        <f t="array" ref="U322">_xlfn.IFS(
HRData[[#This Row],[JobSatisfaction]]=1,"Very Dissatisfied",
HRData[[#This Row],[JobSatisfaction]]=2,"Dissatisfied",
HRData[[#This Row],[JobSatisfaction]]=3,"Satisfied",
HRData[[#This Row],[JobSatisfaction]]=4,"Very Satisfied"
)</f>
        <v>Satisfied</v>
      </c>
      <c r="V322" t="s">
        <v>41</v>
      </c>
      <c r="W322">
        <v>4478</v>
      </c>
      <c r="X322" t="str" cm="1">
        <f t="array" ref="X322">_xlfn.IFS(
HRData[[#This Row],[MonthlyIncome]]&lt;=4000,"Very Low Income",
HRData[[#This Row],[MonthlyIncome]]&lt;=8000,"Low Income",
HRData[[#This Row],[MonthlyIncome]]&lt;=12000,"Moderate Income",
HRData[[#This Row],[MonthlyIncome]]&lt;=16000,"High Income",
HRData[[#This Row],[MonthlyIncome]]&gt;16000,"Very High Income"
)</f>
        <v>Low Income</v>
      </c>
      <c r="Y322">
        <v>5242</v>
      </c>
      <c r="Z322">
        <v>1</v>
      </c>
      <c r="AA322" t="s">
        <v>42</v>
      </c>
      <c r="AB322" t="s">
        <v>35</v>
      </c>
      <c r="AC322">
        <v>11</v>
      </c>
      <c r="AD322" t="str" cm="1">
        <f t="array" ref="AD322">_xlfn.IFS(HRData[[#This Row],[PercentSalaryHike]]&lt;=15,"11-15",HRData[[#This Row],[PercentSalaryHike]]&lt;=20,"16-20",HRData[[#This Row],[PercentSalaryHike]]&gt;=21,"21+")</f>
        <v>11-15</v>
      </c>
      <c r="AE322">
        <v>3</v>
      </c>
      <c r="AF322">
        <v>1</v>
      </c>
      <c r="AG322">
        <v>80</v>
      </c>
      <c r="AH322">
        <v>0</v>
      </c>
      <c r="AI322">
        <v>5</v>
      </c>
      <c r="AJ322">
        <v>3</v>
      </c>
      <c r="AK322">
        <v>3</v>
      </c>
      <c r="AL322">
        <v>5</v>
      </c>
      <c r="AM322">
        <v>4</v>
      </c>
      <c r="AN322">
        <v>0</v>
      </c>
      <c r="AO322">
        <v>4</v>
      </c>
      <c r="AP32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22" t="str">
        <f>IF(HRData[[#This Row],[Attrition]]="Yes","Left", IF(HRData[[#This Row],[Attrition_Risk_Score]]&gt;=6,"High",IF(HRData[[#This Row],[Attrition_Risk_Score]]&gt;=3,"Medium","Low")))</f>
        <v>Medium</v>
      </c>
      <c r="AR322" t="str">
        <f>IF(HRData[[#This Row],[Attrition_Risk_Level]]&lt;&gt;"High","",HRData[[#This Row],[Attrition_Risk_Score]]*10000-HRData[[#This Row],[EmployeeNumber]])</f>
        <v/>
      </c>
    </row>
    <row r="323" spans="1:44">
      <c r="A323">
        <v>31</v>
      </c>
      <c r="B323" t="str" cm="1">
        <f t="array" ref="B323">_xlfn.IFS(
HRData[[#This Row],[Age]]&lt;=24,"18-24",
HRData[[#This Row],[Age]]&lt;=34,"25-34",
HRData[[#This Row],[Age]]&lt;=44,"35-44",
HRData[[#This Row],[Age]]&lt;=54,"45-54",
HRData[[#This Row],[Age]]&gt;=55,"55+"
)</f>
        <v>25-34</v>
      </c>
      <c r="C323" t="s">
        <v>43</v>
      </c>
      <c r="D323">
        <f>IF(HRData[[#This Row],[Attrition]]="Yes",1,0)</f>
        <v>0</v>
      </c>
      <c r="E323" t="s">
        <v>36</v>
      </c>
      <c r="F323">
        <v>691</v>
      </c>
      <c r="G323" t="s">
        <v>37</v>
      </c>
      <c r="H323">
        <v>7</v>
      </c>
      <c r="I323">
        <v>3</v>
      </c>
      <c r="J323" t="s">
        <v>59</v>
      </c>
      <c r="K323">
        <v>1</v>
      </c>
      <c r="L323">
        <v>438</v>
      </c>
      <c r="M323">
        <v>4</v>
      </c>
      <c r="N323" t="str" cm="1">
        <f t="array" ref="N323">_xlfn.IFS(HRData[[#This Row],[EnvironmentSatisfaction]]=1,"Very Dissatisfied",
HRData[[#This Row],[EnvironmentSatisfaction]]=2,"Dissatisfied",
HRData[[#This Row],[EnvironmentSatisfaction]]=3,"Satisfied",
HRData[[#This Row],[EnvironmentSatisfaction]]=4,"Very Satisfied"
)</f>
        <v>Very Satisfied</v>
      </c>
      <c r="O323" t="s">
        <v>46</v>
      </c>
      <c r="P323">
        <v>73</v>
      </c>
      <c r="Q323">
        <v>3</v>
      </c>
      <c r="R323">
        <v>2</v>
      </c>
      <c r="S323" t="s">
        <v>40</v>
      </c>
      <c r="T323">
        <v>4</v>
      </c>
      <c r="U323" t="str" cm="1">
        <f t="array" ref="U323">_xlfn.IFS(
HRData[[#This Row],[JobSatisfaction]]=1,"Very Dissatisfied",
HRData[[#This Row],[JobSatisfaction]]=2,"Dissatisfied",
HRData[[#This Row],[JobSatisfaction]]=3,"Satisfied",
HRData[[#This Row],[JobSatisfaction]]=4,"Very Satisfied"
)</f>
        <v>Very Satisfied</v>
      </c>
      <c r="V323" t="s">
        <v>52</v>
      </c>
      <c r="W323">
        <v>7547</v>
      </c>
      <c r="X323" t="str" cm="1">
        <f t="array" ref="X323">_xlfn.IFS(
HRData[[#This Row],[MonthlyIncome]]&lt;=4000,"Very Low Income",
HRData[[#This Row],[MonthlyIncome]]&lt;=8000,"Low Income",
HRData[[#This Row],[MonthlyIncome]]&lt;=12000,"Moderate Income",
HRData[[#This Row],[MonthlyIncome]]&lt;=16000,"High Income",
HRData[[#This Row],[MonthlyIncome]]&gt;16000,"Very High Income"
)</f>
        <v>Low Income</v>
      </c>
      <c r="Y323">
        <v>7143</v>
      </c>
      <c r="Z323">
        <v>4</v>
      </c>
      <c r="AA323" t="s">
        <v>42</v>
      </c>
      <c r="AB323" t="s">
        <v>43</v>
      </c>
      <c r="AC323">
        <v>12</v>
      </c>
      <c r="AD323" t="str" cm="1">
        <f t="array" ref="AD323">_xlfn.IFS(HRData[[#This Row],[PercentSalaryHike]]&lt;=15,"11-15",HRData[[#This Row],[PercentSalaryHike]]&lt;=20,"16-20",HRData[[#This Row],[PercentSalaryHike]]&gt;=21,"21+")</f>
        <v>11-15</v>
      </c>
      <c r="AE323">
        <v>3</v>
      </c>
      <c r="AF323">
        <v>4</v>
      </c>
      <c r="AG323">
        <v>80</v>
      </c>
      <c r="AH323">
        <v>3</v>
      </c>
      <c r="AI323">
        <v>13</v>
      </c>
      <c r="AJ323">
        <v>3</v>
      </c>
      <c r="AK323">
        <v>3</v>
      </c>
      <c r="AL323">
        <v>7</v>
      </c>
      <c r="AM323">
        <v>7</v>
      </c>
      <c r="AN323">
        <v>1</v>
      </c>
      <c r="AO323">
        <v>7</v>
      </c>
      <c r="AP32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23" t="str">
        <f>IF(HRData[[#This Row],[Attrition]]="Yes","Left", IF(HRData[[#This Row],[Attrition_Risk_Score]]&gt;=6,"High",IF(HRData[[#This Row],[Attrition_Risk_Score]]&gt;=3,"Medium","Low")))</f>
        <v>Low</v>
      </c>
      <c r="AR323" t="str">
        <f>IF(HRData[[#This Row],[Attrition_Risk_Level]]&lt;&gt;"High","",HRData[[#This Row],[Attrition_Risk_Score]]*10000-HRData[[#This Row],[EmployeeNumber]])</f>
        <v/>
      </c>
    </row>
    <row r="324" spans="1:44">
      <c r="A324">
        <v>32</v>
      </c>
      <c r="B324" t="str" cm="1">
        <f t="array" ref="B324">_xlfn.IFS(
HRData[[#This Row],[Age]]&lt;=24,"18-24",
HRData[[#This Row],[Age]]&lt;=34,"25-34",
HRData[[#This Row],[Age]]&lt;=44,"35-44",
HRData[[#This Row],[Age]]&lt;=54,"45-54",
HRData[[#This Row],[Age]]&gt;=55,"55+"
)</f>
        <v>25-34</v>
      </c>
      <c r="C324" t="s">
        <v>43</v>
      </c>
      <c r="D324">
        <f>IF(HRData[[#This Row],[Attrition]]="Yes",1,0)</f>
        <v>0</v>
      </c>
      <c r="E324" t="s">
        <v>36</v>
      </c>
      <c r="F324">
        <v>1018</v>
      </c>
      <c r="G324" t="s">
        <v>45</v>
      </c>
      <c r="H324">
        <v>2</v>
      </c>
      <c r="I324">
        <v>4</v>
      </c>
      <c r="J324" t="s">
        <v>51</v>
      </c>
      <c r="K324">
        <v>1</v>
      </c>
      <c r="L324">
        <v>439</v>
      </c>
      <c r="M324">
        <v>1</v>
      </c>
      <c r="N324" t="str" cm="1">
        <f t="array" ref="N324">_xlfn.IFS(HRData[[#This Row],[EnvironmentSatisfaction]]=1,"Very Dissatisfied",
HRData[[#This Row],[EnvironmentSatisfaction]]=2,"Dissatisfied",
HRData[[#This Row],[EnvironmentSatisfaction]]=3,"Satisfied",
HRData[[#This Row],[EnvironmentSatisfaction]]=4,"Very Satisfied"
)</f>
        <v>Very Dissatisfied</v>
      </c>
      <c r="O324" t="s">
        <v>39</v>
      </c>
      <c r="P324">
        <v>74</v>
      </c>
      <c r="Q324">
        <v>4</v>
      </c>
      <c r="R324">
        <v>2</v>
      </c>
      <c r="S324" t="s">
        <v>47</v>
      </c>
      <c r="T324">
        <v>4</v>
      </c>
      <c r="U324" t="str" cm="1">
        <f t="array" ref="U324">_xlfn.IFS(
HRData[[#This Row],[JobSatisfaction]]=1,"Very Dissatisfied",
HRData[[#This Row],[JobSatisfaction]]=2,"Dissatisfied",
HRData[[#This Row],[JobSatisfaction]]=3,"Satisfied",
HRData[[#This Row],[JobSatisfaction]]=4,"Very Satisfied"
)</f>
        <v>Very Satisfied</v>
      </c>
      <c r="V324" t="s">
        <v>41</v>
      </c>
      <c r="W324">
        <v>5055</v>
      </c>
      <c r="X324" t="str" cm="1">
        <f t="array" ref="X324">_xlfn.IFS(
HRData[[#This Row],[MonthlyIncome]]&lt;=4000,"Very Low Income",
HRData[[#This Row],[MonthlyIncome]]&lt;=8000,"Low Income",
HRData[[#This Row],[MonthlyIncome]]&lt;=12000,"Moderate Income",
HRData[[#This Row],[MonthlyIncome]]&lt;=16000,"High Income",
HRData[[#This Row],[MonthlyIncome]]&gt;16000,"Very High Income"
)</f>
        <v>Low Income</v>
      </c>
      <c r="Y324">
        <v>10557</v>
      </c>
      <c r="Z324">
        <v>7</v>
      </c>
      <c r="AA324" t="s">
        <v>42</v>
      </c>
      <c r="AB324" t="s">
        <v>43</v>
      </c>
      <c r="AC324">
        <v>16</v>
      </c>
      <c r="AD324" t="str" cm="1">
        <f t="array" ref="AD324">_xlfn.IFS(HRData[[#This Row],[PercentSalaryHike]]&lt;=15,"11-15",HRData[[#This Row],[PercentSalaryHike]]&lt;=20,"16-20",HRData[[#This Row],[PercentSalaryHike]]&gt;=21,"21+")</f>
        <v>16-20</v>
      </c>
      <c r="AE324">
        <v>3</v>
      </c>
      <c r="AF324">
        <v>3</v>
      </c>
      <c r="AG324">
        <v>80</v>
      </c>
      <c r="AH324">
        <v>0</v>
      </c>
      <c r="AI324">
        <v>10</v>
      </c>
      <c r="AJ324">
        <v>0</v>
      </c>
      <c r="AK324">
        <v>2</v>
      </c>
      <c r="AL324">
        <v>7</v>
      </c>
      <c r="AM324">
        <v>7</v>
      </c>
      <c r="AN324">
        <v>0</v>
      </c>
      <c r="AO324">
        <v>7</v>
      </c>
      <c r="AP32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24" t="str">
        <f>IF(HRData[[#This Row],[Attrition]]="Yes","Left", IF(HRData[[#This Row],[Attrition_Risk_Score]]&gt;=6,"High",IF(HRData[[#This Row],[Attrition_Risk_Score]]&gt;=3,"Medium","Low")))</f>
        <v>Low</v>
      </c>
      <c r="AR324" t="str">
        <f>IF(HRData[[#This Row],[Attrition_Risk_Level]]&lt;&gt;"High","",HRData[[#This Row],[Attrition_Risk_Score]]*10000-HRData[[#This Row],[EmployeeNumber]])</f>
        <v/>
      </c>
    </row>
    <row r="325" spans="1:44">
      <c r="A325">
        <v>28</v>
      </c>
      <c r="B325" t="str" cm="1">
        <f t="array" ref="B325">_xlfn.IFS(
HRData[[#This Row],[Age]]&lt;=24,"18-24",
HRData[[#This Row],[Age]]&lt;=34,"25-34",
HRData[[#This Row],[Age]]&lt;=44,"35-44",
HRData[[#This Row],[Age]]&lt;=54,"45-54",
HRData[[#This Row],[Age]]&gt;=55,"55+"
)</f>
        <v>25-34</v>
      </c>
      <c r="C325" t="s">
        <v>35</v>
      </c>
      <c r="D325">
        <f>IF(HRData[[#This Row],[Attrition]]="Yes",1,0)</f>
        <v>1</v>
      </c>
      <c r="E325" t="s">
        <v>36</v>
      </c>
      <c r="F325">
        <v>1157</v>
      </c>
      <c r="G325" t="s">
        <v>45</v>
      </c>
      <c r="H325">
        <v>2</v>
      </c>
      <c r="I325">
        <v>4</v>
      </c>
      <c r="J325" t="s">
        <v>51</v>
      </c>
      <c r="K325">
        <v>1</v>
      </c>
      <c r="L325">
        <v>440</v>
      </c>
      <c r="M325">
        <v>1</v>
      </c>
      <c r="N325" t="str" cm="1">
        <f t="array" ref="N325">_xlfn.IFS(HRData[[#This Row],[EnvironmentSatisfaction]]=1,"Very Dissatisfied",
HRData[[#This Row],[EnvironmentSatisfaction]]=2,"Dissatisfied",
HRData[[#This Row],[EnvironmentSatisfaction]]=3,"Satisfied",
HRData[[#This Row],[EnvironmentSatisfaction]]=4,"Very Satisfied"
)</f>
        <v>Very Dissatisfied</v>
      </c>
      <c r="O325" t="s">
        <v>46</v>
      </c>
      <c r="P325">
        <v>84</v>
      </c>
      <c r="Q325">
        <v>1</v>
      </c>
      <c r="R325">
        <v>1</v>
      </c>
      <c r="S325" t="s">
        <v>47</v>
      </c>
      <c r="T325">
        <v>4</v>
      </c>
      <c r="U325" t="str" cm="1">
        <f t="array" ref="U325">_xlfn.IFS(
HRData[[#This Row],[JobSatisfaction]]=1,"Very Dissatisfied",
HRData[[#This Row],[JobSatisfaction]]=2,"Dissatisfied",
HRData[[#This Row],[JobSatisfaction]]=3,"Satisfied",
HRData[[#This Row],[JobSatisfaction]]=4,"Very Satisfied"
)</f>
        <v>Very Satisfied</v>
      </c>
      <c r="V325" t="s">
        <v>48</v>
      </c>
      <c r="W325">
        <v>3464</v>
      </c>
      <c r="X325" t="str" cm="1">
        <f t="array" ref="X325">_xlfn.IFS(
HRData[[#This Row],[MonthlyIncome]]&lt;=4000,"Very Low Income",
HRData[[#This Row],[MonthlyIncome]]&lt;=8000,"Low Income",
HRData[[#This Row],[MonthlyIncome]]&lt;=12000,"Moderate Income",
HRData[[#This Row],[MonthlyIncome]]&lt;=16000,"High Income",
HRData[[#This Row],[MonthlyIncome]]&gt;16000,"Very High Income"
)</f>
        <v>Very Low Income</v>
      </c>
      <c r="Y325">
        <v>24737</v>
      </c>
      <c r="Z325">
        <v>5</v>
      </c>
      <c r="AA325" t="s">
        <v>42</v>
      </c>
      <c r="AB325" t="s">
        <v>35</v>
      </c>
      <c r="AC325">
        <v>13</v>
      </c>
      <c r="AD325" t="str" cm="1">
        <f t="array" ref="AD325">_xlfn.IFS(HRData[[#This Row],[PercentSalaryHike]]&lt;=15,"11-15",HRData[[#This Row],[PercentSalaryHike]]&lt;=20,"16-20",HRData[[#This Row],[PercentSalaryHike]]&gt;=21,"21+")</f>
        <v>11-15</v>
      </c>
      <c r="AE325">
        <v>3</v>
      </c>
      <c r="AF325">
        <v>4</v>
      </c>
      <c r="AG325">
        <v>80</v>
      </c>
      <c r="AH325">
        <v>0</v>
      </c>
      <c r="AI325">
        <v>5</v>
      </c>
      <c r="AJ325">
        <v>4</v>
      </c>
      <c r="AK325">
        <v>2</v>
      </c>
      <c r="AL325">
        <v>3</v>
      </c>
      <c r="AM325">
        <v>2</v>
      </c>
      <c r="AN325">
        <v>2</v>
      </c>
      <c r="AO325">
        <v>2</v>
      </c>
      <c r="AP32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325" t="str">
        <f>IF(HRData[[#This Row],[Attrition]]="Yes","Left", IF(HRData[[#This Row],[Attrition_Risk_Score]]&gt;=6,"High",IF(HRData[[#This Row],[Attrition_Risk_Score]]&gt;=3,"Medium","Low")))</f>
        <v>Left</v>
      </c>
      <c r="AR325" t="str">
        <f>IF(HRData[[#This Row],[Attrition_Risk_Level]]&lt;&gt;"High","",HRData[[#This Row],[Attrition_Risk_Score]]*10000-HRData[[#This Row],[EmployeeNumber]])</f>
        <v/>
      </c>
    </row>
    <row r="326" spans="1:44">
      <c r="A326">
        <v>30</v>
      </c>
      <c r="B326" t="str" cm="1">
        <f t="array" ref="B326">_xlfn.IFS(
HRData[[#This Row],[Age]]&lt;=24,"18-24",
HRData[[#This Row],[Age]]&lt;=34,"25-34",
HRData[[#This Row],[Age]]&lt;=44,"35-44",
HRData[[#This Row],[Age]]&lt;=54,"45-54",
HRData[[#This Row],[Age]]&gt;=55,"55+"
)</f>
        <v>25-34</v>
      </c>
      <c r="C326" t="s">
        <v>43</v>
      </c>
      <c r="D326">
        <f>IF(HRData[[#This Row],[Attrition]]="Yes",1,0)</f>
        <v>0</v>
      </c>
      <c r="E326" t="s">
        <v>36</v>
      </c>
      <c r="F326">
        <v>1275</v>
      </c>
      <c r="G326" t="s">
        <v>45</v>
      </c>
      <c r="H326">
        <v>28</v>
      </c>
      <c r="I326">
        <v>2</v>
      </c>
      <c r="J326" t="s">
        <v>51</v>
      </c>
      <c r="K326">
        <v>1</v>
      </c>
      <c r="L326">
        <v>441</v>
      </c>
      <c r="M326">
        <v>4</v>
      </c>
      <c r="N326" t="str" cm="1">
        <f t="array" ref="N326">_xlfn.IFS(HRData[[#This Row],[EnvironmentSatisfaction]]=1,"Very Dissatisfied",
HRData[[#This Row],[EnvironmentSatisfaction]]=2,"Dissatisfied",
HRData[[#This Row],[EnvironmentSatisfaction]]=3,"Satisfied",
HRData[[#This Row],[EnvironmentSatisfaction]]=4,"Very Satisfied"
)</f>
        <v>Very Satisfied</v>
      </c>
      <c r="O326" t="s">
        <v>39</v>
      </c>
      <c r="P326">
        <v>64</v>
      </c>
      <c r="Q326">
        <v>3</v>
      </c>
      <c r="R326">
        <v>2</v>
      </c>
      <c r="S326" t="s">
        <v>47</v>
      </c>
      <c r="T326">
        <v>4</v>
      </c>
      <c r="U326" t="str" cm="1">
        <f t="array" ref="U326">_xlfn.IFS(
HRData[[#This Row],[JobSatisfaction]]=1,"Very Dissatisfied",
HRData[[#This Row],[JobSatisfaction]]=2,"Dissatisfied",
HRData[[#This Row],[JobSatisfaction]]=3,"Satisfied",
HRData[[#This Row],[JobSatisfaction]]=4,"Very Satisfied"
)</f>
        <v>Very Satisfied</v>
      </c>
      <c r="V326" t="s">
        <v>48</v>
      </c>
      <c r="W326">
        <v>5775</v>
      </c>
      <c r="X326" t="str" cm="1">
        <f t="array" ref="X326">_xlfn.IFS(
HRData[[#This Row],[MonthlyIncome]]&lt;=4000,"Very Low Income",
HRData[[#This Row],[MonthlyIncome]]&lt;=8000,"Low Income",
HRData[[#This Row],[MonthlyIncome]]&lt;=12000,"Moderate Income",
HRData[[#This Row],[MonthlyIncome]]&lt;=16000,"High Income",
HRData[[#This Row],[MonthlyIncome]]&gt;16000,"Very High Income"
)</f>
        <v>Low Income</v>
      </c>
      <c r="Y326">
        <v>11934</v>
      </c>
      <c r="Z326">
        <v>1</v>
      </c>
      <c r="AA326" t="s">
        <v>42</v>
      </c>
      <c r="AB326" t="s">
        <v>43</v>
      </c>
      <c r="AC326">
        <v>13</v>
      </c>
      <c r="AD326" t="str" cm="1">
        <f t="array" ref="AD326">_xlfn.IFS(HRData[[#This Row],[PercentSalaryHike]]&lt;=15,"11-15",HRData[[#This Row],[PercentSalaryHike]]&lt;=20,"16-20",HRData[[#This Row],[PercentSalaryHike]]&gt;=21,"21+")</f>
        <v>11-15</v>
      </c>
      <c r="AE326">
        <v>3</v>
      </c>
      <c r="AF326">
        <v>4</v>
      </c>
      <c r="AG326">
        <v>80</v>
      </c>
      <c r="AH326">
        <v>2</v>
      </c>
      <c r="AI326">
        <v>11</v>
      </c>
      <c r="AJ326">
        <v>2</v>
      </c>
      <c r="AK326">
        <v>3</v>
      </c>
      <c r="AL326">
        <v>10</v>
      </c>
      <c r="AM326">
        <v>8</v>
      </c>
      <c r="AN326">
        <v>1</v>
      </c>
      <c r="AO326">
        <v>9</v>
      </c>
      <c r="AP32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26" t="str">
        <f>IF(HRData[[#This Row],[Attrition]]="Yes","Left", IF(HRData[[#This Row],[Attrition_Risk_Score]]&gt;=6,"High",IF(HRData[[#This Row],[Attrition_Risk_Score]]&gt;=3,"Medium","Low")))</f>
        <v>Low</v>
      </c>
      <c r="AR326" t="str">
        <f>IF(HRData[[#This Row],[Attrition_Risk_Level]]&lt;&gt;"High","",HRData[[#This Row],[Attrition_Risk_Score]]*10000-HRData[[#This Row],[EmployeeNumber]])</f>
        <v/>
      </c>
    </row>
    <row r="327" spans="1:44">
      <c r="A327">
        <v>31</v>
      </c>
      <c r="B327" t="str" cm="1">
        <f t="array" ref="B327">_xlfn.IFS(
HRData[[#This Row],[Age]]&lt;=24,"18-24",
HRData[[#This Row],[Age]]&lt;=34,"25-34",
HRData[[#This Row],[Age]]&lt;=44,"35-44",
HRData[[#This Row],[Age]]&lt;=54,"45-54",
HRData[[#This Row],[Age]]&gt;=55,"55+"
)</f>
        <v>25-34</v>
      </c>
      <c r="C327" t="s">
        <v>43</v>
      </c>
      <c r="D327">
        <f>IF(HRData[[#This Row],[Attrition]]="Yes",1,0)</f>
        <v>0</v>
      </c>
      <c r="E327" t="s">
        <v>44</v>
      </c>
      <c r="F327">
        <v>798</v>
      </c>
      <c r="G327" t="s">
        <v>45</v>
      </c>
      <c r="H327">
        <v>7</v>
      </c>
      <c r="I327">
        <v>2</v>
      </c>
      <c r="J327" t="s">
        <v>38</v>
      </c>
      <c r="K327">
        <v>1</v>
      </c>
      <c r="L327">
        <v>442</v>
      </c>
      <c r="M327">
        <v>3</v>
      </c>
      <c r="N327" t="str" cm="1">
        <f t="array" ref="N327">_xlfn.IFS(HRData[[#This Row],[EnvironmentSatisfaction]]=1,"Very Dissatisfied",
HRData[[#This Row],[EnvironmentSatisfaction]]=2,"Dissatisfied",
HRData[[#This Row],[EnvironmentSatisfaction]]=3,"Satisfied",
HRData[[#This Row],[EnvironmentSatisfaction]]=4,"Very Satisfied"
)</f>
        <v>Satisfied</v>
      </c>
      <c r="O327" t="s">
        <v>39</v>
      </c>
      <c r="P327">
        <v>48</v>
      </c>
      <c r="Q327">
        <v>2</v>
      </c>
      <c r="R327">
        <v>3</v>
      </c>
      <c r="S327" t="s">
        <v>53</v>
      </c>
      <c r="T327">
        <v>3</v>
      </c>
      <c r="U327" t="str" cm="1">
        <f t="array" ref="U327">_xlfn.IFS(
HRData[[#This Row],[JobSatisfaction]]=1,"Very Dissatisfied",
HRData[[#This Row],[JobSatisfaction]]=2,"Dissatisfied",
HRData[[#This Row],[JobSatisfaction]]=3,"Satisfied",
HRData[[#This Row],[JobSatisfaction]]=4,"Very Satisfied"
)</f>
        <v>Satisfied</v>
      </c>
      <c r="V327" t="s">
        <v>48</v>
      </c>
      <c r="W327">
        <v>8943</v>
      </c>
      <c r="X327" t="str" cm="1">
        <f t="array" ref="X327">_xlfn.IFS(
HRData[[#This Row],[MonthlyIncome]]&lt;=4000,"Very Low Income",
HRData[[#This Row],[MonthlyIncome]]&lt;=8000,"Low Income",
HRData[[#This Row],[MonthlyIncome]]&lt;=12000,"Moderate Income",
HRData[[#This Row],[MonthlyIncome]]&lt;=16000,"High Income",
HRData[[#This Row],[MonthlyIncome]]&gt;16000,"Very High Income"
)</f>
        <v>Moderate Income</v>
      </c>
      <c r="Y327">
        <v>14034</v>
      </c>
      <c r="Z327">
        <v>1</v>
      </c>
      <c r="AA327" t="s">
        <v>42</v>
      </c>
      <c r="AB327" t="s">
        <v>43</v>
      </c>
      <c r="AC327">
        <v>24</v>
      </c>
      <c r="AD327" t="str" cm="1">
        <f t="array" ref="AD327">_xlfn.IFS(HRData[[#This Row],[PercentSalaryHike]]&lt;=15,"11-15",HRData[[#This Row],[PercentSalaryHike]]&lt;=20,"16-20",HRData[[#This Row],[PercentSalaryHike]]&gt;=21,"21+")</f>
        <v>21+</v>
      </c>
      <c r="AE327">
        <v>4</v>
      </c>
      <c r="AF327">
        <v>1</v>
      </c>
      <c r="AG327">
        <v>80</v>
      </c>
      <c r="AH327">
        <v>1</v>
      </c>
      <c r="AI327">
        <v>10</v>
      </c>
      <c r="AJ327">
        <v>2</v>
      </c>
      <c r="AK327">
        <v>3</v>
      </c>
      <c r="AL327">
        <v>10</v>
      </c>
      <c r="AM327">
        <v>9</v>
      </c>
      <c r="AN327">
        <v>8</v>
      </c>
      <c r="AO327">
        <v>9</v>
      </c>
      <c r="AP32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327" t="str">
        <f>IF(HRData[[#This Row],[Attrition]]="Yes","Left", IF(HRData[[#This Row],[Attrition_Risk_Score]]&gt;=6,"High",IF(HRData[[#This Row],[Attrition_Risk_Score]]&gt;=3,"Medium","Low")))</f>
        <v>Low</v>
      </c>
      <c r="AR327" t="str">
        <f>IF(HRData[[#This Row],[Attrition_Risk_Level]]&lt;&gt;"High","",HRData[[#This Row],[Attrition_Risk_Score]]*10000-HRData[[#This Row],[EmployeeNumber]])</f>
        <v/>
      </c>
    </row>
    <row r="328" spans="1:44">
      <c r="A328">
        <v>39</v>
      </c>
      <c r="B328" t="str" cm="1">
        <f t="array" ref="B328">_xlfn.IFS(
HRData[[#This Row],[Age]]&lt;=24,"18-24",
HRData[[#This Row],[Age]]&lt;=34,"25-34",
HRData[[#This Row],[Age]]&lt;=44,"35-44",
HRData[[#This Row],[Age]]&lt;=54,"45-54",
HRData[[#This Row],[Age]]&gt;=55,"55+"
)</f>
        <v>35-44</v>
      </c>
      <c r="C328" t="s">
        <v>43</v>
      </c>
      <c r="D328">
        <f>IF(HRData[[#This Row],[Attrition]]="Yes",1,0)</f>
        <v>0</v>
      </c>
      <c r="E328" t="s">
        <v>44</v>
      </c>
      <c r="F328">
        <v>672</v>
      </c>
      <c r="G328" t="s">
        <v>45</v>
      </c>
      <c r="H328">
        <v>7</v>
      </c>
      <c r="I328">
        <v>2</v>
      </c>
      <c r="J328" t="s">
        <v>51</v>
      </c>
      <c r="K328">
        <v>1</v>
      </c>
      <c r="L328">
        <v>444</v>
      </c>
      <c r="M328">
        <v>3</v>
      </c>
      <c r="N328" t="str" cm="1">
        <f t="array" ref="N328">_xlfn.IFS(HRData[[#This Row],[EnvironmentSatisfaction]]=1,"Very Dissatisfied",
HRData[[#This Row],[EnvironmentSatisfaction]]=2,"Dissatisfied",
HRData[[#This Row],[EnvironmentSatisfaction]]=3,"Satisfied",
HRData[[#This Row],[EnvironmentSatisfaction]]=4,"Very Satisfied"
)</f>
        <v>Satisfied</v>
      </c>
      <c r="O328" t="s">
        <v>46</v>
      </c>
      <c r="P328">
        <v>54</v>
      </c>
      <c r="Q328">
        <v>2</v>
      </c>
      <c r="R328">
        <v>5</v>
      </c>
      <c r="S328" t="s">
        <v>56</v>
      </c>
      <c r="T328">
        <v>4</v>
      </c>
      <c r="U328" t="str" cm="1">
        <f t="array" ref="U328">_xlfn.IFS(
HRData[[#This Row],[JobSatisfaction]]=1,"Very Dissatisfied",
HRData[[#This Row],[JobSatisfaction]]=2,"Dissatisfied",
HRData[[#This Row],[JobSatisfaction]]=3,"Satisfied",
HRData[[#This Row],[JobSatisfaction]]=4,"Very Satisfied"
)</f>
        <v>Very Satisfied</v>
      </c>
      <c r="V328" t="s">
        <v>48</v>
      </c>
      <c r="W328">
        <v>19272</v>
      </c>
      <c r="X328" t="str" cm="1">
        <f t="array" ref="X328">_xlfn.IFS(
HRData[[#This Row],[MonthlyIncome]]&lt;=4000,"Very Low Income",
HRData[[#This Row],[MonthlyIncome]]&lt;=8000,"Low Income",
HRData[[#This Row],[MonthlyIncome]]&lt;=12000,"Moderate Income",
HRData[[#This Row],[MonthlyIncome]]&lt;=16000,"High Income",
HRData[[#This Row],[MonthlyIncome]]&gt;16000,"Very High Income"
)</f>
        <v>Very High Income</v>
      </c>
      <c r="Y328">
        <v>21141</v>
      </c>
      <c r="Z328">
        <v>1</v>
      </c>
      <c r="AA328" t="s">
        <v>42</v>
      </c>
      <c r="AB328" t="s">
        <v>43</v>
      </c>
      <c r="AC328">
        <v>15</v>
      </c>
      <c r="AD328" t="str" cm="1">
        <f t="array" ref="AD328">_xlfn.IFS(HRData[[#This Row],[PercentSalaryHike]]&lt;=15,"11-15",HRData[[#This Row],[PercentSalaryHike]]&lt;=20,"16-20",HRData[[#This Row],[PercentSalaryHike]]&gt;=21,"21+")</f>
        <v>11-15</v>
      </c>
      <c r="AE328">
        <v>3</v>
      </c>
      <c r="AF328">
        <v>1</v>
      </c>
      <c r="AG328">
        <v>80</v>
      </c>
      <c r="AH328">
        <v>1</v>
      </c>
      <c r="AI328">
        <v>21</v>
      </c>
      <c r="AJ328">
        <v>2</v>
      </c>
      <c r="AK328">
        <v>3</v>
      </c>
      <c r="AL328">
        <v>21</v>
      </c>
      <c r="AM328">
        <v>9</v>
      </c>
      <c r="AN328">
        <v>13</v>
      </c>
      <c r="AO328">
        <v>3</v>
      </c>
      <c r="AP32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328" t="str">
        <f>IF(HRData[[#This Row],[Attrition]]="Yes","Left", IF(HRData[[#This Row],[Attrition_Risk_Score]]&gt;=6,"High",IF(HRData[[#This Row],[Attrition_Risk_Score]]&gt;=3,"Medium","Low")))</f>
        <v>Low</v>
      </c>
      <c r="AR328" t="str">
        <f>IF(HRData[[#This Row],[Attrition_Risk_Level]]&lt;&gt;"High","",HRData[[#This Row],[Attrition_Risk_Score]]*10000-HRData[[#This Row],[EmployeeNumber]])</f>
        <v/>
      </c>
    </row>
    <row r="329" spans="1:44">
      <c r="A329">
        <v>39</v>
      </c>
      <c r="B329" t="str" cm="1">
        <f t="array" ref="B329">_xlfn.IFS(
HRData[[#This Row],[Age]]&lt;=24,"18-24",
HRData[[#This Row],[Age]]&lt;=34,"25-34",
HRData[[#This Row],[Age]]&lt;=44,"35-44",
HRData[[#This Row],[Age]]&lt;=54,"45-54",
HRData[[#This Row],[Age]]&gt;=55,"55+"
)</f>
        <v>35-44</v>
      </c>
      <c r="C329" t="s">
        <v>35</v>
      </c>
      <c r="D329">
        <f>IF(HRData[[#This Row],[Attrition]]="Yes",1,0)</f>
        <v>1</v>
      </c>
      <c r="E329" t="s">
        <v>36</v>
      </c>
      <c r="F329">
        <v>1162</v>
      </c>
      <c r="G329" t="s">
        <v>37</v>
      </c>
      <c r="H329">
        <v>3</v>
      </c>
      <c r="I329">
        <v>2</v>
      </c>
      <c r="J329" t="s">
        <v>51</v>
      </c>
      <c r="K329">
        <v>1</v>
      </c>
      <c r="L329">
        <v>445</v>
      </c>
      <c r="M329">
        <v>4</v>
      </c>
      <c r="N329" t="str" cm="1">
        <f t="array" ref="N329">_xlfn.IFS(HRData[[#This Row],[EnvironmentSatisfaction]]=1,"Very Dissatisfied",
HRData[[#This Row],[EnvironmentSatisfaction]]=2,"Dissatisfied",
HRData[[#This Row],[EnvironmentSatisfaction]]=3,"Satisfied",
HRData[[#This Row],[EnvironmentSatisfaction]]=4,"Very Satisfied"
)</f>
        <v>Very Satisfied</v>
      </c>
      <c r="O329" t="s">
        <v>39</v>
      </c>
      <c r="P329">
        <v>41</v>
      </c>
      <c r="Q329">
        <v>3</v>
      </c>
      <c r="R329">
        <v>2</v>
      </c>
      <c r="S329" t="s">
        <v>40</v>
      </c>
      <c r="T329">
        <v>3</v>
      </c>
      <c r="U329" t="str" cm="1">
        <f t="array" ref="U329">_xlfn.IFS(
HRData[[#This Row],[JobSatisfaction]]=1,"Very Dissatisfied",
HRData[[#This Row],[JobSatisfaction]]=2,"Dissatisfied",
HRData[[#This Row],[JobSatisfaction]]=3,"Satisfied",
HRData[[#This Row],[JobSatisfaction]]=4,"Very Satisfied"
)</f>
        <v>Satisfied</v>
      </c>
      <c r="V329" t="s">
        <v>48</v>
      </c>
      <c r="W329">
        <v>5238</v>
      </c>
      <c r="X329" t="str" cm="1">
        <f t="array" ref="X329">_xlfn.IFS(
HRData[[#This Row],[MonthlyIncome]]&lt;=4000,"Very Low Income",
HRData[[#This Row],[MonthlyIncome]]&lt;=8000,"Low Income",
HRData[[#This Row],[MonthlyIncome]]&lt;=12000,"Moderate Income",
HRData[[#This Row],[MonthlyIncome]]&lt;=16000,"High Income",
HRData[[#This Row],[MonthlyIncome]]&gt;16000,"Very High Income"
)</f>
        <v>Low Income</v>
      </c>
      <c r="Y329">
        <v>17778</v>
      </c>
      <c r="Z329">
        <v>4</v>
      </c>
      <c r="AA329" t="s">
        <v>42</v>
      </c>
      <c r="AB329" t="s">
        <v>35</v>
      </c>
      <c r="AC329">
        <v>18</v>
      </c>
      <c r="AD329" t="str" cm="1">
        <f t="array" ref="AD329">_xlfn.IFS(HRData[[#This Row],[PercentSalaryHike]]&lt;=15,"11-15",HRData[[#This Row],[PercentSalaryHike]]&lt;=20,"16-20",HRData[[#This Row],[PercentSalaryHike]]&gt;=21,"21+")</f>
        <v>16-20</v>
      </c>
      <c r="AE329">
        <v>3</v>
      </c>
      <c r="AF329">
        <v>1</v>
      </c>
      <c r="AG329">
        <v>80</v>
      </c>
      <c r="AH329">
        <v>0</v>
      </c>
      <c r="AI329">
        <v>12</v>
      </c>
      <c r="AJ329">
        <v>3</v>
      </c>
      <c r="AK329">
        <v>2</v>
      </c>
      <c r="AL329">
        <v>1</v>
      </c>
      <c r="AM329">
        <v>0</v>
      </c>
      <c r="AN329">
        <v>0</v>
      </c>
      <c r="AO329">
        <v>0</v>
      </c>
      <c r="AP32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329" t="str">
        <f>IF(HRData[[#This Row],[Attrition]]="Yes","Left", IF(HRData[[#This Row],[Attrition_Risk_Score]]&gt;=6,"High",IF(HRData[[#This Row],[Attrition_Risk_Score]]&gt;=3,"Medium","Low")))</f>
        <v>Left</v>
      </c>
      <c r="AR329" t="str">
        <f>IF(HRData[[#This Row],[Attrition_Risk_Level]]&lt;&gt;"High","",HRData[[#This Row],[Attrition_Risk_Score]]*10000-HRData[[#This Row],[EmployeeNumber]])</f>
        <v/>
      </c>
    </row>
    <row r="330" spans="1:44">
      <c r="A330">
        <v>33</v>
      </c>
      <c r="B330" t="str" cm="1">
        <f t="array" ref="B330">_xlfn.IFS(
HRData[[#This Row],[Age]]&lt;=24,"18-24",
HRData[[#This Row],[Age]]&lt;=34,"25-34",
HRData[[#This Row],[Age]]&lt;=44,"35-44",
HRData[[#This Row],[Age]]&lt;=54,"45-54",
HRData[[#This Row],[Age]]&gt;=55,"55+"
)</f>
        <v>25-34</v>
      </c>
      <c r="C330" t="s">
        <v>43</v>
      </c>
      <c r="D330">
        <f>IF(HRData[[#This Row],[Attrition]]="Yes",1,0)</f>
        <v>0</v>
      </c>
      <c r="E330" t="s">
        <v>44</v>
      </c>
      <c r="F330">
        <v>508</v>
      </c>
      <c r="G330" t="s">
        <v>37</v>
      </c>
      <c r="H330">
        <v>10</v>
      </c>
      <c r="I330">
        <v>3</v>
      </c>
      <c r="J330" t="s">
        <v>59</v>
      </c>
      <c r="K330">
        <v>1</v>
      </c>
      <c r="L330">
        <v>446</v>
      </c>
      <c r="M330">
        <v>2</v>
      </c>
      <c r="N330" t="str" cm="1">
        <f t="array" ref="N330">_xlfn.IFS(HRData[[#This Row],[EnvironmentSatisfaction]]=1,"Very Dissatisfied",
HRData[[#This Row],[EnvironmentSatisfaction]]=2,"Dissatisfied",
HRData[[#This Row],[EnvironmentSatisfaction]]=3,"Satisfied",
HRData[[#This Row],[EnvironmentSatisfaction]]=4,"Very Satisfied"
)</f>
        <v>Dissatisfied</v>
      </c>
      <c r="O330" t="s">
        <v>46</v>
      </c>
      <c r="P330">
        <v>46</v>
      </c>
      <c r="Q330">
        <v>2</v>
      </c>
      <c r="R330">
        <v>2</v>
      </c>
      <c r="S330" t="s">
        <v>40</v>
      </c>
      <c r="T330">
        <v>4</v>
      </c>
      <c r="U330" t="str" cm="1">
        <f t="array" ref="U330">_xlfn.IFS(
HRData[[#This Row],[JobSatisfaction]]=1,"Very Dissatisfied",
HRData[[#This Row],[JobSatisfaction]]=2,"Dissatisfied",
HRData[[#This Row],[JobSatisfaction]]=3,"Satisfied",
HRData[[#This Row],[JobSatisfaction]]=4,"Very Satisfied"
)</f>
        <v>Very Satisfied</v>
      </c>
      <c r="V330" t="s">
        <v>41</v>
      </c>
      <c r="W330">
        <v>4682</v>
      </c>
      <c r="X330" t="str" cm="1">
        <f t="array" ref="X330">_xlfn.IFS(
HRData[[#This Row],[MonthlyIncome]]&lt;=4000,"Very Low Income",
HRData[[#This Row],[MonthlyIncome]]&lt;=8000,"Low Income",
HRData[[#This Row],[MonthlyIncome]]&lt;=12000,"Moderate Income",
HRData[[#This Row],[MonthlyIncome]]&lt;=16000,"High Income",
HRData[[#This Row],[MonthlyIncome]]&gt;16000,"Very High Income"
)</f>
        <v>Low Income</v>
      </c>
      <c r="Y330">
        <v>4317</v>
      </c>
      <c r="Z330">
        <v>3</v>
      </c>
      <c r="AA330" t="s">
        <v>42</v>
      </c>
      <c r="AB330" t="s">
        <v>43</v>
      </c>
      <c r="AC330">
        <v>14</v>
      </c>
      <c r="AD330" t="str" cm="1">
        <f t="array" ref="AD330">_xlfn.IFS(HRData[[#This Row],[PercentSalaryHike]]&lt;=15,"11-15",HRData[[#This Row],[PercentSalaryHike]]&lt;=20,"16-20",HRData[[#This Row],[PercentSalaryHike]]&gt;=21,"21+")</f>
        <v>11-15</v>
      </c>
      <c r="AE330">
        <v>3</v>
      </c>
      <c r="AF330">
        <v>3</v>
      </c>
      <c r="AG330">
        <v>80</v>
      </c>
      <c r="AH330">
        <v>0</v>
      </c>
      <c r="AI330">
        <v>9</v>
      </c>
      <c r="AJ330">
        <v>6</v>
      </c>
      <c r="AK330">
        <v>2</v>
      </c>
      <c r="AL330">
        <v>7</v>
      </c>
      <c r="AM330">
        <v>7</v>
      </c>
      <c r="AN330">
        <v>0</v>
      </c>
      <c r="AO330">
        <v>1</v>
      </c>
      <c r="AP33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30" t="str">
        <f>IF(HRData[[#This Row],[Attrition]]="Yes","Left", IF(HRData[[#This Row],[Attrition_Risk_Score]]&gt;=6,"High",IF(HRData[[#This Row],[Attrition_Risk_Score]]&gt;=3,"Medium","Low")))</f>
        <v>Low</v>
      </c>
      <c r="AR330" t="str">
        <f>IF(HRData[[#This Row],[Attrition_Risk_Level]]&lt;&gt;"High","",HRData[[#This Row],[Attrition_Risk_Score]]*10000-HRData[[#This Row],[EmployeeNumber]])</f>
        <v/>
      </c>
    </row>
    <row r="331" spans="1:44">
      <c r="A331">
        <v>47</v>
      </c>
      <c r="B331" t="str" cm="1">
        <f t="array" ref="B331">_xlfn.IFS(
HRData[[#This Row],[Age]]&lt;=24,"18-24",
HRData[[#This Row],[Age]]&lt;=34,"25-34",
HRData[[#This Row],[Age]]&lt;=44,"35-44",
HRData[[#This Row],[Age]]&lt;=54,"45-54",
HRData[[#This Row],[Age]]&gt;=55,"55+"
)</f>
        <v>45-54</v>
      </c>
      <c r="C331" t="s">
        <v>43</v>
      </c>
      <c r="D331">
        <f>IF(HRData[[#This Row],[Attrition]]="Yes",1,0)</f>
        <v>0</v>
      </c>
      <c r="E331" t="s">
        <v>36</v>
      </c>
      <c r="F331">
        <v>1482</v>
      </c>
      <c r="G331" t="s">
        <v>45</v>
      </c>
      <c r="H331">
        <v>5</v>
      </c>
      <c r="I331">
        <v>5</v>
      </c>
      <c r="J331" t="s">
        <v>38</v>
      </c>
      <c r="K331">
        <v>1</v>
      </c>
      <c r="L331">
        <v>447</v>
      </c>
      <c r="M331">
        <v>4</v>
      </c>
      <c r="N331" t="str" cm="1">
        <f t="array" ref="N331">_xlfn.IFS(HRData[[#This Row],[EnvironmentSatisfaction]]=1,"Very Dissatisfied",
HRData[[#This Row],[EnvironmentSatisfaction]]=2,"Dissatisfied",
HRData[[#This Row],[EnvironmentSatisfaction]]=3,"Satisfied",
HRData[[#This Row],[EnvironmentSatisfaction]]=4,"Very Satisfied"
)</f>
        <v>Very Satisfied</v>
      </c>
      <c r="O331" t="s">
        <v>46</v>
      </c>
      <c r="P331">
        <v>42</v>
      </c>
      <c r="Q331">
        <v>3</v>
      </c>
      <c r="R331">
        <v>5</v>
      </c>
      <c r="S331" t="s">
        <v>58</v>
      </c>
      <c r="T331">
        <v>3</v>
      </c>
      <c r="U331" t="str" cm="1">
        <f t="array" ref="U331">_xlfn.IFS(
HRData[[#This Row],[JobSatisfaction]]=1,"Very Dissatisfied",
HRData[[#This Row],[JobSatisfaction]]=2,"Dissatisfied",
HRData[[#This Row],[JobSatisfaction]]=3,"Satisfied",
HRData[[#This Row],[JobSatisfaction]]=4,"Very Satisfied"
)</f>
        <v>Satisfied</v>
      </c>
      <c r="V331" t="s">
        <v>48</v>
      </c>
      <c r="W331">
        <v>18300</v>
      </c>
      <c r="X331" t="str" cm="1">
        <f t="array" ref="X331">_xlfn.IFS(
HRData[[#This Row],[MonthlyIncome]]&lt;=4000,"Very Low Income",
HRData[[#This Row],[MonthlyIncome]]&lt;=8000,"Low Income",
HRData[[#This Row],[MonthlyIncome]]&lt;=12000,"Moderate Income",
HRData[[#This Row],[MonthlyIncome]]&lt;=16000,"High Income",
HRData[[#This Row],[MonthlyIncome]]&gt;16000,"Very High Income"
)</f>
        <v>Very High Income</v>
      </c>
      <c r="Y331">
        <v>16375</v>
      </c>
      <c r="Z331">
        <v>4</v>
      </c>
      <c r="AA331" t="s">
        <v>42</v>
      </c>
      <c r="AB331" t="s">
        <v>43</v>
      </c>
      <c r="AC331">
        <v>11</v>
      </c>
      <c r="AD331" t="str" cm="1">
        <f t="array" ref="AD331">_xlfn.IFS(HRData[[#This Row],[PercentSalaryHike]]&lt;=15,"11-15",HRData[[#This Row],[PercentSalaryHike]]&lt;=20,"16-20",HRData[[#This Row],[PercentSalaryHike]]&gt;=21,"21+")</f>
        <v>11-15</v>
      </c>
      <c r="AE331">
        <v>3</v>
      </c>
      <c r="AF331">
        <v>2</v>
      </c>
      <c r="AG331">
        <v>80</v>
      </c>
      <c r="AH331">
        <v>1</v>
      </c>
      <c r="AI331">
        <v>21</v>
      </c>
      <c r="AJ331">
        <v>2</v>
      </c>
      <c r="AK331">
        <v>3</v>
      </c>
      <c r="AL331">
        <v>3</v>
      </c>
      <c r="AM331">
        <v>2</v>
      </c>
      <c r="AN331">
        <v>1</v>
      </c>
      <c r="AO331">
        <v>1</v>
      </c>
      <c r="AP33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331" t="str">
        <f>IF(HRData[[#This Row],[Attrition]]="Yes","Left", IF(HRData[[#This Row],[Attrition_Risk_Score]]&gt;=6,"High",IF(HRData[[#This Row],[Attrition_Risk_Score]]&gt;=3,"Medium","Low")))</f>
        <v>Low</v>
      </c>
      <c r="AR331" t="str">
        <f>IF(HRData[[#This Row],[Attrition_Risk_Level]]&lt;&gt;"High","",HRData[[#This Row],[Attrition_Risk_Score]]*10000-HRData[[#This Row],[EmployeeNumber]])</f>
        <v/>
      </c>
    </row>
    <row r="332" spans="1:44">
      <c r="A332">
        <v>43</v>
      </c>
      <c r="B332" t="str" cm="1">
        <f t="array" ref="B332">_xlfn.IFS(
HRData[[#This Row],[Age]]&lt;=24,"18-24",
HRData[[#This Row],[Age]]&lt;=34,"25-34",
HRData[[#This Row],[Age]]&lt;=44,"35-44",
HRData[[#This Row],[Age]]&lt;=54,"45-54",
HRData[[#This Row],[Age]]&gt;=55,"55+"
)</f>
        <v>35-44</v>
      </c>
      <c r="C332" t="s">
        <v>43</v>
      </c>
      <c r="D332">
        <f>IF(HRData[[#This Row],[Attrition]]="Yes",1,0)</f>
        <v>0</v>
      </c>
      <c r="E332" t="s">
        <v>44</v>
      </c>
      <c r="F332">
        <v>559</v>
      </c>
      <c r="G332" t="s">
        <v>45</v>
      </c>
      <c r="H332">
        <v>10</v>
      </c>
      <c r="I332">
        <v>4</v>
      </c>
      <c r="J332" t="s">
        <v>38</v>
      </c>
      <c r="K332">
        <v>1</v>
      </c>
      <c r="L332">
        <v>448</v>
      </c>
      <c r="M332">
        <v>3</v>
      </c>
      <c r="N332" t="str" cm="1">
        <f t="array" ref="N332">_xlfn.IFS(HRData[[#This Row],[EnvironmentSatisfaction]]=1,"Very Dissatisfied",
HRData[[#This Row],[EnvironmentSatisfaction]]=2,"Dissatisfied",
HRData[[#This Row],[EnvironmentSatisfaction]]=3,"Satisfied",
HRData[[#This Row],[EnvironmentSatisfaction]]=4,"Very Satisfied"
)</f>
        <v>Satisfied</v>
      </c>
      <c r="O332" t="s">
        <v>39</v>
      </c>
      <c r="P332">
        <v>82</v>
      </c>
      <c r="Q332">
        <v>2</v>
      </c>
      <c r="R332">
        <v>2</v>
      </c>
      <c r="S332" t="s">
        <v>50</v>
      </c>
      <c r="T332">
        <v>3</v>
      </c>
      <c r="U332" t="str" cm="1">
        <f t="array" ref="U332">_xlfn.IFS(
HRData[[#This Row],[JobSatisfaction]]=1,"Very Dissatisfied",
HRData[[#This Row],[JobSatisfaction]]=2,"Dissatisfied",
HRData[[#This Row],[JobSatisfaction]]=3,"Satisfied",
HRData[[#This Row],[JobSatisfaction]]=4,"Very Satisfied"
)</f>
        <v>Satisfied</v>
      </c>
      <c r="V332" t="s">
        <v>52</v>
      </c>
      <c r="W332">
        <v>5257</v>
      </c>
      <c r="X332" t="str" cm="1">
        <f t="array" ref="X332">_xlfn.IFS(
HRData[[#This Row],[MonthlyIncome]]&lt;=4000,"Very Low Income",
HRData[[#This Row],[MonthlyIncome]]&lt;=8000,"Low Income",
HRData[[#This Row],[MonthlyIncome]]&lt;=12000,"Moderate Income",
HRData[[#This Row],[MonthlyIncome]]&lt;=16000,"High Income",
HRData[[#This Row],[MonthlyIncome]]&gt;16000,"Very High Income"
)</f>
        <v>Low Income</v>
      </c>
      <c r="Y332">
        <v>6227</v>
      </c>
      <c r="Z332">
        <v>1</v>
      </c>
      <c r="AA332" t="s">
        <v>42</v>
      </c>
      <c r="AB332" t="s">
        <v>43</v>
      </c>
      <c r="AC332">
        <v>11</v>
      </c>
      <c r="AD332" t="str" cm="1">
        <f t="array" ref="AD332">_xlfn.IFS(HRData[[#This Row],[PercentSalaryHike]]&lt;=15,"11-15",HRData[[#This Row],[PercentSalaryHike]]&lt;=20,"16-20",HRData[[#This Row],[PercentSalaryHike]]&gt;=21,"21+")</f>
        <v>11-15</v>
      </c>
      <c r="AE332">
        <v>3</v>
      </c>
      <c r="AF332">
        <v>2</v>
      </c>
      <c r="AG332">
        <v>80</v>
      </c>
      <c r="AH332">
        <v>1</v>
      </c>
      <c r="AI332">
        <v>9</v>
      </c>
      <c r="AJ332">
        <v>3</v>
      </c>
      <c r="AK332">
        <v>4</v>
      </c>
      <c r="AL332">
        <v>9</v>
      </c>
      <c r="AM332">
        <v>7</v>
      </c>
      <c r="AN332">
        <v>0</v>
      </c>
      <c r="AO332">
        <v>0</v>
      </c>
      <c r="AP33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32" t="str">
        <f>IF(HRData[[#This Row],[Attrition]]="Yes","Left", IF(HRData[[#This Row],[Attrition_Risk_Score]]&gt;=6,"High",IF(HRData[[#This Row],[Attrition_Risk_Score]]&gt;=3,"Medium","Low")))</f>
        <v>Low</v>
      </c>
      <c r="AR332" t="str">
        <f>IF(HRData[[#This Row],[Attrition_Risk_Level]]&lt;&gt;"High","",HRData[[#This Row],[Attrition_Risk_Score]]*10000-HRData[[#This Row],[EmployeeNumber]])</f>
        <v/>
      </c>
    </row>
    <row r="333" spans="1:44">
      <c r="A333">
        <v>27</v>
      </c>
      <c r="B333" t="str" cm="1">
        <f t="array" ref="B333">_xlfn.IFS(
HRData[[#This Row],[Age]]&lt;=24,"18-24",
HRData[[#This Row],[Age]]&lt;=34,"25-34",
HRData[[#This Row],[Age]]&lt;=44,"35-44",
HRData[[#This Row],[Age]]&lt;=54,"45-54",
HRData[[#This Row],[Age]]&gt;=55,"55+"
)</f>
        <v>25-34</v>
      </c>
      <c r="C333" t="s">
        <v>43</v>
      </c>
      <c r="D333">
        <f>IF(HRData[[#This Row],[Attrition]]="Yes",1,0)</f>
        <v>0</v>
      </c>
      <c r="E333" t="s">
        <v>55</v>
      </c>
      <c r="F333">
        <v>210</v>
      </c>
      <c r="G333" t="s">
        <v>37</v>
      </c>
      <c r="H333">
        <v>1</v>
      </c>
      <c r="I333">
        <v>1</v>
      </c>
      <c r="J333" t="s">
        <v>59</v>
      </c>
      <c r="K333">
        <v>1</v>
      </c>
      <c r="L333">
        <v>449</v>
      </c>
      <c r="M333">
        <v>3</v>
      </c>
      <c r="N333" t="str" cm="1">
        <f t="array" ref="N333">_xlfn.IFS(HRData[[#This Row],[EnvironmentSatisfaction]]=1,"Very Dissatisfied",
HRData[[#This Row],[EnvironmentSatisfaction]]=2,"Dissatisfied",
HRData[[#This Row],[EnvironmentSatisfaction]]=3,"Satisfied",
HRData[[#This Row],[EnvironmentSatisfaction]]=4,"Very Satisfied"
)</f>
        <v>Satisfied</v>
      </c>
      <c r="O333" t="s">
        <v>46</v>
      </c>
      <c r="P333">
        <v>73</v>
      </c>
      <c r="Q333">
        <v>3</v>
      </c>
      <c r="R333">
        <v>2</v>
      </c>
      <c r="S333" t="s">
        <v>40</v>
      </c>
      <c r="T333">
        <v>2</v>
      </c>
      <c r="U333" t="str" cm="1">
        <f t="array" ref="U333">_xlfn.IFS(
HRData[[#This Row],[JobSatisfaction]]=1,"Very Dissatisfied",
HRData[[#This Row],[JobSatisfaction]]=2,"Dissatisfied",
HRData[[#This Row],[JobSatisfaction]]=3,"Satisfied",
HRData[[#This Row],[JobSatisfaction]]=4,"Very Satisfied"
)</f>
        <v>Dissatisfied</v>
      </c>
      <c r="V333" t="s">
        <v>48</v>
      </c>
      <c r="W333">
        <v>6349</v>
      </c>
      <c r="X333" t="str" cm="1">
        <f t="array" ref="X333">_xlfn.IFS(
HRData[[#This Row],[MonthlyIncome]]&lt;=4000,"Very Low Income",
HRData[[#This Row],[MonthlyIncome]]&lt;=8000,"Low Income",
HRData[[#This Row],[MonthlyIncome]]&lt;=12000,"Moderate Income",
HRData[[#This Row],[MonthlyIncome]]&lt;=16000,"High Income",
HRData[[#This Row],[MonthlyIncome]]&gt;16000,"Very High Income"
)</f>
        <v>Low Income</v>
      </c>
      <c r="Y333">
        <v>22107</v>
      </c>
      <c r="Z333">
        <v>0</v>
      </c>
      <c r="AA333" t="s">
        <v>42</v>
      </c>
      <c r="AB333" t="s">
        <v>35</v>
      </c>
      <c r="AC333">
        <v>13</v>
      </c>
      <c r="AD333" t="str" cm="1">
        <f t="array" ref="AD333">_xlfn.IFS(HRData[[#This Row],[PercentSalaryHike]]&lt;=15,"11-15",HRData[[#This Row],[PercentSalaryHike]]&lt;=20,"16-20",HRData[[#This Row],[PercentSalaryHike]]&gt;=21,"21+")</f>
        <v>11-15</v>
      </c>
      <c r="AE333">
        <v>3</v>
      </c>
      <c r="AF333">
        <v>4</v>
      </c>
      <c r="AG333">
        <v>80</v>
      </c>
      <c r="AH333">
        <v>1</v>
      </c>
      <c r="AI333">
        <v>6</v>
      </c>
      <c r="AJ333">
        <v>0</v>
      </c>
      <c r="AK333">
        <v>3</v>
      </c>
      <c r="AL333">
        <v>5</v>
      </c>
      <c r="AM333">
        <v>4</v>
      </c>
      <c r="AN333">
        <v>1</v>
      </c>
      <c r="AO333">
        <v>4</v>
      </c>
      <c r="AP33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33" t="str">
        <f>IF(HRData[[#This Row],[Attrition]]="Yes","Left", IF(HRData[[#This Row],[Attrition_Risk_Score]]&gt;=6,"High",IF(HRData[[#This Row],[Attrition_Risk_Score]]&gt;=3,"Medium","Low")))</f>
        <v>Medium</v>
      </c>
      <c r="AR333" t="str">
        <f>IF(HRData[[#This Row],[Attrition_Risk_Level]]&lt;&gt;"High","",HRData[[#This Row],[Attrition_Risk_Score]]*10000-HRData[[#This Row],[EmployeeNumber]])</f>
        <v/>
      </c>
    </row>
    <row r="334" spans="1:44">
      <c r="A334">
        <v>54</v>
      </c>
      <c r="B334" t="str" cm="1">
        <f t="array" ref="B334">_xlfn.IFS(
HRData[[#This Row],[Age]]&lt;=24,"18-24",
HRData[[#This Row],[Age]]&lt;=34,"25-34",
HRData[[#This Row],[Age]]&lt;=44,"35-44",
HRData[[#This Row],[Age]]&lt;=54,"45-54",
HRData[[#This Row],[Age]]&gt;=55,"55+"
)</f>
        <v>45-54</v>
      </c>
      <c r="C334" t="s">
        <v>43</v>
      </c>
      <c r="D334">
        <f>IF(HRData[[#This Row],[Attrition]]="Yes",1,0)</f>
        <v>0</v>
      </c>
      <c r="E334" t="s">
        <v>44</v>
      </c>
      <c r="F334">
        <v>928</v>
      </c>
      <c r="G334" t="s">
        <v>45</v>
      </c>
      <c r="H334">
        <v>20</v>
      </c>
      <c r="I334">
        <v>4</v>
      </c>
      <c r="J334" t="s">
        <v>38</v>
      </c>
      <c r="K334">
        <v>1</v>
      </c>
      <c r="L334">
        <v>450</v>
      </c>
      <c r="M334">
        <v>4</v>
      </c>
      <c r="N334" t="str" cm="1">
        <f t="array" ref="N334">_xlfn.IFS(HRData[[#This Row],[EnvironmentSatisfaction]]=1,"Very Dissatisfied",
HRData[[#This Row],[EnvironmentSatisfaction]]=2,"Dissatisfied",
HRData[[#This Row],[EnvironmentSatisfaction]]=3,"Satisfied",
HRData[[#This Row],[EnvironmentSatisfaction]]=4,"Very Satisfied"
)</f>
        <v>Very Satisfied</v>
      </c>
      <c r="O334" t="s">
        <v>39</v>
      </c>
      <c r="P334">
        <v>31</v>
      </c>
      <c r="Q334">
        <v>3</v>
      </c>
      <c r="R334">
        <v>2</v>
      </c>
      <c r="S334" t="s">
        <v>47</v>
      </c>
      <c r="T334">
        <v>3</v>
      </c>
      <c r="U334" t="str" cm="1">
        <f t="array" ref="U334">_xlfn.IFS(
HRData[[#This Row],[JobSatisfaction]]=1,"Very Dissatisfied",
HRData[[#This Row],[JobSatisfaction]]=2,"Dissatisfied",
HRData[[#This Row],[JobSatisfaction]]=3,"Satisfied",
HRData[[#This Row],[JobSatisfaction]]=4,"Very Satisfied"
)</f>
        <v>Satisfied</v>
      </c>
      <c r="V334" t="s">
        <v>41</v>
      </c>
      <c r="W334">
        <v>4869</v>
      </c>
      <c r="X334" t="str" cm="1">
        <f t="array" ref="X334">_xlfn.IFS(
HRData[[#This Row],[MonthlyIncome]]&lt;=4000,"Very Low Income",
HRData[[#This Row],[MonthlyIncome]]&lt;=8000,"Low Income",
HRData[[#This Row],[MonthlyIncome]]&lt;=12000,"Moderate Income",
HRData[[#This Row],[MonthlyIncome]]&lt;=16000,"High Income",
HRData[[#This Row],[MonthlyIncome]]&gt;16000,"Very High Income"
)</f>
        <v>Low Income</v>
      </c>
      <c r="Y334">
        <v>16885</v>
      </c>
      <c r="Z334">
        <v>3</v>
      </c>
      <c r="AA334" t="s">
        <v>42</v>
      </c>
      <c r="AB334" t="s">
        <v>43</v>
      </c>
      <c r="AC334">
        <v>12</v>
      </c>
      <c r="AD334" t="str" cm="1">
        <f t="array" ref="AD334">_xlfn.IFS(HRData[[#This Row],[PercentSalaryHike]]&lt;=15,"11-15",HRData[[#This Row],[PercentSalaryHike]]&lt;=20,"16-20",HRData[[#This Row],[PercentSalaryHike]]&gt;=21,"21+")</f>
        <v>11-15</v>
      </c>
      <c r="AE334">
        <v>3</v>
      </c>
      <c r="AF334">
        <v>4</v>
      </c>
      <c r="AG334">
        <v>80</v>
      </c>
      <c r="AH334">
        <v>0</v>
      </c>
      <c r="AI334">
        <v>20</v>
      </c>
      <c r="AJ334">
        <v>4</v>
      </c>
      <c r="AK334">
        <v>2</v>
      </c>
      <c r="AL334">
        <v>4</v>
      </c>
      <c r="AM334">
        <v>3</v>
      </c>
      <c r="AN334">
        <v>0</v>
      </c>
      <c r="AO334">
        <v>3</v>
      </c>
      <c r="AP33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334" t="str">
        <f>IF(HRData[[#This Row],[Attrition]]="Yes","Left", IF(HRData[[#This Row],[Attrition_Risk_Score]]&gt;=6,"High",IF(HRData[[#This Row],[Attrition_Risk_Score]]&gt;=3,"Medium","Low")))</f>
        <v>Low</v>
      </c>
      <c r="AR334" t="str">
        <f>IF(HRData[[#This Row],[Attrition_Risk_Level]]&lt;&gt;"High","",HRData[[#This Row],[Attrition_Risk_Score]]*10000-HRData[[#This Row],[EmployeeNumber]])</f>
        <v/>
      </c>
    </row>
    <row r="335" spans="1:44">
      <c r="A335">
        <v>43</v>
      </c>
      <c r="B335" t="str" cm="1">
        <f t="array" ref="B335">_xlfn.IFS(
HRData[[#This Row],[Age]]&lt;=24,"18-24",
HRData[[#This Row],[Age]]&lt;=34,"25-34",
HRData[[#This Row],[Age]]&lt;=44,"35-44",
HRData[[#This Row],[Age]]&lt;=54,"45-54",
HRData[[#This Row],[Age]]&gt;=55,"55+"
)</f>
        <v>35-44</v>
      </c>
      <c r="C335" t="s">
        <v>43</v>
      </c>
      <c r="D335">
        <f>IF(HRData[[#This Row],[Attrition]]="Yes",1,0)</f>
        <v>0</v>
      </c>
      <c r="E335" t="s">
        <v>36</v>
      </c>
      <c r="F335">
        <v>1001</v>
      </c>
      <c r="G335" t="s">
        <v>45</v>
      </c>
      <c r="H335">
        <v>7</v>
      </c>
      <c r="I335">
        <v>3</v>
      </c>
      <c r="J335" t="s">
        <v>38</v>
      </c>
      <c r="K335">
        <v>1</v>
      </c>
      <c r="L335">
        <v>451</v>
      </c>
      <c r="M335">
        <v>3</v>
      </c>
      <c r="N335" t="str" cm="1">
        <f t="array" ref="N335">_xlfn.IFS(HRData[[#This Row],[EnvironmentSatisfaction]]=1,"Very Dissatisfied",
HRData[[#This Row],[EnvironmentSatisfaction]]=2,"Dissatisfied",
HRData[[#This Row],[EnvironmentSatisfaction]]=3,"Satisfied",
HRData[[#This Row],[EnvironmentSatisfaction]]=4,"Very Satisfied"
)</f>
        <v>Satisfied</v>
      </c>
      <c r="O335" t="s">
        <v>39</v>
      </c>
      <c r="P335">
        <v>43</v>
      </c>
      <c r="Q335">
        <v>3</v>
      </c>
      <c r="R335">
        <v>3</v>
      </c>
      <c r="S335" t="s">
        <v>54</v>
      </c>
      <c r="T335">
        <v>1</v>
      </c>
      <c r="U335" t="str" cm="1">
        <f t="array" ref="U335">_xlfn.IFS(
HRData[[#This Row],[JobSatisfaction]]=1,"Very Dissatisfied",
HRData[[#This Row],[JobSatisfaction]]=2,"Dissatisfied",
HRData[[#This Row],[JobSatisfaction]]=3,"Satisfied",
HRData[[#This Row],[JobSatisfaction]]=4,"Very Satisfied"
)</f>
        <v>Very Dissatisfied</v>
      </c>
      <c r="V335" t="s">
        <v>48</v>
      </c>
      <c r="W335">
        <v>9985</v>
      </c>
      <c r="X335" t="str" cm="1">
        <f t="array" ref="X335">_xlfn.IFS(
HRData[[#This Row],[MonthlyIncome]]&lt;=4000,"Very Low Income",
HRData[[#This Row],[MonthlyIncome]]&lt;=8000,"Low Income",
HRData[[#This Row],[MonthlyIncome]]&lt;=12000,"Moderate Income",
HRData[[#This Row],[MonthlyIncome]]&lt;=16000,"High Income",
HRData[[#This Row],[MonthlyIncome]]&gt;16000,"Very High Income"
)</f>
        <v>Moderate Income</v>
      </c>
      <c r="Y335">
        <v>9262</v>
      </c>
      <c r="Z335">
        <v>8</v>
      </c>
      <c r="AA335" t="s">
        <v>42</v>
      </c>
      <c r="AB335" t="s">
        <v>43</v>
      </c>
      <c r="AC335">
        <v>16</v>
      </c>
      <c r="AD335" t="str" cm="1">
        <f t="array" ref="AD335">_xlfn.IFS(HRData[[#This Row],[PercentSalaryHike]]&lt;=15,"11-15",HRData[[#This Row],[PercentSalaryHike]]&lt;=20,"16-20",HRData[[#This Row],[PercentSalaryHike]]&gt;=21,"21+")</f>
        <v>16-20</v>
      </c>
      <c r="AE335">
        <v>3</v>
      </c>
      <c r="AF335">
        <v>1</v>
      </c>
      <c r="AG335">
        <v>80</v>
      </c>
      <c r="AH335">
        <v>1</v>
      </c>
      <c r="AI335">
        <v>10</v>
      </c>
      <c r="AJ335">
        <v>1</v>
      </c>
      <c r="AK335">
        <v>2</v>
      </c>
      <c r="AL335">
        <v>1</v>
      </c>
      <c r="AM335">
        <v>0</v>
      </c>
      <c r="AN335">
        <v>0</v>
      </c>
      <c r="AO335">
        <v>0</v>
      </c>
      <c r="AP33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35" t="str">
        <f>IF(HRData[[#This Row],[Attrition]]="Yes","Left", IF(HRData[[#This Row],[Attrition_Risk_Score]]&gt;=6,"High",IF(HRData[[#This Row],[Attrition_Risk_Score]]&gt;=3,"Medium","Low")))</f>
        <v>Low</v>
      </c>
      <c r="AR335" t="str">
        <f>IF(HRData[[#This Row],[Attrition_Risk_Level]]&lt;&gt;"High","",HRData[[#This Row],[Attrition_Risk_Score]]*10000-HRData[[#This Row],[EmployeeNumber]])</f>
        <v/>
      </c>
    </row>
    <row r="336" spans="1:44">
      <c r="A336">
        <v>45</v>
      </c>
      <c r="B336" t="str" cm="1">
        <f t="array" ref="B336">_xlfn.IFS(
HRData[[#This Row],[Age]]&lt;=24,"18-24",
HRData[[#This Row],[Age]]&lt;=34,"25-34",
HRData[[#This Row],[Age]]&lt;=44,"35-44",
HRData[[#This Row],[Age]]&lt;=54,"45-54",
HRData[[#This Row],[Age]]&gt;=55,"55+"
)</f>
        <v>45-54</v>
      </c>
      <c r="C336" t="s">
        <v>43</v>
      </c>
      <c r="D336">
        <f>IF(HRData[[#This Row],[Attrition]]="Yes",1,0)</f>
        <v>0</v>
      </c>
      <c r="E336" t="s">
        <v>36</v>
      </c>
      <c r="F336">
        <v>549</v>
      </c>
      <c r="G336" t="s">
        <v>45</v>
      </c>
      <c r="H336">
        <v>8</v>
      </c>
      <c r="I336">
        <v>4</v>
      </c>
      <c r="J336" t="s">
        <v>49</v>
      </c>
      <c r="K336">
        <v>1</v>
      </c>
      <c r="L336">
        <v>452</v>
      </c>
      <c r="M336">
        <v>4</v>
      </c>
      <c r="N336" t="str" cm="1">
        <f t="array" ref="N336">_xlfn.IFS(HRData[[#This Row],[EnvironmentSatisfaction]]=1,"Very Dissatisfied",
HRData[[#This Row],[EnvironmentSatisfaction]]=2,"Dissatisfied",
HRData[[#This Row],[EnvironmentSatisfaction]]=3,"Satisfied",
HRData[[#This Row],[EnvironmentSatisfaction]]=4,"Very Satisfied"
)</f>
        <v>Very Satisfied</v>
      </c>
      <c r="O336" t="s">
        <v>46</v>
      </c>
      <c r="P336">
        <v>75</v>
      </c>
      <c r="Q336">
        <v>3</v>
      </c>
      <c r="R336">
        <v>2</v>
      </c>
      <c r="S336" t="s">
        <v>47</v>
      </c>
      <c r="T336">
        <v>4</v>
      </c>
      <c r="U336" t="str" cm="1">
        <f t="array" ref="U336">_xlfn.IFS(
HRData[[#This Row],[JobSatisfaction]]=1,"Very Dissatisfied",
HRData[[#This Row],[JobSatisfaction]]=2,"Dissatisfied",
HRData[[#This Row],[JobSatisfaction]]=3,"Satisfied",
HRData[[#This Row],[JobSatisfaction]]=4,"Very Satisfied"
)</f>
        <v>Very Satisfied</v>
      </c>
      <c r="V336" t="s">
        <v>48</v>
      </c>
      <c r="W336">
        <v>3697</v>
      </c>
      <c r="X336" t="str" cm="1">
        <f t="array" ref="X336">_xlfn.IFS(
HRData[[#This Row],[MonthlyIncome]]&lt;=4000,"Very Low Income",
HRData[[#This Row],[MonthlyIncome]]&lt;=8000,"Low Income",
HRData[[#This Row],[MonthlyIncome]]&lt;=12000,"Moderate Income",
HRData[[#This Row],[MonthlyIncome]]&lt;=16000,"High Income",
HRData[[#This Row],[MonthlyIncome]]&gt;16000,"Very High Income"
)</f>
        <v>Very Low Income</v>
      </c>
      <c r="Y336">
        <v>9278</v>
      </c>
      <c r="Z336">
        <v>9</v>
      </c>
      <c r="AA336" t="s">
        <v>42</v>
      </c>
      <c r="AB336" t="s">
        <v>43</v>
      </c>
      <c r="AC336">
        <v>14</v>
      </c>
      <c r="AD336" t="str" cm="1">
        <f t="array" ref="AD336">_xlfn.IFS(HRData[[#This Row],[PercentSalaryHike]]&lt;=15,"11-15",HRData[[#This Row],[PercentSalaryHike]]&lt;=20,"16-20",HRData[[#This Row],[PercentSalaryHike]]&gt;=21,"21+")</f>
        <v>11-15</v>
      </c>
      <c r="AE336">
        <v>3</v>
      </c>
      <c r="AF336">
        <v>1</v>
      </c>
      <c r="AG336">
        <v>80</v>
      </c>
      <c r="AH336">
        <v>2</v>
      </c>
      <c r="AI336">
        <v>12</v>
      </c>
      <c r="AJ336">
        <v>3</v>
      </c>
      <c r="AK336">
        <v>3</v>
      </c>
      <c r="AL336">
        <v>10</v>
      </c>
      <c r="AM336">
        <v>9</v>
      </c>
      <c r="AN336">
        <v>9</v>
      </c>
      <c r="AO336">
        <v>8</v>
      </c>
      <c r="AP33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36" t="str">
        <f>IF(HRData[[#This Row],[Attrition]]="Yes","Left", IF(HRData[[#This Row],[Attrition_Risk_Score]]&gt;=6,"High",IF(HRData[[#This Row],[Attrition_Risk_Score]]&gt;=3,"Medium","Low")))</f>
        <v>Low</v>
      </c>
      <c r="AR336" t="str">
        <f>IF(HRData[[#This Row],[Attrition_Risk_Level]]&lt;&gt;"High","",HRData[[#This Row],[Attrition_Risk_Score]]*10000-HRData[[#This Row],[EmployeeNumber]])</f>
        <v/>
      </c>
    </row>
    <row r="337" spans="1:44">
      <c r="A337">
        <v>40</v>
      </c>
      <c r="B337" t="str" cm="1">
        <f t="array" ref="B337">_xlfn.IFS(
HRData[[#This Row],[Age]]&lt;=24,"18-24",
HRData[[#This Row],[Age]]&lt;=34,"25-34",
HRData[[#This Row],[Age]]&lt;=44,"35-44",
HRData[[#This Row],[Age]]&lt;=54,"45-54",
HRData[[#This Row],[Age]]&gt;=55,"55+"
)</f>
        <v>35-44</v>
      </c>
      <c r="C337" t="s">
        <v>43</v>
      </c>
      <c r="D337">
        <f>IF(HRData[[#This Row],[Attrition]]="Yes",1,0)</f>
        <v>0</v>
      </c>
      <c r="E337" t="s">
        <v>36</v>
      </c>
      <c r="F337">
        <v>1124</v>
      </c>
      <c r="G337" t="s">
        <v>37</v>
      </c>
      <c r="H337">
        <v>1</v>
      </c>
      <c r="I337">
        <v>2</v>
      </c>
      <c r="J337" t="s">
        <v>51</v>
      </c>
      <c r="K337">
        <v>1</v>
      </c>
      <c r="L337">
        <v>453</v>
      </c>
      <c r="M337">
        <v>2</v>
      </c>
      <c r="N337" t="str" cm="1">
        <f t="array" ref="N337">_xlfn.IFS(HRData[[#This Row],[EnvironmentSatisfaction]]=1,"Very Dissatisfied",
HRData[[#This Row],[EnvironmentSatisfaction]]=2,"Dissatisfied",
HRData[[#This Row],[EnvironmentSatisfaction]]=3,"Satisfied",
HRData[[#This Row],[EnvironmentSatisfaction]]=4,"Very Satisfied"
)</f>
        <v>Dissatisfied</v>
      </c>
      <c r="O337" t="s">
        <v>46</v>
      </c>
      <c r="P337">
        <v>57</v>
      </c>
      <c r="Q337">
        <v>1</v>
      </c>
      <c r="R337">
        <v>2</v>
      </c>
      <c r="S337" t="s">
        <v>40</v>
      </c>
      <c r="T337">
        <v>4</v>
      </c>
      <c r="U337" t="str" cm="1">
        <f t="array" ref="U337">_xlfn.IFS(
HRData[[#This Row],[JobSatisfaction]]=1,"Very Dissatisfied",
HRData[[#This Row],[JobSatisfaction]]=2,"Dissatisfied",
HRData[[#This Row],[JobSatisfaction]]=3,"Satisfied",
HRData[[#This Row],[JobSatisfaction]]=4,"Very Satisfied"
)</f>
        <v>Very Satisfied</v>
      </c>
      <c r="V337" t="s">
        <v>48</v>
      </c>
      <c r="W337">
        <v>7457</v>
      </c>
      <c r="X337" t="str" cm="1">
        <f t="array" ref="X337">_xlfn.IFS(
HRData[[#This Row],[MonthlyIncome]]&lt;=4000,"Very Low Income",
HRData[[#This Row],[MonthlyIncome]]&lt;=8000,"Low Income",
HRData[[#This Row],[MonthlyIncome]]&lt;=12000,"Moderate Income",
HRData[[#This Row],[MonthlyIncome]]&lt;=16000,"High Income",
HRData[[#This Row],[MonthlyIncome]]&gt;16000,"Very High Income"
)</f>
        <v>Low Income</v>
      </c>
      <c r="Y337">
        <v>13273</v>
      </c>
      <c r="Z337">
        <v>2</v>
      </c>
      <c r="AA337" t="s">
        <v>42</v>
      </c>
      <c r="AB337" t="s">
        <v>35</v>
      </c>
      <c r="AC337">
        <v>22</v>
      </c>
      <c r="AD337" t="str" cm="1">
        <f t="array" ref="AD337">_xlfn.IFS(HRData[[#This Row],[PercentSalaryHike]]&lt;=15,"11-15",HRData[[#This Row],[PercentSalaryHike]]&lt;=20,"16-20",HRData[[#This Row],[PercentSalaryHike]]&gt;=21,"21+")</f>
        <v>21+</v>
      </c>
      <c r="AE337">
        <v>4</v>
      </c>
      <c r="AF337">
        <v>3</v>
      </c>
      <c r="AG337">
        <v>80</v>
      </c>
      <c r="AH337">
        <v>3</v>
      </c>
      <c r="AI337">
        <v>6</v>
      </c>
      <c r="AJ337">
        <v>2</v>
      </c>
      <c r="AK337">
        <v>2</v>
      </c>
      <c r="AL337">
        <v>4</v>
      </c>
      <c r="AM337">
        <v>3</v>
      </c>
      <c r="AN337">
        <v>0</v>
      </c>
      <c r="AO337">
        <v>2</v>
      </c>
      <c r="AP33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337" t="str">
        <f>IF(HRData[[#This Row],[Attrition]]="Yes","Left", IF(HRData[[#This Row],[Attrition_Risk_Score]]&gt;=6,"High",IF(HRData[[#This Row],[Attrition_Risk_Score]]&gt;=3,"Medium","Low")))</f>
        <v>Medium</v>
      </c>
      <c r="AR337" t="str">
        <f>IF(HRData[[#This Row],[Attrition_Risk_Level]]&lt;&gt;"High","",HRData[[#This Row],[Attrition_Risk_Score]]*10000-HRData[[#This Row],[EmployeeNumber]])</f>
        <v/>
      </c>
    </row>
    <row r="338" spans="1:44">
      <c r="A338">
        <v>29</v>
      </c>
      <c r="B338" t="str" cm="1">
        <f t="array" ref="B338">_xlfn.IFS(
HRData[[#This Row],[Age]]&lt;=24,"18-24",
HRData[[#This Row],[Age]]&lt;=34,"25-34",
HRData[[#This Row],[Age]]&lt;=44,"35-44",
HRData[[#This Row],[Age]]&lt;=54,"45-54",
HRData[[#This Row],[Age]]&gt;=55,"55+"
)</f>
        <v>25-34</v>
      </c>
      <c r="C338" t="s">
        <v>35</v>
      </c>
      <c r="D338">
        <f>IF(HRData[[#This Row],[Attrition]]="Yes",1,0)</f>
        <v>1</v>
      </c>
      <c r="E338" t="s">
        <v>36</v>
      </c>
      <c r="F338">
        <v>318</v>
      </c>
      <c r="G338" t="s">
        <v>45</v>
      </c>
      <c r="H338">
        <v>8</v>
      </c>
      <c r="I338">
        <v>4</v>
      </c>
      <c r="J338" t="s">
        <v>49</v>
      </c>
      <c r="K338">
        <v>1</v>
      </c>
      <c r="L338">
        <v>454</v>
      </c>
      <c r="M338">
        <v>2</v>
      </c>
      <c r="N338" t="str" cm="1">
        <f t="array" ref="N338">_xlfn.IFS(HRData[[#This Row],[EnvironmentSatisfaction]]=1,"Very Dissatisfied",
HRData[[#This Row],[EnvironmentSatisfaction]]=2,"Dissatisfied",
HRData[[#This Row],[EnvironmentSatisfaction]]=3,"Satisfied",
HRData[[#This Row],[EnvironmentSatisfaction]]=4,"Very Satisfied"
)</f>
        <v>Dissatisfied</v>
      </c>
      <c r="O338" t="s">
        <v>46</v>
      </c>
      <c r="P338">
        <v>77</v>
      </c>
      <c r="Q338">
        <v>1</v>
      </c>
      <c r="R338">
        <v>1</v>
      </c>
      <c r="S338" t="s">
        <v>50</v>
      </c>
      <c r="T338">
        <v>1</v>
      </c>
      <c r="U338" t="str" cm="1">
        <f t="array" ref="U338">_xlfn.IFS(
HRData[[#This Row],[JobSatisfaction]]=1,"Very Dissatisfied",
HRData[[#This Row],[JobSatisfaction]]=2,"Dissatisfied",
HRData[[#This Row],[JobSatisfaction]]=3,"Satisfied",
HRData[[#This Row],[JobSatisfaction]]=4,"Very Satisfied"
)</f>
        <v>Very Dissatisfied</v>
      </c>
      <c r="V338" t="s">
        <v>48</v>
      </c>
      <c r="W338">
        <v>2119</v>
      </c>
      <c r="X338" t="str" cm="1">
        <f t="array" ref="X338">_xlfn.IFS(
HRData[[#This Row],[MonthlyIncome]]&lt;=4000,"Very Low Income",
HRData[[#This Row],[MonthlyIncome]]&lt;=8000,"Low Income",
HRData[[#This Row],[MonthlyIncome]]&lt;=12000,"Moderate Income",
HRData[[#This Row],[MonthlyIncome]]&lt;=16000,"High Income",
HRData[[#This Row],[MonthlyIncome]]&gt;16000,"Very High Income"
)</f>
        <v>Very Low Income</v>
      </c>
      <c r="Y338">
        <v>4759</v>
      </c>
      <c r="Z338">
        <v>1</v>
      </c>
      <c r="AA338" t="s">
        <v>42</v>
      </c>
      <c r="AB338" t="s">
        <v>35</v>
      </c>
      <c r="AC338">
        <v>11</v>
      </c>
      <c r="AD338" t="str" cm="1">
        <f t="array" ref="AD338">_xlfn.IFS(HRData[[#This Row],[PercentSalaryHike]]&lt;=15,"11-15",HRData[[#This Row],[PercentSalaryHike]]&lt;=20,"16-20",HRData[[#This Row],[PercentSalaryHike]]&gt;=21,"21+")</f>
        <v>11-15</v>
      </c>
      <c r="AE338">
        <v>3</v>
      </c>
      <c r="AF338">
        <v>4</v>
      </c>
      <c r="AG338">
        <v>80</v>
      </c>
      <c r="AH338">
        <v>0</v>
      </c>
      <c r="AI338">
        <v>7</v>
      </c>
      <c r="AJ338">
        <v>4</v>
      </c>
      <c r="AK338">
        <v>2</v>
      </c>
      <c r="AL338">
        <v>7</v>
      </c>
      <c r="AM338">
        <v>7</v>
      </c>
      <c r="AN338">
        <v>0</v>
      </c>
      <c r="AO338">
        <v>7</v>
      </c>
      <c r="AP33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338" t="str">
        <f>IF(HRData[[#This Row],[Attrition]]="Yes","Left", IF(HRData[[#This Row],[Attrition_Risk_Score]]&gt;=6,"High",IF(HRData[[#This Row],[Attrition_Risk_Score]]&gt;=3,"Medium","Low")))</f>
        <v>Left</v>
      </c>
      <c r="AR338" t="str">
        <f>IF(HRData[[#This Row],[Attrition_Risk_Level]]&lt;&gt;"High","",HRData[[#This Row],[Attrition_Risk_Score]]*10000-HRData[[#This Row],[EmployeeNumber]])</f>
        <v/>
      </c>
    </row>
    <row r="339" spans="1:44">
      <c r="A339">
        <v>29</v>
      </c>
      <c r="B339" t="str" cm="1">
        <f t="array" ref="B339">_xlfn.IFS(
HRData[[#This Row],[Age]]&lt;=24,"18-24",
HRData[[#This Row],[Age]]&lt;=34,"25-34",
HRData[[#This Row],[Age]]&lt;=44,"35-44",
HRData[[#This Row],[Age]]&lt;=54,"45-54",
HRData[[#This Row],[Age]]&gt;=55,"55+"
)</f>
        <v>25-34</v>
      </c>
      <c r="C339" t="s">
        <v>43</v>
      </c>
      <c r="D339">
        <f>IF(HRData[[#This Row],[Attrition]]="Yes",1,0)</f>
        <v>0</v>
      </c>
      <c r="E339" t="s">
        <v>36</v>
      </c>
      <c r="F339">
        <v>738</v>
      </c>
      <c r="G339" t="s">
        <v>45</v>
      </c>
      <c r="H339">
        <v>9</v>
      </c>
      <c r="I339">
        <v>5</v>
      </c>
      <c r="J339" t="s">
        <v>49</v>
      </c>
      <c r="K339">
        <v>1</v>
      </c>
      <c r="L339">
        <v>455</v>
      </c>
      <c r="M339">
        <v>2</v>
      </c>
      <c r="N339" t="str" cm="1">
        <f t="array" ref="N339">_xlfn.IFS(HRData[[#This Row],[EnvironmentSatisfaction]]=1,"Very Dissatisfied",
HRData[[#This Row],[EnvironmentSatisfaction]]=2,"Dissatisfied",
HRData[[#This Row],[EnvironmentSatisfaction]]=3,"Satisfied",
HRData[[#This Row],[EnvironmentSatisfaction]]=4,"Very Satisfied"
)</f>
        <v>Dissatisfied</v>
      </c>
      <c r="O339" t="s">
        <v>46</v>
      </c>
      <c r="P339">
        <v>30</v>
      </c>
      <c r="Q339">
        <v>2</v>
      </c>
      <c r="R339">
        <v>1</v>
      </c>
      <c r="S339" t="s">
        <v>50</v>
      </c>
      <c r="T339">
        <v>4</v>
      </c>
      <c r="U339" t="str" cm="1">
        <f t="array" ref="U339">_xlfn.IFS(
HRData[[#This Row],[JobSatisfaction]]=1,"Very Dissatisfied",
HRData[[#This Row],[JobSatisfaction]]=2,"Dissatisfied",
HRData[[#This Row],[JobSatisfaction]]=3,"Satisfied",
HRData[[#This Row],[JobSatisfaction]]=4,"Very Satisfied"
)</f>
        <v>Very Satisfied</v>
      </c>
      <c r="V339" t="s">
        <v>41</v>
      </c>
      <c r="W339">
        <v>3983</v>
      </c>
      <c r="X339" t="str" cm="1">
        <f t="array" ref="X339">_xlfn.IFS(
HRData[[#This Row],[MonthlyIncome]]&lt;=4000,"Very Low Income",
HRData[[#This Row],[MonthlyIncome]]&lt;=8000,"Low Income",
HRData[[#This Row],[MonthlyIncome]]&lt;=12000,"Moderate Income",
HRData[[#This Row],[MonthlyIncome]]&lt;=16000,"High Income",
HRData[[#This Row],[MonthlyIncome]]&gt;16000,"Very High Income"
)</f>
        <v>Very Low Income</v>
      </c>
      <c r="Y339">
        <v>7621</v>
      </c>
      <c r="Z339">
        <v>0</v>
      </c>
      <c r="AA339" t="s">
        <v>42</v>
      </c>
      <c r="AB339" t="s">
        <v>43</v>
      </c>
      <c r="AC339">
        <v>17</v>
      </c>
      <c r="AD339" t="str" cm="1">
        <f t="array" ref="AD339">_xlfn.IFS(HRData[[#This Row],[PercentSalaryHike]]&lt;=15,"11-15",HRData[[#This Row],[PercentSalaryHike]]&lt;=20,"16-20",HRData[[#This Row],[PercentSalaryHike]]&gt;=21,"21+")</f>
        <v>16-20</v>
      </c>
      <c r="AE339">
        <v>3</v>
      </c>
      <c r="AF339">
        <v>3</v>
      </c>
      <c r="AG339">
        <v>80</v>
      </c>
      <c r="AH339">
        <v>0</v>
      </c>
      <c r="AI339">
        <v>4</v>
      </c>
      <c r="AJ339">
        <v>2</v>
      </c>
      <c r="AK339">
        <v>3</v>
      </c>
      <c r="AL339">
        <v>3</v>
      </c>
      <c r="AM339">
        <v>2</v>
      </c>
      <c r="AN339">
        <v>2</v>
      </c>
      <c r="AO339">
        <v>2</v>
      </c>
      <c r="AP33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39" t="str">
        <f>IF(HRData[[#This Row],[Attrition]]="Yes","Left", IF(HRData[[#This Row],[Attrition_Risk_Score]]&gt;=6,"High",IF(HRData[[#This Row],[Attrition_Risk_Score]]&gt;=3,"Medium","Low")))</f>
        <v>Medium</v>
      </c>
      <c r="AR339" t="str">
        <f>IF(HRData[[#This Row],[Attrition_Risk_Level]]&lt;&gt;"High","",HRData[[#This Row],[Attrition_Risk_Score]]*10000-HRData[[#This Row],[EmployeeNumber]])</f>
        <v/>
      </c>
    </row>
    <row r="340" spans="1:44">
      <c r="A340">
        <v>30</v>
      </c>
      <c r="B340" t="str" cm="1">
        <f t="array" ref="B340">_xlfn.IFS(
HRData[[#This Row],[Age]]&lt;=24,"18-24",
HRData[[#This Row],[Age]]&lt;=34,"25-34",
HRData[[#This Row],[Age]]&lt;=44,"35-44",
HRData[[#This Row],[Age]]&lt;=54,"45-54",
HRData[[#This Row],[Age]]&gt;=55,"55+"
)</f>
        <v>25-34</v>
      </c>
      <c r="C340" t="s">
        <v>43</v>
      </c>
      <c r="D340">
        <f>IF(HRData[[#This Row],[Attrition]]="Yes",1,0)</f>
        <v>0</v>
      </c>
      <c r="E340" t="s">
        <v>36</v>
      </c>
      <c r="F340">
        <v>570</v>
      </c>
      <c r="G340" t="s">
        <v>37</v>
      </c>
      <c r="H340">
        <v>5</v>
      </c>
      <c r="I340">
        <v>3</v>
      </c>
      <c r="J340" t="s">
        <v>59</v>
      </c>
      <c r="K340">
        <v>1</v>
      </c>
      <c r="L340">
        <v>456</v>
      </c>
      <c r="M340">
        <v>4</v>
      </c>
      <c r="N340" t="str" cm="1">
        <f t="array" ref="N340">_xlfn.IFS(HRData[[#This Row],[EnvironmentSatisfaction]]=1,"Very Dissatisfied",
HRData[[#This Row],[EnvironmentSatisfaction]]=2,"Dissatisfied",
HRData[[#This Row],[EnvironmentSatisfaction]]=3,"Satisfied",
HRData[[#This Row],[EnvironmentSatisfaction]]=4,"Very Satisfied"
)</f>
        <v>Very Satisfied</v>
      </c>
      <c r="O340" t="s">
        <v>39</v>
      </c>
      <c r="P340">
        <v>30</v>
      </c>
      <c r="Q340">
        <v>2</v>
      </c>
      <c r="R340">
        <v>2</v>
      </c>
      <c r="S340" t="s">
        <v>40</v>
      </c>
      <c r="T340">
        <v>3</v>
      </c>
      <c r="U340" t="str" cm="1">
        <f t="array" ref="U340">_xlfn.IFS(
HRData[[#This Row],[JobSatisfaction]]=1,"Very Dissatisfied",
HRData[[#This Row],[JobSatisfaction]]=2,"Dissatisfied",
HRData[[#This Row],[JobSatisfaction]]=3,"Satisfied",
HRData[[#This Row],[JobSatisfaction]]=4,"Very Satisfied"
)</f>
        <v>Satisfied</v>
      </c>
      <c r="V340" t="s">
        <v>52</v>
      </c>
      <c r="W340">
        <v>6118</v>
      </c>
      <c r="X340" t="str" cm="1">
        <f t="array" ref="X340">_xlfn.IFS(
HRData[[#This Row],[MonthlyIncome]]&lt;=4000,"Very Low Income",
HRData[[#This Row],[MonthlyIncome]]&lt;=8000,"Low Income",
HRData[[#This Row],[MonthlyIncome]]&lt;=12000,"Moderate Income",
HRData[[#This Row],[MonthlyIncome]]&lt;=16000,"High Income",
HRData[[#This Row],[MonthlyIncome]]&gt;16000,"Very High Income"
)</f>
        <v>Low Income</v>
      </c>
      <c r="Y340">
        <v>5431</v>
      </c>
      <c r="Z340">
        <v>1</v>
      </c>
      <c r="AA340" t="s">
        <v>42</v>
      </c>
      <c r="AB340" t="s">
        <v>43</v>
      </c>
      <c r="AC340">
        <v>13</v>
      </c>
      <c r="AD340" t="str" cm="1">
        <f t="array" ref="AD340">_xlfn.IFS(HRData[[#This Row],[PercentSalaryHike]]&lt;=15,"11-15",HRData[[#This Row],[PercentSalaryHike]]&lt;=20,"16-20",HRData[[#This Row],[PercentSalaryHike]]&gt;=21,"21+")</f>
        <v>11-15</v>
      </c>
      <c r="AE340">
        <v>3</v>
      </c>
      <c r="AF340">
        <v>3</v>
      </c>
      <c r="AG340">
        <v>80</v>
      </c>
      <c r="AH340">
        <v>3</v>
      </c>
      <c r="AI340">
        <v>10</v>
      </c>
      <c r="AJ340">
        <v>2</v>
      </c>
      <c r="AK340">
        <v>3</v>
      </c>
      <c r="AL340">
        <v>10</v>
      </c>
      <c r="AM340">
        <v>9</v>
      </c>
      <c r="AN340">
        <v>1</v>
      </c>
      <c r="AO340">
        <v>2</v>
      </c>
      <c r="AP34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40" t="str">
        <f>IF(HRData[[#This Row],[Attrition]]="Yes","Left", IF(HRData[[#This Row],[Attrition_Risk_Score]]&gt;=6,"High",IF(HRData[[#This Row],[Attrition_Risk_Score]]&gt;=3,"Medium","Low")))</f>
        <v>Low</v>
      </c>
      <c r="AR340" t="str">
        <f>IF(HRData[[#This Row],[Attrition_Risk_Level]]&lt;&gt;"High","",HRData[[#This Row],[Attrition_Risk_Score]]*10000-HRData[[#This Row],[EmployeeNumber]])</f>
        <v/>
      </c>
    </row>
    <row r="341" spans="1:44">
      <c r="A341">
        <v>27</v>
      </c>
      <c r="B341" t="str" cm="1">
        <f t="array" ref="B341">_xlfn.IFS(
HRData[[#This Row],[Age]]&lt;=24,"18-24",
HRData[[#This Row],[Age]]&lt;=34,"25-34",
HRData[[#This Row],[Age]]&lt;=44,"35-44",
HRData[[#This Row],[Age]]&lt;=54,"45-54",
HRData[[#This Row],[Age]]&gt;=55,"55+"
)</f>
        <v>25-34</v>
      </c>
      <c r="C341" t="s">
        <v>43</v>
      </c>
      <c r="D341">
        <f>IF(HRData[[#This Row],[Attrition]]="Yes",1,0)</f>
        <v>0</v>
      </c>
      <c r="E341" t="s">
        <v>36</v>
      </c>
      <c r="F341">
        <v>1130</v>
      </c>
      <c r="G341" t="s">
        <v>37</v>
      </c>
      <c r="H341">
        <v>8</v>
      </c>
      <c r="I341">
        <v>4</v>
      </c>
      <c r="J341" t="s">
        <v>59</v>
      </c>
      <c r="K341">
        <v>1</v>
      </c>
      <c r="L341">
        <v>458</v>
      </c>
      <c r="M341">
        <v>2</v>
      </c>
      <c r="N341" t="str" cm="1">
        <f t="array" ref="N341">_xlfn.IFS(HRData[[#This Row],[EnvironmentSatisfaction]]=1,"Very Dissatisfied",
HRData[[#This Row],[EnvironmentSatisfaction]]=2,"Dissatisfied",
HRData[[#This Row],[EnvironmentSatisfaction]]=3,"Satisfied",
HRData[[#This Row],[EnvironmentSatisfaction]]=4,"Very Satisfied"
)</f>
        <v>Dissatisfied</v>
      </c>
      <c r="O341" t="s">
        <v>39</v>
      </c>
      <c r="P341">
        <v>56</v>
      </c>
      <c r="Q341">
        <v>3</v>
      </c>
      <c r="R341">
        <v>2</v>
      </c>
      <c r="S341" t="s">
        <v>40</v>
      </c>
      <c r="T341">
        <v>2</v>
      </c>
      <c r="U341" t="str" cm="1">
        <f t="array" ref="U341">_xlfn.IFS(
HRData[[#This Row],[JobSatisfaction]]=1,"Very Dissatisfied",
HRData[[#This Row],[JobSatisfaction]]=2,"Dissatisfied",
HRData[[#This Row],[JobSatisfaction]]=3,"Satisfied",
HRData[[#This Row],[JobSatisfaction]]=4,"Very Satisfied"
)</f>
        <v>Dissatisfied</v>
      </c>
      <c r="V341" t="s">
        <v>48</v>
      </c>
      <c r="W341">
        <v>6214</v>
      </c>
      <c r="X341" t="str" cm="1">
        <f t="array" ref="X341">_xlfn.IFS(
HRData[[#This Row],[MonthlyIncome]]&lt;=4000,"Very Low Income",
HRData[[#This Row],[MonthlyIncome]]&lt;=8000,"Low Income",
HRData[[#This Row],[MonthlyIncome]]&lt;=12000,"Moderate Income",
HRData[[#This Row],[MonthlyIncome]]&lt;=16000,"High Income",
HRData[[#This Row],[MonthlyIncome]]&gt;16000,"Very High Income"
)</f>
        <v>Low Income</v>
      </c>
      <c r="Y341">
        <v>3415</v>
      </c>
      <c r="Z341">
        <v>1</v>
      </c>
      <c r="AA341" t="s">
        <v>42</v>
      </c>
      <c r="AB341" t="s">
        <v>43</v>
      </c>
      <c r="AC341">
        <v>18</v>
      </c>
      <c r="AD341" t="str" cm="1">
        <f t="array" ref="AD341">_xlfn.IFS(HRData[[#This Row],[PercentSalaryHike]]&lt;=15,"11-15",HRData[[#This Row],[PercentSalaryHike]]&lt;=20,"16-20",HRData[[#This Row],[PercentSalaryHike]]&gt;=21,"21+")</f>
        <v>16-20</v>
      </c>
      <c r="AE341">
        <v>3</v>
      </c>
      <c r="AF341">
        <v>1</v>
      </c>
      <c r="AG341">
        <v>80</v>
      </c>
      <c r="AH341">
        <v>1</v>
      </c>
      <c r="AI341">
        <v>8</v>
      </c>
      <c r="AJ341">
        <v>3</v>
      </c>
      <c r="AK341">
        <v>3</v>
      </c>
      <c r="AL341">
        <v>8</v>
      </c>
      <c r="AM341">
        <v>7</v>
      </c>
      <c r="AN341">
        <v>0</v>
      </c>
      <c r="AO341">
        <v>7</v>
      </c>
      <c r="AP34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41" t="str">
        <f>IF(HRData[[#This Row],[Attrition]]="Yes","Left", IF(HRData[[#This Row],[Attrition_Risk_Score]]&gt;=6,"High",IF(HRData[[#This Row],[Attrition_Risk_Score]]&gt;=3,"Medium","Low")))</f>
        <v>Low</v>
      </c>
      <c r="AR341" t="str">
        <f>IF(HRData[[#This Row],[Attrition_Risk_Level]]&lt;&gt;"High","",HRData[[#This Row],[Attrition_Risk_Score]]*10000-HRData[[#This Row],[EmployeeNumber]])</f>
        <v/>
      </c>
    </row>
    <row r="342" spans="1:44">
      <c r="A342">
        <v>37</v>
      </c>
      <c r="B342" t="str" cm="1">
        <f t="array" ref="B342">_xlfn.IFS(
HRData[[#This Row],[Age]]&lt;=24,"18-24",
HRData[[#This Row],[Age]]&lt;=34,"25-34",
HRData[[#This Row],[Age]]&lt;=44,"35-44",
HRData[[#This Row],[Age]]&lt;=54,"45-54",
HRData[[#This Row],[Age]]&gt;=55,"55+"
)</f>
        <v>35-44</v>
      </c>
      <c r="C342" t="s">
        <v>43</v>
      </c>
      <c r="D342">
        <f>IF(HRData[[#This Row],[Attrition]]="Yes",1,0)</f>
        <v>0</v>
      </c>
      <c r="E342" t="s">
        <v>36</v>
      </c>
      <c r="F342">
        <v>1192</v>
      </c>
      <c r="G342" t="s">
        <v>45</v>
      </c>
      <c r="H342">
        <v>5</v>
      </c>
      <c r="I342">
        <v>2</v>
      </c>
      <c r="J342" t="s">
        <v>51</v>
      </c>
      <c r="K342">
        <v>1</v>
      </c>
      <c r="L342">
        <v>460</v>
      </c>
      <c r="M342">
        <v>4</v>
      </c>
      <c r="N342" t="str" cm="1">
        <f t="array" ref="N342">_xlfn.IFS(HRData[[#This Row],[EnvironmentSatisfaction]]=1,"Very Dissatisfied",
HRData[[#This Row],[EnvironmentSatisfaction]]=2,"Dissatisfied",
HRData[[#This Row],[EnvironmentSatisfaction]]=3,"Satisfied",
HRData[[#This Row],[EnvironmentSatisfaction]]=4,"Very Satisfied"
)</f>
        <v>Very Satisfied</v>
      </c>
      <c r="O342" t="s">
        <v>46</v>
      </c>
      <c r="P342">
        <v>61</v>
      </c>
      <c r="Q342">
        <v>3</v>
      </c>
      <c r="R342">
        <v>2</v>
      </c>
      <c r="S342" t="s">
        <v>53</v>
      </c>
      <c r="T342">
        <v>4</v>
      </c>
      <c r="U342" t="str" cm="1">
        <f t="array" ref="U342">_xlfn.IFS(
HRData[[#This Row],[JobSatisfaction]]=1,"Very Dissatisfied",
HRData[[#This Row],[JobSatisfaction]]=2,"Dissatisfied",
HRData[[#This Row],[JobSatisfaction]]=3,"Satisfied",
HRData[[#This Row],[JobSatisfaction]]=4,"Very Satisfied"
)</f>
        <v>Very Satisfied</v>
      </c>
      <c r="V342" t="s">
        <v>52</v>
      </c>
      <c r="W342">
        <v>6347</v>
      </c>
      <c r="X342" t="str" cm="1">
        <f t="array" ref="X342">_xlfn.IFS(
HRData[[#This Row],[MonthlyIncome]]&lt;=4000,"Very Low Income",
HRData[[#This Row],[MonthlyIncome]]&lt;=8000,"Low Income",
HRData[[#This Row],[MonthlyIncome]]&lt;=12000,"Moderate Income",
HRData[[#This Row],[MonthlyIncome]]&lt;=16000,"High Income",
HRData[[#This Row],[MonthlyIncome]]&gt;16000,"Very High Income"
)</f>
        <v>Low Income</v>
      </c>
      <c r="Y342">
        <v>23177</v>
      </c>
      <c r="Z342">
        <v>7</v>
      </c>
      <c r="AA342" t="s">
        <v>42</v>
      </c>
      <c r="AB342" t="s">
        <v>43</v>
      </c>
      <c r="AC342">
        <v>16</v>
      </c>
      <c r="AD342" t="str" cm="1">
        <f t="array" ref="AD342">_xlfn.IFS(HRData[[#This Row],[PercentSalaryHike]]&lt;=15,"11-15",HRData[[#This Row],[PercentSalaryHike]]&lt;=20,"16-20",HRData[[#This Row],[PercentSalaryHike]]&gt;=21,"21+")</f>
        <v>16-20</v>
      </c>
      <c r="AE342">
        <v>3</v>
      </c>
      <c r="AF342">
        <v>3</v>
      </c>
      <c r="AG342">
        <v>80</v>
      </c>
      <c r="AH342">
        <v>2</v>
      </c>
      <c r="AI342">
        <v>8</v>
      </c>
      <c r="AJ342">
        <v>2</v>
      </c>
      <c r="AK342">
        <v>2</v>
      </c>
      <c r="AL342">
        <v>6</v>
      </c>
      <c r="AM342">
        <v>2</v>
      </c>
      <c r="AN342">
        <v>0</v>
      </c>
      <c r="AO342">
        <v>4</v>
      </c>
      <c r="AP34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342" t="str">
        <f>IF(HRData[[#This Row],[Attrition]]="Yes","Left", IF(HRData[[#This Row],[Attrition_Risk_Score]]&gt;=6,"High",IF(HRData[[#This Row],[Attrition_Risk_Score]]&gt;=3,"Medium","Low")))</f>
        <v>Low</v>
      </c>
      <c r="AR342" t="str">
        <f>IF(HRData[[#This Row],[Attrition_Risk_Level]]&lt;&gt;"High","",HRData[[#This Row],[Attrition_Risk_Score]]*10000-HRData[[#This Row],[EmployeeNumber]])</f>
        <v/>
      </c>
    </row>
    <row r="343" spans="1:44">
      <c r="A343">
        <v>38</v>
      </c>
      <c r="B343" t="str" cm="1">
        <f t="array" ref="B343">_xlfn.IFS(
HRData[[#This Row],[Age]]&lt;=24,"18-24",
HRData[[#This Row],[Age]]&lt;=34,"25-34",
HRData[[#This Row],[Age]]&lt;=44,"35-44",
HRData[[#This Row],[Age]]&lt;=54,"45-54",
HRData[[#This Row],[Age]]&gt;=55,"55+"
)</f>
        <v>35-44</v>
      </c>
      <c r="C343" t="s">
        <v>43</v>
      </c>
      <c r="D343">
        <f>IF(HRData[[#This Row],[Attrition]]="Yes",1,0)</f>
        <v>0</v>
      </c>
      <c r="E343" t="s">
        <v>36</v>
      </c>
      <c r="F343">
        <v>343</v>
      </c>
      <c r="G343" t="s">
        <v>45</v>
      </c>
      <c r="H343">
        <v>15</v>
      </c>
      <c r="I343">
        <v>2</v>
      </c>
      <c r="J343" t="s">
        <v>38</v>
      </c>
      <c r="K343">
        <v>1</v>
      </c>
      <c r="L343">
        <v>461</v>
      </c>
      <c r="M343">
        <v>3</v>
      </c>
      <c r="N343" t="str" cm="1">
        <f t="array" ref="N343">_xlfn.IFS(HRData[[#This Row],[EnvironmentSatisfaction]]=1,"Very Dissatisfied",
HRData[[#This Row],[EnvironmentSatisfaction]]=2,"Dissatisfied",
HRData[[#This Row],[EnvironmentSatisfaction]]=3,"Satisfied",
HRData[[#This Row],[EnvironmentSatisfaction]]=4,"Very Satisfied"
)</f>
        <v>Satisfied</v>
      </c>
      <c r="O343" t="s">
        <v>46</v>
      </c>
      <c r="P343">
        <v>92</v>
      </c>
      <c r="Q343">
        <v>2</v>
      </c>
      <c r="R343">
        <v>3</v>
      </c>
      <c r="S343" t="s">
        <v>58</v>
      </c>
      <c r="T343">
        <v>4</v>
      </c>
      <c r="U343" t="str" cm="1">
        <f t="array" ref="U343">_xlfn.IFS(
HRData[[#This Row],[JobSatisfaction]]=1,"Very Dissatisfied",
HRData[[#This Row],[JobSatisfaction]]=2,"Dissatisfied",
HRData[[#This Row],[JobSatisfaction]]=3,"Satisfied",
HRData[[#This Row],[JobSatisfaction]]=4,"Very Satisfied"
)</f>
        <v>Very Satisfied</v>
      </c>
      <c r="V343" t="s">
        <v>52</v>
      </c>
      <c r="W343">
        <v>11510</v>
      </c>
      <c r="X343" t="str" cm="1">
        <f t="array" ref="X343">_xlfn.IFS(
HRData[[#This Row],[MonthlyIncome]]&lt;=4000,"Very Low Income",
HRData[[#This Row],[MonthlyIncome]]&lt;=8000,"Low Income",
HRData[[#This Row],[MonthlyIncome]]&lt;=12000,"Moderate Income",
HRData[[#This Row],[MonthlyIncome]]&lt;=16000,"High Income",
HRData[[#This Row],[MonthlyIncome]]&gt;16000,"Very High Income"
)</f>
        <v>Moderate Income</v>
      </c>
      <c r="Y343">
        <v>15682</v>
      </c>
      <c r="Z343">
        <v>0</v>
      </c>
      <c r="AA343" t="s">
        <v>42</v>
      </c>
      <c r="AB343" t="s">
        <v>35</v>
      </c>
      <c r="AC343">
        <v>14</v>
      </c>
      <c r="AD343" t="str" cm="1">
        <f t="array" ref="AD343">_xlfn.IFS(HRData[[#This Row],[PercentSalaryHike]]&lt;=15,"11-15",HRData[[#This Row],[PercentSalaryHike]]&lt;=20,"16-20",HRData[[#This Row],[PercentSalaryHike]]&gt;=21,"21+")</f>
        <v>11-15</v>
      </c>
      <c r="AE343">
        <v>3</v>
      </c>
      <c r="AF343">
        <v>2</v>
      </c>
      <c r="AG343">
        <v>80</v>
      </c>
      <c r="AH343">
        <v>1</v>
      </c>
      <c r="AI343">
        <v>12</v>
      </c>
      <c r="AJ343">
        <v>3</v>
      </c>
      <c r="AK343">
        <v>3</v>
      </c>
      <c r="AL343">
        <v>11</v>
      </c>
      <c r="AM343">
        <v>10</v>
      </c>
      <c r="AN343">
        <v>2</v>
      </c>
      <c r="AO343">
        <v>9</v>
      </c>
      <c r="AP34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43" t="str">
        <f>IF(HRData[[#This Row],[Attrition]]="Yes","Left", IF(HRData[[#This Row],[Attrition_Risk_Score]]&gt;=6,"High",IF(HRData[[#This Row],[Attrition_Risk_Score]]&gt;=3,"Medium","Low")))</f>
        <v>Low</v>
      </c>
      <c r="AR343" t="str">
        <f>IF(HRData[[#This Row],[Attrition_Risk_Level]]&lt;&gt;"High","",HRData[[#This Row],[Attrition_Risk_Score]]*10000-HRData[[#This Row],[EmployeeNumber]])</f>
        <v/>
      </c>
    </row>
    <row r="344" spans="1:44">
      <c r="A344">
        <v>31</v>
      </c>
      <c r="B344" t="str" cm="1">
        <f t="array" ref="B344">_xlfn.IFS(
HRData[[#This Row],[Age]]&lt;=24,"18-24",
HRData[[#This Row],[Age]]&lt;=34,"25-34",
HRData[[#This Row],[Age]]&lt;=44,"35-44",
HRData[[#This Row],[Age]]&lt;=54,"45-54",
HRData[[#This Row],[Age]]&gt;=55,"55+"
)</f>
        <v>25-34</v>
      </c>
      <c r="C344" t="s">
        <v>43</v>
      </c>
      <c r="D344">
        <f>IF(HRData[[#This Row],[Attrition]]="Yes",1,0)</f>
        <v>0</v>
      </c>
      <c r="E344" t="s">
        <v>36</v>
      </c>
      <c r="F344">
        <v>1232</v>
      </c>
      <c r="G344" t="s">
        <v>45</v>
      </c>
      <c r="H344">
        <v>7</v>
      </c>
      <c r="I344">
        <v>4</v>
      </c>
      <c r="J344" t="s">
        <v>51</v>
      </c>
      <c r="K344">
        <v>1</v>
      </c>
      <c r="L344">
        <v>462</v>
      </c>
      <c r="M344">
        <v>3</v>
      </c>
      <c r="N344" t="str" cm="1">
        <f t="array" ref="N344">_xlfn.IFS(HRData[[#This Row],[EnvironmentSatisfaction]]=1,"Very Dissatisfied",
HRData[[#This Row],[EnvironmentSatisfaction]]=2,"Dissatisfied",
HRData[[#This Row],[EnvironmentSatisfaction]]=3,"Satisfied",
HRData[[#This Row],[EnvironmentSatisfaction]]=4,"Very Satisfied"
)</f>
        <v>Satisfied</v>
      </c>
      <c r="O344" t="s">
        <v>39</v>
      </c>
      <c r="P344">
        <v>39</v>
      </c>
      <c r="Q344">
        <v>3</v>
      </c>
      <c r="R344">
        <v>3</v>
      </c>
      <c r="S344" t="s">
        <v>53</v>
      </c>
      <c r="T344">
        <v>4</v>
      </c>
      <c r="U344" t="str" cm="1">
        <f t="array" ref="U344">_xlfn.IFS(
HRData[[#This Row],[JobSatisfaction]]=1,"Very Dissatisfied",
HRData[[#This Row],[JobSatisfaction]]=2,"Dissatisfied",
HRData[[#This Row],[JobSatisfaction]]=3,"Satisfied",
HRData[[#This Row],[JobSatisfaction]]=4,"Very Satisfied"
)</f>
        <v>Very Satisfied</v>
      </c>
      <c r="V344" t="s">
        <v>41</v>
      </c>
      <c r="W344">
        <v>7143</v>
      </c>
      <c r="X344" t="str" cm="1">
        <f t="array" ref="X344">_xlfn.IFS(
HRData[[#This Row],[MonthlyIncome]]&lt;=4000,"Very Low Income",
HRData[[#This Row],[MonthlyIncome]]&lt;=8000,"Low Income",
HRData[[#This Row],[MonthlyIncome]]&lt;=12000,"Moderate Income",
HRData[[#This Row],[MonthlyIncome]]&lt;=16000,"High Income",
HRData[[#This Row],[MonthlyIncome]]&gt;16000,"Very High Income"
)</f>
        <v>Low Income</v>
      </c>
      <c r="Y344">
        <v>25713</v>
      </c>
      <c r="Z344">
        <v>1</v>
      </c>
      <c r="AA344" t="s">
        <v>42</v>
      </c>
      <c r="AB344" t="s">
        <v>35</v>
      </c>
      <c r="AC344">
        <v>14</v>
      </c>
      <c r="AD344" t="str" cm="1">
        <f t="array" ref="AD344">_xlfn.IFS(HRData[[#This Row],[PercentSalaryHike]]&lt;=15,"11-15",HRData[[#This Row],[PercentSalaryHike]]&lt;=20,"16-20",HRData[[#This Row],[PercentSalaryHike]]&gt;=21,"21+")</f>
        <v>11-15</v>
      </c>
      <c r="AE344">
        <v>3</v>
      </c>
      <c r="AF344">
        <v>3</v>
      </c>
      <c r="AG344">
        <v>80</v>
      </c>
      <c r="AH344">
        <v>0</v>
      </c>
      <c r="AI344">
        <v>11</v>
      </c>
      <c r="AJ344">
        <v>2</v>
      </c>
      <c r="AK344">
        <v>2</v>
      </c>
      <c r="AL344">
        <v>11</v>
      </c>
      <c r="AM344">
        <v>9</v>
      </c>
      <c r="AN344">
        <v>4</v>
      </c>
      <c r="AO344">
        <v>10</v>
      </c>
      <c r="AP34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44" t="str">
        <f>IF(HRData[[#This Row],[Attrition]]="Yes","Left", IF(HRData[[#This Row],[Attrition_Risk_Score]]&gt;=6,"High",IF(HRData[[#This Row],[Attrition_Risk_Score]]&gt;=3,"Medium","Low")))</f>
        <v>Medium</v>
      </c>
      <c r="AR344" t="str">
        <f>IF(HRData[[#This Row],[Attrition_Risk_Level]]&lt;&gt;"High","",HRData[[#This Row],[Attrition_Risk_Score]]*10000-HRData[[#This Row],[EmployeeNumber]])</f>
        <v/>
      </c>
    </row>
    <row r="345" spans="1:44">
      <c r="A345">
        <v>29</v>
      </c>
      <c r="B345" t="str" cm="1">
        <f t="array" ref="B345">_xlfn.IFS(
HRData[[#This Row],[Age]]&lt;=24,"18-24",
HRData[[#This Row],[Age]]&lt;=34,"25-34",
HRData[[#This Row],[Age]]&lt;=44,"35-44",
HRData[[#This Row],[Age]]&lt;=54,"45-54",
HRData[[#This Row],[Age]]&gt;=55,"55+"
)</f>
        <v>25-34</v>
      </c>
      <c r="C345" t="s">
        <v>43</v>
      </c>
      <c r="D345">
        <f>IF(HRData[[#This Row],[Attrition]]="Yes",1,0)</f>
        <v>0</v>
      </c>
      <c r="E345" t="s">
        <v>36</v>
      </c>
      <c r="F345">
        <v>144</v>
      </c>
      <c r="G345" t="s">
        <v>37</v>
      </c>
      <c r="H345">
        <v>10</v>
      </c>
      <c r="I345">
        <v>1</v>
      </c>
      <c r="J345" t="s">
        <v>59</v>
      </c>
      <c r="K345">
        <v>1</v>
      </c>
      <c r="L345">
        <v>463</v>
      </c>
      <c r="M345">
        <v>4</v>
      </c>
      <c r="N345" t="str" cm="1">
        <f t="array" ref="N345">_xlfn.IFS(HRData[[#This Row],[EnvironmentSatisfaction]]=1,"Very Dissatisfied",
HRData[[#This Row],[EnvironmentSatisfaction]]=2,"Dissatisfied",
HRData[[#This Row],[EnvironmentSatisfaction]]=3,"Satisfied",
HRData[[#This Row],[EnvironmentSatisfaction]]=4,"Very Satisfied"
)</f>
        <v>Very Satisfied</v>
      </c>
      <c r="O345" t="s">
        <v>39</v>
      </c>
      <c r="P345">
        <v>39</v>
      </c>
      <c r="Q345">
        <v>2</v>
      </c>
      <c r="R345">
        <v>2</v>
      </c>
      <c r="S345" t="s">
        <v>40</v>
      </c>
      <c r="T345">
        <v>2</v>
      </c>
      <c r="U345" t="str" cm="1">
        <f t="array" ref="U345">_xlfn.IFS(
HRData[[#This Row],[JobSatisfaction]]=1,"Very Dissatisfied",
HRData[[#This Row],[JobSatisfaction]]=2,"Dissatisfied",
HRData[[#This Row],[JobSatisfaction]]=3,"Satisfied",
HRData[[#This Row],[JobSatisfaction]]=4,"Very Satisfied"
)</f>
        <v>Dissatisfied</v>
      </c>
      <c r="V345" t="s">
        <v>52</v>
      </c>
      <c r="W345">
        <v>8268</v>
      </c>
      <c r="X345" t="str" cm="1">
        <f t="array" ref="X345">_xlfn.IFS(
HRData[[#This Row],[MonthlyIncome]]&lt;=4000,"Very Low Income",
HRData[[#This Row],[MonthlyIncome]]&lt;=8000,"Low Income",
HRData[[#This Row],[MonthlyIncome]]&lt;=12000,"Moderate Income",
HRData[[#This Row],[MonthlyIncome]]&lt;=16000,"High Income",
HRData[[#This Row],[MonthlyIncome]]&gt;16000,"Very High Income"
)</f>
        <v>Moderate Income</v>
      </c>
      <c r="Y345">
        <v>11866</v>
      </c>
      <c r="Z345">
        <v>1</v>
      </c>
      <c r="AA345" t="s">
        <v>42</v>
      </c>
      <c r="AB345" t="s">
        <v>35</v>
      </c>
      <c r="AC345">
        <v>14</v>
      </c>
      <c r="AD345" t="str" cm="1">
        <f t="array" ref="AD345">_xlfn.IFS(HRData[[#This Row],[PercentSalaryHike]]&lt;=15,"11-15",HRData[[#This Row],[PercentSalaryHike]]&lt;=20,"16-20",HRData[[#This Row],[PercentSalaryHike]]&gt;=21,"21+")</f>
        <v>11-15</v>
      </c>
      <c r="AE345">
        <v>3</v>
      </c>
      <c r="AF345">
        <v>1</v>
      </c>
      <c r="AG345">
        <v>80</v>
      </c>
      <c r="AH345">
        <v>2</v>
      </c>
      <c r="AI345">
        <v>7</v>
      </c>
      <c r="AJ345">
        <v>2</v>
      </c>
      <c r="AK345">
        <v>3</v>
      </c>
      <c r="AL345">
        <v>7</v>
      </c>
      <c r="AM345">
        <v>7</v>
      </c>
      <c r="AN345">
        <v>1</v>
      </c>
      <c r="AO345">
        <v>7</v>
      </c>
      <c r="AP34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345" t="str">
        <f>IF(HRData[[#This Row],[Attrition]]="Yes","Left", IF(HRData[[#This Row],[Attrition_Risk_Score]]&gt;=6,"High",IF(HRData[[#This Row],[Attrition_Risk_Score]]&gt;=3,"Medium","Low")))</f>
        <v>Medium</v>
      </c>
      <c r="AR345" t="str">
        <f>IF(HRData[[#This Row],[Attrition_Risk_Level]]&lt;&gt;"High","",HRData[[#This Row],[Attrition_Risk_Score]]*10000-HRData[[#This Row],[EmployeeNumber]])</f>
        <v/>
      </c>
    </row>
    <row r="346" spans="1:44">
      <c r="A346">
        <v>35</v>
      </c>
      <c r="B346" t="str" cm="1">
        <f t="array" ref="B346">_xlfn.IFS(
HRData[[#This Row],[Age]]&lt;=24,"18-24",
HRData[[#This Row],[Age]]&lt;=34,"25-34",
HRData[[#This Row],[Age]]&lt;=44,"35-44",
HRData[[#This Row],[Age]]&lt;=54,"45-54",
HRData[[#This Row],[Age]]&gt;=55,"55+"
)</f>
        <v>35-44</v>
      </c>
      <c r="C346" t="s">
        <v>43</v>
      </c>
      <c r="D346">
        <f>IF(HRData[[#This Row],[Attrition]]="Yes",1,0)</f>
        <v>0</v>
      </c>
      <c r="E346" t="s">
        <v>36</v>
      </c>
      <c r="F346">
        <v>1296</v>
      </c>
      <c r="G346" t="s">
        <v>45</v>
      </c>
      <c r="H346">
        <v>5</v>
      </c>
      <c r="I346">
        <v>4</v>
      </c>
      <c r="J346" t="s">
        <v>60</v>
      </c>
      <c r="K346">
        <v>1</v>
      </c>
      <c r="L346">
        <v>464</v>
      </c>
      <c r="M346">
        <v>3</v>
      </c>
      <c r="N346" t="str" cm="1">
        <f t="array" ref="N346">_xlfn.IFS(HRData[[#This Row],[EnvironmentSatisfaction]]=1,"Very Dissatisfied",
HRData[[#This Row],[EnvironmentSatisfaction]]=2,"Dissatisfied",
HRData[[#This Row],[EnvironmentSatisfaction]]=3,"Satisfied",
HRData[[#This Row],[EnvironmentSatisfaction]]=4,"Very Satisfied"
)</f>
        <v>Satisfied</v>
      </c>
      <c r="O346" t="s">
        <v>46</v>
      </c>
      <c r="P346">
        <v>62</v>
      </c>
      <c r="Q346">
        <v>3</v>
      </c>
      <c r="R346">
        <v>3</v>
      </c>
      <c r="S346" t="s">
        <v>53</v>
      </c>
      <c r="T346">
        <v>2</v>
      </c>
      <c r="U346" t="str" cm="1">
        <f t="array" ref="U346">_xlfn.IFS(
HRData[[#This Row],[JobSatisfaction]]=1,"Very Dissatisfied",
HRData[[#This Row],[JobSatisfaction]]=2,"Dissatisfied",
HRData[[#This Row],[JobSatisfaction]]=3,"Satisfied",
HRData[[#This Row],[JobSatisfaction]]=4,"Very Satisfied"
)</f>
        <v>Dissatisfied</v>
      </c>
      <c r="V346" t="s">
        <v>41</v>
      </c>
      <c r="W346">
        <v>8095</v>
      </c>
      <c r="X346" t="str" cm="1">
        <f t="array" ref="X346">_xlfn.IFS(
HRData[[#This Row],[MonthlyIncome]]&lt;=4000,"Very Low Income",
HRData[[#This Row],[MonthlyIncome]]&lt;=8000,"Low Income",
HRData[[#This Row],[MonthlyIncome]]&lt;=12000,"Moderate Income",
HRData[[#This Row],[MonthlyIncome]]&lt;=16000,"High Income",
HRData[[#This Row],[MonthlyIncome]]&gt;16000,"Very High Income"
)</f>
        <v>Moderate Income</v>
      </c>
      <c r="Y346">
        <v>18264</v>
      </c>
      <c r="Z346">
        <v>0</v>
      </c>
      <c r="AA346" t="s">
        <v>42</v>
      </c>
      <c r="AB346" t="s">
        <v>43</v>
      </c>
      <c r="AC346">
        <v>13</v>
      </c>
      <c r="AD346" t="str" cm="1">
        <f t="array" ref="AD346">_xlfn.IFS(HRData[[#This Row],[PercentSalaryHike]]&lt;=15,"11-15",HRData[[#This Row],[PercentSalaryHike]]&lt;=20,"16-20",HRData[[#This Row],[PercentSalaryHike]]&gt;=21,"21+")</f>
        <v>11-15</v>
      </c>
      <c r="AE346">
        <v>3</v>
      </c>
      <c r="AF346">
        <v>4</v>
      </c>
      <c r="AG346">
        <v>80</v>
      </c>
      <c r="AH346">
        <v>0</v>
      </c>
      <c r="AI346">
        <v>17</v>
      </c>
      <c r="AJ346">
        <v>5</v>
      </c>
      <c r="AK346">
        <v>3</v>
      </c>
      <c r="AL346">
        <v>16</v>
      </c>
      <c r="AM346">
        <v>6</v>
      </c>
      <c r="AN346">
        <v>0</v>
      </c>
      <c r="AO346">
        <v>13</v>
      </c>
      <c r="AP34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346" t="str">
        <f>IF(HRData[[#This Row],[Attrition]]="Yes","Left", IF(HRData[[#This Row],[Attrition_Risk_Score]]&gt;=6,"High",IF(HRData[[#This Row],[Attrition_Risk_Score]]&gt;=3,"Medium","Low")))</f>
        <v>Low</v>
      </c>
      <c r="AR346" t="str">
        <f>IF(HRData[[#This Row],[Attrition_Risk_Level]]&lt;&gt;"High","",HRData[[#This Row],[Attrition_Risk_Score]]*10000-HRData[[#This Row],[EmployeeNumber]])</f>
        <v/>
      </c>
    </row>
    <row r="347" spans="1:44">
      <c r="A347">
        <v>23</v>
      </c>
      <c r="B347" t="str" cm="1">
        <f t="array" ref="B347">_xlfn.IFS(
HRData[[#This Row],[Age]]&lt;=24,"18-24",
HRData[[#This Row],[Age]]&lt;=34,"25-34",
HRData[[#This Row],[Age]]&lt;=44,"35-44",
HRData[[#This Row],[Age]]&lt;=54,"45-54",
HRData[[#This Row],[Age]]&gt;=55,"55+"
)</f>
        <v>18-24</v>
      </c>
      <c r="C347" t="s">
        <v>43</v>
      </c>
      <c r="D347">
        <f>IF(HRData[[#This Row],[Attrition]]="Yes",1,0)</f>
        <v>0</v>
      </c>
      <c r="E347" t="s">
        <v>36</v>
      </c>
      <c r="F347">
        <v>1309</v>
      </c>
      <c r="G347" t="s">
        <v>45</v>
      </c>
      <c r="H347">
        <v>26</v>
      </c>
      <c r="I347">
        <v>1</v>
      </c>
      <c r="J347" t="s">
        <v>38</v>
      </c>
      <c r="K347">
        <v>1</v>
      </c>
      <c r="L347">
        <v>465</v>
      </c>
      <c r="M347">
        <v>3</v>
      </c>
      <c r="N347" t="str" cm="1">
        <f t="array" ref="N347">_xlfn.IFS(HRData[[#This Row],[EnvironmentSatisfaction]]=1,"Very Dissatisfied",
HRData[[#This Row],[EnvironmentSatisfaction]]=2,"Dissatisfied",
HRData[[#This Row],[EnvironmentSatisfaction]]=3,"Satisfied",
HRData[[#This Row],[EnvironmentSatisfaction]]=4,"Very Satisfied"
)</f>
        <v>Satisfied</v>
      </c>
      <c r="O347" t="s">
        <v>46</v>
      </c>
      <c r="P347">
        <v>83</v>
      </c>
      <c r="Q347">
        <v>3</v>
      </c>
      <c r="R347">
        <v>1</v>
      </c>
      <c r="S347" t="s">
        <v>47</v>
      </c>
      <c r="T347">
        <v>4</v>
      </c>
      <c r="U347" t="str" cm="1">
        <f t="array" ref="U347">_xlfn.IFS(
HRData[[#This Row],[JobSatisfaction]]=1,"Very Dissatisfied",
HRData[[#This Row],[JobSatisfaction]]=2,"Dissatisfied",
HRData[[#This Row],[JobSatisfaction]]=3,"Satisfied",
HRData[[#This Row],[JobSatisfaction]]=4,"Very Satisfied"
)</f>
        <v>Very Satisfied</v>
      </c>
      <c r="V347" t="s">
        <v>52</v>
      </c>
      <c r="W347">
        <v>2904</v>
      </c>
      <c r="X347" t="str" cm="1">
        <f t="array" ref="X347">_xlfn.IFS(
HRData[[#This Row],[MonthlyIncome]]&lt;=4000,"Very Low Income",
HRData[[#This Row],[MonthlyIncome]]&lt;=8000,"Low Income",
HRData[[#This Row],[MonthlyIncome]]&lt;=12000,"Moderate Income",
HRData[[#This Row],[MonthlyIncome]]&lt;=16000,"High Income",
HRData[[#This Row],[MonthlyIncome]]&gt;16000,"Very High Income"
)</f>
        <v>Very Low Income</v>
      </c>
      <c r="Y347">
        <v>16092</v>
      </c>
      <c r="Z347">
        <v>1</v>
      </c>
      <c r="AA347" t="s">
        <v>42</v>
      </c>
      <c r="AB347" t="s">
        <v>43</v>
      </c>
      <c r="AC347">
        <v>12</v>
      </c>
      <c r="AD347" t="str" cm="1">
        <f t="array" ref="AD347">_xlfn.IFS(HRData[[#This Row],[PercentSalaryHike]]&lt;=15,"11-15",HRData[[#This Row],[PercentSalaryHike]]&lt;=20,"16-20",HRData[[#This Row],[PercentSalaryHike]]&gt;=21,"21+")</f>
        <v>11-15</v>
      </c>
      <c r="AE347">
        <v>3</v>
      </c>
      <c r="AF347">
        <v>3</v>
      </c>
      <c r="AG347">
        <v>80</v>
      </c>
      <c r="AH347">
        <v>2</v>
      </c>
      <c r="AI347">
        <v>4</v>
      </c>
      <c r="AJ347">
        <v>2</v>
      </c>
      <c r="AK347">
        <v>2</v>
      </c>
      <c r="AL347">
        <v>4</v>
      </c>
      <c r="AM347">
        <v>2</v>
      </c>
      <c r="AN347">
        <v>0</v>
      </c>
      <c r="AO347">
        <v>2</v>
      </c>
      <c r="AP34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47" t="str">
        <f>IF(HRData[[#This Row],[Attrition]]="Yes","Left", IF(HRData[[#This Row],[Attrition_Risk_Score]]&gt;=6,"High",IF(HRData[[#This Row],[Attrition_Risk_Score]]&gt;=3,"Medium","Low")))</f>
        <v>Medium</v>
      </c>
      <c r="AR347" t="str">
        <f>IF(HRData[[#This Row],[Attrition_Risk_Level]]&lt;&gt;"High","",HRData[[#This Row],[Attrition_Risk_Score]]*10000-HRData[[#This Row],[EmployeeNumber]])</f>
        <v/>
      </c>
    </row>
    <row r="348" spans="1:44">
      <c r="A348">
        <v>41</v>
      </c>
      <c r="B348" t="str" cm="1">
        <f t="array" ref="B348">_xlfn.IFS(
HRData[[#This Row],[Age]]&lt;=24,"18-24",
HRData[[#This Row],[Age]]&lt;=34,"25-34",
HRData[[#This Row],[Age]]&lt;=44,"35-44",
HRData[[#This Row],[Age]]&lt;=54,"45-54",
HRData[[#This Row],[Age]]&gt;=55,"55+"
)</f>
        <v>35-44</v>
      </c>
      <c r="C348" t="s">
        <v>43</v>
      </c>
      <c r="D348">
        <f>IF(HRData[[#This Row],[Attrition]]="Yes",1,0)</f>
        <v>0</v>
      </c>
      <c r="E348" t="s">
        <v>36</v>
      </c>
      <c r="F348">
        <v>483</v>
      </c>
      <c r="G348" t="s">
        <v>45</v>
      </c>
      <c r="H348">
        <v>6</v>
      </c>
      <c r="I348">
        <v>3</v>
      </c>
      <c r="J348" t="s">
        <v>51</v>
      </c>
      <c r="K348">
        <v>1</v>
      </c>
      <c r="L348">
        <v>466</v>
      </c>
      <c r="M348">
        <v>4</v>
      </c>
      <c r="N348" t="str" cm="1">
        <f t="array" ref="N348">_xlfn.IFS(HRData[[#This Row],[EnvironmentSatisfaction]]=1,"Very Dissatisfied",
HRData[[#This Row],[EnvironmentSatisfaction]]=2,"Dissatisfied",
HRData[[#This Row],[EnvironmentSatisfaction]]=3,"Satisfied",
HRData[[#This Row],[EnvironmentSatisfaction]]=4,"Very Satisfied"
)</f>
        <v>Very Satisfied</v>
      </c>
      <c r="O348" t="s">
        <v>46</v>
      </c>
      <c r="P348">
        <v>95</v>
      </c>
      <c r="Q348">
        <v>2</v>
      </c>
      <c r="R348">
        <v>2</v>
      </c>
      <c r="S348" t="s">
        <v>53</v>
      </c>
      <c r="T348">
        <v>2</v>
      </c>
      <c r="U348" t="str" cm="1">
        <f t="array" ref="U348">_xlfn.IFS(
HRData[[#This Row],[JobSatisfaction]]=1,"Very Dissatisfied",
HRData[[#This Row],[JobSatisfaction]]=2,"Dissatisfied",
HRData[[#This Row],[JobSatisfaction]]=3,"Satisfied",
HRData[[#This Row],[JobSatisfaction]]=4,"Very Satisfied"
)</f>
        <v>Dissatisfied</v>
      </c>
      <c r="V348" t="s">
        <v>41</v>
      </c>
      <c r="W348">
        <v>6032</v>
      </c>
      <c r="X348" t="str" cm="1">
        <f t="array" ref="X348">_xlfn.IFS(
HRData[[#This Row],[MonthlyIncome]]&lt;=4000,"Very Low Income",
HRData[[#This Row],[MonthlyIncome]]&lt;=8000,"Low Income",
HRData[[#This Row],[MonthlyIncome]]&lt;=12000,"Moderate Income",
HRData[[#This Row],[MonthlyIncome]]&lt;=16000,"High Income",
HRData[[#This Row],[MonthlyIncome]]&gt;16000,"Very High Income"
)</f>
        <v>Low Income</v>
      </c>
      <c r="Y348">
        <v>10110</v>
      </c>
      <c r="Z348">
        <v>6</v>
      </c>
      <c r="AA348" t="s">
        <v>42</v>
      </c>
      <c r="AB348" t="s">
        <v>35</v>
      </c>
      <c r="AC348">
        <v>15</v>
      </c>
      <c r="AD348" t="str" cm="1">
        <f t="array" ref="AD348">_xlfn.IFS(HRData[[#This Row],[PercentSalaryHike]]&lt;=15,"11-15",HRData[[#This Row],[PercentSalaryHike]]&lt;=20,"16-20",HRData[[#This Row],[PercentSalaryHike]]&gt;=21,"21+")</f>
        <v>11-15</v>
      </c>
      <c r="AE348">
        <v>3</v>
      </c>
      <c r="AF348">
        <v>4</v>
      </c>
      <c r="AG348">
        <v>80</v>
      </c>
      <c r="AH348">
        <v>0</v>
      </c>
      <c r="AI348">
        <v>8</v>
      </c>
      <c r="AJ348">
        <v>3</v>
      </c>
      <c r="AK348">
        <v>3</v>
      </c>
      <c r="AL348">
        <v>5</v>
      </c>
      <c r="AM348">
        <v>4</v>
      </c>
      <c r="AN348">
        <v>1</v>
      </c>
      <c r="AO348">
        <v>2</v>
      </c>
      <c r="AP34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348" t="str">
        <f>IF(HRData[[#This Row],[Attrition]]="Yes","Left", IF(HRData[[#This Row],[Attrition_Risk_Score]]&gt;=6,"High",IF(HRData[[#This Row],[Attrition_Risk_Score]]&gt;=3,"Medium","Low")))</f>
        <v>Medium</v>
      </c>
      <c r="AR348" t="str">
        <f>IF(HRData[[#This Row],[Attrition_Risk_Level]]&lt;&gt;"High","",HRData[[#This Row],[Attrition_Risk_Score]]*10000-HRData[[#This Row],[EmployeeNumber]])</f>
        <v/>
      </c>
    </row>
    <row r="349" spans="1:44">
      <c r="A349">
        <v>47</v>
      </c>
      <c r="B349" t="str" cm="1">
        <f t="array" ref="B349">_xlfn.IFS(
HRData[[#This Row],[Age]]&lt;=24,"18-24",
HRData[[#This Row],[Age]]&lt;=34,"25-34",
HRData[[#This Row],[Age]]&lt;=44,"35-44",
HRData[[#This Row],[Age]]&lt;=54,"45-54",
HRData[[#This Row],[Age]]&gt;=55,"55+"
)</f>
        <v>45-54</v>
      </c>
      <c r="C349" t="s">
        <v>43</v>
      </c>
      <c r="D349">
        <f>IF(HRData[[#This Row],[Attrition]]="Yes",1,0)</f>
        <v>0</v>
      </c>
      <c r="E349" t="s">
        <v>44</v>
      </c>
      <c r="F349">
        <v>1309</v>
      </c>
      <c r="G349" t="s">
        <v>37</v>
      </c>
      <c r="H349">
        <v>4</v>
      </c>
      <c r="I349">
        <v>1</v>
      </c>
      <c r="J349" t="s">
        <v>51</v>
      </c>
      <c r="K349">
        <v>1</v>
      </c>
      <c r="L349">
        <v>467</v>
      </c>
      <c r="M349">
        <v>2</v>
      </c>
      <c r="N349" t="str" cm="1">
        <f t="array" ref="N349">_xlfn.IFS(HRData[[#This Row],[EnvironmentSatisfaction]]=1,"Very Dissatisfied",
HRData[[#This Row],[EnvironmentSatisfaction]]=2,"Dissatisfied",
HRData[[#This Row],[EnvironmentSatisfaction]]=3,"Satisfied",
HRData[[#This Row],[EnvironmentSatisfaction]]=4,"Very Satisfied"
)</f>
        <v>Dissatisfied</v>
      </c>
      <c r="O349" t="s">
        <v>46</v>
      </c>
      <c r="P349">
        <v>99</v>
      </c>
      <c r="Q349">
        <v>3</v>
      </c>
      <c r="R349">
        <v>2</v>
      </c>
      <c r="S349" t="s">
        <v>57</v>
      </c>
      <c r="T349">
        <v>3</v>
      </c>
      <c r="U349" t="str" cm="1">
        <f t="array" ref="U349">_xlfn.IFS(
HRData[[#This Row],[JobSatisfaction]]=1,"Very Dissatisfied",
HRData[[#This Row],[JobSatisfaction]]=2,"Dissatisfied",
HRData[[#This Row],[JobSatisfaction]]=3,"Satisfied",
HRData[[#This Row],[JobSatisfaction]]=4,"Very Satisfied"
)</f>
        <v>Satisfied</v>
      </c>
      <c r="V349" t="s">
        <v>41</v>
      </c>
      <c r="W349">
        <v>2976</v>
      </c>
      <c r="X349" t="str" cm="1">
        <f t="array" ref="X349">_xlfn.IFS(
HRData[[#This Row],[MonthlyIncome]]&lt;=4000,"Very Low Income",
HRData[[#This Row],[MonthlyIncome]]&lt;=8000,"Low Income",
HRData[[#This Row],[MonthlyIncome]]&lt;=12000,"Moderate Income",
HRData[[#This Row],[MonthlyIncome]]&lt;=16000,"High Income",
HRData[[#This Row],[MonthlyIncome]]&gt;16000,"Very High Income"
)</f>
        <v>Very Low Income</v>
      </c>
      <c r="Y349">
        <v>25751</v>
      </c>
      <c r="Z349">
        <v>3</v>
      </c>
      <c r="AA349" t="s">
        <v>42</v>
      </c>
      <c r="AB349" t="s">
        <v>43</v>
      </c>
      <c r="AC349">
        <v>19</v>
      </c>
      <c r="AD349" t="str" cm="1">
        <f t="array" ref="AD349">_xlfn.IFS(HRData[[#This Row],[PercentSalaryHike]]&lt;=15,"11-15",HRData[[#This Row],[PercentSalaryHike]]&lt;=20,"16-20",HRData[[#This Row],[PercentSalaryHike]]&gt;=21,"21+")</f>
        <v>16-20</v>
      </c>
      <c r="AE349">
        <v>3</v>
      </c>
      <c r="AF349">
        <v>1</v>
      </c>
      <c r="AG349">
        <v>80</v>
      </c>
      <c r="AH349">
        <v>0</v>
      </c>
      <c r="AI349">
        <v>5</v>
      </c>
      <c r="AJ349">
        <v>3</v>
      </c>
      <c r="AK349">
        <v>3</v>
      </c>
      <c r="AL349">
        <v>0</v>
      </c>
      <c r="AM349">
        <v>0</v>
      </c>
      <c r="AN349">
        <v>0</v>
      </c>
      <c r="AO349">
        <v>0</v>
      </c>
      <c r="AP34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49" t="str">
        <f>IF(HRData[[#This Row],[Attrition]]="Yes","Left", IF(HRData[[#This Row],[Attrition_Risk_Score]]&gt;=6,"High",IF(HRData[[#This Row],[Attrition_Risk_Score]]&gt;=3,"Medium","Low")))</f>
        <v>Medium</v>
      </c>
      <c r="AR349" t="str">
        <f>IF(HRData[[#This Row],[Attrition_Risk_Level]]&lt;&gt;"High","",HRData[[#This Row],[Attrition_Risk_Score]]*10000-HRData[[#This Row],[EmployeeNumber]])</f>
        <v/>
      </c>
    </row>
    <row r="350" spans="1:44">
      <c r="A350">
        <v>42</v>
      </c>
      <c r="B350" t="str" cm="1">
        <f t="array" ref="B350">_xlfn.IFS(
HRData[[#This Row],[Age]]&lt;=24,"18-24",
HRData[[#This Row],[Age]]&lt;=34,"25-34",
HRData[[#This Row],[Age]]&lt;=44,"35-44",
HRData[[#This Row],[Age]]&lt;=54,"45-54",
HRData[[#This Row],[Age]]&gt;=55,"55+"
)</f>
        <v>35-44</v>
      </c>
      <c r="C350" t="s">
        <v>43</v>
      </c>
      <c r="D350">
        <f>IF(HRData[[#This Row],[Attrition]]="Yes",1,0)</f>
        <v>0</v>
      </c>
      <c r="E350" t="s">
        <v>36</v>
      </c>
      <c r="F350">
        <v>810</v>
      </c>
      <c r="G350" t="s">
        <v>45</v>
      </c>
      <c r="H350">
        <v>23</v>
      </c>
      <c r="I350">
        <v>5</v>
      </c>
      <c r="J350" t="s">
        <v>38</v>
      </c>
      <c r="K350">
        <v>1</v>
      </c>
      <c r="L350">
        <v>468</v>
      </c>
      <c r="M350">
        <v>1</v>
      </c>
      <c r="N350" t="str" cm="1">
        <f t="array" ref="N350">_xlfn.IFS(HRData[[#This Row],[EnvironmentSatisfaction]]=1,"Very Dissatisfied",
HRData[[#This Row],[EnvironmentSatisfaction]]=2,"Dissatisfied",
HRData[[#This Row],[EnvironmentSatisfaction]]=3,"Satisfied",
HRData[[#This Row],[EnvironmentSatisfaction]]=4,"Very Satisfied"
)</f>
        <v>Very Dissatisfied</v>
      </c>
      <c r="O350" t="s">
        <v>39</v>
      </c>
      <c r="P350">
        <v>44</v>
      </c>
      <c r="Q350">
        <v>3</v>
      </c>
      <c r="R350">
        <v>4</v>
      </c>
      <c r="S350" t="s">
        <v>58</v>
      </c>
      <c r="T350">
        <v>4</v>
      </c>
      <c r="U350" t="str" cm="1">
        <f t="array" ref="U350">_xlfn.IFS(
HRData[[#This Row],[JobSatisfaction]]=1,"Very Dissatisfied",
HRData[[#This Row],[JobSatisfaction]]=2,"Dissatisfied",
HRData[[#This Row],[JobSatisfaction]]=3,"Satisfied",
HRData[[#This Row],[JobSatisfaction]]=4,"Very Satisfied"
)</f>
        <v>Very Satisfied</v>
      </c>
      <c r="V350" t="s">
        <v>41</v>
      </c>
      <c r="W350">
        <v>15992</v>
      </c>
      <c r="X350" t="str" cm="1">
        <f t="array" ref="X350">_xlfn.IFS(
HRData[[#This Row],[MonthlyIncome]]&lt;=4000,"Very Low Income",
HRData[[#This Row],[MonthlyIncome]]&lt;=8000,"Low Income",
HRData[[#This Row],[MonthlyIncome]]&lt;=12000,"Moderate Income",
HRData[[#This Row],[MonthlyIncome]]&lt;=16000,"High Income",
HRData[[#This Row],[MonthlyIncome]]&gt;16000,"Very High Income"
)</f>
        <v>High Income</v>
      </c>
      <c r="Y350">
        <v>15901</v>
      </c>
      <c r="Z350">
        <v>2</v>
      </c>
      <c r="AA350" t="s">
        <v>42</v>
      </c>
      <c r="AB350" t="s">
        <v>43</v>
      </c>
      <c r="AC350">
        <v>14</v>
      </c>
      <c r="AD350" t="str" cm="1">
        <f t="array" ref="AD350">_xlfn.IFS(HRData[[#This Row],[PercentSalaryHike]]&lt;=15,"11-15",HRData[[#This Row],[PercentSalaryHike]]&lt;=20,"16-20",HRData[[#This Row],[PercentSalaryHike]]&gt;=21,"21+")</f>
        <v>11-15</v>
      </c>
      <c r="AE350">
        <v>3</v>
      </c>
      <c r="AF350">
        <v>2</v>
      </c>
      <c r="AG350">
        <v>80</v>
      </c>
      <c r="AH350">
        <v>0</v>
      </c>
      <c r="AI350">
        <v>16</v>
      </c>
      <c r="AJ350">
        <v>2</v>
      </c>
      <c r="AK350">
        <v>3</v>
      </c>
      <c r="AL350">
        <v>1</v>
      </c>
      <c r="AM350">
        <v>0</v>
      </c>
      <c r="AN350">
        <v>0</v>
      </c>
      <c r="AO350">
        <v>0</v>
      </c>
      <c r="AP35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350" t="str">
        <f>IF(HRData[[#This Row],[Attrition]]="Yes","Left", IF(HRData[[#This Row],[Attrition_Risk_Score]]&gt;=6,"High",IF(HRData[[#This Row],[Attrition_Risk_Score]]&gt;=3,"Medium","Low")))</f>
        <v>Low</v>
      </c>
      <c r="AR350" t="str">
        <f>IF(HRData[[#This Row],[Attrition_Risk_Level]]&lt;&gt;"High","",HRData[[#This Row],[Attrition_Risk_Score]]*10000-HRData[[#This Row],[EmployeeNumber]])</f>
        <v/>
      </c>
    </row>
    <row r="351" spans="1:44">
      <c r="A351">
        <v>29</v>
      </c>
      <c r="B351" t="str" cm="1">
        <f t="array" ref="B351">_xlfn.IFS(
HRData[[#This Row],[Age]]&lt;=24,"18-24",
HRData[[#This Row],[Age]]&lt;=34,"25-34",
HRData[[#This Row],[Age]]&lt;=44,"35-44",
HRData[[#This Row],[Age]]&lt;=54,"45-54",
HRData[[#This Row],[Age]]&gt;=55,"55+"
)</f>
        <v>25-34</v>
      </c>
      <c r="C351" t="s">
        <v>43</v>
      </c>
      <c r="D351">
        <f>IF(HRData[[#This Row],[Attrition]]="Yes",1,0)</f>
        <v>0</v>
      </c>
      <c r="E351" t="s">
        <v>55</v>
      </c>
      <c r="F351">
        <v>746</v>
      </c>
      <c r="G351" t="s">
        <v>37</v>
      </c>
      <c r="H351">
        <v>2</v>
      </c>
      <c r="I351">
        <v>3</v>
      </c>
      <c r="J351" t="s">
        <v>38</v>
      </c>
      <c r="K351">
        <v>1</v>
      </c>
      <c r="L351">
        <v>469</v>
      </c>
      <c r="M351">
        <v>4</v>
      </c>
      <c r="N351" t="str" cm="1">
        <f t="array" ref="N351">_xlfn.IFS(HRData[[#This Row],[EnvironmentSatisfaction]]=1,"Very Dissatisfied",
HRData[[#This Row],[EnvironmentSatisfaction]]=2,"Dissatisfied",
HRData[[#This Row],[EnvironmentSatisfaction]]=3,"Satisfied",
HRData[[#This Row],[EnvironmentSatisfaction]]=4,"Very Satisfied"
)</f>
        <v>Very Satisfied</v>
      </c>
      <c r="O351" t="s">
        <v>46</v>
      </c>
      <c r="P351">
        <v>61</v>
      </c>
      <c r="Q351">
        <v>3</v>
      </c>
      <c r="R351">
        <v>2</v>
      </c>
      <c r="S351" t="s">
        <v>40</v>
      </c>
      <c r="T351">
        <v>3</v>
      </c>
      <c r="U351" t="str" cm="1">
        <f t="array" ref="U351">_xlfn.IFS(
HRData[[#This Row],[JobSatisfaction]]=1,"Very Dissatisfied",
HRData[[#This Row],[JobSatisfaction]]=2,"Dissatisfied",
HRData[[#This Row],[JobSatisfaction]]=3,"Satisfied",
HRData[[#This Row],[JobSatisfaction]]=4,"Very Satisfied"
)</f>
        <v>Satisfied</v>
      </c>
      <c r="V351" t="s">
        <v>48</v>
      </c>
      <c r="W351">
        <v>4649</v>
      </c>
      <c r="X351" t="str" cm="1">
        <f t="array" ref="X351">_xlfn.IFS(
HRData[[#This Row],[MonthlyIncome]]&lt;=4000,"Very Low Income",
HRData[[#This Row],[MonthlyIncome]]&lt;=8000,"Low Income",
HRData[[#This Row],[MonthlyIncome]]&lt;=12000,"Moderate Income",
HRData[[#This Row],[MonthlyIncome]]&lt;=16000,"High Income",
HRData[[#This Row],[MonthlyIncome]]&gt;16000,"Very High Income"
)</f>
        <v>Low Income</v>
      </c>
      <c r="Y351">
        <v>16928</v>
      </c>
      <c r="Z351">
        <v>1</v>
      </c>
      <c r="AA351" t="s">
        <v>42</v>
      </c>
      <c r="AB351" t="s">
        <v>43</v>
      </c>
      <c r="AC351">
        <v>14</v>
      </c>
      <c r="AD351" t="str" cm="1">
        <f t="array" ref="AD351">_xlfn.IFS(HRData[[#This Row],[PercentSalaryHike]]&lt;=15,"11-15",HRData[[#This Row],[PercentSalaryHike]]&lt;=20,"16-20",HRData[[#This Row],[PercentSalaryHike]]&gt;=21,"21+")</f>
        <v>11-15</v>
      </c>
      <c r="AE351">
        <v>3</v>
      </c>
      <c r="AF351">
        <v>1</v>
      </c>
      <c r="AG351">
        <v>80</v>
      </c>
      <c r="AH351">
        <v>1</v>
      </c>
      <c r="AI351">
        <v>4</v>
      </c>
      <c r="AJ351">
        <v>3</v>
      </c>
      <c r="AK351">
        <v>2</v>
      </c>
      <c r="AL351">
        <v>4</v>
      </c>
      <c r="AM351">
        <v>3</v>
      </c>
      <c r="AN351">
        <v>0</v>
      </c>
      <c r="AO351">
        <v>2</v>
      </c>
      <c r="AP35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51" t="str">
        <f>IF(HRData[[#This Row],[Attrition]]="Yes","Left", IF(HRData[[#This Row],[Attrition_Risk_Score]]&gt;=6,"High",IF(HRData[[#This Row],[Attrition_Risk_Score]]&gt;=3,"Medium","Low")))</f>
        <v>Low</v>
      </c>
      <c r="AR351" t="str">
        <f>IF(HRData[[#This Row],[Attrition_Risk_Level]]&lt;&gt;"High","",HRData[[#This Row],[Attrition_Risk_Score]]*10000-HRData[[#This Row],[EmployeeNumber]])</f>
        <v/>
      </c>
    </row>
    <row r="352" spans="1:44">
      <c r="A352">
        <v>42</v>
      </c>
      <c r="B352" t="str" cm="1">
        <f t="array" ref="B352">_xlfn.IFS(
HRData[[#This Row],[Age]]&lt;=24,"18-24",
HRData[[#This Row],[Age]]&lt;=34,"25-34",
HRData[[#This Row],[Age]]&lt;=44,"35-44",
HRData[[#This Row],[Age]]&lt;=54,"45-54",
HRData[[#This Row],[Age]]&gt;=55,"55+"
)</f>
        <v>35-44</v>
      </c>
      <c r="C352" t="s">
        <v>43</v>
      </c>
      <c r="D352">
        <f>IF(HRData[[#This Row],[Attrition]]="Yes",1,0)</f>
        <v>0</v>
      </c>
      <c r="E352" t="s">
        <v>36</v>
      </c>
      <c r="F352">
        <v>544</v>
      </c>
      <c r="G352" t="s">
        <v>61</v>
      </c>
      <c r="H352">
        <v>2</v>
      </c>
      <c r="I352">
        <v>1</v>
      </c>
      <c r="J352" t="s">
        <v>60</v>
      </c>
      <c r="K352">
        <v>1</v>
      </c>
      <c r="L352">
        <v>470</v>
      </c>
      <c r="M352">
        <v>3</v>
      </c>
      <c r="N352" t="str" cm="1">
        <f t="array" ref="N352">_xlfn.IFS(HRData[[#This Row],[EnvironmentSatisfaction]]=1,"Very Dissatisfied",
HRData[[#This Row],[EnvironmentSatisfaction]]=2,"Dissatisfied",
HRData[[#This Row],[EnvironmentSatisfaction]]=3,"Satisfied",
HRData[[#This Row],[EnvironmentSatisfaction]]=4,"Very Satisfied"
)</f>
        <v>Satisfied</v>
      </c>
      <c r="O352" t="s">
        <v>46</v>
      </c>
      <c r="P352">
        <v>52</v>
      </c>
      <c r="Q352">
        <v>3</v>
      </c>
      <c r="R352">
        <v>1</v>
      </c>
      <c r="S352" t="s">
        <v>61</v>
      </c>
      <c r="T352">
        <v>3</v>
      </c>
      <c r="U352" t="str" cm="1">
        <f t="array" ref="U352">_xlfn.IFS(
HRData[[#This Row],[JobSatisfaction]]=1,"Very Dissatisfied",
HRData[[#This Row],[JobSatisfaction]]=2,"Dissatisfied",
HRData[[#This Row],[JobSatisfaction]]=3,"Satisfied",
HRData[[#This Row],[JobSatisfaction]]=4,"Very Satisfied"
)</f>
        <v>Satisfied</v>
      </c>
      <c r="V352" t="s">
        <v>52</v>
      </c>
      <c r="W352">
        <v>2696</v>
      </c>
      <c r="X352" t="str" cm="1">
        <f t="array" ref="X352">_xlfn.IFS(
HRData[[#This Row],[MonthlyIncome]]&lt;=4000,"Very Low Income",
HRData[[#This Row],[MonthlyIncome]]&lt;=8000,"Low Income",
HRData[[#This Row],[MonthlyIncome]]&lt;=12000,"Moderate Income",
HRData[[#This Row],[MonthlyIncome]]&lt;=16000,"High Income",
HRData[[#This Row],[MonthlyIncome]]&gt;16000,"Very High Income"
)</f>
        <v>Very Low Income</v>
      </c>
      <c r="Y352">
        <v>24017</v>
      </c>
      <c r="Z352">
        <v>0</v>
      </c>
      <c r="AA352" t="s">
        <v>42</v>
      </c>
      <c r="AB352" t="s">
        <v>35</v>
      </c>
      <c r="AC352">
        <v>11</v>
      </c>
      <c r="AD352" t="str" cm="1">
        <f t="array" ref="AD352">_xlfn.IFS(HRData[[#This Row],[PercentSalaryHike]]&lt;=15,"11-15",HRData[[#This Row],[PercentSalaryHike]]&lt;=20,"16-20",HRData[[#This Row],[PercentSalaryHike]]&gt;=21,"21+")</f>
        <v>11-15</v>
      </c>
      <c r="AE352">
        <v>3</v>
      </c>
      <c r="AF352">
        <v>3</v>
      </c>
      <c r="AG352">
        <v>80</v>
      </c>
      <c r="AH352">
        <v>1</v>
      </c>
      <c r="AI352">
        <v>4</v>
      </c>
      <c r="AJ352">
        <v>5</v>
      </c>
      <c r="AK352">
        <v>3</v>
      </c>
      <c r="AL352">
        <v>3</v>
      </c>
      <c r="AM352">
        <v>2</v>
      </c>
      <c r="AN352">
        <v>1</v>
      </c>
      <c r="AO352">
        <v>0</v>
      </c>
      <c r="AP35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352" t="str">
        <f>IF(HRData[[#This Row],[Attrition]]="Yes","Left", IF(HRData[[#This Row],[Attrition_Risk_Score]]&gt;=6,"High",IF(HRData[[#This Row],[Attrition_Risk_Score]]&gt;=3,"Medium","Low")))</f>
        <v>Medium</v>
      </c>
      <c r="AR352" t="str">
        <f>IF(HRData[[#This Row],[Attrition_Risk_Level]]&lt;&gt;"High","",HRData[[#This Row],[Attrition_Risk_Score]]*10000-HRData[[#This Row],[EmployeeNumber]])</f>
        <v/>
      </c>
    </row>
    <row r="353" spans="1:44">
      <c r="A353">
        <v>32</v>
      </c>
      <c r="B353" t="str" cm="1">
        <f t="array" ref="B353">_xlfn.IFS(
HRData[[#This Row],[Age]]&lt;=24,"18-24",
HRData[[#This Row],[Age]]&lt;=34,"25-34",
HRData[[#This Row],[Age]]&lt;=44,"35-44",
HRData[[#This Row],[Age]]&lt;=54,"45-54",
HRData[[#This Row],[Age]]&gt;=55,"55+"
)</f>
        <v>25-34</v>
      </c>
      <c r="C353" t="s">
        <v>43</v>
      </c>
      <c r="D353">
        <f>IF(HRData[[#This Row],[Attrition]]="Yes",1,0)</f>
        <v>0</v>
      </c>
      <c r="E353" t="s">
        <v>36</v>
      </c>
      <c r="F353">
        <v>1062</v>
      </c>
      <c r="G353" t="s">
        <v>45</v>
      </c>
      <c r="H353">
        <v>2</v>
      </c>
      <c r="I353">
        <v>3</v>
      </c>
      <c r="J353" t="s">
        <v>51</v>
      </c>
      <c r="K353">
        <v>1</v>
      </c>
      <c r="L353">
        <v>471</v>
      </c>
      <c r="M353">
        <v>3</v>
      </c>
      <c r="N353" t="str" cm="1">
        <f t="array" ref="N353">_xlfn.IFS(HRData[[#This Row],[EnvironmentSatisfaction]]=1,"Very Dissatisfied",
HRData[[#This Row],[EnvironmentSatisfaction]]=2,"Dissatisfied",
HRData[[#This Row],[EnvironmentSatisfaction]]=3,"Satisfied",
HRData[[#This Row],[EnvironmentSatisfaction]]=4,"Very Satisfied"
)</f>
        <v>Satisfied</v>
      </c>
      <c r="O353" t="s">
        <v>39</v>
      </c>
      <c r="P353">
        <v>75</v>
      </c>
      <c r="Q353">
        <v>3</v>
      </c>
      <c r="R353">
        <v>1</v>
      </c>
      <c r="S353" t="s">
        <v>50</v>
      </c>
      <c r="T353">
        <v>2</v>
      </c>
      <c r="U353" t="str" cm="1">
        <f t="array" ref="U353">_xlfn.IFS(
HRData[[#This Row],[JobSatisfaction]]=1,"Very Dissatisfied",
HRData[[#This Row],[JobSatisfaction]]=2,"Dissatisfied",
HRData[[#This Row],[JobSatisfaction]]=3,"Satisfied",
HRData[[#This Row],[JobSatisfaction]]=4,"Very Satisfied"
)</f>
        <v>Dissatisfied</v>
      </c>
      <c r="V353" t="s">
        <v>48</v>
      </c>
      <c r="W353">
        <v>2370</v>
      </c>
      <c r="X353" t="str" cm="1">
        <f t="array" ref="X353">_xlfn.IFS(
HRData[[#This Row],[MonthlyIncome]]&lt;=4000,"Very Low Income",
HRData[[#This Row],[MonthlyIncome]]&lt;=8000,"Low Income",
HRData[[#This Row],[MonthlyIncome]]&lt;=12000,"Moderate Income",
HRData[[#This Row],[MonthlyIncome]]&lt;=16000,"High Income",
HRData[[#This Row],[MonthlyIncome]]&gt;16000,"Very High Income"
)</f>
        <v>Very Low Income</v>
      </c>
      <c r="Y353">
        <v>3956</v>
      </c>
      <c r="Z353">
        <v>1</v>
      </c>
      <c r="AA353" t="s">
        <v>42</v>
      </c>
      <c r="AB353" t="s">
        <v>43</v>
      </c>
      <c r="AC353">
        <v>13</v>
      </c>
      <c r="AD353" t="str" cm="1">
        <f t="array" ref="AD353">_xlfn.IFS(HRData[[#This Row],[PercentSalaryHike]]&lt;=15,"11-15",HRData[[#This Row],[PercentSalaryHike]]&lt;=20,"16-20",HRData[[#This Row],[PercentSalaryHike]]&gt;=21,"21+")</f>
        <v>11-15</v>
      </c>
      <c r="AE353">
        <v>3</v>
      </c>
      <c r="AF353">
        <v>3</v>
      </c>
      <c r="AG353">
        <v>80</v>
      </c>
      <c r="AH353">
        <v>1</v>
      </c>
      <c r="AI353">
        <v>8</v>
      </c>
      <c r="AJ353">
        <v>4</v>
      </c>
      <c r="AK353">
        <v>3</v>
      </c>
      <c r="AL353">
        <v>8</v>
      </c>
      <c r="AM353">
        <v>0</v>
      </c>
      <c r="AN353">
        <v>0</v>
      </c>
      <c r="AO353">
        <v>7</v>
      </c>
      <c r="AP35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53" t="str">
        <f>IF(HRData[[#This Row],[Attrition]]="Yes","Left", IF(HRData[[#This Row],[Attrition_Risk_Score]]&gt;=6,"High",IF(HRData[[#This Row],[Attrition_Risk_Score]]&gt;=3,"Medium","Low")))</f>
        <v>Medium</v>
      </c>
      <c r="AR353" t="str">
        <f>IF(HRData[[#This Row],[Attrition_Risk_Level]]&lt;&gt;"High","",HRData[[#This Row],[Attrition_Risk_Score]]*10000-HRData[[#This Row],[EmployeeNumber]])</f>
        <v/>
      </c>
    </row>
    <row r="354" spans="1:44">
      <c r="A354">
        <v>48</v>
      </c>
      <c r="B354" t="str" cm="1">
        <f t="array" ref="B354">_xlfn.IFS(
HRData[[#This Row],[Age]]&lt;=24,"18-24",
HRData[[#This Row],[Age]]&lt;=34,"25-34",
HRData[[#This Row],[Age]]&lt;=44,"35-44",
HRData[[#This Row],[Age]]&lt;=54,"45-54",
HRData[[#This Row],[Age]]&gt;=55,"55+"
)</f>
        <v>45-54</v>
      </c>
      <c r="C354" t="s">
        <v>43</v>
      </c>
      <c r="D354">
        <f>IF(HRData[[#This Row],[Attrition]]="Yes",1,0)</f>
        <v>0</v>
      </c>
      <c r="E354" t="s">
        <v>36</v>
      </c>
      <c r="F354">
        <v>530</v>
      </c>
      <c r="G354" t="s">
        <v>37</v>
      </c>
      <c r="H354">
        <v>29</v>
      </c>
      <c r="I354">
        <v>1</v>
      </c>
      <c r="J354" t="s">
        <v>51</v>
      </c>
      <c r="K354">
        <v>1</v>
      </c>
      <c r="L354">
        <v>473</v>
      </c>
      <c r="M354">
        <v>1</v>
      </c>
      <c r="N354" t="str" cm="1">
        <f t="array" ref="N354">_xlfn.IFS(HRData[[#This Row],[EnvironmentSatisfaction]]=1,"Very Dissatisfied",
HRData[[#This Row],[EnvironmentSatisfaction]]=2,"Dissatisfied",
HRData[[#This Row],[EnvironmentSatisfaction]]=3,"Satisfied",
HRData[[#This Row],[EnvironmentSatisfaction]]=4,"Very Satisfied"
)</f>
        <v>Very Dissatisfied</v>
      </c>
      <c r="O354" t="s">
        <v>39</v>
      </c>
      <c r="P354">
        <v>91</v>
      </c>
      <c r="Q354">
        <v>3</v>
      </c>
      <c r="R354">
        <v>3</v>
      </c>
      <c r="S354" t="s">
        <v>56</v>
      </c>
      <c r="T354">
        <v>3</v>
      </c>
      <c r="U354" t="str" cm="1">
        <f t="array" ref="U354">_xlfn.IFS(
HRData[[#This Row],[JobSatisfaction]]=1,"Very Dissatisfied",
HRData[[#This Row],[JobSatisfaction]]=2,"Dissatisfied",
HRData[[#This Row],[JobSatisfaction]]=3,"Satisfied",
HRData[[#This Row],[JobSatisfaction]]=4,"Very Satisfied"
)</f>
        <v>Satisfied</v>
      </c>
      <c r="V354" t="s">
        <v>48</v>
      </c>
      <c r="W354">
        <v>12504</v>
      </c>
      <c r="X354" t="str" cm="1">
        <f t="array" ref="X354">_xlfn.IFS(
HRData[[#This Row],[MonthlyIncome]]&lt;=4000,"Very Low Income",
HRData[[#This Row],[MonthlyIncome]]&lt;=8000,"Low Income",
HRData[[#This Row],[MonthlyIncome]]&lt;=12000,"Moderate Income",
HRData[[#This Row],[MonthlyIncome]]&lt;=16000,"High Income",
HRData[[#This Row],[MonthlyIncome]]&gt;16000,"Very High Income"
)</f>
        <v>High Income</v>
      </c>
      <c r="Y354">
        <v>23978</v>
      </c>
      <c r="Z354">
        <v>3</v>
      </c>
      <c r="AA354" t="s">
        <v>42</v>
      </c>
      <c r="AB354" t="s">
        <v>43</v>
      </c>
      <c r="AC354">
        <v>21</v>
      </c>
      <c r="AD354" t="str" cm="1">
        <f t="array" ref="AD354">_xlfn.IFS(HRData[[#This Row],[PercentSalaryHike]]&lt;=15,"11-15",HRData[[#This Row],[PercentSalaryHike]]&lt;=20,"16-20",HRData[[#This Row],[PercentSalaryHike]]&gt;=21,"21+")</f>
        <v>21+</v>
      </c>
      <c r="AE354">
        <v>4</v>
      </c>
      <c r="AF354">
        <v>2</v>
      </c>
      <c r="AG354">
        <v>80</v>
      </c>
      <c r="AH354">
        <v>1</v>
      </c>
      <c r="AI354">
        <v>15</v>
      </c>
      <c r="AJ354">
        <v>3</v>
      </c>
      <c r="AK354">
        <v>1</v>
      </c>
      <c r="AL354">
        <v>0</v>
      </c>
      <c r="AM354">
        <v>0</v>
      </c>
      <c r="AN354">
        <v>0</v>
      </c>
      <c r="AO354">
        <v>0</v>
      </c>
      <c r="AP35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354" t="str">
        <f>IF(HRData[[#This Row],[Attrition]]="Yes","Left", IF(HRData[[#This Row],[Attrition_Risk_Score]]&gt;=6,"High",IF(HRData[[#This Row],[Attrition_Risk_Score]]&gt;=3,"Medium","Low")))</f>
        <v>Low</v>
      </c>
      <c r="AR354" t="str">
        <f>IF(HRData[[#This Row],[Attrition_Risk_Level]]&lt;&gt;"High","",HRData[[#This Row],[Attrition_Risk_Score]]*10000-HRData[[#This Row],[EmployeeNumber]])</f>
        <v/>
      </c>
    </row>
    <row r="355" spans="1:44">
      <c r="A355">
        <v>37</v>
      </c>
      <c r="B355" t="str" cm="1">
        <f t="array" ref="B355">_xlfn.IFS(
HRData[[#This Row],[Age]]&lt;=24,"18-24",
HRData[[#This Row],[Age]]&lt;=34,"25-34",
HRData[[#This Row],[Age]]&lt;=44,"35-44",
HRData[[#This Row],[Age]]&lt;=54,"45-54",
HRData[[#This Row],[Age]]&gt;=55,"55+"
)</f>
        <v>35-44</v>
      </c>
      <c r="C355" t="s">
        <v>43</v>
      </c>
      <c r="D355">
        <f>IF(HRData[[#This Row],[Attrition]]="Yes",1,0)</f>
        <v>0</v>
      </c>
      <c r="E355" t="s">
        <v>36</v>
      </c>
      <c r="F355">
        <v>1319</v>
      </c>
      <c r="G355" t="s">
        <v>45</v>
      </c>
      <c r="H355">
        <v>6</v>
      </c>
      <c r="I355">
        <v>3</v>
      </c>
      <c r="J355" t="s">
        <v>51</v>
      </c>
      <c r="K355">
        <v>1</v>
      </c>
      <c r="L355">
        <v>474</v>
      </c>
      <c r="M355">
        <v>3</v>
      </c>
      <c r="N355" t="str" cm="1">
        <f t="array" ref="N355">_xlfn.IFS(HRData[[#This Row],[EnvironmentSatisfaction]]=1,"Very Dissatisfied",
HRData[[#This Row],[EnvironmentSatisfaction]]=2,"Dissatisfied",
HRData[[#This Row],[EnvironmentSatisfaction]]=3,"Satisfied",
HRData[[#This Row],[EnvironmentSatisfaction]]=4,"Very Satisfied"
)</f>
        <v>Satisfied</v>
      </c>
      <c r="O355" t="s">
        <v>46</v>
      </c>
      <c r="P355">
        <v>51</v>
      </c>
      <c r="Q355">
        <v>4</v>
      </c>
      <c r="R355">
        <v>2</v>
      </c>
      <c r="S355" t="s">
        <v>47</v>
      </c>
      <c r="T355">
        <v>1</v>
      </c>
      <c r="U355" t="str" cm="1">
        <f t="array" ref="U355">_xlfn.IFS(
HRData[[#This Row],[JobSatisfaction]]=1,"Very Dissatisfied",
HRData[[#This Row],[JobSatisfaction]]=2,"Dissatisfied",
HRData[[#This Row],[JobSatisfaction]]=3,"Satisfied",
HRData[[#This Row],[JobSatisfaction]]=4,"Very Satisfied"
)</f>
        <v>Very Dissatisfied</v>
      </c>
      <c r="V355" t="s">
        <v>52</v>
      </c>
      <c r="W355">
        <v>5974</v>
      </c>
      <c r="X355" t="str" cm="1">
        <f t="array" ref="X355">_xlfn.IFS(
HRData[[#This Row],[MonthlyIncome]]&lt;=4000,"Very Low Income",
HRData[[#This Row],[MonthlyIncome]]&lt;=8000,"Low Income",
HRData[[#This Row],[MonthlyIncome]]&lt;=12000,"Moderate Income",
HRData[[#This Row],[MonthlyIncome]]&lt;=16000,"High Income",
HRData[[#This Row],[MonthlyIncome]]&gt;16000,"Very High Income"
)</f>
        <v>Low Income</v>
      </c>
      <c r="Y355">
        <v>17001</v>
      </c>
      <c r="Z355">
        <v>4</v>
      </c>
      <c r="AA355" t="s">
        <v>42</v>
      </c>
      <c r="AB355" t="s">
        <v>35</v>
      </c>
      <c r="AC355">
        <v>13</v>
      </c>
      <c r="AD355" t="str" cm="1">
        <f t="array" ref="AD355">_xlfn.IFS(HRData[[#This Row],[PercentSalaryHike]]&lt;=15,"11-15",HRData[[#This Row],[PercentSalaryHike]]&lt;=20,"16-20",HRData[[#This Row],[PercentSalaryHike]]&gt;=21,"21+")</f>
        <v>11-15</v>
      </c>
      <c r="AE355">
        <v>3</v>
      </c>
      <c r="AF355">
        <v>1</v>
      </c>
      <c r="AG355">
        <v>80</v>
      </c>
      <c r="AH355">
        <v>2</v>
      </c>
      <c r="AI355">
        <v>13</v>
      </c>
      <c r="AJ355">
        <v>2</v>
      </c>
      <c r="AK355">
        <v>3</v>
      </c>
      <c r="AL355">
        <v>7</v>
      </c>
      <c r="AM355">
        <v>7</v>
      </c>
      <c r="AN355">
        <v>6</v>
      </c>
      <c r="AO355">
        <v>7</v>
      </c>
      <c r="AP35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355" t="str">
        <f>IF(HRData[[#This Row],[Attrition]]="Yes","Left", IF(HRData[[#This Row],[Attrition_Risk_Score]]&gt;=6,"High",IF(HRData[[#This Row],[Attrition_Risk_Score]]&gt;=3,"Medium","Low")))</f>
        <v>Medium</v>
      </c>
      <c r="AR355" t="str">
        <f>IF(HRData[[#This Row],[Attrition_Risk_Level]]&lt;&gt;"High","",HRData[[#This Row],[Attrition_Risk_Score]]*10000-HRData[[#This Row],[EmployeeNumber]])</f>
        <v/>
      </c>
    </row>
    <row r="356" spans="1:44">
      <c r="A356">
        <v>30</v>
      </c>
      <c r="B356" t="str" cm="1">
        <f t="array" ref="B356">_xlfn.IFS(
HRData[[#This Row],[Age]]&lt;=24,"18-24",
HRData[[#This Row],[Age]]&lt;=34,"25-34",
HRData[[#This Row],[Age]]&lt;=44,"35-44",
HRData[[#This Row],[Age]]&lt;=54,"45-54",
HRData[[#This Row],[Age]]&gt;=55,"55+"
)</f>
        <v>25-34</v>
      </c>
      <c r="C356" t="s">
        <v>43</v>
      </c>
      <c r="D356">
        <f>IF(HRData[[#This Row],[Attrition]]="Yes",1,0)</f>
        <v>0</v>
      </c>
      <c r="E356" t="s">
        <v>55</v>
      </c>
      <c r="F356">
        <v>641</v>
      </c>
      <c r="G356" t="s">
        <v>37</v>
      </c>
      <c r="H356">
        <v>25</v>
      </c>
      <c r="I356">
        <v>2</v>
      </c>
      <c r="J356" t="s">
        <v>60</v>
      </c>
      <c r="K356">
        <v>1</v>
      </c>
      <c r="L356">
        <v>475</v>
      </c>
      <c r="M356">
        <v>4</v>
      </c>
      <c r="N356" t="str" cm="1">
        <f t="array" ref="N356">_xlfn.IFS(HRData[[#This Row],[EnvironmentSatisfaction]]=1,"Very Dissatisfied",
HRData[[#This Row],[EnvironmentSatisfaction]]=2,"Dissatisfied",
HRData[[#This Row],[EnvironmentSatisfaction]]=3,"Satisfied",
HRData[[#This Row],[EnvironmentSatisfaction]]=4,"Very Satisfied"
)</f>
        <v>Very Satisfied</v>
      </c>
      <c r="O356" t="s">
        <v>39</v>
      </c>
      <c r="P356">
        <v>85</v>
      </c>
      <c r="Q356">
        <v>3</v>
      </c>
      <c r="R356">
        <v>2</v>
      </c>
      <c r="S356" t="s">
        <v>40</v>
      </c>
      <c r="T356">
        <v>3</v>
      </c>
      <c r="U356" t="str" cm="1">
        <f t="array" ref="U356">_xlfn.IFS(
HRData[[#This Row],[JobSatisfaction]]=1,"Very Dissatisfied",
HRData[[#This Row],[JobSatisfaction]]=2,"Dissatisfied",
HRData[[#This Row],[JobSatisfaction]]=3,"Satisfied",
HRData[[#This Row],[JobSatisfaction]]=4,"Very Satisfied"
)</f>
        <v>Satisfied</v>
      </c>
      <c r="V356" t="s">
        <v>48</v>
      </c>
      <c r="W356">
        <v>4736</v>
      </c>
      <c r="X356" t="str" cm="1">
        <f t="array" ref="X356">_xlfn.IFS(
HRData[[#This Row],[MonthlyIncome]]&lt;=4000,"Very Low Income",
HRData[[#This Row],[MonthlyIncome]]&lt;=8000,"Low Income",
HRData[[#This Row],[MonthlyIncome]]&lt;=12000,"Moderate Income",
HRData[[#This Row],[MonthlyIncome]]&lt;=16000,"High Income",
HRData[[#This Row],[MonthlyIncome]]&gt;16000,"Very High Income"
)</f>
        <v>Low Income</v>
      </c>
      <c r="Y356">
        <v>6069</v>
      </c>
      <c r="Z356">
        <v>7</v>
      </c>
      <c r="AA356" t="s">
        <v>42</v>
      </c>
      <c r="AB356" t="s">
        <v>35</v>
      </c>
      <c r="AC356">
        <v>12</v>
      </c>
      <c r="AD356" t="str" cm="1">
        <f t="array" ref="AD356">_xlfn.IFS(HRData[[#This Row],[PercentSalaryHike]]&lt;=15,"11-15",HRData[[#This Row],[PercentSalaryHike]]&lt;=20,"16-20",HRData[[#This Row],[PercentSalaryHike]]&gt;=21,"21+")</f>
        <v>11-15</v>
      </c>
      <c r="AE356">
        <v>3</v>
      </c>
      <c r="AF356">
        <v>2</v>
      </c>
      <c r="AG356">
        <v>80</v>
      </c>
      <c r="AH356">
        <v>1</v>
      </c>
      <c r="AI356">
        <v>4</v>
      </c>
      <c r="AJ356">
        <v>2</v>
      </c>
      <c r="AK356">
        <v>4</v>
      </c>
      <c r="AL356">
        <v>2</v>
      </c>
      <c r="AM356">
        <v>2</v>
      </c>
      <c r="AN356">
        <v>2</v>
      </c>
      <c r="AO356">
        <v>2</v>
      </c>
      <c r="AP35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56" t="str">
        <f>IF(HRData[[#This Row],[Attrition]]="Yes","Left", IF(HRData[[#This Row],[Attrition_Risk_Score]]&gt;=6,"High",IF(HRData[[#This Row],[Attrition_Risk_Score]]&gt;=3,"Medium","Low")))</f>
        <v>Medium</v>
      </c>
      <c r="AR356" t="str">
        <f>IF(HRData[[#This Row],[Attrition_Risk_Level]]&lt;&gt;"High","",HRData[[#This Row],[Attrition_Risk_Score]]*10000-HRData[[#This Row],[EmployeeNumber]])</f>
        <v/>
      </c>
    </row>
    <row r="357" spans="1:44">
      <c r="A357">
        <v>26</v>
      </c>
      <c r="B357" t="str" cm="1">
        <f t="array" ref="B357">_xlfn.IFS(
HRData[[#This Row],[Age]]&lt;=24,"18-24",
HRData[[#This Row],[Age]]&lt;=34,"25-34",
HRData[[#This Row],[Age]]&lt;=44,"35-44",
HRData[[#This Row],[Age]]&lt;=54,"45-54",
HRData[[#This Row],[Age]]&gt;=55,"55+"
)</f>
        <v>25-34</v>
      </c>
      <c r="C357" t="s">
        <v>43</v>
      </c>
      <c r="D357">
        <f>IF(HRData[[#This Row],[Attrition]]="Yes",1,0)</f>
        <v>0</v>
      </c>
      <c r="E357" t="s">
        <v>36</v>
      </c>
      <c r="F357">
        <v>933</v>
      </c>
      <c r="G357" t="s">
        <v>37</v>
      </c>
      <c r="H357">
        <v>1</v>
      </c>
      <c r="I357">
        <v>3</v>
      </c>
      <c r="J357" t="s">
        <v>38</v>
      </c>
      <c r="K357">
        <v>1</v>
      </c>
      <c r="L357">
        <v>476</v>
      </c>
      <c r="M357">
        <v>3</v>
      </c>
      <c r="N357" t="str" cm="1">
        <f t="array" ref="N357">_xlfn.IFS(HRData[[#This Row],[EnvironmentSatisfaction]]=1,"Very Dissatisfied",
HRData[[#This Row],[EnvironmentSatisfaction]]=2,"Dissatisfied",
HRData[[#This Row],[EnvironmentSatisfaction]]=3,"Satisfied",
HRData[[#This Row],[EnvironmentSatisfaction]]=4,"Very Satisfied"
)</f>
        <v>Satisfied</v>
      </c>
      <c r="O357" t="s">
        <v>46</v>
      </c>
      <c r="P357">
        <v>57</v>
      </c>
      <c r="Q357">
        <v>3</v>
      </c>
      <c r="R357">
        <v>2</v>
      </c>
      <c r="S357" t="s">
        <v>40</v>
      </c>
      <c r="T357">
        <v>3</v>
      </c>
      <c r="U357" t="str" cm="1">
        <f t="array" ref="U357">_xlfn.IFS(
HRData[[#This Row],[JobSatisfaction]]=1,"Very Dissatisfied",
HRData[[#This Row],[JobSatisfaction]]=2,"Dissatisfied",
HRData[[#This Row],[JobSatisfaction]]=3,"Satisfied",
HRData[[#This Row],[JobSatisfaction]]=4,"Very Satisfied"
)</f>
        <v>Satisfied</v>
      </c>
      <c r="V357" t="s">
        <v>48</v>
      </c>
      <c r="W357">
        <v>5296</v>
      </c>
      <c r="X357" t="str" cm="1">
        <f t="array" ref="X357">_xlfn.IFS(
HRData[[#This Row],[MonthlyIncome]]&lt;=4000,"Very Low Income",
HRData[[#This Row],[MonthlyIncome]]&lt;=8000,"Low Income",
HRData[[#This Row],[MonthlyIncome]]&lt;=12000,"Moderate Income",
HRData[[#This Row],[MonthlyIncome]]&lt;=16000,"High Income",
HRData[[#This Row],[MonthlyIncome]]&gt;16000,"Very High Income"
)</f>
        <v>Low Income</v>
      </c>
      <c r="Y357">
        <v>20156</v>
      </c>
      <c r="Z357">
        <v>1</v>
      </c>
      <c r="AA357" t="s">
        <v>42</v>
      </c>
      <c r="AB357" t="s">
        <v>43</v>
      </c>
      <c r="AC357">
        <v>17</v>
      </c>
      <c r="AD357" t="str" cm="1">
        <f t="array" ref="AD357">_xlfn.IFS(HRData[[#This Row],[PercentSalaryHike]]&lt;=15,"11-15",HRData[[#This Row],[PercentSalaryHike]]&lt;=20,"16-20",HRData[[#This Row],[PercentSalaryHike]]&gt;=21,"21+")</f>
        <v>16-20</v>
      </c>
      <c r="AE357">
        <v>3</v>
      </c>
      <c r="AF357">
        <v>2</v>
      </c>
      <c r="AG357">
        <v>80</v>
      </c>
      <c r="AH357">
        <v>1</v>
      </c>
      <c r="AI357">
        <v>8</v>
      </c>
      <c r="AJ357">
        <v>3</v>
      </c>
      <c r="AK357">
        <v>3</v>
      </c>
      <c r="AL357">
        <v>8</v>
      </c>
      <c r="AM357">
        <v>7</v>
      </c>
      <c r="AN357">
        <v>7</v>
      </c>
      <c r="AO357">
        <v>7</v>
      </c>
      <c r="AP35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57" t="str">
        <f>IF(HRData[[#This Row],[Attrition]]="Yes","Left", IF(HRData[[#This Row],[Attrition_Risk_Score]]&gt;=6,"High",IF(HRData[[#This Row],[Attrition_Risk_Score]]&gt;=3,"Medium","Low")))</f>
        <v>Low</v>
      </c>
      <c r="AR357" t="str">
        <f>IF(HRData[[#This Row],[Attrition_Risk_Level]]&lt;&gt;"High","",HRData[[#This Row],[Attrition_Risk_Score]]*10000-HRData[[#This Row],[EmployeeNumber]])</f>
        <v/>
      </c>
    </row>
    <row r="358" spans="1:44">
      <c r="A358">
        <v>42</v>
      </c>
      <c r="B358" t="str" cm="1">
        <f t="array" ref="B358">_xlfn.IFS(
HRData[[#This Row],[Age]]&lt;=24,"18-24",
HRData[[#This Row],[Age]]&lt;=34,"25-34",
HRData[[#This Row],[Age]]&lt;=44,"35-44",
HRData[[#This Row],[Age]]&lt;=54,"45-54",
HRData[[#This Row],[Age]]&gt;=55,"55+"
)</f>
        <v>35-44</v>
      </c>
      <c r="C358" t="s">
        <v>43</v>
      </c>
      <c r="D358">
        <f>IF(HRData[[#This Row],[Attrition]]="Yes",1,0)</f>
        <v>0</v>
      </c>
      <c r="E358" t="s">
        <v>36</v>
      </c>
      <c r="F358">
        <v>1332</v>
      </c>
      <c r="G358" t="s">
        <v>45</v>
      </c>
      <c r="H358">
        <v>2</v>
      </c>
      <c r="I358">
        <v>4</v>
      </c>
      <c r="J358" t="s">
        <v>49</v>
      </c>
      <c r="K358">
        <v>1</v>
      </c>
      <c r="L358">
        <v>477</v>
      </c>
      <c r="M358">
        <v>1</v>
      </c>
      <c r="N358" t="str" cm="1">
        <f t="array" ref="N358">_xlfn.IFS(HRData[[#This Row],[EnvironmentSatisfaction]]=1,"Very Dissatisfied",
HRData[[#This Row],[EnvironmentSatisfaction]]=2,"Dissatisfied",
HRData[[#This Row],[EnvironmentSatisfaction]]=3,"Satisfied",
HRData[[#This Row],[EnvironmentSatisfaction]]=4,"Very Satisfied"
)</f>
        <v>Very Dissatisfied</v>
      </c>
      <c r="O358" t="s">
        <v>46</v>
      </c>
      <c r="P358">
        <v>98</v>
      </c>
      <c r="Q358">
        <v>2</v>
      </c>
      <c r="R358">
        <v>2</v>
      </c>
      <c r="S358" t="s">
        <v>54</v>
      </c>
      <c r="T358">
        <v>4</v>
      </c>
      <c r="U358" t="str" cm="1">
        <f t="array" ref="U358">_xlfn.IFS(
HRData[[#This Row],[JobSatisfaction]]=1,"Very Dissatisfied",
HRData[[#This Row],[JobSatisfaction]]=2,"Dissatisfied",
HRData[[#This Row],[JobSatisfaction]]=3,"Satisfied",
HRData[[#This Row],[JobSatisfaction]]=4,"Very Satisfied"
)</f>
        <v>Very Satisfied</v>
      </c>
      <c r="V358" t="s">
        <v>41</v>
      </c>
      <c r="W358">
        <v>6781</v>
      </c>
      <c r="X358" t="str" cm="1">
        <f t="array" ref="X358">_xlfn.IFS(
HRData[[#This Row],[MonthlyIncome]]&lt;=4000,"Very Low Income",
HRData[[#This Row],[MonthlyIncome]]&lt;=8000,"Low Income",
HRData[[#This Row],[MonthlyIncome]]&lt;=12000,"Moderate Income",
HRData[[#This Row],[MonthlyIncome]]&lt;=16000,"High Income",
HRData[[#This Row],[MonthlyIncome]]&gt;16000,"Very High Income"
)</f>
        <v>Low Income</v>
      </c>
      <c r="Y358">
        <v>17078</v>
      </c>
      <c r="Z358">
        <v>3</v>
      </c>
      <c r="AA358" t="s">
        <v>42</v>
      </c>
      <c r="AB358" t="s">
        <v>43</v>
      </c>
      <c r="AC358">
        <v>23</v>
      </c>
      <c r="AD358" t="str" cm="1">
        <f t="array" ref="AD358">_xlfn.IFS(HRData[[#This Row],[PercentSalaryHike]]&lt;=15,"11-15",HRData[[#This Row],[PercentSalaryHike]]&lt;=20,"16-20",HRData[[#This Row],[PercentSalaryHike]]&gt;=21,"21+")</f>
        <v>21+</v>
      </c>
      <c r="AE358">
        <v>4</v>
      </c>
      <c r="AF358">
        <v>2</v>
      </c>
      <c r="AG358">
        <v>80</v>
      </c>
      <c r="AH358">
        <v>0</v>
      </c>
      <c r="AI358">
        <v>14</v>
      </c>
      <c r="AJ358">
        <v>6</v>
      </c>
      <c r="AK358">
        <v>3</v>
      </c>
      <c r="AL358">
        <v>1</v>
      </c>
      <c r="AM358">
        <v>0</v>
      </c>
      <c r="AN358">
        <v>0</v>
      </c>
      <c r="AO358">
        <v>0</v>
      </c>
      <c r="AP35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358" t="str">
        <f>IF(HRData[[#This Row],[Attrition]]="Yes","Left", IF(HRData[[#This Row],[Attrition_Risk_Score]]&gt;=6,"High",IF(HRData[[#This Row],[Attrition_Risk_Score]]&gt;=3,"Medium","Low")))</f>
        <v>Low</v>
      </c>
      <c r="AR358" t="str">
        <f>IF(HRData[[#This Row],[Attrition_Risk_Level]]&lt;&gt;"High","",HRData[[#This Row],[Attrition_Risk_Score]]*10000-HRData[[#This Row],[EmployeeNumber]])</f>
        <v/>
      </c>
    </row>
    <row r="359" spans="1:44">
      <c r="A359">
        <v>21</v>
      </c>
      <c r="B359" t="str" cm="1">
        <f t="array" ref="B359">_xlfn.IFS(
HRData[[#This Row],[Age]]&lt;=24,"18-24",
HRData[[#This Row],[Age]]&lt;=34,"25-34",
HRData[[#This Row],[Age]]&lt;=44,"35-44",
HRData[[#This Row],[Age]]&lt;=54,"45-54",
HRData[[#This Row],[Age]]&gt;=55,"55+"
)</f>
        <v>18-24</v>
      </c>
      <c r="C359" t="s">
        <v>35</v>
      </c>
      <c r="D359">
        <f>IF(HRData[[#This Row],[Attrition]]="Yes",1,0)</f>
        <v>1</v>
      </c>
      <c r="E359" t="s">
        <v>44</v>
      </c>
      <c r="F359">
        <v>756</v>
      </c>
      <c r="G359" t="s">
        <v>37</v>
      </c>
      <c r="H359">
        <v>1</v>
      </c>
      <c r="I359">
        <v>1</v>
      </c>
      <c r="J359" t="s">
        <v>60</v>
      </c>
      <c r="K359">
        <v>1</v>
      </c>
      <c r="L359">
        <v>478</v>
      </c>
      <c r="M359">
        <v>1</v>
      </c>
      <c r="N359" t="str" cm="1">
        <f t="array" ref="N359">_xlfn.IFS(HRData[[#This Row],[EnvironmentSatisfaction]]=1,"Very Dissatisfied",
HRData[[#This Row],[EnvironmentSatisfaction]]=2,"Dissatisfied",
HRData[[#This Row],[EnvironmentSatisfaction]]=3,"Satisfied",
HRData[[#This Row],[EnvironmentSatisfaction]]=4,"Very Satisfied"
)</f>
        <v>Very Dissatisfied</v>
      </c>
      <c r="O359" t="s">
        <v>39</v>
      </c>
      <c r="P359">
        <v>99</v>
      </c>
      <c r="Q359">
        <v>2</v>
      </c>
      <c r="R359">
        <v>1</v>
      </c>
      <c r="S359" t="s">
        <v>57</v>
      </c>
      <c r="T359">
        <v>2</v>
      </c>
      <c r="U359" t="str" cm="1">
        <f t="array" ref="U359">_xlfn.IFS(
HRData[[#This Row],[JobSatisfaction]]=1,"Very Dissatisfied",
HRData[[#This Row],[JobSatisfaction]]=2,"Dissatisfied",
HRData[[#This Row],[JobSatisfaction]]=3,"Satisfied",
HRData[[#This Row],[JobSatisfaction]]=4,"Very Satisfied"
)</f>
        <v>Dissatisfied</v>
      </c>
      <c r="V359" t="s">
        <v>41</v>
      </c>
      <c r="W359">
        <v>2174</v>
      </c>
      <c r="X359" t="str" cm="1">
        <f t="array" ref="X359">_xlfn.IFS(
HRData[[#This Row],[MonthlyIncome]]&lt;=4000,"Very Low Income",
HRData[[#This Row],[MonthlyIncome]]&lt;=8000,"Low Income",
HRData[[#This Row],[MonthlyIncome]]&lt;=12000,"Moderate Income",
HRData[[#This Row],[MonthlyIncome]]&lt;=16000,"High Income",
HRData[[#This Row],[MonthlyIncome]]&gt;16000,"Very High Income"
)</f>
        <v>Very Low Income</v>
      </c>
      <c r="Y359">
        <v>9150</v>
      </c>
      <c r="Z359">
        <v>1</v>
      </c>
      <c r="AA359" t="s">
        <v>42</v>
      </c>
      <c r="AB359" t="s">
        <v>35</v>
      </c>
      <c r="AC359">
        <v>11</v>
      </c>
      <c r="AD359" t="str" cm="1">
        <f t="array" ref="AD359">_xlfn.IFS(HRData[[#This Row],[PercentSalaryHike]]&lt;=15,"11-15",HRData[[#This Row],[PercentSalaryHike]]&lt;=20,"16-20",HRData[[#This Row],[PercentSalaryHike]]&gt;=21,"21+")</f>
        <v>11-15</v>
      </c>
      <c r="AE359">
        <v>3</v>
      </c>
      <c r="AF359">
        <v>3</v>
      </c>
      <c r="AG359">
        <v>80</v>
      </c>
      <c r="AH359">
        <v>0</v>
      </c>
      <c r="AI359">
        <v>3</v>
      </c>
      <c r="AJ359">
        <v>3</v>
      </c>
      <c r="AK359">
        <v>3</v>
      </c>
      <c r="AL359">
        <v>3</v>
      </c>
      <c r="AM359">
        <v>2</v>
      </c>
      <c r="AN359">
        <v>1</v>
      </c>
      <c r="AO359">
        <v>2</v>
      </c>
      <c r="AP35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359" t="str">
        <f>IF(HRData[[#This Row],[Attrition]]="Yes","Left", IF(HRData[[#This Row],[Attrition_Risk_Score]]&gt;=6,"High",IF(HRData[[#This Row],[Attrition_Risk_Score]]&gt;=3,"Medium","Low")))</f>
        <v>Left</v>
      </c>
      <c r="AR359" t="str">
        <f>IF(HRData[[#This Row],[Attrition_Risk_Level]]&lt;&gt;"High","",HRData[[#This Row],[Attrition_Risk_Score]]*10000-HRData[[#This Row],[EmployeeNumber]])</f>
        <v/>
      </c>
    </row>
    <row r="360" spans="1:44">
      <c r="A360">
        <v>36</v>
      </c>
      <c r="B360" t="str" cm="1">
        <f t="array" ref="B360">_xlfn.IFS(
HRData[[#This Row],[Age]]&lt;=24,"18-24",
HRData[[#This Row],[Age]]&lt;=34,"25-34",
HRData[[#This Row],[Age]]&lt;=44,"35-44",
HRData[[#This Row],[Age]]&lt;=54,"45-54",
HRData[[#This Row],[Age]]&gt;=55,"55+"
)</f>
        <v>35-44</v>
      </c>
      <c r="C360" t="s">
        <v>43</v>
      </c>
      <c r="D360">
        <f>IF(HRData[[#This Row],[Attrition]]="Yes",1,0)</f>
        <v>0</v>
      </c>
      <c r="E360" t="s">
        <v>55</v>
      </c>
      <c r="F360">
        <v>845</v>
      </c>
      <c r="G360" t="s">
        <v>37</v>
      </c>
      <c r="H360">
        <v>1</v>
      </c>
      <c r="I360">
        <v>5</v>
      </c>
      <c r="J360" t="s">
        <v>51</v>
      </c>
      <c r="K360">
        <v>1</v>
      </c>
      <c r="L360">
        <v>479</v>
      </c>
      <c r="M360">
        <v>4</v>
      </c>
      <c r="N360" t="str" cm="1">
        <f t="array" ref="N360">_xlfn.IFS(HRData[[#This Row],[EnvironmentSatisfaction]]=1,"Very Dissatisfied",
HRData[[#This Row],[EnvironmentSatisfaction]]=2,"Dissatisfied",
HRData[[#This Row],[EnvironmentSatisfaction]]=3,"Satisfied",
HRData[[#This Row],[EnvironmentSatisfaction]]=4,"Very Satisfied"
)</f>
        <v>Very Satisfied</v>
      </c>
      <c r="O360" t="s">
        <v>39</v>
      </c>
      <c r="P360">
        <v>45</v>
      </c>
      <c r="Q360">
        <v>3</v>
      </c>
      <c r="R360">
        <v>2</v>
      </c>
      <c r="S360" t="s">
        <v>40</v>
      </c>
      <c r="T360">
        <v>4</v>
      </c>
      <c r="U360" t="str" cm="1">
        <f t="array" ref="U360">_xlfn.IFS(
HRData[[#This Row],[JobSatisfaction]]=1,"Very Dissatisfied",
HRData[[#This Row],[JobSatisfaction]]=2,"Dissatisfied",
HRData[[#This Row],[JobSatisfaction]]=3,"Satisfied",
HRData[[#This Row],[JobSatisfaction]]=4,"Very Satisfied"
)</f>
        <v>Very Satisfied</v>
      </c>
      <c r="V360" t="s">
        <v>41</v>
      </c>
      <c r="W360">
        <v>6653</v>
      </c>
      <c r="X360" t="str" cm="1">
        <f t="array" ref="X360">_xlfn.IFS(
HRData[[#This Row],[MonthlyIncome]]&lt;=4000,"Very Low Income",
HRData[[#This Row],[MonthlyIncome]]&lt;=8000,"Low Income",
HRData[[#This Row],[MonthlyIncome]]&lt;=12000,"Moderate Income",
HRData[[#This Row],[MonthlyIncome]]&lt;=16000,"High Income",
HRData[[#This Row],[MonthlyIncome]]&gt;16000,"Very High Income"
)</f>
        <v>Low Income</v>
      </c>
      <c r="Y360">
        <v>15276</v>
      </c>
      <c r="Z360">
        <v>4</v>
      </c>
      <c r="AA360" t="s">
        <v>42</v>
      </c>
      <c r="AB360" t="s">
        <v>43</v>
      </c>
      <c r="AC360">
        <v>15</v>
      </c>
      <c r="AD360" t="str" cm="1">
        <f t="array" ref="AD360">_xlfn.IFS(HRData[[#This Row],[PercentSalaryHike]]&lt;=15,"11-15",HRData[[#This Row],[PercentSalaryHike]]&lt;=20,"16-20",HRData[[#This Row],[PercentSalaryHike]]&gt;=21,"21+")</f>
        <v>11-15</v>
      </c>
      <c r="AE360">
        <v>3</v>
      </c>
      <c r="AF360">
        <v>2</v>
      </c>
      <c r="AG360">
        <v>80</v>
      </c>
      <c r="AH360">
        <v>0</v>
      </c>
      <c r="AI360">
        <v>7</v>
      </c>
      <c r="AJ360">
        <v>6</v>
      </c>
      <c r="AK360">
        <v>3</v>
      </c>
      <c r="AL360">
        <v>1</v>
      </c>
      <c r="AM360">
        <v>0</v>
      </c>
      <c r="AN360">
        <v>0</v>
      </c>
      <c r="AO360">
        <v>0</v>
      </c>
      <c r="AP36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360" t="str">
        <f>IF(HRData[[#This Row],[Attrition]]="Yes","Left", IF(HRData[[#This Row],[Attrition_Risk_Score]]&gt;=6,"High",IF(HRData[[#This Row],[Attrition_Risk_Score]]&gt;=3,"Medium","Low")))</f>
        <v>Low</v>
      </c>
      <c r="AR360" t="str">
        <f>IF(HRData[[#This Row],[Attrition_Risk_Level]]&lt;&gt;"High","",HRData[[#This Row],[Attrition_Risk_Score]]*10000-HRData[[#This Row],[EmployeeNumber]])</f>
        <v/>
      </c>
    </row>
    <row r="361" spans="1:44">
      <c r="A361">
        <v>36</v>
      </c>
      <c r="B361" t="str" cm="1">
        <f t="array" ref="B361">_xlfn.IFS(
HRData[[#This Row],[Age]]&lt;=24,"18-24",
HRData[[#This Row],[Age]]&lt;=34,"25-34",
HRData[[#This Row],[Age]]&lt;=44,"35-44",
HRData[[#This Row],[Age]]&lt;=54,"45-54",
HRData[[#This Row],[Age]]&gt;=55,"55+"
)</f>
        <v>35-44</v>
      </c>
      <c r="C361" t="s">
        <v>43</v>
      </c>
      <c r="D361">
        <f>IF(HRData[[#This Row],[Attrition]]="Yes",1,0)</f>
        <v>0</v>
      </c>
      <c r="E361" t="s">
        <v>44</v>
      </c>
      <c r="F361">
        <v>541</v>
      </c>
      <c r="G361" t="s">
        <v>37</v>
      </c>
      <c r="H361">
        <v>3</v>
      </c>
      <c r="I361">
        <v>4</v>
      </c>
      <c r="J361" t="s">
        <v>51</v>
      </c>
      <c r="K361">
        <v>1</v>
      </c>
      <c r="L361">
        <v>481</v>
      </c>
      <c r="M361">
        <v>1</v>
      </c>
      <c r="N361" t="str" cm="1">
        <f t="array" ref="N361">_xlfn.IFS(HRData[[#This Row],[EnvironmentSatisfaction]]=1,"Very Dissatisfied",
HRData[[#This Row],[EnvironmentSatisfaction]]=2,"Dissatisfied",
HRData[[#This Row],[EnvironmentSatisfaction]]=3,"Satisfied",
HRData[[#This Row],[EnvironmentSatisfaction]]=4,"Very Satisfied"
)</f>
        <v>Very Dissatisfied</v>
      </c>
      <c r="O361" t="s">
        <v>46</v>
      </c>
      <c r="P361">
        <v>48</v>
      </c>
      <c r="Q361">
        <v>2</v>
      </c>
      <c r="R361">
        <v>3</v>
      </c>
      <c r="S361" t="s">
        <v>40</v>
      </c>
      <c r="T361">
        <v>4</v>
      </c>
      <c r="U361" t="str" cm="1">
        <f t="array" ref="U361">_xlfn.IFS(
HRData[[#This Row],[JobSatisfaction]]=1,"Very Dissatisfied",
HRData[[#This Row],[JobSatisfaction]]=2,"Dissatisfied",
HRData[[#This Row],[JobSatisfaction]]=3,"Satisfied",
HRData[[#This Row],[JobSatisfaction]]=4,"Very Satisfied"
)</f>
        <v>Very Satisfied</v>
      </c>
      <c r="V361" t="s">
        <v>48</v>
      </c>
      <c r="W361">
        <v>9699</v>
      </c>
      <c r="X361" t="str" cm="1">
        <f t="array" ref="X361">_xlfn.IFS(
HRData[[#This Row],[MonthlyIncome]]&lt;=4000,"Very Low Income",
HRData[[#This Row],[MonthlyIncome]]&lt;=8000,"Low Income",
HRData[[#This Row],[MonthlyIncome]]&lt;=12000,"Moderate Income",
HRData[[#This Row],[MonthlyIncome]]&lt;=16000,"High Income",
HRData[[#This Row],[MonthlyIncome]]&gt;16000,"Very High Income"
)</f>
        <v>Moderate Income</v>
      </c>
      <c r="Y361">
        <v>7246</v>
      </c>
      <c r="Z361">
        <v>4</v>
      </c>
      <c r="AA361" t="s">
        <v>42</v>
      </c>
      <c r="AB361" t="s">
        <v>43</v>
      </c>
      <c r="AC361">
        <v>11</v>
      </c>
      <c r="AD361" t="str" cm="1">
        <f t="array" ref="AD361">_xlfn.IFS(HRData[[#This Row],[PercentSalaryHike]]&lt;=15,"11-15",HRData[[#This Row],[PercentSalaryHike]]&lt;=20,"16-20",HRData[[#This Row],[PercentSalaryHike]]&gt;=21,"21+")</f>
        <v>11-15</v>
      </c>
      <c r="AE361">
        <v>3</v>
      </c>
      <c r="AF361">
        <v>1</v>
      </c>
      <c r="AG361">
        <v>80</v>
      </c>
      <c r="AH361">
        <v>1</v>
      </c>
      <c r="AI361">
        <v>16</v>
      </c>
      <c r="AJ361">
        <v>2</v>
      </c>
      <c r="AK361">
        <v>3</v>
      </c>
      <c r="AL361">
        <v>13</v>
      </c>
      <c r="AM361">
        <v>9</v>
      </c>
      <c r="AN361">
        <v>1</v>
      </c>
      <c r="AO361">
        <v>12</v>
      </c>
      <c r="AP36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361" t="str">
        <f>IF(HRData[[#This Row],[Attrition]]="Yes","Left", IF(HRData[[#This Row],[Attrition_Risk_Score]]&gt;=6,"High",IF(HRData[[#This Row],[Attrition_Risk_Score]]&gt;=3,"Medium","Low")))</f>
        <v>Low</v>
      </c>
      <c r="AR361" t="str">
        <f>IF(HRData[[#This Row],[Attrition_Risk_Level]]&lt;&gt;"High","",HRData[[#This Row],[Attrition_Risk_Score]]*10000-HRData[[#This Row],[EmployeeNumber]])</f>
        <v/>
      </c>
    </row>
    <row r="362" spans="1:44">
      <c r="A362">
        <v>57</v>
      </c>
      <c r="B362" t="str" cm="1">
        <f t="array" ref="B362">_xlfn.IFS(
HRData[[#This Row],[Age]]&lt;=24,"18-24",
HRData[[#This Row],[Age]]&lt;=34,"25-34",
HRData[[#This Row],[Age]]&lt;=44,"35-44",
HRData[[#This Row],[Age]]&lt;=54,"45-54",
HRData[[#This Row],[Age]]&gt;=55,"55+"
)</f>
        <v>55+</v>
      </c>
      <c r="C362" t="s">
        <v>43</v>
      </c>
      <c r="D362">
        <f>IF(HRData[[#This Row],[Attrition]]="Yes",1,0)</f>
        <v>0</v>
      </c>
      <c r="E362" t="s">
        <v>36</v>
      </c>
      <c r="F362">
        <v>593</v>
      </c>
      <c r="G362" t="s">
        <v>45</v>
      </c>
      <c r="H362">
        <v>1</v>
      </c>
      <c r="I362">
        <v>4</v>
      </c>
      <c r="J362" t="s">
        <v>51</v>
      </c>
      <c r="K362">
        <v>1</v>
      </c>
      <c r="L362">
        <v>482</v>
      </c>
      <c r="M362">
        <v>4</v>
      </c>
      <c r="N362" t="str" cm="1">
        <f t="array" ref="N362">_xlfn.IFS(HRData[[#This Row],[EnvironmentSatisfaction]]=1,"Very Dissatisfied",
HRData[[#This Row],[EnvironmentSatisfaction]]=2,"Dissatisfied",
HRData[[#This Row],[EnvironmentSatisfaction]]=3,"Satisfied",
HRData[[#This Row],[EnvironmentSatisfaction]]=4,"Very Satisfied"
)</f>
        <v>Very Satisfied</v>
      </c>
      <c r="O362" t="s">
        <v>46</v>
      </c>
      <c r="P362">
        <v>88</v>
      </c>
      <c r="Q362">
        <v>3</v>
      </c>
      <c r="R362">
        <v>2</v>
      </c>
      <c r="S362" t="s">
        <v>54</v>
      </c>
      <c r="T362">
        <v>3</v>
      </c>
      <c r="U362" t="str" cm="1">
        <f t="array" ref="U362">_xlfn.IFS(
HRData[[#This Row],[JobSatisfaction]]=1,"Very Dissatisfied",
HRData[[#This Row],[JobSatisfaction]]=2,"Dissatisfied",
HRData[[#This Row],[JobSatisfaction]]=3,"Satisfied",
HRData[[#This Row],[JobSatisfaction]]=4,"Very Satisfied"
)</f>
        <v>Satisfied</v>
      </c>
      <c r="V362" t="s">
        <v>48</v>
      </c>
      <c r="W362">
        <v>6755</v>
      </c>
      <c r="X362" t="str" cm="1">
        <f t="array" ref="X362">_xlfn.IFS(
HRData[[#This Row],[MonthlyIncome]]&lt;=4000,"Very Low Income",
HRData[[#This Row],[MonthlyIncome]]&lt;=8000,"Low Income",
HRData[[#This Row],[MonthlyIncome]]&lt;=12000,"Moderate Income",
HRData[[#This Row],[MonthlyIncome]]&lt;=16000,"High Income",
HRData[[#This Row],[MonthlyIncome]]&gt;16000,"Very High Income"
)</f>
        <v>Low Income</v>
      </c>
      <c r="Y362">
        <v>2967</v>
      </c>
      <c r="Z362">
        <v>2</v>
      </c>
      <c r="AA362" t="s">
        <v>42</v>
      </c>
      <c r="AB362" t="s">
        <v>43</v>
      </c>
      <c r="AC362">
        <v>11</v>
      </c>
      <c r="AD362" t="str" cm="1">
        <f t="array" ref="AD362">_xlfn.IFS(HRData[[#This Row],[PercentSalaryHike]]&lt;=15,"11-15",HRData[[#This Row],[PercentSalaryHike]]&lt;=20,"16-20",HRData[[#This Row],[PercentSalaryHike]]&gt;=21,"21+")</f>
        <v>11-15</v>
      </c>
      <c r="AE362">
        <v>3</v>
      </c>
      <c r="AF362">
        <v>3</v>
      </c>
      <c r="AG362">
        <v>80</v>
      </c>
      <c r="AH362">
        <v>0</v>
      </c>
      <c r="AI362">
        <v>15</v>
      </c>
      <c r="AJ362">
        <v>2</v>
      </c>
      <c r="AK362">
        <v>3</v>
      </c>
      <c r="AL362">
        <v>3</v>
      </c>
      <c r="AM362">
        <v>2</v>
      </c>
      <c r="AN362">
        <v>1</v>
      </c>
      <c r="AO362">
        <v>2</v>
      </c>
      <c r="AP36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362" t="str">
        <f>IF(HRData[[#This Row],[Attrition]]="Yes","Left", IF(HRData[[#This Row],[Attrition_Risk_Score]]&gt;=6,"High",IF(HRData[[#This Row],[Attrition_Risk_Score]]&gt;=3,"Medium","Low")))</f>
        <v>Low</v>
      </c>
      <c r="AR362" t="str">
        <f>IF(HRData[[#This Row],[Attrition_Risk_Level]]&lt;&gt;"High","",HRData[[#This Row],[Attrition_Risk_Score]]*10000-HRData[[#This Row],[EmployeeNumber]])</f>
        <v/>
      </c>
    </row>
    <row r="363" spans="1:44">
      <c r="A363">
        <v>40</v>
      </c>
      <c r="B363" t="str" cm="1">
        <f t="array" ref="B363">_xlfn.IFS(
HRData[[#This Row],[Age]]&lt;=24,"18-24",
HRData[[#This Row],[Age]]&lt;=34,"25-34",
HRData[[#This Row],[Age]]&lt;=44,"35-44",
HRData[[#This Row],[Age]]&lt;=54,"45-54",
HRData[[#This Row],[Age]]&gt;=55,"55+"
)</f>
        <v>35-44</v>
      </c>
      <c r="C363" t="s">
        <v>43</v>
      </c>
      <c r="D363">
        <f>IF(HRData[[#This Row],[Attrition]]="Yes",1,0)</f>
        <v>0</v>
      </c>
      <c r="E363" t="s">
        <v>36</v>
      </c>
      <c r="F363">
        <v>1171</v>
      </c>
      <c r="G363" t="s">
        <v>45</v>
      </c>
      <c r="H363">
        <v>10</v>
      </c>
      <c r="I363">
        <v>4</v>
      </c>
      <c r="J363" t="s">
        <v>38</v>
      </c>
      <c r="K363">
        <v>1</v>
      </c>
      <c r="L363">
        <v>483</v>
      </c>
      <c r="M363">
        <v>4</v>
      </c>
      <c r="N363" t="str" cm="1">
        <f t="array" ref="N363">_xlfn.IFS(HRData[[#This Row],[EnvironmentSatisfaction]]=1,"Very Dissatisfied",
HRData[[#This Row],[EnvironmentSatisfaction]]=2,"Dissatisfied",
HRData[[#This Row],[EnvironmentSatisfaction]]=3,"Satisfied",
HRData[[#This Row],[EnvironmentSatisfaction]]=4,"Very Satisfied"
)</f>
        <v>Very Satisfied</v>
      </c>
      <c r="O363" t="s">
        <v>39</v>
      </c>
      <c r="P363">
        <v>46</v>
      </c>
      <c r="Q363">
        <v>4</v>
      </c>
      <c r="R363">
        <v>1</v>
      </c>
      <c r="S363" t="s">
        <v>50</v>
      </c>
      <c r="T363">
        <v>3</v>
      </c>
      <c r="U363" t="str" cm="1">
        <f t="array" ref="U363">_xlfn.IFS(
HRData[[#This Row],[JobSatisfaction]]=1,"Very Dissatisfied",
HRData[[#This Row],[JobSatisfaction]]=2,"Dissatisfied",
HRData[[#This Row],[JobSatisfaction]]=3,"Satisfied",
HRData[[#This Row],[JobSatisfaction]]=4,"Very Satisfied"
)</f>
        <v>Satisfied</v>
      </c>
      <c r="V363" t="s">
        <v>48</v>
      </c>
      <c r="W363">
        <v>2213</v>
      </c>
      <c r="X363" t="str" cm="1">
        <f t="array" ref="X363">_xlfn.IFS(
HRData[[#This Row],[MonthlyIncome]]&lt;=4000,"Very Low Income",
HRData[[#This Row],[MonthlyIncome]]&lt;=8000,"Low Income",
HRData[[#This Row],[MonthlyIncome]]&lt;=12000,"Moderate Income",
HRData[[#This Row],[MonthlyIncome]]&lt;=16000,"High Income",
HRData[[#This Row],[MonthlyIncome]]&gt;16000,"Very High Income"
)</f>
        <v>Very Low Income</v>
      </c>
      <c r="Y363">
        <v>22495</v>
      </c>
      <c r="Z363">
        <v>3</v>
      </c>
      <c r="AA363" t="s">
        <v>42</v>
      </c>
      <c r="AB363" t="s">
        <v>35</v>
      </c>
      <c r="AC363">
        <v>13</v>
      </c>
      <c r="AD363" t="str" cm="1">
        <f t="array" ref="AD363">_xlfn.IFS(HRData[[#This Row],[PercentSalaryHike]]&lt;=15,"11-15",HRData[[#This Row],[PercentSalaryHike]]&lt;=20,"16-20",HRData[[#This Row],[PercentSalaryHike]]&gt;=21,"21+")</f>
        <v>11-15</v>
      </c>
      <c r="AE363">
        <v>3</v>
      </c>
      <c r="AF363">
        <v>3</v>
      </c>
      <c r="AG363">
        <v>80</v>
      </c>
      <c r="AH363">
        <v>1</v>
      </c>
      <c r="AI363">
        <v>10</v>
      </c>
      <c r="AJ363">
        <v>3</v>
      </c>
      <c r="AK363">
        <v>3</v>
      </c>
      <c r="AL363">
        <v>7</v>
      </c>
      <c r="AM363">
        <v>7</v>
      </c>
      <c r="AN363">
        <v>1</v>
      </c>
      <c r="AO363">
        <v>7</v>
      </c>
      <c r="AP36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363" t="str">
        <f>IF(HRData[[#This Row],[Attrition]]="Yes","Left", IF(HRData[[#This Row],[Attrition_Risk_Score]]&gt;=6,"High",IF(HRData[[#This Row],[Attrition_Risk_Score]]&gt;=3,"Medium","Low")))</f>
        <v>Medium</v>
      </c>
      <c r="AR363" t="str">
        <f>IF(HRData[[#This Row],[Attrition_Risk_Level]]&lt;&gt;"High","",HRData[[#This Row],[Attrition_Risk_Score]]*10000-HRData[[#This Row],[EmployeeNumber]])</f>
        <v/>
      </c>
    </row>
    <row r="364" spans="1:44">
      <c r="A364">
        <v>21</v>
      </c>
      <c r="B364" t="str" cm="1">
        <f t="array" ref="B364">_xlfn.IFS(
HRData[[#This Row],[Age]]&lt;=24,"18-24",
HRData[[#This Row],[Age]]&lt;=34,"25-34",
HRData[[#This Row],[Age]]&lt;=44,"35-44",
HRData[[#This Row],[Age]]&lt;=54,"45-54",
HRData[[#This Row],[Age]]&gt;=55,"55+"
)</f>
        <v>18-24</v>
      </c>
      <c r="C364" t="s">
        <v>43</v>
      </c>
      <c r="D364">
        <f>IF(HRData[[#This Row],[Attrition]]="Yes",1,0)</f>
        <v>0</v>
      </c>
      <c r="E364" t="s">
        <v>55</v>
      </c>
      <c r="F364">
        <v>895</v>
      </c>
      <c r="G364" t="s">
        <v>37</v>
      </c>
      <c r="H364">
        <v>9</v>
      </c>
      <c r="I364">
        <v>2</v>
      </c>
      <c r="J364" t="s">
        <v>51</v>
      </c>
      <c r="K364">
        <v>1</v>
      </c>
      <c r="L364">
        <v>484</v>
      </c>
      <c r="M364">
        <v>1</v>
      </c>
      <c r="N364" t="str" cm="1">
        <f t="array" ref="N364">_xlfn.IFS(HRData[[#This Row],[EnvironmentSatisfaction]]=1,"Very Dissatisfied",
HRData[[#This Row],[EnvironmentSatisfaction]]=2,"Dissatisfied",
HRData[[#This Row],[EnvironmentSatisfaction]]=3,"Satisfied",
HRData[[#This Row],[EnvironmentSatisfaction]]=4,"Very Satisfied"
)</f>
        <v>Very Dissatisfied</v>
      </c>
      <c r="O364" t="s">
        <v>46</v>
      </c>
      <c r="P364">
        <v>39</v>
      </c>
      <c r="Q364">
        <v>3</v>
      </c>
      <c r="R364">
        <v>1</v>
      </c>
      <c r="S364" t="s">
        <v>57</v>
      </c>
      <c r="T364">
        <v>4</v>
      </c>
      <c r="U364" t="str" cm="1">
        <f t="array" ref="U364">_xlfn.IFS(
HRData[[#This Row],[JobSatisfaction]]=1,"Very Dissatisfied",
HRData[[#This Row],[JobSatisfaction]]=2,"Dissatisfied",
HRData[[#This Row],[JobSatisfaction]]=3,"Satisfied",
HRData[[#This Row],[JobSatisfaction]]=4,"Very Satisfied"
)</f>
        <v>Very Satisfied</v>
      </c>
      <c r="V364" t="s">
        <v>41</v>
      </c>
      <c r="W364">
        <v>2610</v>
      </c>
      <c r="X364" t="str" cm="1">
        <f t="array" ref="X364">_xlfn.IFS(
HRData[[#This Row],[MonthlyIncome]]&lt;=4000,"Very Low Income",
HRData[[#This Row],[MonthlyIncome]]&lt;=8000,"Low Income",
HRData[[#This Row],[MonthlyIncome]]&lt;=12000,"Moderate Income",
HRData[[#This Row],[MonthlyIncome]]&lt;=16000,"High Income",
HRData[[#This Row],[MonthlyIncome]]&gt;16000,"Very High Income"
)</f>
        <v>Very Low Income</v>
      </c>
      <c r="Y364">
        <v>2851</v>
      </c>
      <c r="Z364">
        <v>1</v>
      </c>
      <c r="AA364" t="s">
        <v>42</v>
      </c>
      <c r="AB364" t="s">
        <v>43</v>
      </c>
      <c r="AC364">
        <v>24</v>
      </c>
      <c r="AD364" t="str" cm="1">
        <f t="array" ref="AD364">_xlfn.IFS(HRData[[#This Row],[PercentSalaryHike]]&lt;=15,"11-15",HRData[[#This Row],[PercentSalaryHike]]&lt;=20,"16-20",HRData[[#This Row],[PercentSalaryHike]]&gt;=21,"21+")</f>
        <v>21+</v>
      </c>
      <c r="AE364">
        <v>4</v>
      </c>
      <c r="AF364">
        <v>3</v>
      </c>
      <c r="AG364">
        <v>80</v>
      </c>
      <c r="AH364">
        <v>0</v>
      </c>
      <c r="AI364">
        <v>3</v>
      </c>
      <c r="AJ364">
        <v>3</v>
      </c>
      <c r="AK364">
        <v>2</v>
      </c>
      <c r="AL364">
        <v>3</v>
      </c>
      <c r="AM364">
        <v>2</v>
      </c>
      <c r="AN364">
        <v>2</v>
      </c>
      <c r="AO364">
        <v>2</v>
      </c>
      <c r="AP36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364" t="str">
        <f>IF(HRData[[#This Row],[Attrition]]="Yes","Left", IF(HRData[[#This Row],[Attrition_Risk_Score]]&gt;=6,"High",IF(HRData[[#This Row],[Attrition_Risk_Score]]&gt;=3,"Medium","Low")))</f>
        <v>High</v>
      </c>
      <c r="AR364">
        <f>IF(HRData[[#This Row],[Attrition_Risk_Level]]&lt;&gt;"High","",HRData[[#This Row],[Attrition_Risk_Score]]*10000-HRData[[#This Row],[EmployeeNumber]])</f>
        <v>59516</v>
      </c>
    </row>
    <row r="365" spans="1:44">
      <c r="A365">
        <v>33</v>
      </c>
      <c r="B365" t="str" cm="1">
        <f t="array" ref="B365">_xlfn.IFS(
HRData[[#This Row],[Age]]&lt;=24,"18-24",
HRData[[#This Row],[Age]]&lt;=34,"25-34",
HRData[[#This Row],[Age]]&lt;=44,"35-44",
HRData[[#This Row],[Age]]&lt;=54,"45-54",
HRData[[#This Row],[Age]]&gt;=55,"55+"
)</f>
        <v>25-34</v>
      </c>
      <c r="C365" t="s">
        <v>35</v>
      </c>
      <c r="D365">
        <f>IF(HRData[[#This Row],[Attrition]]="Yes",1,0)</f>
        <v>1</v>
      </c>
      <c r="E365" t="s">
        <v>36</v>
      </c>
      <c r="F365">
        <v>350</v>
      </c>
      <c r="G365" t="s">
        <v>37</v>
      </c>
      <c r="H365">
        <v>5</v>
      </c>
      <c r="I365">
        <v>3</v>
      </c>
      <c r="J365" t="s">
        <v>59</v>
      </c>
      <c r="K365">
        <v>1</v>
      </c>
      <c r="L365">
        <v>485</v>
      </c>
      <c r="M365">
        <v>4</v>
      </c>
      <c r="N365" t="str" cm="1">
        <f t="array" ref="N365">_xlfn.IFS(HRData[[#This Row],[EnvironmentSatisfaction]]=1,"Very Dissatisfied",
HRData[[#This Row],[EnvironmentSatisfaction]]=2,"Dissatisfied",
HRData[[#This Row],[EnvironmentSatisfaction]]=3,"Satisfied",
HRData[[#This Row],[EnvironmentSatisfaction]]=4,"Very Satisfied"
)</f>
        <v>Very Satisfied</v>
      </c>
      <c r="O365" t="s">
        <v>39</v>
      </c>
      <c r="P365">
        <v>34</v>
      </c>
      <c r="Q365">
        <v>3</v>
      </c>
      <c r="R365">
        <v>1</v>
      </c>
      <c r="S365" t="s">
        <v>57</v>
      </c>
      <c r="T365">
        <v>3</v>
      </c>
      <c r="U365" t="str" cm="1">
        <f t="array" ref="U365">_xlfn.IFS(
HRData[[#This Row],[JobSatisfaction]]=1,"Very Dissatisfied",
HRData[[#This Row],[JobSatisfaction]]=2,"Dissatisfied",
HRData[[#This Row],[JobSatisfaction]]=3,"Satisfied",
HRData[[#This Row],[JobSatisfaction]]=4,"Very Satisfied"
)</f>
        <v>Satisfied</v>
      </c>
      <c r="V365" t="s">
        <v>41</v>
      </c>
      <c r="W365">
        <v>2851</v>
      </c>
      <c r="X365" t="str" cm="1">
        <f t="array" ref="X365">_xlfn.IFS(
HRData[[#This Row],[MonthlyIncome]]&lt;=4000,"Very Low Income",
HRData[[#This Row],[MonthlyIncome]]&lt;=8000,"Low Income",
HRData[[#This Row],[MonthlyIncome]]&lt;=12000,"Moderate Income",
HRData[[#This Row],[MonthlyIncome]]&lt;=16000,"High Income",
HRData[[#This Row],[MonthlyIncome]]&gt;16000,"Very High Income"
)</f>
        <v>Very Low Income</v>
      </c>
      <c r="Y365">
        <v>9150</v>
      </c>
      <c r="Z365">
        <v>1</v>
      </c>
      <c r="AA365" t="s">
        <v>42</v>
      </c>
      <c r="AB365" t="s">
        <v>35</v>
      </c>
      <c r="AC365">
        <v>13</v>
      </c>
      <c r="AD365" t="str" cm="1">
        <f t="array" ref="AD365">_xlfn.IFS(HRData[[#This Row],[PercentSalaryHike]]&lt;=15,"11-15",HRData[[#This Row],[PercentSalaryHike]]&lt;=20,"16-20",HRData[[#This Row],[PercentSalaryHike]]&gt;=21,"21+")</f>
        <v>11-15</v>
      </c>
      <c r="AE365">
        <v>3</v>
      </c>
      <c r="AF365">
        <v>2</v>
      </c>
      <c r="AG365">
        <v>80</v>
      </c>
      <c r="AH365">
        <v>0</v>
      </c>
      <c r="AI365">
        <v>1</v>
      </c>
      <c r="AJ365">
        <v>2</v>
      </c>
      <c r="AK365">
        <v>3</v>
      </c>
      <c r="AL365">
        <v>1</v>
      </c>
      <c r="AM365">
        <v>0</v>
      </c>
      <c r="AN365">
        <v>0</v>
      </c>
      <c r="AO365">
        <v>0</v>
      </c>
      <c r="AP36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365" t="str">
        <f>IF(HRData[[#This Row],[Attrition]]="Yes","Left", IF(HRData[[#This Row],[Attrition_Risk_Score]]&gt;=6,"High",IF(HRData[[#This Row],[Attrition_Risk_Score]]&gt;=3,"Medium","Low")))</f>
        <v>Left</v>
      </c>
      <c r="AR365" t="str">
        <f>IF(HRData[[#This Row],[Attrition_Risk_Level]]&lt;&gt;"High","",HRData[[#This Row],[Attrition_Risk_Score]]*10000-HRData[[#This Row],[EmployeeNumber]])</f>
        <v/>
      </c>
    </row>
    <row r="366" spans="1:44">
      <c r="A366">
        <v>37</v>
      </c>
      <c r="B366" t="str" cm="1">
        <f t="array" ref="B366">_xlfn.IFS(
HRData[[#This Row],[Age]]&lt;=24,"18-24",
HRData[[#This Row],[Age]]&lt;=34,"25-34",
HRData[[#This Row],[Age]]&lt;=44,"35-44",
HRData[[#This Row],[Age]]&lt;=54,"45-54",
HRData[[#This Row],[Age]]&gt;=55,"55+"
)</f>
        <v>35-44</v>
      </c>
      <c r="C366" t="s">
        <v>43</v>
      </c>
      <c r="D366">
        <f>IF(HRData[[#This Row],[Attrition]]="Yes",1,0)</f>
        <v>0</v>
      </c>
      <c r="E366" t="s">
        <v>36</v>
      </c>
      <c r="F366">
        <v>921</v>
      </c>
      <c r="G366" t="s">
        <v>45</v>
      </c>
      <c r="H366">
        <v>10</v>
      </c>
      <c r="I366">
        <v>3</v>
      </c>
      <c r="J366" t="s">
        <v>51</v>
      </c>
      <c r="K366">
        <v>1</v>
      </c>
      <c r="L366">
        <v>486</v>
      </c>
      <c r="M366">
        <v>3</v>
      </c>
      <c r="N366" t="str" cm="1">
        <f t="array" ref="N366">_xlfn.IFS(HRData[[#This Row],[EnvironmentSatisfaction]]=1,"Very Dissatisfied",
HRData[[#This Row],[EnvironmentSatisfaction]]=2,"Dissatisfied",
HRData[[#This Row],[EnvironmentSatisfaction]]=3,"Satisfied",
HRData[[#This Row],[EnvironmentSatisfaction]]=4,"Very Satisfied"
)</f>
        <v>Satisfied</v>
      </c>
      <c r="O366" t="s">
        <v>39</v>
      </c>
      <c r="P366">
        <v>98</v>
      </c>
      <c r="Q366">
        <v>3</v>
      </c>
      <c r="R366">
        <v>1</v>
      </c>
      <c r="S366" t="s">
        <v>50</v>
      </c>
      <c r="T366">
        <v>1</v>
      </c>
      <c r="U366" t="str" cm="1">
        <f t="array" ref="U366">_xlfn.IFS(
HRData[[#This Row],[JobSatisfaction]]=1,"Very Dissatisfied",
HRData[[#This Row],[JobSatisfaction]]=2,"Dissatisfied",
HRData[[#This Row],[JobSatisfaction]]=3,"Satisfied",
HRData[[#This Row],[JobSatisfaction]]=4,"Very Satisfied"
)</f>
        <v>Very Dissatisfied</v>
      </c>
      <c r="V366" t="s">
        <v>48</v>
      </c>
      <c r="W366">
        <v>3452</v>
      </c>
      <c r="X366" t="str" cm="1">
        <f t="array" ref="X366">_xlfn.IFS(
HRData[[#This Row],[MonthlyIncome]]&lt;=4000,"Very Low Income",
HRData[[#This Row],[MonthlyIncome]]&lt;=8000,"Low Income",
HRData[[#This Row],[MonthlyIncome]]&lt;=12000,"Moderate Income",
HRData[[#This Row],[MonthlyIncome]]&lt;=16000,"High Income",
HRData[[#This Row],[MonthlyIncome]]&gt;16000,"Very High Income"
)</f>
        <v>Very Low Income</v>
      </c>
      <c r="Y366">
        <v>17663</v>
      </c>
      <c r="Z366">
        <v>6</v>
      </c>
      <c r="AA366" t="s">
        <v>42</v>
      </c>
      <c r="AB366" t="s">
        <v>43</v>
      </c>
      <c r="AC366">
        <v>20</v>
      </c>
      <c r="AD366" t="str" cm="1">
        <f t="array" ref="AD366">_xlfn.IFS(HRData[[#This Row],[PercentSalaryHike]]&lt;=15,"11-15",HRData[[#This Row],[PercentSalaryHike]]&lt;=20,"16-20",HRData[[#This Row],[PercentSalaryHike]]&gt;=21,"21+")</f>
        <v>16-20</v>
      </c>
      <c r="AE366">
        <v>4</v>
      </c>
      <c r="AF366">
        <v>2</v>
      </c>
      <c r="AG366">
        <v>80</v>
      </c>
      <c r="AH366">
        <v>1</v>
      </c>
      <c r="AI366">
        <v>17</v>
      </c>
      <c r="AJ366">
        <v>3</v>
      </c>
      <c r="AK366">
        <v>3</v>
      </c>
      <c r="AL366">
        <v>5</v>
      </c>
      <c r="AM366">
        <v>4</v>
      </c>
      <c r="AN366">
        <v>0</v>
      </c>
      <c r="AO366">
        <v>3</v>
      </c>
      <c r="AP36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366" t="str">
        <f>IF(HRData[[#This Row],[Attrition]]="Yes","Left", IF(HRData[[#This Row],[Attrition_Risk_Score]]&gt;=6,"High",IF(HRData[[#This Row],[Attrition_Risk_Score]]&gt;=3,"Medium","Low")))</f>
        <v>Medium</v>
      </c>
      <c r="AR366" t="str">
        <f>IF(HRData[[#This Row],[Attrition_Risk_Level]]&lt;&gt;"High","",HRData[[#This Row],[Attrition_Risk_Score]]*10000-HRData[[#This Row],[EmployeeNumber]])</f>
        <v/>
      </c>
    </row>
    <row r="367" spans="1:44">
      <c r="A367">
        <v>46</v>
      </c>
      <c r="B367" t="str" cm="1">
        <f t="array" ref="B367">_xlfn.IFS(
HRData[[#This Row],[Age]]&lt;=24,"18-24",
HRData[[#This Row],[Age]]&lt;=34,"25-34",
HRData[[#This Row],[Age]]&lt;=44,"35-44",
HRData[[#This Row],[Age]]&lt;=54,"45-54",
HRData[[#This Row],[Age]]&gt;=55,"55+"
)</f>
        <v>45-54</v>
      </c>
      <c r="C367" t="s">
        <v>43</v>
      </c>
      <c r="D367">
        <f>IF(HRData[[#This Row],[Attrition]]="Yes",1,0)</f>
        <v>0</v>
      </c>
      <c r="E367" t="s">
        <v>55</v>
      </c>
      <c r="F367">
        <v>1144</v>
      </c>
      <c r="G367" t="s">
        <v>45</v>
      </c>
      <c r="H367">
        <v>7</v>
      </c>
      <c r="I367">
        <v>4</v>
      </c>
      <c r="J367" t="s">
        <v>51</v>
      </c>
      <c r="K367">
        <v>1</v>
      </c>
      <c r="L367">
        <v>487</v>
      </c>
      <c r="M367">
        <v>3</v>
      </c>
      <c r="N367" t="str" cm="1">
        <f t="array" ref="N367">_xlfn.IFS(HRData[[#This Row],[EnvironmentSatisfaction]]=1,"Very Dissatisfied",
HRData[[#This Row],[EnvironmentSatisfaction]]=2,"Dissatisfied",
HRData[[#This Row],[EnvironmentSatisfaction]]=3,"Satisfied",
HRData[[#This Row],[EnvironmentSatisfaction]]=4,"Very Satisfied"
)</f>
        <v>Satisfied</v>
      </c>
      <c r="O367" t="s">
        <v>39</v>
      </c>
      <c r="P367">
        <v>30</v>
      </c>
      <c r="Q367">
        <v>3</v>
      </c>
      <c r="R367">
        <v>2</v>
      </c>
      <c r="S367" t="s">
        <v>53</v>
      </c>
      <c r="T367">
        <v>3</v>
      </c>
      <c r="U367" t="str" cm="1">
        <f t="array" ref="U367">_xlfn.IFS(
HRData[[#This Row],[JobSatisfaction]]=1,"Very Dissatisfied",
HRData[[#This Row],[JobSatisfaction]]=2,"Dissatisfied",
HRData[[#This Row],[JobSatisfaction]]=3,"Satisfied",
HRData[[#This Row],[JobSatisfaction]]=4,"Very Satisfied"
)</f>
        <v>Satisfied</v>
      </c>
      <c r="V367" t="s">
        <v>48</v>
      </c>
      <c r="W367">
        <v>5258</v>
      </c>
      <c r="X367" t="str" cm="1">
        <f t="array" ref="X367">_xlfn.IFS(
HRData[[#This Row],[MonthlyIncome]]&lt;=4000,"Very Low Income",
HRData[[#This Row],[MonthlyIncome]]&lt;=8000,"Low Income",
HRData[[#This Row],[MonthlyIncome]]&lt;=12000,"Moderate Income",
HRData[[#This Row],[MonthlyIncome]]&lt;=16000,"High Income",
HRData[[#This Row],[MonthlyIncome]]&gt;16000,"Very High Income"
)</f>
        <v>Low Income</v>
      </c>
      <c r="Y367">
        <v>16044</v>
      </c>
      <c r="Z367">
        <v>2</v>
      </c>
      <c r="AA367" t="s">
        <v>42</v>
      </c>
      <c r="AB367" t="s">
        <v>43</v>
      </c>
      <c r="AC367">
        <v>14</v>
      </c>
      <c r="AD367" t="str" cm="1">
        <f t="array" ref="AD367">_xlfn.IFS(HRData[[#This Row],[PercentSalaryHike]]&lt;=15,"11-15",HRData[[#This Row],[PercentSalaryHike]]&lt;=20,"16-20",HRData[[#This Row],[PercentSalaryHike]]&gt;=21,"21+")</f>
        <v>11-15</v>
      </c>
      <c r="AE367">
        <v>3</v>
      </c>
      <c r="AF367">
        <v>3</v>
      </c>
      <c r="AG367">
        <v>80</v>
      </c>
      <c r="AH367">
        <v>0</v>
      </c>
      <c r="AI367">
        <v>7</v>
      </c>
      <c r="AJ367">
        <v>2</v>
      </c>
      <c r="AK367">
        <v>4</v>
      </c>
      <c r="AL367">
        <v>1</v>
      </c>
      <c r="AM367">
        <v>0</v>
      </c>
      <c r="AN367">
        <v>0</v>
      </c>
      <c r="AO367">
        <v>0</v>
      </c>
      <c r="AP36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367" t="str">
        <f>IF(HRData[[#This Row],[Attrition]]="Yes","Left", IF(HRData[[#This Row],[Attrition_Risk_Score]]&gt;=6,"High",IF(HRData[[#This Row],[Attrition_Risk_Score]]&gt;=3,"Medium","Low")))</f>
        <v>Low</v>
      </c>
      <c r="AR367" t="str">
        <f>IF(HRData[[#This Row],[Attrition_Risk_Level]]&lt;&gt;"High","",HRData[[#This Row],[Attrition_Risk_Score]]*10000-HRData[[#This Row],[EmployeeNumber]])</f>
        <v/>
      </c>
    </row>
    <row r="368" spans="1:44">
      <c r="A368">
        <v>41</v>
      </c>
      <c r="B368" t="str" cm="1">
        <f t="array" ref="B368">_xlfn.IFS(
HRData[[#This Row],[Age]]&lt;=24,"18-24",
HRData[[#This Row],[Age]]&lt;=34,"25-34",
HRData[[#This Row],[Age]]&lt;=44,"35-44",
HRData[[#This Row],[Age]]&lt;=54,"45-54",
HRData[[#This Row],[Age]]&gt;=55,"55+"
)</f>
        <v>35-44</v>
      </c>
      <c r="C368" t="s">
        <v>35</v>
      </c>
      <c r="D368">
        <f>IF(HRData[[#This Row],[Attrition]]="Yes",1,0)</f>
        <v>1</v>
      </c>
      <c r="E368" t="s">
        <v>44</v>
      </c>
      <c r="F368">
        <v>143</v>
      </c>
      <c r="G368" t="s">
        <v>37</v>
      </c>
      <c r="H368">
        <v>4</v>
      </c>
      <c r="I368">
        <v>3</v>
      </c>
      <c r="J368" t="s">
        <v>59</v>
      </c>
      <c r="K368">
        <v>1</v>
      </c>
      <c r="L368">
        <v>488</v>
      </c>
      <c r="M368">
        <v>1</v>
      </c>
      <c r="N368" t="str" cm="1">
        <f t="array" ref="N368">_xlfn.IFS(HRData[[#This Row],[EnvironmentSatisfaction]]=1,"Very Dissatisfied",
HRData[[#This Row],[EnvironmentSatisfaction]]=2,"Dissatisfied",
HRData[[#This Row],[EnvironmentSatisfaction]]=3,"Satisfied",
HRData[[#This Row],[EnvironmentSatisfaction]]=4,"Very Satisfied"
)</f>
        <v>Very Dissatisfied</v>
      </c>
      <c r="O368" t="s">
        <v>46</v>
      </c>
      <c r="P368">
        <v>56</v>
      </c>
      <c r="Q368">
        <v>3</v>
      </c>
      <c r="R368">
        <v>2</v>
      </c>
      <c r="S368" t="s">
        <v>40</v>
      </c>
      <c r="T368">
        <v>2</v>
      </c>
      <c r="U368" t="str" cm="1">
        <f t="array" ref="U368">_xlfn.IFS(
HRData[[#This Row],[JobSatisfaction]]=1,"Very Dissatisfied",
HRData[[#This Row],[JobSatisfaction]]=2,"Dissatisfied",
HRData[[#This Row],[JobSatisfaction]]=3,"Satisfied",
HRData[[#This Row],[JobSatisfaction]]=4,"Very Satisfied"
)</f>
        <v>Dissatisfied</v>
      </c>
      <c r="V368" t="s">
        <v>41</v>
      </c>
      <c r="W368">
        <v>9355</v>
      </c>
      <c r="X368" t="str" cm="1">
        <f t="array" ref="X368">_xlfn.IFS(
HRData[[#This Row],[MonthlyIncome]]&lt;=4000,"Very Low Income",
HRData[[#This Row],[MonthlyIncome]]&lt;=8000,"Low Income",
HRData[[#This Row],[MonthlyIncome]]&lt;=12000,"Moderate Income",
HRData[[#This Row],[MonthlyIncome]]&lt;=16000,"High Income",
HRData[[#This Row],[MonthlyIncome]]&gt;16000,"Very High Income"
)</f>
        <v>Moderate Income</v>
      </c>
      <c r="Y368">
        <v>9558</v>
      </c>
      <c r="Z368">
        <v>1</v>
      </c>
      <c r="AA368" t="s">
        <v>42</v>
      </c>
      <c r="AB368" t="s">
        <v>43</v>
      </c>
      <c r="AC368">
        <v>18</v>
      </c>
      <c r="AD368" t="str" cm="1">
        <f t="array" ref="AD368">_xlfn.IFS(HRData[[#This Row],[PercentSalaryHike]]&lt;=15,"11-15",HRData[[#This Row],[PercentSalaryHike]]&lt;=20,"16-20",HRData[[#This Row],[PercentSalaryHike]]&gt;=21,"21+")</f>
        <v>16-20</v>
      </c>
      <c r="AE368">
        <v>3</v>
      </c>
      <c r="AF368">
        <v>3</v>
      </c>
      <c r="AG368">
        <v>80</v>
      </c>
      <c r="AH368">
        <v>0</v>
      </c>
      <c r="AI368">
        <v>8</v>
      </c>
      <c r="AJ368">
        <v>5</v>
      </c>
      <c r="AK368">
        <v>3</v>
      </c>
      <c r="AL368">
        <v>8</v>
      </c>
      <c r="AM368">
        <v>7</v>
      </c>
      <c r="AN368">
        <v>7</v>
      </c>
      <c r="AO368">
        <v>7</v>
      </c>
      <c r="AP36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368" t="str">
        <f>IF(HRData[[#This Row],[Attrition]]="Yes","Left", IF(HRData[[#This Row],[Attrition_Risk_Score]]&gt;=6,"High",IF(HRData[[#This Row],[Attrition_Risk_Score]]&gt;=3,"Medium","Low")))</f>
        <v>Left</v>
      </c>
      <c r="AR368" t="str">
        <f>IF(HRData[[#This Row],[Attrition_Risk_Level]]&lt;&gt;"High","",HRData[[#This Row],[Attrition_Risk_Score]]*10000-HRData[[#This Row],[EmployeeNumber]])</f>
        <v/>
      </c>
    </row>
    <row r="369" spans="1:44">
      <c r="A369">
        <v>50</v>
      </c>
      <c r="B369" t="str" cm="1">
        <f t="array" ref="B369">_xlfn.IFS(
HRData[[#This Row],[Age]]&lt;=24,"18-24",
HRData[[#This Row],[Age]]&lt;=34,"25-34",
HRData[[#This Row],[Age]]&lt;=44,"35-44",
HRData[[#This Row],[Age]]&lt;=54,"45-54",
HRData[[#This Row],[Age]]&gt;=55,"55+"
)</f>
        <v>45-54</v>
      </c>
      <c r="C369" t="s">
        <v>43</v>
      </c>
      <c r="D369">
        <f>IF(HRData[[#This Row],[Attrition]]="Yes",1,0)</f>
        <v>0</v>
      </c>
      <c r="E369" t="s">
        <v>36</v>
      </c>
      <c r="F369">
        <v>1046</v>
      </c>
      <c r="G369" t="s">
        <v>45</v>
      </c>
      <c r="H369">
        <v>10</v>
      </c>
      <c r="I369">
        <v>3</v>
      </c>
      <c r="J369" t="s">
        <v>60</v>
      </c>
      <c r="K369">
        <v>1</v>
      </c>
      <c r="L369">
        <v>491</v>
      </c>
      <c r="M369">
        <v>4</v>
      </c>
      <c r="N369" t="str" cm="1">
        <f t="array" ref="N369">_xlfn.IFS(HRData[[#This Row],[EnvironmentSatisfaction]]=1,"Very Dissatisfied",
HRData[[#This Row],[EnvironmentSatisfaction]]=2,"Dissatisfied",
HRData[[#This Row],[EnvironmentSatisfaction]]=3,"Satisfied",
HRData[[#This Row],[EnvironmentSatisfaction]]=4,"Very Satisfied"
)</f>
        <v>Very Satisfied</v>
      </c>
      <c r="O369" t="s">
        <v>46</v>
      </c>
      <c r="P369">
        <v>100</v>
      </c>
      <c r="Q369">
        <v>2</v>
      </c>
      <c r="R369">
        <v>3</v>
      </c>
      <c r="S369" t="s">
        <v>54</v>
      </c>
      <c r="T369">
        <v>4</v>
      </c>
      <c r="U369" t="str" cm="1">
        <f t="array" ref="U369">_xlfn.IFS(
HRData[[#This Row],[JobSatisfaction]]=1,"Very Dissatisfied",
HRData[[#This Row],[JobSatisfaction]]=2,"Dissatisfied",
HRData[[#This Row],[JobSatisfaction]]=3,"Satisfied",
HRData[[#This Row],[JobSatisfaction]]=4,"Very Satisfied"
)</f>
        <v>Very Satisfied</v>
      </c>
      <c r="V369" t="s">
        <v>41</v>
      </c>
      <c r="W369">
        <v>10496</v>
      </c>
      <c r="X369" t="str" cm="1">
        <f t="array" ref="X369">_xlfn.IFS(
HRData[[#This Row],[MonthlyIncome]]&lt;=4000,"Very Low Income",
HRData[[#This Row],[MonthlyIncome]]&lt;=8000,"Low Income",
HRData[[#This Row],[MonthlyIncome]]&lt;=12000,"Moderate Income",
HRData[[#This Row],[MonthlyIncome]]&lt;=16000,"High Income",
HRData[[#This Row],[MonthlyIncome]]&gt;16000,"Very High Income"
)</f>
        <v>Moderate Income</v>
      </c>
      <c r="Y369">
        <v>2755</v>
      </c>
      <c r="Z369">
        <v>6</v>
      </c>
      <c r="AA369" t="s">
        <v>42</v>
      </c>
      <c r="AB369" t="s">
        <v>43</v>
      </c>
      <c r="AC369">
        <v>15</v>
      </c>
      <c r="AD369" t="str" cm="1">
        <f t="array" ref="AD369">_xlfn.IFS(HRData[[#This Row],[PercentSalaryHike]]&lt;=15,"11-15",HRData[[#This Row],[PercentSalaryHike]]&lt;=20,"16-20",HRData[[#This Row],[PercentSalaryHike]]&gt;=21,"21+")</f>
        <v>11-15</v>
      </c>
      <c r="AE369">
        <v>3</v>
      </c>
      <c r="AF369">
        <v>4</v>
      </c>
      <c r="AG369">
        <v>80</v>
      </c>
      <c r="AH369">
        <v>0</v>
      </c>
      <c r="AI369">
        <v>20</v>
      </c>
      <c r="AJ369">
        <v>2</v>
      </c>
      <c r="AK369">
        <v>3</v>
      </c>
      <c r="AL369">
        <v>4</v>
      </c>
      <c r="AM369">
        <v>3</v>
      </c>
      <c r="AN369">
        <v>1</v>
      </c>
      <c r="AO369">
        <v>3</v>
      </c>
      <c r="AP36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369" t="str">
        <f>IF(HRData[[#This Row],[Attrition]]="Yes","Left", IF(HRData[[#This Row],[Attrition_Risk_Score]]&gt;=6,"High",IF(HRData[[#This Row],[Attrition_Risk_Score]]&gt;=3,"Medium","Low")))</f>
        <v>Low</v>
      </c>
      <c r="AR369" t="str">
        <f>IF(HRData[[#This Row],[Attrition_Risk_Level]]&lt;&gt;"High","",HRData[[#This Row],[Attrition_Risk_Score]]*10000-HRData[[#This Row],[EmployeeNumber]])</f>
        <v/>
      </c>
    </row>
    <row r="370" spans="1:44">
      <c r="A370">
        <v>40</v>
      </c>
      <c r="B370" t="str" cm="1">
        <f t="array" ref="B370">_xlfn.IFS(
HRData[[#This Row],[Age]]&lt;=24,"18-24",
HRData[[#This Row],[Age]]&lt;=34,"25-34",
HRData[[#This Row],[Age]]&lt;=44,"35-44",
HRData[[#This Row],[Age]]&lt;=54,"45-54",
HRData[[#This Row],[Age]]&gt;=55,"55+"
)</f>
        <v>35-44</v>
      </c>
      <c r="C370" t="s">
        <v>35</v>
      </c>
      <c r="D370">
        <f>IF(HRData[[#This Row],[Attrition]]="Yes",1,0)</f>
        <v>1</v>
      </c>
      <c r="E370" t="s">
        <v>36</v>
      </c>
      <c r="F370">
        <v>575</v>
      </c>
      <c r="G370" t="s">
        <v>37</v>
      </c>
      <c r="H370">
        <v>22</v>
      </c>
      <c r="I370">
        <v>2</v>
      </c>
      <c r="J370" t="s">
        <v>59</v>
      </c>
      <c r="K370">
        <v>1</v>
      </c>
      <c r="L370">
        <v>492</v>
      </c>
      <c r="M370">
        <v>3</v>
      </c>
      <c r="N370" t="str" cm="1">
        <f t="array" ref="N370">_xlfn.IFS(HRData[[#This Row],[EnvironmentSatisfaction]]=1,"Very Dissatisfied",
HRData[[#This Row],[EnvironmentSatisfaction]]=2,"Dissatisfied",
HRData[[#This Row],[EnvironmentSatisfaction]]=3,"Satisfied",
HRData[[#This Row],[EnvironmentSatisfaction]]=4,"Very Satisfied"
)</f>
        <v>Satisfied</v>
      </c>
      <c r="O370" t="s">
        <v>46</v>
      </c>
      <c r="P370">
        <v>68</v>
      </c>
      <c r="Q370">
        <v>2</v>
      </c>
      <c r="R370">
        <v>2</v>
      </c>
      <c r="S370" t="s">
        <v>40</v>
      </c>
      <c r="T370">
        <v>3</v>
      </c>
      <c r="U370" t="str" cm="1">
        <f t="array" ref="U370">_xlfn.IFS(
HRData[[#This Row],[JobSatisfaction]]=1,"Very Dissatisfied",
HRData[[#This Row],[JobSatisfaction]]=2,"Dissatisfied",
HRData[[#This Row],[JobSatisfaction]]=3,"Satisfied",
HRData[[#This Row],[JobSatisfaction]]=4,"Very Satisfied"
)</f>
        <v>Satisfied</v>
      </c>
      <c r="V370" t="s">
        <v>48</v>
      </c>
      <c r="W370">
        <v>6380</v>
      </c>
      <c r="X370" t="str" cm="1">
        <f t="array" ref="X370">_xlfn.IFS(
HRData[[#This Row],[MonthlyIncome]]&lt;=4000,"Very Low Income",
HRData[[#This Row],[MonthlyIncome]]&lt;=8000,"Low Income",
HRData[[#This Row],[MonthlyIncome]]&lt;=12000,"Moderate Income",
HRData[[#This Row],[MonthlyIncome]]&lt;=16000,"High Income",
HRData[[#This Row],[MonthlyIncome]]&gt;16000,"Very High Income"
)</f>
        <v>Low Income</v>
      </c>
      <c r="Y370">
        <v>6110</v>
      </c>
      <c r="Z370">
        <v>2</v>
      </c>
      <c r="AA370" t="s">
        <v>42</v>
      </c>
      <c r="AB370" t="s">
        <v>35</v>
      </c>
      <c r="AC370">
        <v>12</v>
      </c>
      <c r="AD370" t="str" cm="1">
        <f t="array" ref="AD370">_xlfn.IFS(HRData[[#This Row],[PercentSalaryHike]]&lt;=15,"11-15",HRData[[#This Row],[PercentSalaryHike]]&lt;=20,"16-20",HRData[[#This Row],[PercentSalaryHike]]&gt;=21,"21+")</f>
        <v>11-15</v>
      </c>
      <c r="AE370">
        <v>3</v>
      </c>
      <c r="AF370">
        <v>1</v>
      </c>
      <c r="AG370">
        <v>80</v>
      </c>
      <c r="AH370">
        <v>2</v>
      </c>
      <c r="AI370">
        <v>8</v>
      </c>
      <c r="AJ370">
        <v>6</v>
      </c>
      <c r="AK370">
        <v>3</v>
      </c>
      <c r="AL370">
        <v>6</v>
      </c>
      <c r="AM370">
        <v>4</v>
      </c>
      <c r="AN370">
        <v>1</v>
      </c>
      <c r="AO370">
        <v>0</v>
      </c>
      <c r="AP37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370" t="str">
        <f>IF(HRData[[#This Row],[Attrition]]="Yes","Left", IF(HRData[[#This Row],[Attrition_Risk_Score]]&gt;=6,"High",IF(HRData[[#This Row],[Attrition_Risk_Score]]&gt;=3,"Medium","Low")))</f>
        <v>Left</v>
      </c>
      <c r="AR370" t="str">
        <f>IF(HRData[[#This Row],[Attrition_Risk_Level]]&lt;&gt;"High","",HRData[[#This Row],[Attrition_Risk_Score]]*10000-HRData[[#This Row],[EmployeeNumber]])</f>
        <v/>
      </c>
    </row>
    <row r="371" spans="1:44">
      <c r="A371">
        <v>31</v>
      </c>
      <c r="B371" t="str" cm="1">
        <f t="array" ref="B371">_xlfn.IFS(
HRData[[#This Row],[Age]]&lt;=24,"18-24",
HRData[[#This Row],[Age]]&lt;=34,"25-34",
HRData[[#This Row],[Age]]&lt;=44,"35-44",
HRData[[#This Row],[Age]]&lt;=54,"45-54",
HRData[[#This Row],[Age]]&gt;=55,"55+"
)</f>
        <v>25-34</v>
      </c>
      <c r="C371" t="s">
        <v>43</v>
      </c>
      <c r="D371">
        <f>IF(HRData[[#This Row],[Attrition]]="Yes",1,0)</f>
        <v>0</v>
      </c>
      <c r="E371" t="s">
        <v>36</v>
      </c>
      <c r="F371">
        <v>408</v>
      </c>
      <c r="G371" t="s">
        <v>45</v>
      </c>
      <c r="H371">
        <v>9</v>
      </c>
      <c r="I371">
        <v>4</v>
      </c>
      <c r="J371" t="s">
        <v>38</v>
      </c>
      <c r="K371">
        <v>1</v>
      </c>
      <c r="L371">
        <v>493</v>
      </c>
      <c r="M371">
        <v>3</v>
      </c>
      <c r="N371" t="str" cm="1">
        <f t="array" ref="N371">_xlfn.IFS(HRData[[#This Row],[EnvironmentSatisfaction]]=1,"Very Dissatisfied",
HRData[[#This Row],[EnvironmentSatisfaction]]=2,"Dissatisfied",
HRData[[#This Row],[EnvironmentSatisfaction]]=3,"Satisfied",
HRData[[#This Row],[EnvironmentSatisfaction]]=4,"Very Satisfied"
)</f>
        <v>Satisfied</v>
      </c>
      <c r="O371" t="s">
        <v>46</v>
      </c>
      <c r="P371">
        <v>42</v>
      </c>
      <c r="Q371">
        <v>2</v>
      </c>
      <c r="R371">
        <v>1</v>
      </c>
      <c r="S371" t="s">
        <v>47</v>
      </c>
      <c r="T371">
        <v>2</v>
      </c>
      <c r="U371" t="str" cm="1">
        <f t="array" ref="U371">_xlfn.IFS(
HRData[[#This Row],[JobSatisfaction]]=1,"Very Dissatisfied",
HRData[[#This Row],[JobSatisfaction]]=2,"Dissatisfied",
HRData[[#This Row],[JobSatisfaction]]=3,"Satisfied",
HRData[[#This Row],[JobSatisfaction]]=4,"Very Satisfied"
)</f>
        <v>Dissatisfied</v>
      </c>
      <c r="V371" t="s">
        <v>41</v>
      </c>
      <c r="W371">
        <v>2657</v>
      </c>
      <c r="X371" t="str" cm="1">
        <f t="array" ref="X371">_xlfn.IFS(
HRData[[#This Row],[MonthlyIncome]]&lt;=4000,"Very Low Income",
HRData[[#This Row],[MonthlyIncome]]&lt;=8000,"Low Income",
HRData[[#This Row],[MonthlyIncome]]&lt;=12000,"Moderate Income",
HRData[[#This Row],[MonthlyIncome]]&lt;=16000,"High Income",
HRData[[#This Row],[MonthlyIncome]]&gt;16000,"Very High Income"
)</f>
        <v>Very Low Income</v>
      </c>
      <c r="Y371">
        <v>7551</v>
      </c>
      <c r="Z371">
        <v>0</v>
      </c>
      <c r="AA371" t="s">
        <v>42</v>
      </c>
      <c r="AB371" t="s">
        <v>35</v>
      </c>
      <c r="AC371">
        <v>16</v>
      </c>
      <c r="AD371" t="str" cm="1">
        <f t="array" ref="AD371">_xlfn.IFS(HRData[[#This Row],[PercentSalaryHike]]&lt;=15,"11-15",HRData[[#This Row],[PercentSalaryHike]]&lt;=20,"16-20",HRData[[#This Row],[PercentSalaryHike]]&gt;=21,"21+")</f>
        <v>16-20</v>
      </c>
      <c r="AE371">
        <v>3</v>
      </c>
      <c r="AF371">
        <v>4</v>
      </c>
      <c r="AG371">
        <v>80</v>
      </c>
      <c r="AH371">
        <v>0</v>
      </c>
      <c r="AI371">
        <v>3</v>
      </c>
      <c r="AJ371">
        <v>5</v>
      </c>
      <c r="AK371">
        <v>3</v>
      </c>
      <c r="AL371">
        <v>2</v>
      </c>
      <c r="AM371">
        <v>2</v>
      </c>
      <c r="AN371">
        <v>2</v>
      </c>
      <c r="AO371">
        <v>2</v>
      </c>
      <c r="AP37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371" t="str">
        <f>IF(HRData[[#This Row],[Attrition]]="Yes","Left", IF(HRData[[#This Row],[Attrition_Risk_Score]]&gt;=6,"High",IF(HRData[[#This Row],[Attrition_Risk_Score]]&gt;=3,"Medium","Low")))</f>
        <v>Medium</v>
      </c>
      <c r="AR371" t="str">
        <f>IF(HRData[[#This Row],[Attrition_Risk_Level]]&lt;&gt;"High","",HRData[[#This Row],[Attrition_Risk_Score]]*10000-HRData[[#This Row],[EmployeeNumber]])</f>
        <v/>
      </c>
    </row>
    <row r="372" spans="1:44">
      <c r="A372">
        <v>21</v>
      </c>
      <c r="B372" t="str" cm="1">
        <f t="array" ref="B372">_xlfn.IFS(
HRData[[#This Row],[Age]]&lt;=24,"18-24",
HRData[[#This Row],[Age]]&lt;=34,"25-34",
HRData[[#This Row],[Age]]&lt;=44,"35-44",
HRData[[#This Row],[Age]]&lt;=54,"45-54",
HRData[[#This Row],[Age]]&gt;=55,"55+"
)</f>
        <v>18-24</v>
      </c>
      <c r="C372" t="s">
        <v>35</v>
      </c>
      <c r="D372">
        <f>IF(HRData[[#This Row],[Attrition]]="Yes",1,0)</f>
        <v>1</v>
      </c>
      <c r="E372" t="s">
        <v>36</v>
      </c>
      <c r="F372">
        <v>156</v>
      </c>
      <c r="G372" t="s">
        <v>37</v>
      </c>
      <c r="H372">
        <v>12</v>
      </c>
      <c r="I372">
        <v>3</v>
      </c>
      <c r="J372" t="s">
        <v>38</v>
      </c>
      <c r="K372">
        <v>1</v>
      </c>
      <c r="L372">
        <v>494</v>
      </c>
      <c r="M372">
        <v>3</v>
      </c>
      <c r="N372" t="str" cm="1">
        <f t="array" ref="N372">_xlfn.IFS(HRData[[#This Row],[EnvironmentSatisfaction]]=1,"Very Dissatisfied",
HRData[[#This Row],[EnvironmentSatisfaction]]=2,"Dissatisfied",
HRData[[#This Row],[EnvironmentSatisfaction]]=3,"Satisfied",
HRData[[#This Row],[EnvironmentSatisfaction]]=4,"Very Satisfied"
)</f>
        <v>Satisfied</v>
      </c>
      <c r="O372" t="s">
        <v>39</v>
      </c>
      <c r="P372">
        <v>90</v>
      </c>
      <c r="Q372">
        <v>4</v>
      </c>
      <c r="R372">
        <v>1</v>
      </c>
      <c r="S372" t="s">
        <v>57</v>
      </c>
      <c r="T372">
        <v>2</v>
      </c>
      <c r="U372" t="str" cm="1">
        <f t="array" ref="U372">_xlfn.IFS(
HRData[[#This Row],[JobSatisfaction]]=1,"Very Dissatisfied",
HRData[[#This Row],[JobSatisfaction]]=2,"Dissatisfied",
HRData[[#This Row],[JobSatisfaction]]=3,"Satisfied",
HRData[[#This Row],[JobSatisfaction]]=4,"Very Satisfied"
)</f>
        <v>Dissatisfied</v>
      </c>
      <c r="V372" t="s">
        <v>41</v>
      </c>
      <c r="W372">
        <v>2716</v>
      </c>
      <c r="X372" t="str" cm="1">
        <f t="array" ref="X372">_xlfn.IFS(
HRData[[#This Row],[MonthlyIncome]]&lt;=4000,"Very Low Income",
HRData[[#This Row],[MonthlyIncome]]&lt;=8000,"Low Income",
HRData[[#This Row],[MonthlyIncome]]&lt;=12000,"Moderate Income",
HRData[[#This Row],[MonthlyIncome]]&lt;=16000,"High Income",
HRData[[#This Row],[MonthlyIncome]]&gt;16000,"Very High Income"
)</f>
        <v>Very Low Income</v>
      </c>
      <c r="Y372">
        <v>25422</v>
      </c>
      <c r="Z372">
        <v>1</v>
      </c>
      <c r="AA372" t="s">
        <v>42</v>
      </c>
      <c r="AB372" t="s">
        <v>43</v>
      </c>
      <c r="AC372">
        <v>15</v>
      </c>
      <c r="AD372" t="str" cm="1">
        <f t="array" ref="AD372">_xlfn.IFS(HRData[[#This Row],[PercentSalaryHike]]&lt;=15,"11-15",HRData[[#This Row],[PercentSalaryHike]]&lt;=20,"16-20",HRData[[#This Row],[PercentSalaryHike]]&gt;=21,"21+")</f>
        <v>11-15</v>
      </c>
      <c r="AE372">
        <v>3</v>
      </c>
      <c r="AF372">
        <v>4</v>
      </c>
      <c r="AG372">
        <v>80</v>
      </c>
      <c r="AH372">
        <v>0</v>
      </c>
      <c r="AI372">
        <v>1</v>
      </c>
      <c r="AJ372">
        <v>0</v>
      </c>
      <c r="AK372">
        <v>3</v>
      </c>
      <c r="AL372">
        <v>1</v>
      </c>
      <c r="AM372">
        <v>0</v>
      </c>
      <c r="AN372">
        <v>0</v>
      </c>
      <c r="AO372">
        <v>0</v>
      </c>
      <c r="AP37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372" t="str">
        <f>IF(HRData[[#This Row],[Attrition]]="Yes","Left", IF(HRData[[#This Row],[Attrition_Risk_Score]]&gt;=6,"High",IF(HRData[[#This Row],[Attrition_Risk_Score]]&gt;=3,"Medium","Low")))</f>
        <v>Left</v>
      </c>
      <c r="AR372" t="str">
        <f>IF(HRData[[#This Row],[Attrition_Risk_Level]]&lt;&gt;"High","",HRData[[#This Row],[Attrition_Risk_Score]]*10000-HRData[[#This Row],[EmployeeNumber]])</f>
        <v/>
      </c>
    </row>
    <row r="373" spans="1:44">
      <c r="A373">
        <v>29</v>
      </c>
      <c r="B373" t="str" cm="1">
        <f t="array" ref="B373">_xlfn.IFS(
HRData[[#This Row],[Age]]&lt;=24,"18-24",
HRData[[#This Row],[Age]]&lt;=34,"25-34",
HRData[[#This Row],[Age]]&lt;=44,"35-44",
HRData[[#This Row],[Age]]&lt;=54,"45-54",
HRData[[#This Row],[Age]]&gt;=55,"55+"
)</f>
        <v>25-34</v>
      </c>
      <c r="C373" t="s">
        <v>43</v>
      </c>
      <c r="D373">
        <f>IF(HRData[[#This Row],[Attrition]]="Yes",1,0)</f>
        <v>0</v>
      </c>
      <c r="E373" t="s">
        <v>36</v>
      </c>
      <c r="F373">
        <v>1283</v>
      </c>
      <c r="G373" t="s">
        <v>45</v>
      </c>
      <c r="H373">
        <v>23</v>
      </c>
      <c r="I373">
        <v>3</v>
      </c>
      <c r="J373" t="s">
        <v>38</v>
      </c>
      <c r="K373">
        <v>1</v>
      </c>
      <c r="L373">
        <v>495</v>
      </c>
      <c r="M373">
        <v>4</v>
      </c>
      <c r="N373" t="str" cm="1">
        <f t="array" ref="N373">_xlfn.IFS(HRData[[#This Row],[EnvironmentSatisfaction]]=1,"Very Dissatisfied",
HRData[[#This Row],[EnvironmentSatisfaction]]=2,"Dissatisfied",
HRData[[#This Row],[EnvironmentSatisfaction]]=3,"Satisfied",
HRData[[#This Row],[EnvironmentSatisfaction]]=4,"Very Satisfied"
)</f>
        <v>Very Satisfied</v>
      </c>
      <c r="O373" t="s">
        <v>46</v>
      </c>
      <c r="P373">
        <v>54</v>
      </c>
      <c r="Q373">
        <v>3</v>
      </c>
      <c r="R373">
        <v>1</v>
      </c>
      <c r="S373" t="s">
        <v>47</v>
      </c>
      <c r="T373">
        <v>4</v>
      </c>
      <c r="U373" t="str" cm="1">
        <f t="array" ref="U373">_xlfn.IFS(
HRData[[#This Row],[JobSatisfaction]]=1,"Very Dissatisfied",
HRData[[#This Row],[JobSatisfaction]]=2,"Dissatisfied",
HRData[[#This Row],[JobSatisfaction]]=3,"Satisfied",
HRData[[#This Row],[JobSatisfaction]]=4,"Very Satisfied"
)</f>
        <v>Very Satisfied</v>
      </c>
      <c r="V373" t="s">
        <v>41</v>
      </c>
      <c r="W373">
        <v>2201</v>
      </c>
      <c r="X373" t="str" cm="1">
        <f t="array" ref="X373">_xlfn.IFS(
HRData[[#This Row],[MonthlyIncome]]&lt;=4000,"Very Low Income",
HRData[[#This Row],[MonthlyIncome]]&lt;=8000,"Low Income",
HRData[[#This Row],[MonthlyIncome]]&lt;=12000,"Moderate Income",
HRData[[#This Row],[MonthlyIncome]]&lt;=16000,"High Income",
HRData[[#This Row],[MonthlyIncome]]&gt;16000,"Very High Income"
)</f>
        <v>Very Low Income</v>
      </c>
      <c r="Y373">
        <v>18168</v>
      </c>
      <c r="Z373">
        <v>9</v>
      </c>
      <c r="AA373" t="s">
        <v>42</v>
      </c>
      <c r="AB373" t="s">
        <v>43</v>
      </c>
      <c r="AC373">
        <v>16</v>
      </c>
      <c r="AD373" t="str" cm="1">
        <f t="array" ref="AD373">_xlfn.IFS(HRData[[#This Row],[PercentSalaryHike]]&lt;=15,"11-15",HRData[[#This Row],[PercentSalaryHike]]&lt;=20,"16-20",HRData[[#This Row],[PercentSalaryHike]]&gt;=21,"21+")</f>
        <v>16-20</v>
      </c>
      <c r="AE373">
        <v>3</v>
      </c>
      <c r="AF373">
        <v>4</v>
      </c>
      <c r="AG373">
        <v>80</v>
      </c>
      <c r="AH373">
        <v>0</v>
      </c>
      <c r="AI373">
        <v>6</v>
      </c>
      <c r="AJ373">
        <v>4</v>
      </c>
      <c r="AK373">
        <v>3</v>
      </c>
      <c r="AL373">
        <v>3</v>
      </c>
      <c r="AM373">
        <v>2</v>
      </c>
      <c r="AN373">
        <v>1</v>
      </c>
      <c r="AO373">
        <v>2</v>
      </c>
      <c r="AP37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373" t="str">
        <f>IF(HRData[[#This Row],[Attrition]]="Yes","Left", IF(HRData[[#This Row],[Attrition_Risk_Score]]&gt;=6,"High",IF(HRData[[#This Row],[Attrition_Risk_Score]]&gt;=3,"Medium","Low")))</f>
        <v>Medium</v>
      </c>
      <c r="AR373" t="str">
        <f>IF(HRData[[#This Row],[Attrition_Risk_Level]]&lt;&gt;"High","",HRData[[#This Row],[Attrition_Risk_Score]]*10000-HRData[[#This Row],[EmployeeNumber]])</f>
        <v/>
      </c>
    </row>
    <row r="374" spans="1:44">
      <c r="A374">
        <v>35</v>
      </c>
      <c r="B374" t="str" cm="1">
        <f t="array" ref="B374">_xlfn.IFS(
HRData[[#This Row],[Age]]&lt;=24,"18-24",
HRData[[#This Row],[Age]]&lt;=34,"25-34",
HRData[[#This Row],[Age]]&lt;=44,"35-44",
HRData[[#This Row],[Age]]&lt;=54,"45-54",
HRData[[#This Row],[Age]]&gt;=55,"55+"
)</f>
        <v>35-44</v>
      </c>
      <c r="C374" t="s">
        <v>43</v>
      </c>
      <c r="D374">
        <f>IF(HRData[[#This Row],[Attrition]]="Yes",1,0)</f>
        <v>0</v>
      </c>
      <c r="E374" t="s">
        <v>36</v>
      </c>
      <c r="F374">
        <v>755</v>
      </c>
      <c r="G374" t="s">
        <v>45</v>
      </c>
      <c r="H374">
        <v>9</v>
      </c>
      <c r="I374">
        <v>4</v>
      </c>
      <c r="J374" t="s">
        <v>38</v>
      </c>
      <c r="K374">
        <v>1</v>
      </c>
      <c r="L374">
        <v>496</v>
      </c>
      <c r="M374">
        <v>3</v>
      </c>
      <c r="N374" t="str" cm="1">
        <f t="array" ref="N374">_xlfn.IFS(HRData[[#This Row],[EnvironmentSatisfaction]]=1,"Very Dissatisfied",
HRData[[#This Row],[EnvironmentSatisfaction]]=2,"Dissatisfied",
HRData[[#This Row],[EnvironmentSatisfaction]]=3,"Satisfied",
HRData[[#This Row],[EnvironmentSatisfaction]]=4,"Very Satisfied"
)</f>
        <v>Satisfied</v>
      </c>
      <c r="O374" t="s">
        <v>46</v>
      </c>
      <c r="P374">
        <v>97</v>
      </c>
      <c r="Q374">
        <v>2</v>
      </c>
      <c r="R374">
        <v>2</v>
      </c>
      <c r="S374" t="s">
        <v>54</v>
      </c>
      <c r="T374">
        <v>2</v>
      </c>
      <c r="U374" t="str" cm="1">
        <f t="array" ref="U374">_xlfn.IFS(
HRData[[#This Row],[JobSatisfaction]]=1,"Very Dissatisfied",
HRData[[#This Row],[JobSatisfaction]]=2,"Dissatisfied",
HRData[[#This Row],[JobSatisfaction]]=3,"Satisfied",
HRData[[#This Row],[JobSatisfaction]]=4,"Very Satisfied"
)</f>
        <v>Dissatisfied</v>
      </c>
      <c r="V374" t="s">
        <v>41</v>
      </c>
      <c r="W374">
        <v>6540</v>
      </c>
      <c r="X374" t="str" cm="1">
        <f t="array" ref="X374">_xlfn.IFS(
HRData[[#This Row],[MonthlyIncome]]&lt;=4000,"Very Low Income",
HRData[[#This Row],[MonthlyIncome]]&lt;=8000,"Low Income",
HRData[[#This Row],[MonthlyIncome]]&lt;=12000,"Moderate Income",
HRData[[#This Row],[MonthlyIncome]]&lt;=16000,"High Income",
HRData[[#This Row],[MonthlyIncome]]&gt;16000,"Very High Income"
)</f>
        <v>Low Income</v>
      </c>
      <c r="Y374">
        <v>19394</v>
      </c>
      <c r="Z374">
        <v>9</v>
      </c>
      <c r="AA374" t="s">
        <v>42</v>
      </c>
      <c r="AB374" t="s">
        <v>43</v>
      </c>
      <c r="AC374">
        <v>19</v>
      </c>
      <c r="AD374" t="str" cm="1">
        <f t="array" ref="AD374">_xlfn.IFS(HRData[[#This Row],[PercentSalaryHike]]&lt;=15,"11-15",HRData[[#This Row],[PercentSalaryHike]]&lt;=20,"16-20",HRData[[#This Row],[PercentSalaryHike]]&gt;=21,"21+")</f>
        <v>16-20</v>
      </c>
      <c r="AE374">
        <v>3</v>
      </c>
      <c r="AF374">
        <v>3</v>
      </c>
      <c r="AG374">
        <v>80</v>
      </c>
      <c r="AH374">
        <v>0</v>
      </c>
      <c r="AI374">
        <v>10</v>
      </c>
      <c r="AJ374">
        <v>5</v>
      </c>
      <c r="AK374">
        <v>3</v>
      </c>
      <c r="AL374">
        <v>1</v>
      </c>
      <c r="AM374">
        <v>1</v>
      </c>
      <c r="AN374">
        <v>0</v>
      </c>
      <c r="AO374">
        <v>0</v>
      </c>
      <c r="AP37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374" t="str">
        <f>IF(HRData[[#This Row],[Attrition]]="Yes","Left", IF(HRData[[#This Row],[Attrition_Risk_Score]]&gt;=6,"High",IF(HRData[[#This Row],[Attrition_Risk_Score]]&gt;=3,"Medium","Low")))</f>
        <v>Low</v>
      </c>
      <c r="AR374" t="str">
        <f>IF(HRData[[#This Row],[Attrition_Risk_Level]]&lt;&gt;"High","",HRData[[#This Row],[Attrition_Risk_Score]]*10000-HRData[[#This Row],[EmployeeNumber]])</f>
        <v/>
      </c>
    </row>
    <row r="375" spans="1:44">
      <c r="A375">
        <v>27</v>
      </c>
      <c r="B375" t="str" cm="1">
        <f t="array" ref="B375">_xlfn.IFS(
HRData[[#This Row],[Age]]&lt;=24,"18-24",
HRData[[#This Row],[Age]]&lt;=34,"25-34",
HRData[[#This Row],[Age]]&lt;=44,"35-44",
HRData[[#This Row],[Age]]&lt;=54,"45-54",
HRData[[#This Row],[Age]]&gt;=55,"55+"
)</f>
        <v>25-34</v>
      </c>
      <c r="C375" t="s">
        <v>43</v>
      </c>
      <c r="D375">
        <f>IF(HRData[[#This Row],[Attrition]]="Yes",1,0)</f>
        <v>0</v>
      </c>
      <c r="E375" t="s">
        <v>36</v>
      </c>
      <c r="F375">
        <v>1469</v>
      </c>
      <c r="G375" t="s">
        <v>45</v>
      </c>
      <c r="H375">
        <v>1</v>
      </c>
      <c r="I375">
        <v>2</v>
      </c>
      <c r="J375" t="s">
        <v>51</v>
      </c>
      <c r="K375">
        <v>1</v>
      </c>
      <c r="L375">
        <v>497</v>
      </c>
      <c r="M375">
        <v>4</v>
      </c>
      <c r="N375" t="str" cm="1">
        <f t="array" ref="N375">_xlfn.IFS(HRData[[#This Row],[EnvironmentSatisfaction]]=1,"Very Dissatisfied",
HRData[[#This Row],[EnvironmentSatisfaction]]=2,"Dissatisfied",
HRData[[#This Row],[EnvironmentSatisfaction]]=3,"Satisfied",
HRData[[#This Row],[EnvironmentSatisfaction]]=4,"Very Satisfied"
)</f>
        <v>Very Satisfied</v>
      </c>
      <c r="O375" t="s">
        <v>46</v>
      </c>
      <c r="P375">
        <v>82</v>
      </c>
      <c r="Q375">
        <v>3</v>
      </c>
      <c r="R375">
        <v>1</v>
      </c>
      <c r="S375" t="s">
        <v>50</v>
      </c>
      <c r="T375">
        <v>2</v>
      </c>
      <c r="U375" t="str" cm="1">
        <f t="array" ref="U375">_xlfn.IFS(
HRData[[#This Row],[JobSatisfaction]]=1,"Very Dissatisfied",
HRData[[#This Row],[JobSatisfaction]]=2,"Dissatisfied",
HRData[[#This Row],[JobSatisfaction]]=3,"Satisfied",
HRData[[#This Row],[JobSatisfaction]]=4,"Very Satisfied"
)</f>
        <v>Dissatisfied</v>
      </c>
      <c r="V375" t="s">
        <v>52</v>
      </c>
      <c r="W375">
        <v>3816</v>
      </c>
      <c r="X375" t="str" cm="1">
        <f t="array" ref="X375">_xlfn.IFS(
HRData[[#This Row],[MonthlyIncome]]&lt;=4000,"Very Low Income",
HRData[[#This Row],[MonthlyIncome]]&lt;=8000,"Low Income",
HRData[[#This Row],[MonthlyIncome]]&lt;=12000,"Moderate Income",
HRData[[#This Row],[MonthlyIncome]]&lt;=16000,"High Income",
HRData[[#This Row],[MonthlyIncome]]&gt;16000,"Very High Income"
)</f>
        <v>Very Low Income</v>
      </c>
      <c r="Y375">
        <v>17881</v>
      </c>
      <c r="Z375">
        <v>1</v>
      </c>
      <c r="AA375" t="s">
        <v>42</v>
      </c>
      <c r="AB375" t="s">
        <v>43</v>
      </c>
      <c r="AC375">
        <v>11</v>
      </c>
      <c r="AD375" t="str" cm="1">
        <f t="array" ref="AD375">_xlfn.IFS(HRData[[#This Row],[PercentSalaryHike]]&lt;=15,"11-15",HRData[[#This Row],[PercentSalaryHike]]&lt;=20,"16-20",HRData[[#This Row],[PercentSalaryHike]]&gt;=21,"21+")</f>
        <v>11-15</v>
      </c>
      <c r="AE375">
        <v>3</v>
      </c>
      <c r="AF375">
        <v>2</v>
      </c>
      <c r="AG375">
        <v>80</v>
      </c>
      <c r="AH375">
        <v>1</v>
      </c>
      <c r="AI375">
        <v>5</v>
      </c>
      <c r="AJ375">
        <v>2</v>
      </c>
      <c r="AK375">
        <v>3</v>
      </c>
      <c r="AL375">
        <v>5</v>
      </c>
      <c r="AM375">
        <v>2</v>
      </c>
      <c r="AN375">
        <v>0</v>
      </c>
      <c r="AO375">
        <v>4</v>
      </c>
      <c r="AP37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75" t="str">
        <f>IF(HRData[[#This Row],[Attrition]]="Yes","Left", IF(HRData[[#This Row],[Attrition_Risk_Score]]&gt;=6,"High",IF(HRData[[#This Row],[Attrition_Risk_Score]]&gt;=3,"Medium","Low")))</f>
        <v>Medium</v>
      </c>
      <c r="AR375" t="str">
        <f>IF(HRData[[#This Row],[Attrition_Risk_Level]]&lt;&gt;"High","",HRData[[#This Row],[Attrition_Risk_Score]]*10000-HRData[[#This Row],[EmployeeNumber]])</f>
        <v/>
      </c>
    </row>
    <row r="376" spans="1:44">
      <c r="A376">
        <v>28</v>
      </c>
      <c r="B376" t="str" cm="1">
        <f t="array" ref="B376">_xlfn.IFS(
HRData[[#This Row],[Age]]&lt;=24,"18-24",
HRData[[#This Row],[Age]]&lt;=34,"25-34",
HRData[[#This Row],[Age]]&lt;=44,"35-44",
HRData[[#This Row],[Age]]&lt;=54,"45-54",
HRData[[#This Row],[Age]]&gt;=55,"55+"
)</f>
        <v>25-34</v>
      </c>
      <c r="C376" t="s">
        <v>43</v>
      </c>
      <c r="D376">
        <f>IF(HRData[[#This Row],[Attrition]]="Yes",1,0)</f>
        <v>0</v>
      </c>
      <c r="E376" t="s">
        <v>36</v>
      </c>
      <c r="F376">
        <v>304</v>
      </c>
      <c r="G376" t="s">
        <v>37</v>
      </c>
      <c r="H376">
        <v>9</v>
      </c>
      <c r="I376">
        <v>4</v>
      </c>
      <c r="J376" t="s">
        <v>38</v>
      </c>
      <c r="K376">
        <v>1</v>
      </c>
      <c r="L376">
        <v>498</v>
      </c>
      <c r="M376">
        <v>2</v>
      </c>
      <c r="N376" t="str" cm="1">
        <f t="array" ref="N376">_xlfn.IFS(HRData[[#This Row],[EnvironmentSatisfaction]]=1,"Very Dissatisfied",
HRData[[#This Row],[EnvironmentSatisfaction]]=2,"Dissatisfied",
HRData[[#This Row],[EnvironmentSatisfaction]]=3,"Satisfied",
HRData[[#This Row],[EnvironmentSatisfaction]]=4,"Very Satisfied"
)</f>
        <v>Dissatisfied</v>
      </c>
      <c r="O376" t="s">
        <v>46</v>
      </c>
      <c r="P376">
        <v>92</v>
      </c>
      <c r="Q376">
        <v>3</v>
      </c>
      <c r="R376">
        <v>2</v>
      </c>
      <c r="S376" t="s">
        <v>40</v>
      </c>
      <c r="T376">
        <v>4</v>
      </c>
      <c r="U376" t="str" cm="1">
        <f t="array" ref="U376">_xlfn.IFS(
HRData[[#This Row],[JobSatisfaction]]=1,"Very Dissatisfied",
HRData[[#This Row],[JobSatisfaction]]=2,"Dissatisfied",
HRData[[#This Row],[JobSatisfaction]]=3,"Satisfied",
HRData[[#This Row],[JobSatisfaction]]=4,"Very Satisfied"
)</f>
        <v>Very Satisfied</v>
      </c>
      <c r="V376" t="s">
        <v>41</v>
      </c>
      <c r="W376">
        <v>5253</v>
      </c>
      <c r="X376" t="str" cm="1">
        <f t="array" ref="X376">_xlfn.IFS(
HRData[[#This Row],[MonthlyIncome]]&lt;=4000,"Very Low Income",
HRData[[#This Row],[MonthlyIncome]]&lt;=8000,"Low Income",
HRData[[#This Row],[MonthlyIncome]]&lt;=12000,"Moderate Income",
HRData[[#This Row],[MonthlyIncome]]&lt;=16000,"High Income",
HRData[[#This Row],[MonthlyIncome]]&gt;16000,"Very High Income"
)</f>
        <v>Low Income</v>
      </c>
      <c r="Y376">
        <v>20750</v>
      </c>
      <c r="Z376">
        <v>1</v>
      </c>
      <c r="AA376" t="s">
        <v>42</v>
      </c>
      <c r="AB376" t="s">
        <v>43</v>
      </c>
      <c r="AC376">
        <v>16</v>
      </c>
      <c r="AD376" t="str" cm="1">
        <f t="array" ref="AD376">_xlfn.IFS(HRData[[#This Row],[PercentSalaryHike]]&lt;=15,"11-15",HRData[[#This Row],[PercentSalaryHike]]&lt;=20,"16-20",HRData[[#This Row],[PercentSalaryHike]]&gt;=21,"21+")</f>
        <v>16-20</v>
      </c>
      <c r="AE376">
        <v>3</v>
      </c>
      <c r="AF376">
        <v>4</v>
      </c>
      <c r="AG376">
        <v>80</v>
      </c>
      <c r="AH376">
        <v>0</v>
      </c>
      <c r="AI376">
        <v>7</v>
      </c>
      <c r="AJ376">
        <v>1</v>
      </c>
      <c r="AK376">
        <v>3</v>
      </c>
      <c r="AL376">
        <v>7</v>
      </c>
      <c r="AM376">
        <v>5</v>
      </c>
      <c r="AN376">
        <v>0</v>
      </c>
      <c r="AO376">
        <v>7</v>
      </c>
      <c r="AP37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76" t="str">
        <f>IF(HRData[[#This Row],[Attrition]]="Yes","Left", IF(HRData[[#This Row],[Attrition_Risk_Score]]&gt;=6,"High",IF(HRData[[#This Row],[Attrition_Risk_Score]]&gt;=3,"Medium","Low")))</f>
        <v>Low</v>
      </c>
      <c r="AR376" t="str">
        <f>IF(HRData[[#This Row],[Attrition_Risk_Level]]&lt;&gt;"High","",HRData[[#This Row],[Attrition_Risk_Score]]*10000-HRData[[#This Row],[EmployeeNumber]])</f>
        <v/>
      </c>
    </row>
    <row r="377" spans="1:44">
      <c r="A377">
        <v>49</v>
      </c>
      <c r="B377" t="str" cm="1">
        <f t="array" ref="B377">_xlfn.IFS(
HRData[[#This Row],[Age]]&lt;=24,"18-24",
HRData[[#This Row],[Age]]&lt;=34,"25-34",
HRData[[#This Row],[Age]]&lt;=44,"35-44",
HRData[[#This Row],[Age]]&lt;=54,"45-54",
HRData[[#This Row],[Age]]&gt;=55,"55+"
)</f>
        <v>45-54</v>
      </c>
      <c r="C377" t="s">
        <v>43</v>
      </c>
      <c r="D377">
        <f>IF(HRData[[#This Row],[Attrition]]="Yes",1,0)</f>
        <v>0</v>
      </c>
      <c r="E377" t="s">
        <v>36</v>
      </c>
      <c r="F377">
        <v>1261</v>
      </c>
      <c r="G377" t="s">
        <v>45</v>
      </c>
      <c r="H377">
        <v>7</v>
      </c>
      <c r="I377">
        <v>3</v>
      </c>
      <c r="J377" t="s">
        <v>49</v>
      </c>
      <c r="K377">
        <v>1</v>
      </c>
      <c r="L377">
        <v>499</v>
      </c>
      <c r="M377">
        <v>2</v>
      </c>
      <c r="N377" t="str" cm="1">
        <f t="array" ref="N377">_xlfn.IFS(HRData[[#This Row],[EnvironmentSatisfaction]]=1,"Very Dissatisfied",
HRData[[#This Row],[EnvironmentSatisfaction]]=2,"Dissatisfied",
HRData[[#This Row],[EnvironmentSatisfaction]]=3,"Satisfied",
HRData[[#This Row],[EnvironmentSatisfaction]]=4,"Very Satisfied"
)</f>
        <v>Dissatisfied</v>
      </c>
      <c r="O377" t="s">
        <v>46</v>
      </c>
      <c r="P377">
        <v>31</v>
      </c>
      <c r="Q377">
        <v>2</v>
      </c>
      <c r="R377">
        <v>3</v>
      </c>
      <c r="S377" t="s">
        <v>54</v>
      </c>
      <c r="T377">
        <v>3</v>
      </c>
      <c r="U377" t="str" cm="1">
        <f t="array" ref="U377">_xlfn.IFS(
HRData[[#This Row],[JobSatisfaction]]=1,"Very Dissatisfied",
HRData[[#This Row],[JobSatisfaction]]=2,"Dissatisfied",
HRData[[#This Row],[JobSatisfaction]]=3,"Satisfied",
HRData[[#This Row],[JobSatisfaction]]=4,"Very Satisfied"
)</f>
        <v>Satisfied</v>
      </c>
      <c r="V377" t="s">
        <v>41</v>
      </c>
      <c r="W377">
        <v>10965</v>
      </c>
      <c r="X377" t="str" cm="1">
        <f t="array" ref="X377">_xlfn.IFS(
HRData[[#This Row],[MonthlyIncome]]&lt;=4000,"Very Low Income",
HRData[[#This Row],[MonthlyIncome]]&lt;=8000,"Low Income",
HRData[[#This Row],[MonthlyIncome]]&lt;=12000,"Moderate Income",
HRData[[#This Row],[MonthlyIncome]]&lt;=16000,"High Income",
HRData[[#This Row],[MonthlyIncome]]&gt;16000,"Very High Income"
)</f>
        <v>Moderate Income</v>
      </c>
      <c r="Y377">
        <v>12066</v>
      </c>
      <c r="Z377">
        <v>8</v>
      </c>
      <c r="AA377" t="s">
        <v>42</v>
      </c>
      <c r="AB377" t="s">
        <v>43</v>
      </c>
      <c r="AC377">
        <v>24</v>
      </c>
      <c r="AD377" t="str" cm="1">
        <f t="array" ref="AD377">_xlfn.IFS(HRData[[#This Row],[PercentSalaryHike]]&lt;=15,"11-15",HRData[[#This Row],[PercentSalaryHike]]&lt;=20,"16-20",HRData[[#This Row],[PercentSalaryHike]]&gt;=21,"21+")</f>
        <v>21+</v>
      </c>
      <c r="AE377">
        <v>4</v>
      </c>
      <c r="AF377">
        <v>3</v>
      </c>
      <c r="AG377">
        <v>80</v>
      </c>
      <c r="AH377">
        <v>0</v>
      </c>
      <c r="AI377">
        <v>26</v>
      </c>
      <c r="AJ377">
        <v>2</v>
      </c>
      <c r="AK377">
        <v>3</v>
      </c>
      <c r="AL377">
        <v>5</v>
      </c>
      <c r="AM377">
        <v>2</v>
      </c>
      <c r="AN377">
        <v>0</v>
      </c>
      <c r="AO377">
        <v>0</v>
      </c>
      <c r="AP37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377" t="str">
        <f>IF(HRData[[#This Row],[Attrition]]="Yes","Left", IF(HRData[[#This Row],[Attrition_Risk_Score]]&gt;=6,"High",IF(HRData[[#This Row],[Attrition_Risk_Score]]&gt;=3,"Medium","Low")))</f>
        <v>Low</v>
      </c>
      <c r="AR377" t="str">
        <f>IF(HRData[[#This Row],[Attrition_Risk_Level]]&lt;&gt;"High","",HRData[[#This Row],[Attrition_Risk_Score]]*10000-HRData[[#This Row],[EmployeeNumber]])</f>
        <v/>
      </c>
    </row>
    <row r="378" spans="1:44">
      <c r="A378">
        <v>51</v>
      </c>
      <c r="B378" t="str" cm="1">
        <f t="array" ref="B378">_xlfn.IFS(
HRData[[#This Row],[Age]]&lt;=24,"18-24",
HRData[[#This Row],[Age]]&lt;=34,"25-34",
HRData[[#This Row],[Age]]&lt;=44,"35-44",
HRData[[#This Row],[Age]]&lt;=54,"45-54",
HRData[[#This Row],[Age]]&gt;=55,"55+"
)</f>
        <v>45-54</v>
      </c>
      <c r="C378" t="s">
        <v>43</v>
      </c>
      <c r="D378">
        <f>IF(HRData[[#This Row],[Attrition]]="Yes",1,0)</f>
        <v>0</v>
      </c>
      <c r="E378" t="s">
        <v>36</v>
      </c>
      <c r="F378">
        <v>1178</v>
      </c>
      <c r="G378" t="s">
        <v>37</v>
      </c>
      <c r="H378">
        <v>14</v>
      </c>
      <c r="I378">
        <v>2</v>
      </c>
      <c r="J378" t="s">
        <v>38</v>
      </c>
      <c r="K378">
        <v>1</v>
      </c>
      <c r="L378">
        <v>500</v>
      </c>
      <c r="M378">
        <v>3</v>
      </c>
      <c r="N378" t="str" cm="1">
        <f t="array" ref="N378">_xlfn.IFS(HRData[[#This Row],[EnvironmentSatisfaction]]=1,"Very Dissatisfied",
HRData[[#This Row],[EnvironmentSatisfaction]]=2,"Dissatisfied",
HRData[[#This Row],[EnvironmentSatisfaction]]=3,"Satisfied",
HRData[[#This Row],[EnvironmentSatisfaction]]=4,"Very Satisfied"
)</f>
        <v>Satisfied</v>
      </c>
      <c r="O378" t="s">
        <v>39</v>
      </c>
      <c r="P378">
        <v>87</v>
      </c>
      <c r="Q378">
        <v>3</v>
      </c>
      <c r="R378">
        <v>2</v>
      </c>
      <c r="S378" t="s">
        <v>40</v>
      </c>
      <c r="T378">
        <v>4</v>
      </c>
      <c r="U378" t="str" cm="1">
        <f t="array" ref="U378">_xlfn.IFS(
HRData[[#This Row],[JobSatisfaction]]=1,"Very Dissatisfied",
HRData[[#This Row],[JobSatisfaction]]=2,"Dissatisfied",
HRData[[#This Row],[JobSatisfaction]]=3,"Satisfied",
HRData[[#This Row],[JobSatisfaction]]=4,"Very Satisfied"
)</f>
        <v>Very Satisfied</v>
      </c>
      <c r="V378" t="s">
        <v>48</v>
      </c>
      <c r="W378">
        <v>4936</v>
      </c>
      <c r="X378" t="str" cm="1">
        <f t="array" ref="X378">_xlfn.IFS(
HRData[[#This Row],[MonthlyIncome]]&lt;=4000,"Very Low Income",
HRData[[#This Row],[MonthlyIncome]]&lt;=8000,"Low Income",
HRData[[#This Row],[MonthlyIncome]]&lt;=12000,"Moderate Income",
HRData[[#This Row],[MonthlyIncome]]&lt;=16000,"High Income",
HRData[[#This Row],[MonthlyIncome]]&gt;16000,"Very High Income"
)</f>
        <v>Low Income</v>
      </c>
      <c r="Y378">
        <v>14862</v>
      </c>
      <c r="Z378">
        <v>4</v>
      </c>
      <c r="AA378" t="s">
        <v>42</v>
      </c>
      <c r="AB378" t="s">
        <v>43</v>
      </c>
      <c r="AC378">
        <v>11</v>
      </c>
      <c r="AD378" t="str" cm="1">
        <f t="array" ref="AD378">_xlfn.IFS(HRData[[#This Row],[PercentSalaryHike]]&lt;=15,"11-15",HRData[[#This Row],[PercentSalaryHike]]&lt;=20,"16-20",HRData[[#This Row],[PercentSalaryHike]]&gt;=21,"21+")</f>
        <v>11-15</v>
      </c>
      <c r="AE378">
        <v>3</v>
      </c>
      <c r="AF378">
        <v>3</v>
      </c>
      <c r="AG378">
        <v>80</v>
      </c>
      <c r="AH378">
        <v>1</v>
      </c>
      <c r="AI378">
        <v>18</v>
      </c>
      <c r="AJ378">
        <v>2</v>
      </c>
      <c r="AK378">
        <v>2</v>
      </c>
      <c r="AL378">
        <v>7</v>
      </c>
      <c r="AM378">
        <v>7</v>
      </c>
      <c r="AN378">
        <v>0</v>
      </c>
      <c r="AO378">
        <v>7</v>
      </c>
      <c r="AP37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378" t="str">
        <f>IF(HRData[[#This Row],[Attrition]]="Yes","Left", IF(HRData[[#This Row],[Attrition_Risk_Score]]&gt;=6,"High",IF(HRData[[#This Row],[Attrition_Risk_Score]]&gt;=3,"Medium","Low")))</f>
        <v>Low</v>
      </c>
      <c r="AR378" t="str">
        <f>IF(HRData[[#This Row],[Attrition_Risk_Level]]&lt;&gt;"High","",HRData[[#This Row],[Attrition_Risk_Score]]*10000-HRData[[#This Row],[EmployeeNumber]])</f>
        <v/>
      </c>
    </row>
    <row r="379" spans="1:44">
      <c r="A379">
        <v>36</v>
      </c>
      <c r="B379" t="str" cm="1">
        <f t="array" ref="B379">_xlfn.IFS(
HRData[[#This Row],[Age]]&lt;=24,"18-24",
HRData[[#This Row],[Age]]&lt;=34,"25-34",
HRData[[#This Row],[Age]]&lt;=44,"35-44",
HRData[[#This Row],[Age]]&lt;=54,"45-54",
HRData[[#This Row],[Age]]&gt;=55,"55+"
)</f>
        <v>35-44</v>
      </c>
      <c r="C379" t="s">
        <v>43</v>
      </c>
      <c r="D379">
        <f>IF(HRData[[#This Row],[Attrition]]="Yes",1,0)</f>
        <v>0</v>
      </c>
      <c r="E379" t="s">
        <v>36</v>
      </c>
      <c r="F379">
        <v>329</v>
      </c>
      <c r="G379" t="s">
        <v>45</v>
      </c>
      <c r="H379">
        <v>2</v>
      </c>
      <c r="I379">
        <v>3</v>
      </c>
      <c r="J379" t="s">
        <v>38</v>
      </c>
      <c r="K379">
        <v>1</v>
      </c>
      <c r="L379">
        <v>501</v>
      </c>
      <c r="M379">
        <v>4</v>
      </c>
      <c r="N379" t="str" cm="1">
        <f t="array" ref="N379">_xlfn.IFS(HRData[[#This Row],[EnvironmentSatisfaction]]=1,"Very Dissatisfied",
HRData[[#This Row],[EnvironmentSatisfaction]]=2,"Dissatisfied",
HRData[[#This Row],[EnvironmentSatisfaction]]=3,"Satisfied",
HRData[[#This Row],[EnvironmentSatisfaction]]=4,"Very Satisfied"
)</f>
        <v>Very Satisfied</v>
      </c>
      <c r="O379" t="s">
        <v>39</v>
      </c>
      <c r="P379">
        <v>96</v>
      </c>
      <c r="Q379">
        <v>3</v>
      </c>
      <c r="R379">
        <v>1</v>
      </c>
      <c r="S379" t="s">
        <v>47</v>
      </c>
      <c r="T379">
        <v>3</v>
      </c>
      <c r="U379" t="str" cm="1">
        <f t="array" ref="U379">_xlfn.IFS(
HRData[[#This Row],[JobSatisfaction]]=1,"Very Dissatisfied",
HRData[[#This Row],[JobSatisfaction]]=2,"Dissatisfied",
HRData[[#This Row],[JobSatisfaction]]=3,"Satisfied",
HRData[[#This Row],[JobSatisfaction]]=4,"Very Satisfied"
)</f>
        <v>Satisfied</v>
      </c>
      <c r="V379" t="s">
        <v>48</v>
      </c>
      <c r="W379">
        <v>2543</v>
      </c>
      <c r="X379" t="str" cm="1">
        <f t="array" ref="X379">_xlfn.IFS(
HRData[[#This Row],[MonthlyIncome]]&lt;=4000,"Very Low Income",
HRData[[#This Row],[MonthlyIncome]]&lt;=8000,"Low Income",
HRData[[#This Row],[MonthlyIncome]]&lt;=12000,"Moderate Income",
HRData[[#This Row],[MonthlyIncome]]&lt;=16000,"High Income",
HRData[[#This Row],[MonthlyIncome]]&gt;16000,"Very High Income"
)</f>
        <v>Very Low Income</v>
      </c>
      <c r="Y379">
        <v>11868</v>
      </c>
      <c r="Z379">
        <v>4</v>
      </c>
      <c r="AA379" t="s">
        <v>42</v>
      </c>
      <c r="AB379" t="s">
        <v>43</v>
      </c>
      <c r="AC379">
        <v>13</v>
      </c>
      <c r="AD379" t="str" cm="1">
        <f t="array" ref="AD379">_xlfn.IFS(HRData[[#This Row],[PercentSalaryHike]]&lt;=15,"11-15",HRData[[#This Row],[PercentSalaryHike]]&lt;=20,"16-20",HRData[[#This Row],[PercentSalaryHike]]&gt;=21,"21+")</f>
        <v>11-15</v>
      </c>
      <c r="AE379">
        <v>3</v>
      </c>
      <c r="AF379">
        <v>2</v>
      </c>
      <c r="AG379">
        <v>80</v>
      </c>
      <c r="AH379">
        <v>1</v>
      </c>
      <c r="AI379">
        <v>6</v>
      </c>
      <c r="AJ379">
        <v>3</v>
      </c>
      <c r="AK379">
        <v>3</v>
      </c>
      <c r="AL379">
        <v>2</v>
      </c>
      <c r="AM379">
        <v>2</v>
      </c>
      <c r="AN379">
        <v>2</v>
      </c>
      <c r="AO379">
        <v>2</v>
      </c>
      <c r="AP37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79" t="str">
        <f>IF(HRData[[#This Row],[Attrition]]="Yes","Left", IF(HRData[[#This Row],[Attrition_Risk_Score]]&gt;=6,"High",IF(HRData[[#This Row],[Attrition_Risk_Score]]&gt;=3,"Medium","Low")))</f>
        <v>Low</v>
      </c>
      <c r="AR379" t="str">
        <f>IF(HRData[[#This Row],[Attrition_Risk_Level]]&lt;&gt;"High","",HRData[[#This Row],[Attrition_Risk_Score]]*10000-HRData[[#This Row],[EmployeeNumber]])</f>
        <v/>
      </c>
    </row>
    <row r="380" spans="1:44">
      <c r="A380">
        <v>34</v>
      </c>
      <c r="B380" t="str" cm="1">
        <f t="array" ref="B380">_xlfn.IFS(
HRData[[#This Row],[Age]]&lt;=24,"18-24",
HRData[[#This Row],[Age]]&lt;=34,"25-34",
HRData[[#This Row],[Age]]&lt;=44,"35-44",
HRData[[#This Row],[Age]]&lt;=54,"45-54",
HRData[[#This Row],[Age]]&gt;=55,"55+"
)</f>
        <v>25-34</v>
      </c>
      <c r="C380" t="s">
        <v>35</v>
      </c>
      <c r="D380">
        <f>IF(HRData[[#This Row],[Attrition]]="Yes",1,0)</f>
        <v>1</v>
      </c>
      <c r="E380" t="s">
        <v>55</v>
      </c>
      <c r="F380">
        <v>1362</v>
      </c>
      <c r="G380" t="s">
        <v>37</v>
      </c>
      <c r="H380">
        <v>19</v>
      </c>
      <c r="I380">
        <v>3</v>
      </c>
      <c r="J380" t="s">
        <v>59</v>
      </c>
      <c r="K380">
        <v>1</v>
      </c>
      <c r="L380">
        <v>502</v>
      </c>
      <c r="M380">
        <v>1</v>
      </c>
      <c r="N380" t="str" cm="1">
        <f t="array" ref="N380">_xlfn.IFS(HRData[[#This Row],[EnvironmentSatisfaction]]=1,"Very Dissatisfied",
HRData[[#This Row],[EnvironmentSatisfaction]]=2,"Dissatisfied",
HRData[[#This Row],[EnvironmentSatisfaction]]=3,"Satisfied",
HRData[[#This Row],[EnvironmentSatisfaction]]=4,"Very Satisfied"
)</f>
        <v>Very Dissatisfied</v>
      </c>
      <c r="O380" t="s">
        <v>46</v>
      </c>
      <c r="P380">
        <v>67</v>
      </c>
      <c r="Q380">
        <v>4</v>
      </c>
      <c r="R380">
        <v>2</v>
      </c>
      <c r="S380" t="s">
        <v>40</v>
      </c>
      <c r="T380">
        <v>4</v>
      </c>
      <c r="U380" t="str" cm="1">
        <f t="array" ref="U380">_xlfn.IFS(
HRData[[#This Row],[JobSatisfaction]]=1,"Very Dissatisfied",
HRData[[#This Row],[JobSatisfaction]]=2,"Dissatisfied",
HRData[[#This Row],[JobSatisfaction]]=3,"Satisfied",
HRData[[#This Row],[JobSatisfaction]]=4,"Very Satisfied"
)</f>
        <v>Very Satisfied</v>
      </c>
      <c r="V380" t="s">
        <v>41</v>
      </c>
      <c r="W380">
        <v>5304</v>
      </c>
      <c r="X380" t="str" cm="1">
        <f t="array" ref="X380">_xlfn.IFS(
HRData[[#This Row],[MonthlyIncome]]&lt;=4000,"Very Low Income",
HRData[[#This Row],[MonthlyIncome]]&lt;=8000,"Low Income",
HRData[[#This Row],[MonthlyIncome]]&lt;=12000,"Moderate Income",
HRData[[#This Row],[MonthlyIncome]]&lt;=16000,"High Income",
HRData[[#This Row],[MonthlyIncome]]&gt;16000,"Very High Income"
)</f>
        <v>Low Income</v>
      </c>
      <c r="Y380">
        <v>4652</v>
      </c>
      <c r="Z380">
        <v>8</v>
      </c>
      <c r="AA380" t="s">
        <v>42</v>
      </c>
      <c r="AB380" t="s">
        <v>35</v>
      </c>
      <c r="AC380">
        <v>13</v>
      </c>
      <c r="AD380" t="str" cm="1">
        <f t="array" ref="AD380">_xlfn.IFS(HRData[[#This Row],[PercentSalaryHike]]&lt;=15,"11-15",HRData[[#This Row],[PercentSalaryHike]]&lt;=20,"16-20",HRData[[#This Row],[PercentSalaryHike]]&gt;=21,"21+")</f>
        <v>11-15</v>
      </c>
      <c r="AE380">
        <v>3</v>
      </c>
      <c r="AF380">
        <v>2</v>
      </c>
      <c r="AG380">
        <v>80</v>
      </c>
      <c r="AH380">
        <v>0</v>
      </c>
      <c r="AI380">
        <v>9</v>
      </c>
      <c r="AJ380">
        <v>3</v>
      </c>
      <c r="AK380">
        <v>2</v>
      </c>
      <c r="AL380">
        <v>5</v>
      </c>
      <c r="AM380">
        <v>2</v>
      </c>
      <c r="AN380">
        <v>0</v>
      </c>
      <c r="AO380">
        <v>4</v>
      </c>
      <c r="AP38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380" t="str">
        <f>IF(HRData[[#This Row],[Attrition]]="Yes","Left", IF(HRData[[#This Row],[Attrition_Risk_Score]]&gt;=6,"High",IF(HRData[[#This Row],[Attrition_Risk_Score]]&gt;=3,"Medium","Low")))</f>
        <v>Left</v>
      </c>
      <c r="AR380" t="str">
        <f>IF(HRData[[#This Row],[Attrition_Risk_Level]]&lt;&gt;"High","",HRData[[#This Row],[Attrition_Risk_Score]]*10000-HRData[[#This Row],[EmployeeNumber]])</f>
        <v/>
      </c>
    </row>
    <row r="381" spans="1:44">
      <c r="A381">
        <v>55</v>
      </c>
      <c r="B381" t="str" cm="1">
        <f t="array" ref="B381">_xlfn.IFS(
HRData[[#This Row],[Age]]&lt;=24,"18-24",
HRData[[#This Row],[Age]]&lt;=34,"25-34",
HRData[[#This Row],[Age]]&lt;=44,"35-44",
HRData[[#This Row],[Age]]&lt;=54,"45-54",
HRData[[#This Row],[Age]]&gt;=55,"55+"
)</f>
        <v>55+</v>
      </c>
      <c r="C381" t="s">
        <v>43</v>
      </c>
      <c r="D381">
        <f>IF(HRData[[#This Row],[Attrition]]="Yes",1,0)</f>
        <v>0</v>
      </c>
      <c r="E381" t="s">
        <v>36</v>
      </c>
      <c r="F381">
        <v>1311</v>
      </c>
      <c r="G381" t="s">
        <v>45</v>
      </c>
      <c r="H381">
        <v>2</v>
      </c>
      <c r="I381">
        <v>3</v>
      </c>
      <c r="J381" t="s">
        <v>38</v>
      </c>
      <c r="K381">
        <v>1</v>
      </c>
      <c r="L381">
        <v>505</v>
      </c>
      <c r="M381">
        <v>3</v>
      </c>
      <c r="N381" t="str" cm="1">
        <f t="array" ref="N381">_xlfn.IFS(HRData[[#This Row],[EnvironmentSatisfaction]]=1,"Very Dissatisfied",
HRData[[#This Row],[EnvironmentSatisfaction]]=2,"Dissatisfied",
HRData[[#This Row],[EnvironmentSatisfaction]]=3,"Satisfied",
HRData[[#This Row],[EnvironmentSatisfaction]]=4,"Very Satisfied"
)</f>
        <v>Satisfied</v>
      </c>
      <c r="O381" t="s">
        <v>39</v>
      </c>
      <c r="P381">
        <v>97</v>
      </c>
      <c r="Q381">
        <v>3</v>
      </c>
      <c r="R381">
        <v>4</v>
      </c>
      <c r="S381" t="s">
        <v>56</v>
      </c>
      <c r="T381">
        <v>4</v>
      </c>
      <c r="U381" t="str" cm="1">
        <f t="array" ref="U381">_xlfn.IFS(
HRData[[#This Row],[JobSatisfaction]]=1,"Very Dissatisfied",
HRData[[#This Row],[JobSatisfaction]]=2,"Dissatisfied",
HRData[[#This Row],[JobSatisfaction]]=3,"Satisfied",
HRData[[#This Row],[JobSatisfaction]]=4,"Very Satisfied"
)</f>
        <v>Very Satisfied</v>
      </c>
      <c r="V381" t="s">
        <v>41</v>
      </c>
      <c r="W381">
        <v>16659</v>
      </c>
      <c r="X381" t="str" cm="1">
        <f t="array" ref="X381">_xlfn.IFS(
HRData[[#This Row],[MonthlyIncome]]&lt;=4000,"Very Low Income",
HRData[[#This Row],[MonthlyIncome]]&lt;=8000,"Low Income",
HRData[[#This Row],[MonthlyIncome]]&lt;=12000,"Moderate Income",
HRData[[#This Row],[MonthlyIncome]]&lt;=16000,"High Income",
HRData[[#This Row],[MonthlyIncome]]&gt;16000,"Very High Income"
)</f>
        <v>Very High Income</v>
      </c>
      <c r="Y381">
        <v>23258</v>
      </c>
      <c r="Z381">
        <v>2</v>
      </c>
      <c r="AA381" t="s">
        <v>42</v>
      </c>
      <c r="AB381" t="s">
        <v>35</v>
      </c>
      <c r="AC381">
        <v>13</v>
      </c>
      <c r="AD381" t="str" cm="1">
        <f t="array" ref="AD381">_xlfn.IFS(HRData[[#This Row],[PercentSalaryHike]]&lt;=15,"11-15",HRData[[#This Row],[PercentSalaryHike]]&lt;=20,"16-20",HRData[[#This Row],[PercentSalaryHike]]&gt;=21,"21+")</f>
        <v>11-15</v>
      </c>
      <c r="AE381">
        <v>3</v>
      </c>
      <c r="AF381">
        <v>3</v>
      </c>
      <c r="AG381">
        <v>80</v>
      </c>
      <c r="AH381">
        <v>0</v>
      </c>
      <c r="AI381">
        <v>30</v>
      </c>
      <c r="AJ381">
        <v>2</v>
      </c>
      <c r="AK381">
        <v>3</v>
      </c>
      <c r="AL381">
        <v>5</v>
      </c>
      <c r="AM381">
        <v>4</v>
      </c>
      <c r="AN381">
        <v>1</v>
      </c>
      <c r="AO381">
        <v>2</v>
      </c>
      <c r="AP38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81" t="str">
        <f>IF(HRData[[#This Row],[Attrition]]="Yes","Left", IF(HRData[[#This Row],[Attrition_Risk_Score]]&gt;=6,"High",IF(HRData[[#This Row],[Attrition_Risk_Score]]&gt;=3,"Medium","Low")))</f>
        <v>Low</v>
      </c>
      <c r="AR381" t="str">
        <f>IF(HRData[[#This Row],[Attrition_Risk_Level]]&lt;&gt;"High","",HRData[[#This Row],[Attrition_Risk_Score]]*10000-HRData[[#This Row],[EmployeeNumber]])</f>
        <v/>
      </c>
    </row>
    <row r="382" spans="1:44">
      <c r="A382">
        <v>24</v>
      </c>
      <c r="B382" t="str" cm="1">
        <f t="array" ref="B382">_xlfn.IFS(
HRData[[#This Row],[Age]]&lt;=24,"18-24",
HRData[[#This Row],[Age]]&lt;=34,"25-34",
HRData[[#This Row],[Age]]&lt;=44,"35-44",
HRData[[#This Row],[Age]]&lt;=54,"45-54",
HRData[[#This Row],[Age]]&gt;=55,"55+"
)</f>
        <v>18-24</v>
      </c>
      <c r="C382" t="s">
        <v>43</v>
      </c>
      <c r="D382">
        <f>IF(HRData[[#This Row],[Attrition]]="Yes",1,0)</f>
        <v>0</v>
      </c>
      <c r="E382" t="s">
        <v>36</v>
      </c>
      <c r="F382">
        <v>1371</v>
      </c>
      <c r="G382" t="s">
        <v>37</v>
      </c>
      <c r="H382">
        <v>10</v>
      </c>
      <c r="I382">
        <v>4</v>
      </c>
      <c r="J382" t="s">
        <v>59</v>
      </c>
      <c r="K382">
        <v>1</v>
      </c>
      <c r="L382">
        <v>507</v>
      </c>
      <c r="M382">
        <v>4</v>
      </c>
      <c r="N382" t="str" cm="1">
        <f t="array" ref="N382">_xlfn.IFS(HRData[[#This Row],[EnvironmentSatisfaction]]=1,"Very Dissatisfied",
HRData[[#This Row],[EnvironmentSatisfaction]]=2,"Dissatisfied",
HRData[[#This Row],[EnvironmentSatisfaction]]=3,"Satisfied",
HRData[[#This Row],[EnvironmentSatisfaction]]=4,"Very Satisfied"
)</f>
        <v>Very Satisfied</v>
      </c>
      <c r="O382" t="s">
        <v>39</v>
      </c>
      <c r="P382">
        <v>77</v>
      </c>
      <c r="Q382">
        <v>3</v>
      </c>
      <c r="R382">
        <v>2</v>
      </c>
      <c r="S382" t="s">
        <v>40</v>
      </c>
      <c r="T382">
        <v>3</v>
      </c>
      <c r="U382" t="str" cm="1">
        <f t="array" ref="U382">_xlfn.IFS(
HRData[[#This Row],[JobSatisfaction]]=1,"Very Dissatisfied",
HRData[[#This Row],[JobSatisfaction]]=2,"Dissatisfied",
HRData[[#This Row],[JobSatisfaction]]=3,"Satisfied",
HRData[[#This Row],[JobSatisfaction]]=4,"Very Satisfied"
)</f>
        <v>Satisfied</v>
      </c>
      <c r="V382" t="s">
        <v>52</v>
      </c>
      <c r="W382">
        <v>4260</v>
      </c>
      <c r="X382" t="str" cm="1">
        <f t="array" ref="X382">_xlfn.IFS(
HRData[[#This Row],[MonthlyIncome]]&lt;=4000,"Very Low Income",
HRData[[#This Row],[MonthlyIncome]]&lt;=8000,"Low Income",
HRData[[#This Row],[MonthlyIncome]]&lt;=12000,"Moderate Income",
HRData[[#This Row],[MonthlyIncome]]&lt;=16000,"High Income",
HRData[[#This Row],[MonthlyIncome]]&gt;16000,"Very High Income"
)</f>
        <v>Low Income</v>
      </c>
      <c r="Y382">
        <v>5915</v>
      </c>
      <c r="Z382">
        <v>1</v>
      </c>
      <c r="AA382" t="s">
        <v>42</v>
      </c>
      <c r="AB382" t="s">
        <v>35</v>
      </c>
      <c r="AC382">
        <v>12</v>
      </c>
      <c r="AD382" t="str" cm="1">
        <f t="array" ref="AD382">_xlfn.IFS(HRData[[#This Row],[PercentSalaryHike]]&lt;=15,"11-15",HRData[[#This Row],[PercentSalaryHike]]&lt;=20,"16-20",HRData[[#This Row],[PercentSalaryHike]]&gt;=21,"21+")</f>
        <v>11-15</v>
      </c>
      <c r="AE382">
        <v>3</v>
      </c>
      <c r="AF382">
        <v>4</v>
      </c>
      <c r="AG382">
        <v>80</v>
      </c>
      <c r="AH382">
        <v>1</v>
      </c>
      <c r="AI382">
        <v>5</v>
      </c>
      <c r="AJ382">
        <v>2</v>
      </c>
      <c r="AK382">
        <v>4</v>
      </c>
      <c r="AL382">
        <v>5</v>
      </c>
      <c r="AM382">
        <v>2</v>
      </c>
      <c r="AN382">
        <v>0</v>
      </c>
      <c r="AO382">
        <v>3</v>
      </c>
      <c r="AP38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382" t="str">
        <f>IF(HRData[[#This Row],[Attrition]]="Yes","Left", IF(HRData[[#This Row],[Attrition_Risk_Score]]&gt;=6,"High",IF(HRData[[#This Row],[Attrition_Risk_Score]]&gt;=3,"Medium","Low")))</f>
        <v>Medium</v>
      </c>
      <c r="AR382" t="str">
        <f>IF(HRData[[#This Row],[Attrition_Risk_Level]]&lt;&gt;"High","",HRData[[#This Row],[Attrition_Risk_Score]]*10000-HRData[[#This Row],[EmployeeNumber]])</f>
        <v/>
      </c>
    </row>
    <row r="383" spans="1:44">
      <c r="A383">
        <v>30</v>
      </c>
      <c r="B383" t="str" cm="1">
        <f t="array" ref="B383">_xlfn.IFS(
HRData[[#This Row],[Age]]&lt;=24,"18-24",
HRData[[#This Row],[Age]]&lt;=34,"25-34",
HRData[[#This Row],[Age]]&lt;=44,"35-44",
HRData[[#This Row],[Age]]&lt;=54,"45-54",
HRData[[#This Row],[Age]]&gt;=55,"55+"
)</f>
        <v>25-34</v>
      </c>
      <c r="C383" t="s">
        <v>43</v>
      </c>
      <c r="D383">
        <f>IF(HRData[[#This Row],[Attrition]]="Yes",1,0)</f>
        <v>0</v>
      </c>
      <c r="E383" t="s">
        <v>36</v>
      </c>
      <c r="F383">
        <v>202</v>
      </c>
      <c r="G383" t="s">
        <v>37</v>
      </c>
      <c r="H383">
        <v>2</v>
      </c>
      <c r="I383">
        <v>1</v>
      </c>
      <c r="J383" t="s">
        <v>60</v>
      </c>
      <c r="K383">
        <v>1</v>
      </c>
      <c r="L383">
        <v>508</v>
      </c>
      <c r="M383">
        <v>3</v>
      </c>
      <c r="N383" t="str" cm="1">
        <f t="array" ref="N383">_xlfn.IFS(HRData[[#This Row],[EnvironmentSatisfaction]]=1,"Very Dissatisfied",
HRData[[#This Row],[EnvironmentSatisfaction]]=2,"Dissatisfied",
HRData[[#This Row],[EnvironmentSatisfaction]]=3,"Satisfied",
HRData[[#This Row],[EnvironmentSatisfaction]]=4,"Very Satisfied"
)</f>
        <v>Satisfied</v>
      </c>
      <c r="O383" t="s">
        <v>46</v>
      </c>
      <c r="P383">
        <v>72</v>
      </c>
      <c r="Q383">
        <v>3</v>
      </c>
      <c r="R383">
        <v>1</v>
      </c>
      <c r="S383" t="s">
        <v>57</v>
      </c>
      <c r="T383">
        <v>2</v>
      </c>
      <c r="U383" t="str" cm="1">
        <f t="array" ref="U383">_xlfn.IFS(
HRData[[#This Row],[JobSatisfaction]]=1,"Very Dissatisfied",
HRData[[#This Row],[JobSatisfaction]]=2,"Dissatisfied",
HRData[[#This Row],[JobSatisfaction]]=3,"Satisfied",
HRData[[#This Row],[JobSatisfaction]]=4,"Very Satisfied"
)</f>
        <v>Dissatisfied</v>
      </c>
      <c r="V383" t="s">
        <v>48</v>
      </c>
      <c r="W383">
        <v>2476</v>
      </c>
      <c r="X383" t="str" cm="1">
        <f t="array" ref="X383">_xlfn.IFS(
HRData[[#This Row],[MonthlyIncome]]&lt;=4000,"Very Low Income",
HRData[[#This Row],[MonthlyIncome]]&lt;=8000,"Low Income",
HRData[[#This Row],[MonthlyIncome]]&lt;=12000,"Moderate Income",
HRData[[#This Row],[MonthlyIncome]]&lt;=16000,"High Income",
HRData[[#This Row],[MonthlyIncome]]&gt;16000,"Very High Income"
)</f>
        <v>Very Low Income</v>
      </c>
      <c r="Y383">
        <v>17434</v>
      </c>
      <c r="Z383">
        <v>1</v>
      </c>
      <c r="AA383" t="s">
        <v>42</v>
      </c>
      <c r="AB383" t="s">
        <v>43</v>
      </c>
      <c r="AC383">
        <v>18</v>
      </c>
      <c r="AD383" t="str" cm="1">
        <f t="array" ref="AD383">_xlfn.IFS(HRData[[#This Row],[PercentSalaryHike]]&lt;=15,"11-15",HRData[[#This Row],[PercentSalaryHike]]&lt;=20,"16-20",HRData[[#This Row],[PercentSalaryHike]]&gt;=21,"21+")</f>
        <v>16-20</v>
      </c>
      <c r="AE383">
        <v>3</v>
      </c>
      <c r="AF383">
        <v>1</v>
      </c>
      <c r="AG383">
        <v>80</v>
      </c>
      <c r="AH383">
        <v>1</v>
      </c>
      <c r="AI383">
        <v>1</v>
      </c>
      <c r="AJ383">
        <v>3</v>
      </c>
      <c r="AK383">
        <v>3</v>
      </c>
      <c r="AL383">
        <v>1</v>
      </c>
      <c r="AM383">
        <v>0</v>
      </c>
      <c r="AN383">
        <v>0</v>
      </c>
      <c r="AO383">
        <v>0</v>
      </c>
      <c r="AP38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383" t="str">
        <f>IF(HRData[[#This Row],[Attrition]]="Yes","Left", IF(HRData[[#This Row],[Attrition_Risk_Score]]&gt;=6,"High",IF(HRData[[#This Row],[Attrition_Risk_Score]]&gt;=3,"Medium","Low")))</f>
        <v>Medium</v>
      </c>
      <c r="AR383" t="str">
        <f>IF(HRData[[#This Row],[Attrition_Risk_Level]]&lt;&gt;"High","",HRData[[#This Row],[Attrition_Risk_Score]]*10000-HRData[[#This Row],[EmployeeNumber]])</f>
        <v/>
      </c>
    </row>
    <row r="384" spans="1:44">
      <c r="A384">
        <v>26</v>
      </c>
      <c r="B384" t="str" cm="1">
        <f t="array" ref="B384">_xlfn.IFS(
HRData[[#This Row],[Age]]&lt;=24,"18-24",
HRData[[#This Row],[Age]]&lt;=34,"25-34",
HRData[[#This Row],[Age]]&lt;=44,"35-44",
HRData[[#This Row],[Age]]&lt;=54,"45-54",
HRData[[#This Row],[Age]]&gt;=55,"55+"
)</f>
        <v>25-34</v>
      </c>
      <c r="C384" t="s">
        <v>35</v>
      </c>
      <c r="D384">
        <f>IF(HRData[[#This Row],[Attrition]]="Yes",1,0)</f>
        <v>1</v>
      </c>
      <c r="E384" t="s">
        <v>44</v>
      </c>
      <c r="F384">
        <v>575</v>
      </c>
      <c r="G384" t="s">
        <v>45</v>
      </c>
      <c r="H384">
        <v>3</v>
      </c>
      <c r="I384">
        <v>1</v>
      </c>
      <c r="J384" t="s">
        <v>60</v>
      </c>
      <c r="K384">
        <v>1</v>
      </c>
      <c r="L384">
        <v>510</v>
      </c>
      <c r="M384">
        <v>3</v>
      </c>
      <c r="N384" t="str" cm="1">
        <f t="array" ref="N384">_xlfn.IFS(HRData[[#This Row],[EnvironmentSatisfaction]]=1,"Very Dissatisfied",
HRData[[#This Row],[EnvironmentSatisfaction]]=2,"Dissatisfied",
HRData[[#This Row],[EnvironmentSatisfaction]]=3,"Satisfied",
HRData[[#This Row],[EnvironmentSatisfaction]]=4,"Very Satisfied"
)</f>
        <v>Satisfied</v>
      </c>
      <c r="O384" t="s">
        <v>46</v>
      </c>
      <c r="P384">
        <v>73</v>
      </c>
      <c r="Q384">
        <v>3</v>
      </c>
      <c r="R384">
        <v>1</v>
      </c>
      <c r="S384" t="s">
        <v>47</v>
      </c>
      <c r="T384">
        <v>1</v>
      </c>
      <c r="U384" t="str" cm="1">
        <f t="array" ref="U384">_xlfn.IFS(
HRData[[#This Row],[JobSatisfaction]]=1,"Very Dissatisfied",
HRData[[#This Row],[JobSatisfaction]]=2,"Dissatisfied",
HRData[[#This Row],[JobSatisfaction]]=3,"Satisfied",
HRData[[#This Row],[JobSatisfaction]]=4,"Very Satisfied"
)</f>
        <v>Very Dissatisfied</v>
      </c>
      <c r="V384" t="s">
        <v>41</v>
      </c>
      <c r="W384">
        <v>3102</v>
      </c>
      <c r="X384" t="str" cm="1">
        <f t="array" ref="X384">_xlfn.IFS(
HRData[[#This Row],[MonthlyIncome]]&lt;=4000,"Very Low Income",
HRData[[#This Row],[MonthlyIncome]]&lt;=8000,"Low Income",
HRData[[#This Row],[MonthlyIncome]]&lt;=12000,"Moderate Income",
HRData[[#This Row],[MonthlyIncome]]&lt;=16000,"High Income",
HRData[[#This Row],[MonthlyIncome]]&gt;16000,"Very High Income"
)</f>
        <v>Very Low Income</v>
      </c>
      <c r="Y384">
        <v>6582</v>
      </c>
      <c r="Z384">
        <v>0</v>
      </c>
      <c r="AA384" t="s">
        <v>42</v>
      </c>
      <c r="AB384" t="s">
        <v>43</v>
      </c>
      <c r="AC384">
        <v>22</v>
      </c>
      <c r="AD384" t="str" cm="1">
        <f t="array" ref="AD384">_xlfn.IFS(HRData[[#This Row],[PercentSalaryHike]]&lt;=15,"11-15",HRData[[#This Row],[PercentSalaryHike]]&lt;=20,"16-20",HRData[[#This Row],[PercentSalaryHike]]&gt;=21,"21+")</f>
        <v>21+</v>
      </c>
      <c r="AE384">
        <v>4</v>
      </c>
      <c r="AF384">
        <v>3</v>
      </c>
      <c r="AG384">
        <v>80</v>
      </c>
      <c r="AH384">
        <v>0</v>
      </c>
      <c r="AI384">
        <v>7</v>
      </c>
      <c r="AJ384">
        <v>2</v>
      </c>
      <c r="AK384">
        <v>3</v>
      </c>
      <c r="AL384">
        <v>6</v>
      </c>
      <c r="AM384">
        <v>4</v>
      </c>
      <c r="AN384">
        <v>0</v>
      </c>
      <c r="AO384">
        <v>4</v>
      </c>
      <c r="AP38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384" t="str">
        <f>IF(HRData[[#This Row],[Attrition]]="Yes","Left", IF(HRData[[#This Row],[Attrition_Risk_Score]]&gt;=6,"High",IF(HRData[[#This Row],[Attrition_Risk_Score]]&gt;=3,"Medium","Low")))</f>
        <v>Left</v>
      </c>
      <c r="AR384" t="str">
        <f>IF(HRData[[#This Row],[Attrition_Risk_Level]]&lt;&gt;"High","",HRData[[#This Row],[Attrition_Risk_Score]]*10000-HRData[[#This Row],[EmployeeNumber]])</f>
        <v/>
      </c>
    </row>
    <row r="385" spans="1:44">
      <c r="A385">
        <v>22</v>
      </c>
      <c r="B385" t="str" cm="1">
        <f t="array" ref="B385">_xlfn.IFS(
HRData[[#This Row],[Age]]&lt;=24,"18-24",
HRData[[#This Row],[Age]]&lt;=34,"25-34",
HRData[[#This Row],[Age]]&lt;=44,"35-44",
HRData[[#This Row],[Age]]&lt;=54,"45-54",
HRData[[#This Row],[Age]]&gt;=55,"55+"
)</f>
        <v>18-24</v>
      </c>
      <c r="C385" t="s">
        <v>43</v>
      </c>
      <c r="D385">
        <f>IF(HRData[[#This Row],[Attrition]]="Yes",1,0)</f>
        <v>0</v>
      </c>
      <c r="E385" t="s">
        <v>36</v>
      </c>
      <c r="F385">
        <v>253</v>
      </c>
      <c r="G385" t="s">
        <v>45</v>
      </c>
      <c r="H385">
        <v>11</v>
      </c>
      <c r="I385">
        <v>3</v>
      </c>
      <c r="J385" t="s">
        <v>51</v>
      </c>
      <c r="K385">
        <v>1</v>
      </c>
      <c r="L385">
        <v>511</v>
      </c>
      <c r="M385">
        <v>1</v>
      </c>
      <c r="N385" t="str" cm="1">
        <f t="array" ref="N385">_xlfn.IFS(HRData[[#This Row],[EnvironmentSatisfaction]]=1,"Very Dissatisfied",
HRData[[#This Row],[EnvironmentSatisfaction]]=2,"Dissatisfied",
HRData[[#This Row],[EnvironmentSatisfaction]]=3,"Satisfied",
HRData[[#This Row],[EnvironmentSatisfaction]]=4,"Very Satisfied"
)</f>
        <v>Very Dissatisfied</v>
      </c>
      <c r="O385" t="s">
        <v>39</v>
      </c>
      <c r="P385">
        <v>43</v>
      </c>
      <c r="Q385">
        <v>3</v>
      </c>
      <c r="R385">
        <v>1</v>
      </c>
      <c r="S385" t="s">
        <v>47</v>
      </c>
      <c r="T385">
        <v>2</v>
      </c>
      <c r="U385" t="str" cm="1">
        <f t="array" ref="U385">_xlfn.IFS(
HRData[[#This Row],[JobSatisfaction]]=1,"Very Dissatisfied",
HRData[[#This Row],[JobSatisfaction]]=2,"Dissatisfied",
HRData[[#This Row],[JobSatisfaction]]=3,"Satisfied",
HRData[[#This Row],[JobSatisfaction]]=4,"Very Satisfied"
)</f>
        <v>Dissatisfied</v>
      </c>
      <c r="V385" t="s">
        <v>48</v>
      </c>
      <c r="W385">
        <v>2244</v>
      </c>
      <c r="X385" t="str" cm="1">
        <f t="array" ref="X385">_xlfn.IFS(
HRData[[#This Row],[MonthlyIncome]]&lt;=4000,"Very Low Income",
HRData[[#This Row],[MonthlyIncome]]&lt;=8000,"Low Income",
HRData[[#This Row],[MonthlyIncome]]&lt;=12000,"Moderate Income",
HRData[[#This Row],[MonthlyIncome]]&lt;=16000,"High Income",
HRData[[#This Row],[MonthlyIncome]]&gt;16000,"Very High Income"
)</f>
        <v>Very Low Income</v>
      </c>
      <c r="Y385">
        <v>24440</v>
      </c>
      <c r="Z385">
        <v>1</v>
      </c>
      <c r="AA385" t="s">
        <v>42</v>
      </c>
      <c r="AB385" t="s">
        <v>43</v>
      </c>
      <c r="AC385">
        <v>13</v>
      </c>
      <c r="AD385" t="str" cm="1">
        <f t="array" ref="AD385">_xlfn.IFS(HRData[[#This Row],[PercentSalaryHike]]&lt;=15,"11-15",HRData[[#This Row],[PercentSalaryHike]]&lt;=20,"16-20",HRData[[#This Row],[PercentSalaryHike]]&gt;=21,"21+")</f>
        <v>11-15</v>
      </c>
      <c r="AE385">
        <v>3</v>
      </c>
      <c r="AF385">
        <v>4</v>
      </c>
      <c r="AG385">
        <v>80</v>
      </c>
      <c r="AH385">
        <v>1</v>
      </c>
      <c r="AI385">
        <v>2</v>
      </c>
      <c r="AJ385">
        <v>1</v>
      </c>
      <c r="AK385">
        <v>3</v>
      </c>
      <c r="AL385">
        <v>2</v>
      </c>
      <c r="AM385">
        <v>1</v>
      </c>
      <c r="AN385">
        <v>1</v>
      </c>
      <c r="AO385">
        <v>2</v>
      </c>
      <c r="AP38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85" t="str">
        <f>IF(HRData[[#This Row],[Attrition]]="Yes","Left", IF(HRData[[#This Row],[Attrition_Risk_Score]]&gt;=6,"High",IF(HRData[[#This Row],[Attrition_Risk_Score]]&gt;=3,"Medium","Low")))</f>
        <v>Medium</v>
      </c>
      <c r="AR385" t="str">
        <f>IF(HRData[[#This Row],[Attrition_Risk_Level]]&lt;&gt;"High","",HRData[[#This Row],[Attrition_Risk_Score]]*10000-HRData[[#This Row],[EmployeeNumber]])</f>
        <v/>
      </c>
    </row>
    <row r="386" spans="1:44">
      <c r="A386">
        <v>36</v>
      </c>
      <c r="B386" t="str" cm="1">
        <f t="array" ref="B386">_xlfn.IFS(
HRData[[#This Row],[Age]]&lt;=24,"18-24",
HRData[[#This Row],[Age]]&lt;=34,"25-34",
HRData[[#This Row],[Age]]&lt;=44,"35-44",
HRData[[#This Row],[Age]]&lt;=54,"45-54",
HRData[[#This Row],[Age]]&gt;=55,"55+"
)</f>
        <v>35-44</v>
      </c>
      <c r="C386" t="s">
        <v>43</v>
      </c>
      <c r="D386">
        <f>IF(HRData[[#This Row],[Attrition]]="Yes",1,0)</f>
        <v>0</v>
      </c>
      <c r="E386" t="s">
        <v>36</v>
      </c>
      <c r="F386">
        <v>164</v>
      </c>
      <c r="G386" t="s">
        <v>37</v>
      </c>
      <c r="H386">
        <v>2</v>
      </c>
      <c r="I386">
        <v>2</v>
      </c>
      <c r="J386" t="s">
        <v>51</v>
      </c>
      <c r="K386">
        <v>1</v>
      </c>
      <c r="L386">
        <v>513</v>
      </c>
      <c r="M386">
        <v>2</v>
      </c>
      <c r="N386" t="str" cm="1">
        <f t="array" ref="N386">_xlfn.IFS(HRData[[#This Row],[EnvironmentSatisfaction]]=1,"Very Dissatisfied",
HRData[[#This Row],[EnvironmentSatisfaction]]=2,"Dissatisfied",
HRData[[#This Row],[EnvironmentSatisfaction]]=3,"Satisfied",
HRData[[#This Row],[EnvironmentSatisfaction]]=4,"Very Satisfied"
)</f>
        <v>Dissatisfied</v>
      </c>
      <c r="O386" t="s">
        <v>46</v>
      </c>
      <c r="P386">
        <v>61</v>
      </c>
      <c r="Q386">
        <v>2</v>
      </c>
      <c r="R386">
        <v>3</v>
      </c>
      <c r="S386" t="s">
        <v>40</v>
      </c>
      <c r="T386">
        <v>3</v>
      </c>
      <c r="U386" t="str" cm="1">
        <f t="array" ref="U386">_xlfn.IFS(
HRData[[#This Row],[JobSatisfaction]]=1,"Very Dissatisfied",
HRData[[#This Row],[JobSatisfaction]]=2,"Dissatisfied",
HRData[[#This Row],[JobSatisfaction]]=3,"Satisfied",
HRData[[#This Row],[JobSatisfaction]]=4,"Very Satisfied"
)</f>
        <v>Satisfied</v>
      </c>
      <c r="V386" t="s">
        <v>48</v>
      </c>
      <c r="W386">
        <v>7596</v>
      </c>
      <c r="X386" t="str" cm="1">
        <f t="array" ref="X386">_xlfn.IFS(
HRData[[#This Row],[MonthlyIncome]]&lt;=4000,"Very Low Income",
HRData[[#This Row],[MonthlyIncome]]&lt;=8000,"Low Income",
HRData[[#This Row],[MonthlyIncome]]&lt;=12000,"Moderate Income",
HRData[[#This Row],[MonthlyIncome]]&lt;=16000,"High Income",
HRData[[#This Row],[MonthlyIncome]]&gt;16000,"Very High Income"
)</f>
        <v>Low Income</v>
      </c>
      <c r="Y386">
        <v>3809</v>
      </c>
      <c r="Z386">
        <v>1</v>
      </c>
      <c r="AA386" t="s">
        <v>42</v>
      </c>
      <c r="AB386" t="s">
        <v>43</v>
      </c>
      <c r="AC386">
        <v>13</v>
      </c>
      <c r="AD386" t="str" cm="1">
        <f t="array" ref="AD386">_xlfn.IFS(HRData[[#This Row],[PercentSalaryHike]]&lt;=15,"11-15",HRData[[#This Row],[PercentSalaryHike]]&lt;=20,"16-20",HRData[[#This Row],[PercentSalaryHike]]&gt;=21,"21+")</f>
        <v>11-15</v>
      </c>
      <c r="AE386">
        <v>3</v>
      </c>
      <c r="AF386">
        <v>2</v>
      </c>
      <c r="AG386">
        <v>80</v>
      </c>
      <c r="AH386">
        <v>2</v>
      </c>
      <c r="AI386">
        <v>10</v>
      </c>
      <c r="AJ386">
        <v>2</v>
      </c>
      <c r="AK386">
        <v>3</v>
      </c>
      <c r="AL386">
        <v>10</v>
      </c>
      <c r="AM386">
        <v>9</v>
      </c>
      <c r="AN386">
        <v>9</v>
      </c>
      <c r="AO386">
        <v>0</v>
      </c>
      <c r="AP38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386" t="str">
        <f>IF(HRData[[#This Row],[Attrition]]="Yes","Left", IF(HRData[[#This Row],[Attrition_Risk_Score]]&gt;=6,"High",IF(HRData[[#This Row],[Attrition_Risk_Score]]&gt;=3,"Medium","Low")))</f>
        <v>Low</v>
      </c>
      <c r="AR386" t="str">
        <f>IF(HRData[[#This Row],[Attrition_Risk_Level]]&lt;&gt;"High","",HRData[[#This Row],[Attrition_Risk_Score]]*10000-HRData[[#This Row],[EmployeeNumber]])</f>
        <v/>
      </c>
    </row>
    <row r="387" spans="1:44">
      <c r="A387">
        <v>30</v>
      </c>
      <c r="B387" t="str" cm="1">
        <f t="array" ref="B387">_xlfn.IFS(
HRData[[#This Row],[Age]]&lt;=24,"18-24",
HRData[[#This Row],[Age]]&lt;=34,"25-34",
HRData[[#This Row],[Age]]&lt;=44,"35-44",
HRData[[#This Row],[Age]]&lt;=54,"45-54",
HRData[[#This Row],[Age]]&gt;=55,"55+"
)</f>
        <v>25-34</v>
      </c>
      <c r="C387" t="s">
        <v>35</v>
      </c>
      <c r="D387">
        <f>IF(HRData[[#This Row],[Attrition]]="Yes",1,0)</f>
        <v>1</v>
      </c>
      <c r="E387" t="s">
        <v>44</v>
      </c>
      <c r="F387">
        <v>464</v>
      </c>
      <c r="G387" t="s">
        <v>45</v>
      </c>
      <c r="H387">
        <v>4</v>
      </c>
      <c r="I387">
        <v>3</v>
      </c>
      <c r="J387" t="s">
        <v>60</v>
      </c>
      <c r="K387">
        <v>1</v>
      </c>
      <c r="L387">
        <v>514</v>
      </c>
      <c r="M387">
        <v>3</v>
      </c>
      <c r="N387" t="str" cm="1">
        <f t="array" ref="N387">_xlfn.IFS(HRData[[#This Row],[EnvironmentSatisfaction]]=1,"Very Dissatisfied",
HRData[[#This Row],[EnvironmentSatisfaction]]=2,"Dissatisfied",
HRData[[#This Row],[EnvironmentSatisfaction]]=3,"Satisfied",
HRData[[#This Row],[EnvironmentSatisfaction]]=4,"Very Satisfied"
)</f>
        <v>Satisfied</v>
      </c>
      <c r="O387" t="s">
        <v>46</v>
      </c>
      <c r="P387">
        <v>40</v>
      </c>
      <c r="Q387">
        <v>3</v>
      </c>
      <c r="R387">
        <v>1</v>
      </c>
      <c r="S387" t="s">
        <v>47</v>
      </c>
      <c r="T387">
        <v>4</v>
      </c>
      <c r="U387" t="str" cm="1">
        <f t="array" ref="U387">_xlfn.IFS(
HRData[[#This Row],[JobSatisfaction]]=1,"Very Dissatisfied",
HRData[[#This Row],[JobSatisfaction]]=2,"Dissatisfied",
HRData[[#This Row],[JobSatisfaction]]=3,"Satisfied",
HRData[[#This Row],[JobSatisfaction]]=4,"Very Satisfied"
)</f>
        <v>Very Satisfied</v>
      </c>
      <c r="V387" t="s">
        <v>41</v>
      </c>
      <c r="W387">
        <v>2285</v>
      </c>
      <c r="X387" t="str" cm="1">
        <f t="array" ref="X387">_xlfn.IFS(
HRData[[#This Row],[MonthlyIncome]]&lt;=4000,"Very Low Income",
HRData[[#This Row],[MonthlyIncome]]&lt;=8000,"Low Income",
HRData[[#This Row],[MonthlyIncome]]&lt;=12000,"Moderate Income",
HRData[[#This Row],[MonthlyIncome]]&lt;=16000,"High Income",
HRData[[#This Row],[MonthlyIncome]]&gt;16000,"Very High Income"
)</f>
        <v>Very Low Income</v>
      </c>
      <c r="Y387">
        <v>3427</v>
      </c>
      <c r="Z387">
        <v>9</v>
      </c>
      <c r="AA387" t="s">
        <v>42</v>
      </c>
      <c r="AB387" t="s">
        <v>35</v>
      </c>
      <c r="AC387">
        <v>23</v>
      </c>
      <c r="AD387" t="str" cm="1">
        <f t="array" ref="AD387">_xlfn.IFS(HRData[[#This Row],[PercentSalaryHike]]&lt;=15,"11-15",HRData[[#This Row],[PercentSalaryHike]]&lt;=20,"16-20",HRData[[#This Row],[PercentSalaryHike]]&gt;=21,"21+")</f>
        <v>21+</v>
      </c>
      <c r="AE387">
        <v>4</v>
      </c>
      <c r="AF387">
        <v>3</v>
      </c>
      <c r="AG387">
        <v>80</v>
      </c>
      <c r="AH387">
        <v>0</v>
      </c>
      <c r="AI387">
        <v>3</v>
      </c>
      <c r="AJ387">
        <v>4</v>
      </c>
      <c r="AK387">
        <v>3</v>
      </c>
      <c r="AL387">
        <v>1</v>
      </c>
      <c r="AM387">
        <v>0</v>
      </c>
      <c r="AN387">
        <v>0</v>
      </c>
      <c r="AO387">
        <v>0</v>
      </c>
      <c r="AP38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387" t="str">
        <f>IF(HRData[[#This Row],[Attrition]]="Yes","Left", IF(HRData[[#This Row],[Attrition_Risk_Score]]&gt;=6,"High",IF(HRData[[#This Row],[Attrition_Risk_Score]]&gt;=3,"Medium","Low")))</f>
        <v>Left</v>
      </c>
      <c r="AR387" t="str">
        <f>IF(HRData[[#This Row],[Attrition_Risk_Level]]&lt;&gt;"High","",HRData[[#This Row],[Attrition_Risk_Score]]*10000-HRData[[#This Row],[EmployeeNumber]])</f>
        <v/>
      </c>
    </row>
    <row r="388" spans="1:44">
      <c r="A388">
        <v>37</v>
      </c>
      <c r="B388" t="str" cm="1">
        <f t="array" ref="B388">_xlfn.IFS(
HRData[[#This Row],[Age]]&lt;=24,"18-24",
HRData[[#This Row],[Age]]&lt;=34,"25-34",
HRData[[#This Row],[Age]]&lt;=44,"35-44",
HRData[[#This Row],[Age]]&lt;=54,"45-54",
HRData[[#This Row],[Age]]&gt;=55,"55+"
)</f>
        <v>35-44</v>
      </c>
      <c r="C388" t="s">
        <v>43</v>
      </c>
      <c r="D388">
        <f>IF(HRData[[#This Row],[Attrition]]="Yes",1,0)</f>
        <v>0</v>
      </c>
      <c r="E388" t="s">
        <v>36</v>
      </c>
      <c r="F388">
        <v>1107</v>
      </c>
      <c r="G388" t="s">
        <v>45</v>
      </c>
      <c r="H388">
        <v>14</v>
      </c>
      <c r="I388">
        <v>3</v>
      </c>
      <c r="J388" t="s">
        <v>38</v>
      </c>
      <c r="K388">
        <v>1</v>
      </c>
      <c r="L388">
        <v>515</v>
      </c>
      <c r="M388">
        <v>4</v>
      </c>
      <c r="N388" t="str" cm="1">
        <f t="array" ref="N388">_xlfn.IFS(HRData[[#This Row],[EnvironmentSatisfaction]]=1,"Very Dissatisfied",
HRData[[#This Row],[EnvironmentSatisfaction]]=2,"Dissatisfied",
HRData[[#This Row],[EnvironmentSatisfaction]]=3,"Satisfied",
HRData[[#This Row],[EnvironmentSatisfaction]]=4,"Very Satisfied"
)</f>
        <v>Very Satisfied</v>
      </c>
      <c r="O388" t="s">
        <v>39</v>
      </c>
      <c r="P388">
        <v>95</v>
      </c>
      <c r="Q388">
        <v>3</v>
      </c>
      <c r="R388">
        <v>1</v>
      </c>
      <c r="S388" t="s">
        <v>50</v>
      </c>
      <c r="T388">
        <v>1</v>
      </c>
      <c r="U388" t="str" cm="1">
        <f t="array" ref="U388">_xlfn.IFS(
HRData[[#This Row],[JobSatisfaction]]=1,"Very Dissatisfied",
HRData[[#This Row],[JobSatisfaction]]=2,"Dissatisfied",
HRData[[#This Row],[JobSatisfaction]]=3,"Satisfied",
HRData[[#This Row],[JobSatisfaction]]=4,"Very Satisfied"
)</f>
        <v>Very Dissatisfied</v>
      </c>
      <c r="V388" t="s">
        <v>52</v>
      </c>
      <c r="W388">
        <v>3034</v>
      </c>
      <c r="X388" t="str" cm="1">
        <f t="array" ref="X388">_xlfn.IFS(
HRData[[#This Row],[MonthlyIncome]]&lt;=4000,"Very Low Income",
HRData[[#This Row],[MonthlyIncome]]&lt;=8000,"Low Income",
HRData[[#This Row],[MonthlyIncome]]&lt;=12000,"Moderate Income",
HRData[[#This Row],[MonthlyIncome]]&lt;=16000,"High Income",
HRData[[#This Row],[MonthlyIncome]]&gt;16000,"Very High Income"
)</f>
        <v>Very Low Income</v>
      </c>
      <c r="Y388">
        <v>26914</v>
      </c>
      <c r="Z388">
        <v>1</v>
      </c>
      <c r="AA388" t="s">
        <v>42</v>
      </c>
      <c r="AB388" t="s">
        <v>43</v>
      </c>
      <c r="AC388">
        <v>12</v>
      </c>
      <c r="AD388" t="str" cm="1">
        <f t="array" ref="AD388">_xlfn.IFS(HRData[[#This Row],[PercentSalaryHike]]&lt;=15,"11-15",HRData[[#This Row],[PercentSalaryHike]]&lt;=20,"16-20",HRData[[#This Row],[PercentSalaryHike]]&gt;=21,"21+")</f>
        <v>11-15</v>
      </c>
      <c r="AE388">
        <v>3</v>
      </c>
      <c r="AF388">
        <v>3</v>
      </c>
      <c r="AG388">
        <v>80</v>
      </c>
      <c r="AH388">
        <v>1</v>
      </c>
      <c r="AI388">
        <v>18</v>
      </c>
      <c r="AJ388">
        <v>2</v>
      </c>
      <c r="AK388">
        <v>2</v>
      </c>
      <c r="AL388">
        <v>18</v>
      </c>
      <c r="AM388">
        <v>7</v>
      </c>
      <c r="AN388">
        <v>12</v>
      </c>
      <c r="AO388">
        <v>17</v>
      </c>
      <c r="AP38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388" t="str">
        <f>IF(HRData[[#This Row],[Attrition]]="Yes","Left", IF(HRData[[#This Row],[Attrition_Risk_Score]]&gt;=6,"High",IF(HRData[[#This Row],[Attrition_Risk_Score]]&gt;=3,"Medium","Low")))</f>
        <v>Medium</v>
      </c>
      <c r="AR388" t="str">
        <f>IF(HRData[[#This Row],[Attrition_Risk_Level]]&lt;&gt;"High","",HRData[[#This Row],[Attrition_Risk_Score]]*10000-HRData[[#This Row],[EmployeeNumber]])</f>
        <v/>
      </c>
    </row>
    <row r="389" spans="1:44">
      <c r="A389">
        <v>40</v>
      </c>
      <c r="B389" t="str" cm="1">
        <f t="array" ref="B389">_xlfn.IFS(
HRData[[#This Row],[Age]]&lt;=24,"18-24",
HRData[[#This Row],[Age]]&lt;=34,"25-34",
HRData[[#This Row],[Age]]&lt;=44,"35-44",
HRData[[#This Row],[Age]]&lt;=54,"45-54",
HRData[[#This Row],[Age]]&gt;=55,"55+"
)</f>
        <v>35-44</v>
      </c>
      <c r="C389" t="s">
        <v>43</v>
      </c>
      <c r="D389">
        <f>IF(HRData[[#This Row],[Attrition]]="Yes",1,0)</f>
        <v>0</v>
      </c>
      <c r="E389" t="s">
        <v>36</v>
      </c>
      <c r="F389">
        <v>759</v>
      </c>
      <c r="G389" t="s">
        <v>37</v>
      </c>
      <c r="H389">
        <v>2</v>
      </c>
      <c r="I389">
        <v>2</v>
      </c>
      <c r="J389" t="s">
        <v>59</v>
      </c>
      <c r="K389">
        <v>1</v>
      </c>
      <c r="L389">
        <v>516</v>
      </c>
      <c r="M389">
        <v>4</v>
      </c>
      <c r="N389" t="str" cm="1">
        <f t="array" ref="N389">_xlfn.IFS(HRData[[#This Row],[EnvironmentSatisfaction]]=1,"Very Dissatisfied",
HRData[[#This Row],[EnvironmentSatisfaction]]=2,"Dissatisfied",
HRData[[#This Row],[EnvironmentSatisfaction]]=3,"Satisfied",
HRData[[#This Row],[EnvironmentSatisfaction]]=4,"Very Satisfied"
)</f>
        <v>Very Satisfied</v>
      </c>
      <c r="O389" t="s">
        <v>39</v>
      </c>
      <c r="P389">
        <v>46</v>
      </c>
      <c r="Q389">
        <v>3</v>
      </c>
      <c r="R389">
        <v>2</v>
      </c>
      <c r="S389" t="s">
        <v>40</v>
      </c>
      <c r="T389">
        <v>2</v>
      </c>
      <c r="U389" t="str" cm="1">
        <f t="array" ref="U389">_xlfn.IFS(
HRData[[#This Row],[JobSatisfaction]]=1,"Very Dissatisfied",
HRData[[#This Row],[JobSatisfaction]]=2,"Dissatisfied",
HRData[[#This Row],[JobSatisfaction]]=3,"Satisfied",
HRData[[#This Row],[JobSatisfaction]]=4,"Very Satisfied"
)</f>
        <v>Dissatisfied</v>
      </c>
      <c r="V389" t="s">
        <v>52</v>
      </c>
      <c r="W389">
        <v>5715</v>
      </c>
      <c r="X389" t="str" cm="1">
        <f t="array" ref="X389">_xlfn.IFS(
HRData[[#This Row],[MonthlyIncome]]&lt;=4000,"Very Low Income",
HRData[[#This Row],[MonthlyIncome]]&lt;=8000,"Low Income",
HRData[[#This Row],[MonthlyIncome]]&lt;=12000,"Moderate Income",
HRData[[#This Row],[MonthlyIncome]]&lt;=16000,"High Income",
HRData[[#This Row],[MonthlyIncome]]&gt;16000,"Very High Income"
)</f>
        <v>Low Income</v>
      </c>
      <c r="Y389">
        <v>22553</v>
      </c>
      <c r="Z389">
        <v>7</v>
      </c>
      <c r="AA389" t="s">
        <v>42</v>
      </c>
      <c r="AB389" t="s">
        <v>43</v>
      </c>
      <c r="AC389">
        <v>12</v>
      </c>
      <c r="AD389" t="str" cm="1">
        <f t="array" ref="AD389">_xlfn.IFS(HRData[[#This Row],[PercentSalaryHike]]&lt;=15,"11-15",HRData[[#This Row],[PercentSalaryHike]]&lt;=20,"16-20",HRData[[#This Row],[PercentSalaryHike]]&gt;=21,"21+")</f>
        <v>11-15</v>
      </c>
      <c r="AE389">
        <v>3</v>
      </c>
      <c r="AF389">
        <v>3</v>
      </c>
      <c r="AG389">
        <v>80</v>
      </c>
      <c r="AH389">
        <v>2</v>
      </c>
      <c r="AI389">
        <v>8</v>
      </c>
      <c r="AJ389">
        <v>5</v>
      </c>
      <c r="AK389">
        <v>3</v>
      </c>
      <c r="AL389">
        <v>5</v>
      </c>
      <c r="AM389">
        <v>4</v>
      </c>
      <c r="AN389">
        <v>1</v>
      </c>
      <c r="AO389">
        <v>3</v>
      </c>
      <c r="AP38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389" t="str">
        <f>IF(HRData[[#This Row],[Attrition]]="Yes","Left", IF(HRData[[#This Row],[Attrition_Risk_Score]]&gt;=6,"High",IF(HRData[[#This Row],[Attrition_Risk_Score]]&gt;=3,"Medium","Low")))</f>
        <v>Low</v>
      </c>
      <c r="AR389" t="str">
        <f>IF(HRData[[#This Row],[Attrition_Risk_Level]]&lt;&gt;"High","",HRData[[#This Row],[Attrition_Risk_Score]]*10000-HRData[[#This Row],[EmployeeNumber]])</f>
        <v/>
      </c>
    </row>
    <row r="390" spans="1:44">
      <c r="A390">
        <v>42</v>
      </c>
      <c r="B390" t="str" cm="1">
        <f t="array" ref="B390">_xlfn.IFS(
HRData[[#This Row],[Age]]&lt;=24,"18-24",
HRData[[#This Row],[Age]]&lt;=34,"25-34",
HRData[[#This Row],[Age]]&lt;=44,"35-44",
HRData[[#This Row],[Age]]&lt;=54,"45-54",
HRData[[#This Row],[Age]]&gt;=55,"55+"
)</f>
        <v>35-44</v>
      </c>
      <c r="C390" t="s">
        <v>43</v>
      </c>
      <c r="D390">
        <f>IF(HRData[[#This Row],[Attrition]]="Yes",1,0)</f>
        <v>0</v>
      </c>
      <c r="E390" t="s">
        <v>36</v>
      </c>
      <c r="F390">
        <v>201</v>
      </c>
      <c r="G390" t="s">
        <v>45</v>
      </c>
      <c r="H390">
        <v>1</v>
      </c>
      <c r="I390">
        <v>4</v>
      </c>
      <c r="J390" t="s">
        <v>38</v>
      </c>
      <c r="K390">
        <v>1</v>
      </c>
      <c r="L390">
        <v>517</v>
      </c>
      <c r="M390">
        <v>2</v>
      </c>
      <c r="N390" t="str" cm="1">
        <f t="array" ref="N390">_xlfn.IFS(HRData[[#This Row],[EnvironmentSatisfaction]]=1,"Very Dissatisfied",
HRData[[#This Row],[EnvironmentSatisfaction]]=2,"Dissatisfied",
HRData[[#This Row],[EnvironmentSatisfaction]]=3,"Satisfied",
HRData[[#This Row],[EnvironmentSatisfaction]]=4,"Very Satisfied"
)</f>
        <v>Dissatisfied</v>
      </c>
      <c r="O390" t="s">
        <v>39</v>
      </c>
      <c r="P390">
        <v>95</v>
      </c>
      <c r="Q390">
        <v>3</v>
      </c>
      <c r="R390">
        <v>1</v>
      </c>
      <c r="S390" t="s">
        <v>50</v>
      </c>
      <c r="T390">
        <v>1</v>
      </c>
      <c r="U390" t="str" cm="1">
        <f t="array" ref="U390">_xlfn.IFS(
HRData[[#This Row],[JobSatisfaction]]=1,"Very Dissatisfied",
HRData[[#This Row],[JobSatisfaction]]=2,"Dissatisfied",
HRData[[#This Row],[JobSatisfaction]]=3,"Satisfied",
HRData[[#This Row],[JobSatisfaction]]=4,"Very Satisfied"
)</f>
        <v>Very Dissatisfied</v>
      </c>
      <c r="V390" t="s">
        <v>52</v>
      </c>
      <c r="W390">
        <v>2576</v>
      </c>
      <c r="X390" t="str" cm="1">
        <f t="array" ref="X390">_xlfn.IFS(
HRData[[#This Row],[MonthlyIncome]]&lt;=4000,"Very Low Income",
HRData[[#This Row],[MonthlyIncome]]&lt;=8000,"Low Income",
HRData[[#This Row],[MonthlyIncome]]&lt;=12000,"Moderate Income",
HRData[[#This Row],[MonthlyIncome]]&lt;=16000,"High Income",
HRData[[#This Row],[MonthlyIncome]]&gt;16000,"Very High Income"
)</f>
        <v>Very Low Income</v>
      </c>
      <c r="Y390">
        <v>20490</v>
      </c>
      <c r="Z390">
        <v>3</v>
      </c>
      <c r="AA390" t="s">
        <v>42</v>
      </c>
      <c r="AB390" t="s">
        <v>43</v>
      </c>
      <c r="AC390">
        <v>16</v>
      </c>
      <c r="AD390" t="str" cm="1">
        <f t="array" ref="AD390">_xlfn.IFS(HRData[[#This Row],[PercentSalaryHike]]&lt;=15,"11-15",HRData[[#This Row],[PercentSalaryHike]]&lt;=20,"16-20",HRData[[#This Row],[PercentSalaryHike]]&gt;=21,"21+")</f>
        <v>16-20</v>
      </c>
      <c r="AE390">
        <v>3</v>
      </c>
      <c r="AF390">
        <v>2</v>
      </c>
      <c r="AG390">
        <v>80</v>
      </c>
      <c r="AH390">
        <v>1</v>
      </c>
      <c r="AI390">
        <v>8</v>
      </c>
      <c r="AJ390">
        <v>5</v>
      </c>
      <c r="AK390">
        <v>3</v>
      </c>
      <c r="AL390">
        <v>5</v>
      </c>
      <c r="AM390">
        <v>2</v>
      </c>
      <c r="AN390">
        <v>1</v>
      </c>
      <c r="AO390">
        <v>2</v>
      </c>
      <c r="AP39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390" t="str">
        <f>IF(HRData[[#This Row],[Attrition]]="Yes","Left", IF(HRData[[#This Row],[Attrition_Risk_Score]]&gt;=6,"High",IF(HRData[[#This Row],[Attrition_Risk_Score]]&gt;=3,"Medium","Low")))</f>
        <v>Medium</v>
      </c>
      <c r="AR390" t="str">
        <f>IF(HRData[[#This Row],[Attrition_Risk_Level]]&lt;&gt;"High","",HRData[[#This Row],[Attrition_Risk_Score]]*10000-HRData[[#This Row],[EmployeeNumber]])</f>
        <v/>
      </c>
    </row>
    <row r="391" spans="1:44">
      <c r="A391">
        <v>37</v>
      </c>
      <c r="B391" t="str" cm="1">
        <f t="array" ref="B391">_xlfn.IFS(
HRData[[#This Row],[Age]]&lt;=24,"18-24",
HRData[[#This Row],[Age]]&lt;=34,"25-34",
HRData[[#This Row],[Age]]&lt;=44,"35-44",
HRData[[#This Row],[Age]]&lt;=54,"45-54",
HRData[[#This Row],[Age]]&gt;=55,"55+"
)</f>
        <v>35-44</v>
      </c>
      <c r="C391" t="s">
        <v>43</v>
      </c>
      <c r="D391">
        <f>IF(HRData[[#This Row],[Attrition]]="Yes",1,0)</f>
        <v>0</v>
      </c>
      <c r="E391" t="s">
        <v>36</v>
      </c>
      <c r="F391">
        <v>1305</v>
      </c>
      <c r="G391" t="s">
        <v>45</v>
      </c>
      <c r="H391">
        <v>10</v>
      </c>
      <c r="I391">
        <v>4</v>
      </c>
      <c r="J391" t="s">
        <v>38</v>
      </c>
      <c r="K391">
        <v>1</v>
      </c>
      <c r="L391">
        <v>518</v>
      </c>
      <c r="M391">
        <v>3</v>
      </c>
      <c r="N391" t="str" cm="1">
        <f t="array" ref="N391">_xlfn.IFS(HRData[[#This Row],[EnvironmentSatisfaction]]=1,"Very Dissatisfied",
HRData[[#This Row],[EnvironmentSatisfaction]]=2,"Dissatisfied",
HRData[[#This Row],[EnvironmentSatisfaction]]=3,"Satisfied",
HRData[[#This Row],[EnvironmentSatisfaction]]=4,"Very Satisfied"
)</f>
        <v>Satisfied</v>
      </c>
      <c r="O391" t="s">
        <v>46</v>
      </c>
      <c r="P391">
        <v>49</v>
      </c>
      <c r="Q391">
        <v>3</v>
      </c>
      <c r="R391">
        <v>2</v>
      </c>
      <c r="S391" t="s">
        <v>53</v>
      </c>
      <c r="T391">
        <v>2</v>
      </c>
      <c r="U391" t="str" cm="1">
        <f t="array" ref="U391">_xlfn.IFS(
HRData[[#This Row],[JobSatisfaction]]=1,"Very Dissatisfied",
HRData[[#This Row],[JobSatisfaction]]=2,"Dissatisfied",
HRData[[#This Row],[JobSatisfaction]]=3,"Satisfied",
HRData[[#This Row],[JobSatisfaction]]=4,"Very Satisfied"
)</f>
        <v>Dissatisfied</v>
      </c>
      <c r="V391" t="s">
        <v>41</v>
      </c>
      <c r="W391">
        <v>4197</v>
      </c>
      <c r="X391" t="str" cm="1">
        <f t="array" ref="X391">_xlfn.IFS(
HRData[[#This Row],[MonthlyIncome]]&lt;=4000,"Very Low Income",
HRData[[#This Row],[MonthlyIncome]]&lt;=8000,"Low Income",
HRData[[#This Row],[MonthlyIncome]]&lt;=12000,"Moderate Income",
HRData[[#This Row],[MonthlyIncome]]&lt;=16000,"High Income",
HRData[[#This Row],[MonthlyIncome]]&gt;16000,"Very High Income"
)</f>
        <v>Low Income</v>
      </c>
      <c r="Y391">
        <v>21123</v>
      </c>
      <c r="Z391">
        <v>2</v>
      </c>
      <c r="AA391" t="s">
        <v>42</v>
      </c>
      <c r="AB391" t="s">
        <v>35</v>
      </c>
      <c r="AC391">
        <v>12</v>
      </c>
      <c r="AD391" t="str" cm="1">
        <f t="array" ref="AD391">_xlfn.IFS(HRData[[#This Row],[PercentSalaryHike]]&lt;=15,"11-15",HRData[[#This Row],[PercentSalaryHike]]&lt;=20,"16-20",HRData[[#This Row],[PercentSalaryHike]]&gt;=21,"21+")</f>
        <v>11-15</v>
      </c>
      <c r="AE391">
        <v>3</v>
      </c>
      <c r="AF391">
        <v>4</v>
      </c>
      <c r="AG391">
        <v>80</v>
      </c>
      <c r="AH391">
        <v>0</v>
      </c>
      <c r="AI391">
        <v>18</v>
      </c>
      <c r="AJ391">
        <v>2</v>
      </c>
      <c r="AK391">
        <v>2</v>
      </c>
      <c r="AL391">
        <v>1</v>
      </c>
      <c r="AM391">
        <v>0</v>
      </c>
      <c r="AN391">
        <v>0</v>
      </c>
      <c r="AO391">
        <v>1</v>
      </c>
      <c r="AP39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391" t="str">
        <f>IF(HRData[[#This Row],[Attrition]]="Yes","Left", IF(HRData[[#This Row],[Attrition_Risk_Score]]&gt;=6,"High",IF(HRData[[#This Row],[Attrition_Risk_Score]]&gt;=3,"Medium","Low")))</f>
        <v>Medium</v>
      </c>
      <c r="AR391" t="str">
        <f>IF(HRData[[#This Row],[Attrition_Risk_Level]]&lt;&gt;"High","",HRData[[#This Row],[Attrition_Risk_Score]]*10000-HRData[[#This Row],[EmployeeNumber]])</f>
        <v/>
      </c>
    </row>
    <row r="392" spans="1:44">
      <c r="A392">
        <v>43</v>
      </c>
      <c r="B392" t="str" cm="1">
        <f t="array" ref="B392">_xlfn.IFS(
HRData[[#This Row],[Age]]&lt;=24,"18-24",
HRData[[#This Row],[Age]]&lt;=34,"25-34",
HRData[[#This Row],[Age]]&lt;=44,"35-44",
HRData[[#This Row],[Age]]&lt;=54,"45-54",
HRData[[#This Row],[Age]]&gt;=55,"55+"
)</f>
        <v>35-44</v>
      </c>
      <c r="C392" t="s">
        <v>43</v>
      </c>
      <c r="D392">
        <f>IF(HRData[[#This Row],[Attrition]]="Yes",1,0)</f>
        <v>0</v>
      </c>
      <c r="E392" t="s">
        <v>36</v>
      </c>
      <c r="F392">
        <v>982</v>
      </c>
      <c r="G392" t="s">
        <v>45</v>
      </c>
      <c r="H392">
        <v>12</v>
      </c>
      <c r="I392">
        <v>3</v>
      </c>
      <c r="J392" t="s">
        <v>38</v>
      </c>
      <c r="K392">
        <v>1</v>
      </c>
      <c r="L392">
        <v>520</v>
      </c>
      <c r="M392">
        <v>1</v>
      </c>
      <c r="N392" t="str" cm="1">
        <f t="array" ref="N392">_xlfn.IFS(HRData[[#This Row],[EnvironmentSatisfaction]]=1,"Very Dissatisfied",
HRData[[#This Row],[EnvironmentSatisfaction]]=2,"Dissatisfied",
HRData[[#This Row],[EnvironmentSatisfaction]]=3,"Satisfied",
HRData[[#This Row],[EnvironmentSatisfaction]]=4,"Very Satisfied"
)</f>
        <v>Very Dissatisfied</v>
      </c>
      <c r="O392" t="s">
        <v>46</v>
      </c>
      <c r="P392">
        <v>59</v>
      </c>
      <c r="Q392">
        <v>2</v>
      </c>
      <c r="R392">
        <v>4</v>
      </c>
      <c r="S392" t="s">
        <v>58</v>
      </c>
      <c r="T392">
        <v>2</v>
      </c>
      <c r="U392" t="str" cm="1">
        <f t="array" ref="U392">_xlfn.IFS(
HRData[[#This Row],[JobSatisfaction]]=1,"Very Dissatisfied",
HRData[[#This Row],[JobSatisfaction]]=2,"Dissatisfied",
HRData[[#This Row],[JobSatisfaction]]=3,"Satisfied",
HRData[[#This Row],[JobSatisfaction]]=4,"Very Satisfied"
)</f>
        <v>Dissatisfied</v>
      </c>
      <c r="V392" t="s">
        <v>52</v>
      </c>
      <c r="W392">
        <v>14336</v>
      </c>
      <c r="X392" t="str" cm="1">
        <f t="array" ref="X392">_xlfn.IFS(
HRData[[#This Row],[MonthlyIncome]]&lt;=4000,"Very Low Income",
HRData[[#This Row],[MonthlyIncome]]&lt;=8000,"Low Income",
HRData[[#This Row],[MonthlyIncome]]&lt;=12000,"Moderate Income",
HRData[[#This Row],[MonthlyIncome]]&lt;=16000,"High Income",
HRData[[#This Row],[MonthlyIncome]]&gt;16000,"Very High Income"
)</f>
        <v>High Income</v>
      </c>
      <c r="Y392">
        <v>4345</v>
      </c>
      <c r="Z392">
        <v>1</v>
      </c>
      <c r="AA392" t="s">
        <v>42</v>
      </c>
      <c r="AB392" t="s">
        <v>43</v>
      </c>
      <c r="AC392">
        <v>11</v>
      </c>
      <c r="AD392" t="str" cm="1">
        <f t="array" ref="AD392">_xlfn.IFS(HRData[[#This Row],[PercentSalaryHike]]&lt;=15,"11-15",HRData[[#This Row],[PercentSalaryHike]]&lt;=20,"16-20",HRData[[#This Row],[PercentSalaryHike]]&gt;=21,"21+")</f>
        <v>11-15</v>
      </c>
      <c r="AE392">
        <v>3</v>
      </c>
      <c r="AF392">
        <v>3</v>
      </c>
      <c r="AG392">
        <v>80</v>
      </c>
      <c r="AH392">
        <v>1</v>
      </c>
      <c r="AI392">
        <v>25</v>
      </c>
      <c r="AJ392">
        <v>3</v>
      </c>
      <c r="AK392">
        <v>3</v>
      </c>
      <c r="AL392">
        <v>25</v>
      </c>
      <c r="AM392">
        <v>10</v>
      </c>
      <c r="AN392">
        <v>3</v>
      </c>
      <c r="AO392">
        <v>9</v>
      </c>
      <c r="AP39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392" t="str">
        <f>IF(HRData[[#This Row],[Attrition]]="Yes","Left", IF(HRData[[#This Row],[Attrition_Risk_Score]]&gt;=6,"High",IF(HRData[[#This Row],[Attrition_Risk_Score]]&gt;=3,"Medium","Low")))</f>
        <v>Low</v>
      </c>
      <c r="AR392" t="str">
        <f>IF(HRData[[#This Row],[Attrition_Risk_Level]]&lt;&gt;"High","",HRData[[#This Row],[Attrition_Risk_Score]]*10000-HRData[[#This Row],[EmployeeNumber]])</f>
        <v/>
      </c>
    </row>
    <row r="393" spans="1:44">
      <c r="A393">
        <v>40</v>
      </c>
      <c r="B393" t="str" cm="1">
        <f t="array" ref="B393">_xlfn.IFS(
HRData[[#This Row],[Age]]&lt;=24,"18-24",
HRData[[#This Row],[Age]]&lt;=34,"25-34",
HRData[[#This Row],[Age]]&lt;=44,"35-44",
HRData[[#This Row],[Age]]&lt;=54,"45-54",
HRData[[#This Row],[Age]]&gt;=55,"55+"
)</f>
        <v>35-44</v>
      </c>
      <c r="C393" t="s">
        <v>43</v>
      </c>
      <c r="D393">
        <f>IF(HRData[[#This Row],[Attrition]]="Yes",1,0)</f>
        <v>0</v>
      </c>
      <c r="E393" t="s">
        <v>36</v>
      </c>
      <c r="F393">
        <v>555</v>
      </c>
      <c r="G393" t="s">
        <v>45</v>
      </c>
      <c r="H393">
        <v>2</v>
      </c>
      <c r="I393">
        <v>3</v>
      </c>
      <c r="J393" t="s">
        <v>51</v>
      </c>
      <c r="K393">
        <v>1</v>
      </c>
      <c r="L393">
        <v>521</v>
      </c>
      <c r="M393">
        <v>2</v>
      </c>
      <c r="N393" t="str" cm="1">
        <f t="array" ref="N393">_xlfn.IFS(HRData[[#This Row],[EnvironmentSatisfaction]]=1,"Very Dissatisfied",
HRData[[#This Row],[EnvironmentSatisfaction]]=2,"Dissatisfied",
HRData[[#This Row],[EnvironmentSatisfaction]]=3,"Satisfied",
HRData[[#This Row],[EnvironmentSatisfaction]]=4,"Very Satisfied"
)</f>
        <v>Dissatisfied</v>
      </c>
      <c r="O393" t="s">
        <v>39</v>
      </c>
      <c r="P393">
        <v>78</v>
      </c>
      <c r="Q393">
        <v>2</v>
      </c>
      <c r="R393">
        <v>2</v>
      </c>
      <c r="S393" t="s">
        <v>50</v>
      </c>
      <c r="T393">
        <v>3</v>
      </c>
      <c r="U393" t="str" cm="1">
        <f t="array" ref="U393">_xlfn.IFS(
HRData[[#This Row],[JobSatisfaction]]=1,"Very Dissatisfied",
HRData[[#This Row],[JobSatisfaction]]=2,"Dissatisfied",
HRData[[#This Row],[JobSatisfaction]]=3,"Satisfied",
HRData[[#This Row],[JobSatisfaction]]=4,"Very Satisfied"
)</f>
        <v>Satisfied</v>
      </c>
      <c r="V393" t="s">
        <v>48</v>
      </c>
      <c r="W393">
        <v>3448</v>
      </c>
      <c r="X393" t="str" cm="1">
        <f t="array" ref="X393">_xlfn.IFS(
HRData[[#This Row],[MonthlyIncome]]&lt;=4000,"Very Low Income",
HRData[[#This Row],[MonthlyIncome]]&lt;=8000,"Low Income",
HRData[[#This Row],[MonthlyIncome]]&lt;=12000,"Moderate Income",
HRData[[#This Row],[MonthlyIncome]]&lt;=16000,"High Income",
HRData[[#This Row],[MonthlyIncome]]&gt;16000,"Very High Income"
)</f>
        <v>Very Low Income</v>
      </c>
      <c r="Y393">
        <v>13436</v>
      </c>
      <c r="Z393">
        <v>6</v>
      </c>
      <c r="AA393" t="s">
        <v>42</v>
      </c>
      <c r="AB393" t="s">
        <v>43</v>
      </c>
      <c r="AC393">
        <v>22</v>
      </c>
      <c r="AD393" t="str" cm="1">
        <f t="array" ref="AD393">_xlfn.IFS(HRData[[#This Row],[PercentSalaryHike]]&lt;=15,"11-15",HRData[[#This Row],[PercentSalaryHike]]&lt;=20,"16-20",HRData[[#This Row],[PercentSalaryHike]]&gt;=21,"21+")</f>
        <v>21+</v>
      </c>
      <c r="AE393">
        <v>4</v>
      </c>
      <c r="AF393">
        <v>2</v>
      </c>
      <c r="AG393">
        <v>80</v>
      </c>
      <c r="AH393">
        <v>1</v>
      </c>
      <c r="AI393">
        <v>20</v>
      </c>
      <c r="AJ393">
        <v>3</v>
      </c>
      <c r="AK393">
        <v>3</v>
      </c>
      <c r="AL393">
        <v>1</v>
      </c>
      <c r="AM393">
        <v>0</v>
      </c>
      <c r="AN393">
        <v>0</v>
      </c>
      <c r="AO393">
        <v>0</v>
      </c>
      <c r="AP39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393" t="str">
        <f>IF(HRData[[#This Row],[Attrition]]="Yes","Left", IF(HRData[[#This Row],[Attrition_Risk_Score]]&gt;=6,"High",IF(HRData[[#This Row],[Attrition_Risk_Score]]&gt;=3,"Medium","Low")))</f>
        <v>Medium</v>
      </c>
      <c r="AR393" t="str">
        <f>IF(HRData[[#This Row],[Attrition_Risk_Level]]&lt;&gt;"High","",HRData[[#This Row],[Attrition_Risk_Score]]*10000-HRData[[#This Row],[EmployeeNumber]])</f>
        <v/>
      </c>
    </row>
    <row r="394" spans="1:44">
      <c r="A394">
        <v>54</v>
      </c>
      <c r="B394" t="str" cm="1">
        <f t="array" ref="B394">_xlfn.IFS(
HRData[[#This Row],[Age]]&lt;=24,"18-24",
HRData[[#This Row],[Age]]&lt;=34,"25-34",
HRData[[#This Row],[Age]]&lt;=44,"35-44",
HRData[[#This Row],[Age]]&lt;=54,"45-54",
HRData[[#This Row],[Age]]&gt;=55,"55+"
)</f>
        <v>45-54</v>
      </c>
      <c r="C394" t="s">
        <v>43</v>
      </c>
      <c r="D394">
        <f>IF(HRData[[#This Row],[Attrition]]="Yes",1,0)</f>
        <v>0</v>
      </c>
      <c r="E394" t="s">
        <v>36</v>
      </c>
      <c r="F394">
        <v>821</v>
      </c>
      <c r="G394" t="s">
        <v>45</v>
      </c>
      <c r="H394">
        <v>5</v>
      </c>
      <c r="I394">
        <v>2</v>
      </c>
      <c r="J394" t="s">
        <v>51</v>
      </c>
      <c r="K394">
        <v>1</v>
      </c>
      <c r="L394">
        <v>522</v>
      </c>
      <c r="M394">
        <v>1</v>
      </c>
      <c r="N394" t="str" cm="1">
        <f t="array" ref="N394">_xlfn.IFS(HRData[[#This Row],[EnvironmentSatisfaction]]=1,"Very Dissatisfied",
HRData[[#This Row],[EnvironmentSatisfaction]]=2,"Dissatisfied",
HRData[[#This Row],[EnvironmentSatisfaction]]=3,"Satisfied",
HRData[[#This Row],[EnvironmentSatisfaction]]=4,"Very Satisfied"
)</f>
        <v>Very Dissatisfied</v>
      </c>
      <c r="O394" t="s">
        <v>46</v>
      </c>
      <c r="P394">
        <v>86</v>
      </c>
      <c r="Q394">
        <v>3</v>
      </c>
      <c r="R394">
        <v>5</v>
      </c>
      <c r="S394" t="s">
        <v>58</v>
      </c>
      <c r="T394">
        <v>1</v>
      </c>
      <c r="U394" t="str" cm="1">
        <f t="array" ref="U394">_xlfn.IFS(
HRData[[#This Row],[JobSatisfaction]]=1,"Very Dissatisfied",
HRData[[#This Row],[JobSatisfaction]]=2,"Dissatisfied",
HRData[[#This Row],[JobSatisfaction]]=3,"Satisfied",
HRData[[#This Row],[JobSatisfaction]]=4,"Very Satisfied"
)</f>
        <v>Very Dissatisfied</v>
      </c>
      <c r="V394" t="s">
        <v>48</v>
      </c>
      <c r="W394">
        <v>19406</v>
      </c>
      <c r="X394" t="str" cm="1">
        <f t="array" ref="X394">_xlfn.IFS(
HRData[[#This Row],[MonthlyIncome]]&lt;=4000,"Very Low Income",
HRData[[#This Row],[MonthlyIncome]]&lt;=8000,"Low Income",
HRData[[#This Row],[MonthlyIncome]]&lt;=12000,"Moderate Income",
HRData[[#This Row],[MonthlyIncome]]&lt;=16000,"High Income",
HRData[[#This Row],[MonthlyIncome]]&gt;16000,"Very High Income"
)</f>
        <v>Very High Income</v>
      </c>
      <c r="Y394">
        <v>8509</v>
      </c>
      <c r="Z394">
        <v>4</v>
      </c>
      <c r="AA394" t="s">
        <v>42</v>
      </c>
      <c r="AB394" t="s">
        <v>43</v>
      </c>
      <c r="AC394">
        <v>11</v>
      </c>
      <c r="AD394" t="str" cm="1">
        <f t="array" ref="AD394">_xlfn.IFS(HRData[[#This Row],[PercentSalaryHike]]&lt;=15,"11-15",HRData[[#This Row],[PercentSalaryHike]]&lt;=20,"16-20",HRData[[#This Row],[PercentSalaryHike]]&gt;=21,"21+")</f>
        <v>11-15</v>
      </c>
      <c r="AE394">
        <v>3</v>
      </c>
      <c r="AF394">
        <v>3</v>
      </c>
      <c r="AG394">
        <v>80</v>
      </c>
      <c r="AH394">
        <v>1</v>
      </c>
      <c r="AI394">
        <v>24</v>
      </c>
      <c r="AJ394">
        <v>4</v>
      </c>
      <c r="AK394">
        <v>2</v>
      </c>
      <c r="AL394">
        <v>4</v>
      </c>
      <c r="AM394">
        <v>2</v>
      </c>
      <c r="AN394">
        <v>1</v>
      </c>
      <c r="AO394">
        <v>2</v>
      </c>
      <c r="AP39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94" t="str">
        <f>IF(HRData[[#This Row],[Attrition]]="Yes","Left", IF(HRData[[#This Row],[Attrition_Risk_Score]]&gt;=6,"High",IF(HRData[[#This Row],[Attrition_Risk_Score]]&gt;=3,"Medium","Low")))</f>
        <v>Low</v>
      </c>
      <c r="AR394" t="str">
        <f>IF(HRData[[#This Row],[Attrition_Risk_Level]]&lt;&gt;"High","",HRData[[#This Row],[Attrition_Risk_Score]]*10000-HRData[[#This Row],[EmployeeNumber]])</f>
        <v/>
      </c>
    </row>
    <row r="395" spans="1:44">
      <c r="A395">
        <v>34</v>
      </c>
      <c r="B395" t="str" cm="1">
        <f t="array" ref="B395">_xlfn.IFS(
HRData[[#This Row],[Age]]&lt;=24,"18-24",
HRData[[#This Row],[Age]]&lt;=34,"25-34",
HRData[[#This Row],[Age]]&lt;=44,"35-44",
HRData[[#This Row],[Age]]&lt;=54,"45-54",
HRData[[#This Row],[Age]]&gt;=55,"55+"
)</f>
        <v>25-34</v>
      </c>
      <c r="C395" t="s">
        <v>43</v>
      </c>
      <c r="D395">
        <f>IF(HRData[[#This Row],[Attrition]]="Yes",1,0)</f>
        <v>0</v>
      </c>
      <c r="E395" t="s">
        <v>55</v>
      </c>
      <c r="F395">
        <v>1381</v>
      </c>
      <c r="G395" t="s">
        <v>37</v>
      </c>
      <c r="H395">
        <v>4</v>
      </c>
      <c r="I395">
        <v>4</v>
      </c>
      <c r="J395" t="s">
        <v>59</v>
      </c>
      <c r="K395">
        <v>1</v>
      </c>
      <c r="L395">
        <v>523</v>
      </c>
      <c r="M395">
        <v>3</v>
      </c>
      <c r="N395" t="str" cm="1">
        <f t="array" ref="N395">_xlfn.IFS(HRData[[#This Row],[EnvironmentSatisfaction]]=1,"Very Dissatisfied",
HRData[[#This Row],[EnvironmentSatisfaction]]=2,"Dissatisfied",
HRData[[#This Row],[EnvironmentSatisfaction]]=3,"Satisfied",
HRData[[#This Row],[EnvironmentSatisfaction]]=4,"Very Satisfied"
)</f>
        <v>Satisfied</v>
      </c>
      <c r="O395" t="s">
        <v>39</v>
      </c>
      <c r="P395">
        <v>72</v>
      </c>
      <c r="Q395">
        <v>3</v>
      </c>
      <c r="R395">
        <v>2</v>
      </c>
      <c r="S395" t="s">
        <v>40</v>
      </c>
      <c r="T395">
        <v>3</v>
      </c>
      <c r="U395" t="str" cm="1">
        <f t="array" ref="U395">_xlfn.IFS(
HRData[[#This Row],[JobSatisfaction]]=1,"Very Dissatisfied",
HRData[[#This Row],[JobSatisfaction]]=2,"Dissatisfied",
HRData[[#This Row],[JobSatisfaction]]=3,"Satisfied",
HRData[[#This Row],[JobSatisfaction]]=4,"Very Satisfied"
)</f>
        <v>Satisfied</v>
      </c>
      <c r="V395" t="s">
        <v>48</v>
      </c>
      <c r="W395">
        <v>6538</v>
      </c>
      <c r="X395" t="str" cm="1">
        <f t="array" ref="X395">_xlfn.IFS(
HRData[[#This Row],[MonthlyIncome]]&lt;=4000,"Very Low Income",
HRData[[#This Row],[MonthlyIncome]]&lt;=8000,"Low Income",
HRData[[#This Row],[MonthlyIncome]]&lt;=12000,"Moderate Income",
HRData[[#This Row],[MonthlyIncome]]&lt;=16000,"High Income",
HRData[[#This Row],[MonthlyIncome]]&gt;16000,"Very High Income"
)</f>
        <v>Low Income</v>
      </c>
      <c r="Y395">
        <v>12740</v>
      </c>
      <c r="Z395">
        <v>9</v>
      </c>
      <c r="AA395" t="s">
        <v>42</v>
      </c>
      <c r="AB395" t="s">
        <v>43</v>
      </c>
      <c r="AC395">
        <v>15</v>
      </c>
      <c r="AD395" t="str" cm="1">
        <f t="array" ref="AD395">_xlfn.IFS(HRData[[#This Row],[PercentSalaryHike]]&lt;=15,"11-15",HRData[[#This Row],[PercentSalaryHike]]&lt;=20,"16-20",HRData[[#This Row],[PercentSalaryHike]]&gt;=21,"21+")</f>
        <v>11-15</v>
      </c>
      <c r="AE395">
        <v>3</v>
      </c>
      <c r="AF395">
        <v>1</v>
      </c>
      <c r="AG395">
        <v>80</v>
      </c>
      <c r="AH395">
        <v>1</v>
      </c>
      <c r="AI395">
        <v>6</v>
      </c>
      <c r="AJ395">
        <v>3</v>
      </c>
      <c r="AK395">
        <v>3</v>
      </c>
      <c r="AL395">
        <v>3</v>
      </c>
      <c r="AM395">
        <v>2</v>
      </c>
      <c r="AN395">
        <v>1</v>
      </c>
      <c r="AO395">
        <v>2</v>
      </c>
      <c r="AP39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95" t="str">
        <f>IF(HRData[[#This Row],[Attrition]]="Yes","Left", IF(HRData[[#This Row],[Attrition_Risk_Score]]&gt;=6,"High",IF(HRData[[#This Row],[Attrition_Risk_Score]]&gt;=3,"Medium","Low")))</f>
        <v>Low</v>
      </c>
      <c r="AR395" t="str">
        <f>IF(HRData[[#This Row],[Attrition_Risk_Level]]&lt;&gt;"High","",HRData[[#This Row],[Attrition_Risk_Score]]*10000-HRData[[#This Row],[EmployeeNumber]])</f>
        <v/>
      </c>
    </row>
    <row r="396" spans="1:44">
      <c r="A396">
        <v>31</v>
      </c>
      <c r="B396" t="str" cm="1">
        <f t="array" ref="B396">_xlfn.IFS(
HRData[[#This Row],[Age]]&lt;=24,"18-24",
HRData[[#This Row],[Age]]&lt;=34,"25-34",
HRData[[#This Row],[Age]]&lt;=44,"35-44",
HRData[[#This Row],[Age]]&lt;=54,"45-54",
HRData[[#This Row],[Age]]&gt;=55,"55+"
)</f>
        <v>25-34</v>
      </c>
      <c r="C396" t="s">
        <v>43</v>
      </c>
      <c r="D396">
        <f>IF(HRData[[#This Row],[Attrition]]="Yes",1,0)</f>
        <v>0</v>
      </c>
      <c r="E396" t="s">
        <v>36</v>
      </c>
      <c r="F396">
        <v>480</v>
      </c>
      <c r="G396" t="s">
        <v>45</v>
      </c>
      <c r="H396">
        <v>7</v>
      </c>
      <c r="I396">
        <v>2</v>
      </c>
      <c r="J396" t="s">
        <v>51</v>
      </c>
      <c r="K396">
        <v>1</v>
      </c>
      <c r="L396">
        <v>524</v>
      </c>
      <c r="M396">
        <v>2</v>
      </c>
      <c r="N396" t="str" cm="1">
        <f t="array" ref="N396">_xlfn.IFS(HRData[[#This Row],[EnvironmentSatisfaction]]=1,"Very Dissatisfied",
HRData[[#This Row],[EnvironmentSatisfaction]]=2,"Dissatisfied",
HRData[[#This Row],[EnvironmentSatisfaction]]=3,"Satisfied",
HRData[[#This Row],[EnvironmentSatisfaction]]=4,"Very Satisfied"
)</f>
        <v>Dissatisfied</v>
      </c>
      <c r="O396" t="s">
        <v>39</v>
      </c>
      <c r="P396">
        <v>31</v>
      </c>
      <c r="Q396">
        <v>3</v>
      </c>
      <c r="R396">
        <v>2</v>
      </c>
      <c r="S396" t="s">
        <v>53</v>
      </c>
      <c r="T396">
        <v>1</v>
      </c>
      <c r="U396" t="str" cm="1">
        <f t="array" ref="U396">_xlfn.IFS(
HRData[[#This Row],[JobSatisfaction]]=1,"Very Dissatisfied",
HRData[[#This Row],[JobSatisfaction]]=2,"Dissatisfied",
HRData[[#This Row],[JobSatisfaction]]=3,"Satisfied",
HRData[[#This Row],[JobSatisfaction]]=4,"Very Satisfied"
)</f>
        <v>Very Dissatisfied</v>
      </c>
      <c r="V396" t="s">
        <v>48</v>
      </c>
      <c r="W396">
        <v>4306</v>
      </c>
      <c r="X396" t="str" cm="1">
        <f t="array" ref="X396">_xlfn.IFS(
HRData[[#This Row],[MonthlyIncome]]&lt;=4000,"Very Low Income",
HRData[[#This Row],[MonthlyIncome]]&lt;=8000,"Low Income",
HRData[[#This Row],[MonthlyIncome]]&lt;=12000,"Moderate Income",
HRData[[#This Row],[MonthlyIncome]]&lt;=16000,"High Income",
HRData[[#This Row],[MonthlyIncome]]&gt;16000,"Very High Income"
)</f>
        <v>Low Income</v>
      </c>
      <c r="Y396">
        <v>4156</v>
      </c>
      <c r="Z396">
        <v>1</v>
      </c>
      <c r="AA396" t="s">
        <v>42</v>
      </c>
      <c r="AB396" t="s">
        <v>43</v>
      </c>
      <c r="AC396">
        <v>12</v>
      </c>
      <c r="AD396" t="str" cm="1">
        <f t="array" ref="AD396">_xlfn.IFS(HRData[[#This Row],[PercentSalaryHike]]&lt;=15,"11-15",HRData[[#This Row],[PercentSalaryHike]]&lt;=20,"16-20",HRData[[#This Row],[PercentSalaryHike]]&gt;=21,"21+")</f>
        <v>11-15</v>
      </c>
      <c r="AE396">
        <v>3</v>
      </c>
      <c r="AF396">
        <v>2</v>
      </c>
      <c r="AG396">
        <v>80</v>
      </c>
      <c r="AH396">
        <v>1</v>
      </c>
      <c r="AI396">
        <v>13</v>
      </c>
      <c r="AJ396">
        <v>5</v>
      </c>
      <c r="AK396">
        <v>1</v>
      </c>
      <c r="AL396">
        <v>13</v>
      </c>
      <c r="AM396">
        <v>10</v>
      </c>
      <c r="AN396">
        <v>3</v>
      </c>
      <c r="AO396">
        <v>12</v>
      </c>
      <c r="AP39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96" t="str">
        <f>IF(HRData[[#This Row],[Attrition]]="Yes","Left", IF(HRData[[#This Row],[Attrition_Risk_Score]]&gt;=6,"High",IF(HRData[[#This Row],[Attrition_Risk_Score]]&gt;=3,"Medium","Low")))</f>
        <v>Medium</v>
      </c>
      <c r="AR396" t="str">
        <f>IF(HRData[[#This Row],[Attrition_Risk_Level]]&lt;&gt;"High","",HRData[[#This Row],[Attrition_Risk_Score]]*10000-HRData[[#This Row],[EmployeeNumber]])</f>
        <v/>
      </c>
    </row>
    <row r="397" spans="1:44">
      <c r="A397">
        <v>43</v>
      </c>
      <c r="B397" t="str" cm="1">
        <f t="array" ref="B397">_xlfn.IFS(
HRData[[#This Row],[Age]]&lt;=24,"18-24",
HRData[[#This Row],[Age]]&lt;=34,"25-34",
HRData[[#This Row],[Age]]&lt;=44,"35-44",
HRData[[#This Row],[Age]]&lt;=54,"45-54",
HRData[[#This Row],[Age]]&gt;=55,"55+"
)</f>
        <v>35-44</v>
      </c>
      <c r="C397" t="s">
        <v>43</v>
      </c>
      <c r="D397">
        <f>IF(HRData[[#This Row],[Attrition]]="Yes",1,0)</f>
        <v>0</v>
      </c>
      <c r="E397" t="s">
        <v>44</v>
      </c>
      <c r="F397">
        <v>313</v>
      </c>
      <c r="G397" t="s">
        <v>45</v>
      </c>
      <c r="H397">
        <v>21</v>
      </c>
      <c r="I397">
        <v>3</v>
      </c>
      <c r="J397" t="s">
        <v>51</v>
      </c>
      <c r="K397">
        <v>1</v>
      </c>
      <c r="L397">
        <v>525</v>
      </c>
      <c r="M397">
        <v>4</v>
      </c>
      <c r="N397" t="str" cm="1">
        <f t="array" ref="N397">_xlfn.IFS(HRData[[#This Row],[EnvironmentSatisfaction]]=1,"Very Dissatisfied",
HRData[[#This Row],[EnvironmentSatisfaction]]=2,"Dissatisfied",
HRData[[#This Row],[EnvironmentSatisfaction]]=3,"Satisfied",
HRData[[#This Row],[EnvironmentSatisfaction]]=4,"Very Satisfied"
)</f>
        <v>Very Satisfied</v>
      </c>
      <c r="O397" t="s">
        <v>46</v>
      </c>
      <c r="P397">
        <v>61</v>
      </c>
      <c r="Q397">
        <v>3</v>
      </c>
      <c r="R397">
        <v>1</v>
      </c>
      <c r="S397" t="s">
        <v>50</v>
      </c>
      <c r="T397">
        <v>4</v>
      </c>
      <c r="U397" t="str" cm="1">
        <f t="array" ref="U397">_xlfn.IFS(
HRData[[#This Row],[JobSatisfaction]]=1,"Very Dissatisfied",
HRData[[#This Row],[JobSatisfaction]]=2,"Dissatisfied",
HRData[[#This Row],[JobSatisfaction]]=3,"Satisfied",
HRData[[#This Row],[JobSatisfaction]]=4,"Very Satisfied"
)</f>
        <v>Very Satisfied</v>
      </c>
      <c r="V397" t="s">
        <v>48</v>
      </c>
      <c r="W397">
        <v>2258</v>
      </c>
      <c r="X397" t="str" cm="1">
        <f t="array" ref="X397">_xlfn.IFS(
HRData[[#This Row],[MonthlyIncome]]&lt;=4000,"Very Low Income",
HRData[[#This Row],[MonthlyIncome]]&lt;=8000,"Low Income",
HRData[[#This Row],[MonthlyIncome]]&lt;=12000,"Moderate Income",
HRData[[#This Row],[MonthlyIncome]]&lt;=16000,"High Income",
HRData[[#This Row],[MonthlyIncome]]&gt;16000,"Very High Income"
)</f>
        <v>Very Low Income</v>
      </c>
      <c r="Y397">
        <v>15238</v>
      </c>
      <c r="Z397">
        <v>7</v>
      </c>
      <c r="AA397" t="s">
        <v>42</v>
      </c>
      <c r="AB397" t="s">
        <v>43</v>
      </c>
      <c r="AC397">
        <v>20</v>
      </c>
      <c r="AD397" t="str" cm="1">
        <f t="array" ref="AD397">_xlfn.IFS(HRData[[#This Row],[PercentSalaryHike]]&lt;=15,"11-15",HRData[[#This Row],[PercentSalaryHike]]&lt;=20,"16-20",HRData[[#This Row],[PercentSalaryHike]]&gt;=21,"21+")</f>
        <v>16-20</v>
      </c>
      <c r="AE397">
        <v>4</v>
      </c>
      <c r="AF397">
        <v>1</v>
      </c>
      <c r="AG397">
        <v>80</v>
      </c>
      <c r="AH397">
        <v>1</v>
      </c>
      <c r="AI397">
        <v>8</v>
      </c>
      <c r="AJ397">
        <v>1</v>
      </c>
      <c r="AK397">
        <v>3</v>
      </c>
      <c r="AL397">
        <v>3</v>
      </c>
      <c r="AM397">
        <v>2</v>
      </c>
      <c r="AN397">
        <v>1</v>
      </c>
      <c r="AO397">
        <v>2</v>
      </c>
      <c r="AP39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397" t="str">
        <f>IF(HRData[[#This Row],[Attrition]]="Yes","Left", IF(HRData[[#This Row],[Attrition_Risk_Score]]&gt;=6,"High",IF(HRData[[#This Row],[Attrition_Risk_Score]]&gt;=3,"Medium","Low")))</f>
        <v>Medium</v>
      </c>
      <c r="AR397" t="str">
        <f>IF(HRData[[#This Row],[Attrition_Risk_Level]]&lt;&gt;"High","",HRData[[#This Row],[Attrition_Risk_Score]]*10000-HRData[[#This Row],[EmployeeNumber]])</f>
        <v/>
      </c>
    </row>
    <row r="398" spans="1:44">
      <c r="A398">
        <v>43</v>
      </c>
      <c r="B398" t="str" cm="1">
        <f t="array" ref="B398">_xlfn.IFS(
HRData[[#This Row],[Age]]&lt;=24,"18-24",
HRData[[#This Row],[Age]]&lt;=34,"25-34",
HRData[[#This Row],[Age]]&lt;=44,"35-44",
HRData[[#This Row],[Age]]&lt;=54,"45-54",
HRData[[#This Row],[Age]]&gt;=55,"55+"
)</f>
        <v>35-44</v>
      </c>
      <c r="C398" t="s">
        <v>43</v>
      </c>
      <c r="D398">
        <f>IF(HRData[[#This Row],[Attrition]]="Yes",1,0)</f>
        <v>0</v>
      </c>
      <c r="E398" t="s">
        <v>36</v>
      </c>
      <c r="F398">
        <v>1473</v>
      </c>
      <c r="G398" t="s">
        <v>45</v>
      </c>
      <c r="H398">
        <v>8</v>
      </c>
      <c r="I398">
        <v>4</v>
      </c>
      <c r="J398" t="s">
        <v>49</v>
      </c>
      <c r="K398">
        <v>1</v>
      </c>
      <c r="L398">
        <v>526</v>
      </c>
      <c r="M398">
        <v>3</v>
      </c>
      <c r="N398" t="str" cm="1">
        <f t="array" ref="N398">_xlfn.IFS(HRData[[#This Row],[EnvironmentSatisfaction]]=1,"Very Dissatisfied",
HRData[[#This Row],[EnvironmentSatisfaction]]=2,"Dissatisfied",
HRData[[#This Row],[EnvironmentSatisfaction]]=3,"Satisfied",
HRData[[#This Row],[EnvironmentSatisfaction]]=4,"Very Satisfied"
)</f>
        <v>Satisfied</v>
      </c>
      <c r="O398" t="s">
        <v>39</v>
      </c>
      <c r="P398">
        <v>74</v>
      </c>
      <c r="Q398">
        <v>3</v>
      </c>
      <c r="R398">
        <v>2</v>
      </c>
      <c r="S398" t="s">
        <v>54</v>
      </c>
      <c r="T398">
        <v>3</v>
      </c>
      <c r="U398" t="str" cm="1">
        <f t="array" ref="U398">_xlfn.IFS(
HRData[[#This Row],[JobSatisfaction]]=1,"Very Dissatisfied",
HRData[[#This Row],[JobSatisfaction]]=2,"Dissatisfied",
HRData[[#This Row],[JobSatisfaction]]=3,"Satisfied",
HRData[[#This Row],[JobSatisfaction]]=4,"Very Satisfied"
)</f>
        <v>Satisfied</v>
      </c>
      <c r="V398" t="s">
        <v>52</v>
      </c>
      <c r="W398">
        <v>4522</v>
      </c>
      <c r="X398" t="str" cm="1">
        <f t="array" ref="X398">_xlfn.IFS(
HRData[[#This Row],[MonthlyIncome]]&lt;=4000,"Very Low Income",
HRData[[#This Row],[MonthlyIncome]]&lt;=8000,"Low Income",
HRData[[#This Row],[MonthlyIncome]]&lt;=12000,"Moderate Income",
HRData[[#This Row],[MonthlyIncome]]&lt;=16000,"High Income",
HRData[[#This Row],[MonthlyIncome]]&gt;16000,"Very High Income"
)</f>
        <v>Low Income</v>
      </c>
      <c r="Y398">
        <v>2227</v>
      </c>
      <c r="Z398">
        <v>4</v>
      </c>
      <c r="AA398" t="s">
        <v>42</v>
      </c>
      <c r="AB398" t="s">
        <v>35</v>
      </c>
      <c r="AC398">
        <v>14</v>
      </c>
      <c r="AD398" t="str" cm="1">
        <f t="array" ref="AD398">_xlfn.IFS(HRData[[#This Row],[PercentSalaryHike]]&lt;=15,"11-15",HRData[[#This Row],[PercentSalaryHike]]&lt;=20,"16-20",HRData[[#This Row],[PercentSalaryHike]]&gt;=21,"21+")</f>
        <v>11-15</v>
      </c>
      <c r="AE398">
        <v>3</v>
      </c>
      <c r="AF398">
        <v>4</v>
      </c>
      <c r="AG398">
        <v>80</v>
      </c>
      <c r="AH398">
        <v>0</v>
      </c>
      <c r="AI398">
        <v>8</v>
      </c>
      <c r="AJ398">
        <v>3</v>
      </c>
      <c r="AK398">
        <v>3</v>
      </c>
      <c r="AL398">
        <v>5</v>
      </c>
      <c r="AM398">
        <v>2</v>
      </c>
      <c r="AN398">
        <v>0</v>
      </c>
      <c r="AO398">
        <v>2</v>
      </c>
      <c r="AP39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398" t="str">
        <f>IF(HRData[[#This Row],[Attrition]]="Yes","Left", IF(HRData[[#This Row],[Attrition_Risk_Score]]&gt;=6,"High",IF(HRData[[#This Row],[Attrition_Risk_Score]]&gt;=3,"Medium","Low")))</f>
        <v>Medium</v>
      </c>
      <c r="AR398" t="str">
        <f>IF(HRData[[#This Row],[Attrition_Risk_Level]]&lt;&gt;"High","",HRData[[#This Row],[Attrition_Risk_Score]]*10000-HRData[[#This Row],[EmployeeNumber]])</f>
        <v/>
      </c>
    </row>
    <row r="399" spans="1:44">
      <c r="A399">
        <v>25</v>
      </c>
      <c r="B399" t="str" cm="1">
        <f t="array" ref="B399">_xlfn.IFS(
HRData[[#This Row],[Age]]&lt;=24,"18-24",
HRData[[#This Row],[Age]]&lt;=34,"25-34",
HRData[[#This Row],[Age]]&lt;=44,"35-44",
HRData[[#This Row],[Age]]&lt;=54,"45-54",
HRData[[#This Row],[Age]]&gt;=55,"55+"
)</f>
        <v>25-34</v>
      </c>
      <c r="C399" t="s">
        <v>43</v>
      </c>
      <c r="D399">
        <f>IF(HRData[[#This Row],[Attrition]]="Yes",1,0)</f>
        <v>0</v>
      </c>
      <c r="E399" t="s">
        <v>36</v>
      </c>
      <c r="F399">
        <v>891</v>
      </c>
      <c r="G399" t="s">
        <v>37</v>
      </c>
      <c r="H399">
        <v>4</v>
      </c>
      <c r="I399">
        <v>2</v>
      </c>
      <c r="J399" t="s">
        <v>38</v>
      </c>
      <c r="K399">
        <v>1</v>
      </c>
      <c r="L399">
        <v>527</v>
      </c>
      <c r="M399">
        <v>2</v>
      </c>
      <c r="N399" t="str" cm="1">
        <f t="array" ref="N399">_xlfn.IFS(HRData[[#This Row],[EnvironmentSatisfaction]]=1,"Very Dissatisfied",
HRData[[#This Row],[EnvironmentSatisfaction]]=2,"Dissatisfied",
HRData[[#This Row],[EnvironmentSatisfaction]]=3,"Satisfied",
HRData[[#This Row],[EnvironmentSatisfaction]]=4,"Very Satisfied"
)</f>
        <v>Dissatisfied</v>
      </c>
      <c r="O399" t="s">
        <v>39</v>
      </c>
      <c r="P399">
        <v>99</v>
      </c>
      <c r="Q399">
        <v>2</v>
      </c>
      <c r="R399">
        <v>2</v>
      </c>
      <c r="S399" t="s">
        <v>40</v>
      </c>
      <c r="T399">
        <v>4</v>
      </c>
      <c r="U399" t="str" cm="1">
        <f t="array" ref="U399">_xlfn.IFS(
HRData[[#This Row],[JobSatisfaction]]=1,"Very Dissatisfied",
HRData[[#This Row],[JobSatisfaction]]=2,"Dissatisfied",
HRData[[#This Row],[JobSatisfaction]]=3,"Satisfied",
HRData[[#This Row],[JobSatisfaction]]=4,"Very Satisfied"
)</f>
        <v>Very Satisfied</v>
      </c>
      <c r="V399" t="s">
        <v>41</v>
      </c>
      <c r="W399">
        <v>4487</v>
      </c>
      <c r="X399" t="str" cm="1">
        <f t="array" ref="X399">_xlfn.IFS(
HRData[[#This Row],[MonthlyIncome]]&lt;=4000,"Very Low Income",
HRData[[#This Row],[MonthlyIncome]]&lt;=8000,"Low Income",
HRData[[#This Row],[MonthlyIncome]]&lt;=12000,"Moderate Income",
HRData[[#This Row],[MonthlyIncome]]&lt;=16000,"High Income",
HRData[[#This Row],[MonthlyIncome]]&gt;16000,"Very High Income"
)</f>
        <v>Low Income</v>
      </c>
      <c r="Y399">
        <v>12090</v>
      </c>
      <c r="Z399">
        <v>1</v>
      </c>
      <c r="AA399" t="s">
        <v>42</v>
      </c>
      <c r="AB399" t="s">
        <v>35</v>
      </c>
      <c r="AC399">
        <v>11</v>
      </c>
      <c r="AD399" t="str" cm="1">
        <f t="array" ref="AD399">_xlfn.IFS(HRData[[#This Row],[PercentSalaryHike]]&lt;=15,"11-15",HRData[[#This Row],[PercentSalaryHike]]&lt;=20,"16-20",HRData[[#This Row],[PercentSalaryHike]]&gt;=21,"21+")</f>
        <v>11-15</v>
      </c>
      <c r="AE399">
        <v>3</v>
      </c>
      <c r="AF399">
        <v>2</v>
      </c>
      <c r="AG399">
        <v>80</v>
      </c>
      <c r="AH399">
        <v>0</v>
      </c>
      <c r="AI399">
        <v>5</v>
      </c>
      <c r="AJ399">
        <v>3</v>
      </c>
      <c r="AK399">
        <v>3</v>
      </c>
      <c r="AL399">
        <v>5</v>
      </c>
      <c r="AM399">
        <v>4</v>
      </c>
      <c r="AN399">
        <v>1</v>
      </c>
      <c r="AO399">
        <v>3</v>
      </c>
      <c r="AP39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99" t="str">
        <f>IF(HRData[[#This Row],[Attrition]]="Yes","Left", IF(HRData[[#This Row],[Attrition_Risk_Score]]&gt;=6,"High",IF(HRData[[#This Row],[Attrition_Risk_Score]]&gt;=3,"Medium","Low")))</f>
        <v>Medium</v>
      </c>
      <c r="AR399" t="str">
        <f>IF(HRData[[#This Row],[Attrition_Risk_Level]]&lt;&gt;"High","",HRData[[#This Row],[Attrition_Risk_Score]]*10000-HRData[[#This Row],[EmployeeNumber]])</f>
        <v/>
      </c>
    </row>
    <row r="400" spans="1:44">
      <c r="A400">
        <v>37</v>
      </c>
      <c r="B400" t="str" cm="1">
        <f t="array" ref="B400">_xlfn.IFS(
HRData[[#This Row],[Age]]&lt;=24,"18-24",
HRData[[#This Row],[Age]]&lt;=34,"25-34",
HRData[[#This Row],[Age]]&lt;=44,"35-44",
HRData[[#This Row],[Age]]&lt;=54,"45-54",
HRData[[#This Row],[Age]]&gt;=55,"55+"
)</f>
        <v>35-44</v>
      </c>
      <c r="C400" t="s">
        <v>43</v>
      </c>
      <c r="D400">
        <f>IF(HRData[[#This Row],[Attrition]]="Yes",1,0)</f>
        <v>0</v>
      </c>
      <c r="E400" t="s">
        <v>55</v>
      </c>
      <c r="F400">
        <v>1063</v>
      </c>
      <c r="G400" t="s">
        <v>45</v>
      </c>
      <c r="H400">
        <v>25</v>
      </c>
      <c r="I400">
        <v>5</v>
      </c>
      <c r="J400" t="s">
        <v>51</v>
      </c>
      <c r="K400">
        <v>1</v>
      </c>
      <c r="L400">
        <v>529</v>
      </c>
      <c r="M400">
        <v>2</v>
      </c>
      <c r="N400" t="str" cm="1">
        <f t="array" ref="N400">_xlfn.IFS(HRData[[#This Row],[EnvironmentSatisfaction]]=1,"Very Dissatisfied",
HRData[[#This Row],[EnvironmentSatisfaction]]=2,"Dissatisfied",
HRData[[#This Row],[EnvironmentSatisfaction]]=3,"Satisfied",
HRData[[#This Row],[EnvironmentSatisfaction]]=4,"Very Satisfied"
)</f>
        <v>Dissatisfied</v>
      </c>
      <c r="O400" t="s">
        <v>39</v>
      </c>
      <c r="P400">
        <v>72</v>
      </c>
      <c r="Q400">
        <v>3</v>
      </c>
      <c r="R400">
        <v>2</v>
      </c>
      <c r="S400" t="s">
        <v>47</v>
      </c>
      <c r="T400">
        <v>3</v>
      </c>
      <c r="U400" t="str" cm="1">
        <f t="array" ref="U400">_xlfn.IFS(
HRData[[#This Row],[JobSatisfaction]]=1,"Very Dissatisfied",
HRData[[#This Row],[JobSatisfaction]]=2,"Dissatisfied",
HRData[[#This Row],[JobSatisfaction]]=3,"Satisfied",
HRData[[#This Row],[JobSatisfaction]]=4,"Very Satisfied"
)</f>
        <v>Satisfied</v>
      </c>
      <c r="V400" t="s">
        <v>48</v>
      </c>
      <c r="W400">
        <v>4449</v>
      </c>
      <c r="X400" t="str" cm="1">
        <f t="array" ref="X400">_xlfn.IFS(
HRData[[#This Row],[MonthlyIncome]]&lt;=4000,"Very Low Income",
HRData[[#This Row],[MonthlyIncome]]&lt;=8000,"Low Income",
HRData[[#This Row],[MonthlyIncome]]&lt;=12000,"Moderate Income",
HRData[[#This Row],[MonthlyIncome]]&lt;=16000,"High Income",
HRData[[#This Row],[MonthlyIncome]]&gt;16000,"Very High Income"
)</f>
        <v>Low Income</v>
      </c>
      <c r="Y400">
        <v>23866</v>
      </c>
      <c r="Z400">
        <v>3</v>
      </c>
      <c r="AA400" t="s">
        <v>42</v>
      </c>
      <c r="AB400" t="s">
        <v>35</v>
      </c>
      <c r="AC400">
        <v>15</v>
      </c>
      <c r="AD400" t="str" cm="1">
        <f t="array" ref="AD400">_xlfn.IFS(HRData[[#This Row],[PercentSalaryHike]]&lt;=15,"11-15",HRData[[#This Row],[PercentSalaryHike]]&lt;=20,"16-20",HRData[[#This Row],[PercentSalaryHike]]&gt;=21,"21+")</f>
        <v>11-15</v>
      </c>
      <c r="AE400">
        <v>3</v>
      </c>
      <c r="AF400">
        <v>1</v>
      </c>
      <c r="AG400">
        <v>80</v>
      </c>
      <c r="AH400">
        <v>2</v>
      </c>
      <c r="AI400">
        <v>15</v>
      </c>
      <c r="AJ400">
        <v>2</v>
      </c>
      <c r="AK400">
        <v>3</v>
      </c>
      <c r="AL400">
        <v>13</v>
      </c>
      <c r="AM400">
        <v>11</v>
      </c>
      <c r="AN400">
        <v>10</v>
      </c>
      <c r="AO400">
        <v>7</v>
      </c>
      <c r="AP40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400" t="str">
        <f>IF(HRData[[#This Row],[Attrition]]="Yes","Left", IF(HRData[[#This Row],[Attrition_Risk_Score]]&gt;=6,"High",IF(HRData[[#This Row],[Attrition_Risk_Score]]&gt;=3,"Medium","Low")))</f>
        <v>Medium</v>
      </c>
      <c r="AR400" t="str">
        <f>IF(HRData[[#This Row],[Attrition_Risk_Level]]&lt;&gt;"High","",HRData[[#This Row],[Attrition_Risk_Score]]*10000-HRData[[#This Row],[EmployeeNumber]])</f>
        <v/>
      </c>
    </row>
    <row r="401" spans="1:44">
      <c r="A401">
        <v>31</v>
      </c>
      <c r="B401" t="str" cm="1">
        <f t="array" ref="B401">_xlfn.IFS(
HRData[[#This Row],[Age]]&lt;=24,"18-24",
HRData[[#This Row],[Age]]&lt;=34,"25-34",
HRData[[#This Row],[Age]]&lt;=44,"35-44",
HRData[[#This Row],[Age]]&lt;=54,"45-54",
HRData[[#This Row],[Age]]&gt;=55,"55+"
)</f>
        <v>25-34</v>
      </c>
      <c r="C401" t="s">
        <v>43</v>
      </c>
      <c r="D401">
        <f>IF(HRData[[#This Row],[Attrition]]="Yes",1,0)</f>
        <v>0</v>
      </c>
      <c r="E401" t="s">
        <v>36</v>
      </c>
      <c r="F401">
        <v>329</v>
      </c>
      <c r="G401" t="s">
        <v>45</v>
      </c>
      <c r="H401">
        <v>1</v>
      </c>
      <c r="I401">
        <v>2</v>
      </c>
      <c r="J401" t="s">
        <v>38</v>
      </c>
      <c r="K401">
        <v>1</v>
      </c>
      <c r="L401">
        <v>530</v>
      </c>
      <c r="M401">
        <v>4</v>
      </c>
      <c r="N401" t="str" cm="1">
        <f t="array" ref="N401">_xlfn.IFS(HRData[[#This Row],[EnvironmentSatisfaction]]=1,"Very Dissatisfied",
HRData[[#This Row],[EnvironmentSatisfaction]]=2,"Dissatisfied",
HRData[[#This Row],[EnvironmentSatisfaction]]=3,"Satisfied",
HRData[[#This Row],[EnvironmentSatisfaction]]=4,"Very Satisfied"
)</f>
        <v>Very Satisfied</v>
      </c>
      <c r="O401" t="s">
        <v>46</v>
      </c>
      <c r="P401">
        <v>98</v>
      </c>
      <c r="Q401">
        <v>2</v>
      </c>
      <c r="R401">
        <v>1</v>
      </c>
      <c r="S401" t="s">
        <v>50</v>
      </c>
      <c r="T401">
        <v>1</v>
      </c>
      <c r="U401" t="str" cm="1">
        <f t="array" ref="U401">_xlfn.IFS(
HRData[[#This Row],[JobSatisfaction]]=1,"Very Dissatisfied",
HRData[[#This Row],[JobSatisfaction]]=2,"Dissatisfied",
HRData[[#This Row],[JobSatisfaction]]=3,"Satisfied",
HRData[[#This Row],[JobSatisfaction]]=4,"Very Satisfied"
)</f>
        <v>Very Dissatisfied</v>
      </c>
      <c r="V401" t="s">
        <v>48</v>
      </c>
      <c r="W401">
        <v>2218</v>
      </c>
      <c r="X401" t="str" cm="1">
        <f t="array" ref="X401">_xlfn.IFS(
HRData[[#This Row],[MonthlyIncome]]&lt;=4000,"Very Low Income",
HRData[[#This Row],[MonthlyIncome]]&lt;=8000,"Low Income",
HRData[[#This Row],[MonthlyIncome]]&lt;=12000,"Moderate Income",
HRData[[#This Row],[MonthlyIncome]]&lt;=16000,"High Income",
HRData[[#This Row],[MonthlyIncome]]&gt;16000,"Very High Income"
)</f>
        <v>Very Low Income</v>
      </c>
      <c r="Y401">
        <v>16193</v>
      </c>
      <c r="Z401">
        <v>1</v>
      </c>
      <c r="AA401" t="s">
        <v>42</v>
      </c>
      <c r="AB401" t="s">
        <v>43</v>
      </c>
      <c r="AC401">
        <v>12</v>
      </c>
      <c r="AD401" t="str" cm="1">
        <f t="array" ref="AD401">_xlfn.IFS(HRData[[#This Row],[PercentSalaryHike]]&lt;=15,"11-15",HRData[[#This Row],[PercentSalaryHike]]&lt;=20,"16-20",HRData[[#This Row],[PercentSalaryHike]]&gt;=21,"21+")</f>
        <v>11-15</v>
      </c>
      <c r="AE401">
        <v>3</v>
      </c>
      <c r="AF401">
        <v>3</v>
      </c>
      <c r="AG401">
        <v>80</v>
      </c>
      <c r="AH401">
        <v>1</v>
      </c>
      <c r="AI401">
        <v>4</v>
      </c>
      <c r="AJ401">
        <v>3</v>
      </c>
      <c r="AK401">
        <v>3</v>
      </c>
      <c r="AL401">
        <v>4</v>
      </c>
      <c r="AM401">
        <v>2</v>
      </c>
      <c r="AN401">
        <v>3</v>
      </c>
      <c r="AO401">
        <v>2</v>
      </c>
      <c r="AP40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401" t="str">
        <f>IF(HRData[[#This Row],[Attrition]]="Yes","Left", IF(HRData[[#This Row],[Attrition_Risk_Score]]&gt;=6,"High",IF(HRData[[#This Row],[Attrition_Risk_Score]]&gt;=3,"Medium","Low")))</f>
        <v>High</v>
      </c>
      <c r="AR401">
        <f>IF(HRData[[#This Row],[Attrition_Risk_Level]]&lt;&gt;"High","",HRData[[#This Row],[Attrition_Risk_Score]]*10000-HRData[[#This Row],[EmployeeNumber]])</f>
        <v>59470</v>
      </c>
    </row>
    <row r="402" spans="1:44">
      <c r="A402">
        <v>39</v>
      </c>
      <c r="B402" t="str" cm="1">
        <f t="array" ref="B402">_xlfn.IFS(
HRData[[#This Row],[Age]]&lt;=24,"18-24",
HRData[[#This Row],[Age]]&lt;=34,"25-34",
HRData[[#This Row],[Age]]&lt;=44,"35-44",
HRData[[#This Row],[Age]]&lt;=54,"45-54",
HRData[[#This Row],[Age]]&gt;=55,"55+"
)</f>
        <v>35-44</v>
      </c>
      <c r="C402" t="s">
        <v>43</v>
      </c>
      <c r="D402">
        <f>IF(HRData[[#This Row],[Attrition]]="Yes",1,0)</f>
        <v>0</v>
      </c>
      <c r="E402" t="s">
        <v>44</v>
      </c>
      <c r="F402">
        <v>1218</v>
      </c>
      <c r="G402" t="s">
        <v>45</v>
      </c>
      <c r="H402">
        <v>1</v>
      </c>
      <c r="I402">
        <v>1</v>
      </c>
      <c r="J402" t="s">
        <v>38</v>
      </c>
      <c r="K402">
        <v>1</v>
      </c>
      <c r="L402">
        <v>531</v>
      </c>
      <c r="M402">
        <v>2</v>
      </c>
      <c r="N402" t="str" cm="1">
        <f t="array" ref="N402">_xlfn.IFS(HRData[[#This Row],[EnvironmentSatisfaction]]=1,"Very Dissatisfied",
HRData[[#This Row],[EnvironmentSatisfaction]]=2,"Dissatisfied",
HRData[[#This Row],[EnvironmentSatisfaction]]=3,"Satisfied",
HRData[[#This Row],[EnvironmentSatisfaction]]=4,"Very Satisfied"
)</f>
        <v>Dissatisfied</v>
      </c>
      <c r="O402" t="s">
        <v>46</v>
      </c>
      <c r="P402">
        <v>52</v>
      </c>
      <c r="Q402">
        <v>3</v>
      </c>
      <c r="R402">
        <v>5</v>
      </c>
      <c r="S402" t="s">
        <v>56</v>
      </c>
      <c r="T402">
        <v>3</v>
      </c>
      <c r="U402" t="str" cm="1">
        <f t="array" ref="U402">_xlfn.IFS(
HRData[[#This Row],[JobSatisfaction]]=1,"Very Dissatisfied",
HRData[[#This Row],[JobSatisfaction]]=2,"Dissatisfied",
HRData[[#This Row],[JobSatisfaction]]=3,"Satisfied",
HRData[[#This Row],[JobSatisfaction]]=4,"Very Satisfied"
)</f>
        <v>Satisfied</v>
      </c>
      <c r="V402" t="s">
        <v>52</v>
      </c>
      <c r="W402">
        <v>19197</v>
      </c>
      <c r="X402" t="str" cm="1">
        <f t="array" ref="X402">_xlfn.IFS(
HRData[[#This Row],[MonthlyIncome]]&lt;=4000,"Very Low Income",
HRData[[#This Row],[MonthlyIncome]]&lt;=8000,"Low Income",
HRData[[#This Row],[MonthlyIncome]]&lt;=12000,"Moderate Income",
HRData[[#This Row],[MonthlyIncome]]&lt;=16000,"High Income",
HRData[[#This Row],[MonthlyIncome]]&gt;16000,"Very High Income"
)</f>
        <v>Very High Income</v>
      </c>
      <c r="Y402">
        <v>8213</v>
      </c>
      <c r="Z402">
        <v>1</v>
      </c>
      <c r="AA402" t="s">
        <v>42</v>
      </c>
      <c r="AB402" t="s">
        <v>35</v>
      </c>
      <c r="AC402">
        <v>14</v>
      </c>
      <c r="AD402" t="str" cm="1">
        <f t="array" ref="AD402">_xlfn.IFS(HRData[[#This Row],[PercentSalaryHike]]&lt;=15,"11-15",HRData[[#This Row],[PercentSalaryHike]]&lt;=20,"16-20",HRData[[#This Row],[PercentSalaryHike]]&gt;=21,"21+")</f>
        <v>11-15</v>
      </c>
      <c r="AE402">
        <v>3</v>
      </c>
      <c r="AF402">
        <v>3</v>
      </c>
      <c r="AG402">
        <v>80</v>
      </c>
      <c r="AH402">
        <v>1</v>
      </c>
      <c r="AI402">
        <v>21</v>
      </c>
      <c r="AJ402">
        <v>3</v>
      </c>
      <c r="AK402">
        <v>3</v>
      </c>
      <c r="AL402">
        <v>21</v>
      </c>
      <c r="AM402">
        <v>8</v>
      </c>
      <c r="AN402">
        <v>1</v>
      </c>
      <c r="AO402">
        <v>6</v>
      </c>
      <c r="AP40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02" t="str">
        <f>IF(HRData[[#This Row],[Attrition]]="Yes","Left", IF(HRData[[#This Row],[Attrition_Risk_Score]]&gt;=6,"High",IF(HRData[[#This Row],[Attrition_Risk_Score]]&gt;=3,"Medium","Low")))</f>
        <v>Low</v>
      </c>
      <c r="AR402" t="str">
        <f>IF(HRData[[#This Row],[Attrition_Risk_Level]]&lt;&gt;"High","",HRData[[#This Row],[Attrition_Risk_Score]]*10000-HRData[[#This Row],[EmployeeNumber]])</f>
        <v/>
      </c>
    </row>
    <row r="403" spans="1:44">
      <c r="A403">
        <v>56</v>
      </c>
      <c r="B403" t="str" cm="1">
        <f t="array" ref="B403">_xlfn.IFS(
HRData[[#This Row],[Age]]&lt;=24,"18-24",
HRData[[#This Row],[Age]]&lt;=34,"25-34",
HRData[[#This Row],[Age]]&lt;=44,"35-44",
HRData[[#This Row],[Age]]&lt;=54,"45-54",
HRData[[#This Row],[Age]]&gt;=55,"55+"
)</f>
        <v>55+</v>
      </c>
      <c r="C403" t="s">
        <v>43</v>
      </c>
      <c r="D403">
        <f>IF(HRData[[#This Row],[Attrition]]="Yes",1,0)</f>
        <v>0</v>
      </c>
      <c r="E403" t="s">
        <v>44</v>
      </c>
      <c r="F403">
        <v>906</v>
      </c>
      <c r="G403" t="s">
        <v>37</v>
      </c>
      <c r="H403">
        <v>6</v>
      </c>
      <c r="I403">
        <v>3</v>
      </c>
      <c r="J403" t="s">
        <v>38</v>
      </c>
      <c r="K403">
        <v>1</v>
      </c>
      <c r="L403">
        <v>532</v>
      </c>
      <c r="M403">
        <v>3</v>
      </c>
      <c r="N403" t="str" cm="1">
        <f t="array" ref="N403">_xlfn.IFS(HRData[[#This Row],[EnvironmentSatisfaction]]=1,"Very Dissatisfied",
HRData[[#This Row],[EnvironmentSatisfaction]]=2,"Dissatisfied",
HRData[[#This Row],[EnvironmentSatisfaction]]=3,"Satisfied",
HRData[[#This Row],[EnvironmentSatisfaction]]=4,"Very Satisfied"
)</f>
        <v>Satisfied</v>
      </c>
      <c r="O403" t="s">
        <v>39</v>
      </c>
      <c r="P403">
        <v>86</v>
      </c>
      <c r="Q403">
        <v>4</v>
      </c>
      <c r="R403">
        <v>4</v>
      </c>
      <c r="S403" t="s">
        <v>40</v>
      </c>
      <c r="T403">
        <v>1</v>
      </c>
      <c r="U403" t="str" cm="1">
        <f t="array" ref="U403">_xlfn.IFS(
HRData[[#This Row],[JobSatisfaction]]=1,"Very Dissatisfied",
HRData[[#This Row],[JobSatisfaction]]=2,"Dissatisfied",
HRData[[#This Row],[JobSatisfaction]]=3,"Satisfied",
HRData[[#This Row],[JobSatisfaction]]=4,"Very Satisfied"
)</f>
        <v>Very Dissatisfied</v>
      </c>
      <c r="V403" t="s">
        <v>48</v>
      </c>
      <c r="W403">
        <v>13212</v>
      </c>
      <c r="X403" t="str" cm="1">
        <f t="array" ref="X403">_xlfn.IFS(
HRData[[#This Row],[MonthlyIncome]]&lt;=4000,"Very Low Income",
HRData[[#This Row],[MonthlyIncome]]&lt;=8000,"Low Income",
HRData[[#This Row],[MonthlyIncome]]&lt;=12000,"Moderate Income",
HRData[[#This Row],[MonthlyIncome]]&lt;=16000,"High Income",
HRData[[#This Row],[MonthlyIncome]]&gt;16000,"Very High Income"
)</f>
        <v>High Income</v>
      </c>
      <c r="Y403">
        <v>18256</v>
      </c>
      <c r="Z403">
        <v>9</v>
      </c>
      <c r="AA403" t="s">
        <v>42</v>
      </c>
      <c r="AB403" t="s">
        <v>43</v>
      </c>
      <c r="AC403">
        <v>11</v>
      </c>
      <c r="AD403" t="str" cm="1">
        <f t="array" ref="AD403">_xlfn.IFS(HRData[[#This Row],[PercentSalaryHike]]&lt;=15,"11-15",HRData[[#This Row],[PercentSalaryHike]]&lt;=20,"16-20",HRData[[#This Row],[PercentSalaryHike]]&gt;=21,"21+")</f>
        <v>11-15</v>
      </c>
      <c r="AE403">
        <v>3</v>
      </c>
      <c r="AF403">
        <v>4</v>
      </c>
      <c r="AG403">
        <v>80</v>
      </c>
      <c r="AH403">
        <v>3</v>
      </c>
      <c r="AI403">
        <v>36</v>
      </c>
      <c r="AJ403">
        <v>0</v>
      </c>
      <c r="AK403">
        <v>2</v>
      </c>
      <c r="AL403">
        <v>7</v>
      </c>
      <c r="AM403">
        <v>7</v>
      </c>
      <c r="AN403">
        <v>7</v>
      </c>
      <c r="AO403">
        <v>7</v>
      </c>
      <c r="AP40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03" t="str">
        <f>IF(HRData[[#This Row],[Attrition]]="Yes","Left", IF(HRData[[#This Row],[Attrition_Risk_Score]]&gt;=6,"High",IF(HRData[[#This Row],[Attrition_Risk_Score]]&gt;=3,"Medium","Low")))</f>
        <v>Low</v>
      </c>
      <c r="AR403" t="str">
        <f>IF(HRData[[#This Row],[Attrition_Risk_Level]]&lt;&gt;"High","",HRData[[#This Row],[Attrition_Risk_Score]]*10000-HRData[[#This Row],[EmployeeNumber]])</f>
        <v/>
      </c>
    </row>
    <row r="404" spans="1:44">
      <c r="A404">
        <v>30</v>
      </c>
      <c r="B404" t="str" cm="1">
        <f t="array" ref="B404">_xlfn.IFS(
HRData[[#This Row],[Age]]&lt;=24,"18-24",
HRData[[#This Row],[Age]]&lt;=34,"25-34",
HRData[[#This Row],[Age]]&lt;=44,"35-44",
HRData[[#This Row],[Age]]&lt;=54,"45-54",
HRData[[#This Row],[Age]]&gt;=55,"55+"
)</f>
        <v>25-34</v>
      </c>
      <c r="C404" t="s">
        <v>43</v>
      </c>
      <c r="D404">
        <f>IF(HRData[[#This Row],[Attrition]]="Yes",1,0)</f>
        <v>0</v>
      </c>
      <c r="E404" t="s">
        <v>36</v>
      </c>
      <c r="F404">
        <v>1082</v>
      </c>
      <c r="G404" t="s">
        <v>37</v>
      </c>
      <c r="H404">
        <v>12</v>
      </c>
      <c r="I404">
        <v>3</v>
      </c>
      <c r="J404" t="s">
        <v>60</v>
      </c>
      <c r="K404">
        <v>1</v>
      </c>
      <c r="L404">
        <v>533</v>
      </c>
      <c r="M404">
        <v>2</v>
      </c>
      <c r="N404" t="str" cm="1">
        <f t="array" ref="N404">_xlfn.IFS(HRData[[#This Row],[EnvironmentSatisfaction]]=1,"Very Dissatisfied",
HRData[[#This Row],[EnvironmentSatisfaction]]=2,"Dissatisfied",
HRData[[#This Row],[EnvironmentSatisfaction]]=3,"Satisfied",
HRData[[#This Row],[EnvironmentSatisfaction]]=4,"Very Satisfied"
)</f>
        <v>Dissatisfied</v>
      </c>
      <c r="O404" t="s">
        <v>39</v>
      </c>
      <c r="P404">
        <v>83</v>
      </c>
      <c r="Q404">
        <v>3</v>
      </c>
      <c r="R404">
        <v>2</v>
      </c>
      <c r="S404" t="s">
        <v>40</v>
      </c>
      <c r="T404">
        <v>3</v>
      </c>
      <c r="U404" t="str" cm="1">
        <f t="array" ref="U404">_xlfn.IFS(
HRData[[#This Row],[JobSatisfaction]]=1,"Very Dissatisfied",
HRData[[#This Row],[JobSatisfaction]]=2,"Dissatisfied",
HRData[[#This Row],[JobSatisfaction]]=3,"Satisfied",
HRData[[#This Row],[JobSatisfaction]]=4,"Very Satisfied"
)</f>
        <v>Satisfied</v>
      </c>
      <c r="V404" t="s">
        <v>41</v>
      </c>
      <c r="W404">
        <v>6577</v>
      </c>
      <c r="X404" t="str" cm="1">
        <f t="array" ref="X404">_xlfn.IFS(
HRData[[#This Row],[MonthlyIncome]]&lt;=4000,"Very Low Income",
HRData[[#This Row],[MonthlyIncome]]&lt;=8000,"Low Income",
HRData[[#This Row],[MonthlyIncome]]&lt;=12000,"Moderate Income",
HRData[[#This Row],[MonthlyIncome]]&lt;=16000,"High Income",
HRData[[#This Row],[MonthlyIncome]]&gt;16000,"Very High Income"
)</f>
        <v>Low Income</v>
      </c>
      <c r="Y404">
        <v>19558</v>
      </c>
      <c r="Z404">
        <v>0</v>
      </c>
      <c r="AA404" t="s">
        <v>42</v>
      </c>
      <c r="AB404" t="s">
        <v>43</v>
      </c>
      <c r="AC404">
        <v>11</v>
      </c>
      <c r="AD404" t="str" cm="1">
        <f t="array" ref="AD404">_xlfn.IFS(HRData[[#This Row],[PercentSalaryHike]]&lt;=15,"11-15",HRData[[#This Row],[PercentSalaryHike]]&lt;=20,"16-20",HRData[[#This Row],[PercentSalaryHike]]&gt;=21,"21+")</f>
        <v>11-15</v>
      </c>
      <c r="AE404">
        <v>3</v>
      </c>
      <c r="AF404">
        <v>2</v>
      </c>
      <c r="AG404">
        <v>80</v>
      </c>
      <c r="AH404">
        <v>0</v>
      </c>
      <c r="AI404">
        <v>6</v>
      </c>
      <c r="AJ404">
        <v>6</v>
      </c>
      <c r="AK404">
        <v>3</v>
      </c>
      <c r="AL404">
        <v>5</v>
      </c>
      <c r="AM404">
        <v>4</v>
      </c>
      <c r="AN404">
        <v>4</v>
      </c>
      <c r="AO404">
        <v>4</v>
      </c>
      <c r="AP40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04" t="str">
        <f>IF(HRData[[#This Row],[Attrition]]="Yes","Left", IF(HRData[[#This Row],[Attrition_Risk_Score]]&gt;=6,"High",IF(HRData[[#This Row],[Attrition_Risk_Score]]&gt;=3,"Medium","Low")))</f>
        <v>Low</v>
      </c>
      <c r="AR404" t="str">
        <f>IF(HRData[[#This Row],[Attrition_Risk_Level]]&lt;&gt;"High","",HRData[[#This Row],[Attrition_Risk_Score]]*10000-HRData[[#This Row],[EmployeeNumber]])</f>
        <v/>
      </c>
    </row>
    <row r="405" spans="1:44">
      <c r="A405">
        <v>41</v>
      </c>
      <c r="B405" t="str" cm="1">
        <f t="array" ref="B405">_xlfn.IFS(
HRData[[#This Row],[Age]]&lt;=24,"18-24",
HRData[[#This Row],[Age]]&lt;=34,"25-34",
HRData[[#This Row],[Age]]&lt;=44,"35-44",
HRData[[#This Row],[Age]]&lt;=54,"45-54",
HRData[[#This Row],[Age]]&gt;=55,"55+"
)</f>
        <v>35-44</v>
      </c>
      <c r="C405" t="s">
        <v>43</v>
      </c>
      <c r="D405">
        <f>IF(HRData[[#This Row],[Attrition]]="Yes",1,0)</f>
        <v>0</v>
      </c>
      <c r="E405" t="s">
        <v>36</v>
      </c>
      <c r="F405">
        <v>645</v>
      </c>
      <c r="G405" t="s">
        <v>37</v>
      </c>
      <c r="H405">
        <v>1</v>
      </c>
      <c r="I405">
        <v>3</v>
      </c>
      <c r="J405" t="s">
        <v>59</v>
      </c>
      <c r="K405">
        <v>1</v>
      </c>
      <c r="L405">
        <v>534</v>
      </c>
      <c r="M405">
        <v>2</v>
      </c>
      <c r="N405" t="str" cm="1">
        <f t="array" ref="N405">_xlfn.IFS(HRData[[#This Row],[EnvironmentSatisfaction]]=1,"Very Dissatisfied",
HRData[[#This Row],[EnvironmentSatisfaction]]=2,"Dissatisfied",
HRData[[#This Row],[EnvironmentSatisfaction]]=3,"Satisfied",
HRData[[#This Row],[EnvironmentSatisfaction]]=4,"Very Satisfied"
)</f>
        <v>Dissatisfied</v>
      </c>
      <c r="O405" t="s">
        <v>46</v>
      </c>
      <c r="P405">
        <v>49</v>
      </c>
      <c r="Q405">
        <v>4</v>
      </c>
      <c r="R405">
        <v>3</v>
      </c>
      <c r="S405" t="s">
        <v>40</v>
      </c>
      <c r="T405">
        <v>1</v>
      </c>
      <c r="U405" t="str" cm="1">
        <f t="array" ref="U405">_xlfn.IFS(
HRData[[#This Row],[JobSatisfaction]]=1,"Very Dissatisfied",
HRData[[#This Row],[JobSatisfaction]]=2,"Dissatisfied",
HRData[[#This Row],[JobSatisfaction]]=3,"Satisfied",
HRData[[#This Row],[JobSatisfaction]]=4,"Very Satisfied"
)</f>
        <v>Very Dissatisfied</v>
      </c>
      <c r="V405" t="s">
        <v>48</v>
      </c>
      <c r="W405">
        <v>8392</v>
      </c>
      <c r="X405" t="str" cm="1">
        <f t="array" ref="X405">_xlfn.IFS(
HRData[[#This Row],[MonthlyIncome]]&lt;=4000,"Very Low Income",
HRData[[#This Row],[MonthlyIncome]]&lt;=8000,"Low Income",
HRData[[#This Row],[MonthlyIncome]]&lt;=12000,"Moderate Income",
HRData[[#This Row],[MonthlyIncome]]&lt;=16000,"High Income",
HRData[[#This Row],[MonthlyIncome]]&gt;16000,"Very High Income"
)</f>
        <v>Moderate Income</v>
      </c>
      <c r="Y405">
        <v>19566</v>
      </c>
      <c r="Z405">
        <v>1</v>
      </c>
      <c r="AA405" t="s">
        <v>42</v>
      </c>
      <c r="AB405" t="s">
        <v>43</v>
      </c>
      <c r="AC405">
        <v>16</v>
      </c>
      <c r="AD405" t="str" cm="1">
        <f t="array" ref="AD405">_xlfn.IFS(HRData[[#This Row],[PercentSalaryHike]]&lt;=15,"11-15",HRData[[#This Row],[PercentSalaryHike]]&lt;=20,"16-20",HRData[[#This Row],[PercentSalaryHike]]&gt;=21,"21+")</f>
        <v>16-20</v>
      </c>
      <c r="AE405">
        <v>3</v>
      </c>
      <c r="AF405">
        <v>3</v>
      </c>
      <c r="AG405">
        <v>80</v>
      </c>
      <c r="AH405">
        <v>1</v>
      </c>
      <c r="AI405">
        <v>10</v>
      </c>
      <c r="AJ405">
        <v>2</v>
      </c>
      <c r="AK405">
        <v>3</v>
      </c>
      <c r="AL405">
        <v>10</v>
      </c>
      <c r="AM405">
        <v>7</v>
      </c>
      <c r="AN405">
        <v>0</v>
      </c>
      <c r="AO405">
        <v>7</v>
      </c>
      <c r="AP40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05" t="str">
        <f>IF(HRData[[#This Row],[Attrition]]="Yes","Left", IF(HRData[[#This Row],[Attrition_Risk_Score]]&gt;=6,"High",IF(HRData[[#This Row],[Attrition_Risk_Score]]&gt;=3,"Medium","Low")))</f>
        <v>Low</v>
      </c>
      <c r="AR405" t="str">
        <f>IF(HRData[[#This Row],[Attrition_Risk_Level]]&lt;&gt;"High","",HRData[[#This Row],[Attrition_Risk_Score]]*10000-HRData[[#This Row],[EmployeeNumber]])</f>
        <v/>
      </c>
    </row>
    <row r="406" spans="1:44">
      <c r="A406">
        <v>28</v>
      </c>
      <c r="B406" t="str" cm="1">
        <f t="array" ref="B406">_xlfn.IFS(
HRData[[#This Row],[Age]]&lt;=24,"18-24",
HRData[[#This Row],[Age]]&lt;=34,"25-34",
HRData[[#This Row],[Age]]&lt;=44,"35-44",
HRData[[#This Row],[Age]]&lt;=54,"45-54",
HRData[[#This Row],[Age]]&gt;=55,"55+"
)</f>
        <v>25-34</v>
      </c>
      <c r="C406" t="s">
        <v>43</v>
      </c>
      <c r="D406">
        <f>IF(HRData[[#This Row],[Attrition]]="Yes",1,0)</f>
        <v>0</v>
      </c>
      <c r="E406" t="s">
        <v>36</v>
      </c>
      <c r="F406">
        <v>1300</v>
      </c>
      <c r="G406" t="s">
        <v>45</v>
      </c>
      <c r="H406">
        <v>17</v>
      </c>
      <c r="I406">
        <v>2</v>
      </c>
      <c r="J406" t="s">
        <v>51</v>
      </c>
      <c r="K406">
        <v>1</v>
      </c>
      <c r="L406">
        <v>536</v>
      </c>
      <c r="M406">
        <v>3</v>
      </c>
      <c r="N406" t="str" cm="1">
        <f t="array" ref="N406">_xlfn.IFS(HRData[[#This Row],[EnvironmentSatisfaction]]=1,"Very Dissatisfied",
HRData[[#This Row],[EnvironmentSatisfaction]]=2,"Dissatisfied",
HRData[[#This Row],[EnvironmentSatisfaction]]=3,"Satisfied",
HRData[[#This Row],[EnvironmentSatisfaction]]=4,"Very Satisfied"
)</f>
        <v>Satisfied</v>
      </c>
      <c r="O406" t="s">
        <v>46</v>
      </c>
      <c r="P406">
        <v>79</v>
      </c>
      <c r="Q406">
        <v>3</v>
      </c>
      <c r="R406">
        <v>2</v>
      </c>
      <c r="S406" t="s">
        <v>50</v>
      </c>
      <c r="T406">
        <v>1</v>
      </c>
      <c r="U406" t="str" cm="1">
        <f t="array" ref="U406">_xlfn.IFS(
HRData[[#This Row],[JobSatisfaction]]=1,"Very Dissatisfied",
HRData[[#This Row],[JobSatisfaction]]=2,"Dissatisfied",
HRData[[#This Row],[JobSatisfaction]]=3,"Satisfied",
HRData[[#This Row],[JobSatisfaction]]=4,"Very Satisfied"
)</f>
        <v>Very Dissatisfied</v>
      </c>
      <c r="V406" t="s">
        <v>52</v>
      </c>
      <c r="W406">
        <v>4558</v>
      </c>
      <c r="X406" t="str" cm="1">
        <f t="array" ref="X406">_xlfn.IFS(
HRData[[#This Row],[MonthlyIncome]]&lt;=4000,"Very Low Income",
HRData[[#This Row],[MonthlyIncome]]&lt;=8000,"Low Income",
HRData[[#This Row],[MonthlyIncome]]&lt;=12000,"Moderate Income",
HRData[[#This Row],[MonthlyIncome]]&lt;=16000,"High Income",
HRData[[#This Row],[MonthlyIncome]]&gt;16000,"Very High Income"
)</f>
        <v>Low Income</v>
      </c>
      <c r="Y406">
        <v>13535</v>
      </c>
      <c r="Z406">
        <v>1</v>
      </c>
      <c r="AA406" t="s">
        <v>42</v>
      </c>
      <c r="AB406" t="s">
        <v>43</v>
      </c>
      <c r="AC406">
        <v>12</v>
      </c>
      <c r="AD406" t="str" cm="1">
        <f t="array" ref="AD406">_xlfn.IFS(HRData[[#This Row],[PercentSalaryHike]]&lt;=15,"11-15",HRData[[#This Row],[PercentSalaryHike]]&lt;=20,"16-20",HRData[[#This Row],[PercentSalaryHike]]&gt;=21,"21+")</f>
        <v>11-15</v>
      </c>
      <c r="AE406">
        <v>3</v>
      </c>
      <c r="AF406">
        <v>4</v>
      </c>
      <c r="AG406">
        <v>80</v>
      </c>
      <c r="AH406">
        <v>1</v>
      </c>
      <c r="AI406">
        <v>10</v>
      </c>
      <c r="AJ406">
        <v>2</v>
      </c>
      <c r="AK406">
        <v>3</v>
      </c>
      <c r="AL406">
        <v>10</v>
      </c>
      <c r="AM406">
        <v>0</v>
      </c>
      <c r="AN406">
        <v>1</v>
      </c>
      <c r="AO406">
        <v>8</v>
      </c>
      <c r="AP40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406" t="str">
        <f>IF(HRData[[#This Row],[Attrition]]="Yes","Left", IF(HRData[[#This Row],[Attrition_Risk_Score]]&gt;=6,"High",IF(HRData[[#This Row],[Attrition_Risk_Score]]&gt;=3,"Medium","Low")))</f>
        <v>Medium</v>
      </c>
      <c r="AR406" t="str">
        <f>IF(HRData[[#This Row],[Attrition_Risk_Level]]&lt;&gt;"High","",HRData[[#This Row],[Attrition_Risk_Score]]*10000-HRData[[#This Row],[EmployeeNumber]])</f>
        <v/>
      </c>
    </row>
    <row r="407" spans="1:44">
      <c r="A407">
        <v>25</v>
      </c>
      <c r="B407" t="str" cm="1">
        <f t="array" ref="B407">_xlfn.IFS(
HRData[[#This Row],[Age]]&lt;=24,"18-24",
HRData[[#This Row],[Age]]&lt;=34,"25-34",
HRData[[#This Row],[Age]]&lt;=44,"35-44",
HRData[[#This Row],[Age]]&lt;=54,"45-54",
HRData[[#This Row],[Age]]&gt;=55,"55+"
)</f>
        <v>25-34</v>
      </c>
      <c r="C407" t="s">
        <v>35</v>
      </c>
      <c r="D407">
        <f>IF(HRData[[#This Row],[Attrition]]="Yes",1,0)</f>
        <v>1</v>
      </c>
      <c r="E407" t="s">
        <v>36</v>
      </c>
      <c r="F407">
        <v>688</v>
      </c>
      <c r="G407" t="s">
        <v>45</v>
      </c>
      <c r="H407">
        <v>3</v>
      </c>
      <c r="I407">
        <v>3</v>
      </c>
      <c r="J407" t="s">
        <v>51</v>
      </c>
      <c r="K407">
        <v>1</v>
      </c>
      <c r="L407">
        <v>538</v>
      </c>
      <c r="M407">
        <v>1</v>
      </c>
      <c r="N407" t="str" cm="1">
        <f t="array" ref="N407">_xlfn.IFS(HRData[[#This Row],[EnvironmentSatisfaction]]=1,"Very Dissatisfied",
HRData[[#This Row],[EnvironmentSatisfaction]]=2,"Dissatisfied",
HRData[[#This Row],[EnvironmentSatisfaction]]=3,"Satisfied",
HRData[[#This Row],[EnvironmentSatisfaction]]=4,"Very Satisfied"
)</f>
        <v>Very Dissatisfied</v>
      </c>
      <c r="O407" t="s">
        <v>46</v>
      </c>
      <c r="P407">
        <v>91</v>
      </c>
      <c r="Q407">
        <v>3</v>
      </c>
      <c r="R407">
        <v>1</v>
      </c>
      <c r="S407" t="s">
        <v>50</v>
      </c>
      <c r="T407">
        <v>1</v>
      </c>
      <c r="U407" t="str" cm="1">
        <f t="array" ref="U407">_xlfn.IFS(
HRData[[#This Row],[JobSatisfaction]]=1,"Very Dissatisfied",
HRData[[#This Row],[JobSatisfaction]]=2,"Dissatisfied",
HRData[[#This Row],[JobSatisfaction]]=3,"Satisfied",
HRData[[#This Row],[JobSatisfaction]]=4,"Very Satisfied"
)</f>
        <v>Very Dissatisfied</v>
      </c>
      <c r="V407" t="s">
        <v>48</v>
      </c>
      <c r="W407">
        <v>4031</v>
      </c>
      <c r="X407" t="str" cm="1">
        <f t="array" ref="X407">_xlfn.IFS(
HRData[[#This Row],[MonthlyIncome]]&lt;=4000,"Very Low Income",
HRData[[#This Row],[MonthlyIncome]]&lt;=8000,"Low Income",
HRData[[#This Row],[MonthlyIncome]]&lt;=12000,"Moderate Income",
HRData[[#This Row],[MonthlyIncome]]&lt;=16000,"High Income",
HRData[[#This Row],[MonthlyIncome]]&gt;16000,"Very High Income"
)</f>
        <v>Low Income</v>
      </c>
      <c r="Y407">
        <v>9396</v>
      </c>
      <c r="Z407">
        <v>5</v>
      </c>
      <c r="AA407" t="s">
        <v>42</v>
      </c>
      <c r="AB407" t="s">
        <v>43</v>
      </c>
      <c r="AC407">
        <v>13</v>
      </c>
      <c r="AD407" t="str" cm="1">
        <f t="array" ref="AD407">_xlfn.IFS(HRData[[#This Row],[PercentSalaryHike]]&lt;=15,"11-15",HRData[[#This Row],[PercentSalaryHike]]&lt;=20,"16-20",HRData[[#This Row],[PercentSalaryHike]]&gt;=21,"21+")</f>
        <v>11-15</v>
      </c>
      <c r="AE407">
        <v>3</v>
      </c>
      <c r="AF407">
        <v>3</v>
      </c>
      <c r="AG407">
        <v>80</v>
      </c>
      <c r="AH407">
        <v>1</v>
      </c>
      <c r="AI407">
        <v>6</v>
      </c>
      <c r="AJ407">
        <v>5</v>
      </c>
      <c r="AK407">
        <v>3</v>
      </c>
      <c r="AL407">
        <v>2</v>
      </c>
      <c r="AM407">
        <v>2</v>
      </c>
      <c r="AN407">
        <v>0</v>
      </c>
      <c r="AO407">
        <v>2</v>
      </c>
      <c r="AP40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07" t="str">
        <f>IF(HRData[[#This Row],[Attrition]]="Yes","Left", IF(HRData[[#This Row],[Attrition_Risk_Score]]&gt;=6,"High",IF(HRData[[#This Row],[Attrition_Risk_Score]]&gt;=3,"Medium","Low")))</f>
        <v>Left</v>
      </c>
      <c r="AR407" t="str">
        <f>IF(HRData[[#This Row],[Attrition_Risk_Level]]&lt;&gt;"High","",HRData[[#This Row],[Attrition_Risk_Score]]*10000-HRData[[#This Row],[EmployeeNumber]])</f>
        <v/>
      </c>
    </row>
    <row r="408" spans="1:44">
      <c r="A408">
        <v>52</v>
      </c>
      <c r="B408" t="str" cm="1">
        <f t="array" ref="B408">_xlfn.IFS(
HRData[[#This Row],[Age]]&lt;=24,"18-24",
HRData[[#This Row],[Age]]&lt;=34,"25-34",
HRData[[#This Row],[Age]]&lt;=44,"35-44",
HRData[[#This Row],[Age]]&lt;=54,"45-54",
HRData[[#This Row],[Age]]&gt;=55,"55+"
)</f>
        <v>45-54</v>
      </c>
      <c r="C408" t="s">
        <v>43</v>
      </c>
      <c r="D408">
        <f>IF(HRData[[#This Row],[Attrition]]="Yes",1,0)</f>
        <v>0</v>
      </c>
      <c r="E408" t="s">
        <v>36</v>
      </c>
      <c r="F408">
        <v>319</v>
      </c>
      <c r="G408" t="s">
        <v>45</v>
      </c>
      <c r="H408">
        <v>3</v>
      </c>
      <c r="I408">
        <v>3</v>
      </c>
      <c r="J408" t="s">
        <v>51</v>
      </c>
      <c r="K408">
        <v>1</v>
      </c>
      <c r="L408">
        <v>543</v>
      </c>
      <c r="M408">
        <v>4</v>
      </c>
      <c r="N408" t="str" cm="1">
        <f t="array" ref="N408">_xlfn.IFS(HRData[[#This Row],[EnvironmentSatisfaction]]=1,"Very Dissatisfied",
HRData[[#This Row],[EnvironmentSatisfaction]]=2,"Dissatisfied",
HRData[[#This Row],[EnvironmentSatisfaction]]=3,"Satisfied",
HRData[[#This Row],[EnvironmentSatisfaction]]=4,"Very Satisfied"
)</f>
        <v>Very Satisfied</v>
      </c>
      <c r="O408" t="s">
        <v>46</v>
      </c>
      <c r="P408">
        <v>39</v>
      </c>
      <c r="Q408">
        <v>2</v>
      </c>
      <c r="R408">
        <v>3</v>
      </c>
      <c r="S408" t="s">
        <v>53</v>
      </c>
      <c r="T408">
        <v>3</v>
      </c>
      <c r="U408" t="str" cm="1">
        <f t="array" ref="U408">_xlfn.IFS(
HRData[[#This Row],[JobSatisfaction]]=1,"Very Dissatisfied",
HRData[[#This Row],[JobSatisfaction]]=2,"Dissatisfied",
HRData[[#This Row],[JobSatisfaction]]=3,"Satisfied",
HRData[[#This Row],[JobSatisfaction]]=4,"Very Satisfied"
)</f>
        <v>Satisfied</v>
      </c>
      <c r="V408" t="s">
        <v>48</v>
      </c>
      <c r="W408">
        <v>7969</v>
      </c>
      <c r="X408" t="str" cm="1">
        <f t="array" ref="X408">_xlfn.IFS(
HRData[[#This Row],[MonthlyIncome]]&lt;=4000,"Very Low Income",
HRData[[#This Row],[MonthlyIncome]]&lt;=8000,"Low Income",
HRData[[#This Row],[MonthlyIncome]]&lt;=12000,"Moderate Income",
HRData[[#This Row],[MonthlyIncome]]&lt;=16000,"High Income",
HRData[[#This Row],[MonthlyIncome]]&gt;16000,"Very High Income"
)</f>
        <v>Low Income</v>
      </c>
      <c r="Y408">
        <v>19609</v>
      </c>
      <c r="Z408">
        <v>2</v>
      </c>
      <c r="AA408" t="s">
        <v>42</v>
      </c>
      <c r="AB408" t="s">
        <v>35</v>
      </c>
      <c r="AC408">
        <v>14</v>
      </c>
      <c r="AD408" t="str" cm="1">
        <f t="array" ref="AD408">_xlfn.IFS(HRData[[#This Row],[PercentSalaryHike]]&lt;=15,"11-15",HRData[[#This Row],[PercentSalaryHike]]&lt;=20,"16-20",HRData[[#This Row],[PercentSalaryHike]]&gt;=21,"21+")</f>
        <v>11-15</v>
      </c>
      <c r="AE408">
        <v>3</v>
      </c>
      <c r="AF408">
        <v>3</v>
      </c>
      <c r="AG408">
        <v>80</v>
      </c>
      <c r="AH408">
        <v>0</v>
      </c>
      <c r="AI408">
        <v>28</v>
      </c>
      <c r="AJ408">
        <v>4</v>
      </c>
      <c r="AK408">
        <v>3</v>
      </c>
      <c r="AL408">
        <v>5</v>
      </c>
      <c r="AM408">
        <v>4</v>
      </c>
      <c r="AN408">
        <v>0</v>
      </c>
      <c r="AO408">
        <v>4</v>
      </c>
      <c r="AP40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408" t="str">
        <f>IF(HRData[[#This Row],[Attrition]]="Yes","Left", IF(HRData[[#This Row],[Attrition_Risk_Score]]&gt;=6,"High",IF(HRData[[#This Row],[Attrition_Risk_Score]]&gt;=3,"Medium","Low")))</f>
        <v>Medium</v>
      </c>
      <c r="AR408" t="str">
        <f>IF(HRData[[#This Row],[Attrition_Risk_Level]]&lt;&gt;"High","",HRData[[#This Row],[Attrition_Risk_Score]]*10000-HRData[[#This Row],[EmployeeNumber]])</f>
        <v/>
      </c>
    </row>
    <row r="409" spans="1:44">
      <c r="A409">
        <v>45</v>
      </c>
      <c r="B409" t="str" cm="1">
        <f t="array" ref="B409">_xlfn.IFS(
HRData[[#This Row],[Age]]&lt;=24,"18-24",
HRData[[#This Row],[Age]]&lt;=34,"25-34",
HRData[[#This Row],[Age]]&lt;=44,"35-44",
HRData[[#This Row],[Age]]&lt;=54,"45-54",
HRData[[#This Row],[Age]]&gt;=55,"55+"
)</f>
        <v>45-54</v>
      </c>
      <c r="C409" t="s">
        <v>43</v>
      </c>
      <c r="D409">
        <f>IF(HRData[[#This Row],[Attrition]]="Yes",1,0)</f>
        <v>0</v>
      </c>
      <c r="E409" t="s">
        <v>36</v>
      </c>
      <c r="F409">
        <v>192</v>
      </c>
      <c r="G409" t="s">
        <v>45</v>
      </c>
      <c r="H409">
        <v>10</v>
      </c>
      <c r="I409">
        <v>2</v>
      </c>
      <c r="J409" t="s">
        <v>38</v>
      </c>
      <c r="K409">
        <v>1</v>
      </c>
      <c r="L409">
        <v>544</v>
      </c>
      <c r="M409">
        <v>1</v>
      </c>
      <c r="N409" t="str" cm="1">
        <f t="array" ref="N409">_xlfn.IFS(HRData[[#This Row],[EnvironmentSatisfaction]]=1,"Very Dissatisfied",
HRData[[#This Row],[EnvironmentSatisfaction]]=2,"Dissatisfied",
HRData[[#This Row],[EnvironmentSatisfaction]]=3,"Satisfied",
HRData[[#This Row],[EnvironmentSatisfaction]]=4,"Very Satisfied"
)</f>
        <v>Very Dissatisfied</v>
      </c>
      <c r="O409" t="s">
        <v>46</v>
      </c>
      <c r="P409">
        <v>69</v>
      </c>
      <c r="Q409">
        <v>3</v>
      </c>
      <c r="R409">
        <v>1</v>
      </c>
      <c r="S409" t="s">
        <v>47</v>
      </c>
      <c r="T409">
        <v>4</v>
      </c>
      <c r="U409" t="str" cm="1">
        <f t="array" ref="U409">_xlfn.IFS(
HRData[[#This Row],[JobSatisfaction]]=1,"Very Dissatisfied",
HRData[[#This Row],[JobSatisfaction]]=2,"Dissatisfied",
HRData[[#This Row],[JobSatisfaction]]=3,"Satisfied",
HRData[[#This Row],[JobSatisfaction]]=4,"Very Satisfied"
)</f>
        <v>Very Satisfied</v>
      </c>
      <c r="V409" t="s">
        <v>48</v>
      </c>
      <c r="W409">
        <v>2654</v>
      </c>
      <c r="X409" t="str" cm="1">
        <f t="array" ref="X409">_xlfn.IFS(
HRData[[#This Row],[MonthlyIncome]]&lt;=4000,"Very Low Income",
HRData[[#This Row],[MonthlyIncome]]&lt;=8000,"Low Income",
HRData[[#This Row],[MonthlyIncome]]&lt;=12000,"Moderate Income",
HRData[[#This Row],[MonthlyIncome]]&lt;=16000,"High Income",
HRData[[#This Row],[MonthlyIncome]]&gt;16000,"Very High Income"
)</f>
        <v>Very Low Income</v>
      </c>
      <c r="Y409">
        <v>9655</v>
      </c>
      <c r="Z409">
        <v>3</v>
      </c>
      <c r="AA409" t="s">
        <v>42</v>
      </c>
      <c r="AB409" t="s">
        <v>43</v>
      </c>
      <c r="AC409">
        <v>21</v>
      </c>
      <c r="AD409" t="str" cm="1">
        <f t="array" ref="AD409">_xlfn.IFS(HRData[[#This Row],[PercentSalaryHike]]&lt;=15,"11-15",HRData[[#This Row],[PercentSalaryHike]]&lt;=20,"16-20",HRData[[#This Row],[PercentSalaryHike]]&gt;=21,"21+")</f>
        <v>21+</v>
      </c>
      <c r="AE409">
        <v>4</v>
      </c>
      <c r="AF409">
        <v>4</v>
      </c>
      <c r="AG409">
        <v>80</v>
      </c>
      <c r="AH409">
        <v>2</v>
      </c>
      <c r="AI409">
        <v>8</v>
      </c>
      <c r="AJ409">
        <v>3</v>
      </c>
      <c r="AK409">
        <v>2</v>
      </c>
      <c r="AL409">
        <v>2</v>
      </c>
      <c r="AM409">
        <v>2</v>
      </c>
      <c r="AN409">
        <v>0</v>
      </c>
      <c r="AO409">
        <v>2</v>
      </c>
      <c r="AP40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09" t="str">
        <f>IF(HRData[[#This Row],[Attrition]]="Yes","Left", IF(HRData[[#This Row],[Attrition_Risk_Score]]&gt;=6,"High",IF(HRData[[#This Row],[Attrition_Risk_Score]]&gt;=3,"Medium","Low")))</f>
        <v>Low</v>
      </c>
      <c r="AR409" t="str">
        <f>IF(HRData[[#This Row],[Attrition_Risk_Level]]&lt;&gt;"High","",HRData[[#This Row],[Attrition_Risk_Score]]*10000-HRData[[#This Row],[EmployeeNumber]])</f>
        <v/>
      </c>
    </row>
    <row r="410" spans="1:44">
      <c r="A410">
        <v>52</v>
      </c>
      <c r="B410" t="str" cm="1">
        <f t="array" ref="B410">_xlfn.IFS(
HRData[[#This Row],[Age]]&lt;=24,"18-24",
HRData[[#This Row],[Age]]&lt;=34,"25-34",
HRData[[#This Row],[Age]]&lt;=44,"35-44",
HRData[[#This Row],[Age]]&lt;=54,"45-54",
HRData[[#This Row],[Age]]&gt;=55,"55+"
)</f>
        <v>45-54</v>
      </c>
      <c r="C410" t="s">
        <v>43</v>
      </c>
      <c r="D410">
        <f>IF(HRData[[#This Row],[Attrition]]="Yes",1,0)</f>
        <v>0</v>
      </c>
      <c r="E410" t="s">
        <v>36</v>
      </c>
      <c r="F410">
        <v>1490</v>
      </c>
      <c r="G410" t="s">
        <v>45</v>
      </c>
      <c r="H410">
        <v>4</v>
      </c>
      <c r="I410">
        <v>2</v>
      </c>
      <c r="J410" t="s">
        <v>38</v>
      </c>
      <c r="K410">
        <v>1</v>
      </c>
      <c r="L410">
        <v>546</v>
      </c>
      <c r="M410">
        <v>4</v>
      </c>
      <c r="N410" t="str" cm="1">
        <f t="array" ref="N410">_xlfn.IFS(HRData[[#This Row],[EnvironmentSatisfaction]]=1,"Very Dissatisfied",
HRData[[#This Row],[EnvironmentSatisfaction]]=2,"Dissatisfied",
HRData[[#This Row],[EnvironmentSatisfaction]]=3,"Satisfied",
HRData[[#This Row],[EnvironmentSatisfaction]]=4,"Very Satisfied"
)</f>
        <v>Very Satisfied</v>
      </c>
      <c r="O410" t="s">
        <v>39</v>
      </c>
      <c r="P410">
        <v>30</v>
      </c>
      <c r="Q410">
        <v>3</v>
      </c>
      <c r="R410">
        <v>4</v>
      </c>
      <c r="S410" t="s">
        <v>56</v>
      </c>
      <c r="T410">
        <v>4</v>
      </c>
      <c r="U410" t="str" cm="1">
        <f t="array" ref="U410">_xlfn.IFS(
HRData[[#This Row],[JobSatisfaction]]=1,"Very Dissatisfied",
HRData[[#This Row],[JobSatisfaction]]=2,"Dissatisfied",
HRData[[#This Row],[JobSatisfaction]]=3,"Satisfied",
HRData[[#This Row],[JobSatisfaction]]=4,"Very Satisfied"
)</f>
        <v>Very Satisfied</v>
      </c>
      <c r="V410" t="s">
        <v>48</v>
      </c>
      <c r="W410">
        <v>16555</v>
      </c>
      <c r="X410" t="str" cm="1">
        <f t="array" ref="X410">_xlfn.IFS(
HRData[[#This Row],[MonthlyIncome]]&lt;=4000,"Very Low Income",
HRData[[#This Row],[MonthlyIncome]]&lt;=8000,"Low Income",
HRData[[#This Row],[MonthlyIncome]]&lt;=12000,"Moderate Income",
HRData[[#This Row],[MonthlyIncome]]&lt;=16000,"High Income",
HRData[[#This Row],[MonthlyIncome]]&gt;16000,"Very High Income"
)</f>
        <v>Very High Income</v>
      </c>
      <c r="Y410">
        <v>10310</v>
      </c>
      <c r="Z410">
        <v>2</v>
      </c>
      <c r="AA410" t="s">
        <v>42</v>
      </c>
      <c r="AB410" t="s">
        <v>43</v>
      </c>
      <c r="AC410">
        <v>13</v>
      </c>
      <c r="AD410" t="str" cm="1">
        <f t="array" ref="AD410">_xlfn.IFS(HRData[[#This Row],[PercentSalaryHike]]&lt;=15,"11-15",HRData[[#This Row],[PercentSalaryHike]]&lt;=20,"16-20",HRData[[#This Row],[PercentSalaryHike]]&gt;=21,"21+")</f>
        <v>11-15</v>
      </c>
      <c r="AE410">
        <v>3</v>
      </c>
      <c r="AF410">
        <v>4</v>
      </c>
      <c r="AG410">
        <v>80</v>
      </c>
      <c r="AH410">
        <v>0</v>
      </c>
      <c r="AI410">
        <v>31</v>
      </c>
      <c r="AJ410">
        <v>2</v>
      </c>
      <c r="AK410">
        <v>1</v>
      </c>
      <c r="AL410">
        <v>5</v>
      </c>
      <c r="AM410">
        <v>2</v>
      </c>
      <c r="AN410">
        <v>1</v>
      </c>
      <c r="AO410">
        <v>4</v>
      </c>
      <c r="AP41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410" t="str">
        <f>IF(HRData[[#This Row],[Attrition]]="Yes","Left", IF(HRData[[#This Row],[Attrition_Risk_Score]]&gt;=6,"High",IF(HRData[[#This Row],[Attrition_Risk_Score]]&gt;=3,"Medium","Low")))</f>
        <v>Low</v>
      </c>
      <c r="AR410" t="str">
        <f>IF(HRData[[#This Row],[Attrition_Risk_Level]]&lt;&gt;"High","",HRData[[#This Row],[Attrition_Risk_Score]]*10000-HRData[[#This Row],[EmployeeNumber]])</f>
        <v/>
      </c>
    </row>
    <row r="411" spans="1:44">
      <c r="A411">
        <v>42</v>
      </c>
      <c r="B411" t="str" cm="1">
        <f t="array" ref="B411">_xlfn.IFS(
HRData[[#This Row],[Age]]&lt;=24,"18-24",
HRData[[#This Row],[Age]]&lt;=34,"25-34",
HRData[[#This Row],[Age]]&lt;=44,"35-44",
HRData[[#This Row],[Age]]&lt;=54,"45-54",
HRData[[#This Row],[Age]]&gt;=55,"55+"
)</f>
        <v>35-44</v>
      </c>
      <c r="C411" t="s">
        <v>43</v>
      </c>
      <c r="D411">
        <f>IF(HRData[[#This Row],[Attrition]]="Yes",1,0)</f>
        <v>0</v>
      </c>
      <c r="E411" t="s">
        <v>44</v>
      </c>
      <c r="F411">
        <v>532</v>
      </c>
      <c r="G411" t="s">
        <v>45</v>
      </c>
      <c r="H411">
        <v>29</v>
      </c>
      <c r="I411">
        <v>2</v>
      </c>
      <c r="J411" t="s">
        <v>38</v>
      </c>
      <c r="K411">
        <v>1</v>
      </c>
      <c r="L411">
        <v>547</v>
      </c>
      <c r="M411">
        <v>1</v>
      </c>
      <c r="N411" t="str" cm="1">
        <f t="array" ref="N411">_xlfn.IFS(HRData[[#This Row],[EnvironmentSatisfaction]]=1,"Very Dissatisfied",
HRData[[#This Row],[EnvironmentSatisfaction]]=2,"Dissatisfied",
HRData[[#This Row],[EnvironmentSatisfaction]]=3,"Satisfied",
HRData[[#This Row],[EnvironmentSatisfaction]]=4,"Very Satisfied"
)</f>
        <v>Very Dissatisfied</v>
      </c>
      <c r="O411" t="s">
        <v>39</v>
      </c>
      <c r="P411">
        <v>92</v>
      </c>
      <c r="Q411">
        <v>3</v>
      </c>
      <c r="R411">
        <v>2</v>
      </c>
      <c r="S411" t="s">
        <v>47</v>
      </c>
      <c r="T411">
        <v>3</v>
      </c>
      <c r="U411" t="str" cm="1">
        <f t="array" ref="U411">_xlfn.IFS(
HRData[[#This Row],[JobSatisfaction]]=1,"Very Dissatisfied",
HRData[[#This Row],[JobSatisfaction]]=2,"Dissatisfied",
HRData[[#This Row],[JobSatisfaction]]=3,"Satisfied",
HRData[[#This Row],[JobSatisfaction]]=4,"Very Satisfied"
)</f>
        <v>Satisfied</v>
      </c>
      <c r="V411" t="s">
        <v>52</v>
      </c>
      <c r="W411">
        <v>4556</v>
      </c>
      <c r="X411" t="str" cm="1">
        <f t="array" ref="X411">_xlfn.IFS(
HRData[[#This Row],[MonthlyIncome]]&lt;=4000,"Very Low Income",
HRData[[#This Row],[MonthlyIncome]]&lt;=8000,"Low Income",
HRData[[#This Row],[MonthlyIncome]]&lt;=12000,"Moderate Income",
HRData[[#This Row],[MonthlyIncome]]&lt;=16000,"High Income",
HRData[[#This Row],[MonthlyIncome]]&gt;16000,"Very High Income"
)</f>
        <v>Low Income</v>
      </c>
      <c r="Y411">
        <v>12932</v>
      </c>
      <c r="Z411">
        <v>2</v>
      </c>
      <c r="AA411" t="s">
        <v>42</v>
      </c>
      <c r="AB411" t="s">
        <v>43</v>
      </c>
      <c r="AC411">
        <v>11</v>
      </c>
      <c r="AD411" t="str" cm="1">
        <f t="array" ref="AD411">_xlfn.IFS(HRData[[#This Row],[PercentSalaryHike]]&lt;=15,"11-15",HRData[[#This Row],[PercentSalaryHike]]&lt;=20,"16-20",HRData[[#This Row],[PercentSalaryHike]]&gt;=21,"21+")</f>
        <v>11-15</v>
      </c>
      <c r="AE411">
        <v>3</v>
      </c>
      <c r="AF411">
        <v>2</v>
      </c>
      <c r="AG411">
        <v>80</v>
      </c>
      <c r="AH411">
        <v>1</v>
      </c>
      <c r="AI411">
        <v>19</v>
      </c>
      <c r="AJ411">
        <v>3</v>
      </c>
      <c r="AK411">
        <v>3</v>
      </c>
      <c r="AL411">
        <v>5</v>
      </c>
      <c r="AM411">
        <v>4</v>
      </c>
      <c r="AN411">
        <v>0</v>
      </c>
      <c r="AO411">
        <v>2</v>
      </c>
      <c r="AP41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11" t="str">
        <f>IF(HRData[[#This Row],[Attrition]]="Yes","Left", IF(HRData[[#This Row],[Attrition_Risk_Score]]&gt;=6,"High",IF(HRData[[#This Row],[Attrition_Risk_Score]]&gt;=3,"Medium","Low")))</f>
        <v>Low</v>
      </c>
      <c r="AR411" t="str">
        <f>IF(HRData[[#This Row],[Attrition_Risk_Level]]&lt;&gt;"High","",HRData[[#This Row],[Attrition_Risk_Score]]*10000-HRData[[#This Row],[EmployeeNumber]])</f>
        <v/>
      </c>
    </row>
    <row r="412" spans="1:44">
      <c r="A412">
        <v>30</v>
      </c>
      <c r="B412" t="str" cm="1">
        <f t="array" ref="B412">_xlfn.IFS(
HRData[[#This Row],[Age]]&lt;=24,"18-24",
HRData[[#This Row],[Age]]&lt;=34,"25-34",
HRData[[#This Row],[Age]]&lt;=44,"35-44",
HRData[[#This Row],[Age]]&lt;=54,"45-54",
HRData[[#This Row],[Age]]&gt;=55,"55+"
)</f>
        <v>25-34</v>
      </c>
      <c r="C412" t="s">
        <v>43</v>
      </c>
      <c r="D412">
        <f>IF(HRData[[#This Row],[Attrition]]="Yes",1,0)</f>
        <v>0</v>
      </c>
      <c r="E412" t="s">
        <v>36</v>
      </c>
      <c r="F412">
        <v>317</v>
      </c>
      <c r="G412" t="s">
        <v>45</v>
      </c>
      <c r="H412">
        <v>2</v>
      </c>
      <c r="I412">
        <v>3</v>
      </c>
      <c r="J412" t="s">
        <v>38</v>
      </c>
      <c r="K412">
        <v>1</v>
      </c>
      <c r="L412">
        <v>548</v>
      </c>
      <c r="M412">
        <v>3</v>
      </c>
      <c r="N412" t="str" cm="1">
        <f t="array" ref="N412">_xlfn.IFS(HRData[[#This Row],[EnvironmentSatisfaction]]=1,"Very Dissatisfied",
HRData[[#This Row],[EnvironmentSatisfaction]]=2,"Dissatisfied",
HRData[[#This Row],[EnvironmentSatisfaction]]=3,"Satisfied",
HRData[[#This Row],[EnvironmentSatisfaction]]=4,"Very Satisfied"
)</f>
        <v>Satisfied</v>
      </c>
      <c r="O412" t="s">
        <v>39</v>
      </c>
      <c r="P412">
        <v>43</v>
      </c>
      <c r="Q412">
        <v>1</v>
      </c>
      <c r="R412">
        <v>2</v>
      </c>
      <c r="S412" t="s">
        <v>53</v>
      </c>
      <c r="T412">
        <v>4</v>
      </c>
      <c r="U412" t="str" cm="1">
        <f t="array" ref="U412">_xlfn.IFS(
HRData[[#This Row],[JobSatisfaction]]=1,"Very Dissatisfied",
HRData[[#This Row],[JobSatisfaction]]=2,"Dissatisfied",
HRData[[#This Row],[JobSatisfaction]]=3,"Satisfied",
HRData[[#This Row],[JobSatisfaction]]=4,"Very Satisfied"
)</f>
        <v>Very Satisfied</v>
      </c>
      <c r="V412" t="s">
        <v>41</v>
      </c>
      <c r="W412">
        <v>6091</v>
      </c>
      <c r="X412" t="str" cm="1">
        <f t="array" ref="X412">_xlfn.IFS(
HRData[[#This Row],[MonthlyIncome]]&lt;=4000,"Very Low Income",
HRData[[#This Row],[MonthlyIncome]]&lt;=8000,"Low Income",
HRData[[#This Row],[MonthlyIncome]]&lt;=12000,"Moderate Income",
HRData[[#This Row],[MonthlyIncome]]&lt;=16000,"High Income",
HRData[[#This Row],[MonthlyIncome]]&gt;16000,"Very High Income"
)</f>
        <v>Low Income</v>
      </c>
      <c r="Y412">
        <v>24793</v>
      </c>
      <c r="Z412">
        <v>2</v>
      </c>
      <c r="AA412" t="s">
        <v>42</v>
      </c>
      <c r="AB412" t="s">
        <v>43</v>
      </c>
      <c r="AC412">
        <v>20</v>
      </c>
      <c r="AD412" t="str" cm="1">
        <f t="array" ref="AD412">_xlfn.IFS(HRData[[#This Row],[PercentSalaryHike]]&lt;=15,"11-15",HRData[[#This Row],[PercentSalaryHike]]&lt;=20,"16-20",HRData[[#This Row],[PercentSalaryHike]]&gt;=21,"21+")</f>
        <v>16-20</v>
      </c>
      <c r="AE412">
        <v>4</v>
      </c>
      <c r="AF412">
        <v>3</v>
      </c>
      <c r="AG412">
        <v>80</v>
      </c>
      <c r="AH412">
        <v>0</v>
      </c>
      <c r="AI412">
        <v>11</v>
      </c>
      <c r="AJ412">
        <v>2</v>
      </c>
      <c r="AK412">
        <v>3</v>
      </c>
      <c r="AL412">
        <v>5</v>
      </c>
      <c r="AM412">
        <v>4</v>
      </c>
      <c r="AN412">
        <v>0</v>
      </c>
      <c r="AO412">
        <v>2</v>
      </c>
      <c r="AP41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12" t="str">
        <f>IF(HRData[[#This Row],[Attrition]]="Yes","Left", IF(HRData[[#This Row],[Attrition_Risk_Score]]&gt;=6,"High",IF(HRData[[#This Row],[Attrition_Risk_Score]]&gt;=3,"Medium","Low")))</f>
        <v>Low</v>
      </c>
      <c r="AR412" t="str">
        <f>IF(HRData[[#This Row],[Attrition_Risk_Level]]&lt;&gt;"High","",HRData[[#This Row],[Attrition_Risk_Score]]*10000-HRData[[#This Row],[EmployeeNumber]])</f>
        <v/>
      </c>
    </row>
    <row r="413" spans="1:44">
      <c r="A413">
        <v>60</v>
      </c>
      <c r="B413" t="str" cm="1">
        <f t="array" ref="B413">_xlfn.IFS(
HRData[[#This Row],[Age]]&lt;=24,"18-24",
HRData[[#This Row],[Age]]&lt;=34,"25-34",
HRData[[#This Row],[Age]]&lt;=44,"35-44",
HRData[[#This Row],[Age]]&lt;=54,"45-54",
HRData[[#This Row],[Age]]&gt;=55,"55+"
)</f>
        <v>55+</v>
      </c>
      <c r="C413" t="s">
        <v>43</v>
      </c>
      <c r="D413">
        <f>IF(HRData[[#This Row],[Attrition]]="Yes",1,0)</f>
        <v>0</v>
      </c>
      <c r="E413" t="s">
        <v>36</v>
      </c>
      <c r="F413">
        <v>422</v>
      </c>
      <c r="G413" t="s">
        <v>45</v>
      </c>
      <c r="H413">
        <v>7</v>
      </c>
      <c r="I413">
        <v>3</v>
      </c>
      <c r="J413" t="s">
        <v>38</v>
      </c>
      <c r="K413">
        <v>1</v>
      </c>
      <c r="L413">
        <v>549</v>
      </c>
      <c r="M413">
        <v>1</v>
      </c>
      <c r="N413" t="str" cm="1">
        <f t="array" ref="N413">_xlfn.IFS(HRData[[#This Row],[EnvironmentSatisfaction]]=1,"Very Dissatisfied",
HRData[[#This Row],[EnvironmentSatisfaction]]=2,"Dissatisfied",
HRData[[#This Row],[EnvironmentSatisfaction]]=3,"Satisfied",
HRData[[#This Row],[EnvironmentSatisfaction]]=4,"Very Satisfied"
)</f>
        <v>Very Dissatisfied</v>
      </c>
      <c r="O413" t="s">
        <v>39</v>
      </c>
      <c r="P413">
        <v>41</v>
      </c>
      <c r="Q413">
        <v>3</v>
      </c>
      <c r="R413">
        <v>5</v>
      </c>
      <c r="S413" t="s">
        <v>56</v>
      </c>
      <c r="T413">
        <v>1</v>
      </c>
      <c r="U413" t="str" cm="1">
        <f t="array" ref="U413">_xlfn.IFS(
HRData[[#This Row],[JobSatisfaction]]=1,"Very Dissatisfied",
HRData[[#This Row],[JobSatisfaction]]=2,"Dissatisfied",
HRData[[#This Row],[JobSatisfaction]]=3,"Satisfied",
HRData[[#This Row],[JobSatisfaction]]=4,"Very Satisfied"
)</f>
        <v>Very Dissatisfied</v>
      </c>
      <c r="V413" t="s">
        <v>48</v>
      </c>
      <c r="W413">
        <v>19566</v>
      </c>
      <c r="X413" t="str" cm="1">
        <f t="array" ref="X413">_xlfn.IFS(
HRData[[#This Row],[MonthlyIncome]]&lt;=4000,"Very Low Income",
HRData[[#This Row],[MonthlyIncome]]&lt;=8000,"Low Income",
HRData[[#This Row],[MonthlyIncome]]&lt;=12000,"Moderate Income",
HRData[[#This Row],[MonthlyIncome]]&lt;=16000,"High Income",
HRData[[#This Row],[MonthlyIncome]]&gt;16000,"Very High Income"
)</f>
        <v>Very High Income</v>
      </c>
      <c r="Y413">
        <v>3854</v>
      </c>
      <c r="Z413">
        <v>5</v>
      </c>
      <c r="AA413" t="s">
        <v>42</v>
      </c>
      <c r="AB413" t="s">
        <v>43</v>
      </c>
      <c r="AC413">
        <v>11</v>
      </c>
      <c r="AD413" t="str" cm="1">
        <f t="array" ref="AD413">_xlfn.IFS(HRData[[#This Row],[PercentSalaryHike]]&lt;=15,"11-15",HRData[[#This Row],[PercentSalaryHike]]&lt;=20,"16-20",HRData[[#This Row],[PercentSalaryHike]]&gt;=21,"21+")</f>
        <v>11-15</v>
      </c>
      <c r="AE413">
        <v>3</v>
      </c>
      <c r="AF413">
        <v>4</v>
      </c>
      <c r="AG413">
        <v>80</v>
      </c>
      <c r="AH413">
        <v>0</v>
      </c>
      <c r="AI413">
        <v>33</v>
      </c>
      <c r="AJ413">
        <v>5</v>
      </c>
      <c r="AK413">
        <v>1</v>
      </c>
      <c r="AL413">
        <v>29</v>
      </c>
      <c r="AM413">
        <v>8</v>
      </c>
      <c r="AN413">
        <v>11</v>
      </c>
      <c r="AO413">
        <v>10</v>
      </c>
      <c r="AP41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13" t="str">
        <f>IF(HRData[[#This Row],[Attrition]]="Yes","Left", IF(HRData[[#This Row],[Attrition_Risk_Score]]&gt;=6,"High",IF(HRData[[#This Row],[Attrition_Risk_Score]]&gt;=3,"Medium","Low")))</f>
        <v>Low</v>
      </c>
      <c r="AR413" t="str">
        <f>IF(HRData[[#This Row],[Attrition_Risk_Level]]&lt;&gt;"High","",HRData[[#This Row],[Attrition_Risk_Score]]*10000-HRData[[#This Row],[EmployeeNumber]])</f>
        <v/>
      </c>
    </row>
    <row r="414" spans="1:44">
      <c r="A414">
        <v>46</v>
      </c>
      <c r="B414" t="str" cm="1">
        <f t="array" ref="B414">_xlfn.IFS(
HRData[[#This Row],[Age]]&lt;=24,"18-24",
HRData[[#This Row],[Age]]&lt;=34,"25-34",
HRData[[#This Row],[Age]]&lt;=44,"35-44",
HRData[[#This Row],[Age]]&lt;=54,"45-54",
HRData[[#This Row],[Age]]&gt;=55,"55+"
)</f>
        <v>45-54</v>
      </c>
      <c r="C414" t="s">
        <v>43</v>
      </c>
      <c r="D414">
        <f>IF(HRData[[#This Row],[Attrition]]="Yes",1,0)</f>
        <v>0</v>
      </c>
      <c r="E414" t="s">
        <v>36</v>
      </c>
      <c r="F414">
        <v>1485</v>
      </c>
      <c r="G414" t="s">
        <v>45</v>
      </c>
      <c r="H414">
        <v>18</v>
      </c>
      <c r="I414">
        <v>3</v>
      </c>
      <c r="J414" t="s">
        <v>51</v>
      </c>
      <c r="K414">
        <v>1</v>
      </c>
      <c r="L414">
        <v>550</v>
      </c>
      <c r="M414">
        <v>3</v>
      </c>
      <c r="N414" t="str" cm="1">
        <f t="array" ref="N414">_xlfn.IFS(HRData[[#This Row],[EnvironmentSatisfaction]]=1,"Very Dissatisfied",
HRData[[#This Row],[EnvironmentSatisfaction]]=2,"Dissatisfied",
HRData[[#This Row],[EnvironmentSatisfaction]]=3,"Satisfied",
HRData[[#This Row],[EnvironmentSatisfaction]]=4,"Very Satisfied"
)</f>
        <v>Satisfied</v>
      </c>
      <c r="O414" t="s">
        <v>39</v>
      </c>
      <c r="P414">
        <v>87</v>
      </c>
      <c r="Q414">
        <v>3</v>
      </c>
      <c r="R414">
        <v>2</v>
      </c>
      <c r="S414" t="s">
        <v>53</v>
      </c>
      <c r="T414">
        <v>3</v>
      </c>
      <c r="U414" t="str" cm="1">
        <f t="array" ref="U414">_xlfn.IFS(
HRData[[#This Row],[JobSatisfaction]]=1,"Very Dissatisfied",
HRData[[#This Row],[JobSatisfaction]]=2,"Dissatisfied",
HRData[[#This Row],[JobSatisfaction]]=3,"Satisfied",
HRData[[#This Row],[JobSatisfaction]]=4,"Very Satisfied"
)</f>
        <v>Satisfied</v>
      </c>
      <c r="V414" t="s">
        <v>52</v>
      </c>
      <c r="W414">
        <v>4810</v>
      </c>
      <c r="X414" t="str" cm="1">
        <f t="array" ref="X414">_xlfn.IFS(
HRData[[#This Row],[MonthlyIncome]]&lt;=4000,"Very Low Income",
HRData[[#This Row],[MonthlyIncome]]&lt;=8000,"Low Income",
HRData[[#This Row],[MonthlyIncome]]&lt;=12000,"Moderate Income",
HRData[[#This Row],[MonthlyIncome]]&lt;=16000,"High Income",
HRData[[#This Row],[MonthlyIncome]]&gt;16000,"Very High Income"
)</f>
        <v>Low Income</v>
      </c>
      <c r="Y414">
        <v>26314</v>
      </c>
      <c r="Z414">
        <v>2</v>
      </c>
      <c r="AA414" t="s">
        <v>42</v>
      </c>
      <c r="AB414" t="s">
        <v>43</v>
      </c>
      <c r="AC414">
        <v>14</v>
      </c>
      <c r="AD414" t="str" cm="1">
        <f t="array" ref="AD414">_xlfn.IFS(HRData[[#This Row],[PercentSalaryHike]]&lt;=15,"11-15",HRData[[#This Row],[PercentSalaryHike]]&lt;=20,"16-20",HRData[[#This Row],[PercentSalaryHike]]&gt;=21,"21+")</f>
        <v>11-15</v>
      </c>
      <c r="AE414">
        <v>3</v>
      </c>
      <c r="AF414">
        <v>3</v>
      </c>
      <c r="AG414">
        <v>80</v>
      </c>
      <c r="AH414">
        <v>1</v>
      </c>
      <c r="AI414">
        <v>19</v>
      </c>
      <c r="AJ414">
        <v>5</v>
      </c>
      <c r="AK414">
        <v>2</v>
      </c>
      <c r="AL414">
        <v>10</v>
      </c>
      <c r="AM414">
        <v>7</v>
      </c>
      <c r="AN414">
        <v>0</v>
      </c>
      <c r="AO414">
        <v>8</v>
      </c>
      <c r="AP41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14" t="str">
        <f>IF(HRData[[#This Row],[Attrition]]="Yes","Left", IF(HRData[[#This Row],[Attrition_Risk_Score]]&gt;=6,"High",IF(HRData[[#This Row],[Attrition_Risk_Score]]&gt;=3,"Medium","Low")))</f>
        <v>Low</v>
      </c>
      <c r="AR414" t="str">
        <f>IF(HRData[[#This Row],[Attrition_Risk_Level]]&lt;&gt;"High","",HRData[[#This Row],[Attrition_Risk_Score]]*10000-HRData[[#This Row],[EmployeeNumber]])</f>
        <v/>
      </c>
    </row>
    <row r="415" spans="1:44">
      <c r="A415">
        <v>42</v>
      </c>
      <c r="B415" t="str" cm="1">
        <f t="array" ref="B415">_xlfn.IFS(
HRData[[#This Row],[Age]]&lt;=24,"18-24",
HRData[[#This Row],[Age]]&lt;=34,"25-34",
HRData[[#This Row],[Age]]&lt;=44,"35-44",
HRData[[#This Row],[Age]]&lt;=54,"45-54",
HRData[[#This Row],[Age]]&gt;=55,"55+"
)</f>
        <v>35-44</v>
      </c>
      <c r="C415" t="s">
        <v>43</v>
      </c>
      <c r="D415">
        <f>IF(HRData[[#This Row],[Attrition]]="Yes",1,0)</f>
        <v>0</v>
      </c>
      <c r="E415" t="s">
        <v>44</v>
      </c>
      <c r="F415">
        <v>1368</v>
      </c>
      <c r="G415" t="s">
        <v>45</v>
      </c>
      <c r="H415">
        <v>28</v>
      </c>
      <c r="I415">
        <v>4</v>
      </c>
      <c r="J415" t="s">
        <v>60</v>
      </c>
      <c r="K415">
        <v>1</v>
      </c>
      <c r="L415">
        <v>551</v>
      </c>
      <c r="M415">
        <v>4</v>
      </c>
      <c r="N415" t="str" cm="1">
        <f t="array" ref="N415">_xlfn.IFS(HRData[[#This Row],[EnvironmentSatisfaction]]=1,"Very Dissatisfied",
HRData[[#This Row],[EnvironmentSatisfaction]]=2,"Dissatisfied",
HRData[[#This Row],[EnvironmentSatisfaction]]=3,"Satisfied",
HRData[[#This Row],[EnvironmentSatisfaction]]=4,"Very Satisfied"
)</f>
        <v>Very Satisfied</v>
      </c>
      <c r="O415" t="s">
        <v>39</v>
      </c>
      <c r="P415">
        <v>88</v>
      </c>
      <c r="Q415">
        <v>2</v>
      </c>
      <c r="R415">
        <v>2</v>
      </c>
      <c r="S415" t="s">
        <v>54</v>
      </c>
      <c r="T415">
        <v>4</v>
      </c>
      <c r="U415" t="str" cm="1">
        <f t="array" ref="U415">_xlfn.IFS(
HRData[[#This Row],[JobSatisfaction]]=1,"Very Dissatisfied",
HRData[[#This Row],[JobSatisfaction]]=2,"Dissatisfied",
HRData[[#This Row],[JobSatisfaction]]=3,"Satisfied",
HRData[[#This Row],[JobSatisfaction]]=4,"Very Satisfied"
)</f>
        <v>Very Satisfied</v>
      </c>
      <c r="V415" t="s">
        <v>48</v>
      </c>
      <c r="W415">
        <v>4523</v>
      </c>
      <c r="X415" t="str" cm="1">
        <f t="array" ref="X415">_xlfn.IFS(
HRData[[#This Row],[MonthlyIncome]]&lt;=4000,"Very Low Income",
HRData[[#This Row],[MonthlyIncome]]&lt;=8000,"Low Income",
HRData[[#This Row],[MonthlyIncome]]&lt;=12000,"Moderate Income",
HRData[[#This Row],[MonthlyIncome]]&lt;=16000,"High Income",
HRData[[#This Row],[MonthlyIncome]]&gt;16000,"Very High Income"
)</f>
        <v>Low Income</v>
      </c>
      <c r="Y415">
        <v>4386</v>
      </c>
      <c r="Z415">
        <v>0</v>
      </c>
      <c r="AA415" t="s">
        <v>42</v>
      </c>
      <c r="AB415" t="s">
        <v>43</v>
      </c>
      <c r="AC415">
        <v>11</v>
      </c>
      <c r="AD415" t="str" cm="1">
        <f t="array" ref="AD415">_xlfn.IFS(HRData[[#This Row],[PercentSalaryHike]]&lt;=15,"11-15",HRData[[#This Row],[PercentSalaryHike]]&lt;=20,"16-20",HRData[[#This Row],[PercentSalaryHike]]&gt;=21,"21+")</f>
        <v>11-15</v>
      </c>
      <c r="AE415">
        <v>3</v>
      </c>
      <c r="AF415">
        <v>4</v>
      </c>
      <c r="AG415">
        <v>80</v>
      </c>
      <c r="AH415">
        <v>3</v>
      </c>
      <c r="AI415">
        <v>7</v>
      </c>
      <c r="AJ415">
        <v>4</v>
      </c>
      <c r="AK415">
        <v>4</v>
      </c>
      <c r="AL415">
        <v>6</v>
      </c>
      <c r="AM415">
        <v>5</v>
      </c>
      <c r="AN415">
        <v>0</v>
      </c>
      <c r="AO415">
        <v>4</v>
      </c>
      <c r="AP41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15" t="str">
        <f>IF(HRData[[#This Row],[Attrition]]="Yes","Left", IF(HRData[[#This Row],[Attrition_Risk_Score]]&gt;=6,"High",IF(HRData[[#This Row],[Attrition_Risk_Score]]&gt;=3,"Medium","Low")))</f>
        <v>Low</v>
      </c>
      <c r="AR415" t="str">
        <f>IF(HRData[[#This Row],[Attrition_Risk_Level]]&lt;&gt;"High","",HRData[[#This Row],[Attrition_Risk_Score]]*10000-HRData[[#This Row],[EmployeeNumber]])</f>
        <v/>
      </c>
    </row>
    <row r="416" spans="1:44">
      <c r="A416">
        <v>24</v>
      </c>
      <c r="B416" t="str" cm="1">
        <f t="array" ref="B416">_xlfn.IFS(
HRData[[#This Row],[Age]]&lt;=24,"18-24",
HRData[[#This Row],[Age]]&lt;=34,"25-34",
HRData[[#This Row],[Age]]&lt;=44,"35-44",
HRData[[#This Row],[Age]]&lt;=54,"45-54",
HRData[[#This Row],[Age]]&gt;=55,"55+"
)</f>
        <v>18-24</v>
      </c>
      <c r="C416" t="s">
        <v>35</v>
      </c>
      <c r="D416">
        <f>IF(HRData[[#This Row],[Attrition]]="Yes",1,0)</f>
        <v>1</v>
      </c>
      <c r="E416" t="s">
        <v>36</v>
      </c>
      <c r="F416">
        <v>1448</v>
      </c>
      <c r="G416" t="s">
        <v>37</v>
      </c>
      <c r="H416">
        <v>1</v>
      </c>
      <c r="I416">
        <v>1</v>
      </c>
      <c r="J416" t="s">
        <v>60</v>
      </c>
      <c r="K416">
        <v>1</v>
      </c>
      <c r="L416">
        <v>554</v>
      </c>
      <c r="M416">
        <v>1</v>
      </c>
      <c r="N416" t="str" cm="1">
        <f t="array" ref="N416">_xlfn.IFS(HRData[[#This Row],[EnvironmentSatisfaction]]=1,"Very Dissatisfied",
HRData[[#This Row],[EnvironmentSatisfaction]]=2,"Dissatisfied",
HRData[[#This Row],[EnvironmentSatisfaction]]=3,"Satisfied",
HRData[[#This Row],[EnvironmentSatisfaction]]=4,"Very Satisfied"
)</f>
        <v>Very Dissatisfied</v>
      </c>
      <c r="O416" t="s">
        <v>39</v>
      </c>
      <c r="P416">
        <v>62</v>
      </c>
      <c r="Q416">
        <v>3</v>
      </c>
      <c r="R416">
        <v>1</v>
      </c>
      <c r="S416" t="s">
        <v>57</v>
      </c>
      <c r="T416">
        <v>2</v>
      </c>
      <c r="U416" t="str" cm="1">
        <f t="array" ref="U416">_xlfn.IFS(
HRData[[#This Row],[JobSatisfaction]]=1,"Very Dissatisfied",
HRData[[#This Row],[JobSatisfaction]]=2,"Dissatisfied",
HRData[[#This Row],[JobSatisfaction]]=3,"Satisfied",
HRData[[#This Row],[JobSatisfaction]]=4,"Very Satisfied"
)</f>
        <v>Dissatisfied</v>
      </c>
      <c r="V416" t="s">
        <v>41</v>
      </c>
      <c r="W416">
        <v>3202</v>
      </c>
      <c r="X416" t="str" cm="1">
        <f t="array" ref="X416">_xlfn.IFS(
HRData[[#This Row],[MonthlyIncome]]&lt;=4000,"Very Low Income",
HRData[[#This Row],[MonthlyIncome]]&lt;=8000,"Low Income",
HRData[[#This Row],[MonthlyIncome]]&lt;=12000,"Moderate Income",
HRData[[#This Row],[MonthlyIncome]]&lt;=16000,"High Income",
HRData[[#This Row],[MonthlyIncome]]&gt;16000,"Very High Income"
)</f>
        <v>Very Low Income</v>
      </c>
      <c r="Y416">
        <v>21972</v>
      </c>
      <c r="Z416">
        <v>1</v>
      </c>
      <c r="AA416" t="s">
        <v>42</v>
      </c>
      <c r="AB416" t="s">
        <v>35</v>
      </c>
      <c r="AC416">
        <v>16</v>
      </c>
      <c r="AD416" t="str" cm="1">
        <f t="array" ref="AD416">_xlfn.IFS(HRData[[#This Row],[PercentSalaryHike]]&lt;=15,"11-15",HRData[[#This Row],[PercentSalaryHike]]&lt;=20,"16-20",HRData[[#This Row],[PercentSalaryHike]]&gt;=21,"21+")</f>
        <v>16-20</v>
      </c>
      <c r="AE416">
        <v>3</v>
      </c>
      <c r="AF416">
        <v>2</v>
      </c>
      <c r="AG416">
        <v>80</v>
      </c>
      <c r="AH416">
        <v>0</v>
      </c>
      <c r="AI416">
        <v>6</v>
      </c>
      <c r="AJ416">
        <v>4</v>
      </c>
      <c r="AK416">
        <v>3</v>
      </c>
      <c r="AL416">
        <v>5</v>
      </c>
      <c r="AM416">
        <v>3</v>
      </c>
      <c r="AN416">
        <v>1</v>
      </c>
      <c r="AO416">
        <v>4</v>
      </c>
      <c r="AP41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16" t="str">
        <f>IF(HRData[[#This Row],[Attrition]]="Yes","Left", IF(HRData[[#This Row],[Attrition_Risk_Score]]&gt;=6,"High",IF(HRData[[#This Row],[Attrition_Risk_Score]]&gt;=3,"Medium","Low")))</f>
        <v>Left</v>
      </c>
      <c r="AR416" t="str">
        <f>IF(HRData[[#This Row],[Attrition_Risk_Level]]&lt;&gt;"High","",HRData[[#This Row],[Attrition_Risk_Score]]*10000-HRData[[#This Row],[EmployeeNumber]])</f>
        <v/>
      </c>
    </row>
    <row r="417" spans="1:44">
      <c r="A417">
        <v>34</v>
      </c>
      <c r="B417" t="str" cm="1">
        <f t="array" ref="B417">_xlfn.IFS(
HRData[[#This Row],[Age]]&lt;=24,"18-24",
HRData[[#This Row],[Age]]&lt;=34,"25-34",
HRData[[#This Row],[Age]]&lt;=44,"35-44",
HRData[[#This Row],[Age]]&lt;=54,"45-54",
HRData[[#This Row],[Age]]&gt;=55,"55+"
)</f>
        <v>25-34</v>
      </c>
      <c r="C417" t="s">
        <v>35</v>
      </c>
      <c r="D417">
        <f>IF(HRData[[#This Row],[Attrition]]="Yes",1,0)</f>
        <v>1</v>
      </c>
      <c r="E417" t="s">
        <v>44</v>
      </c>
      <c r="F417">
        <v>296</v>
      </c>
      <c r="G417" t="s">
        <v>37</v>
      </c>
      <c r="H417">
        <v>6</v>
      </c>
      <c r="I417">
        <v>2</v>
      </c>
      <c r="J417" t="s">
        <v>59</v>
      </c>
      <c r="K417">
        <v>1</v>
      </c>
      <c r="L417">
        <v>555</v>
      </c>
      <c r="M417">
        <v>4</v>
      </c>
      <c r="N417" t="str" cm="1">
        <f t="array" ref="N417">_xlfn.IFS(HRData[[#This Row],[EnvironmentSatisfaction]]=1,"Very Dissatisfied",
HRData[[#This Row],[EnvironmentSatisfaction]]=2,"Dissatisfied",
HRData[[#This Row],[EnvironmentSatisfaction]]=3,"Satisfied",
HRData[[#This Row],[EnvironmentSatisfaction]]=4,"Very Satisfied"
)</f>
        <v>Very Satisfied</v>
      </c>
      <c r="O417" t="s">
        <v>39</v>
      </c>
      <c r="P417">
        <v>33</v>
      </c>
      <c r="Q417">
        <v>1</v>
      </c>
      <c r="R417">
        <v>1</v>
      </c>
      <c r="S417" t="s">
        <v>57</v>
      </c>
      <c r="T417">
        <v>3</v>
      </c>
      <c r="U417" t="str" cm="1">
        <f t="array" ref="U417">_xlfn.IFS(
HRData[[#This Row],[JobSatisfaction]]=1,"Very Dissatisfied",
HRData[[#This Row],[JobSatisfaction]]=2,"Dissatisfied",
HRData[[#This Row],[JobSatisfaction]]=3,"Satisfied",
HRData[[#This Row],[JobSatisfaction]]=4,"Very Satisfied"
)</f>
        <v>Satisfied</v>
      </c>
      <c r="V417" t="s">
        <v>52</v>
      </c>
      <c r="W417">
        <v>2351</v>
      </c>
      <c r="X417" t="str" cm="1">
        <f t="array" ref="X417">_xlfn.IFS(
HRData[[#This Row],[MonthlyIncome]]&lt;=4000,"Very Low Income",
HRData[[#This Row],[MonthlyIncome]]&lt;=8000,"Low Income",
HRData[[#This Row],[MonthlyIncome]]&lt;=12000,"Moderate Income",
HRData[[#This Row],[MonthlyIncome]]&lt;=16000,"High Income",
HRData[[#This Row],[MonthlyIncome]]&gt;16000,"Very High Income"
)</f>
        <v>Very Low Income</v>
      </c>
      <c r="Y417">
        <v>12253</v>
      </c>
      <c r="Z417">
        <v>0</v>
      </c>
      <c r="AA417" t="s">
        <v>42</v>
      </c>
      <c r="AB417" t="s">
        <v>43</v>
      </c>
      <c r="AC417">
        <v>16</v>
      </c>
      <c r="AD417" t="str" cm="1">
        <f t="array" ref="AD417">_xlfn.IFS(HRData[[#This Row],[PercentSalaryHike]]&lt;=15,"11-15",HRData[[#This Row],[PercentSalaryHike]]&lt;=20,"16-20",HRData[[#This Row],[PercentSalaryHike]]&gt;=21,"21+")</f>
        <v>16-20</v>
      </c>
      <c r="AE417">
        <v>3</v>
      </c>
      <c r="AF417">
        <v>4</v>
      </c>
      <c r="AG417">
        <v>80</v>
      </c>
      <c r="AH417">
        <v>1</v>
      </c>
      <c r="AI417">
        <v>3</v>
      </c>
      <c r="AJ417">
        <v>3</v>
      </c>
      <c r="AK417">
        <v>2</v>
      </c>
      <c r="AL417">
        <v>2</v>
      </c>
      <c r="AM417">
        <v>2</v>
      </c>
      <c r="AN417">
        <v>1</v>
      </c>
      <c r="AO417">
        <v>0</v>
      </c>
      <c r="AP41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17" t="str">
        <f>IF(HRData[[#This Row],[Attrition]]="Yes","Left", IF(HRData[[#This Row],[Attrition_Risk_Score]]&gt;=6,"High",IF(HRData[[#This Row],[Attrition_Risk_Score]]&gt;=3,"Medium","Low")))</f>
        <v>Left</v>
      </c>
      <c r="AR417" t="str">
        <f>IF(HRData[[#This Row],[Attrition_Risk_Level]]&lt;&gt;"High","",HRData[[#This Row],[Attrition_Risk_Score]]*10000-HRData[[#This Row],[EmployeeNumber]])</f>
        <v/>
      </c>
    </row>
    <row r="418" spans="1:44">
      <c r="A418">
        <v>38</v>
      </c>
      <c r="B418" t="str" cm="1">
        <f t="array" ref="B418">_xlfn.IFS(
HRData[[#This Row],[Age]]&lt;=24,"18-24",
HRData[[#This Row],[Age]]&lt;=34,"25-34",
HRData[[#This Row],[Age]]&lt;=44,"35-44",
HRData[[#This Row],[Age]]&lt;=54,"45-54",
HRData[[#This Row],[Age]]&gt;=55,"55+"
)</f>
        <v>35-44</v>
      </c>
      <c r="C418" t="s">
        <v>43</v>
      </c>
      <c r="D418">
        <f>IF(HRData[[#This Row],[Attrition]]="Yes",1,0)</f>
        <v>0</v>
      </c>
      <c r="E418" t="s">
        <v>44</v>
      </c>
      <c r="F418">
        <v>1490</v>
      </c>
      <c r="G418" t="s">
        <v>45</v>
      </c>
      <c r="H418">
        <v>2</v>
      </c>
      <c r="I418">
        <v>2</v>
      </c>
      <c r="J418" t="s">
        <v>38</v>
      </c>
      <c r="K418">
        <v>1</v>
      </c>
      <c r="L418">
        <v>556</v>
      </c>
      <c r="M418">
        <v>4</v>
      </c>
      <c r="N418" t="str" cm="1">
        <f t="array" ref="N418">_xlfn.IFS(HRData[[#This Row],[EnvironmentSatisfaction]]=1,"Very Dissatisfied",
HRData[[#This Row],[EnvironmentSatisfaction]]=2,"Dissatisfied",
HRData[[#This Row],[EnvironmentSatisfaction]]=3,"Satisfied",
HRData[[#This Row],[EnvironmentSatisfaction]]=4,"Very Satisfied"
)</f>
        <v>Very Satisfied</v>
      </c>
      <c r="O418" t="s">
        <v>46</v>
      </c>
      <c r="P418">
        <v>42</v>
      </c>
      <c r="Q418">
        <v>3</v>
      </c>
      <c r="R418">
        <v>1</v>
      </c>
      <c r="S418" t="s">
        <v>50</v>
      </c>
      <c r="T418">
        <v>4</v>
      </c>
      <c r="U418" t="str" cm="1">
        <f t="array" ref="U418">_xlfn.IFS(
HRData[[#This Row],[JobSatisfaction]]=1,"Very Dissatisfied",
HRData[[#This Row],[JobSatisfaction]]=2,"Dissatisfied",
HRData[[#This Row],[JobSatisfaction]]=3,"Satisfied",
HRData[[#This Row],[JobSatisfaction]]=4,"Very Satisfied"
)</f>
        <v>Very Satisfied</v>
      </c>
      <c r="V418" t="s">
        <v>48</v>
      </c>
      <c r="W418">
        <v>1702</v>
      </c>
      <c r="X418" t="str" cm="1">
        <f t="array" ref="X418">_xlfn.IFS(
HRData[[#This Row],[MonthlyIncome]]&lt;=4000,"Very Low Income",
HRData[[#This Row],[MonthlyIncome]]&lt;=8000,"Low Income",
HRData[[#This Row],[MonthlyIncome]]&lt;=12000,"Moderate Income",
HRData[[#This Row],[MonthlyIncome]]&lt;=16000,"High Income",
HRData[[#This Row],[MonthlyIncome]]&gt;16000,"Very High Income"
)</f>
        <v>Very Low Income</v>
      </c>
      <c r="Y418">
        <v>12106</v>
      </c>
      <c r="Z418">
        <v>1</v>
      </c>
      <c r="AA418" t="s">
        <v>42</v>
      </c>
      <c r="AB418" t="s">
        <v>35</v>
      </c>
      <c r="AC418">
        <v>23</v>
      </c>
      <c r="AD418" t="str" cm="1">
        <f t="array" ref="AD418">_xlfn.IFS(HRData[[#This Row],[PercentSalaryHike]]&lt;=15,"11-15",HRData[[#This Row],[PercentSalaryHike]]&lt;=20,"16-20",HRData[[#This Row],[PercentSalaryHike]]&gt;=21,"21+")</f>
        <v>21+</v>
      </c>
      <c r="AE418">
        <v>4</v>
      </c>
      <c r="AF418">
        <v>3</v>
      </c>
      <c r="AG418">
        <v>80</v>
      </c>
      <c r="AH418">
        <v>1</v>
      </c>
      <c r="AI418">
        <v>1</v>
      </c>
      <c r="AJ418">
        <v>3</v>
      </c>
      <c r="AK418">
        <v>3</v>
      </c>
      <c r="AL418">
        <v>1</v>
      </c>
      <c r="AM418">
        <v>0</v>
      </c>
      <c r="AN418">
        <v>0</v>
      </c>
      <c r="AO418">
        <v>0</v>
      </c>
      <c r="AP41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418" t="str">
        <f>IF(HRData[[#This Row],[Attrition]]="Yes","Left", IF(HRData[[#This Row],[Attrition_Risk_Score]]&gt;=6,"High",IF(HRData[[#This Row],[Attrition_Risk_Score]]&gt;=3,"Medium","Low")))</f>
        <v>Medium</v>
      </c>
      <c r="AR418" t="str">
        <f>IF(HRData[[#This Row],[Attrition_Risk_Level]]&lt;&gt;"High","",HRData[[#This Row],[Attrition_Risk_Score]]*10000-HRData[[#This Row],[EmployeeNumber]])</f>
        <v/>
      </c>
    </row>
    <row r="419" spans="1:44">
      <c r="A419">
        <v>40</v>
      </c>
      <c r="B419" t="str" cm="1">
        <f t="array" ref="B419">_xlfn.IFS(
HRData[[#This Row],[Age]]&lt;=24,"18-24",
HRData[[#This Row],[Age]]&lt;=34,"25-34",
HRData[[#This Row],[Age]]&lt;=44,"35-44",
HRData[[#This Row],[Age]]&lt;=54,"45-54",
HRData[[#This Row],[Age]]&gt;=55,"55+"
)</f>
        <v>35-44</v>
      </c>
      <c r="C419" t="s">
        <v>43</v>
      </c>
      <c r="D419">
        <f>IF(HRData[[#This Row],[Attrition]]="Yes",1,0)</f>
        <v>0</v>
      </c>
      <c r="E419" t="s">
        <v>36</v>
      </c>
      <c r="F419">
        <v>1398</v>
      </c>
      <c r="G419" t="s">
        <v>37</v>
      </c>
      <c r="H419">
        <v>2</v>
      </c>
      <c r="I419">
        <v>4</v>
      </c>
      <c r="J419" t="s">
        <v>38</v>
      </c>
      <c r="K419">
        <v>1</v>
      </c>
      <c r="L419">
        <v>558</v>
      </c>
      <c r="M419">
        <v>3</v>
      </c>
      <c r="N419" t="str" cm="1">
        <f t="array" ref="N419">_xlfn.IFS(HRData[[#This Row],[EnvironmentSatisfaction]]=1,"Very Dissatisfied",
HRData[[#This Row],[EnvironmentSatisfaction]]=2,"Dissatisfied",
HRData[[#This Row],[EnvironmentSatisfaction]]=3,"Satisfied",
HRData[[#This Row],[EnvironmentSatisfaction]]=4,"Very Satisfied"
)</f>
        <v>Satisfied</v>
      </c>
      <c r="O419" t="s">
        <v>39</v>
      </c>
      <c r="P419">
        <v>79</v>
      </c>
      <c r="Q419">
        <v>3</v>
      </c>
      <c r="R419">
        <v>5</v>
      </c>
      <c r="S419" t="s">
        <v>56</v>
      </c>
      <c r="T419">
        <v>3</v>
      </c>
      <c r="U419" t="str" cm="1">
        <f t="array" ref="U419">_xlfn.IFS(
HRData[[#This Row],[JobSatisfaction]]=1,"Very Dissatisfied",
HRData[[#This Row],[JobSatisfaction]]=2,"Dissatisfied",
HRData[[#This Row],[JobSatisfaction]]=3,"Satisfied",
HRData[[#This Row],[JobSatisfaction]]=4,"Very Satisfied"
)</f>
        <v>Satisfied</v>
      </c>
      <c r="V419" t="s">
        <v>48</v>
      </c>
      <c r="W419">
        <v>18041</v>
      </c>
      <c r="X419" t="str" cm="1">
        <f t="array" ref="X419">_xlfn.IFS(
HRData[[#This Row],[MonthlyIncome]]&lt;=4000,"Very Low Income",
HRData[[#This Row],[MonthlyIncome]]&lt;=8000,"Low Income",
HRData[[#This Row],[MonthlyIncome]]&lt;=12000,"Moderate Income",
HRData[[#This Row],[MonthlyIncome]]&lt;=16000,"High Income",
HRData[[#This Row],[MonthlyIncome]]&gt;16000,"Very High Income"
)</f>
        <v>Very High Income</v>
      </c>
      <c r="Y419">
        <v>13022</v>
      </c>
      <c r="Z419">
        <v>0</v>
      </c>
      <c r="AA419" t="s">
        <v>42</v>
      </c>
      <c r="AB419" t="s">
        <v>43</v>
      </c>
      <c r="AC419">
        <v>14</v>
      </c>
      <c r="AD419" t="str" cm="1">
        <f t="array" ref="AD419">_xlfn.IFS(HRData[[#This Row],[PercentSalaryHike]]&lt;=15,"11-15",HRData[[#This Row],[PercentSalaryHike]]&lt;=20,"16-20",HRData[[#This Row],[PercentSalaryHike]]&gt;=21,"21+")</f>
        <v>11-15</v>
      </c>
      <c r="AE419">
        <v>3</v>
      </c>
      <c r="AF419">
        <v>4</v>
      </c>
      <c r="AG419">
        <v>80</v>
      </c>
      <c r="AH419">
        <v>0</v>
      </c>
      <c r="AI419">
        <v>21</v>
      </c>
      <c r="AJ419">
        <v>2</v>
      </c>
      <c r="AK419">
        <v>3</v>
      </c>
      <c r="AL419">
        <v>20</v>
      </c>
      <c r="AM419">
        <v>15</v>
      </c>
      <c r="AN419">
        <v>1</v>
      </c>
      <c r="AO419">
        <v>12</v>
      </c>
      <c r="AP41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419" t="str">
        <f>IF(HRData[[#This Row],[Attrition]]="Yes","Left", IF(HRData[[#This Row],[Attrition_Risk_Score]]&gt;=6,"High",IF(HRData[[#This Row],[Attrition_Risk_Score]]&gt;=3,"Medium","Low")))</f>
        <v>Low</v>
      </c>
      <c r="AR419" t="str">
        <f>IF(HRData[[#This Row],[Attrition_Risk_Level]]&lt;&gt;"High","",HRData[[#This Row],[Attrition_Risk_Score]]*10000-HRData[[#This Row],[EmployeeNumber]])</f>
        <v/>
      </c>
    </row>
    <row r="420" spans="1:44">
      <c r="A420">
        <v>26</v>
      </c>
      <c r="B420" t="str" cm="1">
        <f t="array" ref="B420">_xlfn.IFS(
HRData[[#This Row],[Age]]&lt;=24,"18-24",
HRData[[#This Row],[Age]]&lt;=34,"25-34",
HRData[[#This Row],[Age]]&lt;=44,"35-44",
HRData[[#This Row],[Age]]&lt;=54,"45-54",
HRData[[#This Row],[Age]]&gt;=55,"55+"
)</f>
        <v>25-34</v>
      </c>
      <c r="C420" t="s">
        <v>43</v>
      </c>
      <c r="D420">
        <f>IF(HRData[[#This Row],[Attrition]]="Yes",1,0)</f>
        <v>0</v>
      </c>
      <c r="E420" t="s">
        <v>36</v>
      </c>
      <c r="F420">
        <v>1349</v>
      </c>
      <c r="G420" t="s">
        <v>45</v>
      </c>
      <c r="H420">
        <v>23</v>
      </c>
      <c r="I420">
        <v>3</v>
      </c>
      <c r="J420" t="s">
        <v>38</v>
      </c>
      <c r="K420">
        <v>1</v>
      </c>
      <c r="L420">
        <v>560</v>
      </c>
      <c r="M420">
        <v>1</v>
      </c>
      <c r="N420" t="str" cm="1">
        <f t="array" ref="N420">_xlfn.IFS(HRData[[#This Row],[EnvironmentSatisfaction]]=1,"Very Dissatisfied",
HRData[[#This Row],[EnvironmentSatisfaction]]=2,"Dissatisfied",
HRData[[#This Row],[EnvironmentSatisfaction]]=3,"Satisfied",
HRData[[#This Row],[EnvironmentSatisfaction]]=4,"Very Satisfied"
)</f>
        <v>Very Dissatisfied</v>
      </c>
      <c r="O420" t="s">
        <v>39</v>
      </c>
      <c r="P420">
        <v>90</v>
      </c>
      <c r="Q420">
        <v>3</v>
      </c>
      <c r="R420">
        <v>1</v>
      </c>
      <c r="S420" t="s">
        <v>47</v>
      </c>
      <c r="T420">
        <v>4</v>
      </c>
      <c r="U420" t="str" cm="1">
        <f t="array" ref="U420">_xlfn.IFS(
HRData[[#This Row],[JobSatisfaction]]=1,"Very Dissatisfied",
HRData[[#This Row],[JobSatisfaction]]=2,"Dissatisfied",
HRData[[#This Row],[JobSatisfaction]]=3,"Satisfied",
HRData[[#This Row],[JobSatisfaction]]=4,"Very Satisfied"
)</f>
        <v>Very Satisfied</v>
      </c>
      <c r="V420" t="s">
        <v>52</v>
      </c>
      <c r="W420">
        <v>2886</v>
      </c>
      <c r="X420" t="str" cm="1">
        <f t="array" ref="X420">_xlfn.IFS(
HRData[[#This Row],[MonthlyIncome]]&lt;=4000,"Very Low Income",
HRData[[#This Row],[MonthlyIncome]]&lt;=8000,"Low Income",
HRData[[#This Row],[MonthlyIncome]]&lt;=12000,"Moderate Income",
HRData[[#This Row],[MonthlyIncome]]&lt;=16000,"High Income",
HRData[[#This Row],[MonthlyIncome]]&gt;16000,"Very High Income"
)</f>
        <v>Very Low Income</v>
      </c>
      <c r="Y420">
        <v>3032</v>
      </c>
      <c r="Z420">
        <v>1</v>
      </c>
      <c r="AA420" t="s">
        <v>42</v>
      </c>
      <c r="AB420" t="s">
        <v>43</v>
      </c>
      <c r="AC420">
        <v>22</v>
      </c>
      <c r="AD420" t="str" cm="1">
        <f t="array" ref="AD420">_xlfn.IFS(HRData[[#This Row],[PercentSalaryHike]]&lt;=15,"11-15",HRData[[#This Row],[PercentSalaryHike]]&lt;=20,"16-20",HRData[[#This Row],[PercentSalaryHike]]&gt;=21,"21+")</f>
        <v>21+</v>
      </c>
      <c r="AE420">
        <v>4</v>
      </c>
      <c r="AF420">
        <v>2</v>
      </c>
      <c r="AG420">
        <v>80</v>
      </c>
      <c r="AH420">
        <v>2</v>
      </c>
      <c r="AI420">
        <v>3</v>
      </c>
      <c r="AJ420">
        <v>3</v>
      </c>
      <c r="AK420">
        <v>1</v>
      </c>
      <c r="AL420">
        <v>3</v>
      </c>
      <c r="AM420">
        <v>2</v>
      </c>
      <c r="AN420">
        <v>0</v>
      </c>
      <c r="AO420">
        <v>2</v>
      </c>
      <c r="AP42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420" t="str">
        <f>IF(HRData[[#This Row],[Attrition]]="Yes","Left", IF(HRData[[#This Row],[Attrition_Risk_Score]]&gt;=6,"High",IF(HRData[[#This Row],[Attrition_Risk_Score]]&gt;=3,"Medium","Low")))</f>
        <v>Medium</v>
      </c>
      <c r="AR420" t="str">
        <f>IF(HRData[[#This Row],[Attrition_Risk_Level]]&lt;&gt;"High","",HRData[[#This Row],[Attrition_Risk_Score]]*10000-HRData[[#This Row],[EmployeeNumber]])</f>
        <v/>
      </c>
    </row>
    <row r="421" spans="1:44">
      <c r="A421">
        <v>30</v>
      </c>
      <c r="B421" t="str" cm="1">
        <f t="array" ref="B421">_xlfn.IFS(
HRData[[#This Row],[Age]]&lt;=24,"18-24",
HRData[[#This Row],[Age]]&lt;=34,"25-34",
HRData[[#This Row],[Age]]&lt;=44,"35-44",
HRData[[#This Row],[Age]]&lt;=54,"45-54",
HRData[[#This Row],[Age]]&gt;=55,"55+"
)</f>
        <v>25-34</v>
      </c>
      <c r="C421" t="s">
        <v>43</v>
      </c>
      <c r="D421">
        <f>IF(HRData[[#This Row],[Attrition]]="Yes",1,0)</f>
        <v>0</v>
      </c>
      <c r="E421" t="s">
        <v>55</v>
      </c>
      <c r="F421">
        <v>1400</v>
      </c>
      <c r="G421" t="s">
        <v>45</v>
      </c>
      <c r="H421">
        <v>3</v>
      </c>
      <c r="I421">
        <v>3</v>
      </c>
      <c r="J421" t="s">
        <v>38</v>
      </c>
      <c r="K421">
        <v>1</v>
      </c>
      <c r="L421">
        <v>562</v>
      </c>
      <c r="M421">
        <v>3</v>
      </c>
      <c r="N421" t="str" cm="1">
        <f t="array" ref="N421">_xlfn.IFS(HRData[[#This Row],[EnvironmentSatisfaction]]=1,"Very Dissatisfied",
HRData[[#This Row],[EnvironmentSatisfaction]]=2,"Dissatisfied",
HRData[[#This Row],[EnvironmentSatisfaction]]=3,"Satisfied",
HRData[[#This Row],[EnvironmentSatisfaction]]=4,"Very Satisfied"
)</f>
        <v>Satisfied</v>
      </c>
      <c r="O421" t="s">
        <v>46</v>
      </c>
      <c r="P421">
        <v>53</v>
      </c>
      <c r="Q421">
        <v>3</v>
      </c>
      <c r="R421">
        <v>1</v>
      </c>
      <c r="S421" t="s">
        <v>50</v>
      </c>
      <c r="T421">
        <v>4</v>
      </c>
      <c r="U421" t="str" cm="1">
        <f t="array" ref="U421">_xlfn.IFS(
HRData[[#This Row],[JobSatisfaction]]=1,"Very Dissatisfied",
HRData[[#This Row],[JobSatisfaction]]=2,"Dissatisfied",
HRData[[#This Row],[JobSatisfaction]]=3,"Satisfied",
HRData[[#This Row],[JobSatisfaction]]=4,"Very Satisfied"
)</f>
        <v>Very Satisfied</v>
      </c>
      <c r="V421" t="s">
        <v>48</v>
      </c>
      <c r="W421">
        <v>2097</v>
      </c>
      <c r="X421" t="str" cm="1">
        <f t="array" ref="X421">_xlfn.IFS(
HRData[[#This Row],[MonthlyIncome]]&lt;=4000,"Very Low Income",
HRData[[#This Row],[MonthlyIncome]]&lt;=8000,"Low Income",
HRData[[#This Row],[MonthlyIncome]]&lt;=12000,"Moderate Income",
HRData[[#This Row],[MonthlyIncome]]&lt;=16000,"High Income",
HRData[[#This Row],[MonthlyIncome]]&gt;16000,"Very High Income"
)</f>
        <v>Very Low Income</v>
      </c>
      <c r="Y421">
        <v>16734</v>
      </c>
      <c r="Z421">
        <v>4</v>
      </c>
      <c r="AA421" t="s">
        <v>42</v>
      </c>
      <c r="AB421" t="s">
        <v>43</v>
      </c>
      <c r="AC421">
        <v>15</v>
      </c>
      <c r="AD421" t="str" cm="1">
        <f t="array" ref="AD421">_xlfn.IFS(HRData[[#This Row],[PercentSalaryHike]]&lt;=15,"11-15",HRData[[#This Row],[PercentSalaryHike]]&lt;=20,"16-20",HRData[[#This Row],[PercentSalaryHike]]&gt;=21,"21+")</f>
        <v>11-15</v>
      </c>
      <c r="AE421">
        <v>3</v>
      </c>
      <c r="AF421">
        <v>3</v>
      </c>
      <c r="AG421">
        <v>80</v>
      </c>
      <c r="AH421">
        <v>1</v>
      </c>
      <c r="AI421">
        <v>9</v>
      </c>
      <c r="AJ421">
        <v>3</v>
      </c>
      <c r="AK421">
        <v>1</v>
      </c>
      <c r="AL421">
        <v>5</v>
      </c>
      <c r="AM421">
        <v>3</v>
      </c>
      <c r="AN421">
        <v>1</v>
      </c>
      <c r="AO421">
        <v>4</v>
      </c>
      <c r="AP42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421" t="str">
        <f>IF(HRData[[#This Row],[Attrition]]="Yes","Left", IF(HRData[[#This Row],[Attrition_Risk_Score]]&gt;=6,"High",IF(HRData[[#This Row],[Attrition_Risk_Score]]&gt;=3,"Medium","Low")))</f>
        <v>Medium</v>
      </c>
      <c r="AR421" t="str">
        <f>IF(HRData[[#This Row],[Attrition_Risk_Level]]&lt;&gt;"High","",HRData[[#This Row],[Attrition_Risk_Score]]*10000-HRData[[#This Row],[EmployeeNumber]])</f>
        <v/>
      </c>
    </row>
    <row r="422" spans="1:44">
      <c r="A422">
        <v>29</v>
      </c>
      <c r="B422" t="str" cm="1">
        <f t="array" ref="B422">_xlfn.IFS(
HRData[[#This Row],[Age]]&lt;=24,"18-24",
HRData[[#This Row],[Age]]&lt;=34,"25-34",
HRData[[#This Row],[Age]]&lt;=44,"35-44",
HRData[[#This Row],[Age]]&lt;=54,"45-54",
HRData[[#This Row],[Age]]&gt;=55,"55+"
)</f>
        <v>25-34</v>
      </c>
      <c r="C422" t="s">
        <v>43</v>
      </c>
      <c r="D422">
        <f>IF(HRData[[#This Row],[Attrition]]="Yes",1,0)</f>
        <v>0</v>
      </c>
      <c r="E422" t="s">
        <v>36</v>
      </c>
      <c r="F422">
        <v>986</v>
      </c>
      <c r="G422" t="s">
        <v>45</v>
      </c>
      <c r="H422">
        <v>3</v>
      </c>
      <c r="I422">
        <v>4</v>
      </c>
      <c r="J422" t="s">
        <v>51</v>
      </c>
      <c r="K422">
        <v>1</v>
      </c>
      <c r="L422">
        <v>564</v>
      </c>
      <c r="M422">
        <v>2</v>
      </c>
      <c r="N422" t="str" cm="1">
        <f t="array" ref="N422">_xlfn.IFS(HRData[[#This Row],[EnvironmentSatisfaction]]=1,"Very Dissatisfied",
HRData[[#This Row],[EnvironmentSatisfaction]]=2,"Dissatisfied",
HRData[[#This Row],[EnvironmentSatisfaction]]=3,"Satisfied",
HRData[[#This Row],[EnvironmentSatisfaction]]=4,"Very Satisfied"
)</f>
        <v>Dissatisfied</v>
      </c>
      <c r="O422" t="s">
        <v>46</v>
      </c>
      <c r="P422">
        <v>93</v>
      </c>
      <c r="Q422">
        <v>2</v>
      </c>
      <c r="R422">
        <v>3</v>
      </c>
      <c r="S422" t="s">
        <v>58</v>
      </c>
      <c r="T422">
        <v>3</v>
      </c>
      <c r="U422" t="str" cm="1">
        <f t="array" ref="U422">_xlfn.IFS(
HRData[[#This Row],[JobSatisfaction]]=1,"Very Dissatisfied",
HRData[[#This Row],[JobSatisfaction]]=2,"Dissatisfied",
HRData[[#This Row],[JobSatisfaction]]=3,"Satisfied",
HRData[[#This Row],[JobSatisfaction]]=4,"Very Satisfied"
)</f>
        <v>Satisfied</v>
      </c>
      <c r="V422" t="s">
        <v>48</v>
      </c>
      <c r="W422">
        <v>11935</v>
      </c>
      <c r="X422" t="str" cm="1">
        <f t="array" ref="X422">_xlfn.IFS(
HRData[[#This Row],[MonthlyIncome]]&lt;=4000,"Very Low Income",
HRData[[#This Row],[MonthlyIncome]]&lt;=8000,"Low Income",
HRData[[#This Row],[MonthlyIncome]]&lt;=12000,"Moderate Income",
HRData[[#This Row],[MonthlyIncome]]&lt;=16000,"High Income",
HRData[[#This Row],[MonthlyIncome]]&gt;16000,"Very High Income"
)</f>
        <v>Moderate Income</v>
      </c>
      <c r="Y422">
        <v>21526</v>
      </c>
      <c r="Z422">
        <v>1</v>
      </c>
      <c r="AA422" t="s">
        <v>42</v>
      </c>
      <c r="AB422" t="s">
        <v>43</v>
      </c>
      <c r="AC422">
        <v>18</v>
      </c>
      <c r="AD422" t="str" cm="1">
        <f t="array" ref="AD422">_xlfn.IFS(HRData[[#This Row],[PercentSalaryHike]]&lt;=15,"11-15",HRData[[#This Row],[PercentSalaryHike]]&lt;=20,"16-20",HRData[[#This Row],[PercentSalaryHike]]&gt;=21,"21+")</f>
        <v>16-20</v>
      </c>
      <c r="AE422">
        <v>3</v>
      </c>
      <c r="AF422">
        <v>3</v>
      </c>
      <c r="AG422">
        <v>80</v>
      </c>
      <c r="AH422">
        <v>0</v>
      </c>
      <c r="AI422">
        <v>10</v>
      </c>
      <c r="AJ422">
        <v>2</v>
      </c>
      <c r="AK422">
        <v>3</v>
      </c>
      <c r="AL422">
        <v>10</v>
      </c>
      <c r="AM422">
        <v>2</v>
      </c>
      <c r="AN422">
        <v>0</v>
      </c>
      <c r="AO422">
        <v>7</v>
      </c>
      <c r="AP42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22" t="str">
        <f>IF(HRData[[#This Row],[Attrition]]="Yes","Left", IF(HRData[[#This Row],[Attrition_Risk_Score]]&gt;=6,"High",IF(HRData[[#This Row],[Attrition_Risk_Score]]&gt;=3,"Medium","Low")))</f>
        <v>Low</v>
      </c>
      <c r="AR422" t="str">
        <f>IF(HRData[[#This Row],[Attrition_Risk_Level]]&lt;&gt;"High","",HRData[[#This Row],[Attrition_Risk_Score]]*10000-HRData[[#This Row],[EmployeeNumber]])</f>
        <v/>
      </c>
    </row>
    <row r="423" spans="1:44">
      <c r="A423">
        <v>29</v>
      </c>
      <c r="B423" t="str" cm="1">
        <f t="array" ref="B423">_xlfn.IFS(
HRData[[#This Row],[Age]]&lt;=24,"18-24",
HRData[[#This Row],[Age]]&lt;=34,"25-34",
HRData[[#This Row],[Age]]&lt;=44,"35-44",
HRData[[#This Row],[Age]]&lt;=54,"45-54",
HRData[[#This Row],[Age]]&gt;=55,"55+"
)</f>
        <v>25-34</v>
      </c>
      <c r="C423" t="s">
        <v>35</v>
      </c>
      <c r="D423">
        <f>IF(HRData[[#This Row],[Attrition]]="Yes",1,0)</f>
        <v>1</v>
      </c>
      <c r="E423" t="s">
        <v>36</v>
      </c>
      <c r="F423">
        <v>408</v>
      </c>
      <c r="G423" t="s">
        <v>45</v>
      </c>
      <c r="H423">
        <v>25</v>
      </c>
      <c r="I423">
        <v>5</v>
      </c>
      <c r="J423" t="s">
        <v>60</v>
      </c>
      <c r="K423">
        <v>1</v>
      </c>
      <c r="L423">
        <v>565</v>
      </c>
      <c r="M423">
        <v>3</v>
      </c>
      <c r="N423" t="str" cm="1">
        <f t="array" ref="N423">_xlfn.IFS(HRData[[#This Row],[EnvironmentSatisfaction]]=1,"Very Dissatisfied",
HRData[[#This Row],[EnvironmentSatisfaction]]=2,"Dissatisfied",
HRData[[#This Row],[EnvironmentSatisfaction]]=3,"Satisfied",
HRData[[#This Row],[EnvironmentSatisfaction]]=4,"Very Satisfied"
)</f>
        <v>Satisfied</v>
      </c>
      <c r="O423" t="s">
        <v>39</v>
      </c>
      <c r="P423">
        <v>71</v>
      </c>
      <c r="Q423">
        <v>2</v>
      </c>
      <c r="R423">
        <v>1</v>
      </c>
      <c r="S423" t="s">
        <v>47</v>
      </c>
      <c r="T423">
        <v>2</v>
      </c>
      <c r="U423" t="str" cm="1">
        <f t="array" ref="U423">_xlfn.IFS(
HRData[[#This Row],[JobSatisfaction]]=1,"Very Dissatisfied",
HRData[[#This Row],[JobSatisfaction]]=2,"Dissatisfied",
HRData[[#This Row],[JobSatisfaction]]=3,"Satisfied",
HRData[[#This Row],[JobSatisfaction]]=4,"Very Satisfied"
)</f>
        <v>Dissatisfied</v>
      </c>
      <c r="V423" t="s">
        <v>48</v>
      </c>
      <c r="W423">
        <v>2546</v>
      </c>
      <c r="X423" t="str" cm="1">
        <f t="array" ref="X423">_xlfn.IFS(
HRData[[#This Row],[MonthlyIncome]]&lt;=4000,"Very Low Income",
HRData[[#This Row],[MonthlyIncome]]&lt;=8000,"Low Income",
HRData[[#This Row],[MonthlyIncome]]&lt;=12000,"Moderate Income",
HRData[[#This Row],[MonthlyIncome]]&lt;=16000,"High Income",
HRData[[#This Row],[MonthlyIncome]]&gt;16000,"Very High Income"
)</f>
        <v>Very Low Income</v>
      </c>
      <c r="Y423">
        <v>18300</v>
      </c>
      <c r="Z423">
        <v>5</v>
      </c>
      <c r="AA423" t="s">
        <v>42</v>
      </c>
      <c r="AB423" t="s">
        <v>43</v>
      </c>
      <c r="AC423">
        <v>16</v>
      </c>
      <c r="AD423" t="str" cm="1">
        <f t="array" ref="AD423">_xlfn.IFS(HRData[[#This Row],[PercentSalaryHike]]&lt;=15,"11-15",HRData[[#This Row],[PercentSalaryHike]]&lt;=20,"16-20",HRData[[#This Row],[PercentSalaryHike]]&gt;=21,"21+")</f>
        <v>16-20</v>
      </c>
      <c r="AE423">
        <v>3</v>
      </c>
      <c r="AF423">
        <v>2</v>
      </c>
      <c r="AG423">
        <v>80</v>
      </c>
      <c r="AH423">
        <v>0</v>
      </c>
      <c r="AI423">
        <v>6</v>
      </c>
      <c r="AJ423">
        <v>2</v>
      </c>
      <c r="AK423">
        <v>4</v>
      </c>
      <c r="AL423">
        <v>2</v>
      </c>
      <c r="AM423">
        <v>2</v>
      </c>
      <c r="AN423">
        <v>1</v>
      </c>
      <c r="AO423">
        <v>1</v>
      </c>
      <c r="AP42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23" t="str">
        <f>IF(HRData[[#This Row],[Attrition]]="Yes","Left", IF(HRData[[#This Row],[Attrition_Risk_Score]]&gt;=6,"High",IF(HRData[[#This Row],[Attrition_Risk_Score]]&gt;=3,"Medium","Low")))</f>
        <v>Left</v>
      </c>
      <c r="AR423" t="str">
        <f>IF(HRData[[#This Row],[Attrition_Risk_Level]]&lt;&gt;"High","",HRData[[#This Row],[Attrition_Risk_Score]]*10000-HRData[[#This Row],[EmployeeNumber]])</f>
        <v/>
      </c>
    </row>
    <row r="424" spans="1:44">
      <c r="A424">
        <v>19</v>
      </c>
      <c r="B424" t="str" cm="1">
        <f t="array" ref="B424">_xlfn.IFS(
HRData[[#This Row],[Age]]&lt;=24,"18-24",
HRData[[#This Row],[Age]]&lt;=34,"25-34",
HRData[[#This Row],[Age]]&lt;=44,"35-44",
HRData[[#This Row],[Age]]&lt;=54,"45-54",
HRData[[#This Row],[Age]]&gt;=55,"55+"
)</f>
        <v>18-24</v>
      </c>
      <c r="C424" t="s">
        <v>35</v>
      </c>
      <c r="D424">
        <f>IF(HRData[[#This Row],[Attrition]]="Yes",1,0)</f>
        <v>1</v>
      </c>
      <c r="E424" t="s">
        <v>36</v>
      </c>
      <c r="F424">
        <v>489</v>
      </c>
      <c r="G424" t="s">
        <v>61</v>
      </c>
      <c r="H424">
        <v>2</v>
      </c>
      <c r="I424">
        <v>2</v>
      </c>
      <c r="J424" t="s">
        <v>60</v>
      </c>
      <c r="K424">
        <v>1</v>
      </c>
      <c r="L424">
        <v>566</v>
      </c>
      <c r="M424">
        <v>1</v>
      </c>
      <c r="N424" t="str" cm="1">
        <f t="array" ref="N424">_xlfn.IFS(HRData[[#This Row],[EnvironmentSatisfaction]]=1,"Very Dissatisfied",
HRData[[#This Row],[EnvironmentSatisfaction]]=2,"Dissatisfied",
HRData[[#This Row],[EnvironmentSatisfaction]]=3,"Satisfied",
HRData[[#This Row],[EnvironmentSatisfaction]]=4,"Very Satisfied"
)</f>
        <v>Very Dissatisfied</v>
      </c>
      <c r="O424" t="s">
        <v>46</v>
      </c>
      <c r="P424">
        <v>52</v>
      </c>
      <c r="Q424">
        <v>2</v>
      </c>
      <c r="R424">
        <v>1</v>
      </c>
      <c r="S424" t="s">
        <v>61</v>
      </c>
      <c r="T424">
        <v>4</v>
      </c>
      <c r="U424" t="str" cm="1">
        <f t="array" ref="U424">_xlfn.IFS(
HRData[[#This Row],[JobSatisfaction]]=1,"Very Dissatisfied",
HRData[[#This Row],[JobSatisfaction]]=2,"Dissatisfied",
HRData[[#This Row],[JobSatisfaction]]=3,"Satisfied",
HRData[[#This Row],[JobSatisfaction]]=4,"Very Satisfied"
)</f>
        <v>Very Satisfied</v>
      </c>
      <c r="V424" t="s">
        <v>41</v>
      </c>
      <c r="W424">
        <v>2564</v>
      </c>
      <c r="X424" t="str" cm="1">
        <f t="array" ref="X424">_xlfn.IFS(
HRData[[#This Row],[MonthlyIncome]]&lt;=4000,"Very Low Income",
HRData[[#This Row],[MonthlyIncome]]&lt;=8000,"Low Income",
HRData[[#This Row],[MonthlyIncome]]&lt;=12000,"Moderate Income",
HRData[[#This Row],[MonthlyIncome]]&lt;=16000,"High Income",
HRData[[#This Row],[MonthlyIncome]]&gt;16000,"Very High Income"
)</f>
        <v>Very Low Income</v>
      </c>
      <c r="Y424">
        <v>18437</v>
      </c>
      <c r="Z424">
        <v>1</v>
      </c>
      <c r="AA424" t="s">
        <v>42</v>
      </c>
      <c r="AB424" t="s">
        <v>43</v>
      </c>
      <c r="AC424">
        <v>12</v>
      </c>
      <c r="AD424" t="str" cm="1">
        <f t="array" ref="AD424">_xlfn.IFS(HRData[[#This Row],[PercentSalaryHike]]&lt;=15,"11-15",HRData[[#This Row],[PercentSalaryHike]]&lt;=20,"16-20",HRData[[#This Row],[PercentSalaryHike]]&gt;=21,"21+")</f>
        <v>11-15</v>
      </c>
      <c r="AE424">
        <v>3</v>
      </c>
      <c r="AF424">
        <v>3</v>
      </c>
      <c r="AG424">
        <v>80</v>
      </c>
      <c r="AH424">
        <v>0</v>
      </c>
      <c r="AI424">
        <v>1</v>
      </c>
      <c r="AJ424">
        <v>3</v>
      </c>
      <c r="AK424">
        <v>4</v>
      </c>
      <c r="AL424">
        <v>1</v>
      </c>
      <c r="AM424">
        <v>0</v>
      </c>
      <c r="AN424">
        <v>0</v>
      </c>
      <c r="AO424">
        <v>0</v>
      </c>
      <c r="AP42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24" t="str">
        <f>IF(HRData[[#This Row],[Attrition]]="Yes","Left", IF(HRData[[#This Row],[Attrition_Risk_Score]]&gt;=6,"High",IF(HRData[[#This Row],[Attrition_Risk_Score]]&gt;=3,"Medium","Low")))</f>
        <v>Left</v>
      </c>
      <c r="AR424" t="str">
        <f>IF(HRData[[#This Row],[Attrition_Risk_Level]]&lt;&gt;"High","",HRData[[#This Row],[Attrition_Risk_Score]]*10000-HRData[[#This Row],[EmployeeNumber]])</f>
        <v/>
      </c>
    </row>
    <row r="425" spans="1:44">
      <c r="A425">
        <v>30</v>
      </c>
      <c r="B425" t="str" cm="1">
        <f t="array" ref="B425">_xlfn.IFS(
HRData[[#This Row],[Age]]&lt;=24,"18-24",
HRData[[#This Row],[Age]]&lt;=34,"25-34",
HRData[[#This Row],[Age]]&lt;=44,"35-44",
HRData[[#This Row],[Age]]&lt;=54,"45-54",
HRData[[#This Row],[Age]]&gt;=55,"55+"
)</f>
        <v>25-34</v>
      </c>
      <c r="C425" t="s">
        <v>43</v>
      </c>
      <c r="D425">
        <f>IF(HRData[[#This Row],[Attrition]]="Yes",1,0)</f>
        <v>0</v>
      </c>
      <c r="E425" t="s">
        <v>55</v>
      </c>
      <c r="F425">
        <v>1398</v>
      </c>
      <c r="G425" t="s">
        <v>37</v>
      </c>
      <c r="H425">
        <v>22</v>
      </c>
      <c r="I425">
        <v>4</v>
      </c>
      <c r="J425" t="s">
        <v>49</v>
      </c>
      <c r="K425">
        <v>1</v>
      </c>
      <c r="L425">
        <v>567</v>
      </c>
      <c r="M425">
        <v>3</v>
      </c>
      <c r="N425" t="str" cm="1">
        <f t="array" ref="N425">_xlfn.IFS(HRData[[#This Row],[EnvironmentSatisfaction]]=1,"Very Dissatisfied",
HRData[[#This Row],[EnvironmentSatisfaction]]=2,"Dissatisfied",
HRData[[#This Row],[EnvironmentSatisfaction]]=3,"Satisfied",
HRData[[#This Row],[EnvironmentSatisfaction]]=4,"Very Satisfied"
)</f>
        <v>Satisfied</v>
      </c>
      <c r="O425" t="s">
        <v>39</v>
      </c>
      <c r="P425">
        <v>69</v>
      </c>
      <c r="Q425">
        <v>3</v>
      </c>
      <c r="R425">
        <v>3</v>
      </c>
      <c r="S425" t="s">
        <v>40</v>
      </c>
      <c r="T425">
        <v>1</v>
      </c>
      <c r="U425" t="str" cm="1">
        <f t="array" ref="U425">_xlfn.IFS(
HRData[[#This Row],[JobSatisfaction]]=1,"Very Dissatisfied",
HRData[[#This Row],[JobSatisfaction]]=2,"Dissatisfied",
HRData[[#This Row],[JobSatisfaction]]=3,"Satisfied",
HRData[[#This Row],[JobSatisfaction]]=4,"Very Satisfied"
)</f>
        <v>Very Dissatisfied</v>
      </c>
      <c r="V425" t="s">
        <v>48</v>
      </c>
      <c r="W425">
        <v>8412</v>
      </c>
      <c r="X425" t="str" cm="1">
        <f t="array" ref="X425">_xlfn.IFS(
HRData[[#This Row],[MonthlyIncome]]&lt;=4000,"Very Low Income",
HRData[[#This Row],[MonthlyIncome]]&lt;=8000,"Low Income",
HRData[[#This Row],[MonthlyIncome]]&lt;=12000,"Moderate Income",
HRData[[#This Row],[MonthlyIncome]]&lt;=16000,"High Income",
HRData[[#This Row],[MonthlyIncome]]&gt;16000,"Very High Income"
)</f>
        <v>Moderate Income</v>
      </c>
      <c r="Y425">
        <v>2890</v>
      </c>
      <c r="Z425">
        <v>0</v>
      </c>
      <c r="AA425" t="s">
        <v>42</v>
      </c>
      <c r="AB425" t="s">
        <v>43</v>
      </c>
      <c r="AC425">
        <v>11</v>
      </c>
      <c r="AD425" t="str" cm="1">
        <f t="array" ref="AD425">_xlfn.IFS(HRData[[#This Row],[PercentSalaryHike]]&lt;=15,"11-15",HRData[[#This Row],[PercentSalaryHike]]&lt;=20,"16-20",HRData[[#This Row],[PercentSalaryHike]]&gt;=21,"21+")</f>
        <v>11-15</v>
      </c>
      <c r="AE425">
        <v>3</v>
      </c>
      <c r="AF425">
        <v>3</v>
      </c>
      <c r="AG425">
        <v>80</v>
      </c>
      <c r="AH425">
        <v>0</v>
      </c>
      <c r="AI425">
        <v>10</v>
      </c>
      <c r="AJ425">
        <v>3</v>
      </c>
      <c r="AK425">
        <v>3</v>
      </c>
      <c r="AL425">
        <v>9</v>
      </c>
      <c r="AM425">
        <v>8</v>
      </c>
      <c r="AN425">
        <v>7</v>
      </c>
      <c r="AO425">
        <v>8</v>
      </c>
      <c r="AP42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425" t="str">
        <f>IF(HRData[[#This Row],[Attrition]]="Yes","Left", IF(HRData[[#This Row],[Attrition_Risk_Score]]&gt;=6,"High",IF(HRData[[#This Row],[Attrition_Risk_Score]]&gt;=3,"Medium","Low")))</f>
        <v>Medium</v>
      </c>
      <c r="AR425" t="str">
        <f>IF(HRData[[#This Row],[Attrition_Risk_Level]]&lt;&gt;"High","",HRData[[#This Row],[Attrition_Risk_Score]]*10000-HRData[[#This Row],[EmployeeNumber]])</f>
        <v/>
      </c>
    </row>
    <row r="426" spans="1:44">
      <c r="A426">
        <v>57</v>
      </c>
      <c r="B426" t="str" cm="1">
        <f t="array" ref="B426">_xlfn.IFS(
HRData[[#This Row],[Age]]&lt;=24,"18-24",
HRData[[#This Row],[Age]]&lt;=34,"25-34",
HRData[[#This Row],[Age]]&lt;=44,"35-44",
HRData[[#This Row],[Age]]&lt;=54,"45-54",
HRData[[#This Row],[Age]]&gt;=55,"55+"
)</f>
        <v>55+</v>
      </c>
      <c r="C426" t="s">
        <v>43</v>
      </c>
      <c r="D426">
        <f>IF(HRData[[#This Row],[Attrition]]="Yes",1,0)</f>
        <v>0</v>
      </c>
      <c r="E426" t="s">
        <v>36</v>
      </c>
      <c r="F426">
        <v>210</v>
      </c>
      <c r="G426" t="s">
        <v>37</v>
      </c>
      <c r="H426">
        <v>29</v>
      </c>
      <c r="I426">
        <v>3</v>
      </c>
      <c r="J426" t="s">
        <v>59</v>
      </c>
      <c r="K426">
        <v>1</v>
      </c>
      <c r="L426">
        <v>568</v>
      </c>
      <c r="M426">
        <v>1</v>
      </c>
      <c r="N426" t="str" cm="1">
        <f t="array" ref="N426">_xlfn.IFS(HRData[[#This Row],[EnvironmentSatisfaction]]=1,"Very Dissatisfied",
HRData[[#This Row],[EnvironmentSatisfaction]]=2,"Dissatisfied",
HRData[[#This Row],[EnvironmentSatisfaction]]=3,"Satisfied",
HRData[[#This Row],[EnvironmentSatisfaction]]=4,"Very Satisfied"
)</f>
        <v>Very Dissatisfied</v>
      </c>
      <c r="O426" t="s">
        <v>46</v>
      </c>
      <c r="P426">
        <v>56</v>
      </c>
      <c r="Q426">
        <v>2</v>
      </c>
      <c r="R426">
        <v>4</v>
      </c>
      <c r="S426" t="s">
        <v>56</v>
      </c>
      <c r="T426">
        <v>4</v>
      </c>
      <c r="U426" t="str" cm="1">
        <f t="array" ref="U426">_xlfn.IFS(
HRData[[#This Row],[JobSatisfaction]]=1,"Very Dissatisfied",
HRData[[#This Row],[JobSatisfaction]]=2,"Dissatisfied",
HRData[[#This Row],[JobSatisfaction]]=3,"Satisfied",
HRData[[#This Row],[JobSatisfaction]]=4,"Very Satisfied"
)</f>
        <v>Very Satisfied</v>
      </c>
      <c r="V426" t="s">
        <v>52</v>
      </c>
      <c r="W426">
        <v>14118</v>
      </c>
      <c r="X426" t="str" cm="1">
        <f t="array" ref="X426">_xlfn.IFS(
HRData[[#This Row],[MonthlyIncome]]&lt;=4000,"Very Low Income",
HRData[[#This Row],[MonthlyIncome]]&lt;=8000,"Low Income",
HRData[[#This Row],[MonthlyIncome]]&lt;=12000,"Moderate Income",
HRData[[#This Row],[MonthlyIncome]]&lt;=16000,"High Income",
HRData[[#This Row],[MonthlyIncome]]&gt;16000,"Very High Income"
)</f>
        <v>High Income</v>
      </c>
      <c r="Y426">
        <v>22102</v>
      </c>
      <c r="Z426">
        <v>3</v>
      </c>
      <c r="AA426" t="s">
        <v>42</v>
      </c>
      <c r="AB426" t="s">
        <v>43</v>
      </c>
      <c r="AC426">
        <v>12</v>
      </c>
      <c r="AD426" t="str" cm="1">
        <f t="array" ref="AD426">_xlfn.IFS(HRData[[#This Row],[PercentSalaryHike]]&lt;=15,"11-15",HRData[[#This Row],[PercentSalaryHike]]&lt;=20,"16-20",HRData[[#This Row],[PercentSalaryHike]]&gt;=21,"21+")</f>
        <v>11-15</v>
      </c>
      <c r="AE426">
        <v>3</v>
      </c>
      <c r="AF426">
        <v>3</v>
      </c>
      <c r="AG426">
        <v>80</v>
      </c>
      <c r="AH426">
        <v>1</v>
      </c>
      <c r="AI426">
        <v>32</v>
      </c>
      <c r="AJ426">
        <v>3</v>
      </c>
      <c r="AK426">
        <v>2</v>
      </c>
      <c r="AL426">
        <v>1</v>
      </c>
      <c r="AM426">
        <v>0</v>
      </c>
      <c r="AN426">
        <v>0</v>
      </c>
      <c r="AO426">
        <v>0</v>
      </c>
      <c r="AP42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426" t="str">
        <f>IF(HRData[[#This Row],[Attrition]]="Yes","Left", IF(HRData[[#This Row],[Attrition_Risk_Score]]&gt;=6,"High",IF(HRData[[#This Row],[Attrition_Risk_Score]]&gt;=3,"Medium","Low")))</f>
        <v>Low</v>
      </c>
      <c r="AR426" t="str">
        <f>IF(HRData[[#This Row],[Attrition_Risk_Level]]&lt;&gt;"High","",HRData[[#This Row],[Attrition_Risk_Score]]*10000-HRData[[#This Row],[EmployeeNumber]])</f>
        <v/>
      </c>
    </row>
    <row r="427" spans="1:44">
      <c r="A427">
        <v>50</v>
      </c>
      <c r="B427" t="str" cm="1">
        <f t="array" ref="B427">_xlfn.IFS(
HRData[[#This Row],[Age]]&lt;=24,"18-24",
HRData[[#This Row],[Age]]&lt;=34,"25-34",
HRData[[#This Row],[Age]]&lt;=44,"35-44",
HRData[[#This Row],[Age]]&lt;=54,"45-54",
HRData[[#This Row],[Age]]&gt;=55,"55+"
)</f>
        <v>45-54</v>
      </c>
      <c r="C427" t="s">
        <v>43</v>
      </c>
      <c r="D427">
        <f>IF(HRData[[#This Row],[Attrition]]="Yes",1,0)</f>
        <v>0</v>
      </c>
      <c r="E427" t="s">
        <v>36</v>
      </c>
      <c r="F427">
        <v>1099</v>
      </c>
      <c r="G427" t="s">
        <v>45</v>
      </c>
      <c r="H427">
        <v>29</v>
      </c>
      <c r="I427">
        <v>4</v>
      </c>
      <c r="J427" t="s">
        <v>38</v>
      </c>
      <c r="K427">
        <v>1</v>
      </c>
      <c r="L427">
        <v>569</v>
      </c>
      <c r="M427">
        <v>2</v>
      </c>
      <c r="N427" t="str" cm="1">
        <f t="array" ref="N427">_xlfn.IFS(HRData[[#This Row],[EnvironmentSatisfaction]]=1,"Very Dissatisfied",
HRData[[#This Row],[EnvironmentSatisfaction]]=2,"Dissatisfied",
HRData[[#This Row],[EnvironmentSatisfaction]]=3,"Satisfied",
HRData[[#This Row],[EnvironmentSatisfaction]]=4,"Very Satisfied"
)</f>
        <v>Dissatisfied</v>
      </c>
      <c r="O427" t="s">
        <v>46</v>
      </c>
      <c r="P427">
        <v>88</v>
      </c>
      <c r="Q427">
        <v>2</v>
      </c>
      <c r="R427">
        <v>4</v>
      </c>
      <c r="S427" t="s">
        <v>56</v>
      </c>
      <c r="T427">
        <v>3</v>
      </c>
      <c r="U427" t="str" cm="1">
        <f t="array" ref="U427">_xlfn.IFS(
HRData[[#This Row],[JobSatisfaction]]=1,"Very Dissatisfied",
HRData[[#This Row],[JobSatisfaction]]=2,"Dissatisfied",
HRData[[#This Row],[JobSatisfaction]]=3,"Satisfied",
HRData[[#This Row],[JobSatisfaction]]=4,"Very Satisfied"
)</f>
        <v>Satisfied</v>
      </c>
      <c r="V427" t="s">
        <v>48</v>
      </c>
      <c r="W427">
        <v>17046</v>
      </c>
      <c r="X427" t="str" cm="1">
        <f t="array" ref="X427">_xlfn.IFS(
HRData[[#This Row],[MonthlyIncome]]&lt;=4000,"Very Low Income",
HRData[[#This Row],[MonthlyIncome]]&lt;=8000,"Low Income",
HRData[[#This Row],[MonthlyIncome]]&lt;=12000,"Moderate Income",
HRData[[#This Row],[MonthlyIncome]]&lt;=16000,"High Income",
HRData[[#This Row],[MonthlyIncome]]&gt;16000,"Very High Income"
)</f>
        <v>Very High Income</v>
      </c>
      <c r="Y427">
        <v>9314</v>
      </c>
      <c r="Z427">
        <v>0</v>
      </c>
      <c r="AA427" t="s">
        <v>42</v>
      </c>
      <c r="AB427" t="s">
        <v>43</v>
      </c>
      <c r="AC427">
        <v>15</v>
      </c>
      <c r="AD427" t="str" cm="1">
        <f t="array" ref="AD427">_xlfn.IFS(HRData[[#This Row],[PercentSalaryHike]]&lt;=15,"11-15",HRData[[#This Row],[PercentSalaryHike]]&lt;=20,"16-20",HRData[[#This Row],[PercentSalaryHike]]&gt;=21,"21+")</f>
        <v>11-15</v>
      </c>
      <c r="AE427">
        <v>3</v>
      </c>
      <c r="AF427">
        <v>2</v>
      </c>
      <c r="AG427">
        <v>80</v>
      </c>
      <c r="AH427">
        <v>1</v>
      </c>
      <c r="AI427">
        <v>28</v>
      </c>
      <c r="AJ427">
        <v>2</v>
      </c>
      <c r="AK427">
        <v>3</v>
      </c>
      <c r="AL427">
        <v>27</v>
      </c>
      <c r="AM427">
        <v>10</v>
      </c>
      <c r="AN427">
        <v>15</v>
      </c>
      <c r="AO427">
        <v>7</v>
      </c>
      <c r="AP42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427" t="str">
        <f>IF(HRData[[#This Row],[Attrition]]="Yes","Left", IF(HRData[[#This Row],[Attrition_Risk_Score]]&gt;=6,"High",IF(HRData[[#This Row],[Attrition_Risk_Score]]&gt;=3,"Medium","Low")))</f>
        <v>Low</v>
      </c>
      <c r="AR427" t="str">
        <f>IF(HRData[[#This Row],[Attrition_Risk_Level]]&lt;&gt;"High","",HRData[[#This Row],[Attrition_Risk_Score]]*10000-HRData[[#This Row],[EmployeeNumber]])</f>
        <v/>
      </c>
    </row>
    <row r="428" spans="1:44">
      <c r="A428">
        <v>30</v>
      </c>
      <c r="B428" t="str" cm="1">
        <f t="array" ref="B428">_xlfn.IFS(
HRData[[#This Row],[Age]]&lt;=24,"18-24",
HRData[[#This Row],[Age]]&lt;=34,"25-34",
HRData[[#This Row],[Age]]&lt;=44,"35-44",
HRData[[#This Row],[Age]]&lt;=54,"45-54",
HRData[[#This Row],[Age]]&gt;=55,"55+"
)</f>
        <v>25-34</v>
      </c>
      <c r="C428" t="s">
        <v>43</v>
      </c>
      <c r="D428">
        <f>IF(HRData[[#This Row],[Attrition]]="Yes",1,0)</f>
        <v>0</v>
      </c>
      <c r="E428" t="s">
        <v>55</v>
      </c>
      <c r="F428">
        <v>1116</v>
      </c>
      <c r="G428" t="s">
        <v>45</v>
      </c>
      <c r="H428">
        <v>2</v>
      </c>
      <c r="I428">
        <v>3</v>
      </c>
      <c r="J428" t="s">
        <v>51</v>
      </c>
      <c r="K428">
        <v>1</v>
      </c>
      <c r="L428">
        <v>571</v>
      </c>
      <c r="M428">
        <v>3</v>
      </c>
      <c r="N428" t="str" cm="1">
        <f t="array" ref="N428">_xlfn.IFS(HRData[[#This Row],[EnvironmentSatisfaction]]=1,"Very Dissatisfied",
HRData[[#This Row],[EnvironmentSatisfaction]]=2,"Dissatisfied",
HRData[[#This Row],[EnvironmentSatisfaction]]=3,"Satisfied",
HRData[[#This Row],[EnvironmentSatisfaction]]=4,"Very Satisfied"
)</f>
        <v>Satisfied</v>
      </c>
      <c r="O428" t="s">
        <v>39</v>
      </c>
      <c r="P428">
        <v>49</v>
      </c>
      <c r="Q428">
        <v>3</v>
      </c>
      <c r="R428">
        <v>1</v>
      </c>
      <c r="S428" t="s">
        <v>50</v>
      </c>
      <c r="T428">
        <v>4</v>
      </c>
      <c r="U428" t="str" cm="1">
        <f t="array" ref="U428">_xlfn.IFS(
HRData[[#This Row],[JobSatisfaction]]=1,"Very Dissatisfied",
HRData[[#This Row],[JobSatisfaction]]=2,"Dissatisfied",
HRData[[#This Row],[JobSatisfaction]]=3,"Satisfied",
HRData[[#This Row],[JobSatisfaction]]=4,"Very Satisfied"
)</f>
        <v>Very Satisfied</v>
      </c>
      <c r="V428" t="s">
        <v>41</v>
      </c>
      <c r="W428">
        <v>2564</v>
      </c>
      <c r="X428" t="str" cm="1">
        <f t="array" ref="X428">_xlfn.IFS(
HRData[[#This Row],[MonthlyIncome]]&lt;=4000,"Very Low Income",
HRData[[#This Row],[MonthlyIncome]]&lt;=8000,"Low Income",
HRData[[#This Row],[MonthlyIncome]]&lt;=12000,"Moderate Income",
HRData[[#This Row],[MonthlyIncome]]&lt;=16000,"High Income",
HRData[[#This Row],[MonthlyIncome]]&gt;16000,"Very High Income"
)</f>
        <v>Very Low Income</v>
      </c>
      <c r="Y428">
        <v>7181</v>
      </c>
      <c r="Z428">
        <v>0</v>
      </c>
      <c r="AA428" t="s">
        <v>42</v>
      </c>
      <c r="AB428" t="s">
        <v>43</v>
      </c>
      <c r="AC428">
        <v>14</v>
      </c>
      <c r="AD428" t="str" cm="1">
        <f t="array" ref="AD428">_xlfn.IFS(HRData[[#This Row],[PercentSalaryHike]]&lt;=15,"11-15",HRData[[#This Row],[PercentSalaryHike]]&lt;=20,"16-20",HRData[[#This Row],[PercentSalaryHike]]&gt;=21,"21+")</f>
        <v>11-15</v>
      </c>
      <c r="AE428">
        <v>3</v>
      </c>
      <c r="AF428">
        <v>3</v>
      </c>
      <c r="AG428">
        <v>80</v>
      </c>
      <c r="AH428">
        <v>0</v>
      </c>
      <c r="AI428">
        <v>12</v>
      </c>
      <c r="AJ428">
        <v>2</v>
      </c>
      <c r="AK428">
        <v>2</v>
      </c>
      <c r="AL428">
        <v>11</v>
      </c>
      <c r="AM428">
        <v>7</v>
      </c>
      <c r="AN428">
        <v>6</v>
      </c>
      <c r="AO428">
        <v>7</v>
      </c>
      <c r="AP42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428" t="str">
        <f>IF(HRData[[#This Row],[Attrition]]="Yes","Left", IF(HRData[[#This Row],[Attrition_Risk_Score]]&gt;=6,"High",IF(HRData[[#This Row],[Attrition_Risk_Score]]&gt;=3,"Medium","Low")))</f>
        <v>Medium</v>
      </c>
      <c r="AR428" t="str">
        <f>IF(HRData[[#This Row],[Attrition_Risk_Level]]&lt;&gt;"High","",HRData[[#This Row],[Attrition_Risk_Score]]*10000-HRData[[#This Row],[EmployeeNumber]])</f>
        <v/>
      </c>
    </row>
    <row r="429" spans="1:44">
      <c r="A429">
        <v>60</v>
      </c>
      <c r="B429" t="str" cm="1">
        <f t="array" ref="B429">_xlfn.IFS(
HRData[[#This Row],[Age]]&lt;=24,"18-24",
HRData[[#This Row],[Age]]&lt;=34,"25-34",
HRData[[#This Row],[Age]]&lt;=44,"35-44",
HRData[[#This Row],[Age]]&lt;=54,"45-54",
HRData[[#This Row],[Age]]&gt;=55,"55+"
)</f>
        <v>55+</v>
      </c>
      <c r="C429" t="s">
        <v>43</v>
      </c>
      <c r="D429">
        <f>IF(HRData[[#This Row],[Attrition]]="Yes",1,0)</f>
        <v>0</v>
      </c>
      <c r="E429" t="s">
        <v>44</v>
      </c>
      <c r="F429">
        <v>1499</v>
      </c>
      <c r="G429" t="s">
        <v>37</v>
      </c>
      <c r="H429">
        <v>28</v>
      </c>
      <c r="I429">
        <v>3</v>
      </c>
      <c r="J429" t="s">
        <v>59</v>
      </c>
      <c r="K429">
        <v>1</v>
      </c>
      <c r="L429">
        <v>573</v>
      </c>
      <c r="M429">
        <v>3</v>
      </c>
      <c r="N429" t="str" cm="1">
        <f t="array" ref="N429">_xlfn.IFS(HRData[[#This Row],[EnvironmentSatisfaction]]=1,"Very Dissatisfied",
HRData[[#This Row],[EnvironmentSatisfaction]]=2,"Dissatisfied",
HRData[[#This Row],[EnvironmentSatisfaction]]=3,"Satisfied",
HRData[[#This Row],[EnvironmentSatisfaction]]=4,"Very Satisfied"
)</f>
        <v>Satisfied</v>
      </c>
      <c r="O429" t="s">
        <v>39</v>
      </c>
      <c r="P429">
        <v>80</v>
      </c>
      <c r="Q429">
        <v>2</v>
      </c>
      <c r="R429">
        <v>3</v>
      </c>
      <c r="S429" t="s">
        <v>40</v>
      </c>
      <c r="T429">
        <v>1</v>
      </c>
      <c r="U429" t="str" cm="1">
        <f t="array" ref="U429">_xlfn.IFS(
HRData[[#This Row],[JobSatisfaction]]=1,"Very Dissatisfied",
HRData[[#This Row],[JobSatisfaction]]=2,"Dissatisfied",
HRData[[#This Row],[JobSatisfaction]]=3,"Satisfied",
HRData[[#This Row],[JobSatisfaction]]=4,"Very Satisfied"
)</f>
        <v>Very Dissatisfied</v>
      </c>
      <c r="V429" t="s">
        <v>48</v>
      </c>
      <c r="W429">
        <v>10266</v>
      </c>
      <c r="X429" t="str" cm="1">
        <f t="array" ref="X429">_xlfn.IFS(
HRData[[#This Row],[MonthlyIncome]]&lt;=4000,"Very Low Income",
HRData[[#This Row],[MonthlyIncome]]&lt;=8000,"Low Income",
HRData[[#This Row],[MonthlyIncome]]&lt;=12000,"Moderate Income",
HRData[[#This Row],[MonthlyIncome]]&lt;=16000,"High Income",
HRData[[#This Row],[MonthlyIncome]]&gt;16000,"Very High Income"
)</f>
        <v>Moderate Income</v>
      </c>
      <c r="Y429">
        <v>2845</v>
      </c>
      <c r="Z429">
        <v>4</v>
      </c>
      <c r="AA429" t="s">
        <v>42</v>
      </c>
      <c r="AB429" t="s">
        <v>43</v>
      </c>
      <c r="AC429">
        <v>19</v>
      </c>
      <c r="AD429" t="str" cm="1">
        <f t="array" ref="AD429">_xlfn.IFS(HRData[[#This Row],[PercentSalaryHike]]&lt;=15,"11-15",HRData[[#This Row],[PercentSalaryHike]]&lt;=20,"16-20",HRData[[#This Row],[PercentSalaryHike]]&gt;=21,"21+")</f>
        <v>16-20</v>
      </c>
      <c r="AE429">
        <v>3</v>
      </c>
      <c r="AF429">
        <v>4</v>
      </c>
      <c r="AG429">
        <v>80</v>
      </c>
      <c r="AH429">
        <v>0</v>
      </c>
      <c r="AI429">
        <v>22</v>
      </c>
      <c r="AJ429">
        <v>5</v>
      </c>
      <c r="AK429">
        <v>4</v>
      </c>
      <c r="AL429">
        <v>18</v>
      </c>
      <c r="AM429">
        <v>13</v>
      </c>
      <c r="AN429">
        <v>13</v>
      </c>
      <c r="AO429">
        <v>11</v>
      </c>
      <c r="AP42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29" t="str">
        <f>IF(HRData[[#This Row],[Attrition]]="Yes","Left", IF(HRData[[#This Row],[Attrition_Risk_Score]]&gt;=6,"High",IF(HRData[[#This Row],[Attrition_Risk_Score]]&gt;=3,"Medium","Low")))</f>
        <v>Low</v>
      </c>
      <c r="AR429" t="str">
        <f>IF(HRData[[#This Row],[Attrition_Risk_Level]]&lt;&gt;"High","",HRData[[#This Row],[Attrition_Risk_Score]]*10000-HRData[[#This Row],[EmployeeNumber]])</f>
        <v/>
      </c>
    </row>
    <row r="430" spans="1:44">
      <c r="A430">
        <v>47</v>
      </c>
      <c r="B430" t="str" cm="1">
        <f t="array" ref="B430">_xlfn.IFS(
HRData[[#This Row],[Age]]&lt;=24,"18-24",
HRData[[#This Row],[Age]]&lt;=34,"25-34",
HRData[[#This Row],[Age]]&lt;=44,"35-44",
HRData[[#This Row],[Age]]&lt;=54,"45-54",
HRData[[#This Row],[Age]]&gt;=55,"55+"
)</f>
        <v>45-54</v>
      </c>
      <c r="C430" t="s">
        <v>43</v>
      </c>
      <c r="D430">
        <f>IF(HRData[[#This Row],[Attrition]]="Yes",1,0)</f>
        <v>0</v>
      </c>
      <c r="E430" t="s">
        <v>36</v>
      </c>
      <c r="F430">
        <v>983</v>
      </c>
      <c r="G430" t="s">
        <v>45</v>
      </c>
      <c r="H430">
        <v>2</v>
      </c>
      <c r="I430">
        <v>2</v>
      </c>
      <c r="J430" t="s">
        <v>51</v>
      </c>
      <c r="K430">
        <v>1</v>
      </c>
      <c r="L430">
        <v>574</v>
      </c>
      <c r="M430">
        <v>1</v>
      </c>
      <c r="N430" t="str" cm="1">
        <f t="array" ref="N430">_xlfn.IFS(HRData[[#This Row],[EnvironmentSatisfaction]]=1,"Very Dissatisfied",
HRData[[#This Row],[EnvironmentSatisfaction]]=2,"Dissatisfied",
HRData[[#This Row],[EnvironmentSatisfaction]]=3,"Satisfied",
HRData[[#This Row],[EnvironmentSatisfaction]]=4,"Very Satisfied"
)</f>
        <v>Very Dissatisfied</v>
      </c>
      <c r="O430" t="s">
        <v>39</v>
      </c>
      <c r="P430">
        <v>65</v>
      </c>
      <c r="Q430">
        <v>3</v>
      </c>
      <c r="R430">
        <v>2</v>
      </c>
      <c r="S430" t="s">
        <v>53</v>
      </c>
      <c r="T430">
        <v>4</v>
      </c>
      <c r="U430" t="str" cm="1">
        <f t="array" ref="U430">_xlfn.IFS(
HRData[[#This Row],[JobSatisfaction]]=1,"Very Dissatisfied",
HRData[[#This Row],[JobSatisfaction]]=2,"Dissatisfied",
HRData[[#This Row],[JobSatisfaction]]=3,"Satisfied",
HRData[[#This Row],[JobSatisfaction]]=4,"Very Satisfied"
)</f>
        <v>Very Satisfied</v>
      </c>
      <c r="V430" t="s">
        <v>52</v>
      </c>
      <c r="W430">
        <v>5070</v>
      </c>
      <c r="X430" t="str" cm="1">
        <f t="array" ref="X430">_xlfn.IFS(
HRData[[#This Row],[MonthlyIncome]]&lt;=4000,"Very Low Income",
HRData[[#This Row],[MonthlyIncome]]&lt;=8000,"Low Income",
HRData[[#This Row],[MonthlyIncome]]&lt;=12000,"Moderate Income",
HRData[[#This Row],[MonthlyIncome]]&lt;=16000,"High Income",
HRData[[#This Row],[MonthlyIncome]]&gt;16000,"Very High Income"
)</f>
        <v>Low Income</v>
      </c>
      <c r="Y430">
        <v>7389</v>
      </c>
      <c r="Z430">
        <v>5</v>
      </c>
      <c r="AA430" t="s">
        <v>42</v>
      </c>
      <c r="AB430" t="s">
        <v>43</v>
      </c>
      <c r="AC430">
        <v>13</v>
      </c>
      <c r="AD430" t="str" cm="1">
        <f t="array" ref="AD430">_xlfn.IFS(HRData[[#This Row],[PercentSalaryHike]]&lt;=15,"11-15",HRData[[#This Row],[PercentSalaryHike]]&lt;=20,"16-20",HRData[[#This Row],[PercentSalaryHike]]&gt;=21,"21+")</f>
        <v>11-15</v>
      </c>
      <c r="AE430">
        <v>3</v>
      </c>
      <c r="AF430">
        <v>3</v>
      </c>
      <c r="AG430">
        <v>80</v>
      </c>
      <c r="AH430">
        <v>3</v>
      </c>
      <c r="AI430">
        <v>20</v>
      </c>
      <c r="AJ430">
        <v>2</v>
      </c>
      <c r="AK430">
        <v>3</v>
      </c>
      <c r="AL430">
        <v>5</v>
      </c>
      <c r="AM430">
        <v>0</v>
      </c>
      <c r="AN430">
        <v>0</v>
      </c>
      <c r="AO430">
        <v>4</v>
      </c>
      <c r="AP43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30" t="str">
        <f>IF(HRData[[#This Row],[Attrition]]="Yes","Left", IF(HRData[[#This Row],[Attrition_Risk_Score]]&gt;=6,"High",IF(HRData[[#This Row],[Attrition_Risk_Score]]&gt;=3,"Medium","Low")))</f>
        <v>Low</v>
      </c>
      <c r="AR430" t="str">
        <f>IF(HRData[[#This Row],[Attrition_Risk_Level]]&lt;&gt;"High","",HRData[[#This Row],[Attrition_Risk_Score]]*10000-HRData[[#This Row],[EmployeeNumber]])</f>
        <v/>
      </c>
    </row>
    <row r="431" spans="1:44">
      <c r="A431">
        <v>46</v>
      </c>
      <c r="B431" t="str" cm="1">
        <f t="array" ref="B431">_xlfn.IFS(
HRData[[#This Row],[Age]]&lt;=24,"18-24",
HRData[[#This Row],[Age]]&lt;=34,"25-34",
HRData[[#This Row],[Age]]&lt;=44,"35-44",
HRData[[#This Row],[Age]]&lt;=54,"45-54",
HRData[[#This Row],[Age]]&gt;=55,"55+"
)</f>
        <v>45-54</v>
      </c>
      <c r="C431" t="s">
        <v>43</v>
      </c>
      <c r="D431">
        <f>IF(HRData[[#This Row],[Attrition]]="Yes",1,0)</f>
        <v>0</v>
      </c>
      <c r="E431" t="s">
        <v>36</v>
      </c>
      <c r="F431">
        <v>1009</v>
      </c>
      <c r="G431" t="s">
        <v>45</v>
      </c>
      <c r="H431">
        <v>2</v>
      </c>
      <c r="I431">
        <v>3</v>
      </c>
      <c r="J431" t="s">
        <v>38</v>
      </c>
      <c r="K431">
        <v>1</v>
      </c>
      <c r="L431">
        <v>575</v>
      </c>
      <c r="M431">
        <v>1</v>
      </c>
      <c r="N431" t="str" cm="1">
        <f t="array" ref="N431">_xlfn.IFS(HRData[[#This Row],[EnvironmentSatisfaction]]=1,"Very Dissatisfied",
HRData[[#This Row],[EnvironmentSatisfaction]]=2,"Dissatisfied",
HRData[[#This Row],[EnvironmentSatisfaction]]=3,"Satisfied",
HRData[[#This Row],[EnvironmentSatisfaction]]=4,"Very Satisfied"
)</f>
        <v>Very Dissatisfied</v>
      </c>
      <c r="O431" t="s">
        <v>46</v>
      </c>
      <c r="P431">
        <v>51</v>
      </c>
      <c r="Q431">
        <v>3</v>
      </c>
      <c r="R431">
        <v>4</v>
      </c>
      <c r="S431" t="s">
        <v>58</v>
      </c>
      <c r="T431">
        <v>3</v>
      </c>
      <c r="U431" t="str" cm="1">
        <f t="array" ref="U431">_xlfn.IFS(
HRData[[#This Row],[JobSatisfaction]]=1,"Very Dissatisfied",
HRData[[#This Row],[JobSatisfaction]]=2,"Dissatisfied",
HRData[[#This Row],[JobSatisfaction]]=3,"Satisfied",
HRData[[#This Row],[JobSatisfaction]]=4,"Very Satisfied"
)</f>
        <v>Satisfied</v>
      </c>
      <c r="V431" t="s">
        <v>48</v>
      </c>
      <c r="W431">
        <v>17861</v>
      </c>
      <c r="X431" t="str" cm="1">
        <f t="array" ref="X431">_xlfn.IFS(
HRData[[#This Row],[MonthlyIncome]]&lt;=4000,"Very Low Income",
HRData[[#This Row],[MonthlyIncome]]&lt;=8000,"Low Income",
HRData[[#This Row],[MonthlyIncome]]&lt;=12000,"Moderate Income",
HRData[[#This Row],[MonthlyIncome]]&lt;=16000,"High Income",
HRData[[#This Row],[MonthlyIncome]]&gt;16000,"Very High Income"
)</f>
        <v>Very High Income</v>
      </c>
      <c r="Y431">
        <v>2288</v>
      </c>
      <c r="Z431">
        <v>6</v>
      </c>
      <c r="AA431" t="s">
        <v>42</v>
      </c>
      <c r="AB431" t="s">
        <v>43</v>
      </c>
      <c r="AC431">
        <v>13</v>
      </c>
      <c r="AD431" t="str" cm="1">
        <f t="array" ref="AD431">_xlfn.IFS(HRData[[#This Row],[PercentSalaryHike]]&lt;=15,"11-15",HRData[[#This Row],[PercentSalaryHike]]&lt;=20,"16-20",HRData[[#This Row],[PercentSalaryHike]]&gt;=21,"21+")</f>
        <v>11-15</v>
      </c>
      <c r="AE431">
        <v>3</v>
      </c>
      <c r="AF431">
        <v>3</v>
      </c>
      <c r="AG431">
        <v>80</v>
      </c>
      <c r="AH431">
        <v>0</v>
      </c>
      <c r="AI431">
        <v>26</v>
      </c>
      <c r="AJ431">
        <v>2</v>
      </c>
      <c r="AK431">
        <v>1</v>
      </c>
      <c r="AL431">
        <v>3</v>
      </c>
      <c r="AM431">
        <v>2</v>
      </c>
      <c r="AN431">
        <v>0</v>
      </c>
      <c r="AO431">
        <v>1</v>
      </c>
      <c r="AP43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431" t="str">
        <f>IF(HRData[[#This Row],[Attrition]]="Yes","Left", IF(HRData[[#This Row],[Attrition_Risk_Score]]&gt;=6,"High",IF(HRData[[#This Row],[Attrition_Risk_Score]]&gt;=3,"Medium","Low")))</f>
        <v>Low</v>
      </c>
      <c r="AR431" t="str">
        <f>IF(HRData[[#This Row],[Attrition_Risk_Level]]&lt;&gt;"High","",HRData[[#This Row],[Attrition_Risk_Score]]*10000-HRData[[#This Row],[EmployeeNumber]])</f>
        <v/>
      </c>
    </row>
    <row r="432" spans="1:44">
      <c r="A432">
        <v>35</v>
      </c>
      <c r="B432" t="str" cm="1">
        <f t="array" ref="B432">_xlfn.IFS(
HRData[[#This Row],[Age]]&lt;=24,"18-24",
HRData[[#This Row],[Age]]&lt;=34,"25-34",
HRData[[#This Row],[Age]]&lt;=44,"35-44",
HRData[[#This Row],[Age]]&lt;=54,"45-54",
HRData[[#This Row],[Age]]&gt;=55,"55+"
)</f>
        <v>35-44</v>
      </c>
      <c r="C432" t="s">
        <v>43</v>
      </c>
      <c r="D432">
        <f>IF(HRData[[#This Row],[Attrition]]="Yes",1,0)</f>
        <v>0</v>
      </c>
      <c r="E432" t="s">
        <v>36</v>
      </c>
      <c r="F432">
        <v>144</v>
      </c>
      <c r="G432" t="s">
        <v>45</v>
      </c>
      <c r="H432">
        <v>22</v>
      </c>
      <c r="I432">
        <v>3</v>
      </c>
      <c r="J432" t="s">
        <v>38</v>
      </c>
      <c r="K432">
        <v>1</v>
      </c>
      <c r="L432">
        <v>577</v>
      </c>
      <c r="M432">
        <v>4</v>
      </c>
      <c r="N432" t="str" cm="1">
        <f t="array" ref="N432">_xlfn.IFS(HRData[[#This Row],[EnvironmentSatisfaction]]=1,"Very Dissatisfied",
HRData[[#This Row],[EnvironmentSatisfaction]]=2,"Dissatisfied",
HRData[[#This Row],[EnvironmentSatisfaction]]=3,"Satisfied",
HRData[[#This Row],[EnvironmentSatisfaction]]=4,"Very Satisfied"
)</f>
        <v>Very Satisfied</v>
      </c>
      <c r="O432" t="s">
        <v>46</v>
      </c>
      <c r="P432">
        <v>46</v>
      </c>
      <c r="Q432">
        <v>1</v>
      </c>
      <c r="R432">
        <v>1</v>
      </c>
      <c r="S432" t="s">
        <v>50</v>
      </c>
      <c r="T432">
        <v>3</v>
      </c>
      <c r="U432" t="str" cm="1">
        <f t="array" ref="U432">_xlfn.IFS(
HRData[[#This Row],[JobSatisfaction]]=1,"Very Dissatisfied",
HRData[[#This Row],[JobSatisfaction]]=2,"Dissatisfied",
HRData[[#This Row],[JobSatisfaction]]=3,"Satisfied",
HRData[[#This Row],[JobSatisfaction]]=4,"Very Satisfied"
)</f>
        <v>Satisfied</v>
      </c>
      <c r="V432" t="s">
        <v>41</v>
      </c>
      <c r="W432">
        <v>4230</v>
      </c>
      <c r="X432" t="str" cm="1">
        <f t="array" ref="X432">_xlfn.IFS(
HRData[[#This Row],[MonthlyIncome]]&lt;=4000,"Very Low Income",
HRData[[#This Row],[MonthlyIncome]]&lt;=8000,"Low Income",
HRData[[#This Row],[MonthlyIncome]]&lt;=12000,"Moderate Income",
HRData[[#This Row],[MonthlyIncome]]&lt;=16000,"High Income",
HRData[[#This Row],[MonthlyIncome]]&gt;16000,"Very High Income"
)</f>
        <v>Low Income</v>
      </c>
      <c r="Y432">
        <v>19225</v>
      </c>
      <c r="Z432">
        <v>0</v>
      </c>
      <c r="AA432" t="s">
        <v>42</v>
      </c>
      <c r="AB432" t="s">
        <v>43</v>
      </c>
      <c r="AC432">
        <v>15</v>
      </c>
      <c r="AD432" t="str" cm="1">
        <f t="array" ref="AD432">_xlfn.IFS(HRData[[#This Row],[PercentSalaryHike]]&lt;=15,"11-15",HRData[[#This Row],[PercentSalaryHike]]&lt;=20,"16-20",HRData[[#This Row],[PercentSalaryHike]]&gt;=21,"21+")</f>
        <v>11-15</v>
      </c>
      <c r="AE432">
        <v>3</v>
      </c>
      <c r="AF432">
        <v>3</v>
      </c>
      <c r="AG432">
        <v>80</v>
      </c>
      <c r="AH432">
        <v>0</v>
      </c>
      <c r="AI432">
        <v>6</v>
      </c>
      <c r="AJ432">
        <v>2</v>
      </c>
      <c r="AK432">
        <v>3</v>
      </c>
      <c r="AL432">
        <v>5</v>
      </c>
      <c r="AM432">
        <v>4</v>
      </c>
      <c r="AN432">
        <v>4</v>
      </c>
      <c r="AO432">
        <v>3</v>
      </c>
      <c r="AP43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32" t="str">
        <f>IF(HRData[[#This Row],[Attrition]]="Yes","Left", IF(HRData[[#This Row],[Attrition_Risk_Score]]&gt;=6,"High",IF(HRData[[#This Row],[Attrition_Risk_Score]]&gt;=3,"Medium","Low")))</f>
        <v>Low</v>
      </c>
      <c r="AR432" t="str">
        <f>IF(HRData[[#This Row],[Attrition_Risk_Level]]&lt;&gt;"High","",HRData[[#This Row],[Attrition_Risk_Score]]*10000-HRData[[#This Row],[EmployeeNumber]])</f>
        <v/>
      </c>
    </row>
    <row r="433" spans="1:44">
      <c r="A433">
        <v>54</v>
      </c>
      <c r="B433" t="str" cm="1">
        <f t="array" ref="B433">_xlfn.IFS(
HRData[[#This Row],[Age]]&lt;=24,"18-24",
HRData[[#This Row],[Age]]&lt;=34,"25-34",
HRData[[#This Row],[Age]]&lt;=44,"35-44",
HRData[[#This Row],[Age]]&lt;=54,"45-54",
HRData[[#This Row],[Age]]&gt;=55,"55+"
)</f>
        <v>45-54</v>
      </c>
      <c r="C433" t="s">
        <v>43</v>
      </c>
      <c r="D433">
        <f>IF(HRData[[#This Row],[Attrition]]="Yes",1,0)</f>
        <v>0</v>
      </c>
      <c r="E433" t="s">
        <v>36</v>
      </c>
      <c r="F433">
        <v>548</v>
      </c>
      <c r="G433" t="s">
        <v>45</v>
      </c>
      <c r="H433">
        <v>8</v>
      </c>
      <c r="I433">
        <v>4</v>
      </c>
      <c r="J433" t="s">
        <v>38</v>
      </c>
      <c r="K433">
        <v>1</v>
      </c>
      <c r="L433">
        <v>578</v>
      </c>
      <c r="M433">
        <v>3</v>
      </c>
      <c r="N433" t="str" cm="1">
        <f t="array" ref="N433">_xlfn.IFS(HRData[[#This Row],[EnvironmentSatisfaction]]=1,"Very Dissatisfied",
HRData[[#This Row],[EnvironmentSatisfaction]]=2,"Dissatisfied",
HRData[[#This Row],[EnvironmentSatisfaction]]=3,"Satisfied",
HRData[[#This Row],[EnvironmentSatisfaction]]=4,"Very Satisfied"
)</f>
        <v>Satisfied</v>
      </c>
      <c r="O433" t="s">
        <v>39</v>
      </c>
      <c r="P433">
        <v>42</v>
      </c>
      <c r="Q433">
        <v>3</v>
      </c>
      <c r="R433">
        <v>2</v>
      </c>
      <c r="S433" t="s">
        <v>50</v>
      </c>
      <c r="T433">
        <v>3</v>
      </c>
      <c r="U433" t="str" cm="1">
        <f t="array" ref="U433">_xlfn.IFS(
HRData[[#This Row],[JobSatisfaction]]=1,"Very Dissatisfied",
HRData[[#This Row],[JobSatisfaction]]=2,"Dissatisfied",
HRData[[#This Row],[JobSatisfaction]]=3,"Satisfied",
HRData[[#This Row],[JobSatisfaction]]=4,"Very Satisfied"
)</f>
        <v>Satisfied</v>
      </c>
      <c r="V433" t="s">
        <v>41</v>
      </c>
      <c r="W433">
        <v>3780</v>
      </c>
      <c r="X433" t="str" cm="1">
        <f t="array" ref="X433">_xlfn.IFS(
HRData[[#This Row],[MonthlyIncome]]&lt;=4000,"Very Low Income",
HRData[[#This Row],[MonthlyIncome]]&lt;=8000,"Low Income",
HRData[[#This Row],[MonthlyIncome]]&lt;=12000,"Moderate Income",
HRData[[#This Row],[MonthlyIncome]]&lt;=16000,"High Income",
HRData[[#This Row],[MonthlyIncome]]&gt;16000,"Very High Income"
)</f>
        <v>Very Low Income</v>
      </c>
      <c r="Y433">
        <v>23428</v>
      </c>
      <c r="Z433">
        <v>7</v>
      </c>
      <c r="AA433" t="s">
        <v>42</v>
      </c>
      <c r="AB433" t="s">
        <v>43</v>
      </c>
      <c r="AC433">
        <v>11</v>
      </c>
      <c r="AD433" t="str" cm="1">
        <f t="array" ref="AD433">_xlfn.IFS(HRData[[#This Row],[PercentSalaryHike]]&lt;=15,"11-15",HRData[[#This Row],[PercentSalaryHike]]&lt;=20,"16-20",HRData[[#This Row],[PercentSalaryHike]]&gt;=21,"21+")</f>
        <v>11-15</v>
      </c>
      <c r="AE433">
        <v>3</v>
      </c>
      <c r="AF433">
        <v>3</v>
      </c>
      <c r="AG433">
        <v>80</v>
      </c>
      <c r="AH433">
        <v>0</v>
      </c>
      <c r="AI433">
        <v>19</v>
      </c>
      <c r="AJ433">
        <v>3</v>
      </c>
      <c r="AK433">
        <v>3</v>
      </c>
      <c r="AL433">
        <v>1</v>
      </c>
      <c r="AM433">
        <v>0</v>
      </c>
      <c r="AN433">
        <v>0</v>
      </c>
      <c r="AO433">
        <v>0</v>
      </c>
      <c r="AP43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433" t="str">
        <f>IF(HRData[[#This Row],[Attrition]]="Yes","Left", IF(HRData[[#This Row],[Attrition_Risk_Score]]&gt;=6,"High",IF(HRData[[#This Row],[Attrition_Risk_Score]]&gt;=3,"Medium","Low")))</f>
        <v>Medium</v>
      </c>
      <c r="AR433" t="str">
        <f>IF(HRData[[#This Row],[Attrition_Risk_Level]]&lt;&gt;"High","",HRData[[#This Row],[Attrition_Risk_Score]]*10000-HRData[[#This Row],[EmployeeNumber]])</f>
        <v/>
      </c>
    </row>
    <row r="434" spans="1:44">
      <c r="A434">
        <v>34</v>
      </c>
      <c r="B434" t="str" cm="1">
        <f t="array" ref="B434">_xlfn.IFS(
HRData[[#This Row],[Age]]&lt;=24,"18-24",
HRData[[#This Row],[Age]]&lt;=34,"25-34",
HRData[[#This Row],[Age]]&lt;=44,"35-44",
HRData[[#This Row],[Age]]&lt;=54,"45-54",
HRData[[#This Row],[Age]]&gt;=55,"55+"
)</f>
        <v>25-34</v>
      </c>
      <c r="C434" t="s">
        <v>43</v>
      </c>
      <c r="D434">
        <f>IF(HRData[[#This Row],[Attrition]]="Yes",1,0)</f>
        <v>0</v>
      </c>
      <c r="E434" t="s">
        <v>36</v>
      </c>
      <c r="F434">
        <v>1303</v>
      </c>
      <c r="G434" t="s">
        <v>45</v>
      </c>
      <c r="H434">
        <v>2</v>
      </c>
      <c r="I434">
        <v>4</v>
      </c>
      <c r="J434" t="s">
        <v>38</v>
      </c>
      <c r="K434">
        <v>1</v>
      </c>
      <c r="L434">
        <v>579</v>
      </c>
      <c r="M434">
        <v>4</v>
      </c>
      <c r="N434" t="str" cm="1">
        <f t="array" ref="N434">_xlfn.IFS(HRData[[#This Row],[EnvironmentSatisfaction]]=1,"Very Dissatisfied",
HRData[[#This Row],[EnvironmentSatisfaction]]=2,"Dissatisfied",
HRData[[#This Row],[EnvironmentSatisfaction]]=3,"Satisfied",
HRData[[#This Row],[EnvironmentSatisfaction]]=4,"Very Satisfied"
)</f>
        <v>Very Satisfied</v>
      </c>
      <c r="O434" t="s">
        <v>46</v>
      </c>
      <c r="P434">
        <v>62</v>
      </c>
      <c r="Q434">
        <v>2</v>
      </c>
      <c r="R434">
        <v>1</v>
      </c>
      <c r="S434" t="s">
        <v>47</v>
      </c>
      <c r="T434">
        <v>3</v>
      </c>
      <c r="U434" t="str" cm="1">
        <f t="array" ref="U434">_xlfn.IFS(
HRData[[#This Row],[JobSatisfaction]]=1,"Very Dissatisfied",
HRData[[#This Row],[JobSatisfaction]]=2,"Dissatisfied",
HRData[[#This Row],[JobSatisfaction]]=3,"Satisfied",
HRData[[#This Row],[JobSatisfaction]]=4,"Very Satisfied"
)</f>
        <v>Satisfied</v>
      </c>
      <c r="V434" t="s">
        <v>52</v>
      </c>
      <c r="W434">
        <v>2768</v>
      </c>
      <c r="X434" t="str" cm="1">
        <f t="array" ref="X434">_xlfn.IFS(
HRData[[#This Row],[MonthlyIncome]]&lt;=4000,"Very Low Income",
HRData[[#This Row],[MonthlyIncome]]&lt;=8000,"Low Income",
HRData[[#This Row],[MonthlyIncome]]&lt;=12000,"Moderate Income",
HRData[[#This Row],[MonthlyIncome]]&lt;=16000,"High Income",
HRData[[#This Row],[MonthlyIncome]]&gt;16000,"Very High Income"
)</f>
        <v>Very Low Income</v>
      </c>
      <c r="Y434">
        <v>8416</v>
      </c>
      <c r="Z434">
        <v>3</v>
      </c>
      <c r="AA434" t="s">
        <v>42</v>
      </c>
      <c r="AB434" t="s">
        <v>43</v>
      </c>
      <c r="AC434">
        <v>12</v>
      </c>
      <c r="AD434" t="str" cm="1">
        <f t="array" ref="AD434">_xlfn.IFS(HRData[[#This Row],[PercentSalaryHike]]&lt;=15,"11-15",HRData[[#This Row],[PercentSalaryHike]]&lt;=20,"16-20",HRData[[#This Row],[PercentSalaryHike]]&gt;=21,"21+")</f>
        <v>11-15</v>
      </c>
      <c r="AE434">
        <v>3</v>
      </c>
      <c r="AF434">
        <v>3</v>
      </c>
      <c r="AG434">
        <v>80</v>
      </c>
      <c r="AH434">
        <v>1</v>
      </c>
      <c r="AI434">
        <v>14</v>
      </c>
      <c r="AJ434">
        <v>3</v>
      </c>
      <c r="AK434">
        <v>3</v>
      </c>
      <c r="AL434">
        <v>7</v>
      </c>
      <c r="AM434">
        <v>3</v>
      </c>
      <c r="AN434">
        <v>5</v>
      </c>
      <c r="AO434">
        <v>7</v>
      </c>
      <c r="AP43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434" t="str">
        <f>IF(HRData[[#This Row],[Attrition]]="Yes","Left", IF(HRData[[#This Row],[Attrition_Risk_Score]]&gt;=6,"High",IF(HRData[[#This Row],[Attrition_Risk_Score]]&gt;=3,"Medium","Low")))</f>
        <v>Medium</v>
      </c>
      <c r="AR434" t="str">
        <f>IF(HRData[[#This Row],[Attrition_Risk_Level]]&lt;&gt;"High","",HRData[[#This Row],[Attrition_Risk_Score]]*10000-HRData[[#This Row],[EmployeeNumber]])</f>
        <v/>
      </c>
    </row>
    <row r="435" spans="1:44">
      <c r="A435">
        <v>46</v>
      </c>
      <c r="B435" t="str" cm="1">
        <f t="array" ref="B435">_xlfn.IFS(
HRData[[#This Row],[Age]]&lt;=24,"18-24",
HRData[[#This Row],[Age]]&lt;=34,"25-34",
HRData[[#This Row],[Age]]&lt;=44,"35-44",
HRData[[#This Row],[Age]]&lt;=54,"45-54",
HRData[[#This Row],[Age]]&gt;=55,"55+"
)</f>
        <v>45-54</v>
      </c>
      <c r="C435" t="s">
        <v>43</v>
      </c>
      <c r="D435">
        <f>IF(HRData[[#This Row],[Attrition]]="Yes",1,0)</f>
        <v>0</v>
      </c>
      <c r="E435" t="s">
        <v>36</v>
      </c>
      <c r="F435">
        <v>1125</v>
      </c>
      <c r="G435" t="s">
        <v>37</v>
      </c>
      <c r="H435">
        <v>10</v>
      </c>
      <c r="I435">
        <v>3</v>
      </c>
      <c r="J435" t="s">
        <v>59</v>
      </c>
      <c r="K435">
        <v>1</v>
      </c>
      <c r="L435">
        <v>580</v>
      </c>
      <c r="M435">
        <v>3</v>
      </c>
      <c r="N435" t="str" cm="1">
        <f t="array" ref="N435">_xlfn.IFS(HRData[[#This Row],[EnvironmentSatisfaction]]=1,"Very Dissatisfied",
HRData[[#This Row],[EnvironmentSatisfaction]]=2,"Dissatisfied",
HRData[[#This Row],[EnvironmentSatisfaction]]=3,"Satisfied",
HRData[[#This Row],[EnvironmentSatisfaction]]=4,"Very Satisfied"
)</f>
        <v>Satisfied</v>
      </c>
      <c r="O435" t="s">
        <v>39</v>
      </c>
      <c r="P435">
        <v>94</v>
      </c>
      <c r="Q435">
        <v>2</v>
      </c>
      <c r="R435">
        <v>3</v>
      </c>
      <c r="S435" t="s">
        <v>40</v>
      </c>
      <c r="T435">
        <v>4</v>
      </c>
      <c r="U435" t="str" cm="1">
        <f t="array" ref="U435">_xlfn.IFS(
HRData[[#This Row],[JobSatisfaction]]=1,"Very Dissatisfied",
HRData[[#This Row],[JobSatisfaction]]=2,"Dissatisfied",
HRData[[#This Row],[JobSatisfaction]]=3,"Satisfied",
HRData[[#This Row],[JobSatisfaction]]=4,"Very Satisfied"
)</f>
        <v>Very Satisfied</v>
      </c>
      <c r="V435" t="s">
        <v>48</v>
      </c>
      <c r="W435">
        <v>9071</v>
      </c>
      <c r="X435" t="str" cm="1">
        <f t="array" ref="X435">_xlfn.IFS(
HRData[[#This Row],[MonthlyIncome]]&lt;=4000,"Very Low Income",
HRData[[#This Row],[MonthlyIncome]]&lt;=8000,"Low Income",
HRData[[#This Row],[MonthlyIncome]]&lt;=12000,"Moderate Income",
HRData[[#This Row],[MonthlyIncome]]&lt;=16000,"High Income",
HRData[[#This Row],[MonthlyIncome]]&gt;16000,"Very High Income"
)</f>
        <v>Moderate Income</v>
      </c>
      <c r="Y435">
        <v>11563</v>
      </c>
      <c r="Z435">
        <v>2</v>
      </c>
      <c r="AA435" t="s">
        <v>42</v>
      </c>
      <c r="AB435" t="s">
        <v>35</v>
      </c>
      <c r="AC435">
        <v>19</v>
      </c>
      <c r="AD435" t="str" cm="1">
        <f t="array" ref="AD435">_xlfn.IFS(HRData[[#This Row],[PercentSalaryHike]]&lt;=15,"11-15",HRData[[#This Row],[PercentSalaryHike]]&lt;=20,"16-20",HRData[[#This Row],[PercentSalaryHike]]&gt;=21,"21+")</f>
        <v>16-20</v>
      </c>
      <c r="AE435">
        <v>3</v>
      </c>
      <c r="AF435">
        <v>3</v>
      </c>
      <c r="AG435">
        <v>80</v>
      </c>
      <c r="AH435">
        <v>1</v>
      </c>
      <c r="AI435">
        <v>15</v>
      </c>
      <c r="AJ435">
        <v>3</v>
      </c>
      <c r="AK435">
        <v>3</v>
      </c>
      <c r="AL435">
        <v>3</v>
      </c>
      <c r="AM435">
        <v>2</v>
      </c>
      <c r="AN435">
        <v>1</v>
      </c>
      <c r="AO435">
        <v>2</v>
      </c>
      <c r="AP43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35" t="str">
        <f>IF(HRData[[#This Row],[Attrition]]="Yes","Left", IF(HRData[[#This Row],[Attrition_Risk_Score]]&gt;=6,"High",IF(HRData[[#This Row],[Attrition_Risk_Score]]&gt;=3,"Medium","Low")))</f>
        <v>Low</v>
      </c>
      <c r="AR435" t="str">
        <f>IF(HRData[[#This Row],[Attrition_Risk_Level]]&lt;&gt;"High","",HRData[[#This Row],[Attrition_Risk_Score]]*10000-HRData[[#This Row],[EmployeeNumber]])</f>
        <v/>
      </c>
    </row>
    <row r="436" spans="1:44">
      <c r="A436">
        <v>31</v>
      </c>
      <c r="B436" t="str" cm="1">
        <f t="array" ref="B436">_xlfn.IFS(
HRData[[#This Row],[Age]]&lt;=24,"18-24",
HRData[[#This Row],[Age]]&lt;=34,"25-34",
HRData[[#This Row],[Age]]&lt;=44,"35-44",
HRData[[#This Row],[Age]]&lt;=54,"45-54",
HRData[[#This Row],[Age]]&gt;=55,"55+"
)</f>
        <v>25-34</v>
      </c>
      <c r="C436" t="s">
        <v>43</v>
      </c>
      <c r="D436">
        <f>IF(HRData[[#This Row],[Attrition]]="Yes",1,0)</f>
        <v>0</v>
      </c>
      <c r="E436" t="s">
        <v>36</v>
      </c>
      <c r="F436">
        <v>1274</v>
      </c>
      <c r="G436" t="s">
        <v>45</v>
      </c>
      <c r="H436">
        <v>9</v>
      </c>
      <c r="I436">
        <v>1</v>
      </c>
      <c r="J436" t="s">
        <v>38</v>
      </c>
      <c r="K436">
        <v>1</v>
      </c>
      <c r="L436">
        <v>581</v>
      </c>
      <c r="M436">
        <v>3</v>
      </c>
      <c r="N436" t="str" cm="1">
        <f t="array" ref="N436">_xlfn.IFS(HRData[[#This Row],[EnvironmentSatisfaction]]=1,"Very Dissatisfied",
HRData[[#This Row],[EnvironmentSatisfaction]]=2,"Dissatisfied",
HRData[[#This Row],[EnvironmentSatisfaction]]=3,"Satisfied",
HRData[[#This Row],[EnvironmentSatisfaction]]=4,"Very Satisfied"
)</f>
        <v>Satisfied</v>
      </c>
      <c r="O436" t="s">
        <v>46</v>
      </c>
      <c r="P436">
        <v>33</v>
      </c>
      <c r="Q436">
        <v>3</v>
      </c>
      <c r="R436">
        <v>3</v>
      </c>
      <c r="S436" t="s">
        <v>53</v>
      </c>
      <c r="T436">
        <v>2</v>
      </c>
      <c r="U436" t="str" cm="1">
        <f t="array" ref="U436">_xlfn.IFS(
HRData[[#This Row],[JobSatisfaction]]=1,"Very Dissatisfied",
HRData[[#This Row],[JobSatisfaction]]=2,"Dissatisfied",
HRData[[#This Row],[JobSatisfaction]]=3,"Satisfied",
HRData[[#This Row],[JobSatisfaction]]=4,"Very Satisfied"
)</f>
        <v>Dissatisfied</v>
      </c>
      <c r="V436" t="s">
        <v>52</v>
      </c>
      <c r="W436">
        <v>10648</v>
      </c>
      <c r="X436" t="str" cm="1">
        <f t="array" ref="X436">_xlfn.IFS(
HRData[[#This Row],[MonthlyIncome]]&lt;=4000,"Very Low Income",
HRData[[#This Row],[MonthlyIncome]]&lt;=8000,"Low Income",
HRData[[#This Row],[MonthlyIncome]]&lt;=12000,"Moderate Income",
HRData[[#This Row],[MonthlyIncome]]&lt;=16000,"High Income",
HRData[[#This Row],[MonthlyIncome]]&gt;16000,"Very High Income"
)</f>
        <v>Moderate Income</v>
      </c>
      <c r="Y436">
        <v>14394</v>
      </c>
      <c r="Z436">
        <v>1</v>
      </c>
      <c r="AA436" t="s">
        <v>42</v>
      </c>
      <c r="AB436" t="s">
        <v>43</v>
      </c>
      <c r="AC436">
        <v>25</v>
      </c>
      <c r="AD436" t="str" cm="1">
        <f t="array" ref="AD436">_xlfn.IFS(HRData[[#This Row],[PercentSalaryHike]]&lt;=15,"11-15",HRData[[#This Row],[PercentSalaryHike]]&lt;=20,"16-20",HRData[[#This Row],[PercentSalaryHike]]&gt;=21,"21+")</f>
        <v>21+</v>
      </c>
      <c r="AE436">
        <v>4</v>
      </c>
      <c r="AF436">
        <v>4</v>
      </c>
      <c r="AG436">
        <v>80</v>
      </c>
      <c r="AH436">
        <v>1</v>
      </c>
      <c r="AI436">
        <v>13</v>
      </c>
      <c r="AJ436">
        <v>6</v>
      </c>
      <c r="AK436">
        <v>4</v>
      </c>
      <c r="AL436">
        <v>13</v>
      </c>
      <c r="AM436">
        <v>8</v>
      </c>
      <c r="AN436">
        <v>0</v>
      </c>
      <c r="AO436">
        <v>8</v>
      </c>
      <c r="AP43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36" t="str">
        <f>IF(HRData[[#This Row],[Attrition]]="Yes","Left", IF(HRData[[#This Row],[Attrition_Risk_Score]]&gt;=6,"High",IF(HRData[[#This Row],[Attrition_Risk_Score]]&gt;=3,"Medium","Low")))</f>
        <v>Low</v>
      </c>
      <c r="AR436" t="str">
        <f>IF(HRData[[#This Row],[Attrition_Risk_Level]]&lt;&gt;"High","",HRData[[#This Row],[Attrition_Risk_Score]]*10000-HRData[[#This Row],[EmployeeNumber]])</f>
        <v/>
      </c>
    </row>
    <row r="437" spans="1:44">
      <c r="A437">
        <v>33</v>
      </c>
      <c r="B437" t="str" cm="1">
        <f t="array" ref="B437">_xlfn.IFS(
HRData[[#This Row],[Age]]&lt;=24,"18-24",
HRData[[#This Row],[Age]]&lt;=34,"25-34",
HRData[[#This Row],[Age]]&lt;=44,"35-44",
HRData[[#This Row],[Age]]&lt;=54,"45-54",
HRData[[#This Row],[Age]]&gt;=55,"55+"
)</f>
        <v>25-34</v>
      </c>
      <c r="C437" t="s">
        <v>35</v>
      </c>
      <c r="D437">
        <f>IF(HRData[[#This Row],[Attrition]]="Yes",1,0)</f>
        <v>1</v>
      </c>
      <c r="E437" t="s">
        <v>36</v>
      </c>
      <c r="F437">
        <v>1277</v>
      </c>
      <c r="G437" t="s">
        <v>45</v>
      </c>
      <c r="H437">
        <v>15</v>
      </c>
      <c r="I437">
        <v>1</v>
      </c>
      <c r="J437" t="s">
        <v>51</v>
      </c>
      <c r="K437">
        <v>1</v>
      </c>
      <c r="L437">
        <v>582</v>
      </c>
      <c r="M437">
        <v>2</v>
      </c>
      <c r="N437" t="str" cm="1">
        <f t="array" ref="N437">_xlfn.IFS(HRData[[#This Row],[EnvironmentSatisfaction]]=1,"Very Dissatisfied",
HRData[[#This Row],[EnvironmentSatisfaction]]=2,"Dissatisfied",
HRData[[#This Row],[EnvironmentSatisfaction]]=3,"Satisfied",
HRData[[#This Row],[EnvironmentSatisfaction]]=4,"Very Satisfied"
)</f>
        <v>Dissatisfied</v>
      </c>
      <c r="O437" t="s">
        <v>46</v>
      </c>
      <c r="P437">
        <v>56</v>
      </c>
      <c r="Q437">
        <v>3</v>
      </c>
      <c r="R437">
        <v>3</v>
      </c>
      <c r="S437" t="s">
        <v>56</v>
      </c>
      <c r="T437">
        <v>3</v>
      </c>
      <c r="U437" t="str" cm="1">
        <f t="array" ref="U437">_xlfn.IFS(
HRData[[#This Row],[JobSatisfaction]]=1,"Very Dissatisfied",
HRData[[#This Row],[JobSatisfaction]]=2,"Dissatisfied",
HRData[[#This Row],[JobSatisfaction]]=3,"Satisfied",
HRData[[#This Row],[JobSatisfaction]]=4,"Very Satisfied"
)</f>
        <v>Satisfied</v>
      </c>
      <c r="V437" t="s">
        <v>48</v>
      </c>
      <c r="W437">
        <v>13610</v>
      </c>
      <c r="X437" t="str" cm="1">
        <f t="array" ref="X437">_xlfn.IFS(
HRData[[#This Row],[MonthlyIncome]]&lt;=4000,"Very Low Income",
HRData[[#This Row],[MonthlyIncome]]&lt;=8000,"Low Income",
HRData[[#This Row],[MonthlyIncome]]&lt;=12000,"Moderate Income",
HRData[[#This Row],[MonthlyIncome]]&lt;=16000,"High Income",
HRData[[#This Row],[MonthlyIncome]]&gt;16000,"Very High Income"
)</f>
        <v>High Income</v>
      </c>
      <c r="Y437">
        <v>24619</v>
      </c>
      <c r="Z437">
        <v>7</v>
      </c>
      <c r="AA437" t="s">
        <v>42</v>
      </c>
      <c r="AB437" t="s">
        <v>35</v>
      </c>
      <c r="AC437">
        <v>12</v>
      </c>
      <c r="AD437" t="str" cm="1">
        <f t="array" ref="AD437">_xlfn.IFS(HRData[[#This Row],[PercentSalaryHike]]&lt;=15,"11-15",HRData[[#This Row],[PercentSalaryHike]]&lt;=20,"16-20",HRData[[#This Row],[PercentSalaryHike]]&gt;=21,"21+")</f>
        <v>11-15</v>
      </c>
      <c r="AE437">
        <v>3</v>
      </c>
      <c r="AF437">
        <v>4</v>
      </c>
      <c r="AG437">
        <v>80</v>
      </c>
      <c r="AH437">
        <v>0</v>
      </c>
      <c r="AI437">
        <v>15</v>
      </c>
      <c r="AJ437">
        <v>2</v>
      </c>
      <c r="AK437">
        <v>4</v>
      </c>
      <c r="AL437">
        <v>7</v>
      </c>
      <c r="AM437">
        <v>6</v>
      </c>
      <c r="AN437">
        <v>7</v>
      </c>
      <c r="AO437">
        <v>7</v>
      </c>
      <c r="AP43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37" t="str">
        <f>IF(HRData[[#This Row],[Attrition]]="Yes","Left", IF(HRData[[#This Row],[Attrition_Risk_Score]]&gt;=6,"High",IF(HRData[[#This Row],[Attrition_Risk_Score]]&gt;=3,"Medium","Low")))</f>
        <v>Left</v>
      </c>
      <c r="AR437" t="str">
        <f>IF(HRData[[#This Row],[Attrition_Risk_Level]]&lt;&gt;"High","",HRData[[#This Row],[Attrition_Risk_Score]]*10000-HRData[[#This Row],[EmployeeNumber]])</f>
        <v/>
      </c>
    </row>
    <row r="438" spans="1:44">
      <c r="A438">
        <v>33</v>
      </c>
      <c r="B438" t="str" cm="1">
        <f t="array" ref="B438">_xlfn.IFS(
HRData[[#This Row],[Age]]&lt;=24,"18-24",
HRData[[#This Row],[Age]]&lt;=34,"25-34",
HRData[[#This Row],[Age]]&lt;=44,"35-44",
HRData[[#This Row],[Age]]&lt;=54,"45-54",
HRData[[#This Row],[Age]]&gt;=55,"55+"
)</f>
        <v>25-34</v>
      </c>
      <c r="C438" t="s">
        <v>35</v>
      </c>
      <c r="D438">
        <f>IF(HRData[[#This Row],[Attrition]]="Yes",1,0)</f>
        <v>1</v>
      </c>
      <c r="E438" t="s">
        <v>36</v>
      </c>
      <c r="F438">
        <v>587</v>
      </c>
      <c r="G438" t="s">
        <v>45</v>
      </c>
      <c r="H438">
        <v>10</v>
      </c>
      <c r="I438">
        <v>1</v>
      </c>
      <c r="J438" t="s">
        <v>51</v>
      </c>
      <c r="K438">
        <v>1</v>
      </c>
      <c r="L438">
        <v>584</v>
      </c>
      <c r="M438">
        <v>1</v>
      </c>
      <c r="N438" t="str" cm="1">
        <f t="array" ref="N438">_xlfn.IFS(HRData[[#This Row],[EnvironmentSatisfaction]]=1,"Very Dissatisfied",
HRData[[#This Row],[EnvironmentSatisfaction]]=2,"Dissatisfied",
HRData[[#This Row],[EnvironmentSatisfaction]]=3,"Satisfied",
HRData[[#This Row],[EnvironmentSatisfaction]]=4,"Very Satisfied"
)</f>
        <v>Very Dissatisfied</v>
      </c>
      <c r="O438" t="s">
        <v>46</v>
      </c>
      <c r="P438">
        <v>38</v>
      </c>
      <c r="Q438">
        <v>1</v>
      </c>
      <c r="R438">
        <v>1</v>
      </c>
      <c r="S438" t="s">
        <v>50</v>
      </c>
      <c r="T438">
        <v>4</v>
      </c>
      <c r="U438" t="str" cm="1">
        <f t="array" ref="U438">_xlfn.IFS(
HRData[[#This Row],[JobSatisfaction]]=1,"Very Dissatisfied",
HRData[[#This Row],[JobSatisfaction]]=2,"Dissatisfied",
HRData[[#This Row],[JobSatisfaction]]=3,"Satisfied",
HRData[[#This Row],[JobSatisfaction]]=4,"Very Satisfied"
)</f>
        <v>Very Satisfied</v>
      </c>
      <c r="V438" t="s">
        <v>52</v>
      </c>
      <c r="W438">
        <v>3408</v>
      </c>
      <c r="X438" t="str" cm="1">
        <f t="array" ref="X438">_xlfn.IFS(
HRData[[#This Row],[MonthlyIncome]]&lt;=4000,"Very Low Income",
HRData[[#This Row],[MonthlyIncome]]&lt;=8000,"Low Income",
HRData[[#This Row],[MonthlyIncome]]&lt;=12000,"Moderate Income",
HRData[[#This Row],[MonthlyIncome]]&lt;=16000,"High Income",
HRData[[#This Row],[MonthlyIncome]]&gt;16000,"Very High Income"
)</f>
        <v>Very Low Income</v>
      </c>
      <c r="Y438">
        <v>6705</v>
      </c>
      <c r="Z438">
        <v>7</v>
      </c>
      <c r="AA438" t="s">
        <v>42</v>
      </c>
      <c r="AB438" t="s">
        <v>43</v>
      </c>
      <c r="AC438">
        <v>13</v>
      </c>
      <c r="AD438" t="str" cm="1">
        <f t="array" ref="AD438">_xlfn.IFS(HRData[[#This Row],[PercentSalaryHike]]&lt;=15,"11-15",HRData[[#This Row],[PercentSalaryHike]]&lt;=20,"16-20",HRData[[#This Row],[PercentSalaryHike]]&gt;=21,"21+")</f>
        <v>11-15</v>
      </c>
      <c r="AE438">
        <v>3</v>
      </c>
      <c r="AF438">
        <v>1</v>
      </c>
      <c r="AG438">
        <v>80</v>
      </c>
      <c r="AH438">
        <v>3</v>
      </c>
      <c r="AI438">
        <v>8</v>
      </c>
      <c r="AJ438">
        <v>2</v>
      </c>
      <c r="AK438">
        <v>3</v>
      </c>
      <c r="AL438">
        <v>4</v>
      </c>
      <c r="AM438">
        <v>3</v>
      </c>
      <c r="AN438">
        <v>1</v>
      </c>
      <c r="AO438">
        <v>3</v>
      </c>
      <c r="AP43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38" t="str">
        <f>IF(HRData[[#This Row],[Attrition]]="Yes","Left", IF(HRData[[#This Row],[Attrition_Risk_Score]]&gt;=6,"High",IF(HRData[[#This Row],[Attrition_Risk_Score]]&gt;=3,"Medium","Low")))</f>
        <v>Left</v>
      </c>
      <c r="AR438" t="str">
        <f>IF(HRData[[#This Row],[Attrition_Risk_Level]]&lt;&gt;"High","",HRData[[#This Row],[Attrition_Risk_Score]]*10000-HRData[[#This Row],[EmployeeNumber]])</f>
        <v/>
      </c>
    </row>
    <row r="439" spans="1:44">
      <c r="A439">
        <v>30</v>
      </c>
      <c r="B439" t="str" cm="1">
        <f t="array" ref="B439">_xlfn.IFS(
HRData[[#This Row],[Age]]&lt;=24,"18-24",
HRData[[#This Row],[Age]]&lt;=34,"25-34",
HRData[[#This Row],[Age]]&lt;=44,"35-44",
HRData[[#This Row],[Age]]&lt;=54,"45-54",
HRData[[#This Row],[Age]]&gt;=55,"55+"
)</f>
        <v>25-34</v>
      </c>
      <c r="C439" t="s">
        <v>43</v>
      </c>
      <c r="D439">
        <f>IF(HRData[[#This Row],[Attrition]]="Yes",1,0)</f>
        <v>0</v>
      </c>
      <c r="E439" t="s">
        <v>36</v>
      </c>
      <c r="F439">
        <v>413</v>
      </c>
      <c r="G439" t="s">
        <v>37</v>
      </c>
      <c r="H439">
        <v>7</v>
      </c>
      <c r="I439">
        <v>1</v>
      </c>
      <c r="J439" t="s">
        <v>59</v>
      </c>
      <c r="K439">
        <v>1</v>
      </c>
      <c r="L439">
        <v>585</v>
      </c>
      <c r="M439">
        <v>4</v>
      </c>
      <c r="N439" t="str" cm="1">
        <f t="array" ref="N439">_xlfn.IFS(HRData[[#This Row],[EnvironmentSatisfaction]]=1,"Very Dissatisfied",
HRData[[#This Row],[EnvironmentSatisfaction]]=2,"Dissatisfied",
HRData[[#This Row],[EnvironmentSatisfaction]]=3,"Satisfied",
HRData[[#This Row],[EnvironmentSatisfaction]]=4,"Very Satisfied"
)</f>
        <v>Very Satisfied</v>
      </c>
      <c r="O439" t="s">
        <v>46</v>
      </c>
      <c r="P439">
        <v>57</v>
      </c>
      <c r="Q439">
        <v>3</v>
      </c>
      <c r="R439">
        <v>1</v>
      </c>
      <c r="S439" t="s">
        <v>57</v>
      </c>
      <c r="T439">
        <v>2</v>
      </c>
      <c r="U439" t="str" cm="1">
        <f t="array" ref="U439">_xlfn.IFS(
HRData[[#This Row],[JobSatisfaction]]=1,"Very Dissatisfied",
HRData[[#This Row],[JobSatisfaction]]=2,"Dissatisfied",
HRData[[#This Row],[JobSatisfaction]]=3,"Satisfied",
HRData[[#This Row],[JobSatisfaction]]=4,"Very Satisfied"
)</f>
        <v>Dissatisfied</v>
      </c>
      <c r="V439" t="s">
        <v>41</v>
      </c>
      <c r="W439">
        <v>2983</v>
      </c>
      <c r="X439" t="str" cm="1">
        <f t="array" ref="X439">_xlfn.IFS(
HRData[[#This Row],[MonthlyIncome]]&lt;=4000,"Very Low Income",
HRData[[#This Row],[MonthlyIncome]]&lt;=8000,"Low Income",
HRData[[#This Row],[MonthlyIncome]]&lt;=12000,"Moderate Income",
HRData[[#This Row],[MonthlyIncome]]&lt;=16000,"High Income",
HRData[[#This Row],[MonthlyIncome]]&gt;16000,"Very High Income"
)</f>
        <v>Very Low Income</v>
      </c>
      <c r="Y439">
        <v>18398</v>
      </c>
      <c r="Z439">
        <v>0</v>
      </c>
      <c r="AA439" t="s">
        <v>42</v>
      </c>
      <c r="AB439" t="s">
        <v>43</v>
      </c>
      <c r="AC439">
        <v>14</v>
      </c>
      <c r="AD439" t="str" cm="1">
        <f t="array" ref="AD439">_xlfn.IFS(HRData[[#This Row],[PercentSalaryHike]]&lt;=15,"11-15",HRData[[#This Row],[PercentSalaryHike]]&lt;=20,"16-20",HRData[[#This Row],[PercentSalaryHike]]&gt;=21,"21+")</f>
        <v>11-15</v>
      </c>
      <c r="AE439">
        <v>3</v>
      </c>
      <c r="AF439">
        <v>1</v>
      </c>
      <c r="AG439">
        <v>80</v>
      </c>
      <c r="AH439">
        <v>0</v>
      </c>
      <c r="AI439">
        <v>4</v>
      </c>
      <c r="AJ439">
        <v>3</v>
      </c>
      <c r="AK439">
        <v>3</v>
      </c>
      <c r="AL439">
        <v>3</v>
      </c>
      <c r="AM439">
        <v>2</v>
      </c>
      <c r="AN439">
        <v>1</v>
      </c>
      <c r="AO439">
        <v>2</v>
      </c>
      <c r="AP43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439" t="str">
        <f>IF(HRData[[#This Row],[Attrition]]="Yes","Left", IF(HRData[[#This Row],[Attrition_Risk_Score]]&gt;=6,"High",IF(HRData[[#This Row],[Attrition_Risk_Score]]&gt;=3,"Medium","Low")))</f>
        <v>Medium</v>
      </c>
      <c r="AR439" t="str">
        <f>IF(HRData[[#This Row],[Attrition_Risk_Level]]&lt;&gt;"High","",HRData[[#This Row],[Attrition_Risk_Score]]*10000-HRData[[#This Row],[EmployeeNumber]])</f>
        <v/>
      </c>
    </row>
    <row r="440" spans="1:44">
      <c r="A440">
        <v>35</v>
      </c>
      <c r="B440" t="str" cm="1">
        <f t="array" ref="B440">_xlfn.IFS(
HRData[[#This Row],[Age]]&lt;=24,"18-24",
HRData[[#This Row],[Age]]&lt;=34,"25-34",
HRData[[#This Row],[Age]]&lt;=44,"35-44",
HRData[[#This Row],[Age]]&lt;=54,"45-54",
HRData[[#This Row],[Age]]&gt;=55,"55+"
)</f>
        <v>35-44</v>
      </c>
      <c r="C440" t="s">
        <v>43</v>
      </c>
      <c r="D440">
        <f>IF(HRData[[#This Row],[Attrition]]="Yes",1,0)</f>
        <v>0</v>
      </c>
      <c r="E440" t="s">
        <v>36</v>
      </c>
      <c r="F440">
        <v>1276</v>
      </c>
      <c r="G440" t="s">
        <v>45</v>
      </c>
      <c r="H440">
        <v>16</v>
      </c>
      <c r="I440">
        <v>3</v>
      </c>
      <c r="J440" t="s">
        <v>38</v>
      </c>
      <c r="K440">
        <v>1</v>
      </c>
      <c r="L440">
        <v>586</v>
      </c>
      <c r="M440">
        <v>4</v>
      </c>
      <c r="N440" t="str" cm="1">
        <f t="array" ref="N440">_xlfn.IFS(HRData[[#This Row],[EnvironmentSatisfaction]]=1,"Very Dissatisfied",
HRData[[#This Row],[EnvironmentSatisfaction]]=2,"Dissatisfied",
HRData[[#This Row],[EnvironmentSatisfaction]]=3,"Satisfied",
HRData[[#This Row],[EnvironmentSatisfaction]]=4,"Very Satisfied"
)</f>
        <v>Very Satisfied</v>
      </c>
      <c r="O440" t="s">
        <v>46</v>
      </c>
      <c r="P440">
        <v>72</v>
      </c>
      <c r="Q440">
        <v>3</v>
      </c>
      <c r="R440">
        <v>3</v>
      </c>
      <c r="S440" t="s">
        <v>54</v>
      </c>
      <c r="T440">
        <v>3</v>
      </c>
      <c r="U440" t="str" cm="1">
        <f t="array" ref="U440">_xlfn.IFS(
HRData[[#This Row],[JobSatisfaction]]=1,"Very Dissatisfied",
HRData[[#This Row],[JobSatisfaction]]=2,"Dissatisfied",
HRData[[#This Row],[JobSatisfaction]]=3,"Satisfied",
HRData[[#This Row],[JobSatisfaction]]=4,"Very Satisfied"
)</f>
        <v>Satisfied</v>
      </c>
      <c r="V440" t="s">
        <v>48</v>
      </c>
      <c r="W440">
        <v>7632</v>
      </c>
      <c r="X440" t="str" cm="1">
        <f t="array" ref="X440">_xlfn.IFS(
HRData[[#This Row],[MonthlyIncome]]&lt;=4000,"Very Low Income",
HRData[[#This Row],[MonthlyIncome]]&lt;=8000,"Low Income",
HRData[[#This Row],[MonthlyIncome]]&lt;=12000,"Moderate Income",
HRData[[#This Row],[MonthlyIncome]]&lt;=16000,"High Income",
HRData[[#This Row],[MonthlyIncome]]&gt;16000,"Very High Income"
)</f>
        <v>Low Income</v>
      </c>
      <c r="Y440">
        <v>14295</v>
      </c>
      <c r="Z440">
        <v>4</v>
      </c>
      <c r="AA440" t="s">
        <v>42</v>
      </c>
      <c r="AB440" t="s">
        <v>35</v>
      </c>
      <c r="AC440">
        <v>12</v>
      </c>
      <c r="AD440" t="str" cm="1">
        <f t="array" ref="AD440">_xlfn.IFS(HRData[[#This Row],[PercentSalaryHike]]&lt;=15,"11-15",HRData[[#This Row],[PercentSalaryHike]]&lt;=20,"16-20",HRData[[#This Row],[PercentSalaryHike]]&gt;=21,"21+")</f>
        <v>11-15</v>
      </c>
      <c r="AE440">
        <v>3</v>
      </c>
      <c r="AF440">
        <v>3</v>
      </c>
      <c r="AG440">
        <v>80</v>
      </c>
      <c r="AH440">
        <v>0</v>
      </c>
      <c r="AI440">
        <v>10</v>
      </c>
      <c r="AJ440">
        <v>2</v>
      </c>
      <c r="AK440">
        <v>3</v>
      </c>
      <c r="AL440">
        <v>8</v>
      </c>
      <c r="AM440">
        <v>7</v>
      </c>
      <c r="AN440">
        <v>0</v>
      </c>
      <c r="AO440">
        <v>0</v>
      </c>
      <c r="AP44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440" t="str">
        <f>IF(HRData[[#This Row],[Attrition]]="Yes","Left", IF(HRData[[#This Row],[Attrition_Risk_Score]]&gt;=6,"High",IF(HRData[[#This Row],[Attrition_Risk_Score]]&gt;=3,"Medium","Low")))</f>
        <v>Medium</v>
      </c>
      <c r="AR440" t="str">
        <f>IF(HRData[[#This Row],[Attrition_Risk_Level]]&lt;&gt;"High","",HRData[[#This Row],[Attrition_Risk_Score]]*10000-HRData[[#This Row],[EmployeeNumber]])</f>
        <v/>
      </c>
    </row>
    <row r="441" spans="1:44">
      <c r="A441">
        <v>31</v>
      </c>
      <c r="B441" t="str" cm="1">
        <f t="array" ref="B441">_xlfn.IFS(
HRData[[#This Row],[Age]]&lt;=24,"18-24",
HRData[[#This Row],[Age]]&lt;=34,"25-34",
HRData[[#This Row],[Age]]&lt;=44,"35-44",
HRData[[#This Row],[Age]]&lt;=54,"45-54",
HRData[[#This Row],[Age]]&gt;=55,"55+"
)</f>
        <v>25-34</v>
      </c>
      <c r="C441" t="s">
        <v>35</v>
      </c>
      <c r="D441">
        <f>IF(HRData[[#This Row],[Attrition]]="Yes",1,0)</f>
        <v>1</v>
      </c>
      <c r="E441" t="s">
        <v>44</v>
      </c>
      <c r="F441">
        <v>534</v>
      </c>
      <c r="G441" t="s">
        <v>45</v>
      </c>
      <c r="H441">
        <v>20</v>
      </c>
      <c r="I441">
        <v>3</v>
      </c>
      <c r="J441" t="s">
        <v>38</v>
      </c>
      <c r="K441">
        <v>1</v>
      </c>
      <c r="L441">
        <v>587</v>
      </c>
      <c r="M441">
        <v>1</v>
      </c>
      <c r="N441" t="str" cm="1">
        <f t="array" ref="N441">_xlfn.IFS(HRData[[#This Row],[EnvironmentSatisfaction]]=1,"Very Dissatisfied",
HRData[[#This Row],[EnvironmentSatisfaction]]=2,"Dissatisfied",
HRData[[#This Row],[EnvironmentSatisfaction]]=3,"Satisfied",
HRData[[#This Row],[EnvironmentSatisfaction]]=4,"Very Satisfied"
)</f>
        <v>Very Dissatisfied</v>
      </c>
      <c r="O441" t="s">
        <v>46</v>
      </c>
      <c r="P441">
        <v>66</v>
      </c>
      <c r="Q441">
        <v>3</v>
      </c>
      <c r="R441">
        <v>3</v>
      </c>
      <c r="S441" t="s">
        <v>54</v>
      </c>
      <c r="T441">
        <v>3</v>
      </c>
      <c r="U441" t="str" cm="1">
        <f t="array" ref="U441">_xlfn.IFS(
HRData[[#This Row],[JobSatisfaction]]=1,"Very Dissatisfied",
HRData[[#This Row],[JobSatisfaction]]=2,"Dissatisfied",
HRData[[#This Row],[JobSatisfaction]]=3,"Satisfied",
HRData[[#This Row],[JobSatisfaction]]=4,"Very Satisfied"
)</f>
        <v>Satisfied</v>
      </c>
      <c r="V441" t="s">
        <v>48</v>
      </c>
      <c r="W441">
        <v>9824</v>
      </c>
      <c r="X441" t="str" cm="1">
        <f t="array" ref="X441">_xlfn.IFS(
HRData[[#This Row],[MonthlyIncome]]&lt;=4000,"Very Low Income",
HRData[[#This Row],[MonthlyIncome]]&lt;=8000,"Low Income",
HRData[[#This Row],[MonthlyIncome]]&lt;=12000,"Moderate Income",
HRData[[#This Row],[MonthlyIncome]]&lt;=16000,"High Income",
HRData[[#This Row],[MonthlyIncome]]&gt;16000,"Very High Income"
)</f>
        <v>Moderate Income</v>
      </c>
      <c r="Y441">
        <v>22908</v>
      </c>
      <c r="Z441">
        <v>3</v>
      </c>
      <c r="AA441" t="s">
        <v>42</v>
      </c>
      <c r="AB441" t="s">
        <v>43</v>
      </c>
      <c r="AC441">
        <v>12</v>
      </c>
      <c r="AD441" t="str" cm="1">
        <f t="array" ref="AD441">_xlfn.IFS(HRData[[#This Row],[PercentSalaryHike]]&lt;=15,"11-15",HRData[[#This Row],[PercentSalaryHike]]&lt;=20,"16-20",HRData[[#This Row],[PercentSalaryHike]]&gt;=21,"21+")</f>
        <v>11-15</v>
      </c>
      <c r="AE441">
        <v>3</v>
      </c>
      <c r="AF441">
        <v>1</v>
      </c>
      <c r="AG441">
        <v>80</v>
      </c>
      <c r="AH441">
        <v>0</v>
      </c>
      <c r="AI441">
        <v>12</v>
      </c>
      <c r="AJ441">
        <v>2</v>
      </c>
      <c r="AK441">
        <v>3</v>
      </c>
      <c r="AL441">
        <v>1</v>
      </c>
      <c r="AM441">
        <v>0</v>
      </c>
      <c r="AN441">
        <v>0</v>
      </c>
      <c r="AO441">
        <v>0</v>
      </c>
      <c r="AP44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41" t="str">
        <f>IF(HRData[[#This Row],[Attrition]]="Yes","Left", IF(HRData[[#This Row],[Attrition_Risk_Score]]&gt;=6,"High",IF(HRData[[#This Row],[Attrition_Risk_Score]]&gt;=3,"Medium","Low")))</f>
        <v>Left</v>
      </c>
      <c r="AR441" t="str">
        <f>IF(HRData[[#This Row],[Attrition_Risk_Level]]&lt;&gt;"High","",HRData[[#This Row],[Attrition_Risk_Score]]*10000-HRData[[#This Row],[EmployeeNumber]])</f>
        <v/>
      </c>
    </row>
    <row r="442" spans="1:44">
      <c r="A442">
        <v>34</v>
      </c>
      <c r="B442" t="str" cm="1">
        <f t="array" ref="B442">_xlfn.IFS(
HRData[[#This Row],[Age]]&lt;=24,"18-24",
HRData[[#This Row],[Age]]&lt;=34,"25-34",
HRData[[#This Row],[Age]]&lt;=44,"35-44",
HRData[[#This Row],[Age]]&lt;=54,"45-54",
HRData[[#This Row],[Age]]&gt;=55,"55+"
)</f>
        <v>25-34</v>
      </c>
      <c r="C442" t="s">
        <v>35</v>
      </c>
      <c r="D442">
        <f>IF(HRData[[#This Row],[Attrition]]="Yes",1,0)</f>
        <v>1</v>
      </c>
      <c r="E442" t="s">
        <v>44</v>
      </c>
      <c r="F442">
        <v>988</v>
      </c>
      <c r="G442" t="s">
        <v>61</v>
      </c>
      <c r="H442">
        <v>23</v>
      </c>
      <c r="I442">
        <v>3</v>
      </c>
      <c r="J442" t="s">
        <v>61</v>
      </c>
      <c r="K442">
        <v>1</v>
      </c>
      <c r="L442">
        <v>590</v>
      </c>
      <c r="M442">
        <v>2</v>
      </c>
      <c r="N442" t="str" cm="1">
        <f t="array" ref="N442">_xlfn.IFS(HRData[[#This Row],[EnvironmentSatisfaction]]=1,"Very Dissatisfied",
HRData[[#This Row],[EnvironmentSatisfaction]]=2,"Dissatisfied",
HRData[[#This Row],[EnvironmentSatisfaction]]=3,"Satisfied",
HRData[[#This Row],[EnvironmentSatisfaction]]=4,"Very Satisfied"
)</f>
        <v>Dissatisfied</v>
      </c>
      <c r="O442" t="s">
        <v>39</v>
      </c>
      <c r="P442">
        <v>43</v>
      </c>
      <c r="Q442">
        <v>3</v>
      </c>
      <c r="R442">
        <v>3</v>
      </c>
      <c r="S442" t="s">
        <v>61</v>
      </c>
      <c r="T442">
        <v>1</v>
      </c>
      <c r="U442" t="str" cm="1">
        <f t="array" ref="U442">_xlfn.IFS(
HRData[[#This Row],[JobSatisfaction]]=1,"Very Dissatisfied",
HRData[[#This Row],[JobSatisfaction]]=2,"Dissatisfied",
HRData[[#This Row],[JobSatisfaction]]=3,"Satisfied",
HRData[[#This Row],[JobSatisfaction]]=4,"Very Satisfied"
)</f>
        <v>Very Dissatisfied</v>
      </c>
      <c r="V442" t="s">
        <v>52</v>
      </c>
      <c r="W442">
        <v>9950</v>
      </c>
      <c r="X442" t="str" cm="1">
        <f t="array" ref="X442">_xlfn.IFS(
HRData[[#This Row],[MonthlyIncome]]&lt;=4000,"Very Low Income",
HRData[[#This Row],[MonthlyIncome]]&lt;=8000,"Low Income",
HRData[[#This Row],[MonthlyIncome]]&lt;=12000,"Moderate Income",
HRData[[#This Row],[MonthlyIncome]]&lt;=16000,"High Income",
HRData[[#This Row],[MonthlyIncome]]&gt;16000,"Very High Income"
)</f>
        <v>Moderate Income</v>
      </c>
      <c r="Y442">
        <v>11533</v>
      </c>
      <c r="Z442">
        <v>9</v>
      </c>
      <c r="AA442" t="s">
        <v>42</v>
      </c>
      <c r="AB442" t="s">
        <v>35</v>
      </c>
      <c r="AC442">
        <v>15</v>
      </c>
      <c r="AD442" t="str" cm="1">
        <f t="array" ref="AD442">_xlfn.IFS(HRData[[#This Row],[PercentSalaryHike]]&lt;=15,"11-15",HRData[[#This Row],[PercentSalaryHike]]&lt;=20,"16-20",HRData[[#This Row],[PercentSalaryHike]]&gt;=21,"21+")</f>
        <v>11-15</v>
      </c>
      <c r="AE442">
        <v>3</v>
      </c>
      <c r="AF442">
        <v>3</v>
      </c>
      <c r="AG442">
        <v>80</v>
      </c>
      <c r="AH442">
        <v>3</v>
      </c>
      <c r="AI442">
        <v>11</v>
      </c>
      <c r="AJ442">
        <v>2</v>
      </c>
      <c r="AK442">
        <v>3</v>
      </c>
      <c r="AL442">
        <v>3</v>
      </c>
      <c r="AM442">
        <v>2</v>
      </c>
      <c r="AN442">
        <v>0</v>
      </c>
      <c r="AO442">
        <v>2</v>
      </c>
      <c r="AP44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42" t="str">
        <f>IF(HRData[[#This Row],[Attrition]]="Yes","Left", IF(HRData[[#This Row],[Attrition_Risk_Score]]&gt;=6,"High",IF(HRData[[#This Row],[Attrition_Risk_Score]]&gt;=3,"Medium","Low")))</f>
        <v>Left</v>
      </c>
      <c r="AR442" t="str">
        <f>IF(HRData[[#This Row],[Attrition_Risk_Level]]&lt;&gt;"High","",HRData[[#This Row],[Attrition_Risk_Score]]*10000-HRData[[#This Row],[EmployeeNumber]])</f>
        <v/>
      </c>
    </row>
    <row r="443" spans="1:44">
      <c r="A443">
        <v>42</v>
      </c>
      <c r="B443" t="str" cm="1">
        <f t="array" ref="B443">_xlfn.IFS(
HRData[[#This Row],[Age]]&lt;=24,"18-24",
HRData[[#This Row],[Age]]&lt;=34,"25-34",
HRData[[#This Row],[Age]]&lt;=44,"35-44",
HRData[[#This Row],[Age]]&lt;=54,"45-54",
HRData[[#This Row],[Age]]&gt;=55,"55+"
)</f>
        <v>35-44</v>
      </c>
      <c r="C443" t="s">
        <v>43</v>
      </c>
      <c r="D443">
        <f>IF(HRData[[#This Row],[Attrition]]="Yes",1,0)</f>
        <v>0</v>
      </c>
      <c r="E443" t="s">
        <v>44</v>
      </c>
      <c r="F443">
        <v>1474</v>
      </c>
      <c r="G443" t="s">
        <v>45</v>
      </c>
      <c r="H443">
        <v>5</v>
      </c>
      <c r="I443">
        <v>2</v>
      </c>
      <c r="J443" t="s">
        <v>49</v>
      </c>
      <c r="K443">
        <v>1</v>
      </c>
      <c r="L443">
        <v>591</v>
      </c>
      <c r="M443">
        <v>2</v>
      </c>
      <c r="N443" t="str" cm="1">
        <f t="array" ref="N443">_xlfn.IFS(HRData[[#This Row],[EnvironmentSatisfaction]]=1,"Very Dissatisfied",
HRData[[#This Row],[EnvironmentSatisfaction]]=2,"Dissatisfied",
HRData[[#This Row],[EnvironmentSatisfaction]]=3,"Satisfied",
HRData[[#This Row],[EnvironmentSatisfaction]]=4,"Very Satisfied"
)</f>
        <v>Dissatisfied</v>
      </c>
      <c r="O443" t="s">
        <v>46</v>
      </c>
      <c r="P443">
        <v>97</v>
      </c>
      <c r="Q443">
        <v>3</v>
      </c>
      <c r="R443">
        <v>1</v>
      </c>
      <c r="S443" t="s">
        <v>50</v>
      </c>
      <c r="T443">
        <v>3</v>
      </c>
      <c r="U443" t="str" cm="1">
        <f t="array" ref="U443">_xlfn.IFS(
HRData[[#This Row],[JobSatisfaction]]=1,"Very Dissatisfied",
HRData[[#This Row],[JobSatisfaction]]=2,"Dissatisfied",
HRData[[#This Row],[JobSatisfaction]]=3,"Satisfied",
HRData[[#This Row],[JobSatisfaction]]=4,"Very Satisfied"
)</f>
        <v>Satisfied</v>
      </c>
      <c r="V443" t="s">
        <v>48</v>
      </c>
      <c r="W443">
        <v>2093</v>
      </c>
      <c r="X443" t="str" cm="1">
        <f t="array" ref="X443">_xlfn.IFS(
HRData[[#This Row],[MonthlyIncome]]&lt;=4000,"Very Low Income",
HRData[[#This Row],[MonthlyIncome]]&lt;=8000,"Low Income",
HRData[[#This Row],[MonthlyIncome]]&lt;=12000,"Moderate Income",
HRData[[#This Row],[MonthlyIncome]]&lt;=16000,"High Income",
HRData[[#This Row],[MonthlyIncome]]&gt;16000,"Very High Income"
)</f>
        <v>Very Low Income</v>
      </c>
      <c r="Y443">
        <v>9260</v>
      </c>
      <c r="Z443">
        <v>4</v>
      </c>
      <c r="AA443" t="s">
        <v>42</v>
      </c>
      <c r="AB443" t="s">
        <v>43</v>
      </c>
      <c r="AC443">
        <v>17</v>
      </c>
      <c r="AD443" t="str" cm="1">
        <f t="array" ref="AD443">_xlfn.IFS(HRData[[#This Row],[PercentSalaryHike]]&lt;=15,"11-15",HRData[[#This Row],[PercentSalaryHike]]&lt;=20,"16-20",HRData[[#This Row],[PercentSalaryHike]]&gt;=21,"21+")</f>
        <v>16-20</v>
      </c>
      <c r="AE443">
        <v>3</v>
      </c>
      <c r="AF443">
        <v>4</v>
      </c>
      <c r="AG443">
        <v>80</v>
      </c>
      <c r="AH443">
        <v>1</v>
      </c>
      <c r="AI443">
        <v>8</v>
      </c>
      <c r="AJ443">
        <v>4</v>
      </c>
      <c r="AK443">
        <v>3</v>
      </c>
      <c r="AL443">
        <v>2</v>
      </c>
      <c r="AM443">
        <v>2</v>
      </c>
      <c r="AN443">
        <v>2</v>
      </c>
      <c r="AO443">
        <v>0</v>
      </c>
      <c r="AP44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443" t="str">
        <f>IF(HRData[[#This Row],[Attrition]]="Yes","Left", IF(HRData[[#This Row],[Attrition_Risk_Score]]&gt;=6,"High",IF(HRData[[#This Row],[Attrition_Risk_Score]]&gt;=3,"Medium","Low")))</f>
        <v>Medium</v>
      </c>
      <c r="AR443" t="str">
        <f>IF(HRData[[#This Row],[Attrition_Risk_Level]]&lt;&gt;"High","",HRData[[#This Row],[Attrition_Risk_Score]]*10000-HRData[[#This Row],[EmployeeNumber]])</f>
        <v/>
      </c>
    </row>
    <row r="444" spans="1:44">
      <c r="A444">
        <v>36</v>
      </c>
      <c r="B444" t="str" cm="1">
        <f t="array" ref="B444">_xlfn.IFS(
HRData[[#This Row],[Age]]&lt;=24,"18-24",
HRData[[#This Row],[Age]]&lt;=34,"25-34",
HRData[[#This Row],[Age]]&lt;=44,"35-44",
HRData[[#This Row],[Age]]&lt;=54,"45-54",
HRData[[#This Row],[Age]]&gt;=55,"55+"
)</f>
        <v>35-44</v>
      </c>
      <c r="C444" t="s">
        <v>43</v>
      </c>
      <c r="D444">
        <f>IF(HRData[[#This Row],[Attrition]]="Yes",1,0)</f>
        <v>0</v>
      </c>
      <c r="E444" t="s">
        <v>55</v>
      </c>
      <c r="F444">
        <v>635</v>
      </c>
      <c r="G444" t="s">
        <v>37</v>
      </c>
      <c r="H444">
        <v>10</v>
      </c>
      <c r="I444">
        <v>4</v>
      </c>
      <c r="J444" t="s">
        <v>51</v>
      </c>
      <c r="K444">
        <v>1</v>
      </c>
      <c r="L444">
        <v>592</v>
      </c>
      <c r="M444">
        <v>2</v>
      </c>
      <c r="N444" t="str" cm="1">
        <f t="array" ref="N444">_xlfn.IFS(HRData[[#This Row],[EnvironmentSatisfaction]]=1,"Very Dissatisfied",
HRData[[#This Row],[EnvironmentSatisfaction]]=2,"Dissatisfied",
HRData[[#This Row],[EnvironmentSatisfaction]]=3,"Satisfied",
HRData[[#This Row],[EnvironmentSatisfaction]]=4,"Very Satisfied"
)</f>
        <v>Dissatisfied</v>
      </c>
      <c r="O444" t="s">
        <v>46</v>
      </c>
      <c r="P444">
        <v>32</v>
      </c>
      <c r="Q444">
        <v>3</v>
      </c>
      <c r="R444">
        <v>3</v>
      </c>
      <c r="S444" t="s">
        <v>40</v>
      </c>
      <c r="T444">
        <v>4</v>
      </c>
      <c r="U444" t="str" cm="1">
        <f t="array" ref="U444">_xlfn.IFS(
HRData[[#This Row],[JobSatisfaction]]=1,"Very Dissatisfied",
HRData[[#This Row],[JobSatisfaction]]=2,"Dissatisfied",
HRData[[#This Row],[JobSatisfaction]]=3,"Satisfied",
HRData[[#This Row],[JobSatisfaction]]=4,"Very Satisfied"
)</f>
        <v>Very Satisfied</v>
      </c>
      <c r="V444" t="s">
        <v>41</v>
      </c>
      <c r="W444">
        <v>9980</v>
      </c>
      <c r="X444" t="str" cm="1">
        <f t="array" ref="X444">_xlfn.IFS(
HRData[[#This Row],[MonthlyIncome]]&lt;=4000,"Very Low Income",
HRData[[#This Row],[MonthlyIncome]]&lt;=8000,"Low Income",
HRData[[#This Row],[MonthlyIncome]]&lt;=12000,"Moderate Income",
HRData[[#This Row],[MonthlyIncome]]&lt;=16000,"High Income",
HRData[[#This Row],[MonthlyIncome]]&gt;16000,"Very High Income"
)</f>
        <v>Moderate Income</v>
      </c>
      <c r="Y444">
        <v>15318</v>
      </c>
      <c r="Z444">
        <v>1</v>
      </c>
      <c r="AA444" t="s">
        <v>42</v>
      </c>
      <c r="AB444" t="s">
        <v>43</v>
      </c>
      <c r="AC444">
        <v>14</v>
      </c>
      <c r="AD444" t="str" cm="1">
        <f t="array" ref="AD444">_xlfn.IFS(HRData[[#This Row],[PercentSalaryHike]]&lt;=15,"11-15",HRData[[#This Row],[PercentSalaryHike]]&lt;=20,"16-20",HRData[[#This Row],[PercentSalaryHike]]&gt;=21,"21+")</f>
        <v>11-15</v>
      </c>
      <c r="AE444">
        <v>3</v>
      </c>
      <c r="AF444">
        <v>4</v>
      </c>
      <c r="AG444">
        <v>80</v>
      </c>
      <c r="AH444">
        <v>0</v>
      </c>
      <c r="AI444">
        <v>10</v>
      </c>
      <c r="AJ444">
        <v>3</v>
      </c>
      <c r="AK444">
        <v>2</v>
      </c>
      <c r="AL444">
        <v>10</v>
      </c>
      <c r="AM444">
        <v>3</v>
      </c>
      <c r="AN444">
        <v>9</v>
      </c>
      <c r="AO444">
        <v>7</v>
      </c>
      <c r="AP44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444" t="str">
        <f>IF(HRData[[#This Row],[Attrition]]="Yes","Left", IF(HRData[[#This Row],[Attrition_Risk_Score]]&gt;=6,"High",IF(HRData[[#This Row],[Attrition_Risk_Score]]&gt;=3,"Medium","Low")))</f>
        <v>Low</v>
      </c>
      <c r="AR444" t="str">
        <f>IF(HRData[[#This Row],[Attrition_Risk_Level]]&lt;&gt;"High","",HRData[[#This Row],[Attrition_Risk_Score]]*10000-HRData[[#This Row],[EmployeeNumber]])</f>
        <v/>
      </c>
    </row>
    <row r="445" spans="1:44">
      <c r="A445">
        <v>22</v>
      </c>
      <c r="B445" t="str" cm="1">
        <f t="array" ref="B445">_xlfn.IFS(
HRData[[#This Row],[Age]]&lt;=24,"18-24",
HRData[[#This Row],[Age]]&lt;=34,"25-34",
HRData[[#This Row],[Age]]&lt;=44,"35-44",
HRData[[#This Row],[Age]]&lt;=54,"45-54",
HRData[[#This Row],[Age]]&gt;=55,"55+"
)</f>
        <v>18-24</v>
      </c>
      <c r="C445" t="s">
        <v>35</v>
      </c>
      <c r="D445">
        <f>IF(HRData[[#This Row],[Attrition]]="Yes",1,0)</f>
        <v>1</v>
      </c>
      <c r="E445" t="s">
        <v>44</v>
      </c>
      <c r="F445">
        <v>1368</v>
      </c>
      <c r="G445" t="s">
        <v>45</v>
      </c>
      <c r="H445">
        <v>4</v>
      </c>
      <c r="I445">
        <v>1</v>
      </c>
      <c r="J445" t="s">
        <v>60</v>
      </c>
      <c r="K445">
        <v>1</v>
      </c>
      <c r="L445">
        <v>593</v>
      </c>
      <c r="M445">
        <v>3</v>
      </c>
      <c r="N445" t="str" cm="1">
        <f t="array" ref="N445">_xlfn.IFS(HRData[[#This Row],[EnvironmentSatisfaction]]=1,"Very Dissatisfied",
HRData[[#This Row],[EnvironmentSatisfaction]]=2,"Dissatisfied",
HRData[[#This Row],[EnvironmentSatisfaction]]=3,"Satisfied",
HRData[[#This Row],[EnvironmentSatisfaction]]=4,"Very Satisfied"
)</f>
        <v>Satisfied</v>
      </c>
      <c r="O445" t="s">
        <v>46</v>
      </c>
      <c r="P445">
        <v>99</v>
      </c>
      <c r="Q445">
        <v>2</v>
      </c>
      <c r="R445">
        <v>1</v>
      </c>
      <c r="S445" t="s">
        <v>50</v>
      </c>
      <c r="T445">
        <v>3</v>
      </c>
      <c r="U445" t="str" cm="1">
        <f t="array" ref="U445">_xlfn.IFS(
HRData[[#This Row],[JobSatisfaction]]=1,"Very Dissatisfied",
HRData[[#This Row],[JobSatisfaction]]=2,"Dissatisfied",
HRData[[#This Row],[JobSatisfaction]]=3,"Satisfied",
HRData[[#This Row],[JobSatisfaction]]=4,"Very Satisfied"
)</f>
        <v>Satisfied</v>
      </c>
      <c r="V445" t="s">
        <v>41</v>
      </c>
      <c r="W445">
        <v>3894</v>
      </c>
      <c r="X445" t="str" cm="1">
        <f t="array" ref="X445">_xlfn.IFS(
HRData[[#This Row],[MonthlyIncome]]&lt;=4000,"Very Low Income",
HRData[[#This Row],[MonthlyIncome]]&lt;=8000,"Low Income",
HRData[[#This Row],[MonthlyIncome]]&lt;=12000,"Moderate Income",
HRData[[#This Row],[MonthlyIncome]]&lt;=16000,"High Income",
HRData[[#This Row],[MonthlyIncome]]&gt;16000,"Very High Income"
)</f>
        <v>Very Low Income</v>
      </c>
      <c r="Y445">
        <v>9129</v>
      </c>
      <c r="Z445">
        <v>5</v>
      </c>
      <c r="AA445" t="s">
        <v>42</v>
      </c>
      <c r="AB445" t="s">
        <v>43</v>
      </c>
      <c r="AC445">
        <v>16</v>
      </c>
      <c r="AD445" t="str" cm="1">
        <f t="array" ref="AD445">_xlfn.IFS(HRData[[#This Row],[PercentSalaryHike]]&lt;=15,"11-15",HRData[[#This Row],[PercentSalaryHike]]&lt;=20,"16-20",HRData[[#This Row],[PercentSalaryHike]]&gt;=21,"21+")</f>
        <v>16-20</v>
      </c>
      <c r="AE445">
        <v>3</v>
      </c>
      <c r="AF445">
        <v>3</v>
      </c>
      <c r="AG445">
        <v>80</v>
      </c>
      <c r="AH445">
        <v>0</v>
      </c>
      <c r="AI445">
        <v>4</v>
      </c>
      <c r="AJ445">
        <v>3</v>
      </c>
      <c r="AK445">
        <v>3</v>
      </c>
      <c r="AL445">
        <v>2</v>
      </c>
      <c r="AM445">
        <v>2</v>
      </c>
      <c r="AN445">
        <v>1</v>
      </c>
      <c r="AO445">
        <v>2</v>
      </c>
      <c r="AP44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45" t="str">
        <f>IF(HRData[[#This Row],[Attrition]]="Yes","Left", IF(HRData[[#This Row],[Attrition_Risk_Score]]&gt;=6,"High",IF(HRData[[#This Row],[Attrition_Risk_Score]]&gt;=3,"Medium","Low")))</f>
        <v>Left</v>
      </c>
      <c r="AR445" t="str">
        <f>IF(HRData[[#This Row],[Attrition_Risk_Level]]&lt;&gt;"High","",HRData[[#This Row],[Attrition_Risk_Score]]*10000-HRData[[#This Row],[EmployeeNumber]])</f>
        <v/>
      </c>
    </row>
    <row r="446" spans="1:44">
      <c r="A446">
        <v>48</v>
      </c>
      <c r="B446" t="str" cm="1">
        <f t="array" ref="B446">_xlfn.IFS(
HRData[[#This Row],[Age]]&lt;=24,"18-24",
HRData[[#This Row],[Age]]&lt;=34,"25-34",
HRData[[#This Row],[Age]]&lt;=44,"35-44",
HRData[[#This Row],[Age]]&lt;=54,"45-54",
HRData[[#This Row],[Age]]&gt;=55,"55+"
)</f>
        <v>45-54</v>
      </c>
      <c r="C446" t="s">
        <v>43</v>
      </c>
      <c r="D446">
        <f>IF(HRData[[#This Row],[Attrition]]="Yes",1,0)</f>
        <v>0</v>
      </c>
      <c r="E446" t="s">
        <v>36</v>
      </c>
      <c r="F446">
        <v>163</v>
      </c>
      <c r="G446" t="s">
        <v>37</v>
      </c>
      <c r="H446">
        <v>2</v>
      </c>
      <c r="I446">
        <v>5</v>
      </c>
      <c r="J446" t="s">
        <v>59</v>
      </c>
      <c r="K446">
        <v>1</v>
      </c>
      <c r="L446">
        <v>595</v>
      </c>
      <c r="M446">
        <v>2</v>
      </c>
      <c r="N446" t="str" cm="1">
        <f t="array" ref="N446">_xlfn.IFS(HRData[[#This Row],[EnvironmentSatisfaction]]=1,"Very Dissatisfied",
HRData[[#This Row],[EnvironmentSatisfaction]]=2,"Dissatisfied",
HRData[[#This Row],[EnvironmentSatisfaction]]=3,"Satisfied",
HRData[[#This Row],[EnvironmentSatisfaction]]=4,"Very Satisfied"
)</f>
        <v>Dissatisfied</v>
      </c>
      <c r="O446" t="s">
        <v>39</v>
      </c>
      <c r="P446">
        <v>37</v>
      </c>
      <c r="Q446">
        <v>3</v>
      </c>
      <c r="R446">
        <v>2</v>
      </c>
      <c r="S446" t="s">
        <v>40</v>
      </c>
      <c r="T446">
        <v>4</v>
      </c>
      <c r="U446" t="str" cm="1">
        <f t="array" ref="U446">_xlfn.IFS(
HRData[[#This Row],[JobSatisfaction]]=1,"Very Dissatisfied",
HRData[[#This Row],[JobSatisfaction]]=2,"Dissatisfied",
HRData[[#This Row],[JobSatisfaction]]=3,"Satisfied",
HRData[[#This Row],[JobSatisfaction]]=4,"Very Satisfied"
)</f>
        <v>Very Satisfied</v>
      </c>
      <c r="V446" t="s">
        <v>48</v>
      </c>
      <c r="W446">
        <v>4051</v>
      </c>
      <c r="X446" t="str" cm="1">
        <f t="array" ref="X446">_xlfn.IFS(
HRData[[#This Row],[MonthlyIncome]]&lt;=4000,"Very Low Income",
HRData[[#This Row],[MonthlyIncome]]&lt;=8000,"Low Income",
HRData[[#This Row],[MonthlyIncome]]&lt;=12000,"Moderate Income",
HRData[[#This Row],[MonthlyIncome]]&lt;=16000,"High Income",
HRData[[#This Row],[MonthlyIncome]]&gt;16000,"Very High Income"
)</f>
        <v>Low Income</v>
      </c>
      <c r="Y446">
        <v>19658</v>
      </c>
      <c r="Z446">
        <v>2</v>
      </c>
      <c r="AA446" t="s">
        <v>42</v>
      </c>
      <c r="AB446" t="s">
        <v>43</v>
      </c>
      <c r="AC446">
        <v>14</v>
      </c>
      <c r="AD446" t="str" cm="1">
        <f t="array" ref="AD446">_xlfn.IFS(HRData[[#This Row],[PercentSalaryHike]]&lt;=15,"11-15",HRData[[#This Row],[PercentSalaryHike]]&lt;=20,"16-20",HRData[[#This Row],[PercentSalaryHike]]&gt;=21,"21+")</f>
        <v>11-15</v>
      </c>
      <c r="AE446">
        <v>3</v>
      </c>
      <c r="AF446">
        <v>1</v>
      </c>
      <c r="AG446">
        <v>80</v>
      </c>
      <c r="AH446">
        <v>1</v>
      </c>
      <c r="AI446">
        <v>14</v>
      </c>
      <c r="AJ446">
        <v>2</v>
      </c>
      <c r="AK446">
        <v>3</v>
      </c>
      <c r="AL446">
        <v>9</v>
      </c>
      <c r="AM446">
        <v>7</v>
      </c>
      <c r="AN446">
        <v>6</v>
      </c>
      <c r="AO446">
        <v>7</v>
      </c>
      <c r="AP44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46" t="str">
        <f>IF(HRData[[#This Row],[Attrition]]="Yes","Left", IF(HRData[[#This Row],[Attrition_Risk_Score]]&gt;=6,"High",IF(HRData[[#This Row],[Attrition_Risk_Score]]&gt;=3,"Medium","Low")))</f>
        <v>Low</v>
      </c>
      <c r="AR446" t="str">
        <f>IF(HRData[[#This Row],[Attrition_Risk_Level]]&lt;&gt;"High","",HRData[[#This Row],[Attrition_Risk_Score]]*10000-HRData[[#This Row],[EmployeeNumber]])</f>
        <v/>
      </c>
    </row>
    <row r="447" spans="1:44">
      <c r="A447">
        <v>55</v>
      </c>
      <c r="B447" t="str" cm="1">
        <f t="array" ref="B447">_xlfn.IFS(
HRData[[#This Row],[Age]]&lt;=24,"18-24",
HRData[[#This Row],[Age]]&lt;=34,"25-34",
HRData[[#This Row],[Age]]&lt;=44,"35-44",
HRData[[#This Row],[Age]]&lt;=54,"45-54",
HRData[[#This Row],[Age]]&gt;=55,"55+"
)</f>
        <v>55+</v>
      </c>
      <c r="C447" t="s">
        <v>43</v>
      </c>
      <c r="D447">
        <f>IF(HRData[[#This Row],[Attrition]]="Yes",1,0)</f>
        <v>0</v>
      </c>
      <c r="E447" t="s">
        <v>36</v>
      </c>
      <c r="F447">
        <v>1117</v>
      </c>
      <c r="G447" t="s">
        <v>37</v>
      </c>
      <c r="H447">
        <v>18</v>
      </c>
      <c r="I447">
        <v>5</v>
      </c>
      <c r="J447" t="s">
        <v>38</v>
      </c>
      <c r="K447">
        <v>1</v>
      </c>
      <c r="L447">
        <v>597</v>
      </c>
      <c r="M447">
        <v>1</v>
      </c>
      <c r="N447" t="str" cm="1">
        <f t="array" ref="N447">_xlfn.IFS(HRData[[#This Row],[EnvironmentSatisfaction]]=1,"Very Dissatisfied",
HRData[[#This Row],[EnvironmentSatisfaction]]=2,"Dissatisfied",
HRData[[#This Row],[EnvironmentSatisfaction]]=3,"Satisfied",
HRData[[#This Row],[EnvironmentSatisfaction]]=4,"Very Satisfied"
)</f>
        <v>Very Dissatisfied</v>
      </c>
      <c r="O447" t="s">
        <v>39</v>
      </c>
      <c r="P447">
        <v>83</v>
      </c>
      <c r="Q447">
        <v>3</v>
      </c>
      <c r="R447">
        <v>4</v>
      </c>
      <c r="S447" t="s">
        <v>56</v>
      </c>
      <c r="T447">
        <v>2</v>
      </c>
      <c r="U447" t="str" cm="1">
        <f t="array" ref="U447">_xlfn.IFS(
HRData[[#This Row],[JobSatisfaction]]=1,"Very Dissatisfied",
HRData[[#This Row],[JobSatisfaction]]=2,"Dissatisfied",
HRData[[#This Row],[JobSatisfaction]]=3,"Satisfied",
HRData[[#This Row],[JobSatisfaction]]=4,"Very Satisfied"
)</f>
        <v>Dissatisfied</v>
      </c>
      <c r="V447" t="s">
        <v>41</v>
      </c>
      <c r="W447">
        <v>16835</v>
      </c>
      <c r="X447" t="str" cm="1">
        <f t="array" ref="X447">_xlfn.IFS(
HRData[[#This Row],[MonthlyIncome]]&lt;=4000,"Very Low Income",
HRData[[#This Row],[MonthlyIncome]]&lt;=8000,"Low Income",
HRData[[#This Row],[MonthlyIncome]]&lt;=12000,"Moderate Income",
HRData[[#This Row],[MonthlyIncome]]&lt;=16000,"High Income",
HRData[[#This Row],[MonthlyIncome]]&gt;16000,"Very High Income"
)</f>
        <v>Very High Income</v>
      </c>
      <c r="Y447">
        <v>9873</v>
      </c>
      <c r="Z447">
        <v>3</v>
      </c>
      <c r="AA447" t="s">
        <v>42</v>
      </c>
      <c r="AB447" t="s">
        <v>43</v>
      </c>
      <c r="AC447">
        <v>23</v>
      </c>
      <c r="AD447" t="str" cm="1">
        <f t="array" ref="AD447">_xlfn.IFS(HRData[[#This Row],[PercentSalaryHike]]&lt;=15,"11-15",HRData[[#This Row],[PercentSalaryHike]]&lt;=20,"16-20",HRData[[#This Row],[PercentSalaryHike]]&gt;=21,"21+")</f>
        <v>21+</v>
      </c>
      <c r="AE447">
        <v>4</v>
      </c>
      <c r="AF447">
        <v>4</v>
      </c>
      <c r="AG447">
        <v>80</v>
      </c>
      <c r="AH447">
        <v>0</v>
      </c>
      <c r="AI447">
        <v>37</v>
      </c>
      <c r="AJ447">
        <v>2</v>
      </c>
      <c r="AK447">
        <v>3</v>
      </c>
      <c r="AL447">
        <v>10</v>
      </c>
      <c r="AM447">
        <v>9</v>
      </c>
      <c r="AN447">
        <v>7</v>
      </c>
      <c r="AO447">
        <v>7</v>
      </c>
      <c r="AP44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447" t="str">
        <f>IF(HRData[[#This Row],[Attrition]]="Yes","Left", IF(HRData[[#This Row],[Attrition_Risk_Score]]&gt;=6,"High",IF(HRData[[#This Row],[Attrition_Risk_Score]]&gt;=3,"Medium","Low")))</f>
        <v>Low</v>
      </c>
      <c r="AR447" t="str">
        <f>IF(HRData[[#This Row],[Attrition_Risk_Level]]&lt;&gt;"High","",HRData[[#This Row],[Attrition_Risk_Score]]*10000-HRData[[#This Row],[EmployeeNumber]])</f>
        <v/>
      </c>
    </row>
    <row r="448" spans="1:44">
      <c r="A448">
        <v>41</v>
      </c>
      <c r="B448" t="str" cm="1">
        <f t="array" ref="B448">_xlfn.IFS(
HRData[[#This Row],[Age]]&lt;=24,"18-24",
HRData[[#This Row],[Age]]&lt;=34,"25-34",
HRData[[#This Row],[Age]]&lt;=44,"35-44",
HRData[[#This Row],[Age]]&lt;=54,"45-54",
HRData[[#This Row],[Age]]&gt;=55,"55+"
)</f>
        <v>35-44</v>
      </c>
      <c r="C448" t="s">
        <v>43</v>
      </c>
      <c r="D448">
        <f>IF(HRData[[#This Row],[Attrition]]="Yes",1,0)</f>
        <v>0</v>
      </c>
      <c r="E448" t="s">
        <v>55</v>
      </c>
      <c r="F448">
        <v>267</v>
      </c>
      <c r="G448" t="s">
        <v>37</v>
      </c>
      <c r="H448">
        <v>10</v>
      </c>
      <c r="I448">
        <v>2</v>
      </c>
      <c r="J448" t="s">
        <v>38</v>
      </c>
      <c r="K448">
        <v>1</v>
      </c>
      <c r="L448">
        <v>599</v>
      </c>
      <c r="M448">
        <v>4</v>
      </c>
      <c r="N448" t="str" cm="1">
        <f t="array" ref="N448">_xlfn.IFS(HRData[[#This Row],[EnvironmentSatisfaction]]=1,"Very Dissatisfied",
HRData[[#This Row],[EnvironmentSatisfaction]]=2,"Dissatisfied",
HRData[[#This Row],[EnvironmentSatisfaction]]=3,"Satisfied",
HRData[[#This Row],[EnvironmentSatisfaction]]=4,"Very Satisfied"
)</f>
        <v>Very Satisfied</v>
      </c>
      <c r="O448" t="s">
        <v>46</v>
      </c>
      <c r="P448">
        <v>56</v>
      </c>
      <c r="Q448">
        <v>3</v>
      </c>
      <c r="R448">
        <v>2</v>
      </c>
      <c r="S448" t="s">
        <v>40</v>
      </c>
      <c r="T448">
        <v>4</v>
      </c>
      <c r="U448" t="str" cm="1">
        <f t="array" ref="U448">_xlfn.IFS(
HRData[[#This Row],[JobSatisfaction]]=1,"Very Dissatisfied",
HRData[[#This Row],[JobSatisfaction]]=2,"Dissatisfied",
HRData[[#This Row],[JobSatisfaction]]=3,"Satisfied",
HRData[[#This Row],[JobSatisfaction]]=4,"Very Satisfied"
)</f>
        <v>Very Satisfied</v>
      </c>
      <c r="V448" t="s">
        <v>41</v>
      </c>
      <c r="W448">
        <v>6230</v>
      </c>
      <c r="X448" t="str" cm="1">
        <f t="array" ref="X448">_xlfn.IFS(
HRData[[#This Row],[MonthlyIncome]]&lt;=4000,"Very Low Income",
HRData[[#This Row],[MonthlyIncome]]&lt;=8000,"Low Income",
HRData[[#This Row],[MonthlyIncome]]&lt;=12000,"Moderate Income",
HRData[[#This Row],[MonthlyIncome]]&lt;=16000,"High Income",
HRData[[#This Row],[MonthlyIncome]]&gt;16000,"Very High Income"
)</f>
        <v>Low Income</v>
      </c>
      <c r="Y448">
        <v>13430</v>
      </c>
      <c r="Z448">
        <v>7</v>
      </c>
      <c r="AA448" t="s">
        <v>42</v>
      </c>
      <c r="AB448" t="s">
        <v>43</v>
      </c>
      <c r="AC448">
        <v>14</v>
      </c>
      <c r="AD448" t="str" cm="1">
        <f t="array" ref="AD448">_xlfn.IFS(HRData[[#This Row],[PercentSalaryHike]]&lt;=15,"11-15",HRData[[#This Row],[PercentSalaryHike]]&lt;=20,"16-20",HRData[[#This Row],[PercentSalaryHike]]&gt;=21,"21+")</f>
        <v>11-15</v>
      </c>
      <c r="AE448">
        <v>3</v>
      </c>
      <c r="AF448">
        <v>4</v>
      </c>
      <c r="AG448">
        <v>80</v>
      </c>
      <c r="AH448">
        <v>0</v>
      </c>
      <c r="AI448">
        <v>16</v>
      </c>
      <c r="AJ448">
        <v>3</v>
      </c>
      <c r="AK448">
        <v>3</v>
      </c>
      <c r="AL448">
        <v>14</v>
      </c>
      <c r="AM448">
        <v>3</v>
      </c>
      <c r="AN448">
        <v>1</v>
      </c>
      <c r="AO448">
        <v>10</v>
      </c>
      <c r="AP44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48" t="str">
        <f>IF(HRData[[#This Row],[Attrition]]="Yes","Left", IF(HRData[[#This Row],[Attrition_Risk_Score]]&gt;=6,"High",IF(HRData[[#This Row],[Attrition_Risk_Score]]&gt;=3,"Medium","Low")))</f>
        <v>Low</v>
      </c>
      <c r="AR448" t="str">
        <f>IF(HRData[[#This Row],[Attrition_Risk_Level]]&lt;&gt;"High","",HRData[[#This Row],[Attrition_Risk_Score]]*10000-HRData[[#This Row],[EmployeeNumber]])</f>
        <v/>
      </c>
    </row>
    <row r="449" spans="1:44">
      <c r="A449">
        <v>35</v>
      </c>
      <c r="B449" t="str" cm="1">
        <f t="array" ref="B449">_xlfn.IFS(
HRData[[#This Row],[Age]]&lt;=24,"18-24",
HRData[[#This Row],[Age]]&lt;=34,"25-34",
HRData[[#This Row],[Age]]&lt;=44,"35-44",
HRData[[#This Row],[Age]]&lt;=54,"45-54",
HRData[[#This Row],[Age]]&gt;=55,"55+"
)</f>
        <v>35-44</v>
      </c>
      <c r="C449" t="s">
        <v>43</v>
      </c>
      <c r="D449">
        <f>IF(HRData[[#This Row],[Attrition]]="Yes",1,0)</f>
        <v>0</v>
      </c>
      <c r="E449" t="s">
        <v>36</v>
      </c>
      <c r="F449">
        <v>619</v>
      </c>
      <c r="G449" t="s">
        <v>37</v>
      </c>
      <c r="H449">
        <v>1</v>
      </c>
      <c r="I449">
        <v>3</v>
      </c>
      <c r="J449" t="s">
        <v>59</v>
      </c>
      <c r="K449">
        <v>1</v>
      </c>
      <c r="L449">
        <v>600</v>
      </c>
      <c r="M449">
        <v>2</v>
      </c>
      <c r="N449" t="str" cm="1">
        <f t="array" ref="N449">_xlfn.IFS(HRData[[#This Row],[EnvironmentSatisfaction]]=1,"Very Dissatisfied",
HRData[[#This Row],[EnvironmentSatisfaction]]=2,"Dissatisfied",
HRData[[#This Row],[EnvironmentSatisfaction]]=3,"Satisfied",
HRData[[#This Row],[EnvironmentSatisfaction]]=4,"Very Satisfied"
)</f>
        <v>Dissatisfied</v>
      </c>
      <c r="O449" t="s">
        <v>46</v>
      </c>
      <c r="P449">
        <v>85</v>
      </c>
      <c r="Q449">
        <v>3</v>
      </c>
      <c r="R449">
        <v>2</v>
      </c>
      <c r="S449" t="s">
        <v>40</v>
      </c>
      <c r="T449">
        <v>3</v>
      </c>
      <c r="U449" t="str" cm="1">
        <f t="array" ref="U449">_xlfn.IFS(
HRData[[#This Row],[JobSatisfaction]]=1,"Very Dissatisfied",
HRData[[#This Row],[JobSatisfaction]]=2,"Dissatisfied",
HRData[[#This Row],[JobSatisfaction]]=3,"Satisfied",
HRData[[#This Row],[JobSatisfaction]]=4,"Very Satisfied"
)</f>
        <v>Satisfied</v>
      </c>
      <c r="V449" t="s">
        <v>48</v>
      </c>
      <c r="W449">
        <v>4717</v>
      </c>
      <c r="X449" t="str" cm="1">
        <f t="array" ref="X449">_xlfn.IFS(
HRData[[#This Row],[MonthlyIncome]]&lt;=4000,"Very Low Income",
HRData[[#This Row],[MonthlyIncome]]&lt;=8000,"Low Income",
HRData[[#This Row],[MonthlyIncome]]&lt;=12000,"Moderate Income",
HRData[[#This Row],[MonthlyIncome]]&lt;=16000,"High Income",
HRData[[#This Row],[MonthlyIncome]]&gt;16000,"Very High Income"
)</f>
        <v>Low Income</v>
      </c>
      <c r="Y449">
        <v>18659</v>
      </c>
      <c r="Z449">
        <v>9</v>
      </c>
      <c r="AA449" t="s">
        <v>42</v>
      </c>
      <c r="AB449" t="s">
        <v>43</v>
      </c>
      <c r="AC449">
        <v>11</v>
      </c>
      <c r="AD449" t="str" cm="1">
        <f t="array" ref="AD449">_xlfn.IFS(HRData[[#This Row],[PercentSalaryHike]]&lt;=15,"11-15",HRData[[#This Row],[PercentSalaryHike]]&lt;=20,"16-20",HRData[[#This Row],[PercentSalaryHike]]&gt;=21,"21+")</f>
        <v>11-15</v>
      </c>
      <c r="AE449">
        <v>3</v>
      </c>
      <c r="AF449">
        <v>3</v>
      </c>
      <c r="AG449">
        <v>80</v>
      </c>
      <c r="AH449">
        <v>0</v>
      </c>
      <c r="AI449">
        <v>15</v>
      </c>
      <c r="AJ449">
        <v>2</v>
      </c>
      <c r="AK449">
        <v>3</v>
      </c>
      <c r="AL449">
        <v>11</v>
      </c>
      <c r="AM449">
        <v>9</v>
      </c>
      <c r="AN449">
        <v>6</v>
      </c>
      <c r="AO449">
        <v>9</v>
      </c>
      <c r="AP44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49" t="str">
        <f>IF(HRData[[#This Row],[Attrition]]="Yes","Left", IF(HRData[[#This Row],[Attrition_Risk_Score]]&gt;=6,"High",IF(HRData[[#This Row],[Attrition_Risk_Score]]&gt;=3,"Medium","Low")))</f>
        <v>Low</v>
      </c>
      <c r="AR449" t="str">
        <f>IF(HRData[[#This Row],[Attrition_Risk_Level]]&lt;&gt;"High","",HRData[[#This Row],[Attrition_Risk_Score]]*10000-HRData[[#This Row],[EmployeeNumber]])</f>
        <v/>
      </c>
    </row>
    <row r="450" spans="1:44">
      <c r="A450">
        <v>40</v>
      </c>
      <c r="B450" t="str" cm="1">
        <f t="array" ref="B450">_xlfn.IFS(
HRData[[#This Row],[Age]]&lt;=24,"18-24",
HRData[[#This Row],[Age]]&lt;=34,"25-34",
HRData[[#This Row],[Age]]&lt;=44,"35-44",
HRData[[#This Row],[Age]]&lt;=54,"45-54",
HRData[[#This Row],[Age]]&gt;=55,"55+"
)</f>
        <v>35-44</v>
      </c>
      <c r="C450" t="s">
        <v>43</v>
      </c>
      <c r="D450">
        <f>IF(HRData[[#This Row],[Attrition]]="Yes",1,0)</f>
        <v>0</v>
      </c>
      <c r="E450" t="s">
        <v>36</v>
      </c>
      <c r="F450">
        <v>302</v>
      </c>
      <c r="G450" t="s">
        <v>45</v>
      </c>
      <c r="H450">
        <v>6</v>
      </c>
      <c r="I450">
        <v>3</v>
      </c>
      <c r="J450" t="s">
        <v>38</v>
      </c>
      <c r="K450">
        <v>1</v>
      </c>
      <c r="L450">
        <v>601</v>
      </c>
      <c r="M450">
        <v>2</v>
      </c>
      <c r="N450" t="str" cm="1">
        <f t="array" ref="N450">_xlfn.IFS(HRData[[#This Row],[EnvironmentSatisfaction]]=1,"Very Dissatisfied",
HRData[[#This Row],[EnvironmentSatisfaction]]=2,"Dissatisfied",
HRData[[#This Row],[EnvironmentSatisfaction]]=3,"Satisfied",
HRData[[#This Row],[EnvironmentSatisfaction]]=4,"Very Satisfied"
)</f>
        <v>Dissatisfied</v>
      </c>
      <c r="O450" t="s">
        <v>39</v>
      </c>
      <c r="P450">
        <v>75</v>
      </c>
      <c r="Q450">
        <v>3</v>
      </c>
      <c r="R450">
        <v>4</v>
      </c>
      <c r="S450" t="s">
        <v>53</v>
      </c>
      <c r="T450">
        <v>3</v>
      </c>
      <c r="U450" t="str" cm="1">
        <f t="array" ref="U450">_xlfn.IFS(
HRData[[#This Row],[JobSatisfaction]]=1,"Very Dissatisfied",
HRData[[#This Row],[JobSatisfaction]]=2,"Dissatisfied",
HRData[[#This Row],[JobSatisfaction]]=3,"Satisfied",
HRData[[#This Row],[JobSatisfaction]]=4,"Very Satisfied"
)</f>
        <v>Satisfied</v>
      </c>
      <c r="V450" t="s">
        <v>41</v>
      </c>
      <c r="W450">
        <v>13237</v>
      </c>
      <c r="X450" t="str" cm="1">
        <f t="array" ref="X450">_xlfn.IFS(
HRData[[#This Row],[MonthlyIncome]]&lt;=4000,"Very Low Income",
HRData[[#This Row],[MonthlyIncome]]&lt;=8000,"Low Income",
HRData[[#This Row],[MonthlyIncome]]&lt;=12000,"Moderate Income",
HRData[[#This Row],[MonthlyIncome]]&lt;=16000,"High Income",
HRData[[#This Row],[MonthlyIncome]]&gt;16000,"Very High Income"
)</f>
        <v>High Income</v>
      </c>
      <c r="Y450">
        <v>20364</v>
      </c>
      <c r="Z450">
        <v>7</v>
      </c>
      <c r="AA450" t="s">
        <v>42</v>
      </c>
      <c r="AB450" t="s">
        <v>43</v>
      </c>
      <c r="AC450">
        <v>15</v>
      </c>
      <c r="AD450" t="str" cm="1">
        <f t="array" ref="AD450">_xlfn.IFS(HRData[[#This Row],[PercentSalaryHike]]&lt;=15,"11-15",HRData[[#This Row],[PercentSalaryHike]]&lt;=20,"16-20",HRData[[#This Row],[PercentSalaryHike]]&gt;=21,"21+")</f>
        <v>11-15</v>
      </c>
      <c r="AE450">
        <v>3</v>
      </c>
      <c r="AF450">
        <v>3</v>
      </c>
      <c r="AG450">
        <v>80</v>
      </c>
      <c r="AH450">
        <v>0</v>
      </c>
      <c r="AI450">
        <v>22</v>
      </c>
      <c r="AJ450">
        <v>3</v>
      </c>
      <c r="AK450">
        <v>3</v>
      </c>
      <c r="AL450">
        <v>20</v>
      </c>
      <c r="AM450">
        <v>6</v>
      </c>
      <c r="AN450">
        <v>5</v>
      </c>
      <c r="AO450">
        <v>13</v>
      </c>
      <c r="AP45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450" t="str">
        <f>IF(HRData[[#This Row],[Attrition]]="Yes","Left", IF(HRData[[#This Row],[Attrition_Risk_Score]]&gt;=6,"High",IF(HRData[[#This Row],[Attrition_Risk_Score]]&gt;=3,"Medium","Low")))</f>
        <v>Low</v>
      </c>
      <c r="AR450" t="str">
        <f>IF(HRData[[#This Row],[Attrition_Risk_Level]]&lt;&gt;"High","",HRData[[#This Row],[Attrition_Risk_Score]]*10000-HRData[[#This Row],[EmployeeNumber]])</f>
        <v/>
      </c>
    </row>
    <row r="451" spans="1:44">
      <c r="A451">
        <v>39</v>
      </c>
      <c r="B451" t="str" cm="1">
        <f t="array" ref="B451">_xlfn.IFS(
HRData[[#This Row],[Age]]&lt;=24,"18-24",
HRData[[#This Row],[Age]]&lt;=34,"25-34",
HRData[[#This Row],[Age]]&lt;=44,"35-44",
HRData[[#This Row],[Age]]&lt;=54,"45-54",
HRData[[#This Row],[Age]]&gt;=55,"55+"
)</f>
        <v>35-44</v>
      </c>
      <c r="C451" t="s">
        <v>43</v>
      </c>
      <c r="D451">
        <f>IF(HRData[[#This Row],[Attrition]]="Yes",1,0)</f>
        <v>0</v>
      </c>
      <c r="E451" t="s">
        <v>44</v>
      </c>
      <c r="F451">
        <v>443</v>
      </c>
      <c r="G451" t="s">
        <v>45</v>
      </c>
      <c r="H451">
        <v>8</v>
      </c>
      <c r="I451">
        <v>1</v>
      </c>
      <c r="J451" t="s">
        <v>38</v>
      </c>
      <c r="K451">
        <v>1</v>
      </c>
      <c r="L451">
        <v>602</v>
      </c>
      <c r="M451">
        <v>3</v>
      </c>
      <c r="N451" t="str" cm="1">
        <f t="array" ref="N451">_xlfn.IFS(HRData[[#This Row],[EnvironmentSatisfaction]]=1,"Very Dissatisfied",
HRData[[#This Row],[EnvironmentSatisfaction]]=2,"Dissatisfied",
HRData[[#This Row],[EnvironmentSatisfaction]]=3,"Satisfied",
HRData[[#This Row],[EnvironmentSatisfaction]]=4,"Very Satisfied"
)</f>
        <v>Satisfied</v>
      </c>
      <c r="O451" t="s">
        <v>39</v>
      </c>
      <c r="P451">
        <v>48</v>
      </c>
      <c r="Q451">
        <v>3</v>
      </c>
      <c r="R451">
        <v>1</v>
      </c>
      <c r="S451" t="s">
        <v>50</v>
      </c>
      <c r="T451">
        <v>3</v>
      </c>
      <c r="U451" t="str" cm="1">
        <f t="array" ref="U451">_xlfn.IFS(
HRData[[#This Row],[JobSatisfaction]]=1,"Very Dissatisfied",
HRData[[#This Row],[JobSatisfaction]]=2,"Dissatisfied",
HRData[[#This Row],[JobSatisfaction]]=3,"Satisfied",
HRData[[#This Row],[JobSatisfaction]]=4,"Very Satisfied"
)</f>
        <v>Satisfied</v>
      </c>
      <c r="V451" t="s">
        <v>48</v>
      </c>
      <c r="W451">
        <v>3755</v>
      </c>
      <c r="X451" t="str" cm="1">
        <f t="array" ref="X451">_xlfn.IFS(
HRData[[#This Row],[MonthlyIncome]]&lt;=4000,"Very Low Income",
HRData[[#This Row],[MonthlyIncome]]&lt;=8000,"Low Income",
HRData[[#This Row],[MonthlyIncome]]&lt;=12000,"Moderate Income",
HRData[[#This Row],[MonthlyIncome]]&lt;=16000,"High Income",
HRData[[#This Row],[MonthlyIncome]]&gt;16000,"Very High Income"
)</f>
        <v>Very Low Income</v>
      </c>
      <c r="Y451">
        <v>17872</v>
      </c>
      <c r="Z451">
        <v>1</v>
      </c>
      <c r="AA451" t="s">
        <v>42</v>
      </c>
      <c r="AB451" t="s">
        <v>43</v>
      </c>
      <c r="AC451">
        <v>11</v>
      </c>
      <c r="AD451" t="str" cm="1">
        <f t="array" ref="AD451">_xlfn.IFS(HRData[[#This Row],[PercentSalaryHike]]&lt;=15,"11-15",HRData[[#This Row],[PercentSalaryHike]]&lt;=20,"16-20",HRData[[#This Row],[PercentSalaryHike]]&gt;=21,"21+")</f>
        <v>11-15</v>
      </c>
      <c r="AE451">
        <v>3</v>
      </c>
      <c r="AF451">
        <v>1</v>
      </c>
      <c r="AG451">
        <v>80</v>
      </c>
      <c r="AH451">
        <v>1</v>
      </c>
      <c r="AI451">
        <v>8</v>
      </c>
      <c r="AJ451">
        <v>3</v>
      </c>
      <c r="AK451">
        <v>3</v>
      </c>
      <c r="AL451">
        <v>8</v>
      </c>
      <c r="AM451">
        <v>3</v>
      </c>
      <c r="AN451">
        <v>0</v>
      </c>
      <c r="AO451">
        <v>7</v>
      </c>
      <c r="AP45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451" t="str">
        <f>IF(HRData[[#This Row],[Attrition]]="Yes","Left", IF(HRData[[#This Row],[Attrition_Risk_Score]]&gt;=6,"High",IF(HRData[[#This Row],[Attrition_Risk_Score]]&gt;=3,"Medium","Low")))</f>
        <v>Medium</v>
      </c>
      <c r="AR451" t="str">
        <f>IF(HRData[[#This Row],[Attrition_Risk_Level]]&lt;&gt;"High","",HRData[[#This Row],[Attrition_Risk_Score]]*10000-HRData[[#This Row],[EmployeeNumber]])</f>
        <v/>
      </c>
    </row>
    <row r="452" spans="1:44">
      <c r="A452">
        <v>31</v>
      </c>
      <c r="B452" t="str" cm="1">
        <f t="array" ref="B452">_xlfn.IFS(
HRData[[#This Row],[Age]]&lt;=24,"18-24",
HRData[[#This Row],[Age]]&lt;=34,"25-34",
HRData[[#This Row],[Age]]&lt;=44,"35-44",
HRData[[#This Row],[Age]]&lt;=54,"45-54",
HRData[[#This Row],[Age]]&gt;=55,"55+"
)</f>
        <v>25-34</v>
      </c>
      <c r="C452" t="s">
        <v>43</v>
      </c>
      <c r="D452">
        <f>IF(HRData[[#This Row],[Attrition]]="Yes",1,0)</f>
        <v>0</v>
      </c>
      <c r="E452" t="s">
        <v>36</v>
      </c>
      <c r="F452">
        <v>828</v>
      </c>
      <c r="G452" t="s">
        <v>37</v>
      </c>
      <c r="H452">
        <v>2</v>
      </c>
      <c r="I452">
        <v>1</v>
      </c>
      <c r="J452" t="s">
        <v>38</v>
      </c>
      <c r="K452">
        <v>1</v>
      </c>
      <c r="L452">
        <v>604</v>
      </c>
      <c r="M452">
        <v>2</v>
      </c>
      <c r="N452" t="str" cm="1">
        <f t="array" ref="N452">_xlfn.IFS(HRData[[#This Row],[EnvironmentSatisfaction]]=1,"Very Dissatisfied",
HRData[[#This Row],[EnvironmentSatisfaction]]=2,"Dissatisfied",
HRData[[#This Row],[EnvironmentSatisfaction]]=3,"Satisfied",
HRData[[#This Row],[EnvironmentSatisfaction]]=4,"Very Satisfied"
)</f>
        <v>Dissatisfied</v>
      </c>
      <c r="O452" t="s">
        <v>46</v>
      </c>
      <c r="P452">
        <v>77</v>
      </c>
      <c r="Q452">
        <v>3</v>
      </c>
      <c r="R452">
        <v>2</v>
      </c>
      <c r="S452" t="s">
        <v>40</v>
      </c>
      <c r="T452">
        <v>4</v>
      </c>
      <c r="U452" t="str" cm="1">
        <f t="array" ref="U452">_xlfn.IFS(
HRData[[#This Row],[JobSatisfaction]]=1,"Very Dissatisfied",
HRData[[#This Row],[JobSatisfaction]]=2,"Dissatisfied",
HRData[[#This Row],[JobSatisfaction]]=3,"Satisfied",
HRData[[#This Row],[JobSatisfaction]]=4,"Very Satisfied"
)</f>
        <v>Very Satisfied</v>
      </c>
      <c r="V452" t="s">
        <v>41</v>
      </c>
      <c r="W452">
        <v>6582</v>
      </c>
      <c r="X452" t="str" cm="1">
        <f t="array" ref="X452">_xlfn.IFS(
HRData[[#This Row],[MonthlyIncome]]&lt;=4000,"Very Low Income",
HRData[[#This Row],[MonthlyIncome]]&lt;=8000,"Low Income",
HRData[[#This Row],[MonthlyIncome]]&lt;=12000,"Moderate Income",
HRData[[#This Row],[MonthlyIncome]]&lt;=16000,"High Income",
HRData[[#This Row],[MonthlyIncome]]&gt;16000,"Very High Income"
)</f>
        <v>Low Income</v>
      </c>
      <c r="Y452">
        <v>8346</v>
      </c>
      <c r="Z452">
        <v>4</v>
      </c>
      <c r="AA452" t="s">
        <v>42</v>
      </c>
      <c r="AB452" t="s">
        <v>35</v>
      </c>
      <c r="AC452">
        <v>13</v>
      </c>
      <c r="AD452" t="str" cm="1">
        <f t="array" ref="AD452">_xlfn.IFS(HRData[[#This Row],[PercentSalaryHike]]&lt;=15,"11-15",HRData[[#This Row],[PercentSalaryHike]]&lt;=20,"16-20",HRData[[#This Row],[PercentSalaryHike]]&gt;=21,"21+")</f>
        <v>11-15</v>
      </c>
      <c r="AE452">
        <v>3</v>
      </c>
      <c r="AF452">
        <v>3</v>
      </c>
      <c r="AG452">
        <v>80</v>
      </c>
      <c r="AH452">
        <v>0</v>
      </c>
      <c r="AI452">
        <v>10</v>
      </c>
      <c r="AJ452">
        <v>2</v>
      </c>
      <c r="AK452">
        <v>4</v>
      </c>
      <c r="AL452">
        <v>6</v>
      </c>
      <c r="AM452">
        <v>5</v>
      </c>
      <c r="AN452">
        <v>0</v>
      </c>
      <c r="AO452">
        <v>5</v>
      </c>
      <c r="AP45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452" t="str">
        <f>IF(HRData[[#This Row],[Attrition]]="Yes","Left", IF(HRData[[#This Row],[Attrition_Risk_Score]]&gt;=6,"High",IF(HRData[[#This Row],[Attrition_Risk_Score]]&gt;=3,"Medium","Low")))</f>
        <v>Medium</v>
      </c>
      <c r="AR452" t="str">
        <f>IF(HRData[[#This Row],[Attrition_Risk_Level]]&lt;&gt;"High","",HRData[[#This Row],[Attrition_Risk_Score]]*10000-HRData[[#This Row],[EmployeeNumber]])</f>
        <v/>
      </c>
    </row>
    <row r="453" spans="1:44">
      <c r="A453">
        <v>42</v>
      </c>
      <c r="B453" t="str" cm="1">
        <f t="array" ref="B453">_xlfn.IFS(
HRData[[#This Row],[Age]]&lt;=24,"18-24",
HRData[[#This Row],[Age]]&lt;=34,"25-34",
HRData[[#This Row],[Age]]&lt;=44,"35-44",
HRData[[#This Row],[Age]]&lt;=54,"45-54",
HRData[[#This Row],[Age]]&gt;=55,"55+"
)</f>
        <v>35-44</v>
      </c>
      <c r="C453" t="s">
        <v>43</v>
      </c>
      <c r="D453">
        <f>IF(HRData[[#This Row],[Attrition]]="Yes",1,0)</f>
        <v>0</v>
      </c>
      <c r="E453" t="s">
        <v>36</v>
      </c>
      <c r="F453">
        <v>319</v>
      </c>
      <c r="G453" t="s">
        <v>45</v>
      </c>
      <c r="H453">
        <v>24</v>
      </c>
      <c r="I453">
        <v>3</v>
      </c>
      <c r="J453" t="s">
        <v>51</v>
      </c>
      <c r="K453">
        <v>1</v>
      </c>
      <c r="L453">
        <v>605</v>
      </c>
      <c r="M453">
        <v>4</v>
      </c>
      <c r="N453" t="str" cm="1">
        <f t="array" ref="N453">_xlfn.IFS(HRData[[#This Row],[EnvironmentSatisfaction]]=1,"Very Dissatisfied",
HRData[[#This Row],[EnvironmentSatisfaction]]=2,"Dissatisfied",
HRData[[#This Row],[EnvironmentSatisfaction]]=3,"Satisfied",
HRData[[#This Row],[EnvironmentSatisfaction]]=4,"Very Satisfied"
)</f>
        <v>Very Satisfied</v>
      </c>
      <c r="O453" t="s">
        <v>46</v>
      </c>
      <c r="P453">
        <v>56</v>
      </c>
      <c r="Q453">
        <v>3</v>
      </c>
      <c r="R453">
        <v>3</v>
      </c>
      <c r="S453" t="s">
        <v>53</v>
      </c>
      <c r="T453">
        <v>1</v>
      </c>
      <c r="U453" t="str" cm="1">
        <f t="array" ref="U453">_xlfn.IFS(
HRData[[#This Row],[JobSatisfaction]]=1,"Very Dissatisfied",
HRData[[#This Row],[JobSatisfaction]]=2,"Dissatisfied",
HRData[[#This Row],[JobSatisfaction]]=3,"Satisfied",
HRData[[#This Row],[JobSatisfaction]]=4,"Very Satisfied"
)</f>
        <v>Very Dissatisfied</v>
      </c>
      <c r="V453" t="s">
        <v>48</v>
      </c>
      <c r="W453">
        <v>7406</v>
      </c>
      <c r="X453" t="str" cm="1">
        <f t="array" ref="X453">_xlfn.IFS(
HRData[[#This Row],[MonthlyIncome]]&lt;=4000,"Very Low Income",
HRData[[#This Row],[MonthlyIncome]]&lt;=8000,"Low Income",
HRData[[#This Row],[MonthlyIncome]]&lt;=12000,"Moderate Income",
HRData[[#This Row],[MonthlyIncome]]&lt;=16000,"High Income",
HRData[[#This Row],[MonthlyIncome]]&gt;16000,"Very High Income"
)</f>
        <v>Low Income</v>
      </c>
      <c r="Y453">
        <v>6950</v>
      </c>
      <c r="Z453">
        <v>1</v>
      </c>
      <c r="AA453" t="s">
        <v>42</v>
      </c>
      <c r="AB453" t="s">
        <v>35</v>
      </c>
      <c r="AC453">
        <v>21</v>
      </c>
      <c r="AD453" t="str" cm="1">
        <f t="array" ref="AD453">_xlfn.IFS(HRData[[#This Row],[PercentSalaryHike]]&lt;=15,"11-15",HRData[[#This Row],[PercentSalaryHike]]&lt;=20,"16-20",HRData[[#This Row],[PercentSalaryHike]]&gt;=21,"21+")</f>
        <v>21+</v>
      </c>
      <c r="AE453">
        <v>4</v>
      </c>
      <c r="AF453">
        <v>4</v>
      </c>
      <c r="AG453">
        <v>80</v>
      </c>
      <c r="AH453">
        <v>1</v>
      </c>
      <c r="AI453">
        <v>10</v>
      </c>
      <c r="AJ453">
        <v>5</v>
      </c>
      <c r="AK453">
        <v>2</v>
      </c>
      <c r="AL453">
        <v>10</v>
      </c>
      <c r="AM453">
        <v>9</v>
      </c>
      <c r="AN453">
        <v>5</v>
      </c>
      <c r="AO453">
        <v>8</v>
      </c>
      <c r="AP45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453" t="str">
        <f>IF(HRData[[#This Row],[Attrition]]="Yes","Left", IF(HRData[[#This Row],[Attrition_Risk_Score]]&gt;=6,"High",IF(HRData[[#This Row],[Attrition_Risk_Score]]&gt;=3,"Medium","Low")))</f>
        <v>Medium</v>
      </c>
      <c r="AR453" t="str">
        <f>IF(HRData[[#This Row],[Attrition_Risk_Level]]&lt;&gt;"High","",HRData[[#This Row],[Attrition_Risk_Score]]*10000-HRData[[#This Row],[EmployeeNumber]])</f>
        <v/>
      </c>
    </row>
    <row r="454" spans="1:44">
      <c r="A454">
        <v>45</v>
      </c>
      <c r="B454" t="str" cm="1">
        <f t="array" ref="B454">_xlfn.IFS(
HRData[[#This Row],[Age]]&lt;=24,"18-24",
HRData[[#This Row],[Age]]&lt;=34,"25-34",
HRData[[#This Row],[Age]]&lt;=44,"35-44",
HRData[[#This Row],[Age]]&lt;=54,"45-54",
HRData[[#This Row],[Age]]&gt;=55,"55+"
)</f>
        <v>45-54</v>
      </c>
      <c r="C454" t="s">
        <v>43</v>
      </c>
      <c r="D454">
        <f>IF(HRData[[#This Row],[Attrition]]="Yes",1,0)</f>
        <v>0</v>
      </c>
      <c r="E454" t="s">
        <v>36</v>
      </c>
      <c r="F454">
        <v>561</v>
      </c>
      <c r="G454" t="s">
        <v>37</v>
      </c>
      <c r="H454">
        <v>2</v>
      </c>
      <c r="I454">
        <v>3</v>
      </c>
      <c r="J454" t="s">
        <v>49</v>
      </c>
      <c r="K454">
        <v>1</v>
      </c>
      <c r="L454">
        <v>606</v>
      </c>
      <c r="M454">
        <v>4</v>
      </c>
      <c r="N454" t="str" cm="1">
        <f t="array" ref="N454">_xlfn.IFS(HRData[[#This Row],[EnvironmentSatisfaction]]=1,"Very Dissatisfied",
HRData[[#This Row],[EnvironmentSatisfaction]]=2,"Dissatisfied",
HRData[[#This Row],[EnvironmentSatisfaction]]=3,"Satisfied",
HRData[[#This Row],[EnvironmentSatisfaction]]=4,"Very Satisfied"
)</f>
        <v>Very Satisfied</v>
      </c>
      <c r="O454" t="s">
        <v>46</v>
      </c>
      <c r="P454">
        <v>61</v>
      </c>
      <c r="Q454">
        <v>3</v>
      </c>
      <c r="R454">
        <v>2</v>
      </c>
      <c r="S454" t="s">
        <v>40</v>
      </c>
      <c r="T454">
        <v>2</v>
      </c>
      <c r="U454" t="str" cm="1">
        <f t="array" ref="U454">_xlfn.IFS(
HRData[[#This Row],[JobSatisfaction]]=1,"Very Dissatisfied",
HRData[[#This Row],[JobSatisfaction]]=2,"Dissatisfied",
HRData[[#This Row],[JobSatisfaction]]=3,"Satisfied",
HRData[[#This Row],[JobSatisfaction]]=4,"Very Satisfied"
)</f>
        <v>Dissatisfied</v>
      </c>
      <c r="V454" t="s">
        <v>48</v>
      </c>
      <c r="W454">
        <v>4805</v>
      </c>
      <c r="X454" t="str" cm="1">
        <f t="array" ref="X454">_xlfn.IFS(
HRData[[#This Row],[MonthlyIncome]]&lt;=4000,"Very Low Income",
HRData[[#This Row],[MonthlyIncome]]&lt;=8000,"Low Income",
HRData[[#This Row],[MonthlyIncome]]&lt;=12000,"Moderate Income",
HRData[[#This Row],[MonthlyIncome]]&lt;=16000,"High Income",
HRData[[#This Row],[MonthlyIncome]]&gt;16000,"Very High Income"
)</f>
        <v>Low Income</v>
      </c>
      <c r="Y454">
        <v>16177</v>
      </c>
      <c r="Z454">
        <v>0</v>
      </c>
      <c r="AA454" t="s">
        <v>42</v>
      </c>
      <c r="AB454" t="s">
        <v>43</v>
      </c>
      <c r="AC454">
        <v>19</v>
      </c>
      <c r="AD454" t="str" cm="1">
        <f t="array" ref="AD454">_xlfn.IFS(HRData[[#This Row],[PercentSalaryHike]]&lt;=15,"11-15",HRData[[#This Row],[PercentSalaryHike]]&lt;=20,"16-20",HRData[[#This Row],[PercentSalaryHike]]&gt;=21,"21+")</f>
        <v>16-20</v>
      </c>
      <c r="AE454">
        <v>3</v>
      </c>
      <c r="AF454">
        <v>2</v>
      </c>
      <c r="AG454">
        <v>80</v>
      </c>
      <c r="AH454">
        <v>1</v>
      </c>
      <c r="AI454">
        <v>9</v>
      </c>
      <c r="AJ454">
        <v>3</v>
      </c>
      <c r="AK454">
        <v>4</v>
      </c>
      <c r="AL454">
        <v>8</v>
      </c>
      <c r="AM454">
        <v>7</v>
      </c>
      <c r="AN454">
        <v>3</v>
      </c>
      <c r="AO454">
        <v>7</v>
      </c>
      <c r="AP45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54" t="str">
        <f>IF(HRData[[#This Row],[Attrition]]="Yes","Left", IF(HRData[[#This Row],[Attrition_Risk_Score]]&gt;=6,"High",IF(HRData[[#This Row],[Attrition_Risk_Score]]&gt;=3,"Medium","Low")))</f>
        <v>Low</v>
      </c>
      <c r="AR454" t="str">
        <f>IF(HRData[[#This Row],[Attrition_Risk_Level]]&lt;&gt;"High","",HRData[[#This Row],[Attrition_Risk_Score]]*10000-HRData[[#This Row],[EmployeeNumber]])</f>
        <v/>
      </c>
    </row>
    <row r="455" spans="1:44">
      <c r="A455">
        <v>26</v>
      </c>
      <c r="B455" t="str" cm="1">
        <f t="array" ref="B455">_xlfn.IFS(
HRData[[#This Row],[Age]]&lt;=24,"18-24",
HRData[[#This Row],[Age]]&lt;=34,"25-34",
HRData[[#This Row],[Age]]&lt;=44,"35-44",
HRData[[#This Row],[Age]]&lt;=54,"45-54",
HRData[[#This Row],[Age]]&gt;=55,"55+"
)</f>
        <v>25-34</v>
      </c>
      <c r="C455" t="s">
        <v>35</v>
      </c>
      <c r="D455">
        <f>IF(HRData[[#This Row],[Attrition]]="Yes",1,0)</f>
        <v>1</v>
      </c>
      <c r="E455" t="s">
        <v>44</v>
      </c>
      <c r="F455">
        <v>426</v>
      </c>
      <c r="G455" t="s">
        <v>61</v>
      </c>
      <c r="H455">
        <v>17</v>
      </c>
      <c r="I455">
        <v>4</v>
      </c>
      <c r="J455" t="s">
        <v>38</v>
      </c>
      <c r="K455">
        <v>1</v>
      </c>
      <c r="L455">
        <v>608</v>
      </c>
      <c r="M455">
        <v>2</v>
      </c>
      <c r="N455" t="str" cm="1">
        <f t="array" ref="N455">_xlfn.IFS(HRData[[#This Row],[EnvironmentSatisfaction]]=1,"Very Dissatisfied",
HRData[[#This Row],[EnvironmentSatisfaction]]=2,"Dissatisfied",
HRData[[#This Row],[EnvironmentSatisfaction]]=3,"Satisfied",
HRData[[#This Row],[EnvironmentSatisfaction]]=4,"Very Satisfied"
)</f>
        <v>Dissatisfied</v>
      </c>
      <c r="O455" t="s">
        <v>39</v>
      </c>
      <c r="P455">
        <v>58</v>
      </c>
      <c r="Q455">
        <v>3</v>
      </c>
      <c r="R455">
        <v>1</v>
      </c>
      <c r="S455" t="s">
        <v>61</v>
      </c>
      <c r="T455">
        <v>3</v>
      </c>
      <c r="U455" t="str" cm="1">
        <f t="array" ref="U455">_xlfn.IFS(
HRData[[#This Row],[JobSatisfaction]]=1,"Very Dissatisfied",
HRData[[#This Row],[JobSatisfaction]]=2,"Dissatisfied",
HRData[[#This Row],[JobSatisfaction]]=3,"Satisfied",
HRData[[#This Row],[JobSatisfaction]]=4,"Very Satisfied"
)</f>
        <v>Satisfied</v>
      </c>
      <c r="V455" t="s">
        <v>52</v>
      </c>
      <c r="W455">
        <v>2741</v>
      </c>
      <c r="X455" t="str" cm="1">
        <f t="array" ref="X455">_xlfn.IFS(
HRData[[#This Row],[MonthlyIncome]]&lt;=4000,"Very Low Income",
HRData[[#This Row],[MonthlyIncome]]&lt;=8000,"Low Income",
HRData[[#This Row],[MonthlyIncome]]&lt;=12000,"Moderate Income",
HRData[[#This Row],[MonthlyIncome]]&lt;=16000,"High Income",
HRData[[#This Row],[MonthlyIncome]]&gt;16000,"Very High Income"
)</f>
        <v>Very Low Income</v>
      </c>
      <c r="Y455">
        <v>22808</v>
      </c>
      <c r="Z455">
        <v>0</v>
      </c>
      <c r="AA455" t="s">
        <v>42</v>
      </c>
      <c r="AB455" t="s">
        <v>35</v>
      </c>
      <c r="AC455">
        <v>11</v>
      </c>
      <c r="AD455" t="str" cm="1">
        <f t="array" ref="AD455">_xlfn.IFS(HRData[[#This Row],[PercentSalaryHike]]&lt;=15,"11-15",HRData[[#This Row],[PercentSalaryHike]]&lt;=20,"16-20",HRData[[#This Row],[PercentSalaryHike]]&gt;=21,"21+")</f>
        <v>11-15</v>
      </c>
      <c r="AE455">
        <v>3</v>
      </c>
      <c r="AF455">
        <v>2</v>
      </c>
      <c r="AG455">
        <v>80</v>
      </c>
      <c r="AH455">
        <v>1</v>
      </c>
      <c r="AI455">
        <v>8</v>
      </c>
      <c r="AJ455">
        <v>2</v>
      </c>
      <c r="AK455">
        <v>2</v>
      </c>
      <c r="AL455">
        <v>7</v>
      </c>
      <c r="AM455">
        <v>7</v>
      </c>
      <c r="AN455">
        <v>1</v>
      </c>
      <c r="AO455">
        <v>0</v>
      </c>
      <c r="AP45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55" t="str">
        <f>IF(HRData[[#This Row],[Attrition]]="Yes","Left", IF(HRData[[#This Row],[Attrition_Risk_Score]]&gt;=6,"High",IF(HRData[[#This Row],[Attrition_Risk_Score]]&gt;=3,"Medium","Low")))</f>
        <v>Left</v>
      </c>
      <c r="AR455" t="str">
        <f>IF(HRData[[#This Row],[Attrition_Risk_Level]]&lt;&gt;"High","",HRData[[#This Row],[Attrition_Risk_Score]]*10000-HRData[[#This Row],[EmployeeNumber]])</f>
        <v/>
      </c>
    </row>
    <row r="456" spans="1:44">
      <c r="A456">
        <v>29</v>
      </c>
      <c r="B456" t="str" cm="1">
        <f t="array" ref="B456">_xlfn.IFS(
HRData[[#This Row],[Age]]&lt;=24,"18-24",
HRData[[#This Row],[Age]]&lt;=34,"25-34",
HRData[[#This Row],[Age]]&lt;=44,"35-44",
HRData[[#This Row],[Age]]&lt;=54,"45-54",
HRData[[#This Row],[Age]]&gt;=55,"55+"
)</f>
        <v>25-34</v>
      </c>
      <c r="C456" t="s">
        <v>43</v>
      </c>
      <c r="D456">
        <f>IF(HRData[[#This Row],[Attrition]]="Yes",1,0)</f>
        <v>0</v>
      </c>
      <c r="E456" t="s">
        <v>36</v>
      </c>
      <c r="F456">
        <v>232</v>
      </c>
      <c r="G456" t="s">
        <v>45</v>
      </c>
      <c r="H456">
        <v>19</v>
      </c>
      <c r="I456">
        <v>3</v>
      </c>
      <c r="J456" t="s">
        <v>60</v>
      </c>
      <c r="K456">
        <v>1</v>
      </c>
      <c r="L456">
        <v>611</v>
      </c>
      <c r="M456">
        <v>4</v>
      </c>
      <c r="N456" t="str" cm="1">
        <f t="array" ref="N456">_xlfn.IFS(HRData[[#This Row],[EnvironmentSatisfaction]]=1,"Very Dissatisfied",
HRData[[#This Row],[EnvironmentSatisfaction]]=2,"Dissatisfied",
HRData[[#This Row],[EnvironmentSatisfaction]]=3,"Satisfied",
HRData[[#This Row],[EnvironmentSatisfaction]]=4,"Very Satisfied"
)</f>
        <v>Very Satisfied</v>
      </c>
      <c r="O456" t="s">
        <v>46</v>
      </c>
      <c r="P456">
        <v>34</v>
      </c>
      <c r="Q456">
        <v>3</v>
      </c>
      <c r="R456">
        <v>2</v>
      </c>
      <c r="S456" t="s">
        <v>53</v>
      </c>
      <c r="T456">
        <v>4</v>
      </c>
      <c r="U456" t="str" cm="1">
        <f t="array" ref="U456">_xlfn.IFS(
HRData[[#This Row],[JobSatisfaction]]=1,"Very Dissatisfied",
HRData[[#This Row],[JobSatisfaction]]=2,"Dissatisfied",
HRData[[#This Row],[JobSatisfaction]]=3,"Satisfied",
HRData[[#This Row],[JobSatisfaction]]=4,"Very Satisfied"
)</f>
        <v>Very Satisfied</v>
      </c>
      <c r="V456" t="s">
        <v>52</v>
      </c>
      <c r="W456">
        <v>4262</v>
      </c>
      <c r="X456" t="str" cm="1">
        <f t="array" ref="X456">_xlfn.IFS(
HRData[[#This Row],[MonthlyIncome]]&lt;=4000,"Very Low Income",
HRData[[#This Row],[MonthlyIncome]]&lt;=8000,"Low Income",
HRData[[#This Row],[MonthlyIncome]]&lt;=12000,"Moderate Income",
HRData[[#This Row],[MonthlyIncome]]&lt;=16000,"High Income",
HRData[[#This Row],[MonthlyIncome]]&gt;16000,"Very High Income"
)</f>
        <v>Low Income</v>
      </c>
      <c r="Y456">
        <v>22645</v>
      </c>
      <c r="Z456">
        <v>4</v>
      </c>
      <c r="AA456" t="s">
        <v>42</v>
      </c>
      <c r="AB456" t="s">
        <v>43</v>
      </c>
      <c r="AC456">
        <v>12</v>
      </c>
      <c r="AD456" t="str" cm="1">
        <f t="array" ref="AD456">_xlfn.IFS(HRData[[#This Row],[PercentSalaryHike]]&lt;=15,"11-15",HRData[[#This Row],[PercentSalaryHike]]&lt;=20,"16-20",HRData[[#This Row],[PercentSalaryHike]]&gt;=21,"21+")</f>
        <v>11-15</v>
      </c>
      <c r="AE456">
        <v>3</v>
      </c>
      <c r="AF456">
        <v>2</v>
      </c>
      <c r="AG456">
        <v>80</v>
      </c>
      <c r="AH456">
        <v>2</v>
      </c>
      <c r="AI456">
        <v>8</v>
      </c>
      <c r="AJ456">
        <v>2</v>
      </c>
      <c r="AK456">
        <v>4</v>
      </c>
      <c r="AL456">
        <v>3</v>
      </c>
      <c r="AM456">
        <v>2</v>
      </c>
      <c r="AN456">
        <v>1</v>
      </c>
      <c r="AO456">
        <v>2</v>
      </c>
      <c r="AP45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56" t="str">
        <f>IF(HRData[[#This Row],[Attrition]]="Yes","Left", IF(HRData[[#This Row],[Attrition_Risk_Score]]&gt;=6,"High",IF(HRData[[#This Row],[Attrition_Risk_Score]]&gt;=3,"Medium","Low")))</f>
        <v>Low</v>
      </c>
      <c r="AR456" t="str">
        <f>IF(HRData[[#This Row],[Attrition_Risk_Level]]&lt;&gt;"High","",HRData[[#This Row],[Attrition_Risk_Score]]*10000-HRData[[#This Row],[EmployeeNumber]])</f>
        <v/>
      </c>
    </row>
    <row r="457" spans="1:44">
      <c r="A457">
        <v>33</v>
      </c>
      <c r="B457" t="str" cm="1">
        <f t="array" ref="B457">_xlfn.IFS(
HRData[[#This Row],[Age]]&lt;=24,"18-24",
HRData[[#This Row],[Age]]&lt;=34,"25-34",
HRData[[#This Row],[Age]]&lt;=44,"35-44",
HRData[[#This Row],[Age]]&lt;=54,"45-54",
HRData[[#This Row],[Age]]&gt;=55,"55+"
)</f>
        <v>25-34</v>
      </c>
      <c r="C457" t="s">
        <v>43</v>
      </c>
      <c r="D457">
        <f>IF(HRData[[#This Row],[Attrition]]="Yes",1,0)</f>
        <v>0</v>
      </c>
      <c r="E457" t="s">
        <v>36</v>
      </c>
      <c r="F457">
        <v>922</v>
      </c>
      <c r="G457" t="s">
        <v>45</v>
      </c>
      <c r="H457">
        <v>1</v>
      </c>
      <c r="I457">
        <v>5</v>
      </c>
      <c r="J457" t="s">
        <v>51</v>
      </c>
      <c r="K457">
        <v>1</v>
      </c>
      <c r="L457">
        <v>612</v>
      </c>
      <c r="M457">
        <v>1</v>
      </c>
      <c r="N457" t="str" cm="1">
        <f t="array" ref="N457">_xlfn.IFS(HRData[[#This Row],[EnvironmentSatisfaction]]=1,"Very Dissatisfied",
HRData[[#This Row],[EnvironmentSatisfaction]]=2,"Dissatisfied",
HRData[[#This Row],[EnvironmentSatisfaction]]=3,"Satisfied",
HRData[[#This Row],[EnvironmentSatisfaction]]=4,"Very Satisfied"
)</f>
        <v>Very Dissatisfied</v>
      </c>
      <c r="O457" t="s">
        <v>39</v>
      </c>
      <c r="P457">
        <v>95</v>
      </c>
      <c r="Q457">
        <v>4</v>
      </c>
      <c r="R457">
        <v>4</v>
      </c>
      <c r="S457" t="s">
        <v>58</v>
      </c>
      <c r="T457">
        <v>3</v>
      </c>
      <c r="U457" t="str" cm="1">
        <f t="array" ref="U457">_xlfn.IFS(
HRData[[#This Row],[JobSatisfaction]]=1,"Very Dissatisfied",
HRData[[#This Row],[JobSatisfaction]]=2,"Dissatisfied",
HRData[[#This Row],[JobSatisfaction]]=3,"Satisfied",
HRData[[#This Row],[JobSatisfaction]]=4,"Very Satisfied"
)</f>
        <v>Satisfied</v>
      </c>
      <c r="V457" t="s">
        <v>52</v>
      </c>
      <c r="W457">
        <v>16184</v>
      </c>
      <c r="X457" t="str" cm="1">
        <f t="array" ref="X457">_xlfn.IFS(
HRData[[#This Row],[MonthlyIncome]]&lt;=4000,"Very Low Income",
HRData[[#This Row],[MonthlyIncome]]&lt;=8000,"Low Income",
HRData[[#This Row],[MonthlyIncome]]&lt;=12000,"Moderate Income",
HRData[[#This Row],[MonthlyIncome]]&lt;=16000,"High Income",
HRData[[#This Row],[MonthlyIncome]]&gt;16000,"Very High Income"
)</f>
        <v>Very High Income</v>
      </c>
      <c r="Y457">
        <v>22578</v>
      </c>
      <c r="Z457">
        <v>4</v>
      </c>
      <c r="AA457" t="s">
        <v>42</v>
      </c>
      <c r="AB457" t="s">
        <v>43</v>
      </c>
      <c r="AC457">
        <v>19</v>
      </c>
      <c r="AD457" t="str" cm="1">
        <f t="array" ref="AD457">_xlfn.IFS(HRData[[#This Row],[PercentSalaryHike]]&lt;=15,"11-15",HRData[[#This Row],[PercentSalaryHike]]&lt;=20,"16-20",HRData[[#This Row],[PercentSalaryHike]]&gt;=21,"21+")</f>
        <v>16-20</v>
      </c>
      <c r="AE457">
        <v>3</v>
      </c>
      <c r="AF457">
        <v>3</v>
      </c>
      <c r="AG457">
        <v>80</v>
      </c>
      <c r="AH457">
        <v>1</v>
      </c>
      <c r="AI457">
        <v>10</v>
      </c>
      <c r="AJ457">
        <v>2</v>
      </c>
      <c r="AK457">
        <v>3</v>
      </c>
      <c r="AL457">
        <v>6</v>
      </c>
      <c r="AM457">
        <v>1</v>
      </c>
      <c r="AN457">
        <v>0</v>
      </c>
      <c r="AO457">
        <v>5</v>
      </c>
      <c r="AP45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57" t="str">
        <f>IF(HRData[[#This Row],[Attrition]]="Yes","Left", IF(HRData[[#This Row],[Attrition_Risk_Score]]&gt;=6,"High",IF(HRData[[#This Row],[Attrition_Risk_Score]]&gt;=3,"Medium","Low")))</f>
        <v>Low</v>
      </c>
      <c r="AR457" t="str">
        <f>IF(HRData[[#This Row],[Attrition_Risk_Level]]&lt;&gt;"High","",HRData[[#This Row],[Attrition_Risk_Score]]*10000-HRData[[#This Row],[EmployeeNumber]])</f>
        <v/>
      </c>
    </row>
    <row r="458" spans="1:44">
      <c r="A458">
        <v>31</v>
      </c>
      <c r="B458" t="str" cm="1">
        <f t="array" ref="B458">_xlfn.IFS(
HRData[[#This Row],[Age]]&lt;=24,"18-24",
HRData[[#This Row],[Age]]&lt;=34,"25-34",
HRData[[#This Row],[Age]]&lt;=44,"35-44",
HRData[[#This Row],[Age]]&lt;=54,"45-54",
HRData[[#This Row],[Age]]&gt;=55,"55+"
)</f>
        <v>25-34</v>
      </c>
      <c r="C458" t="s">
        <v>43</v>
      </c>
      <c r="D458">
        <f>IF(HRData[[#This Row],[Attrition]]="Yes",1,0)</f>
        <v>0</v>
      </c>
      <c r="E458" t="s">
        <v>36</v>
      </c>
      <c r="F458">
        <v>688</v>
      </c>
      <c r="G458" t="s">
        <v>37</v>
      </c>
      <c r="H458">
        <v>7</v>
      </c>
      <c r="I458">
        <v>3</v>
      </c>
      <c r="J458" t="s">
        <v>38</v>
      </c>
      <c r="K458">
        <v>1</v>
      </c>
      <c r="L458">
        <v>613</v>
      </c>
      <c r="M458">
        <v>3</v>
      </c>
      <c r="N458" t="str" cm="1">
        <f t="array" ref="N458">_xlfn.IFS(HRData[[#This Row],[EnvironmentSatisfaction]]=1,"Very Dissatisfied",
HRData[[#This Row],[EnvironmentSatisfaction]]=2,"Dissatisfied",
HRData[[#This Row],[EnvironmentSatisfaction]]=3,"Satisfied",
HRData[[#This Row],[EnvironmentSatisfaction]]=4,"Very Satisfied"
)</f>
        <v>Satisfied</v>
      </c>
      <c r="O458" t="s">
        <v>46</v>
      </c>
      <c r="P458">
        <v>44</v>
      </c>
      <c r="Q458">
        <v>2</v>
      </c>
      <c r="R458">
        <v>3</v>
      </c>
      <c r="S458" t="s">
        <v>56</v>
      </c>
      <c r="T458">
        <v>4</v>
      </c>
      <c r="U458" t="str" cm="1">
        <f t="array" ref="U458">_xlfn.IFS(
HRData[[#This Row],[JobSatisfaction]]=1,"Very Dissatisfied",
HRData[[#This Row],[JobSatisfaction]]=2,"Dissatisfied",
HRData[[#This Row],[JobSatisfaction]]=3,"Satisfied",
HRData[[#This Row],[JobSatisfaction]]=4,"Very Satisfied"
)</f>
        <v>Very Satisfied</v>
      </c>
      <c r="V458" t="s">
        <v>52</v>
      </c>
      <c r="W458">
        <v>11557</v>
      </c>
      <c r="X458" t="str" cm="1">
        <f t="array" ref="X458">_xlfn.IFS(
HRData[[#This Row],[MonthlyIncome]]&lt;=4000,"Very Low Income",
HRData[[#This Row],[MonthlyIncome]]&lt;=8000,"Low Income",
HRData[[#This Row],[MonthlyIncome]]&lt;=12000,"Moderate Income",
HRData[[#This Row],[MonthlyIncome]]&lt;=16000,"High Income",
HRData[[#This Row],[MonthlyIncome]]&gt;16000,"Very High Income"
)</f>
        <v>Moderate Income</v>
      </c>
      <c r="Y458">
        <v>25291</v>
      </c>
      <c r="Z458">
        <v>9</v>
      </c>
      <c r="AA458" t="s">
        <v>42</v>
      </c>
      <c r="AB458" t="s">
        <v>43</v>
      </c>
      <c r="AC458">
        <v>21</v>
      </c>
      <c r="AD458" t="str" cm="1">
        <f t="array" ref="AD458">_xlfn.IFS(HRData[[#This Row],[PercentSalaryHike]]&lt;=15,"11-15",HRData[[#This Row],[PercentSalaryHike]]&lt;=20,"16-20",HRData[[#This Row],[PercentSalaryHike]]&gt;=21,"21+")</f>
        <v>21+</v>
      </c>
      <c r="AE458">
        <v>4</v>
      </c>
      <c r="AF458">
        <v>3</v>
      </c>
      <c r="AG458">
        <v>80</v>
      </c>
      <c r="AH458">
        <v>1</v>
      </c>
      <c r="AI458">
        <v>10</v>
      </c>
      <c r="AJ458">
        <v>3</v>
      </c>
      <c r="AK458">
        <v>2</v>
      </c>
      <c r="AL458">
        <v>5</v>
      </c>
      <c r="AM458">
        <v>4</v>
      </c>
      <c r="AN458">
        <v>0</v>
      </c>
      <c r="AO458">
        <v>1</v>
      </c>
      <c r="AP45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58" t="str">
        <f>IF(HRData[[#This Row],[Attrition]]="Yes","Left", IF(HRData[[#This Row],[Attrition_Risk_Score]]&gt;=6,"High",IF(HRData[[#This Row],[Attrition_Risk_Score]]&gt;=3,"Medium","Low")))</f>
        <v>Low</v>
      </c>
      <c r="AR458" t="str">
        <f>IF(HRData[[#This Row],[Attrition_Risk_Level]]&lt;&gt;"High","",HRData[[#This Row],[Attrition_Risk_Score]]*10000-HRData[[#This Row],[EmployeeNumber]])</f>
        <v/>
      </c>
    </row>
    <row r="459" spans="1:44">
      <c r="A459">
        <v>18</v>
      </c>
      <c r="B459" t="str" cm="1">
        <f t="array" ref="B459">_xlfn.IFS(
HRData[[#This Row],[Age]]&lt;=24,"18-24",
HRData[[#This Row],[Age]]&lt;=34,"25-34",
HRData[[#This Row],[Age]]&lt;=44,"35-44",
HRData[[#This Row],[Age]]&lt;=54,"45-54",
HRData[[#This Row],[Age]]&gt;=55,"55+"
)</f>
        <v>18-24</v>
      </c>
      <c r="C459" t="s">
        <v>35</v>
      </c>
      <c r="D459">
        <f>IF(HRData[[#This Row],[Attrition]]="Yes",1,0)</f>
        <v>1</v>
      </c>
      <c r="E459" t="s">
        <v>44</v>
      </c>
      <c r="F459">
        <v>1306</v>
      </c>
      <c r="G459" t="s">
        <v>37</v>
      </c>
      <c r="H459">
        <v>5</v>
      </c>
      <c r="I459">
        <v>3</v>
      </c>
      <c r="J459" t="s">
        <v>59</v>
      </c>
      <c r="K459">
        <v>1</v>
      </c>
      <c r="L459">
        <v>614</v>
      </c>
      <c r="M459">
        <v>2</v>
      </c>
      <c r="N459" t="str" cm="1">
        <f t="array" ref="N459">_xlfn.IFS(HRData[[#This Row],[EnvironmentSatisfaction]]=1,"Very Dissatisfied",
HRData[[#This Row],[EnvironmentSatisfaction]]=2,"Dissatisfied",
HRData[[#This Row],[EnvironmentSatisfaction]]=3,"Satisfied",
HRData[[#This Row],[EnvironmentSatisfaction]]=4,"Very Satisfied"
)</f>
        <v>Dissatisfied</v>
      </c>
      <c r="O459" t="s">
        <v>46</v>
      </c>
      <c r="P459">
        <v>69</v>
      </c>
      <c r="Q459">
        <v>3</v>
      </c>
      <c r="R459">
        <v>1</v>
      </c>
      <c r="S459" t="s">
        <v>57</v>
      </c>
      <c r="T459">
        <v>2</v>
      </c>
      <c r="U459" t="str" cm="1">
        <f t="array" ref="U459">_xlfn.IFS(
HRData[[#This Row],[JobSatisfaction]]=1,"Very Dissatisfied",
HRData[[#This Row],[JobSatisfaction]]=2,"Dissatisfied",
HRData[[#This Row],[JobSatisfaction]]=3,"Satisfied",
HRData[[#This Row],[JobSatisfaction]]=4,"Very Satisfied"
)</f>
        <v>Dissatisfied</v>
      </c>
      <c r="V459" t="s">
        <v>41</v>
      </c>
      <c r="W459">
        <v>1878</v>
      </c>
      <c r="X459" t="str" cm="1">
        <f t="array" ref="X459">_xlfn.IFS(
HRData[[#This Row],[MonthlyIncome]]&lt;=4000,"Very Low Income",
HRData[[#This Row],[MonthlyIncome]]&lt;=8000,"Low Income",
HRData[[#This Row],[MonthlyIncome]]&lt;=12000,"Moderate Income",
HRData[[#This Row],[MonthlyIncome]]&lt;=16000,"High Income",
HRData[[#This Row],[MonthlyIncome]]&gt;16000,"Very High Income"
)</f>
        <v>Very Low Income</v>
      </c>
      <c r="Y459">
        <v>8059</v>
      </c>
      <c r="Z459">
        <v>1</v>
      </c>
      <c r="AA459" t="s">
        <v>42</v>
      </c>
      <c r="AB459" t="s">
        <v>35</v>
      </c>
      <c r="AC459">
        <v>14</v>
      </c>
      <c r="AD459" t="str" cm="1">
        <f t="array" ref="AD459">_xlfn.IFS(HRData[[#This Row],[PercentSalaryHike]]&lt;=15,"11-15",HRData[[#This Row],[PercentSalaryHike]]&lt;=20,"16-20",HRData[[#This Row],[PercentSalaryHike]]&gt;=21,"21+")</f>
        <v>11-15</v>
      </c>
      <c r="AE459">
        <v>3</v>
      </c>
      <c r="AF459">
        <v>4</v>
      </c>
      <c r="AG459">
        <v>80</v>
      </c>
      <c r="AH459">
        <v>0</v>
      </c>
      <c r="AI459">
        <v>0</v>
      </c>
      <c r="AJ459">
        <v>3</v>
      </c>
      <c r="AK459">
        <v>3</v>
      </c>
      <c r="AL459">
        <v>0</v>
      </c>
      <c r="AM459">
        <v>0</v>
      </c>
      <c r="AN459">
        <v>0</v>
      </c>
      <c r="AO459">
        <v>0</v>
      </c>
      <c r="AP45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59" t="str">
        <f>IF(HRData[[#This Row],[Attrition]]="Yes","Left", IF(HRData[[#This Row],[Attrition_Risk_Score]]&gt;=6,"High",IF(HRData[[#This Row],[Attrition_Risk_Score]]&gt;=3,"Medium","Low")))</f>
        <v>Left</v>
      </c>
      <c r="AR459" t="str">
        <f>IF(HRData[[#This Row],[Attrition_Risk_Level]]&lt;&gt;"High","",HRData[[#This Row],[Attrition_Risk_Score]]*10000-HRData[[#This Row],[EmployeeNumber]])</f>
        <v/>
      </c>
    </row>
    <row r="460" spans="1:44">
      <c r="A460">
        <v>40</v>
      </c>
      <c r="B460" t="str" cm="1">
        <f t="array" ref="B460">_xlfn.IFS(
HRData[[#This Row],[Age]]&lt;=24,"18-24",
HRData[[#This Row],[Age]]&lt;=34,"25-34",
HRData[[#This Row],[Age]]&lt;=44,"35-44",
HRData[[#This Row],[Age]]&lt;=54,"45-54",
HRData[[#This Row],[Age]]&gt;=55,"55+"
)</f>
        <v>35-44</v>
      </c>
      <c r="C460" t="s">
        <v>43</v>
      </c>
      <c r="D460">
        <f>IF(HRData[[#This Row],[Attrition]]="Yes",1,0)</f>
        <v>0</v>
      </c>
      <c r="E460" t="s">
        <v>55</v>
      </c>
      <c r="F460">
        <v>1094</v>
      </c>
      <c r="G460" t="s">
        <v>37</v>
      </c>
      <c r="H460">
        <v>28</v>
      </c>
      <c r="I460">
        <v>3</v>
      </c>
      <c r="J460" t="s">
        <v>49</v>
      </c>
      <c r="K460">
        <v>1</v>
      </c>
      <c r="L460">
        <v>615</v>
      </c>
      <c r="M460">
        <v>3</v>
      </c>
      <c r="N460" t="str" cm="1">
        <f t="array" ref="N460">_xlfn.IFS(HRData[[#This Row],[EnvironmentSatisfaction]]=1,"Very Dissatisfied",
HRData[[#This Row],[EnvironmentSatisfaction]]=2,"Dissatisfied",
HRData[[#This Row],[EnvironmentSatisfaction]]=3,"Satisfied",
HRData[[#This Row],[EnvironmentSatisfaction]]=4,"Very Satisfied"
)</f>
        <v>Satisfied</v>
      </c>
      <c r="O460" t="s">
        <v>46</v>
      </c>
      <c r="P460">
        <v>58</v>
      </c>
      <c r="Q460">
        <v>1</v>
      </c>
      <c r="R460">
        <v>3</v>
      </c>
      <c r="S460" t="s">
        <v>40</v>
      </c>
      <c r="T460">
        <v>1</v>
      </c>
      <c r="U460" t="str" cm="1">
        <f t="array" ref="U460">_xlfn.IFS(
HRData[[#This Row],[JobSatisfaction]]=1,"Very Dissatisfied",
HRData[[#This Row],[JobSatisfaction]]=2,"Dissatisfied",
HRData[[#This Row],[JobSatisfaction]]=3,"Satisfied",
HRData[[#This Row],[JobSatisfaction]]=4,"Very Satisfied"
)</f>
        <v>Very Dissatisfied</v>
      </c>
      <c r="V460" t="s">
        <v>52</v>
      </c>
      <c r="W460">
        <v>10932</v>
      </c>
      <c r="X460" t="str" cm="1">
        <f t="array" ref="X460">_xlfn.IFS(
HRData[[#This Row],[MonthlyIncome]]&lt;=4000,"Very Low Income",
HRData[[#This Row],[MonthlyIncome]]&lt;=8000,"Low Income",
HRData[[#This Row],[MonthlyIncome]]&lt;=12000,"Moderate Income",
HRData[[#This Row],[MonthlyIncome]]&lt;=16000,"High Income",
HRData[[#This Row],[MonthlyIncome]]&gt;16000,"Very High Income"
)</f>
        <v>Moderate Income</v>
      </c>
      <c r="Y460">
        <v>11373</v>
      </c>
      <c r="Z460">
        <v>3</v>
      </c>
      <c r="AA460" t="s">
        <v>42</v>
      </c>
      <c r="AB460" t="s">
        <v>43</v>
      </c>
      <c r="AC460">
        <v>15</v>
      </c>
      <c r="AD460" t="str" cm="1">
        <f t="array" ref="AD460">_xlfn.IFS(HRData[[#This Row],[PercentSalaryHike]]&lt;=15,"11-15",HRData[[#This Row],[PercentSalaryHike]]&lt;=20,"16-20",HRData[[#This Row],[PercentSalaryHike]]&gt;=21,"21+")</f>
        <v>11-15</v>
      </c>
      <c r="AE460">
        <v>3</v>
      </c>
      <c r="AF460">
        <v>3</v>
      </c>
      <c r="AG460">
        <v>80</v>
      </c>
      <c r="AH460">
        <v>1</v>
      </c>
      <c r="AI460">
        <v>20</v>
      </c>
      <c r="AJ460">
        <v>2</v>
      </c>
      <c r="AK460">
        <v>3</v>
      </c>
      <c r="AL460">
        <v>1</v>
      </c>
      <c r="AM460">
        <v>0</v>
      </c>
      <c r="AN460">
        <v>0</v>
      </c>
      <c r="AO460">
        <v>1</v>
      </c>
      <c r="AP46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60" t="str">
        <f>IF(HRData[[#This Row],[Attrition]]="Yes","Left", IF(HRData[[#This Row],[Attrition_Risk_Score]]&gt;=6,"High",IF(HRData[[#This Row],[Attrition_Risk_Score]]&gt;=3,"Medium","Low")))</f>
        <v>Low</v>
      </c>
      <c r="AR460" t="str">
        <f>IF(HRData[[#This Row],[Attrition_Risk_Level]]&lt;&gt;"High","",HRData[[#This Row],[Attrition_Risk_Score]]*10000-HRData[[#This Row],[EmployeeNumber]])</f>
        <v/>
      </c>
    </row>
    <row r="461" spans="1:44">
      <c r="A461">
        <v>41</v>
      </c>
      <c r="B461" t="str" cm="1">
        <f t="array" ref="B461">_xlfn.IFS(
HRData[[#This Row],[Age]]&lt;=24,"18-24",
HRData[[#This Row],[Age]]&lt;=34,"25-34",
HRData[[#This Row],[Age]]&lt;=44,"35-44",
HRData[[#This Row],[Age]]&lt;=54,"45-54",
HRData[[#This Row],[Age]]&gt;=55,"55+"
)</f>
        <v>35-44</v>
      </c>
      <c r="C461" t="s">
        <v>43</v>
      </c>
      <c r="D461">
        <f>IF(HRData[[#This Row],[Attrition]]="Yes",1,0)</f>
        <v>0</v>
      </c>
      <c r="E461" t="s">
        <v>55</v>
      </c>
      <c r="F461">
        <v>509</v>
      </c>
      <c r="G461" t="s">
        <v>45</v>
      </c>
      <c r="H461">
        <v>2</v>
      </c>
      <c r="I461">
        <v>4</v>
      </c>
      <c r="J461" t="s">
        <v>49</v>
      </c>
      <c r="K461">
        <v>1</v>
      </c>
      <c r="L461">
        <v>616</v>
      </c>
      <c r="M461">
        <v>1</v>
      </c>
      <c r="N461" t="str" cm="1">
        <f t="array" ref="N461">_xlfn.IFS(HRData[[#This Row],[EnvironmentSatisfaction]]=1,"Very Dissatisfied",
HRData[[#This Row],[EnvironmentSatisfaction]]=2,"Dissatisfied",
HRData[[#This Row],[EnvironmentSatisfaction]]=3,"Satisfied",
HRData[[#This Row],[EnvironmentSatisfaction]]=4,"Very Satisfied"
)</f>
        <v>Very Dissatisfied</v>
      </c>
      <c r="O461" t="s">
        <v>39</v>
      </c>
      <c r="P461">
        <v>62</v>
      </c>
      <c r="Q461">
        <v>2</v>
      </c>
      <c r="R461">
        <v>2</v>
      </c>
      <c r="S461" t="s">
        <v>54</v>
      </c>
      <c r="T461">
        <v>3</v>
      </c>
      <c r="U461" t="str" cm="1">
        <f t="array" ref="U461">_xlfn.IFS(
HRData[[#This Row],[JobSatisfaction]]=1,"Very Dissatisfied",
HRData[[#This Row],[JobSatisfaction]]=2,"Dissatisfied",
HRData[[#This Row],[JobSatisfaction]]=3,"Satisfied",
HRData[[#This Row],[JobSatisfaction]]=4,"Very Satisfied"
)</f>
        <v>Satisfied</v>
      </c>
      <c r="V461" t="s">
        <v>41</v>
      </c>
      <c r="W461">
        <v>6811</v>
      </c>
      <c r="X461" t="str" cm="1">
        <f t="array" ref="X461">_xlfn.IFS(
HRData[[#This Row],[MonthlyIncome]]&lt;=4000,"Very Low Income",
HRData[[#This Row],[MonthlyIncome]]&lt;=8000,"Low Income",
HRData[[#This Row],[MonthlyIncome]]&lt;=12000,"Moderate Income",
HRData[[#This Row],[MonthlyIncome]]&lt;=16000,"High Income",
HRData[[#This Row],[MonthlyIncome]]&gt;16000,"Very High Income"
)</f>
        <v>Low Income</v>
      </c>
      <c r="Y461">
        <v>2112</v>
      </c>
      <c r="Z461">
        <v>2</v>
      </c>
      <c r="AA461" t="s">
        <v>42</v>
      </c>
      <c r="AB461" t="s">
        <v>35</v>
      </c>
      <c r="AC461">
        <v>17</v>
      </c>
      <c r="AD461" t="str" cm="1">
        <f t="array" ref="AD461">_xlfn.IFS(HRData[[#This Row],[PercentSalaryHike]]&lt;=15,"11-15",HRData[[#This Row],[PercentSalaryHike]]&lt;=20,"16-20",HRData[[#This Row],[PercentSalaryHike]]&gt;=21,"21+")</f>
        <v>16-20</v>
      </c>
      <c r="AE461">
        <v>3</v>
      </c>
      <c r="AF461">
        <v>1</v>
      </c>
      <c r="AG461">
        <v>80</v>
      </c>
      <c r="AH461">
        <v>0</v>
      </c>
      <c r="AI461">
        <v>10</v>
      </c>
      <c r="AJ461">
        <v>3</v>
      </c>
      <c r="AK461">
        <v>3</v>
      </c>
      <c r="AL461">
        <v>8</v>
      </c>
      <c r="AM461">
        <v>7</v>
      </c>
      <c r="AN461">
        <v>0</v>
      </c>
      <c r="AO461">
        <v>7</v>
      </c>
      <c r="AP46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461" t="str">
        <f>IF(HRData[[#This Row],[Attrition]]="Yes","Left", IF(HRData[[#This Row],[Attrition_Risk_Score]]&gt;=6,"High",IF(HRData[[#This Row],[Attrition_Risk_Score]]&gt;=3,"Medium","Low")))</f>
        <v>Medium</v>
      </c>
      <c r="AR461" t="str">
        <f>IF(HRData[[#This Row],[Attrition_Risk_Level]]&lt;&gt;"High","",HRData[[#This Row],[Attrition_Risk_Score]]*10000-HRData[[#This Row],[EmployeeNumber]])</f>
        <v/>
      </c>
    </row>
    <row r="462" spans="1:44">
      <c r="A462">
        <v>26</v>
      </c>
      <c r="B462" t="str" cm="1">
        <f t="array" ref="B462">_xlfn.IFS(
HRData[[#This Row],[Age]]&lt;=24,"18-24",
HRData[[#This Row],[Age]]&lt;=34,"25-34",
HRData[[#This Row],[Age]]&lt;=44,"35-44",
HRData[[#This Row],[Age]]&lt;=54,"45-54",
HRData[[#This Row],[Age]]&gt;=55,"55+"
)</f>
        <v>25-34</v>
      </c>
      <c r="C462" t="s">
        <v>43</v>
      </c>
      <c r="D462">
        <f>IF(HRData[[#This Row],[Attrition]]="Yes",1,0)</f>
        <v>0</v>
      </c>
      <c r="E462" t="s">
        <v>36</v>
      </c>
      <c r="F462">
        <v>775</v>
      </c>
      <c r="G462" t="s">
        <v>37</v>
      </c>
      <c r="H462">
        <v>29</v>
      </c>
      <c r="I462">
        <v>2</v>
      </c>
      <c r="J462" t="s">
        <v>51</v>
      </c>
      <c r="K462">
        <v>1</v>
      </c>
      <c r="L462">
        <v>618</v>
      </c>
      <c r="M462">
        <v>1</v>
      </c>
      <c r="N462" t="str" cm="1">
        <f t="array" ref="N462">_xlfn.IFS(HRData[[#This Row],[EnvironmentSatisfaction]]=1,"Very Dissatisfied",
HRData[[#This Row],[EnvironmentSatisfaction]]=2,"Dissatisfied",
HRData[[#This Row],[EnvironmentSatisfaction]]=3,"Satisfied",
HRData[[#This Row],[EnvironmentSatisfaction]]=4,"Very Satisfied"
)</f>
        <v>Very Dissatisfied</v>
      </c>
      <c r="O462" t="s">
        <v>46</v>
      </c>
      <c r="P462">
        <v>45</v>
      </c>
      <c r="Q462">
        <v>3</v>
      </c>
      <c r="R462">
        <v>2</v>
      </c>
      <c r="S462" t="s">
        <v>40</v>
      </c>
      <c r="T462">
        <v>3</v>
      </c>
      <c r="U462" t="str" cm="1">
        <f t="array" ref="U462">_xlfn.IFS(
HRData[[#This Row],[JobSatisfaction]]=1,"Very Dissatisfied",
HRData[[#This Row],[JobSatisfaction]]=2,"Dissatisfied",
HRData[[#This Row],[JobSatisfaction]]=3,"Satisfied",
HRData[[#This Row],[JobSatisfaction]]=4,"Very Satisfied"
)</f>
        <v>Satisfied</v>
      </c>
      <c r="V462" t="s">
        <v>52</v>
      </c>
      <c r="W462">
        <v>4306</v>
      </c>
      <c r="X462" t="str" cm="1">
        <f t="array" ref="X462">_xlfn.IFS(
HRData[[#This Row],[MonthlyIncome]]&lt;=4000,"Very Low Income",
HRData[[#This Row],[MonthlyIncome]]&lt;=8000,"Low Income",
HRData[[#This Row],[MonthlyIncome]]&lt;=12000,"Moderate Income",
HRData[[#This Row],[MonthlyIncome]]&lt;=16000,"High Income",
HRData[[#This Row],[MonthlyIncome]]&gt;16000,"Very High Income"
)</f>
        <v>Low Income</v>
      </c>
      <c r="Y462">
        <v>4267</v>
      </c>
      <c r="Z462">
        <v>5</v>
      </c>
      <c r="AA462" t="s">
        <v>42</v>
      </c>
      <c r="AB462" t="s">
        <v>43</v>
      </c>
      <c r="AC462">
        <v>12</v>
      </c>
      <c r="AD462" t="str" cm="1">
        <f t="array" ref="AD462">_xlfn.IFS(HRData[[#This Row],[PercentSalaryHike]]&lt;=15,"11-15",HRData[[#This Row],[PercentSalaryHike]]&lt;=20,"16-20",HRData[[#This Row],[PercentSalaryHike]]&gt;=21,"21+")</f>
        <v>11-15</v>
      </c>
      <c r="AE462">
        <v>3</v>
      </c>
      <c r="AF462">
        <v>1</v>
      </c>
      <c r="AG462">
        <v>80</v>
      </c>
      <c r="AH462">
        <v>2</v>
      </c>
      <c r="AI462">
        <v>8</v>
      </c>
      <c r="AJ462">
        <v>5</v>
      </c>
      <c r="AK462">
        <v>3</v>
      </c>
      <c r="AL462">
        <v>0</v>
      </c>
      <c r="AM462">
        <v>0</v>
      </c>
      <c r="AN462">
        <v>0</v>
      </c>
      <c r="AO462">
        <v>0</v>
      </c>
      <c r="AP46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62" t="str">
        <f>IF(HRData[[#This Row],[Attrition]]="Yes","Left", IF(HRData[[#This Row],[Attrition_Risk_Score]]&gt;=6,"High",IF(HRData[[#This Row],[Attrition_Risk_Score]]&gt;=3,"Medium","Low")))</f>
        <v>Low</v>
      </c>
      <c r="AR462" t="str">
        <f>IF(HRData[[#This Row],[Attrition_Risk_Level]]&lt;&gt;"High","",HRData[[#This Row],[Attrition_Risk_Score]]*10000-HRData[[#This Row],[EmployeeNumber]])</f>
        <v/>
      </c>
    </row>
    <row r="463" spans="1:44">
      <c r="A463">
        <v>35</v>
      </c>
      <c r="B463" t="str" cm="1">
        <f t="array" ref="B463">_xlfn.IFS(
HRData[[#This Row],[Age]]&lt;=24,"18-24",
HRData[[#This Row],[Age]]&lt;=34,"25-34",
HRData[[#This Row],[Age]]&lt;=44,"35-44",
HRData[[#This Row],[Age]]&lt;=54,"45-54",
HRData[[#This Row],[Age]]&gt;=55,"55+"
)</f>
        <v>35-44</v>
      </c>
      <c r="C463" t="s">
        <v>43</v>
      </c>
      <c r="D463">
        <f>IF(HRData[[#This Row],[Attrition]]="Yes",1,0)</f>
        <v>0</v>
      </c>
      <c r="E463" t="s">
        <v>36</v>
      </c>
      <c r="F463">
        <v>195</v>
      </c>
      <c r="G463" t="s">
        <v>37</v>
      </c>
      <c r="H463">
        <v>1</v>
      </c>
      <c r="I463">
        <v>3</v>
      </c>
      <c r="J463" t="s">
        <v>51</v>
      </c>
      <c r="K463">
        <v>1</v>
      </c>
      <c r="L463">
        <v>620</v>
      </c>
      <c r="M463">
        <v>1</v>
      </c>
      <c r="N463" t="str" cm="1">
        <f t="array" ref="N463">_xlfn.IFS(HRData[[#This Row],[EnvironmentSatisfaction]]=1,"Very Dissatisfied",
HRData[[#This Row],[EnvironmentSatisfaction]]=2,"Dissatisfied",
HRData[[#This Row],[EnvironmentSatisfaction]]=3,"Satisfied",
HRData[[#This Row],[EnvironmentSatisfaction]]=4,"Very Satisfied"
)</f>
        <v>Very Dissatisfied</v>
      </c>
      <c r="O463" t="s">
        <v>39</v>
      </c>
      <c r="P463">
        <v>80</v>
      </c>
      <c r="Q463">
        <v>3</v>
      </c>
      <c r="R463">
        <v>2</v>
      </c>
      <c r="S463" t="s">
        <v>40</v>
      </c>
      <c r="T463">
        <v>3</v>
      </c>
      <c r="U463" t="str" cm="1">
        <f t="array" ref="U463">_xlfn.IFS(
HRData[[#This Row],[JobSatisfaction]]=1,"Very Dissatisfied",
HRData[[#This Row],[JobSatisfaction]]=2,"Dissatisfied",
HRData[[#This Row],[JobSatisfaction]]=3,"Satisfied",
HRData[[#This Row],[JobSatisfaction]]=4,"Very Satisfied"
)</f>
        <v>Satisfied</v>
      </c>
      <c r="V463" t="s">
        <v>41</v>
      </c>
      <c r="W463">
        <v>4859</v>
      </c>
      <c r="X463" t="str" cm="1">
        <f t="array" ref="X463">_xlfn.IFS(
HRData[[#This Row],[MonthlyIncome]]&lt;=4000,"Very Low Income",
HRData[[#This Row],[MonthlyIncome]]&lt;=8000,"Low Income",
HRData[[#This Row],[MonthlyIncome]]&lt;=12000,"Moderate Income",
HRData[[#This Row],[MonthlyIncome]]&lt;=16000,"High Income",
HRData[[#This Row],[MonthlyIncome]]&gt;16000,"Very High Income"
)</f>
        <v>Low Income</v>
      </c>
      <c r="Y463">
        <v>6698</v>
      </c>
      <c r="Z463">
        <v>1</v>
      </c>
      <c r="AA463" t="s">
        <v>42</v>
      </c>
      <c r="AB463" t="s">
        <v>43</v>
      </c>
      <c r="AC463">
        <v>16</v>
      </c>
      <c r="AD463" t="str" cm="1">
        <f t="array" ref="AD463">_xlfn.IFS(HRData[[#This Row],[PercentSalaryHike]]&lt;=15,"11-15",HRData[[#This Row],[PercentSalaryHike]]&lt;=20,"16-20",HRData[[#This Row],[PercentSalaryHike]]&gt;=21,"21+")</f>
        <v>16-20</v>
      </c>
      <c r="AE463">
        <v>3</v>
      </c>
      <c r="AF463">
        <v>4</v>
      </c>
      <c r="AG463">
        <v>80</v>
      </c>
      <c r="AH463">
        <v>0</v>
      </c>
      <c r="AI463">
        <v>5</v>
      </c>
      <c r="AJ463">
        <v>3</v>
      </c>
      <c r="AK463">
        <v>3</v>
      </c>
      <c r="AL463">
        <v>5</v>
      </c>
      <c r="AM463">
        <v>4</v>
      </c>
      <c r="AN463">
        <v>0</v>
      </c>
      <c r="AO463">
        <v>3</v>
      </c>
      <c r="AP46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63" t="str">
        <f>IF(HRData[[#This Row],[Attrition]]="Yes","Left", IF(HRData[[#This Row],[Attrition_Risk_Score]]&gt;=6,"High",IF(HRData[[#This Row],[Attrition_Risk_Score]]&gt;=3,"Medium","Low")))</f>
        <v>Low</v>
      </c>
      <c r="AR463" t="str">
        <f>IF(HRData[[#This Row],[Attrition_Risk_Level]]&lt;&gt;"High","",HRData[[#This Row],[Attrition_Risk_Score]]*10000-HRData[[#This Row],[EmployeeNumber]])</f>
        <v/>
      </c>
    </row>
    <row r="464" spans="1:44">
      <c r="A464">
        <v>34</v>
      </c>
      <c r="B464" t="str" cm="1">
        <f t="array" ref="B464">_xlfn.IFS(
HRData[[#This Row],[Age]]&lt;=24,"18-24",
HRData[[#This Row],[Age]]&lt;=34,"25-34",
HRData[[#This Row],[Age]]&lt;=44,"35-44",
HRData[[#This Row],[Age]]&lt;=54,"45-54",
HRData[[#This Row],[Age]]&gt;=55,"55+"
)</f>
        <v>25-34</v>
      </c>
      <c r="C464" t="s">
        <v>43</v>
      </c>
      <c r="D464">
        <f>IF(HRData[[#This Row],[Attrition]]="Yes",1,0)</f>
        <v>0</v>
      </c>
      <c r="E464" t="s">
        <v>36</v>
      </c>
      <c r="F464">
        <v>258</v>
      </c>
      <c r="G464" t="s">
        <v>37</v>
      </c>
      <c r="H464">
        <v>21</v>
      </c>
      <c r="I464">
        <v>4</v>
      </c>
      <c r="J464" t="s">
        <v>38</v>
      </c>
      <c r="K464">
        <v>1</v>
      </c>
      <c r="L464">
        <v>621</v>
      </c>
      <c r="M464">
        <v>4</v>
      </c>
      <c r="N464" t="str" cm="1">
        <f t="array" ref="N464">_xlfn.IFS(HRData[[#This Row],[EnvironmentSatisfaction]]=1,"Very Dissatisfied",
HRData[[#This Row],[EnvironmentSatisfaction]]=2,"Dissatisfied",
HRData[[#This Row],[EnvironmentSatisfaction]]=3,"Satisfied",
HRData[[#This Row],[EnvironmentSatisfaction]]=4,"Very Satisfied"
)</f>
        <v>Very Satisfied</v>
      </c>
      <c r="O464" t="s">
        <v>46</v>
      </c>
      <c r="P464">
        <v>74</v>
      </c>
      <c r="Q464">
        <v>4</v>
      </c>
      <c r="R464">
        <v>2</v>
      </c>
      <c r="S464" t="s">
        <v>40</v>
      </c>
      <c r="T464">
        <v>4</v>
      </c>
      <c r="U464" t="str" cm="1">
        <f t="array" ref="U464">_xlfn.IFS(
HRData[[#This Row],[JobSatisfaction]]=1,"Very Dissatisfied",
HRData[[#This Row],[JobSatisfaction]]=2,"Dissatisfied",
HRData[[#This Row],[JobSatisfaction]]=3,"Satisfied",
HRData[[#This Row],[JobSatisfaction]]=4,"Very Satisfied"
)</f>
        <v>Very Satisfied</v>
      </c>
      <c r="V464" t="s">
        <v>41</v>
      </c>
      <c r="W464">
        <v>5337</v>
      </c>
      <c r="X464" t="str" cm="1">
        <f t="array" ref="X464">_xlfn.IFS(
HRData[[#This Row],[MonthlyIncome]]&lt;=4000,"Very Low Income",
HRData[[#This Row],[MonthlyIncome]]&lt;=8000,"Low Income",
HRData[[#This Row],[MonthlyIncome]]&lt;=12000,"Moderate Income",
HRData[[#This Row],[MonthlyIncome]]&lt;=16000,"High Income",
HRData[[#This Row],[MonthlyIncome]]&gt;16000,"Very High Income"
)</f>
        <v>Low Income</v>
      </c>
      <c r="Y464">
        <v>19921</v>
      </c>
      <c r="Z464">
        <v>1</v>
      </c>
      <c r="AA464" t="s">
        <v>42</v>
      </c>
      <c r="AB464" t="s">
        <v>43</v>
      </c>
      <c r="AC464">
        <v>12</v>
      </c>
      <c r="AD464" t="str" cm="1">
        <f t="array" ref="AD464">_xlfn.IFS(HRData[[#This Row],[PercentSalaryHike]]&lt;=15,"11-15",HRData[[#This Row],[PercentSalaryHike]]&lt;=20,"16-20",HRData[[#This Row],[PercentSalaryHike]]&gt;=21,"21+")</f>
        <v>11-15</v>
      </c>
      <c r="AE464">
        <v>3</v>
      </c>
      <c r="AF464">
        <v>4</v>
      </c>
      <c r="AG464">
        <v>80</v>
      </c>
      <c r="AH464">
        <v>0</v>
      </c>
      <c r="AI464">
        <v>10</v>
      </c>
      <c r="AJ464">
        <v>3</v>
      </c>
      <c r="AK464">
        <v>3</v>
      </c>
      <c r="AL464">
        <v>10</v>
      </c>
      <c r="AM464">
        <v>7</v>
      </c>
      <c r="AN464">
        <v>5</v>
      </c>
      <c r="AO464">
        <v>7</v>
      </c>
      <c r="AP46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64" t="str">
        <f>IF(HRData[[#This Row],[Attrition]]="Yes","Left", IF(HRData[[#This Row],[Attrition_Risk_Score]]&gt;=6,"High",IF(HRData[[#This Row],[Attrition_Risk_Score]]&gt;=3,"Medium","Low")))</f>
        <v>Low</v>
      </c>
      <c r="AR464" t="str">
        <f>IF(HRData[[#This Row],[Attrition_Risk_Level]]&lt;&gt;"High","",HRData[[#This Row],[Attrition_Risk_Score]]*10000-HRData[[#This Row],[EmployeeNumber]])</f>
        <v/>
      </c>
    </row>
    <row r="465" spans="1:44">
      <c r="A465">
        <v>26</v>
      </c>
      <c r="B465" t="str" cm="1">
        <f t="array" ref="B465">_xlfn.IFS(
HRData[[#This Row],[Age]]&lt;=24,"18-24",
HRData[[#This Row],[Age]]&lt;=34,"25-34",
HRData[[#This Row],[Age]]&lt;=44,"35-44",
HRData[[#This Row],[Age]]&lt;=54,"45-54",
HRData[[#This Row],[Age]]&gt;=55,"55+"
)</f>
        <v>25-34</v>
      </c>
      <c r="C465" t="s">
        <v>35</v>
      </c>
      <c r="D465">
        <f>IF(HRData[[#This Row],[Attrition]]="Yes",1,0)</f>
        <v>1</v>
      </c>
      <c r="E465" t="s">
        <v>36</v>
      </c>
      <c r="F465">
        <v>471</v>
      </c>
      <c r="G465" t="s">
        <v>45</v>
      </c>
      <c r="H465">
        <v>24</v>
      </c>
      <c r="I465">
        <v>3</v>
      </c>
      <c r="J465" t="s">
        <v>60</v>
      </c>
      <c r="K465">
        <v>1</v>
      </c>
      <c r="L465">
        <v>622</v>
      </c>
      <c r="M465">
        <v>3</v>
      </c>
      <c r="N465" t="str" cm="1">
        <f t="array" ref="N465">_xlfn.IFS(HRData[[#This Row],[EnvironmentSatisfaction]]=1,"Very Dissatisfied",
HRData[[#This Row],[EnvironmentSatisfaction]]=2,"Dissatisfied",
HRData[[#This Row],[EnvironmentSatisfaction]]=3,"Satisfied",
HRData[[#This Row],[EnvironmentSatisfaction]]=4,"Very Satisfied"
)</f>
        <v>Satisfied</v>
      </c>
      <c r="O465" t="s">
        <v>46</v>
      </c>
      <c r="P465">
        <v>66</v>
      </c>
      <c r="Q465">
        <v>1</v>
      </c>
      <c r="R465">
        <v>1</v>
      </c>
      <c r="S465" t="s">
        <v>50</v>
      </c>
      <c r="T465">
        <v>4</v>
      </c>
      <c r="U465" t="str" cm="1">
        <f t="array" ref="U465">_xlfn.IFS(
HRData[[#This Row],[JobSatisfaction]]=1,"Very Dissatisfied",
HRData[[#This Row],[JobSatisfaction]]=2,"Dissatisfied",
HRData[[#This Row],[JobSatisfaction]]=3,"Satisfied",
HRData[[#This Row],[JobSatisfaction]]=4,"Very Satisfied"
)</f>
        <v>Very Satisfied</v>
      </c>
      <c r="V465" t="s">
        <v>41</v>
      </c>
      <c r="W465">
        <v>2340</v>
      </c>
      <c r="X465" t="str" cm="1">
        <f t="array" ref="X465">_xlfn.IFS(
HRData[[#This Row],[MonthlyIncome]]&lt;=4000,"Very Low Income",
HRData[[#This Row],[MonthlyIncome]]&lt;=8000,"Low Income",
HRData[[#This Row],[MonthlyIncome]]&lt;=12000,"Moderate Income",
HRData[[#This Row],[MonthlyIncome]]&lt;=16000,"High Income",
HRData[[#This Row],[MonthlyIncome]]&gt;16000,"Very High Income"
)</f>
        <v>Very Low Income</v>
      </c>
      <c r="Y465">
        <v>23213</v>
      </c>
      <c r="Z465">
        <v>1</v>
      </c>
      <c r="AA465" t="s">
        <v>42</v>
      </c>
      <c r="AB465" t="s">
        <v>35</v>
      </c>
      <c r="AC465">
        <v>18</v>
      </c>
      <c r="AD465" t="str" cm="1">
        <f t="array" ref="AD465">_xlfn.IFS(HRData[[#This Row],[PercentSalaryHike]]&lt;=15,"11-15",HRData[[#This Row],[PercentSalaryHike]]&lt;=20,"16-20",HRData[[#This Row],[PercentSalaryHike]]&gt;=21,"21+")</f>
        <v>16-20</v>
      </c>
      <c r="AE465">
        <v>3</v>
      </c>
      <c r="AF465">
        <v>2</v>
      </c>
      <c r="AG465">
        <v>80</v>
      </c>
      <c r="AH465">
        <v>0</v>
      </c>
      <c r="AI465">
        <v>1</v>
      </c>
      <c r="AJ465">
        <v>3</v>
      </c>
      <c r="AK465">
        <v>1</v>
      </c>
      <c r="AL465">
        <v>1</v>
      </c>
      <c r="AM465">
        <v>0</v>
      </c>
      <c r="AN465">
        <v>0</v>
      </c>
      <c r="AO465">
        <v>0</v>
      </c>
      <c r="AP46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65" t="str">
        <f>IF(HRData[[#This Row],[Attrition]]="Yes","Left", IF(HRData[[#This Row],[Attrition_Risk_Score]]&gt;=6,"High",IF(HRData[[#This Row],[Attrition_Risk_Score]]&gt;=3,"Medium","Low")))</f>
        <v>Left</v>
      </c>
      <c r="AR465" t="str">
        <f>IF(HRData[[#This Row],[Attrition_Risk_Level]]&lt;&gt;"High","",HRData[[#This Row],[Attrition_Risk_Score]]*10000-HRData[[#This Row],[EmployeeNumber]])</f>
        <v/>
      </c>
    </row>
    <row r="466" spans="1:44">
      <c r="A466">
        <v>37</v>
      </c>
      <c r="B466" t="str" cm="1">
        <f t="array" ref="B466">_xlfn.IFS(
HRData[[#This Row],[Age]]&lt;=24,"18-24",
HRData[[#This Row],[Age]]&lt;=34,"25-34",
HRData[[#This Row],[Age]]&lt;=44,"35-44",
HRData[[#This Row],[Age]]&lt;=54,"45-54",
HRData[[#This Row],[Age]]&gt;=55,"55+"
)</f>
        <v>35-44</v>
      </c>
      <c r="C466" t="s">
        <v>43</v>
      </c>
      <c r="D466">
        <f>IF(HRData[[#This Row],[Attrition]]="Yes",1,0)</f>
        <v>0</v>
      </c>
      <c r="E466" t="s">
        <v>36</v>
      </c>
      <c r="F466">
        <v>799</v>
      </c>
      <c r="G466" t="s">
        <v>45</v>
      </c>
      <c r="H466">
        <v>1</v>
      </c>
      <c r="I466">
        <v>3</v>
      </c>
      <c r="J466" t="s">
        <v>60</v>
      </c>
      <c r="K466">
        <v>1</v>
      </c>
      <c r="L466">
        <v>623</v>
      </c>
      <c r="M466">
        <v>2</v>
      </c>
      <c r="N466" t="str" cm="1">
        <f t="array" ref="N466">_xlfn.IFS(HRData[[#This Row],[EnvironmentSatisfaction]]=1,"Very Dissatisfied",
HRData[[#This Row],[EnvironmentSatisfaction]]=2,"Dissatisfied",
HRData[[#This Row],[EnvironmentSatisfaction]]=3,"Satisfied",
HRData[[#This Row],[EnvironmentSatisfaction]]=4,"Very Satisfied"
)</f>
        <v>Dissatisfied</v>
      </c>
      <c r="O466" t="s">
        <v>39</v>
      </c>
      <c r="P466">
        <v>59</v>
      </c>
      <c r="Q466">
        <v>3</v>
      </c>
      <c r="R466">
        <v>3</v>
      </c>
      <c r="S466" t="s">
        <v>53</v>
      </c>
      <c r="T466">
        <v>4</v>
      </c>
      <c r="U466" t="str" cm="1">
        <f t="array" ref="U466">_xlfn.IFS(
HRData[[#This Row],[JobSatisfaction]]=1,"Very Dissatisfied",
HRData[[#This Row],[JobSatisfaction]]=2,"Dissatisfied",
HRData[[#This Row],[JobSatisfaction]]=3,"Satisfied",
HRData[[#This Row],[JobSatisfaction]]=4,"Very Satisfied"
)</f>
        <v>Very Satisfied</v>
      </c>
      <c r="V466" t="s">
        <v>41</v>
      </c>
      <c r="W466">
        <v>7491</v>
      </c>
      <c r="X466" t="str" cm="1">
        <f t="array" ref="X466">_xlfn.IFS(
HRData[[#This Row],[MonthlyIncome]]&lt;=4000,"Very Low Income",
HRData[[#This Row],[MonthlyIncome]]&lt;=8000,"Low Income",
HRData[[#This Row],[MonthlyIncome]]&lt;=12000,"Moderate Income",
HRData[[#This Row],[MonthlyIncome]]&lt;=16000,"High Income",
HRData[[#This Row],[MonthlyIncome]]&gt;16000,"Very High Income"
)</f>
        <v>Low Income</v>
      </c>
      <c r="Y466">
        <v>23848</v>
      </c>
      <c r="Z466">
        <v>4</v>
      </c>
      <c r="AA466" t="s">
        <v>42</v>
      </c>
      <c r="AB466" t="s">
        <v>43</v>
      </c>
      <c r="AC466">
        <v>17</v>
      </c>
      <c r="AD466" t="str" cm="1">
        <f t="array" ref="AD466">_xlfn.IFS(HRData[[#This Row],[PercentSalaryHike]]&lt;=15,"11-15",HRData[[#This Row],[PercentSalaryHike]]&lt;=20,"16-20",HRData[[#This Row],[PercentSalaryHike]]&gt;=21,"21+")</f>
        <v>16-20</v>
      </c>
      <c r="AE466">
        <v>3</v>
      </c>
      <c r="AF466">
        <v>4</v>
      </c>
      <c r="AG466">
        <v>80</v>
      </c>
      <c r="AH466">
        <v>0</v>
      </c>
      <c r="AI466">
        <v>12</v>
      </c>
      <c r="AJ466">
        <v>3</v>
      </c>
      <c r="AK466">
        <v>4</v>
      </c>
      <c r="AL466">
        <v>6</v>
      </c>
      <c r="AM466">
        <v>5</v>
      </c>
      <c r="AN466">
        <v>1</v>
      </c>
      <c r="AO466">
        <v>2</v>
      </c>
      <c r="AP46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66" t="str">
        <f>IF(HRData[[#This Row],[Attrition]]="Yes","Left", IF(HRData[[#This Row],[Attrition_Risk_Score]]&gt;=6,"High",IF(HRData[[#This Row],[Attrition_Risk_Score]]&gt;=3,"Medium","Low")))</f>
        <v>Low</v>
      </c>
      <c r="AR466" t="str">
        <f>IF(HRData[[#This Row],[Attrition_Risk_Level]]&lt;&gt;"High","",HRData[[#This Row],[Attrition_Risk_Score]]*10000-HRData[[#This Row],[EmployeeNumber]])</f>
        <v/>
      </c>
    </row>
    <row r="467" spans="1:44">
      <c r="A467">
        <v>46</v>
      </c>
      <c r="B467" t="str" cm="1">
        <f t="array" ref="B467">_xlfn.IFS(
HRData[[#This Row],[Age]]&lt;=24,"18-24",
HRData[[#This Row],[Age]]&lt;=34,"25-34",
HRData[[#This Row],[Age]]&lt;=44,"35-44",
HRData[[#This Row],[Age]]&lt;=54,"45-54",
HRData[[#This Row],[Age]]&gt;=55,"55+"
)</f>
        <v>45-54</v>
      </c>
      <c r="C467" t="s">
        <v>43</v>
      </c>
      <c r="D467">
        <f>IF(HRData[[#This Row],[Attrition]]="Yes",1,0)</f>
        <v>0</v>
      </c>
      <c r="E467" t="s">
        <v>44</v>
      </c>
      <c r="F467">
        <v>1034</v>
      </c>
      <c r="G467" t="s">
        <v>45</v>
      </c>
      <c r="H467">
        <v>18</v>
      </c>
      <c r="I467">
        <v>1</v>
      </c>
      <c r="J467" t="s">
        <v>51</v>
      </c>
      <c r="K467">
        <v>1</v>
      </c>
      <c r="L467">
        <v>624</v>
      </c>
      <c r="M467">
        <v>1</v>
      </c>
      <c r="N467" t="str" cm="1">
        <f t="array" ref="N467">_xlfn.IFS(HRData[[#This Row],[EnvironmentSatisfaction]]=1,"Very Dissatisfied",
HRData[[#This Row],[EnvironmentSatisfaction]]=2,"Dissatisfied",
HRData[[#This Row],[EnvironmentSatisfaction]]=3,"Satisfied",
HRData[[#This Row],[EnvironmentSatisfaction]]=4,"Very Satisfied"
)</f>
        <v>Very Dissatisfied</v>
      </c>
      <c r="O467" t="s">
        <v>39</v>
      </c>
      <c r="P467">
        <v>86</v>
      </c>
      <c r="Q467">
        <v>3</v>
      </c>
      <c r="R467">
        <v>3</v>
      </c>
      <c r="S467" t="s">
        <v>54</v>
      </c>
      <c r="T467">
        <v>3</v>
      </c>
      <c r="U467" t="str" cm="1">
        <f t="array" ref="U467">_xlfn.IFS(
HRData[[#This Row],[JobSatisfaction]]=1,"Very Dissatisfied",
HRData[[#This Row],[JobSatisfaction]]=2,"Dissatisfied",
HRData[[#This Row],[JobSatisfaction]]=3,"Satisfied",
HRData[[#This Row],[JobSatisfaction]]=4,"Very Satisfied"
)</f>
        <v>Satisfied</v>
      </c>
      <c r="V467" t="s">
        <v>48</v>
      </c>
      <c r="W467">
        <v>10527</v>
      </c>
      <c r="X467" t="str" cm="1">
        <f t="array" ref="X467">_xlfn.IFS(
HRData[[#This Row],[MonthlyIncome]]&lt;=4000,"Very Low Income",
HRData[[#This Row],[MonthlyIncome]]&lt;=8000,"Low Income",
HRData[[#This Row],[MonthlyIncome]]&lt;=12000,"Moderate Income",
HRData[[#This Row],[MonthlyIncome]]&lt;=16000,"High Income",
HRData[[#This Row],[MonthlyIncome]]&gt;16000,"Very High Income"
)</f>
        <v>Moderate Income</v>
      </c>
      <c r="Y467">
        <v>8984</v>
      </c>
      <c r="Z467">
        <v>5</v>
      </c>
      <c r="AA467" t="s">
        <v>42</v>
      </c>
      <c r="AB467" t="s">
        <v>43</v>
      </c>
      <c r="AC467">
        <v>11</v>
      </c>
      <c r="AD467" t="str" cm="1">
        <f t="array" ref="AD467">_xlfn.IFS(HRData[[#This Row],[PercentSalaryHike]]&lt;=15,"11-15",HRData[[#This Row],[PercentSalaryHike]]&lt;=20,"16-20",HRData[[#This Row],[PercentSalaryHike]]&gt;=21,"21+")</f>
        <v>11-15</v>
      </c>
      <c r="AE467">
        <v>3</v>
      </c>
      <c r="AF467">
        <v>4</v>
      </c>
      <c r="AG467">
        <v>80</v>
      </c>
      <c r="AH467">
        <v>0</v>
      </c>
      <c r="AI467">
        <v>28</v>
      </c>
      <c r="AJ467">
        <v>3</v>
      </c>
      <c r="AK467">
        <v>2</v>
      </c>
      <c r="AL467">
        <v>2</v>
      </c>
      <c r="AM467">
        <v>2</v>
      </c>
      <c r="AN467">
        <v>1</v>
      </c>
      <c r="AO467">
        <v>2</v>
      </c>
      <c r="AP46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467" t="str">
        <f>IF(HRData[[#This Row],[Attrition]]="Yes","Left", IF(HRData[[#This Row],[Attrition_Risk_Score]]&gt;=6,"High",IF(HRData[[#This Row],[Attrition_Risk_Score]]&gt;=3,"Medium","Low")))</f>
        <v>Low</v>
      </c>
      <c r="AR467" t="str">
        <f>IF(HRData[[#This Row],[Attrition_Risk_Level]]&lt;&gt;"High","",HRData[[#This Row],[Attrition_Risk_Score]]*10000-HRData[[#This Row],[EmployeeNumber]])</f>
        <v/>
      </c>
    </row>
    <row r="468" spans="1:44">
      <c r="A468">
        <v>41</v>
      </c>
      <c r="B468" t="str" cm="1">
        <f t="array" ref="B468">_xlfn.IFS(
HRData[[#This Row],[Age]]&lt;=24,"18-24",
HRData[[#This Row],[Age]]&lt;=34,"25-34",
HRData[[#This Row],[Age]]&lt;=44,"35-44",
HRData[[#This Row],[Age]]&lt;=54,"45-54",
HRData[[#This Row],[Age]]&gt;=55,"55+"
)</f>
        <v>35-44</v>
      </c>
      <c r="C468" t="s">
        <v>43</v>
      </c>
      <c r="D468">
        <f>IF(HRData[[#This Row],[Attrition]]="Yes",1,0)</f>
        <v>0</v>
      </c>
      <c r="E468" t="s">
        <v>36</v>
      </c>
      <c r="F468">
        <v>1276</v>
      </c>
      <c r="G468" t="s">
        <v>37</v>
      </c>
      <c r="H468">
        <v>2</v>
      </c>
      <c r="I468">
        <v>5</v>
      </c>
      <c r="J468" t="s">
        <v>38</v>
      </c>
      <c r="K468">
        <v>1</v>
      </c>
      <c r="L468">
        <v>625</v>
      </c>
      <c r="M468">
        <v>2</v>
      </c>
      <c r="N468" t="str" cm="1">
        <f t="array" ref="N468">_xlfn.IFS(HRData[[#This Row],[EnvironmentSatisfaction]]=1,"Very Dissatisfied",
HRData[[#This Row],[EnvironmentSatisfaction]]=2,"Dissatisfied",
HRData[[#This Row],[EnvironmentSatisfaction]]=3,"Satisfied",
HRData[[#This Row],[EnvironmentSatisfaction]]=4,"Very Satisfied"
)</f>
        <v>Dissatisfied</v>
      </c>
      <c r="O468" t="s">
        <v>39</v>
      </c>
      <c r="P468">
        <v>91</v>
      </c>
      <c r="Q468">
        <v>3</v>
      </c>
      <c r="R468">
        <v>4</v>
      </c>
      <c r="S468" t="s">
        <v>56</v>
      </c>
      <c r="T468">
        <v>1</v>
      </c>
      <c r="U468" t="str" cm="1">
        <f t="array" ref="U468">_xlfn.IFS(
HRData[[#This Row],[JobSatisfaction]]=1,"Very Dissatisfied",
HRData[[#This Row],[JobSatisfaction]]=2,"Dissatisfied",
HRData[[#This Row],[JobSatisfaction]]=3,"Satisfied",
HRData[[#This Row],[JobSatisfaction]]=4,"Very Satisfied"
)</f>
        <v>Very Dissatisfied</v>
      </c>
      <c r="V468" t="s">
        <v>48</v>
      </c>
      <c r="W468">
        <v>16595</v>
      </c>
      <c r="X468" t="str" cm="1">
        <f t="array" ref="X468">_xlfn.IFS(
HRData[[#This Row],[MonthlyIncome]]&lt;=4000,"Very Low Income",
HRData[[#This Row],[MonthlyIncome]]&lt;=8000,"Low Income",
HRData[[#This Row],[MonthlyIncome]]&lt;=12000,"Moderate Income",
HRData[[#This Row],[MonthlyIncome]]&lt;=16000,"High Income",
HRData[[#This Row],[MonthlyIncome]]&gt;16000,"Very High Income"
)</f>
        <v>Very High Income</v>
      </c>
      <c r="Y468">
        <v>5626</v>
      </c>
      <c r="Z468">
        <v>7</v>
      </c>
      <c r="AA468" t="s">
        <v>42</v>
      </c>
      <c r="AB468" t="s">
        <v>43</v>
      </c>
      <c r="AC468">
        <v>16</v>
      </c>
      <c r="AD468" t="str" cm="1">
        <f t="array" ref="AD468">_xlfn.IFS(HRData[[#This Row],[PercentSalaryHike]]&lt;=15,"11-15",HRData[[#This Row],[PercentSalaryHike]]&lt;=20,"16-20",HRData[[#This Row],[PercentSalaryHike]]&gt;=21,"21+")</f>
        <v>16-20</v>
      </c>
      <c r="AE468">
        <v>3</v>
      </c>
      <c r="AF468">
        <v>2</v>
      </c>
      <c r="AG468">
        <v>80</v>
      </c>
      <c r="AH468">
        <v>1</v>
      </c>
      <c r="AI468">
        <v>22</v>
      </c>
      <c r="AJ468">
        <v>2</v>
      </c>
      <c r="AK468">
        <v>3</v>
      </c>
      <c r="AL468">
        <v>18</v>
      </c>
      <c r="AM468">
        <v>16</v>
      </c>
      <c r="AN468">
        <v>11</v>
      </c>
      <c r="AO468">
        <v>8</v>
      </c>
      <c r="AP46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68" t="str">
        <f>IF(HRData[[#This Row],[Attrition]]="Yes","Left", IF(HRData[[#This Row],[Attrition_Risk_Score]]&gt;=6,"High",IF(HRData[[#This Row],[Attrition_Risk_Score]]&gt;=3,"Medium","Low")))</f>
        <v>Low</v>
      </c>
      <c r="AR468" t="str">
        <f>IF(HRData[[#This Row],[Attrition_Risk_Level]]&lt;&gt;"High","",HRData[[#This Row],[Attrition_Risk_Score]]*10000-HRData[[#This Row],[EmployeeNumber]])</f>
        <v/>
      </c>
    </row>
    <row r="469" spans="1:44">
      <c r="A469">
        <v>37</v>
      </c>
      <c r="B469" t="str" cm="1">
        <f t="array" ref="B469">_xlfn.IFS(
HRData[[#This Row],[Age]]&lt;=24,"18-24",
HRData[[#This Row],[Age]]&lt;=34,"25-34",
HRData[[#This Row],[Age]]&lt;=44,"35-44",
HRData[[#This Row],[Age]]&lt;=54,"45-54",
HRData[[#This Row],[Age]]&gt;=55,"55+"
)</f>
        <v>35-44</v>
      </c>
      <c r="C469" t="s">
        <v>43</v>
      </c>
      <c r="D469">
        <f>IF(HRData[[#This Row],[Attrition]]="Yes",1,0)</f>
        <v>0</v>
      </c>
      <c r="E469" t="s">
        <v>55</v>
      </c>
      <c r="F469">
        <v>142</v>
      </c>
      <c r="G469" t="s">
        <v>37</v>
      </c>
      <c r="H469">
        <v>9</v>
      </c>
      <c r="I469">
        <v>4</v>
      </c>
      <c r="J469" t="s">
        <v>51</v>
      </c>
      <c r="K469">
        <v>1</v>
      </c>
      <c r="L469">
        <v>626</v>
      </c>
      <c r="M469">
        <v>1</v>
      </c>
      <c r="N469" t="str" cm="1">
        <f t="array" ref="N469">_xlfn.IFS(HRData[[#This Row],[EnvironmentSatisfaction]]=1,"Very Dissatisfied",
HRData[[#This Row],[EnvironmentSatisfaction]]=2,"Dissatisfied",
HRData[[#This Row],[EnvironmentSatisfaction]]=3,"Satisfied",
HRData[[#This Row],[EnvironmentSatisfaction]]=4,"Very Satisfied"
)</f>
        <v>Very Dissatisfied</v>
      </c>
      <c r="O469" t="s">
        <v>46</v>
      </c>
      <c r="P469">
        <v>69</v>
      </c>
      <c r="Q469">
        <v>3</v>
      </c>
      <c r="R469">
        <v>3</v>
      </c>
      <c r="S469" t="s">
        <v>40</v>
      </c>
      <c r="T469">
        <v>2</v>
      </c>
      <c r="U469" t="str" cm="1">
        <f t="array" ref="U469">_xlfn.IFS(
HRData[[#This Row],[JobSatisfaction]]=1,"Very Dissatisfied",
HRData[[#This Row],[JobSatisfaction]]=2,"Dissatisfied",
HRData[[#This Row],[JobSatisfaction]]=3,"Satisfied",
HRData[[#This Row],[JobSatisfaction]]=4,"Very Satisfied"
)</f>
        <v>Dissatisfied</v>
      </c>
      <c r="V469" t="s">
        <v>52</v>
      </c>
      <c r="W469">
        <v>8834</v>
      </c>
      <c r="X469" t="str" cm="1">
        <f t="array" ref="X469">_xlfn.IFS(
HRData[[#This Row],[MonthlyIncome]]&lt;=4000,"Very Low Income",
HRData[[#This Row],[MonthlyIncome]]&lt;=8000,"Low Income",
HRData[[#This Row],[MonthlyIncome]]&lt;=12000,"Moderate Income",
HRData[[#This Row],[MonthlyIncome]]&lt;=16000,"High Income",
HRData[[#This Row],[MonthlyIncome]]&gt;16000,"Very High Income"
)</f>
        <v>Moderate Income</v>
      </c>
      <c r="Y469">
        <v>24666</v>
      </c>
      <c r="Z469">
        <v>1</v>
      </c>
      <c r="AA469" t="s">
        <v>42</v>
      </c>
      <c r="AB469" t="s">
        <v>43</v>
      </c>
      <c r="AC469">
        <v>13</v>
      </c>
      <c r="AD469" t="str" cm="1">
        <f t="array" ref="AD469">_xlfn.IFS(HRData[[#This Row],[PercentSalaryHike]]&lt;=15,"11-15",HRData[[#This Row],[PercentSalaryHike]]&lt;=20,"16-20",HRData[[#This Row],[PercentSalaryHike]]&gt;=21,"21+")</f>
        <v>11-15</v>
      </c>
      <c r="AE469">
        <v>3</v>
      </c>
      <c r="AF469">
        <v>4</v>
      </c>
      <c r="AG469">
        <v>80</v>
      </c>
      <c r="AH469">
        <v>1</v>
      </c>
      <c r="AI469">
        <v>9</v>
      </c>
      <c r="AJ469">
        <v>6</v>
      </c>
      <c r="AK469">
        <v>3</v>
      </c>
      <c r="AL469">
        <v>9</v>
      </c>
      <c r="AM469">
        <v>5</v>
      </c>
      <c r="AN469">
        <v>7</v>
      </c>
      <c r="AO469">
        <v>7</v>
      </c>
      <c r="AP46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469" t="str">
        <f>IF(HRData[[#This Row],[Attrition]]="Yes","Left", IF(HRData[[#This Row],[Attrition_Risk_Score]]&gt;=6,"High",IF(HRData[[#This Row],[Attrition_Risk_Score]]&gt;=3,"Medium","Low")))</f>
        <v>Low</v>
      </c>
      <c r="AR469" t="str">
        <f>IF(HRData[[#This Row],[Attrition_Risk_Level]]&lt;&gt;"High","",HRData[[#This Row],[Attrition_Risk_Score]]*10000-HRData[[#This Row],[EmployeeNumber]])</f>
        <v/>
      </c>
    </row>
    <row r="470" spans="1:44">
      <c r="A470">
        <v>52</v>
      </c>
      <c r="B470" t="str" cm="1">
        <f t="array" ref="B470">_xlfn.IFS(
HRData[[#This Row],[Age]]&lt;=24,"18-24",
HRData[[#This Row],[Age]]&lt;=34,"25-34",
HRData[[#This Row],[Age]]&lt;=44,"35-44",
HRData[[#This Row],[Age]]&lt;=54,"45-54",
HRData[[#This Row],[Age]]&gt;=55,"55+"
)</f>
        <v>45-54</v>
      </c>
      <c r="C470" t="s">
        <v>43</v>
      </c>
      <c r="D470">
        <f>IF(HRData[[#This Row],[Attrition]]="Yes",1,0)</f>
        <v>0</v>
      </c>
      <c r="E470" t="s">
        <v>36</v>
      </c>
      <c r="F470">
        <v>956</v>
      </c>
      <c r="G470" t="s">
        <v>45</v>
      </c>
      <c r="H470">
        <v>6</v>
      </c>
      <c r="I470">
        <v>2</v>
      </c>
      <c r="J470" t="s">
        <v>60</v>
      </c>
      <c r="K470">
        <v>1</v>
      </c>
      <c r="L470">
        <v>630</v>
      </c>
      <c r="M470">
        <v>4</v>
      </c>
      <c r="N470" t="str" cm="1">
        <f t="array" ref="N470">_xlfn.IFS(HRData[[#This Row],[EnvironmentSatisfaction]]=1,"Very Dissatisfied",
HRData[[#This Row],[EnvironmentSatisfaction]]=2,"Dissatisfied",
HRData[[#This Row],[EnvironmentSatisfaction]]=3,"Satisfied",
HRData[[#This Row],[EnvironmentSatisfaction]]=4,"Very Satisfied"
)</f>
        <v>Very Satisfied</v>
      </c>
      <c r="O470" t="s">
        <v>46</v>
      </c>
      <c r="P470">
        <v>78</v>
      </c>
      <c r="Q470">
        <v>3</v>
      </c>
      <c r="R470">
        <v>2</v>
      </c>
      <c r="S470" t="s">
        <v>47</v>
      </c>
      <c r="T470">
        <v>1</v>
      </c>
      <c r="U470" t="str" cm="1">
        <f t="array" ref="U470">_xlfn.IFS(
HRData[[#This Row],[JobSatisfaction]]=1,"Very Dissatisfied",
HRData[[#This Row],[JobSatisfaction]]=2,"Dissatisfied",
HRData[[#This Row],[JobSatisfaction]]=3,"Satisfied",
HRData[[#This Row],[JobSatisfaction]]=4,"Very Satisfied"
)</f>
        <v>Very Dissatisfied</v>
      </c>
      <c r="V470" t="s">
        <v>52</v>
      </c>
      <c r="W470">
        <v>5577</v>
      </c>
      <c r="X470" t="str" cm="1">
        <f t="array" ref="X470">_xlfn.IFS(
HRData[[#This Row],[MonthlyIncome]]&lt;=4000,"Very Low Income",
HRData[[#This Row],[MonthlyIncome]]&lt;=8000,"Low Income",
HRData[[#This Row],[MonthlyIncome]]&lt;=12000,"Moderate Income",
HRData[[#This Row],[MonthlyIncome]]&lt;=16000,"High Income",
HRData[[#This Row],[MonthlyIncome]]&gt;16000,"Very High Income"
)</f>
        <v>Low Income</v>
      </c>
      <c r="Y470">
        <v>22087</v>
      </c>
      <c r="Z470">
        <v>3</v>
      </c>
      <c r="AA470" t="s">
        <v>42</v>
      </c>
      <c r="AB470" t="s">
        <v>35</v>
      </c>
      <c r="AC470">
        <v>12</v>
      </c>
      <c r="AD470" t="str" cm="1">
        <f t="array" ref="AD470">_xlfn.IFS(HRData[[#This Row],[PercentSalaryHike]]&lt;=15,"11-15",HRData[[#This Row],[PercentSalaryHike]]&lt;=20,"16-20",HRData[[#This Row],[PercentSalaryHike]]&gt;=21,"21+")</f>
        <v>11-15</v>
      </c>
      <c r="AE470">
        <v>3</v>
      </c>
      <c r="AF470">
        <v>2</v>
      </c>
      <c r="AG470">
        <v>80</v>
      </c>
      <c r="AH470">
        <v>2</v>
      </c>
      <c r="AI470">
        <v>18</v>
      </c>
      <c r="AJ470">
        <v>3</v>
      </c>
      <c r="AK470">
        <v>3</v>
      </c>
      <c r="AL470">
        <v>10</v>
      </c>
      <c r="AM470">
        <v>9</v>
      </c>
      <c r="AN470">
        <v>6</v>
      </c>
      <c r="AO470">
        <v>9</v>
      </c>
      <c r="AP47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470" t="str">
        <f>IF(HRData[[#This Row],[Attrition]]="Yes","Left", IF(HRData[[#This Row],[Attrition_Risk_Score]]&gt;=6,"High",IF(HRData[[#This Row],[Attrition_Risk_Score]]&gt;=3,"Medium","Low")))</f>
        <v>Medium</v>
      </c>
      <c r="AR470" t="str">
        <f>IF(HRData[[#This Row],[Attrition_Risk_Level]]&lt;&gt;"High","",HRData[[#This Row],[Attrition_Risk_Score]]*10000-HRData[[#This Row],[EmployeeNumber]])</f>
        <v/>
      </c>
    </row>
    <row r="471" spans="1:44">
      <c r="A471">
        <v>32</v>
      </c>
      <c r="B471" t="str" cm="1">
        <f t="array" ref="B471">_xlfn.IFS(
HRData[[#This Row],[Age]]&lt;=24,"18-24",
HRData[[#This Row],[Age]]&lt;=34,"25-34",
HRData[[#This Row],[Age]]&lt;=44,"35-44",
HRData[[#This Row],[Age]]&lt;=54,"45-54",
HRData[[#This Row],[Age]]&gt;=55,"55+"
)</f>
        <v>25-34</v>
      </c>
      <c r="C471" t="s">
        <v>35</v>
      </c>
      <c r="D471">
        <f>IF(HRData[[#This Row],[Attrition]]="Yes",1,0)</f>
        <v>1</v>
      </c>
      <c r="E471" t="s">
        <v>55</v>
      </c>
      <c r="F471">
        <v>1474</v>
      </c>
      <c r="G471" t="s">
        <v>37</v>
      </c>
      <c r="H471">
        <v>11</v>
      </c>
      <c r="I471">
        <v>4</v>
      </c>
      <c r="J471" t="s">
        <v>49</v>
      </c>
      <c r="K471">
        <v>1</v>
      </c>
      <c r="L471">
        <v>631</v>
      </c>
      <c r="M471">
        <v>4</v>
      </c>
      <c r="N471" t="str" cm="1">
        <f t="array" ref="N471">_xlfn.IFS(HRData[[#This Row],[EnvironmentSatisfaction]]=1,"Very Dissatisfied",
HRData[[#This Row],[EnvironmentSatisfaction]]=2,"Dissatisfied",
HRData[[#This Row],[EnvironmentSatisfaction]]=3,"Satisfied",
HRData[[#This Row],[EnvironmentSatisfaction]]=4,"Very Satisfied"
)</f>
        <v>Very Satisfied</v>
      </c>
      <c r="O471" t="s">
        <v>46</v>
      </c>
      <c r="P471">
        <v>60</v>
      </c>
      <c r="Q471">
        <v>4</v>
      </c>
      <c r="R471">
        <v>2</v>
      </c>
      <c r="S471" t="s">
        <v>40</v>
      </c>
      <c r="T471">
        <v>3</v>
      </c>
      <c r="U471" t="str" cm="1">
        <f t="array" ref="U471">_xlfn.IFS(
HRData[[#This Row],[JobSatisfaction]]=1,"Very Dissatisfied",
HRData[[#This Row],[JobSatisfaction]]=2,"Dissatisfied",
HRData[[#This Row],[JobSatisfaction]]=3,"Satisfied",
HRData[[#This Row],[JobSatisfaction]]=4,"Very Satisfied"
)</f>
        <v>Satisfied</v>
      </c>
      <c r="V471" t="s">
        <v>48</v>
      </c>
      <c r="W471">
        <v>4707</v>
      </c>
      <c r="X471" t="str" cm="1">
        <f t="array" ref="X471">_xlfn.IFS(
HRData[[#This Row],[MonthlyIncome]]&lt;=4000,"Very Low Income",
HRData[[#This Row],[MonthlyIncome]]&lt;=8000,"Low Income",
HRData[[#This Row],[MonthlyIncome]]&lt;=12000,"Moderate Income",
HRData[[#This Row],[MonthlyIncome]]&lt;=16000,"High Income",
HRData[[#This Row],[MonthlyIncome]]&gt;16000,"Very High Income"
)</f>
        <v>Low Income</v>
      </c>
      <c r="Y471">
        <v>23914</v>
      </c>
      <c r="Z471">
        <v>8</v>
      </c>
      <c r="AA471" t="s">
        <v>42</v>
      </c>
      <c r="AB471" t="s">
        <v>43</v>
      </c>
      <c r="AC471">
        <v>12</v>
      </c>
      <c r="AD471" t="str" cm="1">
        <f t="array" ref="AD471">_xlfn.IFS(HRData[[#This Row],[PercentSalaryHike]]&lt;=15,"11-15",HRData[[#This Row],[PercentSalaryHike]]&lt;=20,"16-20",HRData[[#This Row],[PercentSalaryHike]]&gt;=21,"21+")</f>
        <v>11-15</v>
      </c>
      <c r="AE471">
        <v>3</v>
      </c>
      <c r="AF471">
        <v>4</v>
      </c>
      <c r="AG471">
        <v>80</v>
      </c>
      <c r="AH471">
        <v>0</v>
      </c>
      <c r="AI471">
        <v>6</v>
      </c>
      <c r="AJ471">
        <v>2</v>
      </c>
      <c r="AK471">
        <v>3</v>
      </c>
      <c r="AL471">
        <v>4</v>
      </c>
      <c r="AM471">
        <v>2</v>
      </c>
      <c r="AN471">
        <v>1</v>
      </c>
      <c r="AO471">
        <v>2</v>
      </c>
      <c r="AP47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71" t="str">
        <f>IF(HRData[[#This Row],[Attrition]]="Yes","Left", IF(HRData[[#This Row],[Attrition_Risk_Score]]&gt;=6,"High",IF(HRData[[#This Row],[Attrition_Risk_Score]]&gt;=3,"Medium","Low")))</f>
        <v>Left</v>
      </c>
      <c r="AR471" t="str">
        <f>IF(HRData[[#This Row],[Attrition_Risk_Level]]&lt;&gt;"High","",HRData[[#This Row],[Attrition_Risk_Score]]*10000-HRData[[#This Row],[EmployeeNumber]])</f>
        <v/>
      </c>
    </row>
    <row r="472" spans="1:44">
      <c r="A472">
        <v>24</v>
      </c>
      <c r="B472" t="str" cm="1">
        <f t="array" ref="B472">_xlfn.IFS(
HRData[[#This Row],[Age]]&lt;=24,"18-24",
HRData[[#This Row],[Age]]&lt;=34,"25-34",
HRData[[#This Row],[Age]]&lt;=44,"35-44",
HRData[[#This Row],[Age]]&lt;=54,"45-54",
HRData[[#This Row],[Age]]&gt;=55,"55+"
)</f>
        <v>18-24</v>
      </c>
      <c r="C472" t="s">
        <v>43</v>
      </c>
      <c r="D472">
        <f>IF(HRData[[#This Row],[Attrition]]="Yes",1,0)</f>
        <v>0</v>
      </c>
      <c r="E472" t="s">
        <v>44</v>
      </c>
      <c r="F472">
        <v>535</v>
      </c>
      <c r="G472" t="s">
        <v>37</v>
      </c>
      <c r="H472">
        <v>24</v>
      </c>
      <c r="I472">
        <v>3</v>
      </c>
      <c r="J472" t="s">
        <v>51</v>
      </c>
      <c r="K472">
        <v>1</v>
      </c>
      <c r="L472">
        <v>632</v>
      </c>
      <c r="M472">
        <v>4</v>
      </c>
      <c r="N472" t="str" cm="1">
        <f t="array" ref="N472">_xlfn.IFS(HRData[[#This Row],[EnvironmentSatisfaction]]=1,"Very Dissatisfied",
HRData[[#This Row],[EnvironmentSatisfaction]]=2,"Dissatisfied",
HRData[[#This Row],[EnvironmentSatisfaction]]=3,"Satisfied",
HRData[[#This Row],[EnvironmentSatisfaction]]=4,"Very Satisfied"
)</f>
        <v>Very Satisfied</v>
      </c>
      <c r="O472" t="s">
        <v>46</v>
      </c>
      <c r="P472">
        <v>38</v>
      </c>
      <c r="Q472">
        <v>3</v>
      </c>
      <c r="R472">
        <v>1</v>
      </c>
      <c r="S472" t="s">
        <v>57</v>
      </c>
      <c r="T472">
        <v>4</v>
      </c>
      <c r="U472" t="str" cm="1">
        <f t="array" ref="U472">_xlfn.IFS(
HRData[[#This Row],[JobSatisfaction]]=1,"Very Dissatisfied",
HRData[[#This Row],[JobSatisfaction]]=2,"Dissatisfied",
HRData[[#This Row],[JobSatisfaction]]=3,"Satisfied",
HRData[[#This Row],[JobSatisfaction]]=4,"Very Satisfied"
)</f>
        <v>Very Satisfied</v>
      </c>
      <c r="V472" t="s">
        <v>48</v>
      </c>
      <c r="W472">
        <v>2400</v>
      </c>
      <c r="X472" t="str" cm="1">
        <f t="array" ref="X472">_xlfn.IFS(
HRData[[#This Row],[MonthlyIncome]]&lt;=4000,"Very Low Income",
HRData[[#This Row],[MonthlyIncome]]&lt;=8000,"Low Income",
HRData[[#This Row],[MonthlyIncome]]&lt;=12000,"Moderate Income",
HRData[[#This Row],[MonthlyIncome]]&lt;=16000,"High Income",
HRData[[#This Row],[MonthlyIncome]]&gt;16000,"Very High Income"
)</f>
        <v>Very Low Income</v>
      </c>
      <c r="Y472">
        <v>5530</v>
      </c>
      <c r="Z472">
        <v>0</v>
      </c>
      <c r="AA472" t="s">
        <v>42</v>
      </c>
      <c r="AB472" t="s">
        <v>43</v>
      </c>
      <c r="AC472">
        <v>13</v>
      </c>
      <c r="AD472" t="str" cm="1">
        <f t="array" ref="AD472">_xlfn.IFS(HRData[[#This Row],[PercentSalaryHike]]&lt;=15,"11-15",HRData[[#This Row],[PercentSalaryHike]]&lt;=20,"16-20",HRData[[#This Row],[PercentSalaryHike]]&gt;=21,"21+")</f>
        <v>11-15</v>
      </c>
      <c r="AE472">
        <v>3</v>
      </c>
      <c r="AF472">
        <v>3</v>
      </c>
      <c r="AG472">
        <v>80</v>
      </c>
      <c r="AH472">
        <v>2</v>
      </c>
      <c r="AI472">
        <v>3</v>
      </c>
      <c r="AJ472">
        <v>3</v>
      </c>
      <c r="AK472">
        <v>3</v>
      </c>
      <c r="AL472">
        <v>2</v>
      </c>
      <c r="AM472">
        <v>2</v>
      </c>
      <c r="AN472">
        <v>2</v>
      </c>
      <c r="AO472">
        <v>1</v>
      </c>
      <c r="AP47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472" t="str">
        <f>IF(HRData[[#This Row],[Attrition]]="Yes","Left", IF(HRData[[#This Row],[Attrition_Risk_Score]]&gt;=6,"High",IF(HRData[[#This Row],[Attrition_Risk_Score]]&gt;=3,"Medium","Low")))</f>
        <v>High</v>
      </c>
      <c r="AR472">
        <f>IF(HRData[[#This Row],[Attrition_Risk_Level]]&lt;&gt;"High","",HRData[[#This Row],[Attrition_Risk_Score]]*10000-HRData[[#This Row],[EmployeeNumber]])</f>
        <v>59368</v>
      </c>
    </row>
    <row r="473" spans="1:44">
      <c r="A473">
        <v>38</v>
      </c>
      <c r="B473" t="str" cm="1">
        <f t="array" ref="B473">_xlfn.IFS(
HRData[[#This Row],[Age]]&lt;=24,"18-24",
HRData[[#This Row],[Age]]&lt;=34,"25-34",
HRData[[#This Row],[Age]]&lt;=44,"35-44",
HRData[[#This Row],[Age]]&lt;=54,"45-54",
HRData[[#This Row],[Age]]&gt;=55,"55+"
)</f>
        <v>35-44</v>
      </c>
      <c r="C473" t="s">
        <v>43</v>
      </c>
      <c r="D473">
        <f>IF(HRData[[#This Row],[Attrition]]="Yes",1,0)</f>
        <v>0</v>
      </c>
      <c r="E473" t="s">
        <v>36</v>
      </c>
      <c r="F473">
        <v>1495</v>
      </c>
      <c r="G473" t="s">
        <v>45</v>
      </c>
      <c r="H473">
        <v>10</v>
      </c>
      <c r="I473">
        <v>3</v>
      </c>
      <c r="J473" t="s">
        <v>51</v>
      </c>
      <c r="K473">
        <v>1</v>
      </c>
      <c r="L473">
        <v>634</v>
      </c>
      <c r="M473">
        <v>3</v>
      </c>
      <c r="N473" t="str" cm="1">
        <f t="array" ref="N473">_xlfn.IFS(HRData[[#This Row],[EnvironmentSatisfaction]]=1,"Very Dissatisfied",
HRData[[#This Row],[EnvironmentSatisfaction]]=2,"Dissatisfied",
HRData[[#This Row],[EnvironmentSatisfaction]]=3,"Satisfied",
HRData[[#This Row],[EnvironmentSatisfaction]]=4,"Very Satisfied"
)</f>
        <v>Satisfied</v>
      </c>
      <c r="O473" t="s">
        <v>39</v>
      </c>
      <c r="P473">
        <v>76</v>
      </c>
      <c r="Q473">
        <v>3</v>
      </c>
      <c r="R473">
        <v>2</v>
      </c>
      <c r="S473" t="s">
        <v>54</v>
      </c>
      <c r="T473">
        <v>3</v>
      </c>
      <c r="U473" t="str" cm="1">
        <f t="array" ref="U473">_xlfn.IFS(
HRData[[#This Row],[JobSatisfaction]]=1,"Very Dissatisfied",
HRData[[#This Row],[JobSatisfaction]]=2,"Dissatisfied",
HRData[[#This Row],[JobSatisfaction]]=3,"Satisfied",
HRData[[#This Row],[JobSatisfaction]]=4,"Very Satisfied"
)</f>
        <v>Satisfied</v>
      </c>
      <c r="V473" t="s">
        <v>48</v>
      </c>
      <c r="W473">
        <v>9824</v>
      </c>
      <c r="X473" t="str" cm="1">
        <f t="array" ref="X473">_xlfn.IFS(
HRData[[#This Row],[MonthlyIncome]]&lt;=4000,"Very Low Income",
HRData[[#This Row],[MonthlyIncome]]&lt;=8000,"Low Income",
HRData[[#This Row],[MonthlyIncome]]&lt;=12000,"Moderate Income",
HRData[[#This Row],[MonthlyIncome]]&lt;=16000,"High Income",
HRData[[#This Row],[MonthlyIncome]]&gt;16000,"Very High Income"
)</f>
        <v>Moderate Income</v>
      </c>
      <c r="Y473">
        <v>22174</v>
      </c>
      <c r="Z473">
        <v>3</v>
      </c>
      <c r="AA473" t="s">
        <v>42</v>
      </c>
      <c r="AB473" t="s">
        <v>43</v>
      </c>
      <c r="AC473">
        <v>19</v>
      </c>
      <c r="AD473" t="str" cm="1">
        <f t="array" ref="AD473">_xlfn.IFS(HRData[[#This Row],[PercentSalaryHike]]&lt;=15,"11-15",HRData[[#This Row],[PercentSalaryHike]]&lt;=20,"16-20",HRData[[#This Row],[PercentSalaryHike]]&gt;=21,"21+")</f>
        <v>16-20</v>
      </c>
      <c r="AE473">
        <v>3</v>
      </c>
      <c r="AF473">
        <v>3</v>
      </c>
      <c r="AG473">
        <v>80</v>
      </c>
      <c r="AH473">
        <v>1</v>
      </c>
      <c r="AI473">
        <v>18</v>
      </c>
      <c r="AJ473">
        <v>4</v>
      </c>
      <c r="AK473">
        <v>3</v>
      </c>
      <c r="AL473">
        <v>1</v>
      </c>
      <c r="AM473">
        <v>0</v>
      </c>
      <c r="AN473">
        <v>0</v>
      </c>
      <c r="AO473">
        <v>0</v>
      </c>
      <c r="AP47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473" t="str">
        <f>IF(HRData[[#This Row],[Attrition]]="Yes","Left", IF(HRData[[#This Row],[Attrition_Risk_Score]]&gt;=6,"High",IF(HRData[[#This Row],[Attrition_Risk_Score]]&gt;=3,"Medium","Low")))</f>
        <v>Low</v>
      </c>
      <c r="AR473" t="str">
        <f>IF(HRData[[#This Row],[Attrition_Risk_Level]]&lt;&gt;"High","",HRData[[#This Row],[Attrition_Risk_Score]]*10000-HRData[[#This Row],[EmployeeNumber]])</f>
        <v/>
      </c>
    </row>
    <row r="474" spans="1:44">
      <c r="A474">
        <v>37</v>
      </c>
      <c r="B474" t="str" cm="1">
        <f t="array" ref="B474">_xlfn.IFS(
HRData[[#This Row],[Age]]&lt;=24,"18-24",
HRData[[#This Row],[Age]]&lt;=34,"25-34",
HRData[[#This Row],[Age]]&lt;=44,"35-44",
HRData[[#This Row],[Age]]&lt;=54,"45-54",
HRData[[#This Row],[Age]]&gt;=55,"55+"
)</f>
        <v>35-44</v>
      </c>
      <c r="C474" t="s">
        <v>43</v>
      </c>
      <c r="D474">
        <f>IF(HRData[[#This Row],[Attrition]]="Yes",1,0)</f>
        <v>0</v>
      </c>
      <c r="E474" t="s">
        <v>36</v>
      </c>
      <c r="F474">
        <v>446</v>
      </c>
      <c r="G474" t="s">
        <v>45</v>
      </c>
      <c r="H474">
        <v>1</v>
      </c>
      <c r="I474">
        <v>4</v>
      </c>
      <c r="J474" t="s">
        <v>38</v>
      </c>
      <c r="K474">
        <v>1</v>
      </c>
      <c r="L474">
        <v>635</v>
      </c>
      <c r="M474">
        <v>2</v>
      </c>
      <c r="N474" t="str" cm="1">
        <f t="array" ref="N474">_xlfn.IFS(HRData[[#This Row],[EnvironmentSatisfaction]]=1,"Very Dissatisfied",
HRData[[#This Row],[EnvironmentSatisfaction]]=2,"Dissatisfied",
HRData[[#This Row],[EnvironmentSatisfaction]]=3,"Satisfied",
HRData[[#This Row],[EnvironmentSatisfaction]]=4,"Very Satisfied"
)</f>
        <v>Dissatisfied</v>
      </c>
      <c r="O474" t="s">
        <v>39</v>
      </c>
      <c r="P474">
        <v>65</v>
      </c>
      <c r="Q474">
        <v>3</v>
      </c>
      <c r="R474">
        <v>2</v>
      </c>
      <c r="S474" t="s">
        <v>53</v>
      </c>
      <c r="T474">
        <v>2</v>
      </c>
      <c r="U474" t="str" cm="1">
        <f t="array" ref="U474">_xlfn.IFS(
HRData[[#This Row],[JobSatisfaction]]=1,"Very Dissatisfied",
HRData[[#This Row],[JobSatisfaction]]=2,"Dissatisfied",
HRData[[#This Row],[JobSatisfaction]]=3,"Satisfied",
HRData[[#This Row],[JobSatisfaction]]=4,"Very Satisfied"
)</f>
        <v>Dissatisfied</v>
      </c>
      <c r="V474" t="s">
        <v>48</v>
      </c>
      <c r="W474">
        <v>6447</v>
      </c>
      <c r="X474" t="str" cm="1">
        <f t="array" ref="X474">_xlfn.IFS(
HRData[[#This Row],[MonthlyIncome]]&lt;=4000,"Very Low Income",
HRData[[#This Row],[MonthlyIncome]]&lt;=8000,"Low Income",
HRData[[#This Row],[MonthlyIncome]]&lt;=12000,"Moderate Income",
HRData[[#This Row],[MonthlyIncome]]&lt;=16000,"High Income",
HRData[[#This Row],[MonthlyIncome]]&gt;16000,"Very High Income"
)</f>
        <v>Low Income</v>
      </c>
      <c r="Y474">
        <v>15701</v>
      </c>
      <c r="Z474">
        <v>6</v>
      </c>
      <c r="AA474" t="s">
        <v>42</v>
      </c>
      <c r="AB474" t="s">
        <v>43</v>
      </c>
      <c r="AC474">
        <v>12</v>
      </c>
      <c r="AD474" t="str" cm="1">
        <f t="array" ref="AD474">_xlfn.IFS(HRData[[#This Row],[PercentSalaryHike]]&lt;=15,"11-15",HRData[[#This Row],[PercentSalaryHike]]&lt;=20,"16-20",HRData[[#This Row],[PercentSalaryHike]]&gt;=21,"21+")</f>
        <v>11-15</v>
      </c>
      <c r="AE474">
        <v>3</v>
      </c>
      <c r="AF474">
        <v>2</v>
      </c>
      <c r="AG474">
        <v>80</v>
      </c>
      <c r="AH474">
        <v>1</v>
      </c>
      <c r="AI474">
        <v>8</v>
      </c>
      <c r="AJ474">
        <v>2</v>
      </c>
      <c r="AK474">
        <v>2</v>
      </c>
      <c r="AL474">
        <v>6</v>
      </c>
      <c r="AM474">
        <v>5</v>
      </c>
      <c r="AN474">
        <v>4</v>
      </c>
      <c r="AO474">
        <v>3</v>
      </c>
      <c r="AP47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74" t="str">
        <f>IF(HRData[[#This Row],[Attrition]]="Yes","Left", IF(HRData[[#This Row],[Attrition_Risk_Score]]&gt;=6,"High",IF(HRData[[#This Row],[Attrition_Risk_Score]]&gt;=3,"Medium","Low")))</f>
        <v>Low</v>
      </c>
      <c r="AR474" t="str">
        <f>IF(HRData[[#This Row],[Attrition_Risk_Level]]&lt;&gt;"High","",HRData[[#This Row],[Attrition_Risk_Score]]*10000-HRData[[#This Row],[EmployeeNumber]])</f>
        <v/>
      </c>
    </row>
    <row r="475" spans="1:44">
      <c r="A475">
        <v>49</v>
      </c>
      <c r="B475" t="str" cm="1">
        <f t="array" ref="B475">_xlfn.IFS(
HRData[[#This Row],[Age]]&lt;=24,"18-24",
HRData[[#This Row],[Age]]&lt;=34,"25-34",
HRData[[#This Row],[Age]]&lt;=44,"35-44",
HRData[[#This Row],[Age]]&lt;=54,"45-54",
HRData[[#This Row],[Age]]&gt;=55,"55+"
)</f>
        <v>45-54</v>
      </c>
      <c r="C475" t="s">
        <v>43</v>
      </c>
      <c r="D475">
        <f>IF(HRData[[#This Row],[Attrition]]="Yes",1,0)</f>
        <v>0</v>
      </c>
      <c r="E475" t="s">
        <v>36</v>
      </c>
      <c r="F475">
        <v>1245</v>
      </c>
      <c r="G475" t="s">
        <v>45</v>
      </c>
      <c r="H475">
        <v>18</v>
      </c>
      <c r="I475">
        <v>4</v>
      </c>
      <c r="J475" t="s">
        <v>38</v>
      </c>
      <c r="K475">
        <v>1</v>
      </c>
      <c r="L475">
        <v>638</v>
      </c>
      <c r="M475">
        <v>4</v>
      </c>
      <c r="N475" t="str" cm="1">
        <f t="array" ref="N475">_xlfn.IFS(HRData[[#This Row],[EnvironmentSatisfaction]]=1,"Very Dissatisfied",
HRData[[#This Row],[EnvironmentSatisfaction]]=2,"Dissatisfied",
HRData[[#This Row],[EnvironmentSatisfaction]]=3,"Satisfied",
HRData[[#This Row],[EnvironmentSatisfaction]]=4,"Very Satisfied"
)</f>
        <v>Very Satisfied</v>
      </c>
      <c r="O475" t="s">
        <v>46</v>
      </c>
      <c r="P475">
        <v>58</v>
      </c>
      <c r="Q475">
        <v>2</v>
      </c>
      <c r="R475">
        <v>5</v>
      </c>
      <c r="S475" t="s">
        <v>58</v>
      </c>
      <c r="T475">
        <v>3</v>
      </c>
      <c r="U475" t="str" cm="1">
        <f t="array" ref="U475">_xlfn.IFS(
HRData[[#This Row],[JobSatisfaction]]=1,"Very Dissatisfied",
HRData[[#This Row],[JobSatisfaction]]=2,"Dissatisfied",
HRData[[#This Row],[JobSatisfaction]]=3,"Satisfied",
HRData[[#This Row],[JobSatisfaction]]=4,"Very Satisfied"
)</f>
        <v>Satisfied</v>
      </c>
      <c r="V475" t="s">
        <v>52</v>
      </c>
      <c r="W475">
        <v>19502</v>
      </c>
      <c r="X475" t="str" cm="1">
        <f t="array" ref="X475">_xlfn.IFS(
HRData[[#This Row],[MonthlyIncome]]&lt;=4000,"Very Low Income",
HRData[[#This Row],[MonthlyIncome]]&lt;=8000,"Low Income",
HRData[[#This Row],[MonthlyIncome]]&lt;=12000,"Moderate Income",
HRData[[#This Row],[MonthlyIncome]]&lt;=16000,"High Income",
HRData[[#This Row],[MonthlyIncome]]&gt;16000,"Very High Income"
)</f>
        <v>Very High Income</v>
      </c>
      <c r="Y475">
        <v>2125</v>
      </c>
      <c r="Z475">
        <v>1</v>
      </c>
      <c r="AA475" t="s">
        <v>42</v>
      </c>
      <c r="AB475" t="s">
        <v>35</v>
      </c>
      <c r="AC475">
        <v>17</v>
      </c>
      <c r="AD475" t="str" cm="1">
        <f t="array" ref="AD475">_xlfn.IFS(HRData[[#This Row],[PercentSalaryHike]]&lt;=15,"11-15",HRData[[#This Row],[PercentSalaryHike]]&lt;=20,"16-20",HRData[[#This Row],[PercentSalaryHike]]&gt;=21,"21+")</f>
        <v>16-20</v>
      </c>
      <c r="AE475">
        <v>3</v>
      </c>
      <c r="AF475">
        <v>3</v>
      </c>
      <c r="AG475">
        <v>80</v>
      </c>
      <c r="AH475">
        <v>1</v>
      </c>
      <c r="AI475">
        <v>31</v>
      </c>
      <c r="AJ475">
        <v>5</v>
      </c>
      <c r="AK475">
        <v>3</v>
      </c>
      <c r="AL475">
        <v>31</v>
      </c>
      <c r="AM475">
        <v>9</v>
      </c>
      <c r="AN475">
        <v>0</v>
      </c>
      <c r="AO475">
        <v>9</v>
      </c>
      <c r="AP47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75" t="str">
        <f>IF(HRData[[#This Row],[Attrition]]="Yes","Left", IF(HRData[[#This Row],[Attrition_Risk_Score]]&gt;=6,"High",IF(HRData[[#This Row],[Attrition_Risk_Score]]&gt;=3,"Medium","Low")))</f>
        <v>Low</v>
      </c>
      <c r="AR475" t="str">
        <f>IF(HRData[[#This Row],[Attrition_Risk_Level]]&lt;&gt;"High","",HRData[[#This Row],[Attrition_Risk_Score]]*10000-HRData[[#This Row],[EmployeeNumber]])</f>
        <v/>
      </c>
    </row>
    <row r="476" spans="1:44">
      <c r="A476">
        <v>24</v>
      </c>
      <c r="B476" t="str" cm="1">
        <f t="array" ref="B476">_xlfn.IFS(
HRData[[#This Row],[Age]]&lt;=24,"18-24",
HRData[[#This Row],[Age]]&lt;=34,"25-34",
HRData[[#This Row],[Age]]&lt;=44,"35-44",
HRData[[#This Row],[Age]]&lt;=54,"45-54",
HRData[[#This Row],[Age]]&gt;=55,"55+"
)</f>
        <v>18-24</v>
      </c>
      <c r="C476" t="s">
        <v>43</v>
      </c>
      <c r="D476">
        <f>IF(HRData[[#This Row],[Attrition]]="Yes",1,0)</f>
        <v>0</v>
      </c>
      <c r="E476" t="s">
        <v>36</v>
      </c>
      <c r="F476">
        <v>691</v>
      </c>
      <c r="G476" t="s">
        <v>45</v>
      </c>
      <c r="H476">
        <v>23</v>
      </c>
      <c r="I476">
        <v>3</v>
      </c>
      <c r="J476" t="s">
        <v>51</v>
      </c>
      <c r="K476">
        <v>1</v>
      </c>
      <c r="L476">
        <v>639</v>
      </c>
      <c r="M476">
        <v>2</v>
      </c>
      <c r="N476" t="str" cm="1">
        <f t="array" ref="N476">_xlfn.IFS(HRData[[#This Row],[EnvironmentSatisfaction]]=1,"Very Dissatisfied",
HRData[[#This Row],[EnvironmentSatisfaction]]=2,"Dissatisfied",
HRData[[#This Row],[EnvironmentSatisfaction]]=3,"Satisfied",
HRData[[#This Row],[EnvironmentSatisfaction]]=4,"Very Satisfied"
)</f>
        <v>Dissatisfied</v>
      </c>
      <c r="O476" t="s">
        <v>46</v>
      </c>
      <c r="P476">
        <v>89</v>
      </c>
      <c r="Q476">
        <v>4</v>
      </c>
      <c r="R476">
        <v>1</v>
      </c>
      <c r="S476" t="s">
        <v>47</v>
      </c>
      <c r="T476">
        <v>4</v>
      </c>
      <c r="U476" t="str" cm="1">
        <f t="array" ref="U476">_xlfn.IFS(
HRData[[#This Row],[JobSatisfaction]]=1,"Very Dissatisfied",
HRData[[#This Row],[JobSatisfaction]]=2,"Dissatisfied",
HRData[[#This Row],[JobSatisfaction]]=3,"Satisfied",
HRData[[#This Row],[JobSatisfaction]]=4,"Very Satisfied"
)</f>
        <v>Very Satisfied</v>
      </c>
      <c r="V476" t="s">
        <v>48</v>
      </c>
      <c r="W476">
        <v>2725</v>
      </c>
      <c r="X476" t="str" cm="1">
        <f t="array" ref="X476">_xlfn.IFS(
HRData[[#This Row],[MonthlyIncome]]&lt;=4000,"Very Low Income",
HRData[[#This Row],[MonthlyIncome]]&lt;=8000,"Low Income",
HRData[[#This Row],[MonthlyIncome]]&lt;=12000,"Moderate Income",
HRData[[#This Row],[MonthlyIncome]]&lt;=16000,"High Income",
HRData[[#This Row],[MonthlyIncome]]&gt;16000,"Very High Income"
)</f>
        <v>Very Low Income</v>
      </c>
      <c r="Y476">
        <v>21630</v>
      </c>
      <c r="Z476">
        <v>1</v>
      </c>
      <c r="AA476" t="s">
        <v>42</v>
      </c>
      <c r="AB476" t="s">
        <v>35</v>
      </c>
      <c r="AC476">
        <v>11</v>
      </c>
      <c r="AD476" t="str" cm="1">
        <f t="array" ref="AD476">_xlfn.IFS(HRData[[#This Row],[PercentSalaryHike]]&lt;=15,"11-15",HRData[[#This Row],[PercentSalaryHike]]&lt;=20,"16-20",HRData[[#This Row],[PercentSalaryHike]]&gt;=21,"21+")</f>
        <v>11-15</v>
      </c>
      <c r="AE476">
        <v>3</v>
      </c>
      <c r="AF476">
        <v>2</v>
      </c>
      <c r="AG476">
        <v>80</v>
      </c>
      <c r="AH476">
        <v>2</v>
      </c>
      <c r="AI476">
        <v>6</v>
      </c>
      <c r="AJ476">
        <v>3</v>
      </c>
      <c r="AK476">
        <v>3</v>
      </c>
      <c r="AL476">
        <v>6</v>
      </c>
      <c r="AM476">
        <v>5</v>
      </c>
      <c r="AN476">
        <v>1</v>
      </c>
      <c r="AO476">
        <v>4</v>
      </c>
      <c r="AP47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476" t="str">
        <f>IF(HRData[[#This Row],[Attrition]]="Yes","Left", IF(HRData[[#This Row],[Attrition_Risk_Score]]&gt;=6,"High",IF(HRData[[#This Row],[Attrition_Risk_Score]]&gt;=3,"Medium","Low")))</f>
        <v>High</v>
      </c>
      <c r="AR476">
        <f>IF(HRData[[#This Row],[Attrition_Risk_Level]]&lt;&gt;"High","",HRData[[#This Row],[Attrition_Risk_Score]]*10000-HRData[[#This Row],[EmployeeNumber]])</f>
        <v>59361</v>
      </c>
    </row>
    <row r="477" spans="1:44">
      <c r="A477">
        <v>26</v>
      </c>
      <c r="B477" t="str" cm="1">
        <f t="array" ref="B477">_xlfn.IFS(
HRData[[#This Row],[Age]]&lt;=24,"18-24",
HRData[[#This Row],[Age]]&lt;=34,"25-34",
HRData[[#This Row],[Age]]&lt;=44,"35-44",
HRData[[#This Row],[Age]]&lt;=54,"45-54",
HRData[[#This Row],[Age]]&gt;=55,"55+"
)</f>
        <v>25-34</v>
      </c>
      <c r="C477" t="s">
        <v>43</v>
      </c>
      <c r="D477">
        <f>IF(HRData[[#This Row],[Attrition]]="Yes",1,0)</f>
        <v>0</v>
      </c>
      <c r="E477" t="s">
        <v>36</v>
      </c>
      <c r="F477">
        <v>703</v>
      </c>
      <c r="G477" t="s">
        <v>37</v>
      </c>
      <c r="H477">
        <v>28</v>
      </c>
      <c r="I477">
        <v>2</v>
      </c>
      <c r="J477" t="s">
        <v>59</v>
      </c>
      <c r="K477">
        <v>1</v>
      </c>
      <c r="L477">
        <v>641</v>
      </c>
      <c r="M477">
        <v>1</v>
      </c>
      <c r="N477" t="str" cm="1">
        <f t="array" ref="N477">_xlfn.IFS(HRData[[#This Row],[EnvironmentSatisfaction]]=1,"Very Dissatisfied",
HRData[[#This Row],[EnvironmentSatisfaction]]=2,"Dissatisfied",
HRData[[#This Row],[EnvironmentSatisfaction]]=3,"Satisfied",
HRData[[#This Row],[EnvironmentSatisfaction]]=4,"Very Satisfied"
)</f>
        <v>Very Dissatisfied</v>
      </c>
      <c r="O477" t="s">
        <v>46</v>
      </c>
      <c r="P477">
        <v>66</v>
      </c>
      <c r="Q477">
        <v>3</v>
      </c>
      <c r="R477">
        <v>2</v>
      </c>
      <c r="S477" t="s">
        <v>40</v>
      </c>
      <c r="T477">
        <v>2</v>
      </c>
      <c r="U477" t="str" cm="1">
        <f t="array" ref="U477">_xlfn.IFS(
HRData[[#This Row],[JobSatisfaction]]=1,"Very Dissatisfied",
HRData[[#This Row],[JobSatisfaction]]=2,"Dissatisfied",
HRData[[#This Row],[JobSatisfaction]]=3,"Satisfied",
HRData[[#This Row],[JobSatisfaction]]=4,"Very Satisfied"
)</f>
        <v>Dissatisfied</v>
      </c>
      <c r="V477" t="s">
        <v>48</v>
      </c>
      <c r="W477">
        <v>6272</v>
      </c>
      <c r="X477" t="str" cm="1">
        <f t="array" ref="X477">_xlfn.IFS(
HRData[[#This Row],[MonthlyIncome]]&lt;=4000,"Very Low Income",
HRData[[#This Row],[MonthlyIncome]]&lt;=8000,"Low Income",
HRData[[#This Row],[MonthlyIncome]]&lt;=12000,"Moderate Income",
HRData[[#This Row],[MonthlyIncome]]&lt;=16000,"High Income",
HRData[[#This Row],[MonthlyIncome]]&gt;16000,"Very High Income"
)</f>
        <v>Low Income</v>
      </c>
      <c r="Y477">
        <v>7428</v>
      </c>
      <c r="Z477">
        <v>1</v>
      </c>
      <c r="AA477" t="s">
        <v>42</v>
      </c>
      <c r="AB477" t="s">
        <v>43</v>
      </c>
      <c r="AC477">
        <v>20</v>
      </c>
      <c r="AD477" t="str" cm="1">
        <f t="array" ref="AD477">_xlfn.IFS(HRData[[#This Row],[PercentSalaryHike]]&lt;=15,"11-15",HRData[[#This Row],[PercentSalaryHike]]&lt;=20,"16-20",HRData[[#This Row],[PercentSalaryHike]]&gt;=21,"21+")</f>
        <v>16-20</v>
      </c>
      <c r="AE477">
        <v>4</v>
      </c>
      <c r="AF477">
        <v>4</v>
      </c>
      <c r="AG477">
        <v>80</v>
      </c>
      <c r="AH477">
        <v>2</v>
      </c>
      <c r="AI477">
        <v>6</v>
      </c>
      <c r="AJ477">
        <v>5</v>
      </c>
      <c r="AK477">
        <v>4</v>
      </c>
      <c r="AL477">
        <v>5</v>
      </c>
      <c r="AM477">
        <v>3</v>
      </c>
      <c r="AN477">
        <v>1</v>
      </c>
      <c r="AO477">
        <v>4</v>
      </c>
      <c r="AP47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77" t="str">
        <f>IF(HRData[[#This Row],[Attrition]]="Yes","Left", IF(HRData[[#This Row],[Attrition_Risk_Score]]&gt;=6,"High",IF(HRData[[#This Row],[Attrition_Risk_Score]]&gt;=3,"Medium","Low")))</f>
        <v>Low</v>
      </c>
      <c r="AR477" t="str">
        <f>IF(HRData[[#This Row],[Attrition_Risk_Level]]&lt;&gt;"High","",HRData[[#This Row],[Attrition_Risk_Score]]*10000-HRData[[#This Row],[EmployeeNumber]])</f>
        <v/>
      </c>
    </row>
    <row r="478" spans="1:44">
      <c r="A478">
        <v>24</v>
      </c>
      <c r="B478" t="str" cm="1">
        <f t="array" ref="B478">_xlfn.IFS(
HRData[[#This Row],[Age]]&lt;=24,"18-24",
HRData[[#This Row],[Age]]&lt;=34,"25-34",
HRData[[#This Row],[Age]]&lt;=44,"35-44",
HRData[[#This Row],[Age]]&lt;=54,"45-54",
HRData[[#This Row],[Age]]&gt;=55,"55+"
)</f>
        <v>18-24</v>
      </c>
      <c r="C478" t="s">
        <v>43</v>
      </c>
      <c r="D478">
        <f>IF(HRData[[#This Row],[Attrition]]="Yes",1,0)</f>
        <v>0</v>
      </c>
      <c r="E478" t="s">
        <v>36</v>
      </c>
      <c r="F478">
        <v>823</v>
      </c>
      <c r="G478" t="s">
        <v>45</v>
      </c>
      <c r="H478">
        <v>17</v>
      </c>
      <c r="I478">
        <v>2</v>
      </c>
      <c r="J478" t="s">
        <v>49</v>
      </c>
      <c r="K478">
        <v>1</v>
      </c>
      <c r="L478">
        <v>643</v>
      </c>
      <c r="M478">
        <v>4</v>
      </c>
      <c r="N478" t="str" cm="1">
        <f t="array" ref="N478">_xlfn.IFS(HRData[[#This Row],[EnvironmentSatisfaction]]=1,"Very Dissatisfied",
HRData[[#This Row],[EnvironmentSatisfaction]]=2,"Dissatisfied",
HRData[[#This Row],[EnvironmentSatisfaction]]=3,"Satisfied",
HRData[[#This Row],[EnvironmentSatisfaction]]=4,"Very Satisfied"
)</f>
        <v>Very Satisfied</v>
      </c>
      <c r="O478" t="s">
        <v>46</v>
      </c>
      <c r="P478">
        <v>94</v>
      </c>
      <c r="Q478">
        <v>2</v>
      </c>
      <c r="R478">
        <v>1</v>
      </c>
      <c r="S478" t="s">
        <v>50</v>
      </c>
      <c r="T478">
        <v>2</v>
      </c>
      <c r="U478" t="str" cm="1">
        <f t="array" ref="U478">_xlfn.IFS(
HRData[[#This Row],[JobSatisfaction]]=1,"Very Dissatisfied",
HRData[[#This Row],[JobSatisfaction]]=2,"Dissatisfied",
HRData[[#This Row],[JobSatisfaction]]=3,"Satisfied",
HRData[[#This Row],[JobSatisfaction]]=4,"Very Satisfied"
)</f>
        <v>Dissatisfied</v>
      </c>
      <c r="V478" t="s">
        <v>48</v>
      </c>
      <c r="W478">
        <v>2127</v>
      </c>
      <c r="X478" t="str" cm="1">
        <f t="array" ref="X478">_xlfn.IFS(
HRData[[#This Row],[MonthlyIncome]]&lt;=4000,"Very Low Income",
HRData[[#This Row],[MonthlyIncome]]&lt;=8000,"Low Income",
HRData[[#This Row],[MonthlyIncome]]&lt;=12000,"Moderate Income",
HRData[[#This Row],[MonthlyIncome]]&lt;=16000,"High Income",
HRData[[#This Row],[MonthlyIncome]]&gt;16000,"Very High Income"
)</f>
        <v>Very Low Income</v>
      </c>
      <c r="Y478">
        <v>9100</v>
      </c>
      <c r="Z478">
        <v>1</v>
      </c>
      <c r="AA478" t="s">
        <v>42</v>
      </c>
      <c r="AB478" t="s">
        <v>43</v>
      </c>
      <c r="AC478">
        <v>21</v>
      </c>
      <c r="AD478" t="str" cm="1">
        <f t="array" ref="AD478">_xlfn.IFS(HRData[[#This Row],[PercentSalaryHike]]&lt;=15,"11-15",HRData[[#This Row],[PercentSalaryHike]]&lt;=20,"16-20",HRData[[#This Row],[PercentSalaryHike]]&gt;=21,"21+")</f>
        <v>21+</v>
      </c>
      <c r="AE478">
        <v>4</v>
      </c>
      <c r="AF478">
        <v>4</v>
      </c>
      <c r="AG478">
        <v>80</v>
      </c>
      <c r="AH478">
        <v>1</v>
      </c>
      <c r="AI478">
        <v>1</v>
      </c>
      <c r="AJ478">
        <v>2</v>
      </c>
      <c r="AK478">
        <v>3</v>
      </c>
      <c r="AL478">
        <v>1</v>
      </c>
      <c r="AM478">
        <v>0</v>
      </c>
      <c r="AN478">
        <v>0</v>
      </c>
      <c r="AO478">
        <v>0</v>
      </c>
      <c r="AP47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478" t="str">
        <f>IF(HRData[[#This Row],[Attrition]]="Yes","Left", IF(HRData[[#This Row],[Attrition_Risk_Score]]&gt;=6,"High",IF(HRData[[#This Row],[Attrition_Risk_Score]]&gt;=3,"Medium","Low")))</f>
        <v>Medium</v>
      </c>
      <c r="AR478" t="str">
        <f>IF(HRData[[#This Row],[Attrition_Risk_Level]]&lt;&gt;"High","",HRData[[#This Row],[Attrition_Risk_Score]]*10000-HRData[[#This Row],[EmployeeNumber]])</f>
        <v/>
      </c>
    </row>
    <row r="479" spans="1:44">
      <c r="A479">
        <v>50</v>
      </c>
      <c r="B479" t="str" cm="1">
        <f t="array" ref="B479">_xlfn.IFS(
HRData[[#This Row],[Age]]&lt;=24,"18-24",
HRData[[#This Row],[Age]]&lt;=34,"25-34",
HRData[[#This Row],[Age]]&lt;=44,"35-44",
HRData[[#This Row],[Age]]&lt;=54,"45-54",
HRData[[#This Row],[Age]]&gt;=55,"55+"
)</f>
        <v>45-54</v>
      </c>
      <c r="C479" t="s">
        <v>43</v>
      </c>
      <c r="D479">
        <f>IF(HRData[[#This Row],[Attrition]]="Yes",1,0)</f>
        <v>0</v>
      </c>
      <c r="E479" t="s">
        <v>44</v>
      </c>
      <c r="F479">
        <v>1246</v>
      </c>
      <c r="G479" t="s">
        <v>61</v>
      </c>
      <c r="H479">
        <v>3</v>
      </c>
      <c r="I479">
        <v>3</v>
      </c>
      <c r="J479" t="s">
        <v>51</v>
      </c>
      <c r="K479">
        <v>1</v>
      </c>
      <c r="L479">
        <v>644</v>
      </c>
      <c r="M479">
        <v>1</v>
      </c>
      <c r="N479" t="str" cm="1">
        <f t="array" ref="N479">_xlfn.IFS(HRData[[#This Row],[EnvironmentSatisfaction]]=1,"Very Dissatisfied",
HRData[[#This Row],[EnvironmentSatisfaction]]=2,"Dissatisfied",
HRData[[#This Row],[EnvironmentSatisfaction]]=3,"Satisfied",
HRData[[#This Row],[EnvironmentSatisfaction]]=4,"Very Satisfied"
)</f>
        <v>Very Dissatisfied</v>
      </c>
      <c r="O479" t="s">
        <v>46</v>
      </c>
      <c r="P479">
        <v>99</v>
      </c>
      <c r="Q479">
        <v>3</v>
      </c>
      <c r="R479">
        <v>5</v>
      </c>
      <c r="S479" t="s">
        <v>56</v>
      </c>
      <c r="T479">
        <v>2</v>
      </c>
      <c r="U479" t="str" cm="1">
        <f t="array" ref="U479">_xlfn.IFS(
HRData[[#This Row],[JobSatisfaction]]=1,"Very Dissatisfied",
HRData[[#This Row],[JobSatisfaction]]=2,"Dissatisfied",
HRData[[#This Row],[JobSatisfaction]]=3,"Satisfied",
HRData[[#This Row],[JobSatisfaction]]=4,"Very Satisfied"
)</f>
        <v>Dissatisfied</v>
      </c>
      <c r="V479" t="s">
        <v>48</v>
      </c>
      <c r="W479">
        <v>18200</v>
      </c>
      <c r="X479" t="str" cm="1">
        <f t="array" ref="X479">_xlfn.IFS(
HRData[[#This Row],[MonthlyIncome]]&lt;=4000,"Very Low Income",
HRData[[#This Row],[MonthlyIncome]]&lt;=8000,"Low Income",
HRData[[#This Row],[MonthlyIncome]]&lt;=12000,"Moderate Income",
HRData[[#This Row],[MonthlyIncome]]&lt;=16000,"High Income",
HRData[[#This Row],[MonthlyIncome]]&gt;16000,"Very High Income"
)</f>
        <v>Very High Income</v>
      </c>
      <c r="Y479">
        <v>7999</v>
      </c>
      <c r="Z479">
        <v>1</v>
      </c>
      <c r="AA479" t="s">
        <v>42</v>
      </c>
      <c r="AB479" t="s">
        <v>43</v>
      </c>
      <c r="AC479">
        <v>11</v>
      </c>
      <c r="AD479" t="str" cm="1">
        <f t="array" ref="AD479">_xlfn.IFS(HRData[[#This Row],[PercentSalaryHike]]&lt;=15,"11-15",HRData[[#This Row],[PercentSalaryHike]]&lt;=20,"16-20",HRData[[#This Row],[PercentSalaryHike]]&gt;=21,"21+")</f>
        <v>11-15</v>
      </c>
      <c r="AE479">
        <v>3</v>
      </c>
      <c r="AF479">
        <v>3</v>
      </c>
      <c r="AG479">
        <v>80</v>
      </c>
      <c r="AH479">
        <v>1</v>
      </c>
      <c r="AI479">
        <v>32</v>
      </c>
      <c r="AJ479">
        <v>2</v>
      </c>
      <c r="AK479">
        <v>3</v>
      </c>
      <c r="AL479">
        <v>32</v>
      </c>
      <c r="AM479">
        <v>5</v>
      </c>
      <c r="AN479">
        <v>10</v>
      </c>
      <c r="AO479">
        <v>7</v>
      </c>
      <c r="AP47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479" t="str">
        <f>IF(HRData[[#This Row],[Attrition]]="Yes","Left", IF(HRData[[#This Row],[Attrition_Risk_Score]]&gt;=6,"High",IF(HRData[[#This Row],[Attrition_Risk_Score]]&gt;=3,"Medium","Low")))</f>
        <v>Low</v>
      </c>
      <c r="AR479" t="str">
        <f>IF(HRData[[#This Row],[Attrition_Risk_Level]]&lt;&gt;"High","",HRData[[#This Row],[Attrition_Risk_Score]]*10000-HRData[[#This Row],[EmployeeNumber]])</f>
        <v/>
      </c>
    </row>
    <row r="480" spans="1:44">
      <c r="A480">
        <v>25</v>
      </c>
      <c r="B480" t="str" cm="1">
        <f t="array" ref="B480">_xlfn.IFS(
HRData[[#This Row],[Age]]&lt;=24,"18-24",
HRData[[#This Row],[Age]]&lt;=34,"25-34",
HRData[[#This Row],[Age]]&lt;=44,"35-44",
HRData[[#This Row],[Age]]&lt;=54,"45-54",
HRData[[#This Row],[Age]]&gt;=55,"55+"
)</f>
        <v>25-34</v>
      </c>
      <c r="C480" t="s">
        <v>43</v>
      </c>
      <c r="D480">
        <f>IF(HRData[[#This Row],[Attrition]]="Yes",1,0)</f>
        <v>0</v>
      </c>
      <c r="E480" t="s">
        <v>36</v>
      </c>
      <c r="F480">
        <v>622</v>
      </c>
      <c r="G480" t="s">
        <v>37</v>
      </c>
      <c r="H480">
        <v>13</v>
      </c>
      <c r="I480">
        <v>1</v>
      </c>
      <c r="J480" t="s">
        <v>51</v>
      </c>
      <c r="K480">
        <v>1</v>
      </c>
      <c r="L480">
        <v>645</v>
      </c>
      <c r="M480">
        <v>2</v>
      </c>
      <c r="N480" t="str" cm="1">
        <f t="array" ref="N480">_xlfn.IFS(HRData[[#This Row],[EnvironmentSatisfaction]]=1,"Very Dissatisfied",
HRData[[#This Row],[EnvironmentSatisfaction]]=2,"Dissatisfied",
HRData[[#This Row],[EnvironmentSatisfaction]]=3,"Satisfied",
HRData[[#This Row],[EnvironmentSatisfaction]]=4,"Very Satisfied"
)</f>
        <v>Dissatisfied</v>
      </c>
      <c r="O480" t="s">
        <v>46</v>
      </c>
      <c r="P480">
        <v>40</v>
      </c>
      <c r="Q480">
        <v>3</v>
      </c>
      <c r="R480">
        <v>1</v>
      </c>
      <c r="S480" t="s">
        <v>57</v>
      </c>
      <c r="T480">
        <v>3</v>
      </c>
      <c r="U480" t="str" cm="1">
        <f t="array" ref="U480">_xlfn.IFS(
HRData[[#This Row],[JobSatisfaction]]=1,"Very Dissatisfied",
HRData[[#This Row],[JobSatisfaction]]=2,"Dissatisfied",
HRData[[#This Row],[JobSatisfaction]]=3,"Satisfied",
HRData[[#This Row],[JobSatisfaction]]=4,"Very Satisfied"
)</f>
        <v>Satisfied</v>
      </c>
      <c r="V480" t="s">
        <v>48</v>
      </c>
      <c r="W480">
        <v>2096</v>
      </c>
      <c r="X480" t="str" cm="1">
        <f t="array" ref="X480">_xlfn.IFS(
HRData[[#This Row],[MonthlyIncome]]&lt;=4000,"Very Low Income",
HRData[[#This Row],[MonthlyIncome]]&lt;=8000,"Low Income",
HRData[[#This Row],[MonthlyIncome]]&lt;=12000,"Moderate Income",
HRData[[#This Row],[MonthlyIncome]]&lt;=16000,"High Income",
HRData[[#This Row],[MonthlyIncome]]&gt;16000,"Very High Income"
)</f>
        <v>Very Low Income</v>
      </c>
      <c r="Y480">
        <v>26376</v>
      </c>
      <c r="Z480">
        <v>1</v>
      </c>
      <c r="AA480" t="s">
        <v>42</v>
      </c>
      <c r="AB480" t="s">
        <v>43</v>
      </c>
      <c r="AC480">
        <v>11</v>
      </c>
      <c r="AD480" t="str" cm="1">
        <f t="array" ref="AD480">_xlfn.IFS(HRData[[#This Row],[PercentSalaryHike]]&lt;=15,"11-15",HRData[[#This Row],[PercentSalaryHike]]&lt;=20,"16-20",HRData[[#This Row],[PercentSalaryHike]]&gt;=21,"21+")</f>
        <v>11-15</v>
      </c>
      <c r="AE480">
        <v>3</v>
      </c>
      <c r="AF480">
        <v>3</v>
      </c>
      <c r="AG480">
        <v>80</v>
      </c>
      <c r="AH480">
        <v>0</v>
      </c>
      <c r="AI480">
        <v>7</v>
      </c>
      <c r="AJ480">
        <v>1</v>
      </c>
      <c r="AK480">
        <v>3</v>
      </c>
      <c r="AL480">
        <v>7</v>
      </c>
      <c r="AM480">
        <v>4</v>
      </c>
      <c r="AN480">
        <v>0</v>
      </c>
      <c r="AO480">
        <v>6</v>
      </c>
      <c r="AP48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480" t="str">
        <f>IF(HRData[[#This Row],[Attrition]]="Yes","Left", IF(HRData[[#This Row],[Attrition_Risk_Score]]&gt;=6,"High",IF(HRData[[#This Row],[Attrition_Risk_Score]]&gt;=3,"Medium","Low")))</f>
        <v>Medium</v>
      </c>
      <c r="AR480" t="str">
        <f>IF(HRData[[#This Row],[Attrition_Risk_Level]]&lt;&gt;"High","",HRData[[#This Row],[Attrition_Risk_Score]]*10000-HRData[[#This Row],[EmployeeNumber]])</f>
        <v/>
      </c>
    </row>
    <row r="481" spans="1:44">
      <c r="A481">
        <v>24</v>
      </c>
      <c r="B481" t="str" cm="1">
        <f t="array" ref="B481">_xlfn.IFS(
HRData[[#This Row],[Age]]&lt;=24,"18-24",
HRData[[#This Row],[Age]]&lt;=34,"25-34",
HRData[[#This Row],[Age]]&lt;=44,"35-44",
HRData[[#This Row],[Age]]&lt;=54,"45-54",
HRData[[#This Row],[Age]]&gt;=55,"55+"
)</f>
        <v>18-24</v>
      </c>
      <c r="C481" t="s">
        <v>35</v>
      </c>
      <c r="D481">
        <f>IF(HRData[[#This Row],[Attrition]]="Yes",1,0)</f>
        <v>1</v>
      </c>
      <c r="E481" t="s">
        <v>44</v>
      </c>
      <c r="F481">
        <v>1287</v>
      </c>
      <c r="G481" t="s">
        <v>45</v>
      </c>
      <c r="H481">
        <v>7</v>
      </c>
      <c r="I481">
        <v>3</v>
      </c>
      <c r="J481" t="s">
        <v>38</v>
      </c>
      <c r="K481">
        <v>1</v>
      </c>
      <c r="L481">
        <v>647</v>
      </c>
      <c r="M481">
        <v>1</v>
      </c>
      <c r="N481" t="str" cm="1">
        <f t="array" ref="N481">_xlfn.IFS(HRData[[#This Row],[EnvironmentSatisfaction]]=1,"Very Dissatisfied",
HRData[[#This Row],[EnvironmentSatisfaction]]=2,"Dissatisfied",
HRData[[#This Row],[EnvironmentSatisfaction]]=3,"Satisfied",
HRData[[#This Row],[EnvironmentSatisfaction]]=4,"Very Satisfied"
)</f>
        <v>Very Dissatisfied</v>
      </c>
      <c r="O481" t="s">
        <v>39</v>
      </c>
      <c r="P481">
        <v>55</v>
      </c>
      <c r="Q481">
        <v>3</v>
      </c>
      <c r="R481">
        <v>1</v>
      </c>
      <c r="S481" t="s">
        <v>50</v>
      </c>
      <c r="T481">
        <v>3</v>
      </c>
      <c r="U481" t="str" cm="1">
        <f t="array" ref="U481">_xlfn.IFS(
HRData[[#This Row],[JobSatisfaction]]=1,"Very Dissatisfied",
HRData[[#This Row],[JobSatisfaction]]=2,"Dissatisfied",
HRData[[#This Row],[JobSatisfaction]]=3,"Satisfied",
HRData[[#This Row],[JobSatisfaction]]=4,"Very Satisfied"
)</f>
        <v>Satisfied</v>
      </c>
      <c r="V481" t="s">
        <v>48</v>
      </c>
      <c r="W481">
        <v>2886</v>
      </c>
      <c r="X481" t="str" cm="1">
        <f t="array" ref="X481">_xlfn.IFS(
HRData[[#This Row],[MonthlyIncome]]&lt;=4000,"Very Low Income",
HRData[[#This Row],[MonthlyIncome]]&lt;=8000,"Low Income",
HRData[[#This Row],[MonthlyIncome]]&lt;=12000,"Moderate Income",
HRData[[#This Row],[MonthlyIncome]]&lt;=16000,"High Income",
HRData[[#This Row],[MonthlyIncome]]&gt;16000,"Very High Income"
)</f>
        <v>Very Low Income</v>
      </c>
      <c r="Y481">
        <v>14168</v>
      </c>
      <c r="Z481">
        <v>1</v>
      </c>
      <c r="AA481" t="s">
        <v>42</v>
      </c>
      <c r="AB481" t="s">
        <v>35</v>
      </c>
      <c r="AC481">
        <v>16</v>
      </c>
      <c r="AD481" t="str" cm="1">
        <f t="array" ref="AD481">_xlfn.IFS(HRData[[#This Row],[PercentSalaryHike]]&lt;=15,"11-15",HRData[[#This Row],[PercentSalaryHike]]&lt;=20,"16-20",HRData[[#This Row],[PercentSalaryHike]]&gt;=21,"21+")</f>
        <v>16-20</v>
      </c>
      <c r="AE481">
        <v>3</v>
      </c>
      <c r="AF481">
        <v>4</v>
      </c>
      <c r="AG481">
        <v>80</v>
      </c>
      <c r="AH481">
        <v>1</v>
      </c>
      <c r="AI481">
        <v>6</v>
      </c>
      <c r="AJ481">
        <v>4</v>
      </c>
      <c r="AK481">
        <v>3</v>
      </c>
      <c r="AL481">
        <v>6</v>
      </c>
      <c r="AM481">
        <v>3</v>
      </c>
      <c r="AN481">
        <v>1</v>
      </c>
      <c r="AO481">
        <v>2</v>
      </c>
      <c r="AP48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81" t="str">
        <f>IF(HRData[[#This Row],[Attrition]]="Yes","Left", IF(HRData[[#This Row],[Attrition_Risk_Score]]&gt;=6,"High",IF(HRData[[#This Row],[Attrition_Risk_Score]]&gt;=3,"Medium","Low")))</f>
        <v>Left</v>
      </c>
      <c r="AR481" t="str">
        <f>IF(HRData[[#This Row],[Attrition_Risk_Level]]&lt;&gt;"High","",HRData[[#This Row],[Attrition_Risk_Score]]*10000-HRData[[#This Row],[EmployeeNumber]])</f>
        <v/>
      </c>
    </row>
    <row r="482" spans="1:44">
      <c r="A482">
        <v>30</v>
      </c>
      <c r="B482" t="str" cm="1">
        <f t="array" ref="B482">_xlfn.IFS(
HRData[[#This Row],[Age]]&lt;=24,"18-24",
HRData[[#This Row],[Age]]&lt;=34,"25-34",
HRData[[#This Row],[Age]]&lt;=44,"35-44",
HRData[[#This Row],[Age]]&lt;=54,"45-54",
HRData[[#This Row],[Age]]&gt;=55,"55+"
)</f>
        <v>25-34</v>
      </c>
      <c r="C482" t="s">
        <v>35</v>
      </c>
      <c r="D482">
        <f>IF(HRData[[#This Row],[Attrition]]="Yes",1,0)</f>
        <v>1</v>
      </c>
      <c r="E482" t="s">
        <v>44</v>
      </c>
      <c r="F482">
        <v>448</v>
      </c>
      <c r="G482" t="s">
        <v>37</v>
      </c>
      <c r="H482">
        <v>12</v>
      </c>
      <c r="I482">
        <v>4</v>
      </c>
      <c r="J482" t="s">
        <v>38</v>
      </c>
      <c r="K482">
        <v>1</v>
      </c>
      <c r="L482">
        <v>648</v>
      </c>
      <c r="M482">
        <v>2</v>
      </c>
      <c r="N482" t="str" cm="1">
        <f t="array" ref="N482">_xlfn.IFS(HRData[[#This Row],[EnvironmentSatisfaction]]=1,"Very Dissatisfied",
HRData[[#This Row],[EnvironmentSatisfaction]]=2,"Dissatisfied",
HRData[[#This Row],[EnvironmentSatisfaction]]=3,"Satisfied",
HRData[[#This Row],[EnvironmentSatisfaction]]=4,"Very Satisfied"
)</f>
        <v>Dissatisfied</v>
      </c>
      <c r="O482" t="s">
        <v>46</v>
      </c>
      <c r="P482">
        <v>74</v>
      </c>
      <c r="Q482">
        <v>2</v>
      </c>
      <c r="R482">
        <v>1</v>
      </c>
      <c r="S482" t="s">
        <v>57</v>
      </c>
      <c r="T482">
        <v>1</v>
      </c>
      <c r="U482" t="str" cm="1">
        <f t="array" ref="U482">_xlfn.IFS(
HRData[[#This Row],[JobSatisfaction]]=1,"Very Dissatisfied",
HRData[[#This Row],[JobSatisfaction]]=2,"Dissatisfied",
HRData[[#This Row],[JobSatisfaction]]=3,"Satisfied",
HRData[[#This Row],[JobSatisfaction]]=4,"Very Satisfied"
)</f>
        <v>Very Dissatisfied</v>
      </c>
      <c r="V482" t="s">
        <v>48</v>
      </c>
      <c r="W482">
        <v>2033</v>
      </c>
      <c r="X482" t="str" cm="1">
        <f t="array" ref="X482">_xlfn.IFS(
HRData[[#This Row],[MonthlyIncome]]&lt;=4000,"Very Low Income",
HRData[[#This Row],[MonthlyIncome]]&lt;=8000,"Low Income",
HRData[[#This Row],[MonthlyIncome]]&lt;=12000,"Moderate Income",
HRData[[#This Row],[MonthlyIncome]]&lt;=16000,"High Income",
HRData[[#This Row],[MonthlyIncome]]&gt;16000,"Very High Income"
)</f>
        <v>Very Low Income</v>
      </c>
      <c r="Y482">
        <v>14470</v>
      </c>
      <c r="Z482">
        <v>1</v>
      </c>
      <c r="AA482" t="s">
        <v>42</v>
      </c>
      <c r="AB482" t="s">
        <v>43</v>
      </c>
      <c r="AC482">
        <v>18</v>
      </c>
      <c r="AD482" t="str" cm="1">
        <f t="array" ref="AD482">_xlfn.IFS(HRData[[#This Row],[PercentSalaryHike]]&lt;=15,"11-15",HRData[[#This Row],[PercentSalaryHike]]&lt;=20,"16-20",HRData[[#This Row],[PercentSalaryHike]]&gt;=21,"21+")</f>
        <v>16-20</v>
      </c>
      <c r="AE482">
        <v>3</v>
      </c>
      <c r="AF482">
        <v>3</v>
      </c>
      <c r="AG482">
        <v>80</v>
      </c>
      <c r="AH482">
        <v>1</v>
      </c>
      <c r="AI482">
        <v>1</v>
      </c>
      <c r="AJ482">
        <v>2</v>
      </c>
      <c r="AK482">
        <v>4</v>
      </c>
      <c r="AL482">
        <v>1</v>
      </c>
      <c r="AM482">
        <v>0</v>
      </c>
      <c r="AN482">
        <v>0</v>
      </c>
      <c r="AO482">
        <v>0</v>
      </c>
      <c r="AP48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82" t="str">
        <f>IF(HRData[[#This Row],[Attrition]]="Yes","Left", IF(HRData[[#This Row],[Attrition_Risk_Score]]&gt;=6,"High",IF(HRData[[#This Row],[Attrition_Risk_Score]]&gt;=3,"Medium","Low")))</f>
        <v>Left</v>
      </c>
      <c r="AR482" t="str">
        <f>IF(HRData[[#This Row],[Attrition_Risk_Level]]&lt;&gt;"High","",HRData[[#This Row],[Attrition_Risk_Score]]*10000-HRData[[#This Row],[EmployeeNumber]])</f>
        <v/>
      </c>
    </row>
    <row r="483" spans="1:44">
      <c r="A483">
        <v>34</v>
      </c>
      <c r="B483" t="str" cm="1">
        <f t="array" ref="B483">_xlfn.IFS(
HRData[[#This Row],[Age]]&lt;=24,"18-24",
HRData[[#This Row],[Age]]&lt;=34,"25-34",
HRData[[#This Row],[Age]]&lt;=44,"35-44",
HRData[[#This Row],[Age]]&lt;=54,"45-54",
HRData[[#This Row],[Age]]&gt;=55,"55+"
)</f>
        <v>25-34</v>
      </c>
      <c r="C483" t="s">
        <v>43</v>
      </c>
      <c r="D483">
        <f>IF(HRData[[#This Row],[Attrition]]="Yes",1,0)</f>
        <v>0</v>
      </c>
      <c r="E483" t="s">
        <v>36</v>
      </c>
      <c r="F483">
        <v>254</v>
      </c>
      <c r="G483" t="s">
        <v>45</v>
      </c>
      <c r="H483">
        <v>1</v>
      </c>
      <c r="I483">
        <v>2</v>
      </c>
      <c r="J483" t="s">
        <v>38</v>
      </c>
      <c r="K483">
        <v>1</v>
      </c>
      <c r="L483">
        <v>649</v>
      </c>
      <c r="M483">
        <v>2</v>
      </c>
      <c r="N483" t="str" cm="1">
        <f t="array" ref="N483">_xlfn.IFS(HRData[[#This Row],[EnvironmentSatisfaction]]=1,"Very Dissatisfied",
HRData[[#This Row],[EnvironmentSatisfaction]]=2,"Dissatisfied",
HRData[[#This Row],[EnvironmentSatisfaction]]=3,"Satisfied",
HRData[[#This Row],[EnvironmentSatisfaction]]=4,"Very Satisfied"
)</f>
        <v>Dissatisfied</v>
      </c>
      <c r="O483" t="s">
        <v>46</v>
      </c>
      <c r="P483">
        <v>83</v>
      </c>
      <c r="Q483">
        <v>2</v>
      </c>
      <c r="R483">
        <v>1</v>
      </c>
      <c r="S483" t="s">
        <v>47</v>
      </c>
      <c r="T483">
        <v>4</v>
      </c>
      <c r="U483" t="str" cm="1">
        <f t="array" ref="U483">_xlfn.IFS(
HRData[[#This Row],[JobSatisfaction]]=1,"Very Dissatisfied",
HRData[[#This Row],[JobSatisfaction]]=2,"Dissatisfied",
HRData[[#This Row],[JobSatisfaction]]=3,"Satisfied",
HRData[[#This Row],[JobSatisfaction]]=4,"Very Satisfied"
)</f>
        <v>Very Satisfied</v>
      </c>
      <c r="V483" t="s">
        <v>48</v>
      </c>
      <c r="W483">
        <v>3622</v>
      </c>
      <c r="X483" t="str" cm="1">
        <f t="array" ref="X483">_xlfn.IFS(
HRData[[#This Row],[MonthlyIncome]]&lt;=4000,"Very Low Income",
HRData[[#This Row],[MonthlyIncome]]&lt;=8000,"Low Income",
HRData[[#This Row],[MonthlyIncome]]&lt;=12000,"Moderate Income",
HRData[[#This Row],[MonthlyIncome]]&lt;=16000,"High Income",
HRData[[#This Row],[MonthlyIncome]]&gt;16000,"Very High Income"
)</f>
        <v>Very Low Income</v>
      </c>
      <c r="Y483">
        <v>22794</v>
      </c>
      <c r="Z483">
        <v>1</v>
      </c>
      <c r="AA483" t="s">
        <v>42</v>
      </c>
      <c r="AB483" t="s">
        <v>35</v>
      </c>
      <c r="AC483">
        <v>13</v>
      </c>
      <c r="AD483" t="str" cm="1">
        <f t="array" ref="AD483">_xlfn.IFS(HRData[[#This Row],[PercentSalaryHike]]&lt;=15,"11-15",HRData[[#This Row],[PercentSalaryHike]]&lt;=20,"16-20",HRData[[#This Row],[PercentSalaryHike]]&gt;=21,"21+")</f>
        <v>11-15</v>
      </c>
      <c r="AE483">
        <v>3</v>
      </c>
      <c r="AF483">
        <v>4</v>
      </c>
      <c r="AG483">
        <v>80</v>
      </c>
      <c r="AH483">
        <v>1</v>
      </c>
      <c r="AI483">
        <v>6</v>
      </c>
      <c r="AJ483">
        <v>3</v>
      </c>
      <c r="AK483">
        <v>3</v>
      </c>
      <c r="AL483">
        <v>6</v>
      </c>
      <c r="AM483">
        <v>5</v>
      </c>
      <c r="AN483">
        <v>1</v>
      </c>
      <c r="AO483">
        <v>3</v>
      </c>
      <c r="AP48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483" t="str">
        <f>IF(HRData[[#This Row],[Attrition]]="Yes","Left", IF(HRData[[#This Row],[Attrition_Risk_Score]]&gt;=6,"High",IF(HRData[[#This Row],[Attrition_Risk_Score]]&gt;=3,"Medium","Low")))</f>
        <v>Medium</v>
      </c>
      <c r="AR483" t="str">
        <f>IF(HRData[[#This Row],[Attrition_Risk_Level]]&lt;&gt;"High","",HRData[[#This Row],[Attrition_Risk_Score]]*10000-HRData[[#This Row],[EmployeeNumber]])</f>
        <v/>
      </c>
    </row>
    <row r="484" spans="1:44">
      <c r="A484">
        <v>31</v>
      </c>
      <c r="B484" t="str" cm="1">
        <f t="array" ref="B484">_xlfn.IFS(
HRData[[#This Row],[Age]]&lt;=24,"18-24",
HRData[[#This Row],[Age]]&lt;=34,"25-34",
HRData[[#This Row],[Age]]&lt;=44,"35-44",
HRData[[#This Row],[Age]]&lt;=54,"45-54",
HRData[[#This Row],[Age]]&gt;=55,"55+"
)</f>
        <v>25-34</v>
      </c>
      <c r="C484" t="s">
        <v>35</v>
      </c>
      <c r="D484">
        <f>IF(HRData[[#This Row],[Attrition]]="Yes",1,0)</f>
        <v>1</v>
      </c>
      <c r="E484" t="s">
        <v>36</v>
      </c>
      <c r="F484">
        <v>1365</v>
      </c>
      <c r="G484" t="s">
        <v>37</v>
      </c>
      <c r="H484">
        <v>13</v>
      </c>
      <c r="I484">
        <v>4</v>
      </c>
      <c r="J484" t="s">
        <v>51</v>
      </c>
      <c r="K484">
        <v>1</v>
      </c>
      <c r="L484">
        <v>650</v>
      </c>
      <c r="M484">
        <v>2</v>
      </c>
      <c r="N484" t="str" cm="1">
        <f t="array" ref="N484">_xlfn.IFS(HRData[[#This Row],[EnvironmentSatisfaction]]=1,"Very Dissatisfied",
HRData[[#This Row],[EnvironmentSatisfaction]]=2,"Dissatisfied",
HRData[[#This Row],[EnvironmentSatisfaction]]=3,"Satisfied",
HRData[[#This Row],[EnvironmentSatisfaction]]=4,"Very Satisfied"
)</f>
        <v>Dissatisfied</v>
      </c>
      <c r="O484" t="s">
        <v>46</v>
      </c>
      <c r="P484">
        <v>46</v>
      </c>
      <c r="Q484">
        <v>3</v>
      </c>
      <c r="R484">
        <v>2</v>
      </c>
      <c r="S484" t="s">
        <v>40</v>
      </c>
      <c r="T484">
        <v>1</v>
      </c>
      <c r="U484" t="str" cm="1">
        <f t="array" ref="U484">_xlfn.IFS(
HRData[[#This Row],[JobSatisfaction]]=1,"Very Dissatisfied",
HRData[[#This Row],[JobSatisfaction]]=2,"Dissatisfied",
HRData[[#This Row],[JobSatisfaction]]=3,"Satisfied",
HRData[[#This Row],[JobSatisfaction]]=4,"Very Satisfied"
)</f>
        <v>Very Dissatisfied</v>
      </c>
      <c r="V484" t="s">
        <v>52</v>
      </c>
      <c r="W484">
        <v>4233</v>
      </c>
      <c r="X484" t="str" cm="1">
        <f t="array" ref="X484">_xlfn.IFS(
HRData[[#This Row],[MonthlyIncome]]&lt;=4000,"Very Low Income",
HRData[[#This Row],[MonthlyIncome]]&lt;=8000,"Low Income",
HRData[[#This Row],[MonthlyIncome]]&lt;=12000,"Moderate Income",
HRData[[#This Row],[MonthlyIncome]]&lt;=16000,"High Income",
HRData[[#This Row],[MonthlyIncome]]&gt;16000,"Very High Income"
)</f>
        <v>Low Income</v>
      </c>
      <c r="Y484">
        <v>11512</v>
      </c>
      <c r="Z484">
        <v>2</v>
      </c>
      <c r="AA484" t="s">
        <v>42</v>
      </c>
      <c r="AB484" t="s">
        <v>43</v>
      </c>
      <c r="AC484">
        <v>17</v>
      </c>
      <c r="AD484" t="str" cm="1">
        <f t="array" ref="AD484">_xlfn.IFS(HRData[[#This Row],[PercentSalaryHike]]&lt;=15,"11-15",HRData[[#This Row],[PercentSalaryHike]]&lt;=20,"16-20",HRData[[#This Row],[PercentSalaryHike]]&gt;=21,"21+")</f>
        <v>16-20</v>
      </c>
      <c r="AE484">
        <v>3</v>
      </c>
      <c r="AF484">
        <v>3</v>
      </c>
      <c r="AG484">
        <v>80</v>
      </c>
      <c r="AH484">
        <v>0</v>
      </c>
      <c r="AI484">
        <v>9</v>
      </c>
      <c r="AJ484">
        <v>2</v>
      </c>
      <c r="AK484">
        <v>1</v>
      </c>
      <c r="AL484">
        <v>3</v>
      </c>
      <c r="AM484">
        <v>1</v>
      </c>
      <c r="AN484">
        <v>1</v>
      </c>
      <c r="AO484">
        <v>2</v>
      </c>
      <c r="AP48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84" t="str">
        <f>IF(HRData[[#This Row],[Attrition]]="Yes","Left", IF(HRData[[#This Row],[Attrition_Risk_Score]]&gt;=6,"High",IF(HRData[[#This Row],[Attrition_Risk_Score]]&gt;=3,"Medium","Low")))</f>
        <v>Left</v>
      </c>
      <c r="AR484" t="str">
        <f>IF(HRData[[#This Row],[Attrition_Risk_Level]]&lt;&gt;"High","",HRData[[#This Row],[Attrition_Risk_Score]]*10000-HRData[[#This Row],[EmployeeNumber]])</f>
        <v/>
      </c>
    </row>
    <row r="485" spans="1:44">
      <c r="A485">
        <v>35</v>
      </c>
      <c r="B485" t="str" cm="1">
        <f t="array" ref="B485">_xlfn.IFS(
HRData[[#This Row],[Age]]&lt;=24,"18-24",
HRData[[#This Row],[Age]]&lt;=34,"25-34",
HRData[[#This Row],[Age]]&lt;=44,"35-44",
HRData[[#This Row],[Age]]&lt;=54,"45-54",
HRData[[#This Row],[Age]]&gt;=55,"55+"
)</f>
        <v>35-44</v>
      </c>
      <c r="C485" t="s">
        <v>43</v>
      </c>
      <c r="D485">
        <f>IF(HRData[[#This Row],[Attrition]]="Yes",1,0)</f>
        <v>0</v>
      </c>
      <c r="E485" t="s">
        <v>36</v>
      </c>
      <c r="F485">
        <v>538</v>
      </c>
      <c r="G485" t="s">
        <v>45</v>
      </c>
      <c r="H485">
        <v>25</v>
      </c>
      <c r="I485">
        <v>2</v>
      </c>
      <c r="J485" t="s">
        <v>49</v>
      </c>
      <c r="K485">
        <v>1</v>
      </c>
      <c r="L485">
        <v>652</v>
      </c>
      <c r="M485">
        <v>1</v>
      </c>
      <c r="N485" t="str" cm="1">
        <f t="array" ref="N485">_xlfn.IFS(HRData[[#This Row],[EnvironmentSatisfaction]]=1,"Very Dissatisfied",
HRData[[#This Row],[EnvironmentSatisfaction]]=2,"Dissatisfied",
HRData[[#This Row],[EnvironmentSatisfaction]]=3,"Satisfied",
HRData[[#This Row],[EnvironmentSatisfaction]]=4,"Very Satisfied"
)</f>
        <v>Very Dissatisfied</v>
      </c>
      <c r="O485" t="s">
        <v>46</v>
      </c>
      <c r="P485">
        <v>54</v>
      </c>
      <c r="Q485">
        <v>2</v>
      </c>
      <c r="R485">
        <v>2</v>
      </c>
      <c r="S485" t="s">
        <v>50</v>
      </c>
      <c r="T485">
        <v>4</v>
      </c>
      <c r="U485" t="str" cm="1">
        <f t="array" ref="U485">_xlfn.IFS(
HRData[[#This Row],[JobSatisfaction]]=1,"Very Dissatisfied",
HRData[[#This Row],[JobSatisfaction]]=2,"Dissatisfied",
HRData[[#This Row],[JobSatisfaction]]=3,"Satisfied",
HRData[[#This Row],[JobSatisfaction]]=4,"Very Satisfied"
)</f>
        <v>Very Satisfied</v>
      </c>
      <c r="V485" t="s">
        <v>41</v>
      </c>
      <c r="W485">
        <v>3681</v>
      </c>
      <c r="X485" t="str" cm="1">
        <f t="array" ref="X485">_xlfn.IFS(
HRData[[#This Row],[MonthlyIncome]]&lt;=4000,"Very Low Income",
HRData[[#This Row],[MonthlyIncome]]&lt;=8000,"Low Income",
HRData[[#This Row],[MonthlyIncome]]&lt;=12000,"Moderate Income",
HRData[[#This Row],[MonthlyIncome]]&lt;=16000,"High Income",
HRData[[#This Row],[MonthlyIncome]]&gt;16000,"Very High Income"
)</f>
        <v>Very Low Income</v>
      </c>
      <c r="Y485">
        <v>14004</v>
      </c>
      <c r="Z485">
        <v>4</v>
      </c>
      <c r="AA485" t="s">
        <v>42</v>
      </c>
      <c r="AB485" t="s">
        <v>43</v>
      </c>
      <c r="AC485">
        <v>14</v>
      </c>
      <c r="AD485" t="str" cm="1">
        <f t="array" ref="AD485">_xlfn.IFS(HRData[[#This Row],[PercentSalaryHike]]&lt;=15,"11-15",HRData[[#This Row],[PercentSalaryHike]]&lt;=20,"16-20",HRData[[#This Row],[PercentSalaryHike]]&gt;=21,"21+")</f>
        <v>11-15</v>
      </c>
      <c r="AE485">
        <v>3</v>
      </c>
      <c r="AF485">
        <v>4</v>
      </c>
      <c r="AG485">
        <v>80</v>
      </c>
      <c r="AH485">
        <v>0</v>
      </c>
      <c r="AI485">
        <v>9</v>
      </c>
      <c r="AJ485">
        <v>3</v>
      </c>
      <c r="AK485">
        <v>3</v>
      </c>
      <c r="AL485">
        <v>3</v>
      </c>
      <c r="AM485">
        <v>2</v>
      </c>
      <c r="AN485">
        <v>0</v>
      </c>
      <c r="AO485">
        <v>2</v>
      </c>
      <c r="AP48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485" t="str">
        <f>IF(HRData[[#This Row],[Attrition]]="Yes","Left", IF(HRData[[#This Row],[Attrition_Risk_Score]]&gt;=6,"High",IF(HRData[[#This Row],[Attrition_Risk_Score]]&gt;=3,"Medium","Low")))</f>
        <v>Medium</v>
      </c>
      <c r="AR485" t="str">
        <f>IF(HRData[[#This Row],[Attrition_Risk_Level]]&lt;&gt;"High","",HRData[[#This Row],[Attrition_Risk_Score]]*10000-HRData[[#This Row],[EmployeeNumber]])</f>
        <v/>
      </c>
    </row>
    <row r="486" spans="1:44">
      <c r="A486">
        <v>31</v>
      </c>
      <c r="B486" t="str" cm="1">
        <f t="array" ref="B486">_xlfn.IFS(
HRData[[#This Row],[Age]]&lt;=24,"18-24",
HRData[[#This Row],[Age]]&lt;=34,"25-34",
HRData[[#This Row],[Age]]&lt;=44,"35-44",
HRData[[#This Row],[Age]]&lt;=54,"45-54",
HRData[[#This Row],[Age]]&gt;=55,"55+"
)</f>
        <v>25-34</v>
      </c>
      <c r="C486" t="s">
        <v>43</v>
      </c>
      <c r="D486">
        <f>IF(HRData[[#This Row],[Attrition]]="Yes",1,0)</f>
        <v>0</v>
      </c>
      <c r="E486" t="s">
        <v>36</v>
      </c>
      <c r="F486">
        <v>525</v>
      </c>
      <c r="G486" t="s">
        <v>37</v>
      </c>
      <c r="H486">
        <v>6</v>
      </c>
      <c r="I486">
        <v>4</v>
      </c>
      <c r="J486" t="s">
        <v>51</v>
      </c>
      <c r="K486">
        <v>1</v>
      </c>
      <c r="L486">
        <v>653</v>
      </c>
      <c r="M486">
        <v>1</v>
      </c>
      <c r="N486" t="str" cm="1">
        <f t="array" ref="N486">_xlfn.IFS(HRData[[#This Row],[EnvironmentSatisfaction]]=1,"Very Dissatisfied",
HRData[[#This Row],[EnvironmentSatisfaction]]=2,"Dissatisfied",
HRData[[#This Row],[EnvironmentSatisfaction]]=3,"Satisfied",
HRData[[#This Row],[EnvironmentSatisfaction]]=4,"Very Satisfied"
)</f>
        <v>Very Dissatisfied</v>
      </c>
      <c r="O486" t="s">
        <v>46</v>
      </c>
      <c r="P486">
        <v>66</v>
      </c>
      <c r="Q486">
        <v>4</v>
      </c>
      <c r="R486">
        <v>2</v>
      </c>
      <c r="S486" t="s">
        <v>40</v>
      </c>
      <c r="T486">
        <v>4</v>
      </c>
      <c r="U486" t="str" cm="1">
        <f t="array" ref="U486">_xlfn.IFS(
HRData[[#This Row],[JobSatisfaction]]=1,"Very Dissatisfied",
HRData[[#This Row],[JobSatisfaction]]=2,"Dissatisfied",
HRData[[#This Row],[JobSatisfaction]]=3,"Satisfied",
HRData[[#This Row],[JobSatisfaction]]=4,"Very Satisfied"
)</f>
        <v>Very Satisfied</v>
      </c>
      <c r="V486" t="s">
        <v>52</v>
      </c>
      <c r="W486">
        <v>5460</v>
      </c>
      <c r="X486" t="str" cm="1">
        <f t="array" ref="X486">_xlfn.IFS(
HRData[[#This Row],[MonthlyIncome]]&lt;=4000,"Very Low Income",
HRData[[#This Row],[MonthlyIncome]]&lt;=8000,"Low Income",
HRData[[#This Row],[MonthlyIncome]]&lt;=12000,"Moderate Income",
HRData[[#This Row],[MonthlyIncome]]&lt;=16000,"High Income",
HRData[[#This Row],[MonthlyIncome]]&gt;16000,"Very High Income"
)</f>
        <v>Low Income</v>
      </c>
      <c r="Y486">
        <v>6219</v>
      </c>
      <c r="Z486">
        <v>4</v>
      </c>
      <c r="AA486" t="s">
        <v>42</v>
      </c>
      <c r="AB486" t="s">
        <v>43</v>
      </c>
      <c r="AC486">
        <v>22</v>
      </c>
      <c r="AD486" t="str" cm="1">
        <f t="array" ref="AD486">_xlfn.IFS(HRData[[#This Row],[PercentSalaryHike]]&lt;=15,"11-15",HRData[[#This Row],[PercentSalaryHike]]&lt;=20,"16-20",HRData[[#This Row],[PercentSalaryHike]]&gt;=21,"21+")</f>
        <v>21+</v>
      </c>
      <c r="AE486">
        <v>4</v>
      </c>
      <c r="AF486">
        <v>4</v>
      </c>
      <c r="AG486">
        <v>80</v>
      </c>
      <c r="AH486">
        <v>2</v>
      </c>
      <c r="AI486">
        <v>13</v>
      </c>
      <c r="AJ486">
        <v>4</v>
      </c>
      <c r="AK486">
        <v>4</v>
      </c>
      <c r="AL486">
        <v>7</v>
      </c>
      <c r="AM486">
        <v>7</v>
      </c>
      <c r="AN486">
        <v>5</v>
      </c>
      <c r="AO486">
        <v>7</v>
      </c>
      <c r="AP48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86" t="str">
        <f>IF(HRData[[#This Row],[Attrition]]="Yes","Left", IF(HRData[[#This Row],[Attrition_Risk_Score]]&gt;=6,"High",IF(HRData[[#This Row],[Attrition_Risk_Score]]&gt;=3,"Medium","Low")))</f>
        <v>Low</v>
      </c>
      <c r="AR486" t="str">
        <f>IF(HRData[[#This Row],[Attrition_Risk_Level]]&lt;&gt;"High","",HRData[[#This Row],[Attrition_Risk_Score]]*10000-HRData[[#This Row],[EmployeeNumber]])</f>
        <v/>
      </c>
    </row>
    <row r="487" spans="1:44">
      <c r="A487">
        <v>27</v>
      </c>
      <c r="B487" t="str" cm="1">
        <f t="array" ref="B487">_xlfn.IFS(
HRData[[#This Row],[Age]]&lt;=24,"18-24",
HRData[[#This Row],[Age]]&lt;=34,"25-34",
HRData[[#This Row],[Age]]&lt;=44,"35-44",
HRData[[#This Row],[Age]]&lt;=54,"45-54",
HRData[[#This Row],[Age]]&gt;=55,"55+"
)</f>
        <v>25-34</v>
      </c>
      <c r="C487" t="s">
        <v>43</v>
      </c>
      <c r="D487">
        <f>IF(HRData[[#This Row],[Attrition]]="Yes",1,0)</f>
        <v>0</v>
      </c>
      <c r="E487" t="s">
        <v>36</v>
      </c>
      <c r="F487">
        <v>798</v>
      </c>
      <c r="G487" t="s">
        <v>45</v>
      </c>
      <c r="H487">
        <v>6</v>
      </c>
      <c r="I487">
        <v>4</v>
      </c>
      <c r="J487" t="s">
        <v>51</v>
      </c>
      <c r="K487">
        <v>1</v>
      </c>
      <c r="L487">
        <v>655</v>
      </c>
      <c r="M487">
        <v>1</v>
      </c>
      <c r="N487" t="str" cm="1">
        <f t="array" ref="N487">_xlfn.IFS(HRData[[#This Row],[EnvironmentSatisfaction]]=1,"Very Dissatisfied",
HRData[[#This Row],[EnvironmentSatisfaction]]=2,"Dissatisfied",
HRData[[#This Row],[EnvironmentSatisfaction]]=3,"Satisfied",
HRData[[#This Row],[EnvironmentSatisfaction]]=4,"Very Satisfied"
)</f>
        <v>Very Dissatisfied</v>
      </c>
      <c r="O487" t="s">
        <v>39</v>
      </c>
      <c r="P487">
        <v>66</v>
      </c>
      <c r="Q487">
        <v>2</v>
      </c>
      <c r="R487">
        <v>1</v>
      </c>
      <c r="S487" t="s">
        <v>47</v>
      </c>
      <c r="T487">
        <v>3</v>
      </c>
      <c r="U487" t="str" cm="1">
        <f t="array" ref="U487">_xlfn.IFS(
HRData[[#This Row],[JobSatisfaction]]=1,"Very Dissatisfied",
HRData[[#This Row],[JobSatisfaction]]=2,"Dissatisfied",
HRData[[#This Row],[JobSatisfaction]]=3,"Satisfied",
HRData[[#This Row],[JobSatisfaction]]=4,"Very Satisfied"
)</f>
        <v>Satisfied</v>
      </c>
      <c r="V487" t="s">
        <v>52</v>
      </c>
      <c r="W487">
        <v>2187</v>
      </c>
      <c r="X487" t="str" cm="1">
        <f t="array" ref="X487">_xlfn.IFS(
HRData[[#This Row],[MonthlyIncome]]&lt;=4000,"Very Low Income",
HRData[[#This Row],[MonthlyIncome]]&lt;=8000,"Low Income",
HRData[[#This Row],[MonthlyIncome]]&lt;=12000,"Moderate Income",
HRData[[#This Row],[MonthlyIncome]]&lt;=16000,"High Income",
HRData[[#This Row],[MonthlyIncome]]&gt;16000,"Very High Income"
)</f>
        <v>Very Low Income</v>
      </c>
      <c r="Y487">
        <v>5013</v>
      </c>
      <c r="Z487">
        <v>0</v>
      </c>
      <c r="AA487" t="s">
        <v>42</v>
      </c>
      <c r="AB487" t="s">
        <v>43</v>
      </c>
      <c r="AC487">
        <v>12</v>
      </c>
      <c r="AD487" t="str" cm="1">
        <f t="array" ref="AD487">_xlfn.IFS(HRData[[#This Row],[PercentSalaryHike]]&lt;=15,"11-15",HRData[[#This Row],[PercentSalaryHike]]&lt;=20,"16-20",HRData[[#This Row],[PercentSalaryHike]]&gt;=21,"21+")</f>
        <v>11-15</v>
      </c>
      <c r="AE487">
        <v>3</v>
      </c>
      <c r="AF487">
        <v>3</v>
      </c>
      <c r="AG487">
        <v>80</v>
      </c>
      <c r="AH487">
        <v>2</v>
      </c>
      <c r="AI487">
        <v>6</v>
      </c>
      <c r="AJ487">
        <v>5</v>
      </c>
      <c r="AK487">
        <v>2</v>
      </c>
      <c r="AL487">
        <v>5</v>
      </c>
      <c r="AM487">
        <v>3</v>
      </c>
      <c r="AN487">
        <v>0</v>
      </c>
      <c r="AO487">
        <v>3</v>
      </c>
      <c r="AP48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487" t="str">
        <f>IF(HRData[[#This Row],[Attrition]]="Yes","Left", IF(HRData[[#This Row],[Attrition_Risk_Score]]&gt;=6,"High",IF(HRData[[#This Row],[Attrition_Risk_Score]]&gt;=3,"Medium","Low")))</f>
        <v>Medium</v>
      </c>
      <c r="AR487" t="str">
        <f>IF(HRData[[#This Row],[Attrition_Risk_Level]]&lt;&gt;"High","",HRData[[#This Row],[Attrition_Risk_Score]]*10000-HRData[[#This Row],[EmployeeNumber]])</f>
        <v/>
      </c>
    </row>
    <row r="488" spans="1:44">
      <c r="A488">
        <v>37</v>
      </c>
      <c r="B488" t="str" cm="1">
        <f t="array" ref="B488">_xlfn.IFS(
HRData[[#This Row],[Age]]&lt;=24,"18-24",
HRData[[#This Row],[Age]]&lt;=34,"25-34",
HRData[[#This Row],[Age]]&lt;=44,"35-44",
HRData[[#This Row],[Age]]&lt;=54,"45-54",
HRData[[#This Row],[Age]]&gt;=55,"55+"
)</f>
        <v>35-44</v>
      </c>
      <c r="C488" t="s">
        <v>43</v>
      </c>
      <c r="D488">
        <f>IF(HRData[[#This Row],[Attrition]]="Yes",1,0)</f>
        <v>0</v>
      </c>
      <c r="E488" t="s">
        <v>36</v>
      </c>
      <c r="F488">
        <v>558</v>
      </c>
      <c r="G488" t="s">
        <v>37</v>
      </c>
      <c r="H488">
        <v>2</v>
      </c>
      <c r="I488">
        <v>3</v>
      </c>
      <c r="J488" t="s">
        <v>59</v>
      </c>
      <c r="K488">
        <v>1</v>
      </c>
      <c r="L488">
        <v>656</v>
      </c>
      <c r="M488">
        <v>4</v>
      </c>
      <c r="N488" t="str" cm="1">
        <f t="array" ref="N488">_xlfn.IFS(HRData[[#This Row],[EnvironmentSatisfaction]]=1,"Very Dissatisfied",
HRData[[#This Row],[EnvironmentSatisfaction]]=2,"Dissatisfied",
HRData[[#This Row],[EnvironmentSatisfaction]]=3,"Satisfied",
HRData[[#This Row],[EnvironmentSatisfaction]]=4,"Very Satisfied"
)</f>
        <v>Very Satisfied</v>
      </c>
      <c r="O488" t="s">
        <v>46</v>
      </c>
      <c r="P488">
        <v>75</v>
      </c>
      <c r="Q488">
        <v>3</v>
      </c>
      <c r="R488">
        <v>2</v>
      </c>
      <c r="S488" t="s">
        <v>40</v>
      </c>
      <c r="T488">
        <v>3</v>
      </c>
      <c r="U488" t="str" cm="1">
        <f t="array" ref="U488">_xlfn.IFS(
HRData[[#This Row],[JobSatisfaction]]=1,"Very Dissatisfied",
HRData[[#This Row],[JobSatisfaction]]=2,"Dissatisfied",
HRData[[#This Row],[JobSatisfaction]]=3,"Satisfied",
HRData[[#This Row],[JobSatisfaction]]=4,"Very Satisfied"
)</f>
        <v>Satisfied</v>
      </c>
      <c r="V488" t="s">
        <v>48</v>
      </c>
      <c r="W488">
        <v>9602</v>
      </c>
      <c r="X488" t="str" cm="1">
        <f t="array" ref="X488">_xlfn.IFS(
HRData[[#This Row],[MonthlyIncome]]&lt;=4000,"Very Low Income",
HRData[[#This Row],[MonthlyIncome]]&lt;=8000,"Low Income",
HRData[[#This Row],[MonthlyIncome]]&lt;=12000,"Moderate Income",
HRData[[#This Row],[MonthlyIncome]]&lt;=16000,"High Income",
HRData[[#This Row],[MonthlyIncome]]&gt;16000,"Very High Income"
)</f>
        <v>Moderate Income</v>
      </c>
      <c r="Y488">
        <v>3010</v>
      </c>
      <c r="Z488">
        <v>4</v>
      </c>
      <c r="AA488" t="s">
        <v>42</v>
      </c>
      <c r="AB488" t="s">
        <v>35</v>
      </c>
      <c r="AC488">
        <v>11</v>
      </c>
      <c r="AD488" t="str" cm="1">
        <f t="array" ref="AD488">_xlfn.IFS(HRData[[#This Row],[PercentSalaryHike]]&lt;=15,"11-15",HRData[[#This Row],[PercentSalaryHike]]&lt;=20,"16-20",HRData[[#This Row],[PercentSalaryHike]]&gt;=21,"21+")</f>
        <v>11-15</v>
      </c>
      <c r="AE488">
        <v>3</v>
      </c>
      <c r="AF488">
        <v>3</v>
      </c>
      <c r="AG488">
        <v>80</v>
      </c>
      <c r="AH488">
        <v>1</v>
      </c>
      <c r="AI488">
        <v>17</v>
      </c>
      <c r="AJ488">
        <v>3</v>
      </c>
      <c r="AK488">
        <v>2</v>
      </c>
      <c r="AL488">
        <v>3</v>
      </c>
      <c r="AM488">
        <v>0</v>
      </c>
      <c r="AN488">
        <v>1</v>
      </c>
      <c r="AO488">
        <v>0</v>
      </c>
      <c r="AP48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88" t="str">
        <f>IF(HRData[[#This Row],[Attrition]]="Yes","Left", IF(HRData[[#This Row],[Attrition_Risk_Score]]&gt;=6,"High",IF(HRData[[#This Row],[Attrition_Risk_Score]]&gt;=3,"Medium","Low")))</f>
        <v>Low</v>
      </c>
      <c r="AR488" t="str">
        <f>IF(HRData[[#This Row],[Attrition_Risk_Level]]&lt;&gt;"High","",HRData[[#This Row],[Attrition_Risk_Score]]*10000-HRData[[#This Row],[EmployeeNumber]])</f>
        <v/>
      </c>
    </row>
    <row r="489" spans="1:44">
      <c r="A489">
        <v>20</v>
      </c>
      <c r="B489" t="str" cm="1">
        <f t="array" ref="B489">_xlfn.IFS(
HRData[[#This Row],[Age]]&lt;=24,"18-24",
HRData[[#This Row],[Age]]&lt;=34,"25-34",
HRData[[#This Row],[Age]]&lt;=44,"35-44",
HRData[[#This Row],[Age]]&lt;=54,"45-54",
HRData[[#This Row],[Age]]&gt;=55,"55+"
)</f>
        <v>18-24</v>
      </c>
      <c r="C489" t="s">
        <v>43</v>
      </c>
      <c r="D489">
        <f>IF(HRData[[#This Row],[Attrition]]="Yes",1,0)</f>
        <v>0</v>
      </c>
      <c r="E489" t="s">
        <v>36</v>
      </c>
      <c r="F489">
        <v>959</v>
      </c>
      <c r="G489" t="s">
        <v>45</v>
      </c>
      <c r="H489">
        <v>1</v>
      </c>
      <c r="I489">
        <v>3</v>
      </c>
      <c r="J489" t="s">
        <v>38</v>
      </c>
      <c r="K489">
        <v>1</v>
      </c>
      <c r="L489">
        <v>657</v>
      </c>
      <c r="M489">
        <v>4</v>
      </c>
      <c r="N489" t="str" cm="1">
        <f t="array" ref="N489">_xlfn.IFS(HRData[[#This Row],[EnvironmentSatisfaction]]=1,"Very Dissatisfied",
HRData[[#This Row],[EnvironmentSatisfaction]]=2,"Dissatisfied",
HRData[[#This Row],[EnvironmentSatisfaction]]=3,"Satisfied",
HRData[[#This Row],[EnvironmentSatisfaction]]=4,"Very Satisfied"
)</f>
        <v>Very Satisfied</v>
      </c>
      <c r="O489" t="s">
        <v>39</v>
      </c>
      <c r="P489">
        <v>83</v>
      </c>
      <c r="Q489">
        <v>2</v>
      </c>
      <c r="R489">
        <v>1</v>
      </c>
      <c r="S489" t="s">
        <v>47</v>
      </c>
      <c r="T489">
        <v>2</v>
      </c>
      <c r="U489" t="str" cm="1">
        <f t="array" ref="U489">_xlfn.IFS(
HRData[[#This Row],[JobSatisfaction]]=1,"Very Dissatisfied",
HRData[[#This Row],[JobSatisfaction]]=2,"Dissatisfied",
HRData[[#This Row],[JobSatisfaction]]=3,"Satisfied",
HRData[[#This Row],[JobSatisfaction]]=4,"Very Satisfied"
)</f>
        <v>Dissatisfied</v>
      </c>
      <c r="V489" t="s">
        <v>41</v>
      </c>
      <c r="W489">
        <v>2836</v>
      </c>
      <c r="X489" t="str" cm="1">
        <f t="array" ref="X489">_xlfn.IFS(
HRData[[#This Row],[MonthlyIncome]]&lt;=4000,"Very Low Income",
HRData[[#This Row],[MonthlyIncome]]&lt;=8000,"Low Income",
HRData[[#This Row],[MonthlyIncome]]&lt;=12000,"Moderate Income",
HRData[[#This Row],[MonthlyIncome]]&lt;=16000,"High Income",
HRData[[#This Row],[MonthlyIncome]]&gt;16000,"Very High Income"
)</f>
        <v>Very Low Income</v>
      </c>
      <c r="Y489">
        <v>11757</v>
      </c>
      <c r="Z489">
        <v>1</v>
      </c>
      <c r="AA489" t="s">
        <v>42</v>
      </c>
      <c r="AB489" t="s">
        <v>43</v>
      </c>
      <c r="AC489">
        <v>13</v>
      </c>
      <c r="AD489" t="str" cm="1">
        <f t="array" ref="AD489">_xlfn.IFS(HRData[[#This Row],[PercentSalaryHike]]&lt;=15,"11-15",HRData[[#This Row],[PercentSalaryHike]]&lt;=20,"16-20",HRData[[#This Row],[PercentSalaryHike]]&gt;=21,"21+")</f>
        <v>11-15</v>
      </c>
      <c r="AE489">
        <v>3</v>
      </c>
      <c r="AF489">
        <v>4</v>
      </c>
      <c r="AG489">
        <v>80</v>
      </c>
      <c r="AH489">
        <v>0</v>
      </c>
      <c r="AI489">
        <v>1</v>
      </c>
      <c r="AJ489">
        <v>0</v>
      </c>
      <c r="AK489">
        <v>4</v>
      </c>
      <c r="AL489">
        <v>1</v>
      </c>
      <c r="AM489">
        <v>0</v>
      </c>
      <c r="AN489">
        <v>0</v>
      </c>
      <c r="AO489">
        <v>0</v>
      </c>
      <c r="AP48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489" t="str">
        <f>IF(HRData[[#This Row],[Attrition]]="Yes","Left", IF(HRData[[#This Row],[Attrition_Risk_Score]]&gt;=6,"High",IF(HRData[[#This Row],[Attrition_Risk_Score]]&gt;=3,"Medium","Low")))</f>
        <v>Medium</v>
      </c>
      <c r="AR489" t="str">
        <f>IF(HRData[[#This Row],[Attrition_Risk_Level]]&lt;&gt;"High","",HRData[[#This Row],[Attrition_Risk_Score]]*10000-HRData[[#This Row],[EmployeeNumber]])</f>
        <v/>
      </c>
    </row>
    <row r="490" spans="1:44">
      <c r="A490">
        <v>42</v>
      </c>
      <c r="B490" t="str" cm="1">
        <f t="array" ref="B490">_xlfn.IFS(
HRData[[#This Row],[Age]]&lt;=24,"18-24",
HRData[[#This Row],[Age]]&lt;=34,"25-34",
HRData[[#This Row],[Age]]&lt;=44,"35-44",
HRData[[#This Row],[Age]]&lt;=54,"45-54",
HRData[[#This Row],[Age]]&gt;=55,"55+"
)</f>
        <v>35-44</v>
      </c>
      <c r="C490" t="s">
        <v>43</v>
      </c>
      <c r="D490">
        <f>IF(HRData[[#This Row],[Attrition]]="Yes",1,0)</f>
        <v>0</v>
      </c>
      <c r="E490" t="s">
        <v>36</v>
      </c>
      <c r="F490">
        <v>622</v>
      </c>
      <c r="G490" t="s">
        <v>45</v>
      </c>
      <c r="H490">
        <v>2</v>
      </c>
      <c r="I490">
        <v>4</v>
      </c>
      <c r="J490" t="s">
        <v>38</v>
      </c>
      <c r="K490">
        <v>1</v>
      </c>
      <c r="L490">
        <v>659</v>
      </c>
      <c r="M490">
        <v>3</v>
      </c>
      <c r="N490" t="str" cm="1">
        <f t="array" ref="N490">_xlfn.IFS(HRData[[#This Row],[EnvironmentSatisfaction]]=1,"Very Dissatisfied",
HRData[[#This Row],[EnvironmentSatisfaction]]=2,"Dissatisfied",
HRData[[#This Row],[EnvironmentSatisfaction]]=3,"Satisfied",
HRData[[#This Row],[EnvironmentSatisfaction]]=4,"Very Satisfied"
)</f>
        <v>Satisfied</v>
      </c>
      <c r="O490" t="s">
        <v>39</v>
      </c>
      <c r="P490">
        <v>81</v>
      </c>
      <c r="Q490">
        <v>3</v>
      </c>
      <c r="R490">
        <v>2</v>
      </c>
      <c r="S490" t="s">
        <v>54</v>
      </c>
      <c r="T490">
        <v>4</v>
      </c>
      <c r="U490" t="str" cm="1">
        <f t="array" ref="U490">_xlfn.IFS(
HRData[[#This Row],[JobSatisfaction]]=1,"Very Dissatisfied",
HRData[[#This Row],[JobSatisfaction]]=2,"Dissatisfied",
HRData[[#This Row],[JobSatisfaction]]=3,"Satisfied",
HRData[[#This Row],[JobSatisfaction]]=4,"Very Satisfied"
)</f>
        <v>Very Satisfied</v>
      </c>
      <c r="V490" t="s">
        <v>48</v>
      </c>
      <c r="W490">
        <v>4089</v>
      </c>
      <c r="X490" t="str" cm="1">
        <f t="array" ref="X490">_xlfn.IFS(
HRData[[#This Row],[MonthlyIncome]]&lt;=4000,"Very Low Income",
HRData[[#This Row],[MonthlyIncome]]&lt;=8000,"Low Income",
HRData[[#This Row],[MonthlyIncome]]&lt;=12000,"Moderate Income",
HRData[[#This Row],[MonthlyIncome]]&lt;=16000,"High Income",
HRData[[#This Row],[MonthlyIncome]]&gt;16000,"Very High Income"
)</f>
        <v>Low Income</v>
      </c>
      <c r="Y490">
        <v>5718</v>
      </c>
      <c r="Z490">
        <v>1</v>
      </c>
      <c r="AA490" t="s">
        <v>42</v>
      </c>
      <c r="AB490" t="s">
        <v>43</v>
      </c>
      <c r="AC490">
        <v>13</v>
      </c>
      <c r="AD490" t="str" cm="1">
        <f t="array" ref="AD490">_xlfn.IFS(HRData[[#This Row],[PercentSalaryHike]]&lt;=15,"11-15",HRData[[#This Row],[PercentSalaryHike]]&lt;=20,"16-20",HRData[[#This Row],[PercentSalaryHike]]&gt;=21,"21+")</f>
        <v>11-15</v>
      </c>
      <c r="AE490">
        <v>3</v>
      </c>
      <c r="AF490">
        <v>2</v>
      </c>
      <c r="AG490">
        <v>80</v>
      </c>
      <c r="AH490">
        <v>2</v>
      </c>
      <c r="AI490">
        <v>10</v>
      </c>
      <c r="AJ490">
        <v>4</v>
      </c>
      <c r="AK490">
        <v>3</v>
      </c>
      <c r="AL490">
        <v>10</v>
      </c>
      <c r="AM490">
        <v>2</v>
      </c>
      <c r="AN490">
        <v>2</v>
      </c>
      <c r="AO490">
        <v>2</v>
      </c>
      <c r="AP49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90" t="str">
        <f>IF(HRData[[#This Row],[Attrition]]="Yes","Left", IF(HRData[[#This Row],[Attrition_Risk_Score]]&gt;=6,"High",IF(HRData[[#This Row],[Attrition_Risk_Score]]&gt;=3,"Medium","Low")))</f>
        <v>Low</v>
      </c>
      <c r="AR490" t="str">
        <f>IF(HRData[[#This Row],[Attrition_Risk_Level]]&lt;&gt;"High","",HRData[[#This Row],[Attrition_Risk_Score]]*10000-HRData[[#This Row],[EmployeeNumber]])</f>
        <v/>
      </c>
    </row>
    <row r="491" spans="1:44">
      <c r="A491">
        <v>43</v>
      </c>
      <c r="B491" t="str" cm="1">
        <f t="array" ref="B491">_xlfn.IFS(
HRData[[#This Row],[Age]]&lt;=24,"18-24",
HRData[[#This Row],[Age]]&lt;=34,"25-34",
HRData[[#This Row],[Age]]&lt;=44,"35-44",
HRData[[#This Row],[Age]]&lt;=54,"45-54",
HRData[[#This Row],[Age]]&gt;=55,"55+"
)</f>
        <v>35-44</v>
      </c>
      <c r="C491" t="s">
        <v>43</v>
      </c>
      <c r="D491">
        <f>IF(HRData[[#This Row],[Attrition]]="Yes",1,0)</f>
        <v>0</v>
      </c>
      <c r="E491" t="s">
        <v>36</v>
      </c>
      <c r="F491">
        <v>782</v>
      </c>
      <c r="G491" t="s">
        <v>45</v>
      </c>
      <c r="H491">
        <v>6</v>
      </c>
      <c r="I491">
        <v>4</v>
      </c>
      <c r="J491" t="s">
        <v>49</v>
      </c>
      <c r="K491">
        <v>1</v>
      </c>
      <c r="L491">
        <v>661</v>
      </c>
      <c r="M491">
        <v>2</v>
      </c>
      <c r="N491" t="str" cm="1">
        <f t="array" ref="N491">_xlfn.IFS(HRData[[#This Row],[EnvironmentSatisfaction]]=1,"Very Dissatisfied",
HRData[[#This Row],[EnvironmentSatisfaction]]=2,"Dissatisfied",
HRData[[#This Row],[EnvironmentSatisfaction]]=3,"Satisfied",
HRData[[#This Row],[EnvironmentSatisfaction]]=4,"Very Satisfied"
)</f>
        <v>Dissatisfied</v>
      </c>
      <c r="O491" t="s">
        <v>46</v>
      </c>
      <c r="P491">
        <v>50</v>
      </c>
      <c r="Q491">
        <v>2</v>
      </c>
      <c r="R491">
        <v>4</v>
      </c>
      <c r="S491" t="s">
        <v>58</v>
      </c>
      <c r="T491">
        <v>4</v>
      </c>
      <c r="U491" t="str" cm="1">
        <f t="array" ref="U491">_xlfn.IFS(
HRData[[#This Row],[JobSatisfaction]]=1,"Very Dissatisfied",
HRData[[#This Row],[JobSatisfaction]]=2,"Dissatisfied",
HRData[[#This Row],[JobSatisfaction]]=3,"Satisfied",
HRData[[#This Row],[JobSatisfaction]]=4,"Very Satisfied"
)</f>
        <v>Very Satisfied</v>
      </c>
      <c r="V491" t="s">
        <v>52</v>
      </c>
      <c r="W491">
        <v>16627</v>
      </c>
      <c r="X491" t="str" cm="1">
        <f t="array" ref="X491">_xlfn.IFS(
HRData[[#This Row],[MonthlyIncome]]&lt;=4000,"Very Low Income",
HRData[[#This Row],[MonthlyIncome]]&lt;=8000,"Low Income",
HRData[[#This Row],[MonthlyIncome]]&lt;=12000,"Moderate Income",
HRData[[#This Row],[MonthlyIncome]]&lt;=16000,"High Income",
HRData[[#This Row],[MonthlyIncome]]&gt;16000,"Very High Income"
)</f>
        <v>Very High Income</v>
      </c>
      <c r="Y491">
        <v>2671</v>
      </c>
      <c r="Z491">
        <v>4</v>
      </c>
      <c r="AA491" t="s">
        <v>42</v>
      </c>
      <c r="AB491" t="s">
        <v>35</v>
      </c>
      <c r="AC491">
        <v>14</v>
      </c>
      <c r="AD491" t="str" cm="1">
        <f t="array" ref="AD491">_xlfn.IFS(HRData[[#This Row],[PercentSalaryHike]]&lt;=15,"11-15",HRData[[#This Row],[PercentSalaryHike]]&lt;=20,"16-20",HRData[[#This Row],[PercentSalaryHike]]&gt;=21,"21+")</f>
        <v>11-15</v>
      </c>
      <c r="AE491">
        <v>3</v>
      </c>
      <c r="AF491">
        <v>3</v>
      </c>
      <c r="AG491">
        <v>80</v>
      </c>
      <c r="AH491">
        <v>1</v>
      </c>
      <c r="AI491">
        <v>21</v>
      </c>
      <c r="AJ491">
        <v>3</v>
      </c>
      <c r="AK491">
        <v>2</v>
      </c>
      <c r="AL491">
        <v>1</v>
      </c>
      <c r="AM491">
        <v>0</v>
      </c>
      <c r="AN491">
        <v>0</v>
      </c>
      <c r="AO491">
        <v>0</v>
      </c>
      <c r="AP49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91" t="str">
        <f>IF(HRData[[#This Row],[Attrition]]="Yes","Left", IF(HRData[[#This Row],[Attrition_Risk_Score]]&gt;=6,"High",IF(HRData[[#This Row],[Attrition_Risk_Score]]&gt;=3,"Medium","Low")))</f>
        <v>Low</v>
      </c>
      <c r="AR491" t="str">
        <f>IF(HRData[[#This Row],[Attrition_Risk_Level]]&lt;&gt;"High","",HRData[[#This Row],[Attrition_Risk_Score]]*10000-HRData[[#This Row],[EmployeeNumber]])</f>
        <v/>
      </c>
    </row>
    <row r="492" spans="1:44">
      <c r="A492">
        <v>38</v>
      </c>
      <c r="B492" t="str" cm="1">
        <f t="array" ref="B492">_xlfn.IFS(
HRData[[#This Row],[Age]]&lt;=24,"18-24",
HRData[[#This Row],[Age]]&lt;=34,"25-34",
HRData[[#This Row],[Age]]&lt;=44,"35-44",
HRData[[#This Row],[Age]]&lt;=54,"45-54",
HRData[[#This Row],[Age]]&gt;=55,"55+"
)</f>
        <v>35-44</v>
      </c>
      <c r="C492" t="s">
        <v>43</v>
      </c>
      <c r="D492">
        <f>IF(HRData[[#This Row],[Attrition]]="Yes",1,0)</f>
        <v>0</v>
      </c>
      <c r="E492" t="s">
        <v>36</v>
      </c>
      <c r="F492">
        <v>362</v>
      </c>
      <c r="G492" t="s">
        <v>45</v>
      </c>
      <c r="H492">
        <v>1</v>
      </c>
      <c r="I492">
        <v>1</v>
      </c>
      <c r="J492" t="s">
        <v>38</v>
      </c>
      <c r="K492">
        <v>1</v>
      </c>
      <c r="L492">
        <v>662</v>
      </c>
      <c r="M492">
        <v>3</v>
      </c>
      <c r="N492" t="str" cm="1">
        <f t="array" ref="N492">_xlfn.IFS(HRData[[#This Row],[EnvironmentSatisfaction]]=1,"Very Dissatisfied",
HRData[[#This Row],[EnvironmentSatisfaction]]=2,"Dissatisfied",
HRData[[#This Row],[EnvironmentSatisfaction]]=3,"Satisfied",
HRData[[#This Row],[EnvironmentSatisfaction]]=4,"Very Satisfied"
)</f>
        <v>Satisfied</v>
      </c>
      <c r="O492" t="s">
        <v>39</v>
      </c>
      <c r="P492">
        <v>43</v>
      </c>
      <c r="Q492">
        <v>3</v>
      </c>
      <c r="R492">
        <v>1</v>
      </c>
      <c r="S492" t="s">
        <v>47</v>
      </c>
      <c r="T492">
        <v>1</v>
      </c>
      <c r="U492" t="str" cm="1">
        <f t="array" ref="U492">_xlfn.IFS(
HRData[[#This Row],[JobSatisfaction]]=1,"Very Dissatisfied",
HRData[[#This Row],[JobSatisfaction]]=2,"Dissatisfied",
HRData[[#This Row],[JobSatisfaction]]=3,"Satisfied",
HRData[[#This Row],[JobSatisfaction]]=4,"Very Satisfied"
)</f>
        <v>Very Dissatisfied</v>
      </c>
      <c r="V492" t="s">
        <v>41</v>
      </c>
      <c r="W492">
        <v>2619</v>
      </c>
      <c r="X492" t="str" cm="1">
        <f t="array" ref="X492">_xlfn.IFS(
HRData[[#This Row],[MonthlyIncome]]&lt;=4000,"Very Low Income",
HRData[[#This Row],[MonthlyIncome]]&lt;=8000,"Low Income",
HRData[[#This Row],[MonthlyIncome]]&lt;=12000,"Moderate Income",
HRData[[#This Row],[MonthlyIncome]]&lt;=16000,"High Income",
HRData[[#This Row],[MonthlyIncome]]&gt;16000,"Very High Income"
)</f>
        <v>Very Low Income</v>
      </c>
      <c r="Y492">
        <v>14561</v>
      </c>
      <c r="Z492">
        <v>3</v>
      </c>
      <c r="AA492" t="s">
        <v>42</v>
      </c>
      <c r="AB492" t="s">
        <v>43</v>
      </c>
      <c r="AC492">
        <v>17</v>
      </c>
      <c r="AD492" t="str" cm="1">
        <f t="array" ref="AD492">_xlfn.IFS(HRData[[#This Row],[PercentSalaryHike]]&lt;=15,"11-15",HRData[[#This Row],[PercentSalaryHike]]&lt;=20,"16-20",HRData[[#This Row],[PercentSalaryHike]]&gt;=21,"21+")</f>
        <v>16-20</v>
      </c>
      <c r="AE492">
        <v>3</v>
      </c>
      <c r="AF492">
        <v>4</v>
      </c>
      <c r="AG492">
        <v>80</v>
      </c>
      <c r="AH492">
        <v>0</v>
      </c>
      <c r="AI492">
        <v>8</v>
      </c>
      <c r="AJ492">
        <v>3</v>
      </c>
      <c r="AK492">
        <v>2</v>
      </c>
      <c r="AL492">
        <v>0</v>
      </c>
      <c r="AM492">
        <v>0</v>
      </c>
      <c r="AN492">
        <v>0</v>
      </c>
      <c r="AO492">
        <v>0</v>
      </c>
      <c r="AP49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492" t="str">
        <f>IF(HRData[[#This Row],[Attrition]]="Yes","Left", IF(HRData[[#This Row],[Attrition_Risk_Score]]&gt;=6,"High",IF(HRData[[#This Row],[Attrition_Risk_Score]]&gt;=3,"Medium","Low")))</f>
        <v>Medium</v>
      </c>
      <c r="AR492" t="str">
        <f>IF(HRData[[#This Row],[Attrition_Risk_Level]]&lt;&gt;"High","",HRData[[#This Row],[Attrition_Risk_Score]]*10000-HRData[[#This Row],[EmployeeNumber]])</f>
        <v/>
      </c>
    </row>
    <row r="493" spans="1:44">
      <c r="A493">
        <v>43</v>
      </c>
      <c r="B493" t="str" cm="1">
        <f t="array" ref="B493">_xlfn.IFS(
HRData[[#This Row],[Age]]&lt;=24,"18-24",
HRData[[#This Row],[Age]]&lt;=34,"25-34",
HRData[[#This Row],[Age]]&lt;=44,"35-44",
HRData[[#This Row],[Age]]&lt;=54,"45-54",
HRData[[#This Row],[Age]]&gt;=55,"55+"
)</f>
        <v>35-44</v>
      </c>
      <c r="C493" t="s">
        <v>43</v>
      </c>
      <c r="D493">
        <f>IF(HRData[[#This Row],[Attrition]]="Yes",1,0)</f>
        <v>0</v>
      </c>
      <c r="E493" t="s">
        <v>44</v>
      </c>
      <c r="F493">
        <v>1001</v>
      </c>
      <c r="G493" t="s">
        <v>45</v>
      </c>
      <c r="H493">
        <v>9</v>
      </c>
      <c r="I493">
        <v>5</v>
      </c>
      <c r="J493" t="s">
        <v>51</v>
      </c>
      <c r="K493">
        <v>1</v>
      </c>
      <c r="L493">
        <v>663</v>
      </c>
      <c r="M493">
        <v>4</v>
      </c>
      <c r="N493" t="str" cm="1">
        <f t="array" ref="N493">_xlfn.IFS(HRData[[#This Row],[EnvironmentSatisfaction]]=1,"Very Dissatisfied",
HRData[[#This Row],[EnvironmentSatisfaction]]=2,"Dissatisfied",
HRData[[#This Row],[EnvironmentSatisfaction]]=3,"Satisfied",
HRData[[#This Row],[EnvironmentSatisfaction]]=4,"Very Satisfied"
)</f>
        <v>Very Satisfied</v>
      </c>
      <c r="O493" t="s">
        <v>46</v>
      </c>
      <c r="P493">
        <v>72</v>
      </c>
      <c r="Q493">
        <v>3</v>
      </c>
      <c r="R493">
        <v>2</v>
      </c>
      <c r="S493" t="s">
        <v>50</v>
      </c>
      <c r="T493">
        <v>3</v>
      </c>
      <c r="U493" t="str" cm="1">
        <f t="array" ref="U493">_xlfn.IFS(
HRData[[#This Row],[JobSatisfaction]]=1,"Very Dissatisfied",
HRData[[#This Row],[JobSatisfaction]]=2,"Dissatisfied",
HRData[[#This Row],[JobSatisfaction]]=3,"Satisfied",
HRData[[#This Row],[JobSatisfaction]]=4,"Very Satisfied"
)</f>
        <v>Satisfied</v>
      </c>
      <c r="V493" t="s">
        <v>52</v>
      </c>
      <c r="W493">
        <v>5679</v>
      </c>
      <c r="X493" t="str" cm="1">
        <f t="array" ref="X493">_xlfn.IFS(
HRData[[#This Row],[MonthlyIncome]]&lt;=4000,"Very Low Income",
HRData[[#This Row],[MonthlyIncome]]&lt;=8000,"Low Income",
HRData[[#This Row],[MonthlyIncome]]&lt;=12000,"Moderate Income",
HRData[[#This Row],[MonthlyIncome]]&lt;=16000,"High Income",
HRData[[#This Row],[MonthlyIncome]]&gt;16000,"Very High Income"
)</f>
        <v>Low Income</v>
      </c>
      <c r="Y493">
        <v>19627</v>
      </c>
      <c r="Z493">
        <v>3</v>
      </c>
      <c r="AA493" t="s">
        <v>42</v>
      </c>
      <c r="AB493" t="s">
        <v>35</v>
      </c>
      <c r="AC493">
        <v>13</v>
      </c>
      <c r="AD493" t="str" cm="1">
        <f t="array" ref="AD493">_xlfn.IFS(HRData[[#This Row],[PercentSalaryHike]]&lt;=15,"11-15",HRData[[#This Row],[PercentSalaryHike]]&lt;=20,"16-20",HRData[[#This Row],[PercentSalaryHike]]&gt;=21,"21+")</f>
        <v>11-15</v>
      </c>
      <c r="AE493">
        <v>3</v>
      </c>
      <c r="AF493">
        <v>2</v>
      </c>
      <c r="AG493">
        <v>80</v>
      </c>
      <c r="AH493">
        <v>1</v>
      </c>
      <c r="AI493">
        <v>10</v>
      </c>
      <c r="AJ493">
        <v>3</v>
      </c>
      <c r="AK493">
        <v>3</v>
      </c>
      <c r="AL493">
        <v>8</v>
      </c>
      <c r="AM493">
        <v>7</v>
      </c>
      <c r="AN493">
        <v>4</v>
      </c>
      <c r="AO493">
        <v>7</v>
      </c>
      <c r="AP49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493" t="str">
        <f>IF(HRData[[#This Row],[Attrition]]="Yes","Left", IF(HRData[[#This Row],[Attrition_Risk_Score]]&gt;=6,"High",IF(HRData[[#This Row],[Attrition_Risk_Score]]&gt;=3,"Medium","Low")))</f>
        <v>Medium</v>
      </c>
      <c r="AR493" t="str">
        <f>IF(HRData[[#This Row],[Attrition_Risk_Level]]&lt;&gt;"High","",HRData[[#This Row],[Attrition_Risk_Score]]*10000-HRData[[#This Row],[EmployeeNumber]])</f>
        <v/>
      </c>
    </row>
    <row r="494" spans="1:44">
      <c r="A494">
        <v>48</v>
      </c>
      <c r="B494" t="str" cm="1">
        <f t="array" ref="B494">_xlfn.IFS(
HRData[[#This Row],[Age]]&lt;=24,"18-24",
HRData[[#This Row],[Age]]&lt;=34,"25-34",
HRData[[#This Row],[Age]]&lt;=44,"35-44",
HRData[[#This Row],[Age]]&lt;=54,"45-54",
HRData[[#This Row],[Age]]&gt;=55,"55+"
)</f>
        <v>45-54</v>
      </c>
      <c r="C494" t="s">
        <v>43</v>
      </c>
      <c r="D494">
        <f>IF(HRData[[#This Row],[Attrition]]="Yes",1,0)</f>
        <v>0</v>
      </c>
      <c r="E494" t="s">
        <v>36</v>
      </c>
      <c r="F494">
        <v>1236</v>
      </c>
      <c r="G494" t="s">
        <v>45</v>
      </c>
      <c r="H494">
        <v>1</v>
      </c>
      <c r="I494">
        <v>4</v>
      </c>
      <c r="J494" t="s">
        <v>38</v>
      </c>
      <c r="K494">
        <v>1</v>
      </c>
      <c r="L494">
        <v>664</v>
      </c>
      <c r="M494">
        <v>4</v>
      </c>
      <c r="N494" t="str" cm="1">
        <f t="array" ref="N494">_xlfn.IFS(HRData[[#This Row],[EnvironmentSatisfaction]]=1,"Very Dissatisfied",
HRData[[#This Row],[EnvironmentSatisfaction]]=2,"Dissatisfied",
HRData[[#This Row],[EnvironmentSatisfaction]]=3,"Satisfied",
HRData[[#This Row],[EnvironmentSatisfaction]]=4,"Very Satisfied"
)</f>
        <v>Very Satisfied</v>
      </c>
      <c r="O494" t="s">
        <v>39</v>
      </c>
      <c r="P494">
        <v>40</v>
      </c>
      <c r="Q494">
        <v>2</v>
      </c>
      <c r="R494">
        <v>4</v>
      </c>
      <c r="S494" t="s">
        <v>56</v>
      </c>
      <c r="T494">
        <v>1</v>
      </c>
      <c r="U494" t="str" cm="1">
        <f t="array" ref="U494">_xlfn.IFS(
HRData[[#This Row],[JobSatisfaction]]=1,"Very Dissatisfied",
HRData[[#This Row],[JobSatisfaction]]=2,"Dissatisfied",
HRData[[#This Row],[JobSatisfaction]]=3,"Satisfied",
HRData[[#This Row],[JobSatisfaction]]=4,"Very Satisfied"
)</f>
        <v>Very Dissatisfied</v>
      </c>
      <c r="V494" t="s">
        <v>48</v>
      </c>
      <c r="W494">
        <v>15402</v>
      </c>
      <c r="X494" t="str" cm="1">
        <f t="array" ref="X494">_xlfn.IFS(
HRData[[#This Row],[MonthlyIncome]]&lt;=4000,"Very Low Income",
HRData[[#This Row],[MonthlyIncome]]&lt;=8000,"Low Income",
HRData[[#This Row],[MonthlyIncome]]&lt;=12000,"Moderate Income",
HRData[[#This Row],[MonthlyIncome]]&lt;=16000,"High Income",
HRData[[#This Row],[MonthlyIncome]]&gt;16000,"Very High Income"
)</f>
        <v>High Income</v>
      </c>
      <c r="Y494">
        <v>17997</v>
      </c>
      <c r="Z494">
        <v>7</v>
      </c>
      <c r="AA494" t="s">
        <v>42</v>
      </c>
      <c r="AB494" t="s">
        <v>43</v>
      </c>
      <c r="AC494">
        <v>11</v>
      </c>
      <c r="AD494" t="str" cm="1">
        <f t="array" ref="AD494">_xlfn.IFS(HRData[[#This Row],[PercentSalaryHike]]&lt;=15,"11-15",HRData[[#This Row],[PercentSalaryHike]]&lt;=20,"16-20",HRData[[#This Row],[PercentSalaryHike]]&gt;=21,"21+")</f>
        <v>11-15</v>
      </c>
      <c r="AE494">
        <v>3</v>
      </c>
      <c r="AF494">
        <v>1</v>
      </c>
      <c r="AG494">
        <v>80</v>
      </c>
      <c r="AH494">
        <v>1</v>
      </c>
      <c r="AI494">
        <v>21</v>
      </c>
      <c r="AJ494">
        <v>3</v>
      </c>
      <c r="AK494">
        <v>1</v>
      </c>
      <c r="AL494">
        <v>3</v>
      </c>
      <c r="AM494">
        <v>2</v>
      </c>
      <c r="AN494">
        <v>0</v>
      </c>
      <c r="AO494">
        <v>2</v>
      </c>
      <c r="AP49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94" t="str">
        <f>IF(HRData[[#This Row],[Attrition]]="Yes","Left", IF(HRData[[#This Row],[Attrition_Risk_Score]]&gt;=6,"High",IF(HRData[[#This Row],[Attrition_Risk_Score]]&gt;=3,"Medium","Low")))</f>
        <v>Low</v>
      </c>
      <c r="AR494" t="str">
        <f>IF(HRData[[#This Row],[Attrition_Risk_Level]]&lt;&gt;"High","",HRData[[#This Row],[Attrition_Risk_Score]]*10000-HRData[[#This Row],[EmployeeNumber]])</f>
        <v/>
      </c>
    </row>
    <row r="495" spans="1:44">
      <c r="A495">
        <v>44</v>
      </c>
      <c r="B495" t="str" cm="1">
        <f t="array" ref="B495">_xlfn.IFS(
HRData[[#This Row],[Age]]&lt;=24,"18-24",
HRData[[#This Row],[Age]]&lt;=34,"25-34",
HRData[[#This Row],[Age]]&lt;=44,"35-44",
HRData[[#This Row],[Age]]&lt;=54,"45-54",
HRData[[#This Row],[Age]]&gt;=55,"55+"
)</f>
        <v>35-44</v>
      </c>
      <c r="C495" t="s">
        <v>43</v>
      </c>
      <c r="D495">
        <f>IF(HRData[[#This Row],[Attrition]]="Yes",1,0)</f>
        <v>0</v>
      </c>
      <c r="E495" t="s">
        <v>36</v>
      </c>
      <c r="F495">
        <v>1112</v>
      </c>
      <c r="G495" t="s">
        <v>61</v>
      </c>
      <c r="H495">
        <v>1</v>
      </c>
      <c r="I495">
        <v>4</v>
      </c>
      <c r="J495" t="s">
        <v>38</v>
      </c>
      <c r="K495">
        <v>1</v>
      </c>
      <c r="L495">
        <v>665</v>
      </c>
      <c r="M495">
        <v>1</v>
      </c>
      <c r="N495" t="str" cm="1">
        <f t="array" ref="N495">_xlfn.IFS(HRData[[#This Row],[EnvironmentSatisfaction]]=1,"Very Dissatisfied",
HRData[[#This Row],[EnvironmentSatisfaction]]=2,"Dissatisfied",
HRData[[#This Row],[EnvironmentSatisfaction]]=3,"Satisfied",
HRData[[#This Row],[EnvironmentSatisfaction]]=4,"Very Satisfied"
)</f>
        <v>Very Dissatisfied</v>
      </c>
      <c r="O495" t="s">
        <v>39</v>
      </c>
      <c r="P495">
        <v>50</v>
      </c>
      <c r="Q495">
        <v>2</v>
      </c>
      <c r="R495">
        <v>2</v>
      </c>
      <c r="S495" t="s">
        <v>61</v>
      </c>
      <c r="T495">
        <v>3</v>
      </c>
      <c r="U495" t="str" cm="1">
        <f t="array" ref="U495">_xlfn.IFS(
HRData[[#This Row],[JobSatisfaction]]=1,"Very Dissatisfied",
HRData[[#This Row],[JobSatisfaction]]=2,"Dissatisfied",
HRData[[#This Row],[JobSatisfaction]]=3,"Satisfied",
HRData[[#This Row],[JobSatisfaction]]=4,"Very Satisfied"
)</f>
        <v>Satisfied</v>
      </c>
      <c r="V495" t="s">
        <v>41</v>
      </c>
      <c r="W495">
        <v>5985</v>
      </c>
      <c r="X495" t="str" cm="1">
        <f t="array" ref="X495">_xlfn.IFS(
HRData[[#This Row],[MonthlyIncome]]&lt;=4000,"Very Low Income",
HRData[[#This Row],[MonthlyIncome]]&lt;=8000,"Low Income",
HRData[[#This Row],[MonthlyIncome]]&lt;=12000,"Moderate Income",
HRData[[#This Row],[MonthlyIncome]]&lt;=16000,"High Income",
HRData[[#This Row],[MonthlyIncome]]&gt;16000,"Very High Income"
)</f>
        <v>Low Income</v>
      </c>
      <c r="Y495">
        <v>26894</v>
      </c>
      <c r="Z495">
        <v>4</v>
      </c>
      <c r="AA495" t="s">
        <v>42</v>
      </c>
      <c r="AB495" t="s">
        <v>43</v>
      </c>
      <c r="AC495">
        <v>11</v>
      </c>
      <c r="AD495" t="str" cm="1">
        <f t="array" ref="AD495">_xlfn.IFS(HRData[[#This Row],[PercentSalaryHike]]&lt;=15,"11-15",HRData[[#This Row],[PercentSalaryHike]]&lt;=20,"16-20",HRData[[#This Row],[PercentSalaryHike]]&gt;=21,"21+")</f>
        <v>11-15</v>
      </c>
      <c r="AE495">
        <v>3</v>
      </c>
      <c r="AF495">
        <v>2</v>
      </c>
      <c r="AG495">
        <v>80</v>
      </c>
      <c r="AH495">
        <v>0</v>
      </c>
      <c r="AI495">
        <v>10</v>
      </c>
      <c r="AJ495">
        <v>1</v>
      </c>
      <c r="AK495">
        <v>4</v>
      </c>
      <c r="AL495">
        <v>2</v>
      </c>
      <c r="AM495">
        <v>2</v>
      </c>
      <c r="AN495">
        <v>0</v>
      </c>
      <c r="AO495">
        <v>2</v>
      </c>
      <c r="AP49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95" t="str">
        <f>IF(HRData[[#This Row],[Attrition]]="Yes","Left", IF(HRData[[#This Row],[Attrition_Risk_Score]]&gt;=6,"High",IF(HRData[[#This Row],[Attrition_Risk_Score]]&gt;=3,"Medium","Low")))</f>
        <v>Low</v>
      </c>
      <c r="AR495" t="str">
        <f>IF(HRData[[#This Row],[Attrition_Risk_Level]]&lt;&gt;"High","",HRData[[#This Row],[Attrition_Risk_Score]]*10000-HRData[[#This Row],[EmployeeNumber]])</f>
        <v/>
      </c>
    </row>
    <row r="496" spans="1:44">
      <c r="A496">
        <v>34</v>
      </c>
      <c r="B496" t="str" cm="1">
        <f t="array" ref="B496">_xlfn.IFS(
HRData[[#This Row],[Age]]&lt;=24,"18-24",
HRData[[#This Row],[Age]]&lt;=34,"25-34",
HRData[[#This Row],[Age]]&lt;=44,"35-44",
HRData[[#This Row],[Age]]&lt;=54,"45-54",
HRData[[#This Row],[Age]]&gt;=55,"55+"
)</f>
        <v>25-34</v>
      </c>
      <c r="C496" t="s">
        <v>43</v>
      </c>
      <c r="D496">
        <f>IF(HRData[[#This Row],[Attrition]]="Yes",1,0)</f>
        <v>0</v>
      </c>
      <c r="E496" t="s">
        <v>36</v>
      </c>
      <c r="F496">
        <v>204</v>
      </c>
      <c r="G496" t="s">
        <v>37</v>
      </c>
      <c r="H496">
        <v>14</v>
      </c>
      <c r="I496">
        <v>3</v>
      </c>
      <c r="J496" t="s">
        <v>60</v>
      </c>
      <c r="K496">
        <v>1</v>
      </c>
      <c r="L496">
        <v>666</v>
      </c>
      <c r="M496">
        <v>3</v>
      </c>
      <c r="N496" t="str" cm="1">
        <f t="array" ref="N496">_xlfn.IFS(HRData[[#This Row],[EnvironmentSatisfaction]]=1,"Very Dissatisfied",
HRData[[#This Row],[EnvironmentSatisfaction]]=2,"Dissatisfied",
HRData[[#This Row],[EnvironmentSatisfaction]]=3,"Satisfied",
HRData[[#This Row],[EnvironmentSatisfaction]]=4,"Very Satisfied"
)</f>
        <v>Satisfied</v>
      </c>
      <c r="O496" t="s">
        <v>39</v>
      </c>
      <c r="P496">
        <v>31</v>
      </c>
      <c r="Q496">
        <v>3</v>
      </c>
      <c r="R496">
        <v>1</v>
      </c>
      <c r="S496" t="s">
        <v>57</v>
      </c>
      <c r="T496">
        <v>3</v>
      </c>
      <c r="U496" t="str" cm="1">
        <f t="array" ref="U496">_xlfn.IFS(
HRData[[#This Row],[JobSatisfaction]]=1,"Very Dissatisfied",
HRData[[#This Row],[JobSatisfaction]]=2,"Dissatisfied",
HRData[[#This Row],[JobSatisfaction]]=3,"Satisfied",
HRData[[#This Row],[JobSatisfaction]]=4,"Very Satisfied"
)</f>
        <v>Satisfied</v>
      </c>
      <c r="V496" t="s">
        <v>52</v>
      </c>
      <c r="W496">
        <v>2579</v>
      </c>
      <c r="X496" t="str" cm="1">
        <f t="array" ref="X496">_xlfn.IFS(
HRData[[#This Row],[MonthlyIncome]]&lt;=4000,"Very Low Income",
HRData[[#This Row],[MonthlyIncome]]&lt;=8000,"Low Income",
HRData[[#This Row],[MonthlyIncome]]&lt;=12000,"Moderate Income",
HRData[[#This Row],[MonthlyIncome]]&lt;=16000,"High Income",
HRData[[#This Row],[MonthlyIncome]]&gt;16000,"Very High Income"
)</f>
        <v>Very Low Income</v>
      </c>
      <c r="Y496">
        <v>2912</v>
      </c>
      <c r="Z496">
        <v>1</v>
      </c>
      <c r="AA496" t="s">
        <v>42</v>
      </c>
      <c r="AB496" t="s">
        <v>35</v>
      </c>
      <c r="AC496">
        <v>18</v>
      </c>
      <c r="AD496" t="str" cm="1">
        <f t="array" ref="AD496">_xlfn.IFS(HRData[[#This Row],[PercentSalaryHike]]&lt;=15,"11-15",HRData[[#This Row],[PercentSalaryHike]]&lt;=20,"16-20",HRData[[#This Row],[PercentSalaryHike]]&gt;=21,"21+")</f>
        <v>16-20</v>
      </c>
      <c r="AE496">
        <v>3</v>
      </c>
      <c r="AF496">
        <v>4</v>
      </c>
      <c r="AG496">
        <v>80</v>
      </c>
      <c r="AH496">
        <v>2</v>
      </c>
      <c r="AI496">
        <v>8</v>
      </c>
      <c r="AJ496">
        <v>3</v>
      </c>
      <c r="AK496">
        <v>3</v>
      </c>
      <c r="AL496">
        <v>8</v>
      </c>
      <c r="AM496">
        <v>2</v>
      </c>
      <c r="AN496">
        <v>0</v>
      </c>
      <c r="AO496">
        <v>6</v>
      </c>
      <c r="AP49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496" t="str">
        <f>IF(HRData[[#This Row],[Attrition]]="Yes","Left", IF(HRData[[#This Row],[Attrition_Risk_Score]]&gt;=6,"High",IF(HRData[[#This Row],[Attrition_Risk_Score]]&gt;=3,"Medium","Low")))</f>
        <v>High</v>
      </c>
      <c r="AR496">
        <f>IF(HRData[[#This Row],[Attrition_Risk_Level]]&lt;&gt;"High","",HRData[[#This Row],[Attrition_Risk_Score]]*10000-HRData[[#This Row],[EmployeeNumber]])</f>
        <v>69334</v>
      </c>
    </row>
    <row r="497" spans="1:44">
      <c r="A497">
        <v>27</v>
      </c>
      <c r="B497" t="str" cm="1">
        <f t="array" ref="B497">_xlfn.IFS(
HRData[[#This Row],[Age]]&lt;=24,"18-24",
HRData[[#This Row],[Age]]&lt;=34,"25-34",
HRData[[#This Row],[Age]]&lt;=44,"35-44",
HRData[[#This Row],[Age]]&lt;=54,"45-54",
HRData[[#This Row],[Age]]&gt;=55,"55+"
)</f>
        <v>25-34</v>
      </c>
      <c r="C497" t="s">
        <v>35</v>
      </c>
      <c r="D497">
        <f>IF(HRData[[#This Row],[Attrition]]="Yes",1,0)</f>
        <v>1</v>
      </c>
      <c r="E497" t="s">
        <v>36</v>
      </c>
      <c r="F497">
        <v>1420</v>
      </c>
      <c r="G497" t="s">
        <v>37</v>
      </c>
      <c r="H497">
        <v>2</v>
      </c>
      <c r="I497">
        <v>1</v>
      </c>
      <c r="J497" t="s">
        <v>59</v>
      </c>
      <c r="K497">
        <v>1</v>
      </c>
      <c r="L497">
        <v>667</v>
      </c>
      <c r="M497">
        <v>3</v>
      </c>
      <c r="N497" t="str" cm="1">
        <f t="array" ref="N497">_xlfn.IFS(HRData[[#This Row],[EnvironmentSatisfaction]]=1,"Very Dissatisfied",
HRData[[#This Row],[EnvironmentSatisfaction]]=2,"Dissatisfied",
HRData[[#This Row],[EnvironmentSatisfaction]]=3,"Satisfied",
HRData[[#This Row],[EnvironmentSatisfaction]]=4,"Very Satisfied"
)</f>
        <v>Satisfied</v>
      </c>
      <c r="O497" t="s">
        <v>46</v>
      </c>
      <c r="P497">
        <v>85</v>
      </c>
      <c r="Q497">
        <v>3</v>
      </c>
      <c r="R497">
        <v>1</v>
      </c>
      <c r="S497" t="s">
        <v>57</v>
      </c>
      <c r="T497">
        <v>1</v>
      </c>
      <c r="U497" t="str" cm="1">
        <f t="array" ref="U497">_xlfn.IFS(
HRData[[#This Row],[JobSatisfaction]]=1,"Very Dissatisfied",
HRData[[#This Row],[JobSatisfaction]]=2,"Dissatisfied",
HRData[[#This Row],[JobSatisfaction]]=3,"Satisfied",
HRData[[#This Row],[JobSatisfaction]]=4,"Very Satisfied"
)</f>
        <v>Very Dissatisfied</v>
      </c>
      <c r="V497" t="s">
        <v>52</v>
      </c>
      <c r="W497">
        <v>3041</v>
      </c>
      <c r="X497" t="str" cm="1">
        <f t="array" ref="X497">_xlfn.IFS(
HRData[[#This Row],[MonthlyIncome]]&lt;=4000,"Very Low Income",
HRData[[#This Row],[MonthlyIncome]]&lt;=8000,"Low Income",
HRData[[#This Row],[MonthlyIncome]]&lt;=12000,"Moderate Income",
HRData[[#This Row],[MonthlyIncome]]&lt;=16000,"High Income",
HRData[[#This Row],[MonthlyIncome]]&gt;16000,"Very High Income"
)</f>
        <v>Very Low Income</v>
      </c>
      <c r="Y497">
        <v>16346</v>
      </c>
      <c r="Z497">
        <v>0</v>
      </c>
      <c r="AA497" t="s">
        <v>42</v>
      </c>
      <c r="AB497" t="s">
        <v>43</v>
      </c>
      <c r="AC497">
        <v>11</v>
      </c>
      <c r="AD497" t="str" cm="1">
        <f t="array" ref="AD497">_xlfn.IFS(HRData[[#This Row],[PercentSalaryHike]]&lt;=15,"11-15",HRData[[#This Row],[PercentSalaryHike]]&lt;=20,"16-20",HRData[[#This Row],[PercentSalaryHike]]&gt;=21,"21+")</f>
        <v>11-15</v>
      </c>
      <c r="AE497">
        <v>3</v>
      </c>
      <c r="AF497">
        <v>2</v>
      </c>
      <c r="AG497">
        <v>80</v>
      </c>
      <c r="AH497">
        <v>1</v>
      </c>
      <c r="AI497">
        <v>5</v>
      </c>
      <c r="AJ497">
        <v>3</v>
      </c>
      <c r="AK497">
        <v>3</v>
      </c>
      <c r="AL497">
        <v>4</v>
      </c>
      <c r="AM497">
        <v>3</v>
      </c>
      <c r="AN497">
        <v>0</v>
      </c>
      <c r="AO497">
        <v>2</v>
      </c>
      <c r="AP49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97" t="str">
        <f>IF(HRData[[#This Row],[Attrition]]="Yes","Left", IF(HRData[[#This Row],[Attrition_Risk_Score]]&gt;=6,"High",IF(HRData[[#This Row],[Attrition_Risk_Score]]&gt;=3,"Medium","Low")))</f>
        <v>Left</v>
      </c>
      <c r="AR497" t="str">
        <f>IF(HRData[[#This Row],[Attrition_Risk_Level]]&lt;&gt;"High","",HRData[[#This Row],[Attrition_Risk_Score]]*10000-HRData[[#This Row],[EmployeeNumber]])</f>
        <v/>
      </c>
    </row>
    <row r="498" spans="1:44">
      <c r="A498">
        <v>21</v>
      </c>
      <c r="B498" t="str" cm="1">
        <f t="array" ref="B498">_xlfn.IFS(
HRData[[#This Row],[Age]]&lt;=24,"18-24",
HRData[[#This Row],[Age]]&lt;=34,"25-34",
HRData[[#This Row],[Age]]&lt;=44,"35-44",
HRData[[#This Row],[Age]]&lt;=54,"45-54",
HRData[[#This Row],[Age]]&gt;=55,"55+"
)</f>
        <v>18-24</v>
      </c>
      <c r="C498" t="s">
        <v>43</v>
      </c>
      <c r="D498">
        <f>IF(HRData[[#This Row],[Attrition]]="Yes",1,0)</f>
        <v>0</v>
      </c>
      <c r="E498" t="s">
        <v>36</v>
      </c>
      <c r="F498">
        <v>1343</v>
      </c>
      <c r="G498" t="s">
        <v>37</v>
      </c>
      <c r="H498">
        <v>22</v>
      </c>
      <c r="I498">
        <v>1</v>
      </c>
      <c r="J498" t="s">
        <v>60</v>
      </c>
      <c r="K498">
        <v>1</v>
      </c>
      <c r="L498">
        <v>669</v>
      </c>
      <c r="M498">
        <v>3</v>
      </c>
      <c r="N498" t="str" cm="1">
        <f t="array" ref="N498">_xlfn.IFS(HRData[[#This Row],[EnvironmentSatisfaction]]=1,"Very Dissatisfied",
HRData[[#This Row],[EnvironmentSatisfaction]]=2,"Dissatisfied",
HRData[[#This Row],[EnvironmentSatisfaction]]=3,"Satisfied",
HRData[[#This Row],[EnvironmentSatisfaction]]=4,"Very Satisfied"
)</f>
        <v>Satisfied</v>
      </c>
      <c r="O498" t="s">
        <v>46</v>
      </c>
      <c r="P498">
        <v>49</v>
      </c>
      <c r="Q498">
        <v>3</v>
      </c>
      <c r="R498">
        <v>1</v>
      </c>
      <c r="S498" t="s">
        <v>57</v>
      </c>
      <c r="T498">
        <v>3</v>
      </c>
      <c r="U498" t="str" cm="1">
        <f t="array" ref="U498">_xlfn.IFS(
HRData[[#This Row],[JobSatisfaction]]=1,"Very Dissatisfied",
HRData[[#This Row],[JobSatisfaction]]=2,"Dissatisfied",
HRData[[#This Row],[JobSatisfaction]]=3,"Satisfied",
HRData[[#This Row],[JobSatisfaction]]=4,"Very Satisfied"
)</f>
        <v>Satisfied</v>
      </c>
      <c r="V498" t="s">
        <v>41</v>
      </c>
      <c r="W498">
        <v>3447</v>
      </c>
      <c r="X498" t="str" cm="1">
        <f t="array" ref="X498">_xlfn.IFS(
HRData[[#This Row],[MonthlyIncome]]&lt;=4000,"Very Low Income",
HRData[[#This Row],[MonthlyIncome]]&lt;=8000,"Low Income",
HRData[[#This Row],[MonthlyIncome]]&lt;=12000,"Moderate Income",
HRData[[#This Row],[MonthlyIncome]]&lt;=16000,"High Income",
HRData[[#This Row],[MonthlyIncome]]&gt;16000,"Very High Income"
)</f>
        <v>Very Low Income</v>
      </c>
      <c r="Y498">
        <v>24444</v>
      </c>
      <c r="Z498">
        <v>1</v>
      </c>
      <c r="AA498" t="s">
        <v>42</v>
      </c>
      <c r="AB498" t="s">
        <v>43</v>
      </c>
      <c r="AC498">
        <v>11</v>
      </c>
      <c r="AD498" t="str" cm="1">
        <f t="array" ref="AD498">_xlfn.IFS(HRData[[#This Row],[PercentSalaryHike]]&lt;=15,"11-15",HRData[[#This Row],[PercentSalaryHike]]&lt;=20,"16-20",HRData[[#This Row],[PercentSalaryHike]]&gt;=21,"21+")</f>
        <v>11-15</v>
      </c>
      <c r="AE498">
        <v>3</v>
      </c>
      <c r="AF498">
        <v>3</v>
      </c>
      <c r="AG498">
        <v>80</v>
      </c>
      <c r="AH498">
        <v>0</v>
      </c>
      <c r="AI498">
        <v>3</v>
      </c>
      <c r="AJ498">
        <v>2</v>
      </c>
      <c r="AK498">
        <v>3</v>
      </c>
      <c r="AL498">
        <v>3</v>
      </c>
      <c r="AM498">
        <v>2</v>
      </c>
      <c r="AN498">
        <v>1</v>
      </c>
      <c r="AO498">
        <v>2</v>
      </c>
      <c r="AP49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498" t="str">
        <f>IF(HRData[[#This Row],[Attrition]]="Yes","Left", IF(HRData[[#This Row],[Attrition_Risk_Score]]&gt;=6,"High",IF(HRData[[#This Row],[Attrition_Risk_Score]]&gt;=3,"Medium","Low")))</f>
        <v>High</v>
      </c>
      <c r="AR498">
        <f>IF(HRData[[#This Row],[Attrition_Risk_Level]]&lt;&gt;"High","",HRData[[#This Row],[Attrition_Risk_Score]]*10000-HRData[[#This Row],[EmployeeNumber]])</f>
        <v>59331</v>
      </c>
    </row>
    <row r="499" spans="1:44">
      <c r="A499">
        <v>44</v>
      </c>
      <c r="B499" t="str" cm="1">
        <f t="array" ref="B499">_xlfn.IFS(
HRData[[#This Row],[Age]]&lt;=24,"18-24",
HRData[[#This Row],[Age]]&lt;=34,"25-34",
HRData[[#This Row],[Age]]&lt;=44,"35-44",
HRData[[#This Row],[Age]]&lt;=54,"45-54",
HRData[[#This Row],[Age]]&gt;=55,"55+"
)</f>
        <v>35-44</v>
      </c>
      <c r="C499" t="s">
        <v>43</v>
      </c>
      <c r="D499">
        <f>IF(HRData[[#This Row],[Attrition]]="Yes",1,0)</f>
        <v>0</v>
      </c>
      <c r="E499" t="s">
        <v>36</v>
      </c>
      <c r="F499">
        <v>1315</v>
      </c>
      <c r="G499" t="s">
        <v>45</v>
      </c>
      <c r="H499">
        <v>3</v>
      </c>
      <c r="I499">
        <v>4</v>
      </c>
      <c r="J499" t="s">
        <v>49</v>
      </c>
      <c r="K499">
        <v>1</v>
      </c>
      <c r="L499">
        <v>671</v>
      </c>
      <c r="M499">
        <v>4</v>
      </c>
      <c r="N499" t="str" cm="1">
        <f t="array" ref="N499">_xlfn.IFS(HRData[[#This Row],[EnvironmentSatisfaction]]=1,"Very Dissatisfied",
HRData[[#This Row],[EnvironmentSatisfaction]]=2,"Dissatisfied",
HRData[[#This Row],[EnvironmentSatisfaction]]=3,"Satisfied",
HRData[[#This Row],[EnvironmentSatisfaction]]=4,"Very Satisfied"
)</f>
        <v>Very Satisfied</v>
      </c>
      <c r="O499" t="s">
        <v>46</v>
      </c>
      <c r="P499">
        <v>35</v>
      </c>
      <c r="Q499">
        <v>3</v>
      </c>
      <c r="R499">
        <v>5</v>
      </c>
      <c r="S499" t="s">
        <v>56</v>
      </c>
      <c r="T499">
        <v>4</v>
      </c>
      <c r="U499" t="str" cm="1">
        <f t="array" ref="U499">_xlfn.IFS(
HRData[[#This Row],[JobSatisfaction]]=1,"Very Dissatisfied",
HRData[[#This Row],[JobSatisfaction]]=2,"Dissatisfied",
HRData[[#This Row],[JobSatisfaction]]=3,"Satisfied",
HRData[[#This Row],[JobSatisfaction]]=4,"Very Satisfied"
)</f>
        <v>Very Satisfied</v>
      </c>
      <c r="V499" t="s">
        <v>48</v>
      </c>
      <c r="W499">
        <v>19513</v>
      </c>
      <c r="X499" t="str" cm="1">
        <f t="array" ref="X499">_xlfn.IFS(
HRData[[#This Row],[MonthlyIncome]]&lt;=4000,"Very Low Income",
HRData[[#This Row],[MonthlyIncome]]&lt;=8000,"Low Income",
HRData[[#This Row],[MonthlyIncome]]&lt;=12000,"Moderate Income",
HRData[[#This Row],[MonthlyIncome]]&lt;=16000,"High Income",
HRData[[#This Row],[MonthlyIncome]]&gt;16000,"Very High Income"
)</f>
        <v>Very High Income</v>
      </c>
      <c r="Y499">
        <v>9358</v>
      </c>
      <c r="Z499">
        <v>4</v>
      </c>
      <c r="AA499" t="s">
        <v>42</v>
      </c>
      <c r="AB499" t="s">
        <v>35</v>
      </c>
      <c r="AC499">
        <v>12</v>
      </c>
      <c r="AD499" t="str" cm="1">
        <f t="array" ref="AD499">_xlfn.IFS(HRData[[#This Row],[PercentSalaryHike]]&lt;=15,"11-15",HRData[[#This Row],[PercentSalaryHike]]&lt;=20,"16-20",HRData[[#This Row],[PercentSalaryHike]]&gt;=21,"21+")</f>
        <v>11-15</v>
      </c>
      <c r="AE499">
        <v>3</v>
      </c>
      <c r="AF499">
        <v>1</v>
      </c>
      <c r="AG499">
        <v>80</v>
      </c>
      <c r="AH499">
        <v>1</v>
      </c>
      <c r="AI499">
        <v>26</v>
      </c>
      <c r="AJ499">
        <v>2</v>
      </c>
      <c r="AK499">
        <v>4</v>
      </c>
      <c r="AL499">
        <v>2</v>
      </c>
      <c r="AM499">
        <v>2</v>
      </c>
      <c r="AN499">
        <v>0</v>
      </c>
      <c r="AO499">
        <v>1</v>
      </c>
      <c r="AP49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99" t="str">
        <f>IF(HRData[[#This Row],[Attrition]]="Yes","Left", IF(HRData[[#This Row],[Attrition_Risk_Score]]&gt;=6,"High",IF(HRData[[#This Row],[Attrition_Risk_Score]]&gt;=3,"Medium","Low")))</f>
        <v>Low</v>
      </c>
      <c r="AR499" t="str">
        <f>IF(HRData[[#This Row],[Attrition_Risk_Level]]&lt;&gt;"High","",HRData[[#This Row],[Attrition_Risk_Score]]*10000-HRData[[#This Row],[EmployeeNumber]])</f>
        <v/>
      </c>
    </row>
    <row r="500" spans="1:44">
      <c r="A500">
        <v>22</v>
      </c>
      <c r="B500" t="str" cm="1">
        <f t="array" ref="B500">_xlfn.IFS(
HRData[[#This Row],[Age]]&lt;=24,"18-24",
HRData[[#This Row],[Age]]&lt;=34,"25-34",
HRData[[#This Row],[Age]]&lt;=44,"35-44",
HRData[[#This Row],[Age]]&lt;=54,"45-54",
HRData[[#This Row],[Age]]&gt;=55,"55+"
)</f>
        <v>18-24</v>
      </c>
      <c r="C500" t="s">
        <v>43</v>
      </c>
      <c r="D500">
        <f>IF(HRData[[#This Row],[Attrition]]="Yes",1,0)</f>
        <v>0</v>
      </c>
      <c r="E500" t="s">
        <v>36</v>
      </c>
      <c r="F500">
        <v>604</v>
      </c>
      <c r="G500" t="s">
        <v>45</v>
      </c>
      <c r="H500">
        <v>6</v>
      </c>
      <c r="I500">
        <v>1</v>
      </c>
      <c r="J500" t="s">
        <v>51</v>
      </c>
      <c r="K500">
        <v>1</v>
      </c>
      <c r="L500">
        <v>675</v>
      </c>
      <c r="M500">
        <v>1</v>
      </c>
      <c r="N500" t="str" cm="1">
        <f t="array" ref="N500">_xlfn.IFS(HRData[[#This Row],[EnvironmentSatisfaction]]=1,"Very Dissatisfied",
HRData[[#This Row],[EnvironmentSatisfaction]]=2,"Dissatisfied",
HRData[[#This Row],[EnvironmentSatisfaction]]=3,"Satisfied",
HRData[[#This Row],[EnvironmentSatisfaction]]=4,"Very Satisfied"
)</f>
        <v>Very Dissatisfied</v>
      </c>
      <c r="O500" t="s">
        <v>46</v>
      </c>
      <c r="P500">
        <v>69</v>
      </c>
      <c r="Q500">
        <v>3</v>
      </c>
      <c r="R500">
        <v>1</v>
      </c>
      <c r="S500" t="s">
        <v>47</v>
      </c>
      <c r="T500">
        <v>3</v>
      </c>
      <c r="U500" t="str" cm="1">
        <f t="array" ref="U500">_xlfn.IFS(
HRData[[#This Row],[JobSatisfaction]]=1,"Very Dissatisfied",
HRData[[#This Row],[JobSatisfaction]]=2,"Dissatisfied",
HRData[[#This Row],[JobSatisfaction]]=3,"Satisfied",
HRData[[#This Row],[JobSatisfaction]]=4,"Very Satisfied"
)</f>
        <v>Satisfied</v>
      </c>
      <c r="V500" t="s">
        <v>48</v>
      </c>
      <c r="W500">
        <v>2773</v>
      </c>
      <c r="X500" t="str" cm="1">
        <f t="array" ref="X500">_xlfn.IFS(
HRData[[#This Row],[MonthlyIncome]]&lt;=4000,"Very Low Income",
HRData[[#This Row],[MonthlyIncome]]&lt;=8000,"Low Income",
HRData[[#This Row],[MonthlyIncome]]&lt;=12000,"Moderate Income",
HRData[[#This Row],[MonthlyIncome]]&lt;=16000,"High Income",
HRData[[#This Row],[MonthlyIncome]]&gt;16000,"Very High Income"
)</f>
        <v>Very Low Income</v>
      </c>
      <c r="Y500">
        <v>12145</v>
      </c>
      <c r="Z500">
        <v>0</v>
      </c>
      <c r="AA500" t="s">
        <v>42</v>
      </c>
      <c r="AB500" t="s">
        <v>43</v>
      </c>
      <c r="AC500">
        <v>20</v>
      </c>
      <c r="AD500" t="str" cm="1">
        <f t="array" ref="AD500">_xlfn.IFS(HRData[[#This Row],[PercentSalaryHike]]&lt;=15,"11-15",HRData[[#This Row],[PercentSalaryHike]]&lt;=20,"16-20",HRData[[#This Row],[PercentSalaryHike]]&gt;=21,"21+")</f>
        <v>16-20</v>
      </c>
      <c r="AE500">
        <v>4</v>
      </c>
      <c r="AF500">
        <v>4</v>
      </c>
      <c r="AG500">
        <v>80</v>
      </c>
      <c r="AH500">
        <v>0</v>
      </c>
      <c r="AI500">
        <v>3</v>
      </c>
      <c r="AJ500">
        <v>3</v>
      </c>
      <c r="AK500">
        <v>3</v>
      </c>
      <c r="AL500">
        <v>2</v>
      </c>
      <c r="AM500">
        <v>2</v>
      </c>
      <c r="AN500">
        <v>2</v>
      </c>
      <c r="AO500">
        <v>2</v>
      </c>
      <c r="AP50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00" t="str">
        <f>IF(HRData[[#This Row],[Attrition]]="Yes","Left", IF(HRData[[#This Row],[Attrition_Risk_Score]]&gt;=6,"High",IF(HRData[[#This Row],[Attrition_Risk_Score]]&gt;=3,"Medium","Low")))</f>
        <v>Medium</v>
      </c>
      <c r="AR500" t="str">
        <f>IF(HRData[[#This Row],[Attrition_Risk_Level]]&lt;&gt;"High","",HRData[[#This Row],[Attrition_Risk_Score]]*10000-HRData[[#This Row],[EmployeeNumber]])</f>
        <v/>
      </c>
    </row>
    <row r="501" spans="1:44">
      <c r="A501">
        <v>33</v>
      </c>
      <c r="B501" t="str" cm="1">
        <f t="array" ref="B501">_xlfn.IFS(
HRData[[#This Row],[Age]]&lt;=24,"18-24",
HRData[[#This Row],[Age]]&lt;=34,"25-34",
HRData[[#This Row],[Age]]&lt;=44,"35-44",
HRData[[#This Row],[Age]]&lt;=54,"45-54",
HRData[[#This Row],[Age]]&gt;=55,"55+"
)</f>
        <v>25-34</v>
      </c>
      <c r="C501" t="s">
        <v>43</v>
      </c>
      <c r="D501">
        <f>IF(HRData[[#This Row],[Attrition]]="Yes",1,0)</f>
        <v>0</v>
      </c>
      <c r="E501" t="s">
        <v>36</v>
      </c>
      <c r="F501">
        <v>1216</v>
      </c>
      <c r="G501" t="s">
        <v>37</v>
      </c>
      <c r="H501">
        <v>8</v>
      </c>
      <c r="I501">
        <v>4</v>
      </c>
      <c r="J501" t="s">
        <v>59</v>
      </c>
      <c r="K501">
        <v>1</v>
      </c>
      <c r="L501">
        <v>677</v>
      </c>
      <c r="M501">
        <v>3</v>
      </c>
      <c r="N501" t="str" cm="1">
        <f t="array" ref="N501">_xlfn.IFS(HRData[[#This Row],[EnvironmentSatisfaction]]=1,"Very Dissatisfied",
HRData[[#This Row],[EnvironmentSatisfaction]]=2,"Dissatisfied",
HRData[[#This Row],[EnvironmentSatisfaction]]=3,"Satisfied",
HRData[[#This Row],[EnvironmentSatisfaction]]=4,"Very Satisfied"
)</f>
        <v>Satisfied</v>
      </c>
      <c r="O501" t="s">
        <v>46</v>
      </c>
      <c r="P501">
        <v>39</v>
      </c>
      <c r="Q501">
        <v>3</v>
      </c>
      <c r="R501">
        <v>2</v>
      </c>
      <c r="S501" t="s">
        <v>40</v>
      </c>
      <c r="T501">
        <v>3</v>
      </c>
      <c r="U501" t="str" cm="1">
        <f t="array" ref="U501">_xlfn.IFS(
HRData[[#This Row],[JobSatisfaction]]=1,"Very Dissatisfied",
HRData[[#This Row],[JobSatisfaction]]=2,"Dissatisfied",
HRData[[#This Row],[JobSatisfaction]]=3,"Satisfied",
HRData[[#This Row],[JobSatisfaction]]=4,"Very Satisfied"
)</f>
        <v>Satisfied</v>
      </c>
      <c r="V501" t="s">
        <v>52</v>
      </c>
      <c r="W501">
        <v>7104</v>
      </c>
      <c r="X501" t="str" cm="1">
        <f t="array" ref="X501">_xlfn.IFS(
HRData[[#This Row],[MonthlyIncome]]&lt;=4000,"Very Low Income",
HRData[[#This Row],[MonthlyIncome]]&lt;=8000,"Low Income",
HRData[[#This Row],[MonthlyIncome]]&lt;=12000,"Moderate Income",
HRData[[#This Row],[MonthlyIncome]]&lt;=16000,"High Income",
HRData[[#This Row],[MonthlyIncome]]&gt;16000,"Very High Income"
)</f>
        <v>Low Income</v>
      </c>
      <c r="Y501">
        <v>20431</v>
      </c>
      <c r="Z501">
        <v>0</v>
      </c>
      <c r="AA501" t="s">
        <v>42</v>
      </c>
      <c r="AB501" t="s">
        <v>43</v>
      </c>
      <c r="AC501">
        <v>12</v>
      </c>
      <c r="AD501" t="str" cm="1">
        <f t="array" ref="AD501">_xlfn.IFS(HRData[[#This Row],[PercentSalaryHike]]&lt;=15,"11-15",HRData[[#This Row],[PercentSalaryHike]]&lt;=20,"16-20",HRData[[#This Row],[PercentSalaryHike]]&gt;=21,"21+")</f>
        <v>11-15</v>
      </c>
      <c r="AE501">
        <v>3</v>
      </c>
      <c r="AF501">
        <v>4</v>
      </c>
      <c r="AG501">
        <v>80</v>
      </c>
      <c r="AH501">
        <v>0</v>
      </c>
      <c r="AI501">
        <v>6</v>
      </c>
      <c r="AJ501">
        <v>3</v>
      </c>
      <c r="AK501">
        <v>3</v>
      </c>
      <c r="AL501">
        <v>5</v>
      </c>
      <c r="AM501">
        <v>0</v>
      </c>
      <c r="AN501">
        <v>1</v>
      </c>
      <c r="AO501">
        <v>2</v>
      </c>
      <c r="AP50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01" t="str">
        <f>IF(HRData[[#This Row],[Attrition]]="Yes","Left", IF(HRData[[#This Row],[Attrition_Risk_Score]]&gt;=6,"High",IF(HRData[[#This Row],[Attrition_Risk_Score]]&gt;=3,"Medium","Low")))</f>
        <v>Low</v>
      </c>
      <c r="AR501" t="str">
        <f>IF(HRData[[#This Row],[Attrition_Risk_Level]]&lt;&gt;"High","",HRData[[#This Row],[Attrition_Risk_Score]]*10000-HRData[[#This Row],[EmployeeNumber]])</f>
        <v/>
      </c>
    </row>
    <row r="502" spans="1:44">
      <c r="A502">
        <v>32</v>
      </c>
      <c r="B502" t="str" cm="1">
        <f t="array" ref="B502">_xlfn.IFS(
HRData[[#This Row],[Age]]&lt;=24,"18-24",
HRData[[#This Row],[Age]]&lt;=34,"25-34",
HRData[[#This Row],[Age]]&lt;=44,"35-44",
HRData[[#This Row],[Age]]&lt;=54,"45-54",
HRData[[#This Row],[Age]]&gt;=55,"55+"
)</f>
        <v>25-34</v>
      </c>
      <c r="C502" t="s">
        <v>43</v>
      </c>
      <c r="D502">
        <f>IF(HRData[[#This Row],[Attrition]]="Yes",1,0)</f>
        <v>0</v>
      </c>
      <c r="E502" t="s">
        <v>36</v>
      </c>
      <c r="F502">
        <v>646</v>
      </c>
      <c r="G502" t="s">
        <v>45</v>
      </c>
      <c r="H502">
        <v>9</v>
      </c>
      <c r="I502">
        <v>4</v>
      </c>
      <c r="J502" t="s">
        <v>38</v>
      </c>
      <c r="K502">
        <v>1</v>
      </c>
      <c r="L502">
        <v>679</v>
      </c>
      <c r="M502">
        <v>1</v>
      </c>
      <c r="N502" t="str" cm="1">
        <f t="array" ref="N502">_xlfn.IFS(HRData[[#This Row],[EnvironmentSatisfaction]]=1,"Very Dissatisfied",
HRData[[#This Row],[EnvironmentSatisfaction]]=2,"Dissatisfied",
HRData[[#This Row],[EnvironmentSatisfaction]]=3,"Satisfied",
HRData[[#This Row],[EnvironmentSatisfaction]]=4,"Very Satisfied"
)</f>
        <v>Very Dissatisfied</v>
      </c>
      <c r="O502" t="s">
        <v>39</v>
      </c>
      <c r="P502">
        <v>92</v>
      </c>
      <c r="Q502">
        <v>3</v>
      </c>
      <c r="R502">
        <v>2</v>
      </c>
      <c r="S502" t="s">
        <v>47</v>
      </c>
      <c r="T502">
        <v>4</v>
      </c>
      <c r="U502" t="str" cm="1">
        <f t="array" ref="U502">_xlfn.IFS(
HRData[[#This Row],[JobSatisfaction]]=1,"Very Dissatisfied",
HRData[[#This Row],[JobSatisfaction]]=2,"Dissatisfied",
HRData[[#This Row],[JobSatisfaction]]=3,"Satisfied",
HRData[[#This Row],[JobSatisfaction]]=4,"Very Satisfied"
)</f>
        <v>Very Satisfied</v>
      </c>
      <c r="V502" t="s">
        <v>48</v>
      </c>
      <c r="W502">
        <v>6322</v>
      </c>
      <c r="X502" t="str" cm="1">
        <f t="array" ref="X502">_xlfn.IFS(
HRData[[#This Row],[MonthlyIncome]]&lt;=4000,"Very Low Income",
HRData[[#This Row],[MonthlyIncome]]&lt;=8000,"Low Income",
HRData[[#This Row],[MonthlyIncome]]&lt;=12000,"Moderate Income",
HRData[[#This Row],[MonthlyIncome]]&lt;=16000,"High Income",
HRData[[#This Row],[MonthlyIncome]]&gt;16000,"Very High Income"
)</f>
        <v>Low Income</v>
      </c>
      <c r="Y502">
        <v>18089</v>
      </c>
      <c r="Z502">
        <v>1</v>
      </c>
      <c r="AA502" t="s">
        <v>42</v>
      </c>
      <c r="AB502" t="s">
        <v>35</v>
      </c>
      <c r="AC502">
        <v>12</v>
      </c>
      <c r="AD502" t="str" cm="1">
        <f t="array" ref="AD502">_xlfn.IFS(HRData[[#This Row],[PercentSalaryHike]]&lt;=15,"11-15",HRData[[#This Row],[PercentSalaryHike]]&lt;=20,"16-20",HRData[[#This Row],[PercentSalaryHike]]&gt;=21,"21+")</f>
        <v>11-15</v>
      </c>
      <c r="AE502">
        <v>3</v>
      </c>
      <c r="AF502">
        <v>4</v>
      </c>
      <c r="AG502">
        <v>80</v>
      </c>
      <c r="AH502">
        <v>1</v>
      </c>
      <c r="AI502">
        <v>6</v>
      </c>
      <c r="AJ502">
        <v>2</v>
      </c>
      <c r="AK502">
        <v>2</v>
      </c>
      <c r="AL502">
        <v>6</v>
      </c>
      <c r="AM502">
        <v>4</v>
      </c>
      <c r="AN502">
        <v>0</v>
      </c>
      <c r="AO502">
        <v>5</v>
      </c>
      <c r="AP50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02" t="str">
        <f>IF(HRData[[#This Row],[Attrition]]="Yes","Left", IF(HRData[[#This Row],[Attrition_Risk_Score]]&gt;=6,"High",IF(HRData[[#This Row],[Attrition_Risk_Score]]&gt;=3,"Medium","Low")))</f>
        <v>Medium</v>
      </c>
      <c r="AR502" t="str">
        <f>IF(HRData[[#This Row],[Attrition_Risk_Level]]&lt;&gt;"High","",HRData[[#This Row],[Attrition_Risk_Score]]*10000-HRData[[#This Row],[EmployeeNumber]])</f>
        <v/>
      </c>
    </row>
    <row r="503" spans="1:44">
      <c r="A503">
        <v>30</v>
      </c>
      <c r="B503" t="str" cm="1">
        <f t="array" ref="B503">_xlfn.IFS(
HRData[[#This Row],[Age]]&lt;=24,"18-24",
HRData[[#This Row],[Age]]&lt;=34,"25-34",
HRData[[#This Row],[Age]]&lt;=44,"35-44",
HRData[[#This Row],[Age]]&lt;=54,"45-54",
HRData[[#This Row],[Age]]&gt;=55,"55+"
)</f>
        <v>25-34</v>
      </c>
      <c r="C503" t="s">
        <v>43</v>
      </c>
      <c r="D503">
        <f>IF(HRData[[#This Row],[Attrition]]="Yes",1,0)</f>
        <v>0</v>
      </c>
      <c r="E503" t="s">
        <v>44</v>
      </c>
      <c r="F503">
        <v>160</v>
      </c>
      <c r="G503" t="s">
        <v>45</v>
      </c>
      <c r="H503">
        <v>3</v>
      </c>
      <c r="I503">
        <v>3</v>
      </c>
      <c r="J503" t="s">
        <v>51</v>
      </c>
      <c r="K503">
        <v>1</v>
      </c>
      <c r="L503">
        <v>680</v>
      </c>
      <c r="M503">
        <v>3</v>
      </c>
      <c r="N503" t="str" cm="1">
        <f t="array" ref="N503">_xlfn.IFS(HRData[[#This Row],[EnvironmentSatisfaction]]=1,"Very Dissatisfied",
HRData[[#This Row],[EnvironmentSatisfaction]]=2,"Dissatisfied",
HRData[[#This Row],[EnvironmentSatisfaction]]=3,"Satisfied",
HRData[[#This Row],[EnvironmentSatisfaction]]=4,"Very Satisfied"
)</f>
        <v>Satisfied</v>
      </c>
      <c r="O503" t="s">
        <v>39</v>
      </c>
      <c r="P503">
        <v>71</v>
      </c>
      <c r="Q503">
        <v>3</v>
      </c>
      <c r="R503">
        <v>1</v>
      </c>
      <c r="S503" t="s">
        <v>47</v>
      </c>
      <c r="T503">
        <v>3</v>
      </c>
      <c r="U503" t="str" cm="1">
        <f t="array" ref="U503">_xlfn.IFS(
HRData[[#This Row],[JobSatisfaction]]=1,"Very Dissatisfied",
HRData[[#This Row],[JobSatisfaction]]=2,"Dissatisfied",
HRData[[#This Row],[JobSatisfaction]]=3,"Satisfied",
HRData[[#This Row],[JobSatisfaction]]=4,"Very Satisfied"
)</f>
        <v>Satisfied</v>
      </c>
      <c r="V503" t="s">
        <v>52</v>
      </c>
      <c r="W503">
        <v>2083</v>
      </c>
      <c r="X503" t="str" cm="1">
        <f t="array" ref="X503">_xlfn.IFS(
HRData[[#This Row],[MonthlyIncome]]&lt;=4000,"Very Low Income",
HRData[[#This Row],[MonthlyIncome]]&lt;=8000,"Low Income",
HRData[[#This Row],[MonthlyIncome]]&lt;=12000,"Moderate Income",
HRData[[#This Row],[MonthlyIncome]]&lt;=16000,"High Income",
HRData[[#This Row],[MonthlyIncome]]&gt;16000,"Very High Income"
)</f>
        <v>Very Low Income</v>
      </c>
      <c r="Y503">
        <v>22653</v>
      </c>
      <c r="Z503">
        <v>1</v>
      </c>
      <c r="AA503" t="s">
        <v>42</v>
      </c>
      <c r="AB503" t="s">
        <v>43</v>
      </c>
      <c r="AC503">
        <v>20</v>
      </c>
      <c r="AD503" t="str" cm="1">
        <f t="array" ref="AD503">_xlfn.IFS(HRData[[#This Row],[PercentSalaryHike]]&lt;=15,"11-15",HRData[[#This Row],[PercentSalaryHike]]&lt;=20,"16-20",HRData[[#This Row],[PercentSalaryHike]]&gt;=21,"21+")</f>
        <v>16-20</v>
      </c>
      <c r="AE503">
        <v>4</v>
      </c>
      <c r="AF503">
        <v>3</v>
      </c>
      <c r="AG503">
        <v>80</v>
      </c>
      <c r="AH503">
        <v>1</v>
      </c>
      <c r="AI503">
        <v>1</v>
      </c>
      <c r="AJ503">
        <v>2</v>
      </c>
      <c r="AK503">
        <v>3</v>
      </c>
      <c r="AL503">
        <v>1</v>
      </c>
      <c r="AM503">
        <v>0</v>
      </c>
      <c r="AN503">
        <v>0</v>
      </c>
      <c r="AO503">
        <v>0</v>
      </c>
      <c r="AP50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03" t="str">
        <f>IF(HRData[[#This Row],[Attrition]]="Yes","Left", IF(HRData[[#This Row],[Attrition_Risk_Score]]&gt;=6,"High",IF(HRData[[#This Row],[Attrition_Risk_Score]]&gt;=3,"Medium","Low")))</f>
        <v>Medium</v>
      </c>
      <c r="AR503" t="str">
        <f>IF(HRData[[#This Row],[Attrition_Risk_Level]]&lt;&gt;"High","",HRData[[#This Row],[Attrition_Risk_Score]]*10000-HRData[[#This Row],[EmployeeNumber]])</f>
        <v/>
      </c>
    </row>
    <row r="504" spans="1:44">
      <c r="A504">
        <v>53</v>
      </c>
      <c r="B504" t="str" cm="1">
        <f t="array" ref="B504">_xlfn.IFS(
HRData[[#This Row],[Age]]&lt;=24,"18-24",
HRData[[#This Row],[Age]]&lt;=34,"25-34",
HRData[[#This Row],[Age]]&lt;=44,"35-44",
HRData[[#This Row],[Age]]&lt;=54,"45-54",
HRData[[#This Row],[Age]]&gt;=55,"55+"
)</f>
        <v>45-54</v>
      </c>
      <c r="C504" t="s">
        <v>43</v>
      </c>
      <c r="D504">
        <f>IF(HRData[[#This Row],[Attrition]]="Yes",1,0)</f>
        <v>0</v>
      </c>
      <c r="E504" t="s">
        <v>36</v>
      </c>
      <c r="F504">
        <v>238</v>
      </c>
      <c r="G504" t="s">
        <v>37</v>
      </c>
      <c r="H504">
        <v>1</v>
      </c>
      <c r="I504">
        <v>1</v>
      </c>
      <c r="J504" t="s">
        <v>51</v>
      </c>
      <c r="K504">
        <v>1</v>
      </c>
      <c r="L504">
        <v>682</v>
      </c>
      <c r="M504">
        <v>4</v>
      </c>
      <c r="N504" t="str" cm="1">
        <f t="array" ref="N504">_xlfn.IFS(HRData[[#This Row],[EnvironmentSatisfaction]]=1,"Very Dissatisfied",
HRData[[#This Row],[EnvironmentSatisfaction]]=2,"Dissatisfied",
HRData[[#This Row],[EnvironmentSatisfaction]]=3,"Satisfied",
HRData[[#This Row],[EnvironmentSatisfaction]]=4,"Very Satisfied"
)</f>
        <v>Very Satisfied</v>
      </c>
      <c r="O504" t="s">
        <v>39</v>
      </c>
      <c r="P504">
        <v>34</v>
      </c>
      <c r="Q504">
        <v>3</v>
      </c>
      <c r="R504">
        <v>2</v>
      </c>
      <c r="S504" t="s">
        <v>40</v>
      </c>
      <c r="T504">
        <v>1</v>
      </c>
      <c r="U504" t="str" cm="1">
        <f t="array" ref="U504">_xlfn.IFS(
HRData[[#This Row],[JobSatisfaction]]=1,"Very Dissatisfied",
HRData[[#This Row],[JobSatisfaction]]=2,"Dissatisfied",
HRData[[#This Row],[JobSatisfaction]]=3,"Satisfied",
HRData[[#This Row],[JobSatisfaction]]=4,"Very Satisfied"
)</f>
        <v>Very Dissatisfied</v>
      </c>
      <c r="V504" t="s">
        <v>41</v>
      </c>
      <c r="W504">
        <v>8381</v>
      </c>
      <c r="X504" t="str" cm="1">
        <f t="array" ref="X504">_xlfn.IFS(
HRData[[#This Row],[MonthlyIncome]]&lt;=4000,"Very Low Income",
HRData[[#This Row],[MonthlyIncome]]&lt;=8000,"Low Income",
HRData[[#This Row],[MonthlyIncome]]&lt;=12000,"Moderate Income",
HRData[[#This Row],[MonthlyIncome]]&lt;=16000,"High Income",
HRData[[#This Row],[MonthlyIncome]]&gt;16000,"Very High Income"
)</f>
        <v>Moderate Income</v>
      </c>
      <c r="Y504">
        <v>7507</v>
      </c>
      <c r="Z504">
        <v>7</v>
      </c>
      <c r="AA504" t="s">
        <v>42</v>
      </c>
      <c r="AB504" t="s">
        <v>43</v>
      </c>
      <c r="AC504">
        <v>20</v>
      </c>
      <c r="AD504" t="str" cm="1">
        <f t="array" ref="AD504">_xlfn.IFS(HRData[[#This Row],[PercentSalaryHike]]&lt;=15,"11-15",HRData[[#This Row],[PercentSalaryHike]]&lt;=20,"16-20",HRData[[#This Row],[PercentSalaryHike]]&gt;=21,"21+")</f>
        <v>16-20</v>
      </c>
      <c r="AE504">
        <v>4</v>
      </c>
      <c r="AF504">
        <v>4</v>
      </c>
      <c r="AG504">
        <v>80</v>
      </c>
      <c r="AH504">
        <v>0</v>
      </c>
      <c r="AI504">
        <v>18</v>
      </c>
      <c r="AJ504">
        <v>2</v>
      </c>
      <c r="AK504">
        <v>4</v>
      </c>
      <c r="AL504">
        <v>14</v>
      </c>
      <c r="AM504">
        <v>7</v>
      </c>
      <c r="AN504">
        <v>8</v>
      </c>
      <c r="AO504">
        <v>10</v>
      </c>
      <c r="AP50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04" t="str">
        <f>IF(HRData[[#This Row],[Attrition]]="Yes","Left", IF(HRData[[#This Row],[Attrition_Risk_Score]]&gt;=6,"High",IF(HRData[[#This Row],[Attrition_Risk_Score]]&gt;=3,"Medium","Low")))</f>
        <v>Low</v>
      </c>
      <c r="AR504" t="str">
        <f>IF(HRData[[#This Row],[Attrition_Risk_Level]]&lt;&gt;"High","",HRData[[#This Row],[Attrition_Risk_Score]]*10000-HRData[[#This Row],[EmployeeNumber]])</f>
        <v/>
      </c>
    </row>
    <row r="505" spans="1:44">
      <c r="A505">
        <v>34</v>
      </c>
      <c r="B505" t="str" cm="1">
        <f t="array" ref="B505">_xlfn.IFS(
HRData[[#This Row],[Age]]&lt;=24,"18-24",
HRData[[#This Row],[Age]]&lt;=34,"25-34",
HRData[[#This Row],[Age]]&lt;=44,"35-44",
HRData[[#This Row],[Age]]&lt;=54,"45-54",
HRData[[#This Row],[Age]]&gt;=55,"55+"
)</f>
        <v>25-34</v>
      </c>
      <c r="C505" t="s">
        <v>43</v>
      </c>
      <c r="D505">
        <f>IF(HRData[[#This Row],[Attrition]]="Yes",1,0)</f>
        <v>0</v>
      </c>
      <c r="E505" t="s">
        <v>36</v>
      </c>
      <c r="F505">
        <v>1397</v>
      </c>
      <c r="G505" t="s">
        <v>45</v>
      </c>
      <c r="H505">
        <v>1</v>
      </c>
      <c r="I505">
        <v>5</v>
      </c>
      <c r="J505" t="s">
        <v>38</v>
      </c>
      <c r="K505">
        <v>1</v>
      </c>
      <c r="L505">
        <v>683</v>
      </c>
      <c r="M505">
        <v>2</v>
      </c>
      <c r="N505" t="str" cm="1">
        <f t="array" ref="N505">_xlfn.IFS(HRData[[#This Row],[EnvironmentSatisfaction]]=1,"Very Dissatisfied",
HRData[[#This Row],[EnvironmentSatisfaction]]=2,"Dissatisfied",
HRData[[#This Row],[EnvironmentSatisfaction]]=3,"Satisfied",
HRData[[#This Row],[EnvironmentSatisfaction]]=4,"Very Satisfied"
)</f>
        <v>Dissatisfied</v>
      </c>
      <c r="O505" t="s">
        <v>46</v>
      </c>
      <c r="P505">
        <v>42</v>
      </c>
      <c r="Q505">
        <v>3</v>
      </c>
      <c r="R505">
        <v>1</v>
      </c>
      <c r="S505" t="s">
        <v>47</v>
      </c>
      <c r="T505">
        <v>4</v>
      </c>
      <c r="U505" t="str" cm="1">
        <f t="array" ref="U505">_xlfn.IFS(
HRData[[#This Row],[JobSatisfaction]]=1,"Very Dissatisfied",
HRData[[#This Row],[JobSatisfaction]]=2,"Dissatisfied",
HRData[[#This Row],[JobSatisfaction]]=3,"Satisfied",
HRData[[#This Row],[JobSatisfaction]]=4,"Very Satisfied"
)</f>
        <v>Very Satisfied</v>
      </c>
      <c r="V505" t="s">
        <v>48</v>
      </c>
      <c r="W505">
        <v>2691</v>
      </c>
      <c r="X505" t="str" cm="1">
        <f t="array" ref="X505">_xlfn.IFS(
HRData[[#This Row],[MonthlyIncome]]&lt;=4000,"Very Low Income",
HRData[[#This Row],[MonthlyIncome]]&lt;=8000,"Low Income",
HRData[[#This Row],[MonthlyIncome]]&lt;=12000,"Moderate Income",
HRData[[#This Row],[MonthlyIncome]]&lt;=16000,"High Income",
HRData[[#This Row],[MonthlyIncome]]&gt;16000,"Very High Income"
)</f>
        <v>Very Low Income</v>
      </c>
      <c r="Y505">
        <v>7660</v>
      </c>
      <c r="Z505">
        <v>1</v>
      </c>
      <c r="AA505" t="s">
        <v>42</v>
      </c>
      <c r="AB505" t="s">
        <v>43</v>
      </c>
      <c r="AC505">
        <v>12</v>
      </c>
      <c r="AD505" t="str" cm="1">
        <f t="array" ref="AD505">_xlfn.IFS(HRData[[#This Row],[PercentSalaryHike]]&lt;=15,"11-15",HRData[[#This Row],[PercentSalaryHike]]&lt;=20,"16-20",HRData[[#This Row],[PercentSalaryHike]]&gt;=21,"21+")</f>
        <v>11-15</v>
      </c>
      <c r="AE505">
        <v>3</v>
      </c>
      <c r="AF505">
        <v>4</v>
      </c>
      <c r="AG505">
        <v>80</v>
      </c>
      <c r="AH505">
        <v>1</v>
      </c>
      <c r="AI505">
        <v>10</v>
      </c>
      <c r="AJ505">
        <v>4</v>
      </c>
      <c r="AK505">
        <v>2</v>
      </c>
      <c r="AL505">
        <v>10</v>
      </c>
      <c r="AM505">
        <v>9</v>
      </c>
      <c r="AN505">
        <v>8</v>
      </c>
      <c r="AO505">
        <v>8</v>
      </c>
      <c r="AP50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05" t="str">
        <f>IF(HRData[[#This Row],[Attrition]]="Yes","Left", IF(HRData[[#This Row],[Attrition_Risk_Score]]&gt;=6,"High",IF(HRData[[#This Row],[Attrition_Risk_Score]]&gt;=3,"Medium","Low")))</f>
        <v>Medium</v>
      </c>
      <c r="AR505" t="str">
        <f>IF(HRData[[#This Row],[Attrition_Risk_Level]]&lt;&gt;"High","",HRData[[#This Row],[Attrition_Risk_Score]]*10000-HRData[[#This Row],[EmployeeNumber]])</f>
        <v/>
      </c>
    </row>
    <row r="506" spans="1:44">
      <c r="A506">
        <v>45</v>
      </c>
      <c r="B506" t="str" cm="1">
        <f t="array" ref="B506">_xlfn.IFS(
HRData[[#This Row],[Age]]&lt;=24,"18-24",
HRData[[#This Row],[Age]]&lt;=34,"25-34",
HRData[[#This Row],[Age]]&lt;=44,"35-44",
HRData[[#This Row],[Age]]&lt;=54,"45-54",
HRData[[#This Row],[Age]]&gt;=55,"55+"
)</f>
        <v>45-54</v>
      </c>
      <c r="C506" t="s">
        <v>35</v>
      </c>
      <c r="D506">
        <f>IF(HRData[[#This Row],[Attrition]]="Yes",1,0)</f>
        <v>1</v>
      </c>
      <c r="E506" t="s">
        <v>44</v>
      </c>
      <c r="F506">
        <v>306</v>
      </c>
      <c r="G506" t="s">
        <v>37</v>
      </c>
      <c r="H506">
        <v>26</v>
      </c>
      <c r="I506">
        <v>4</v>
      </c>
      <c r="J506" t="s">
        <v>38</v>
      </c>
      <c r="K506">
        <v>1</v>
      </c>
      <c r="L506">
        <v>684</v>
      </c>
      <c r="M506">
        <v>1</v>
      </c>
      <c r="N506" t="str" cm="1">
        <f t="array" ref="N506">_xlfn.IFS(HRData[[#This Row],[EnvironmentSatisfaction]]=1,"Very Dissatisfied",
HRData[[#This Row],[EnvironmentSatisfaction]]=2,"Dissatisfied",
HRData[[#This Row],[EnvironmentSatisfaction]]=3,"Satisfied",
HRData[[#This Row],[EnvironmentSatisfaction]]=4,"Very Satisfied"
)</f>
        <v>Very Dissatisfied</v>
      </c>
      <c r="O506" t="s">
        <v>39</v>
      </c>
      <c r="P506">
        <v>100</v>
      </c>
      <c r="Q506">
        <v>3</v>
      </c>
      <c r="R506">
        <v>2</v>
      </c>
      <c r="S506" t="s">
        <v>40</v>
      </c>
      <c r="T506">
        <v>1</v>
      </c>
      <c r="U506" t="str" cm="1">
        <f t="array" ref="U506">_xlfn.IFS(
HRData[[#This Row],[JobSatisfaction]]=1,"Very Dissatisfied",
HRData[[#This Row],[JobSatisfaction]]=2,"Dissatisfied",
HRData[[#This Row],[JobSatisfaction]]=3,"Satisfied",
HRData[[#This Row],[JobSatisfaction]]=4,"Very Satisfied"
)</f>
        <v>Very Dissatisfied</v>
      </c>
      <c r="V506" t="s">
        <v>48</v>
      </c>
      <c r="W506">
        <v>4286</v>
      </c>
      <c r="X506" t="str" cm="1">
        <f t="array" ref="X506">_xlfn.IFS(
HRData[[#This Row],[MonthlyIncome]]&lt;=4000,"Very Low Income",
HRData[[#This Row],[MonthlyIncome]]&lt;=8000,"Low Income",
HRData[[#This Row],[MonthlyIncome]]&lt;=12000,"Moderate Income",
HRData[[#This Row],[MonthlyIncome]]&lt;=16000,"High Income",
HRData[[#This Row],[MonthlyIncome]]&gt;16000,"Very High Income"
)</f>
        <v>Low Income</v>
      </c>
      <c r="Y506">
        <v>5630</v>
      </c>
      <c r="Z506">
        <v>2</v>
      </c>
      <c r="AA506" t="s">
        <v>42</v>
      </c>
      <c r="AB506" t="s">
        <v>43</v>
      </c>
      <c r="AC506">
        <v>14</v>
      </c>
      <c r="AD506" t="str" cm="1">
        <f t="array" ref="AD506">_xlfn.IFS(HRData[[#This Row],[PercentSalaryHike]]&lt;=15,"11-15",HRData[[#This Row],[PercentSalaryHike]]&lt;=20,"16-20",HRData[[#This Row],[PercentSalaryHike]]&gt;=21,"21+")</f>
        <v>11-15</v>
      </c>
      <c r="AE506">
        <v>3</v>
      </c>
      <c r="AF506">
        <v>4</v>
      </c>
      <c r="AG506">
        <v>80</v>
      </c>
      <c r="AH506">
        <v>2</v>
      </c>
      <c r="AI506">
        <v>5</v>
      </c>
      <c r="AJ506">
        <v>4</v>
      </c>
      <c r="AK506">
        <v>3</v>
      </c>
      <c r="AL506">
        <v>1</v>
      </c>
      <c r="AM506">
        <v>1</v>
      </c>
      <c r="AN506">
        <v>0</v>
      </c>
      <c r="AO506">
        <v>0</v>
      </c>
      <c r="AP50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06" t="str">
        <f>IF(HRData[[#This Row],[Attrition]]="Yes","Left", IF(HRData[[#This Row],[Attrition_Risk_Score]]&gt;=6,"High",IF(HRData[[#This Row],[Attrition_Risk_Score]]&gt;=3,"Medium","Low")))</f>
        <v>Left</v>
      </c>
      <c r="AR506" t="str">
        <f>IF(HRData[[#This Row],[Attrition_Risk_Level]]&lt;&gt;"High","",HRData[[#This Row],[Attrition_Risk_Score]]*10000-HRData[[#This Row],[EmployeeNumber]])</f>
        <v/>
      </c>
    </row>
    <row r="507" spans="1:44">
      <c r="A507">
        <v>26</v>
      </c>
      <c r="B507" t="str" cm="1">
        <f t="array" ref="B507">_xlfn.IFS(
HRData[[#This Row],[Age]]&lt;=24,"18-24",
HRData[[#This Row],[Age]]&lt;=34,"25-34",
HRData[[#This Row],[Age]]&lt;=44,"35-44",
HRData[[#This Row],[Age]]&lt;=54,"45-54",
HRData[[#This Row],[Age]]&gt;=55,"55+"
)</f>
        <v>25-34</v>
      </c>
      <c r="C507" t="s">
        <v>43</v>
      </c>
      <c r="D507">
        <f>IF(HRData[[#This Row],[Attrition]]="Yes",1,0)</f>
        <v>0</v>
      </c>
      <c r="E507" t="s">
        <v>36</v>
      </c>
      <c r="F507">
        <v>991</v>
      </c>
      <c r="G507" t="s">
        <v>45</v>
      </c>
      <c r="H507">
        <v>6</v>
      </c>
      <c r="I507">
        <v>3</v>
      </c>
      <c r="J507" t="s">
        <v>38</v>
      </c>
      <c r="K507">
        <v>1</v>
      </c>
      <c r="L507">
        <v>686</v>
      </c>
      <c r="M507">
        <v>3</v>
      </c>
      <c r="N507" t="str" cm="1">
        <f t="array" ref="N507">_xlfn.IFS(HRData[[#This Row],[EnvironmentSatisfaction]]=1,"Very Dissatisfied",
HRData[[#This Row],[EnvironmentSatisfaction]]=2,"Dissatisfied",
HRData[[#This Row],[EnvironmentSatisfaction]]=3,"Satisfied",
HRData[[#This Row],[EnvironmentSatisfaction]]=4,"Very Satisfied"
)</f>
        <v>Satisfied</v>
      </c>
      <c r="O507" t="s">
        <v>39</v>
      </c>
      <c r="P507">
        <v>71</v>
      </c>
      <c r="Q507">
        <v>3</v>
      </c>
      <c r="R507">
        <v>1</v>
      </c>
      <c r="S507" t="s">
        <v>50</v>
      </c>
      <c r="T507">
        <v>4</v>
      </c>
      <c r="U507" t="str" cm="1">
        <f t="array" ref="U507">_xlfn.IFS(
HRData[[#This Row],[JobSatisfaction]]=1,"Very Dissatisfied",
HRData[[#This Row],[JobSatisfaction]]=2,"Dissatisfied",
HRData[[#This Row],[JobSatisfaction]]=3,"Satisfied",
HRData[[#This Row],[JobSatisfaction]]=4,"Very Satisfied"
)</f>
        <v>Very Satisfied</v>
      </c>
      <c r="V507" t="s">
        <v>48</v>
      </c>
      <c r="W507">
        <v>2659</v>
      </c>
      <c r="X507" t="str" cm="1">
        <f t="array" ref="X507">_xlfn.IFS(
HRData[[#This Row],[MonthlyIncome]]&lt;=4000,"Very Low Income",
HRData[[#This Row],[MonthlyIncome]]&lt;=8000,"Low Income",
HRData[[#This Row],[MonthlyIncome]]&lt;=12000,"Moderate Income",
HRData[[#This Row],[MonthlyIncome]]&lt;=16000,"High Income",
HRData[[#This Row],[MonthlyIncome]]&gt;16000,"Very High Income"
)</f>
        <v>Very Low Income</v>
      </c>
      <c r="Y507">
        <v>17759</v>
      </c>
      <c r="Z507">
        <v>1</v>
      </c>
      <c r="AA507" t="s">
        <v>42</v>
      </c>
      <c r="AB507" t="s">
        <v>35</v>
      </c>
      <c r="AC507">
        <v>13</v>
      </c>
      <c r="AD507" t="str" cm="1">
        <f t="array" ref="AD507">_xlfn.IFS(HRData[[#This Row],[PercentSalaryHike]]&lt;=15,"11-15",HRData[[#This Row],[PercentSalaryHike]]&lt;=20,"16-20",HRData[[#This Row],[PercentSalaryHike]]&gt;=21,"21+")</f>
        <v>11-15</v>
      </c>
      <c r="AE507">
        <v>3</v>
      </c>
      <c r="AF507">
        <v>3</v>
      </c>
      <c r="AG507">
        <v>80</v>
      </c>
      <c r="AH507">
        <v>1</v>
      </c>
      <c r="AI507">
        <v>3</v>
      </c>
      <c r="AJ507">
        <v>2</v>
      </c>
      <c r="AK507">
        <v>3</v>
      </c>
      <c r="AL507">
        <v>3</v>
      </c>
      <c r="AM507">
        <v>2</v>
      </c>
      <c r="AN507">
        <v>0</v>
      </c>
      <c r="AO507">
        <v>2</v>
      </c>
      <c r="AP50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507" t="str">
        <f>IF(HRData[[#This Row],[Attrition]]="Yes","Left", IF(HRData[[#This Row],[Attrition_Risk_Score]]&gt;=6,"High",IF(HRData[[#This Row],[Attrition_Risk_Score]]&gt;=3,"Medium","Low")))</f>
        <v>High</v>
      </c>
      <c r="AR507">
        <f>IF(HRData[[#This Row],[Attrition_Risk_Level]]&lt;&gt;"High","",HRData[[#This Row],[Attrition_Risk_Score]]*10000-HRData[[#This Row],[EmployeeNumber]])</f>
        <v>59314</v>
      </c>
    </row>
    <row r="508" spans="1:44">
      <c r="A508">
        <v>37</v>
      </c>
      <c r="B508" t="str" cm="1">
        <f t="array" ref="B508">_xlfn.IFS(
HRData[[#This Row],[Age]]&lt;=24,"18-24",
HRData[[#This Row],[Age]]&lt;=34,"25-34",
HRData[[#This Row],[Age]]&lt;=44,"35-44",
HRData[[#This Row],[Age]]&lt;=54,"45-54",
HRData[[#This Row],[Age]]&gt;=55,"55+"
)</f>
        <v>35-44</v>
      </c>
      <c r="C508" t="s">
        <v>43</v>
      </c>
      <c r="D508">
        <f>IF(HRData[[#This Row],[Attrition]]="Yes",1,0)</f>
        <v>0</v>
      </c>
      <c r="E508" t="s">
        <v>36</v>
      </c>
      <c r="F508">
        <v>482</v>
      </c>
      <c r="G508" t="s">
        <v>45</v>
      </c>
      <c r="H508">
        <v>3</v>
      </c>
      <c r="I508">
        <v>3</v>
      </c>
      <c r="J508" t="s">
        <v>49</v>
      </c>
      <c r="K508">
        <v>1</v>
      </c>
      <c r="L508">
        <v>689</v>
      </c>
      <c r="M508">
        <v>3</v>
      </c>
      <c r="N508" t="str" cm="1">
        <f t="array" ref="N508">_xlfn.IFS(HRData[[#This Row],[EnvironmentSatisfaction]]=1,"Very Dissatisfied",
HRData[[#This Row],[EnvironmentSatisfaction]]=2,"Dissatisfied",
HRData[[#This Row],[EnvironmentSatisfaction]]=3,"Satisfied",
HRData[[#This Row],[EnvironmentSatisfaction]]=4,"Very Satisfied"
)</f>
        <v>Satisfied</v>
      </c>
      <c r="O508" t="s">
        <v>46</v>
      </c>
      <c r="P508">
        <v>36</v>
      </c>
      <c r="Q508">
        <v>3</v>
      </c>
      <c r="R508">
        <v>3</v>
      </c>
      <c r="S508" t="s">
        <v>53</v>
      </c>
      <c r="T508">
        <v>3</v>
      </c>
      <c r="U508" t="str" cm="1">
        <f t="array" ref="U508">_xlfn.IFS(
HRData[[#This Row],[JobSatisfaction]]=1,"Very Dissatisfied",
HRData[[#This Row],[JobSatisfaction]]=2,"Dissatisfied",
HRData[[#This Row],[JobSatisfaction]]=3,"Satisfied",
HRData[[#This Row],[JobSatisfaction]]=4,"Very Satisfied"
)</f>
        <v>Satisfied</v>
      </c>
      <c r="V508" t="s">
        <v>48</v>
      </c>
      <c r="W508">
        <v>9434</v>
      </c>
      <c r="X508" t="str" cm="1">
        <f t="array" ref="X508">_xlfn.IFS(
HRData[[#This Row],[MonthlyIncome]]&lt;=4000,"Very Low Income",
HRData[[#This Row],[MonthlyIncome]]&lt;=8000,"Low Income",
HRData[[#This Row],[MonthlyIncome]]&lt;=12000,"Moderate Income",
HRData[[#This Row],[MonthlyIncome]]&lt;=16000,"High Income",
HRData[[#This Row],[MonthlyIncome]]&gt;16000,"Very High Income"
)</f>
        <v>Moderate Income</v>
      </c>
      <c r="Y508">
        <v>9606</v>
      </c>
      <c r="Z508">
        <v>1</v>
      </c>
      <c r="AA508" t="s">
        <v>42</v>
      </c>
      <c r="AB508" t="s">
        <v>43</v>
      </c>
      <c r="AC508">
        <v>15</v>
      </c>
      <c r="AD508" t="str" cm="1">
        <f t="array" ref="AD508">_xlfn.IFS(HRData[[#This Row],[PercentSalaryHike]]&lt;=15,"11-15",HRData[[#This Row],[PercentSalaryHike]]&lt;=20,"16-20",HRData[[#This Row],[PercentSalaryHike]]&gt;=21,"21+")</f>
        <v>11-15</v>
      </c>
      <c r="AE508">
        <v>3</v>
      </c>
      <c r="AF508">
        <v>3</v>
      </c>
      <c r="AG508">
        <v>80</v>
      </c>
      <c r="AH508">
        <v>1</v>
      </c>
      <c r="AI508">
        <v>10</v>
      </c>
      <c r="AJ508">
        <v>2</v>
      </c>
      <c r="AK508">
        <v>3</v>
      </c>
      <c r="AL508">
        <v>10</v>
      </c>
      <c r="AM508">
        <v>7</v>
      </c>
      <c r="AN508">
        <v>7</v>
      </c>
      <c r="AO508">
        <v>8</v>
      </c>
      <c r="AP50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508" t="str">
        <f>IF(HRData[[#This Row],[Attrition]]="Yes","Left", IF(HRData[[#This Row],[Attrition_Risk_Score]]&gt;=6,"High",IF(HRData[[#This Row],[Attrition_Risk_Score]]&gt;=3,"Medium","Low")))</f>
        <v>Low</v>
      </c>
      <c r="AR508" t="str">
        <f>IF(HRData[[#This Row],[Attrition_Risk_Level]]&lt;&gt;"High","",HRData[[#This Row],[Attrition_Risk_Score]]*10000-HRData[[#This Row],[EmployeeNumber]])</f>
        <v/>
      </c>
    </row>
    <row r="509" spans="1:44">
      <c r="A509">
        <v>29</v>
      </c>
      <c r="B509" t="str" cm="1">
        <f t="array" ref="B509">_xlfn.IFS(
HRData[[#This Row],[Age]]&lt;=24,"18-24",
HRData[[#This Row],[Age]]&lt;=34,"25-34",
HRData[[#This Row],[Age]]&lt;=44,"35-44",
HRData[[#This Row],[Age]]&lt;=54,"45-54",
HRData[[#This Row],[Age]]&gt;=55,"55+"
)</f>
        <v>25-34</v>
      </c>
      <c r="C509" t="s">
        <v>43</v>
      </c>
      <c r="D509">
        <f>IF(HRData[[#This Row],[Attrition]]="Yes",1,0)</f>
        <v>0</v>
      </c>
      <c r="E509" t="s">
        <v>36</v>
      </c>
      <c r="F509">
        <v>1176</v>
      </c>
      <c r="G509" t="s">
        <v>37</v>
      </c>
      <c r="H509">
        <v>3</v>
      </c>
      <c r="I509">
        <v>2</v>
      </c>
      <c r="J509" t="s">
        <v>51</v>
      </c>
      <c r="K509">
        <v>1</v>
      </c>
      <c r="L509">
        <v>690</v>
      </c>
      <c r="M509">
        <v>2</v>
      </c>
      <c r="N509" t="str" cm="1">
        <f t="array" ref="N509">_xlfn.IFS(HRData[[#This Row],[EnvironmentSatisfaction]]=1,"Very Dissatisfied",
HRData[[#This Row],[EnvironmentSatisfaction]]=2,"Dissatisfied",
HRData[[#This Row],[EnvironmentSatisfaction]]=3,"Satisfied",
HRData[[#This Row],[EnvironmentSatisfaction]]=4,"Very Satisfied"
)</f>
        <v>Dissatisfied</v>
      </c>
      <c r="O509" t="s">
        <v>39</v>
      </c>
      <c r="P509">
        <v>62</v>
      </c>
      <c r="Q509">
        <v>3</v>
      </c>
      <c r="R509">
        <v>2</v>
      </c>
      <c r="S509" t="s">
        <v>40</v>
      </c>
      <c r="T509">
        <v>3</v>
      </c>
      <c r="U509" t="str" cm="1">
        <f t="array" ref="U509">_xlfn.IFS(
HRData[[#This Row],[JobSatisfaction]]=1,"Very Dissatisfied",
HRData[[#This Row],[JobSatisfaction]]=2,"Dissatisfied",
HRData[[#This Row],[JobSatisfaction]]=3,"Satisfied",
HRData[[#This Row],[JobSatisfaction]]=4,"Very Satisfied"
)</f>
        <v>Satisfied</v>
      </c>
      <c r="V509" t="s">
        <v>48</v>
      </c>
      <c r="W509">
        <v>5561</v>
      </c>
      <c r="X509" t="str" cm="1">
        <f t="array" ref="X509">_xlfn.IFS(
HRData[[#This Row],[MonthlyIncome]]&lt;=4000,"Very Low Income",
HRData[[#This Row],[MonthlyIncome]]&lt;=8000,"Low Income",
HRData[[#This Row],[MonthlyIncome]]&lt;=12000,"Moderate Income",
HRData[[#This Row],[MonthlyIncome]]&lt;=16000,"High Income",
HRData[[#This Row],[MonthlyIncome]]&gt;16000,"Very High Income"
)</f>
        <v>Low Income</v>
      </c>
      <c r="Y509">
        <v>3487</v>
      </c>
      <c r="Z509">
        <v>1</v>
      </c>
      <c r="AA509" t="s">
        <v>42</v>
      </c>
      <c r="AB509" t="s">
        <v>43</v>
      </c>
      <c r="AC509">
        <v>14</v>
      </c>
      <c r="AD509" t="str" cm="1">
        <f t="array" ref="AD509">_xlfn.IFS(HRData[[#This Row],[PercentSalaryHike]]&lt;=15,"11-15",HRData[[#This Row],[PercentSalaryHike]]&lt;=20,"16-20",HRData[[#This Row],[PercentSalaryHike]]&gt;=21,"21+")</f>
        <v>11-15</v>
      </c>
      <c r="AE509">
        <v>3</v>
      </c>
      <c r="AF509">
        <v>1</v>
      </c>
      <c r="AG509">
        <v>80</v>
      </c>
      <c r="AH509">
        <v>1</v>
      </c>
      <c r="AI509">
        <v>6</v>
      </c>
      <c r="AJ509">
        <v>5</v>
      </c>
      <c r="AK509">
        <v>2</v>
      </c>
      <c r="AL509">
        <v>6</v>
      </c>
      <c r="AM509">
        <v>0</v>
      </c>
      <c r="AN509">
        <v>1</v>
      </c>
      <c r="AO509">
        <v>2</v>
      </c>
      <c r="AP50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09" t="str">
        <f>IF(HRData[[#This Row],[Attrition]]="Yes","Left", IF(HRData[[#This Row],[Attrition_Risk_Score]]&gt;=6,"High",IF(HRData[[#This Row],[Attrition_Risk_Score]]&gt;=3,"Medium","Low")))</f>
        <v>Low</v>
      </c>
      <c r="AR509" t="str">
        <f>IF(HRData[[#This Row],[Attrition_Risk_Level]]&lt;&gt;"High","",HRData[[#This Row],[Attrition_Risk_Score]]*10000-HRData[[#This Row],[EmployeeNumber]])</f>
        <v/>
      </c>
    </row>
    <row r="510" spans="1:44">
      <c r="A510">
        <v>35</v>
      </c>
      <c r="B510" t="str" cm="1">
        <f t="array" ref="B510">_xlfn.IFS(
HRData[[#This Row],[Age]]&lt;=24,"18-24",
HRData[[#This Row],[Age]]&lt;=34,"25-34",
HRData[[#This Row],[Age]]&lt;=44,"35-44",
HRData[[#This Row],[Age]]&lt;=54,"45-54",
HRData[[#This Row],[Age]]&gt;=55,"55+"
)</f>
        <v>35-44</v>
      </c>
      <c r="C510" t="s">
        <v>43</v>
      </c>
      <c r="D510">
        <f>IF(HRData[[#This Row],[Attrition]]="Yes",1,0)</f>
        <v>0</v>
      </c>
      <c r="E510" t="s">
        <v>36</v>
      </c>
      <c r="F510">
        <v>1017</v>
      </c>
      <c r="G510" t="s">
        <v>45</v>
      </c>
      <c r="H510">
        <v>6</v>
      </c>
      <c r="I510">
        <v>4</v>
      </c>
      <c r="J510" t="s">
        <v>38</v>
      </c>
      <c r="K510">
        <v>1</v>
      </c>
      <c r="L510">
        <v>691</v>
      </c>
      <c r="M510">
        <v>2</v>
      </c>
      <c r="N510" t="str" cm="1">
        <f t="array" ref="N510">_xlfn.IFS(HRData[[#This Row],[EnvironmentSatisfaction]]=1,"Very Dissatisfied",
HRData[[#This Row],[EnvironmentSatisfaction]]=2,"Dissatisfied",
HRData[[#This Row],[EnvironmentSatisfaction]]=3,"Satisfied",
HRData[[#This Row],[EnvironmentSatisfaction]]=4,"Very Satisfied"
)</f>
        <v>Dissatisfied</v>
      </c>
      <c r="O510" t="s">
        <v>46</v>
      </c>
      <c r="P510">
        <v>82</v>
      </c>
      <c r="Q510">
        <v>1</v>
      </c>
      <c r="R510">
        <v>2</v>
      </c>
      <c r="S510" t="s">
        <v>47</v>
      </c>
      <c r="T510">
        <v>4</v>
      </c>
      <c r="U510" t="str" cm="1">
        <f t="array" ref="U510">_xlfn.IFS(
HRData[[#This Row],[JobSatisfaction]]=1,"Very Dissatisfied",
HRData[[#This Row],[JobSatisfaction]]=2,"Dissatisfied",
HRData[[#This Row],[JobSatisfaction]]=3,"Satisfied",
HRData[[#This Row],[JobSatisfaction]]=4,"Very Satisfied"
)</f>
        <v>Very Satisfied</v>
      </c>
      <c r="V510" t="s">
        <v>41</v>
      </c>
      <c r="W510">
        <v>6646</v>
      </c>
      <c r="X510" t="str" cm="1">
        <f t="array" ref="X510">_xlfn.IFS(
HRData[[#This Row],[MonthlyIncome]]&lt;=4000,"Very Low Income",
HRData[[#This Row],[MonthlyIncome]]&lt;=8000,"Low Income",
HRData[[#This Row],[MonthlyIncome]]&lt;=12000,"Moderate Income",
HRData[[#This Row],[MonthlyIncome]]&lt;=16000,"High Income",
HRData[[#This Row],[MonthlyIncome]]&gt;16000,"Very High Income"
)</f>
        <v>Low Income</v>
      </c>
      <c r="Y510">
        <v>19368</v>
      </c>
      <c r="Z510">
        <v>1</v>
      </c>
      <c r="AA510" t="s">
        <v>42</v>
      </c>
      <c r="AB510" t="s">
        <v>43</v>
      </c>
      <c r="AC510">
        <v>13</v>
      </c>
      <c r="AD510" t="str" cm="1">
        <f t="array" ref="AD510">_xlfn.IFS(HRData[[#This Row],[PercentSalaryHike]]&lt;=15,"11-15",HRData[[#This Row],[PercentSalaryHike]]&lt;=20,"16-20",HRData[[#This Row],[PercentSalaryHike]]&gt;=21,"21+")</f>
        <v>11-15</v>
      </c>
      <c r="AE510">
        <v>3</v>
      </c>
      <c r="AF510">
        <v>2</v>
      </c>
      <c r="AG510">
        <v>80</v>
      </c>
      <c r="AH510">
        <v>0</v>
      </c>
      <c r="AI510">
        <v>17</v>
      </c>
      <c r="AJ510">
        <v>3</v>
      </c>
      <c r="AK510">
        <v>3</v>
      </c>
      <c r="AL510">
        <v>17</v>
      </c>
      <c r="AM510">
        <v>11</v>
      </c>
      <c r="AN510">
        <v>11</v>
      </c>
      <c r="AO510">
        <v>8</v>
      </c>
      <c r="AP51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510" t="str">
        <f>IF(HRData[[#This Row],[Attrition]]="Yes","Left", IF(HRData[[#This Row],[Attrition_Risk_Score]]&gt;=6,"High",IF(HRData[[#This Row],[Attrition_Risk_Score]]&gt;=3,"Medium","Low")))</f>
        <v>Low</v>
      </c>
      <c r="AR510" t="str">
        <f>IF(HRData[[#This Row],[Attrition_Risk_Level]]&lt;&gt;"High","",HRData[[#This Row],[Attrition_Risk_Score]]*10000-HRData[[#This Row],[EmployeeNumber]])</f>
        <v/>
      </c>
    </row>
    <row r="511" spans="1:44">
      <c r="A511">
        <v>33</v>
      </c>
      <c r="B511" t="str" cm="1">
        <f t="array" ref="B511">_xlfn.IFS(
HRData[[#This Row],[Age]]&lt;=24,"18-24",
HRData[[#This Row],[Age]]&lt;=34,"25-34",
HRData[[#This Row],[Age]]&lt;=44,"35-44",
HRData[[#This Row],[Age]]&lt;=54,"45-54",
HRData[[#This Row],[Age]]&gt;=55,"55+"
)</f>
        <v>25-34</v>
      </c>
      <c r="C511" t="s">
        <v>43</v>
      </c>
      <c r="D511">
        <f>IF(HRData[[#This Row],[Attrition]]="Yes",1,0)</f>
        <v>0</v>
      </c>
      <c r="E511" t="s">
        <v>44</v>
      </c>
      <c r="F511">
        <v>1296</v>
      </c>
      <c r="G511" t="s">
        <v>45</v>
      </c>
      <c r="H511">
        <v>6</v>
      </c>
      <c r="I511">
        <v>3</v>
      </c>
      <c r="J511" t="s">
        <v>38</v>
      </c>
      <c r="K511">
        <v>1</v>
      </c>
      <c r="L511">
        <v>692</v>
      </c>
      <c r="M511">
        <v>3</v>
      </c>
      <c r="N511" t="str" cm="1">
        <f t="array" ref="N511">_xlfn.IFS(HRData[[#This Row],[EnvironmentSatisfaction]]=1,"Very Dissatisfied",
HRData[[#This Row],[EnvironmentSatisfaction]]=2,"Dissatisfied",
HRData[[#This Row],[EnvironmentSatisfaction]]=3,"Satisfied",
HRData[[#This Row],[EnvironmentSatisfaction]]=4,"Very Satisfied"
)</f>
        <v>Satisfied</v>
      </c>
      <c r="O511" t="s">
        <v>46</v>
      </c>
      <c r="P511">
        <v>30</v>
      </c>
      <c r="Q511">
        <v>3</v>
      </c>
      <c r="R511">
        <v>2</v>
      </c>
      <c r="S511" t="s">
        <v>54</v>
      </c>
      <c r="T511">
        <v>4</v>
      </c>
      <c r="U511" t="str" cm="1">
        <f t="array" ref="U511">_xlfn.IFS(
HRData[[#This Row],[JobSatisfaction]]=1,"Very Dissatisfied",
HRData[[#This Row],[JobSatisfaction]]=2,"Dissatisfied",
HRData[[#This Row],[JobSatisfaction]]=3,"Satisfied",
HRData[[#This Row],[JobSatisfaction]]=4,"Very Satisfied"
)</f>
        <v>Very Satisfied</v>
      </c>
      <c r="V511" t="s">
        <v>52</v>
      </c>
      <c r="W511">
        <v>7725</v>
      </c>
      <c r="X511" t="str" cm="1">
        <f t="array" ref="X511">_xlfn.IFS(
HRData[[#This Row],[MonthlyIncome]]&lt;=4000,"Very Low Income",
HRData[[#This Row],[MonthlyIncome]]&lt;=8000,"Low Income",
HRData[[#This Row],[MonthlyIncome]]&lt;=12000,"Moderate Income",
HRData[[#This Row],[MonthlyIncome]]&lt;=16000,"High Income",
HRData[[#This Row],[MonthlyIncome]]&gt;16000,"Very High Income"
)</f>
        <v>Low Income</v>
      </c>
      <c r="Y511">
        <v>5335</v>
      </c>
      <c r="Z511">
        <v>3</v>
      </c>
      <c r="AA511" t="s">
        <v>42</v>
      </c>
      <c r="AB511" t="s">
        <v>43</v>
      </c>
      <c r="AC511">
        <v>23</v>
      </c>
      <c r="AD511" t="str" cm="1">
        <f t="array" ref="AD511">_xlfn.IFS(HRData[[#This Row],[PercentSalaryHike]]&lt;=15,"11-15",HRData[[#This Row],[PercentSalaryHike]]&lt;=20,"16-20",HRData[[#This Row],[PercentSalaryHike]]&gt;=21,"21+")</f>
        <v>21+</v>
      </c>
      <c r="AE511">
        <v>4</v>
      </c>
      <c r="AF511">
        <v>3</v>
      </c>
      <c r="AG511">
        <v>80</v>
      </c>
      <c r="AH511">
        <v>1</v>
      </c>
      <c r="AI511">
        <v>15</v>
      </c>
      <c r="AJ511">
        <v>2</v>
      </c>
      <c r="AK511">
        <v>1</v>
      </c>
      <c r="AL511">
        <v>13</v>
      </c>
      <c r="AM511">
        <v>11</v>
      </c>
      <c r="AN511">
        <v>4</v>
      </c>
      <c r="AO511">
        <v>7</v>
      </c>
      <c r="AP51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11" t="str">
        <f>IF(HRData[[#This Row],[Attrition]]="Yes","Left", IF(HRData[[#This Row],[Attrition_Risk_Score]]&gt;=6,"High",IF(HRData[[#This Row],[Attrition_Risk_Score]]&gt;=3,"Medium","Low")))</f>
        <v>Low</v>
      </c>
      <c r="AR511" t="str">
        <f>IF(HRData[[#This Row],[Attrition_Risk_Level]]&lt;&gt;"High","",HRData[[#This Row],[Attrition_Risk_Score]]*10000-HRData[[#This Row],[EmployeeNumber]])</f>
        <v/>
      </c>
    </row>
    <row r="512" spans="1:44">
      <c r="A512">
        <v>54</v>
      </c>
      <c r="B512" t="str" cm="1">
        <f t="array" ref="B512">_xlfn.IFS(
HRData[[#This Row],[Age]]&lt;=24,"18-24",
HRData[[#This Row],[Age]]&lt;=34,"25-34",
HRData[[#This Row],[Age]]&lt;=44,"35-44",
HRData[[#This Row],[Age]]&lt;=54,"45-54",
HRData[[#This Row],[Age]]&gt;=55,"55+"
)</f>
        <v>45-54</v>
      </c>
      <c r="C512" t="s">
        <v>43</v>
      </c>
      <c r="D512">
        <f>IF(HRData[[#This Row],[Attrition]]="Yes",1,0)</f>
        <v>0</v>
      </c>
      <c r="E512" t="s">
        <v>36</v>
      </c>
      <c r="F512">
        <v>397</v>
      </c>
      <c r="G512" t="s">
        <v>61</v>
      </c>
      <c r="H512">
        <v>19</v>
      </c>
      <c r="I512">
        <v>4</v>
      </c>
      <c r="J512" t="s">
        <v>51</v>
      </c>
      <c r="K512">
        <v>1</v>
      </c>
      <c r="L512">
        <v>698</v>
      </c>
      <c r="M512">
        <v>3</v>
      </c>
      <c r="N512" t="str" cm="1">
        <f t="array" ref="N512">_xlfn.IFS(HRData[[#This Row],[EnvironmentSatisfaction]]=1,"Very Dissatisfied",
HRData[[#This Row],[EnvironmentSatisfaction]]=2,"Dissatisfied",
HRData[[#This Row],[EnvironmentSatisfaction]]=3,"Satisfied",
HRData[[#This Row],[EnvironmentSatisfaction]]=4,"Very Satisfied"
)</f>
        <v>Satisfied</v>
      </c>
      <c r="O512" t="s">
        <v>46</v>
      </c>
      <c r="P512">
        <v>88</v>
      </c>
      <c r="Q512">
        <v>3</v>
      </c>
      <c r="R512">
        <v>3</v>
      </c>
      <c r="S512" t="s">
        <v>61</v>
      </c>
      <c r="T512">
        <v>2</v>
      </c>
      <c r="U512" t="str" cm="1">
        <f t="array" ref="U512">_xlfn.IFS(
HRData[[#This Row],[JobSatisfaction]]=1,"Very Dissatisfied",
HRData[[#This Row],[JobSatisfaction]]=2,"Dissatisfied",
HRData[[#This Row],[JobSatisfaction]]=3,"Satisfied",
HRData[[#This Row],[JobSatisfaction]]=4,"Very Satisfied"
)</f>
        <v>Dissatisfied</v>
      </c>
      <c r="V512" t="s">
        <v>48</v>
      </c>
      <c r="W512">
        <v>10725</v>
      </c>
      <c r="X512" t="str" cm="1">
        <f t="array" ref="X512">_xlfn.IFS(
HRData[[#This Row],[MonthlyIncome]]&lt;=4000,"Very Low Income",
HRData[[#This Row],[MonthlyIncome]]&lt;=8000,"Low Income",
HRData[[#This Row],[MonthlyIncome]]&lt;=12000,"Moderate Income",
HRData[[#This Row],[MonthlyIncome]]&lt;=16000,"High Income",
HRData[[#This Row],[MonthlyIncome]]&gt;16000,"Very High Income"
)</f>
        <v>Moderate Income</v>
      </c>
      <c r="Y512">
        <v>6729</v>
      </c>
      <c r="Z512">
        <v>2</v>
      </c>
      <c r="AA512" t="s">
        <v>42</v>
      </c>
      <c r="AB512" t="s">
        <v>43</v>
      </c>
      <c r="AC512">
        <v>15</v>
      </c>
      <c r="AD512" t="str" cm="1">
        <f t="array" ref="AD512">_xlfn.IFS(HRData[[#This Row],[PercentSalaryHike]]&lt;=15,"11-15",HRData[[#This Row],[PercentSalaryHike]]&lt;=20,"16-20",HRData[[#This Row],[PercentSalaryHike]]&gt;=21,"21+")</f>
        <v>11-15</v>
      </c>
      <c r="AE512">
        <v>3</v>
      </c>
      <c r="AF512">
        <v>3</v>
      </c>
      <c r="AG512">
        <v>80</v>
      </c>
      <c r="AH512">
        <v>1</v>
      </c>
      <c r="AI512">
        <v>16</v>
      </c>
      <c r="AJ512">
        <v>1</v>
      </c>
      <c r="AK512">
        <v>4</v>
      </c>
      <c r="AL512">
        <v>9</v>
      </c>
      <c r="AM512">
        <v>7</v>
      </c>
      <c r="AN512">
        <v>7</v>
      </c>
      <c r="AO512">
        <v>1</v>
      </c>
      <c r="AP51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512" t="str">
        <f>IF(HRData[[#This Row],[Attrition]]="Yes","Left", IF(HRData[[#This Row],[Attrition_Risk_Score]]&gt;=6,"High",IF(HRData[[#This Row],[Attrition_Risk_Score]]&gt;=3,"Medium","Low")))</f>
        <v>Low</v>
      </c>
      <c r="AR512" t="str">
        <f>IF(HRData[[#This Row],[Attrition_Risk_Level]]&lt;&gt;"High","",HRData[[#This Row],[Attrition_Risk_Score]]*10000-HRData[[#This Row],[EmployeeNumber]])</f>
        <v/>
      </c>
    </row>
    <row r="513" spans="1:44">
      <c r="A513">
        <v>36</v>
      </c>
      <c r="B513" t="str" cm="1">
        <f t="array" ref="B513">_xlfn.IFS(
HRData[[#This Row],[Age]]&lt;=24,"18-24",
HRData[[#This Row],[Age]]&lt;=34,"25-34",
HRData[[#This Row],[Age]]&lt;=44,"35-44",
HRData[[#This Row],[Age]]&lt;=54,"45-54",
HRData[[#This Row],[Age]]&gt;=55,"55+"
)</f>
        <v>35-44</v>
      </c>
      <c r="C513" t="s">
        <v>43</v>
      </c>
      <c r="D513">
        <f>IF(HRData[[#This Row],[Attrition]]="Yes",1,0)</f>
        <v>0</v>
      </c>
      <c r="E513" t="s">
        <v>36</v>
      </c>
      <c r="F513">
        <v>913</v>
      </c>
      <c r="G513" t="s">
        <v>45</v>
      </c>
      <c r="H513">
        <v>9</v>
      </c>
      <c r="I513">
        <v>2</v>
      </c>
      <c r="J513" t="s">
        <v>51</v>
      </c>
      <c r="K513">
        <v>1</v>
      </c>
      <c r="L513">
        <v>699</v>
      </c>
      <c r="M513">
        <v>2</v>
      </c>
      <c r="N513" t="str" cm="1">
        <f t="array" ref="N513">_xlfn.IFS(HRData[[#This Row],[EnvironmentSatisfaction]]=1,"Very Dissatisfied",
HRData[[#This Row],[EnvironmentSatisfaction]]=2,"Dissatisfied",
HRData[[#This Row],[EnvironmentSatisfaction]]=3,"Satisfied",
HRData[[#This Row],[EnvironmentSatisfaction]]=4,"Very Satisfied"
)</f>
        <v>Dissatisfied</v>
      </c>
      <c r="O513" t="s">
        <v>46</v>
      </c>
      <c r="P513">
        <v>48</v>
      </c>
      <c r="Q513">
        <v>2</v>
      </c>
      <c r="R513">
        <v>2</v>
      </c>
      <c r="S513" t="s">
        <v>53</v>
      </c>
      <c r="T513">
        <v>2</v>
      </c>
      <c r="U513" t="str" cm="1">
        <f t="array" ref="U513">_xlfn.IFS(
HRData[[#This Row],[JobSatisfaction]]=1,"Very Dissatisfied",
HRData[[#This Row],[JobSatisfaction]]=2,"Dissatisfied",
HRData[[#This Row],[JobSatisfaction]]=3,"Satisfied",
HRData[[#This Row],[JobSatisfaction]]=4,"Very Satisfied"
)</f>
        <v>Dissatisfied</v>
      </c>
      <c r="V513" t="s">
        <v>52</v>
      </c>
      <c r="W513">
        <v>8847</v>
      </c>
      <c r="X513" t="str" cm="1">
        <f t="array" ref="X513">_xlfn.IFS(
HRData[[#This Row],[MonthlyIncome]]&lt;=4000,"Very Low Income",
HRData[[#This Row],[MonthlyIncome]]&lt;=8000,"Low Income",
HRData[[#This Row],[MonthlyIncome]]&lt;=12000,"Moderate Income",
HRData[[#This Row],[MonthlyIncome]]&lt;=16000,"High Income",
HRData[[#This Row],[MonthlyIncome]]&gt;16000,"Very High Income"
)</f>
        <v>Moderate Income</v>
      </c>
      <c r="Y513">
        <v>13934</v>
      </c>
      <c r="Z513">
        <v>2</v>
      </c>
      <c r="AA513" t="s">
        <v>42</v>
      </c>
      <c r="AB513" t="s">
        <v>35</v>
      </c>
      <c r="AC513">
        <v>11</v>
      </c>
      <c r="AD513" t="str" cm="1">
        <f t="array" ref="AD513">_xlfn.IFS(HRData[[#This Row],[PercentSalaryHike]]&lt;=15,"11-15",HRData[[#This Row],[PercentSalaryHike]]&lt;=20,"16-20",HRData[[#This Row],[PercentSalaryHike]]&gt;=21,"21+")</f>
        <v>11-15</v>
      </c>
      <c r="AE513">
        <v>3</v>
      </c>
      <c r="AF513">
        <v>3</v>
      </c>
      <c r="AG513">
        <v>80</v>
      </c>
      <c r="AH513">
        <v>1</v>
      </c>
      <c r="AI513">
        <v>13</v>
      </c>
      <c r="AJ513">
        <v>2</v>
      </c>
      <c r="AK513">
        <v>3</v>
      </c>
      <c r="AL513">
        <v>3</v>
      </c>
      <c r="AM513">
        <v>2</v>
      </c>
      <c r="AN513">
        <v>0</v>
      </c>
      <c r="AO513">
        <v>2</v>
      </c>
      <c r="AP51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13" t="str">
        <f>IF(HRData[[#This Row],[Attrition]]="Yes","Left", IF(HRData[[#This Row],[Attrition_Risk_Score]]&gt;=6,"High",IF(HRData[[#This Row],[Attrition_Risk_Score]]&gt;=3,"Medium","Low")))</f>
        <v>Low</v>
      </c>
      <c r="AR513" t="str">
        <f>IF(HRData[[#This Row],[Attrition_Risk_Level]]&lt;&gt;"High","",HRData[[#This Row],[Attrition_Risk_Score]]*10000-HRData[[#This Row],[EmployeeNumber]])</f>
        <v/>
      </c>
    </row>
    <row r="514" spans="1:44">
      <c r="A514">
        <v>27</v>
      </c>
      <c r="B514" t="str" cm="1">
        <f t="array" ref="B514">_xlfn.IFS(
HRData[[#This Row],[Age]]&lt;=24,"18-24",
HRData[[#This Row],[Age]]&lt;=34,"25-34",
HRData[[#This Row],[Age]]&lt;=44,"35-44",
HRData[[#This Row],[Age]]&lt;=54,"45-54",
HRData[[#This Row],[Age]]&gt;=55,"55+"
)</f>
        <v>25-34</v>
      </c>
      <c r="C514" t="s">
        <v>43</v>
      </c>
      <c r="D514">
        <f>IF(HRData[[#This Row],[Attrition]]="Yes",1,0)</f>
        <v>0</v>
      </c>
      <c r="E514" t="s">
        <v>36</v>
      </c>
      <c r="F514">
        <v>1115</v>
      </c>
      <c r="G514" t="s">
        <v>45</v>
      </c>
      <c r="H514">
        <v>3</v>
      </c>
      <c r="I514">
        <v>4</v>
      </c>
      <c r="J514" t="s">
        <v>51</v>
      </c>
      <c r="K514">
        <v>1</v>
      </c>
      <c r="L514">
        <v>700</v>
      </c>
      <c r="M514">
        <v>1</v>
      </c>
      <c r="N514" t="str" cm="1">
        <f t="array" ref="N514">_xlfn.IFS(HRData[[#This Row],[EnvironmentSatisfaction]]=1,"Very Dissatisfied",
HRData[[#This Row],[EnvironmentSatisfaction]]=2,"Dissatisfied",
HRData[[#This Row],[EnvironmentSatisfaction]]=3,"Satisfied",
HRData[[#This Row],[EnvironmentSatisfaction]]=4,"Very Satisfied"
)</f>
        <v>Very Dissatisfied</v>
      </c>
      <c r="O514" t="s">
        <v>46</v>
      </c>
      <c r="P514">
        <v>54</v>
      </c>
      <c r="Q514">
        <v>2</v>
      </c>
      <c r="R514">
        <v>1</v>
      </c>
      <c r="S514" t="s">
        <v>47</v>
      </c>
      <c r="T514">
        <v>4</v>
      </c>
      <c r="U514" t="str" cm="1">
        <f t="array" ref="U514">_xlfn.IFS(
HRData[[#This Row],[JobSatisfaction]]=1,"Very Dissatisfied",
HRData[[#This Row],[JobSatisfaction]]=2,"Dissatisfied",
HRData[[#This Row],[JobSatisfaction]]=3,"Satisfied",
HRData[[#This Row],[JobSatisfaction]]=4,"Very Satisfied"
)</f>
        <v>Very Satisfied</v>
      </c>
      <c r="V514" t="s">
        <v>41</v>
      </c>
      <c r="W514">
        <v>2045</v>
      </c>
      <c r="X514" t="str" cm="1">
        <f t="array" ref="X514">_xlfn.IFS(
HRData[[#This Row],[MonthlyIncome]]&lt;=4000,"Very Low Income",
HRData[[#This Row],[MonthlyIncome]]&lt;=8000,"Low Income",
HRData[[#This Row],[MonthlyIncome]]&lt;=12000,"Moderate Income",
HRData[[#This Row],[MonthlyIncome]]&lt;=16000,"High Income",
HRData[[#This Row],[MonthlyIncome]]&gt;16000,"Very High Income"
)</f>
        <v>Very Low Income</v>
      </c>
      <c r="Y514">
        <v>15174</v>
      </c>
      <c r="Z514">
        <v>0</v>
      </c>
      <c r="AA514" t="s">
        <v>42</v>
      </c>
      <c r="AB514" t="s">
        <v>43</v>
      </c>
      <c r="AC514">
        <v>13</v>
      </c>
      <c r="AD514" t="str" cm="1">
        <f t="array" ref="AD514">_xlfn.IFS(HRData[[#This Row],[PercentSalaryHike]]&lt;=15,"11-15",HRData[[#This Row],[PercentSalaryHike]]&lt;=20,"16-20",HRData[[#This Row],[PercentSalaryHike]]&gt;=21,"21+")</f>
        <v>11-15</v>
      </c>
      <c r="AE514">
        <v>3</v>
      </c>
      <c r="AF514">
        <v>4</v>
      </c>
      <c r="AG514">
        <v>80</v>
      </c>
      <c r="AH514">
        <v>0</v>
      </c>
      <c r="AI514">
        <v>5</v>
      </c>
      <c r="AJ514">
        <v>0</v>
      </c>
      <c r="AK514">
        <v>3</v>
      </c>
      <c r="AL514">
        <v>4</v>
      </c>
      <c r="AM514">
        <v>2</v>
      </c>
      <c r="AN514">
        <v>1</v>
      </c>
      <c r="AO514">
        <v>1</v>
      </c>
      <c r="AP51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14" t="str">
        <f>IF(HRData[[#This Row],[Attrition]]="Yes","Left", IF(HRData[[#This Row],[Attrition_Risk_Score]]&gt;=6,"High",IF(HRData[[#This Row],[Attrition_Risk_Score]]&gt;=3,"Medium","Low")))</f>
        <v>Medium</v>
      </c>
      <c r="AR514" t="str">
        <f>IF(HRData[[#This Row],[Attrition_Risk_Level]]&lt;&gt;"High","",HRData[[#This Row],[Attrition_Risk_Score]]*10000-HRData[[#This Row],[EmployeeNumber]])</f>
        <v/>
      </c>
    </row>
    <row r="515" spans="1:44">
      <c r="A515">
        <v>20</v>
      </c>
      <c r="B515" t="str" cm="1">
        <f t="array" ref="B515">_xlfn.IFS(
HRData[[#This Row],[Age]]&lt;=24,"18-24",
HRData[[#This Row],[Age]]&lt;=34,"25-34",
HRData[[#This Row],[Age]]&lt;=44,"35-44",
HRData[[#This Row],[Age]]&lt;=54,"45-54",
HRData[[#This Row],[Age]]&gt;=55,"55+"
)</f>
        <v>18-24</v>
      </c>
      <c r="C515" t="s">
        <v>35</v>
      </c>
      <c r="D515">
        <f>IF(HRData[[#This Row],[Attrition]]="Yes",1,0)</f>
        <v>1</v>
      </c>
      <c r="E515" t="s">
        <v>36</v>
      </c>
      <c r="F515">
        <v>1362</v>
      </c>
      <c r="G515" t="s">
        <v>45</v>
      </c>
      <c r="H515">
        <v>10</v>
      </c>
      <c r="I515">
        <v>1</v>
      </c>
      <c r="J515" t="s">
        <v>51</v>
      </c>
      <c r="K515">
        <v>1</v>
      </c>
      <c r="L515">
        <v>701</v>
      </c>
      <c r="M515">
        <v>4</v>
      </c>
      <c r="N515" t="str" cm="1">
        <f t="array" ref="N515">_xlfn.IFS(HRData[[#This Row],[EnvironmentSatisfaction]]=1,"Very Dissatisfied",
HRData[[#This Row],[EnvironmentSatisfaction]]=2,"Dissatisfied",
HRData[[#This Row],[EnvironmentSatisfaction]]=3,"Satisfied",
HRData[[#This Row],[EnvironmentSatisfaction]]=4,"Very Satisfied"
)</f>
        <v>Very Satisfied</v>
      </c>
      <c r="O515" t="s">
        <v>46</v>
      </c>
      <c r="P515">
        <v>32</v>
      </c>
      <c r="Q515">
        <v>3</v>
      </c>
      <c r="R515">
        <v>1</v>
      </c>
      <c r="S515" t="s">
        <v>47</v>
      </c>
      <c r="T515">
        <v>3</v>
      </c>
      <c r="U515" t="str" cm="1">
        <f t="array" ref="U515">_xlfn.IFS(
HRData[[#This Row],[JobSatisfaction]]=1,"Very Dissatisfied",
HRData[[#This Row],[JobSatisfaction]]=2,"Dissatisfied",
HRData[[#This Row],[JobSatisfaction]]=3,"Satisfied",
HRData[[#This Row],[JobSatisfaction]]=4,"Very Satisfied"
)</f>
        <v>Satisfied</v>
      </c>
      <c r="V515" t="s">
        <v>41</v>
      </c>
      <c r="W515">
        <v>1009</v>
      </c>
      <c r="X515" t="str" cm="1">
        <f t="array" ref="X515">_xlfn.IFS(
HRData[[#This Row],[MonthlyIncome]]&lt;=4000,"Very Low Income",
HRData[[#This Row],[MonthlyIncome]]&lt;=8000,"Low Income",
HRData[[#This Row],[MonthlyIncome]]&lt;=12000,"Moderate Income",
HRData[[#This Row],[MonthlyIncome]]&lt;=16000,"High Income",
HRData[[#This Row],[MonthlyIncome]]&gt;16000,"Very High Income"
)</f>
        <v>Very Low Income</v>
      </c>
      <c r="Y515">
        <v>26999</v>
      </c>
      <c r="Z515">
        <v>1</v>
      </c>
      <c r="AA515" t="s">
        <v>42</v>
      </c>
      <c r="AB515" t="s">
        <v>35</v>
      </c>
      <c r="AC515">
        <v>11</v>
      </c>
      <c r="AD515" t="str" cm="1">
        <f t="array" ref="AD515">_xlfn.IFS(HRData[[#This Row],[PercentSalaryHike]]&lt;=15,"11-15",HRData[[#This Row],[PercentSalaryHike]]&lt;=20,"16-20",HRData[[#This Row],[PercentSalaryHike]]&gt;=21,"21+")</f>
        <v>11-15</v>
      </c>
      <c r="AE515">
        <v>3</v>
      </c>
      <c r="AF515">
        <v>4</v>
      </c>
      <c r="AG515">
        <v>80</v>
      </c>
      <c r="AH515">
        <v>0</v>
      </c>
      <c r="AI515">
        <v>1</v>
      </c>
      <c r="AJ515">
        <v>5</v>
      </c>
      <c r="AK515">
        <v>3</v>
      </c>
      <c r="AL515">
        <v>1</v>
      </c>
      <c r="AM515">
        <v>0</v>
      </c>
      <c r="AN515">
        <v>1</v>
      </c>
      <c r="AO515">
        <v>1</v>
      </c>
      <c r="AP51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15" t="str">
        <f>IF(HRData[[#This Row],[Attrition]]="Yes","Left", IF(HRData[[#This Row],[Attrition_Risk_Score]]&gt;=6,"High",IF(HRData[[#This Row],[Attrition_Risk_Score]]&gt;=3,"Medium","Low")))</f>
        <v>Left</v>
      </c>
      <c r="AR515" t="str">
        <f>IF(HRData[[#This Row],[Attrition_Risk_Level]]&lt;&gt;"High","",HRData[[#This Row],[Attrition_Risk_Score]]*10000-HRData[[#This Row],[EmployeeNumber]])</f>
        <v/>
      </c>
    </row>
    <row r="516" spans="1:44">
      <c r="A516">
        <v>33</v>
      </c>
      <c r="B516" t="str" cm="1">
        <f t="array" ref="B516">_xlfn.IFS(
HRData[[#This Row],[Age]]&lt;=24,"18-24",
HRData[[#This Row],[Age]]&lt;=34,"25-34",
HRData[[#This Row],[Age]]&lt;=44,"35-44",
HRData[[#This Row],[Age]]&lt;=54,"45-54",
HRData[[#This Row],[Age]]&gt;=55,"55+"
)</f>
        <v>25-34</v>
      </c>
      <c r="C516" t="s">
        <v>35</v>
      </c>
      <c r="D516">
        <f>IF(HRData[[#This Row],[Attrition]]="Yes",1,0)</f>
        <v>1</v>
      </c>
      <c r="E516" t="s">
        <v>44</v>
      </c>
      <c r="F516">
        <v>1076</v>
      </c>
      <c r="G516" t="s">
        <v>45</v>
      </c>
      <c r="H516">
        <v>3</v>
      </c>
      <c r="I516">
        <v>3</v>
      </c>
      <c r="J516" t="s">
        <v>38</v>
      </c>
      <c r="K516">
        <v>1</v>
      </c>
      <c r="L516">
        <v>702</v>
      </c>
      <c r="M516">
        <v>1</v>
      </c>
      <c r="N516" t="str" cm="1">
        <f t="array" ref="N516">_xlfn.IFS(HRData[[#This Row],[EnvironmentSatisfaction]]=1,"Very Dissatisfied",
HRData[[#This Row],[EnvironmentSatisfaction]]=2,"Dissatisfied",
HRData[[#This Row],[EnvironmentSatisfaction]]=3,"Satisfied",
HRData[[#This Row],[EnvironmentSatisfaction]]=4,"Very Satisfied"
)</f>
        <v>Very Dissatisfied</v>
      </c>
      <c r="O516" t="s">
        <v>46</v>
      </c>
      <c r="P516">
        <v>70</v>
      </c>
      <c r="Q516">
        <v>3</v>
      </c>
      <c r="R516">
        <v>1</v>
      </c>
      <c r="S516" t="s">
        <v>47</v>
      </c>
      <c r="T516">
        <v>1</v>
      </c>
      <c r="U516" t="str" cm="1">
        <f t="array" ref="U516">_xlfn.IFS(
HRData[[#This Row],[JobSatisfaction]]=1,"Very Dissatisfied",
HRData[[#This Row],[JobSatisfaction]]=2,"Dissatisfied",
HRData[[#This Row],[JobSatisfaction]]=3,"Satisfied",
HRData[[#This Row],[JobSatisfaction]]=4,"Very Satisfied"
)</f>
        <v>Very Dissatisfied</v>
      </c>
      <c r="V516" t="s">
        <v>41</v>
      </c>
      <c r="W516">
        <v>3348</v>
      </c>
      <c r="X516" t="str" cm="1">
        <f t="array" ref="X516">_xlfn.IFS(
HRData[[#This Row],[MonthlyIncome]]&lt;=4000,"Very Low Income",
HRData[[#This Row],[MonthlyIncome]]&lt;=8000,"Low Income",
HRData[[#This Row],[MonthlyIncome]]&lt;=12000,"Moderate Income",
HRData[[#This Row],[MonthlyIncome]]&lt;=16000,"High Income",
HRData[[#This Row],[MonthlyIncome]]&gt;16000,"Very High Income"
)</f>
        <v>Very Low Income</v>
      </c>
      <c r="Y516">
        <v>3164</v>
      </c>
      <c r="Z516">
        <v>1</v>
      </c>
      <c r="AA516" t="s">
        <v>42</v>
      </c>
      <c r="AB516" t="s">
        <v>35</v>
      </c>
      <c r="AC516">
        <v>11</v>
      </c>
      <c r="AD516" t="str" cm="1">
        <f t="array" ref="AD516">_xlfn.IFS(HRData[[#This Row],[PercentSalaryHike]]&lt;=15,"11-15",HRData[[#This Row],[PercentSalaryHike]]&lt;=20,"16-20",HRData[[#This Row],[PercentSalaryHike]]&gt;=21,"21+")</f>
        <v>11-15</v>
      </c>
      <c r="AE516">
        <v>3</v>
      </c>
      <c r="AF516">
        <v>1</v>
      </c>
      <c r="AG516">
        <v>80</v>
      </c>
      <c r="AH516">
        <v>0</v>
      </c>
      <c r="AI516">
        <v>10</v>
      </c>
      <c r="AJ516">
        <v>3</v>
      </c>
      <c r="AK516">
        <v>3</v>
      </c>
      <c r="AL516">
        <v>10</v>
      </c>
      <c r="AM516">
        <v>8</v>
      </c>
      <c r="AN516">
        <v>9</v>
      </c>
      <c r="AO516">
        <v>7</v>
      </c>
      <c r="AP51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16" t="str">
        <f>IF(HRData[[#This Row],[Attrition]]="Yes","Left", IF(HRData[[#This Row],[Attrition_Risk_Score]]&gt;=6,"High",IF(HRData[[#This Row],[Attrition_Risk_Score]]&gt;=3,"Medium","Low")))</f>
        <v>Left</v>
      </c>
      <c r="AR516" t="str">
        <f>IF(HRData[[#This Row],[Attrition_Risk_Level]]&lt;&gt;"High","",HRData[[#This Row],[Attrition_Risk_Score]]*10000-HRData[[#This Row],[EmployeeNumber]])</f>
        <v/>
      </c>
    </row>
    <row r="517" spans="1:44">
      <c r="A517">
        <v>35</v>
      </c>
      <c r="B517" t="str" cm="1">
        <f t="array" ref="B517">_xlfn.IFS(
HRData[[#This Row],[Age]]&lt;=24,"18-24",
HRData[[#This Row],[Age]]&lt;=34,"25-34",
HRData[[#This Row],[Age]]&lt;=44,"35-44",
HRData[[#This Row],[Age]]&lt;=54,"45-54",
HRData[[#This Row],[Age]]&gt;=55,"55+"
)</f>
        <v>35-44</v>
      </c>
      <c r="C517" t="s">
        <v>43</v>
      </c>
      <c r="D517">
        <f>IF(HRData[[#This Row],[Attrition]]="Yes",1,0)</f>
        <v>0</v>
      </c>
      <c r="E517" t="s">
        <v>55</v>
      </c>
      <c r="F517">
        <v>727</v>
      </c>
      <c r="G517" t="s">
        <v>45</v>
      </c>
      <c r="H517">
        <v>3</v>
      </c>
      <c r="I517">
        <v>3</v>
      </c>
      <c r="J517" t="s">
        <v>38</v>
      </c>
      <c r="K517">
        <v>1</v>
      </c>
      <c r="L517">
        <v>704</v>
      </c>
      <c r="M517">
        <v>3</v>
      </c>
      <c r="N517" t="str" cm="1">
        <f t="array" ref="N517">_xlfn.IFS(HRData[[#This Row],[EnvironmentSatisfaction]]=1,"Very Dissatisfied",
HRData[[#This Row],[EnvironmentSatisfaction]]=2,"Dissatisfied",
HRData[[#This Row],[EnvironmentSatisfaction]]=3,"Satisfied",
HRData[[#This Row],[EnvironmentSatisfaction]]=4,"Very Satisfied"
)</f>
        <v>Satisfied</v>
      </c>
      <c r="O517" t="s">
        <v>46</v>
      </c>
      <c r="P517">
        <v>41</v>
      </c>
      <c r="Q517">
        <v>2</v>
      </c>
      <c r="R517">
        <v>1</v>
      </c>
      <c r="S517" t="s">
        <v>50</v>
      </c>
      <c r="T517">
        <v>3</v>
      </c>
      <c r="U517" t="str" cm="1">
        <f t="array" ref="U517">_xlfn.IFS(
HRData[[#This Row],[JobSatisfaction]]=1,"Very Dissatisfied",
HRData[[#This Row],[JobSatisfaction]]=2,"Dissatisfied",
HRData[[#This Row],[JobSatisfaction]]=3,"Satisfied",
HRData[[#This Row],[JobSatisfaction]]=4,"Very Satisfied"
)</f>
        <v>Satisfied</v>
      </c>
      <c r="V517" t="s">
        <v>48</v>
      </c>
      <c r="W517">
        <v>1281</v>
      </c>
      <c r="X517" t="str" cm="1">
        <f t="array" ref="X517">_xlfn.IFS(
HRData[[#This Row],[MonthlyIncome]]&lt;=4000,"Very Low Income",
HRData[[#This Row],[MonthlyIncome]]&lt;=8000,"Low Income",
HRData[[#This Row],[MonthlyIncome]]&lt;=12000,"Moderate Income",
HRData[[#This Row],[MonthlyIncome]]&lt;=16000,"High Income",
HRData[[#This Row],[MonthlyIncome]]&gt;16000,"Very High Income"
)</f>
        <v>Very Low Income</v>
      </c>
      <c r="Y517">
        <v>16900</v>
      </c>
      <c r="Z517">
        <v>1</v>
      </c>
      <c r="AA517" t="s">
        <v>42</v>
      </c>
      <c r="AB517" t="s">
        <v>43</v>
      </c>
      <c r="AC517">
        <v>18</v>
      </c>
      <c r="AD517" t="str" cm="1">
        <f t="array" ref="AD517">_xlfn.IFS(HRData[[#This Row],[PercentSalaryHike]]&lt;=15,"11-15",HRData[[#This Row],[PercentSalaryHike]]&lt;=20,"16-20",HRData[[#This Row],[PercentSalaryHike]]&gt;=21,"21+")</f>
        <v>16-20</v>
      </c>
      <c r="AE517">
        <v>3</v>
      </c>
      <c r="AF517">
        <v>3</v>
      </c>
      <c r="AG517">
        <v>80</v>
      </c>
      <c r="AH517">
        <v>2</v>
      </c>
      <c r="AI517">
        <v>1</v>
      </c>
      <c r="AJ517">
        <v>3</v>
      </c>
      <c r="AK517">
        <v>3</v>
      </c>
      <c r="AL517">
        <v>1</v>
      </c>
      <c r="AM517">
        <v>0</v>
      </c>
      <c r="AN517">
        <v>0</v>
      </c>
      <c r="AO517">
        <v>0</v>
      </c>
      <c r="AP51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17" t="str">
        <f>IF(HRData[[#This Row],[Attrition]]="Yes","Left", IF(HRData[[#This Row],[Attrition_Risk_Score]]&gt;=6,"High",IF(HRData[[#This Row],[Attrition_Risk_Score]]&gt;=3,"Medium","Low")))</f>
        <v>Medium</v>
      </c>
      <c r="AR517" t="str">
        <f>IF(HRData[[#This Row],[Attrition_Risk_Level]]&lt;&gt;"High","",HRData[[#This Row],[Attrition_Risk_Score]]*10000-HRData[[#This Row],[EmployeeNumber]])</f>
        <v/>
      </c>
    </row>
    <row r="518" spans="1:44">
      <c r="A518">
        <v>23</v>
      </c>
      <c r="B518" t="str" cm="1">
        <f t="array" ref="B518">_xlfn.IFS(
HRData[[#This Row],[Age]]&lt;=24,"18-24",
HRData[[#This Row],[Age]]&lt;=34,"25-34",
HRData[[#This Row],[Age]]&lt;=44,"35-44",
HRData[[#This Row],[Age]]&lt;=54,"45-54",
HRData[[#This Row],[Age]]&gt;=55,"55+"
)</f>
        <v>18-24</v>
      </c>
      <c r="C518" t="s">
        <v>43</v>
      </c>
      <c r="D518">
        <f>IF(HRData[[#This Row],[Attrition]]="Yes",1,0)</f>
        <v>0</v>
      </c>
      <c r="E518" t="s">
        <v>36</v>
      </c>
      <c r="F518">
        <v>885</v>
      </c>
      <c r="G518" t="s">
        <v>45</v>
      </c>
      <c r="H518">
        <v>4</v>
      </c>
      <c r="I518">
        <v>3</v>
      </c>
      <c r="J518" t="s">
        <v>51</v>
      </c>
      <c r="K518">
        <v>1</v>
      </c>
      <c r="L518">
        <v>705</v>
      </c>
      <c r="M518">
        <v>1</v>
      </c>
      <c r="N518" t="str" cm="1">
        <f t="array" ref="N518">_xlfn.IFS(HRData[[#This Row],[EnvironmentSatisfaction]]=1,"Very Dissatisfied",
HRData[[#This Row],[EnvironmentSatisfaction]]=2,"Dissatisfied",
HRData[[#This Row],[EnvironmentSatisfaction]]=3,"Satisfied",
HRData[[#This Row],[EnvironmentSatisfaction]]=4,"Very Satisfied"
)</f>
        <v>Very Dissatisfied</v>
      </c>
      <c r="O518" t="s">
        <v>46</v>
      </c>
      <c r="P518">
        <v>58</v>
      </c>
      <c r="Q518">
        <v>4</v>
      </c>
      <c r="R518">
        <v>1</v>
      </c>
      <c r="S518" t="s">
        <v>47</v>
      </c>
      <c r="T518">
        <v>1</v>
      </c>
      <c r="U518" t="str" cm="1">
        <f t="array" ref="U518">_xlfn.IFS(
HRData[[#This Row],[JobSatisfaction]]=1,"Very Dissatisfied",
HRData[[#This Row],[JobSatisfaction]]=2,"Dissatisfied",
HRData[[#This Row],[JobSatisfaction]]=3,"Satisfied",
HRData[[#This Row],[JobSatisfaction]]=4,"Very Satisfied"
)</f>
        <v>Very Dissatisfied</v>
      </c>
      <c r="V518" t="s">
        <v>48</v>
      </c>
      <c r="W518">
        <v>2819</v>
      </c>
      <c r="X518" t="str" cm="1">
        <f t="array" ref="X518">_xlfn.IFS(
HRData[[#This Row],[MonthlyIncome]]&lt;=4000,"Very Low Income",
HRData[[#This Row],[MonthlyIncome]]&lt;=8000,"Low Income",
HRData[[#This Row],[MonthlyIncome]]&lt;=12000,"Moderate Income",
HRData[[#This Row],[MonthlyIncome]]&lt;=16000,"High Income",
HRData[[#This Row],[MonthlyIncome]]&gt;16000,"Very High Income"
)</f>
        <v>Very Low Income</v>
      </c>
      <c r="Y518">
        <v>8544</v>
      </c>
      <c r="Z518">
        <v>2</v>
      </c>
      <c r="AA518" t="s">
        <v>42</v>
      </c>
      <c r="AB518" t="s">
        <v>43</v>
      </c>
      <c r="AC518">
        <v>16</v>
      </c>
      <c r="AD518" t="str" cm="1">
        <f t="array" ref="AD518">_xlfn.IFS(HRData[[#This Row],[PercentSalaryHike]]&lt;=15,"11-15",HRData[[#This Row],[PercentSalaryHike]]&lt;=20,"16-20",HRData[[#This Row],[PercentSalaryHike]]&gt;=21,"21+")</f>
        <v>16-20</v>
      </c>
      <c r="AE518">
        <v>3</v>
      </c>
      <c r="AF518">
        <v>1</v>
      </c>
      <c r="AG518">
        <v>80</v>
      </c>
      <c r="AH518">
        <v>1</v>
      </c>
      <c r="AI518">
        <v>5</v>
      </c>
      <c r="AJ518">
        <v>3</v>
      </c>
      <c r="AK518">
        <v>4</v>
      </c>
      <c r="AL518">
        <v>3</v>
      </c>
      <c r="AM518">
        <v>2</v>
      </c>
      <c r="AN518">
        <v>0</v>
      </c>
      <c r="AO518">
        <v>2</v>
      </c>
      <c r="AP51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518" t="str">
        <f>IF(HRData[[#This Row],[Attrition]]="Yes","Left", IF(HRData[[#This Row],[Attrition_Risk_Score]]&gt;=6,"High",IF(HRData[[#This Row],[Attrition_Risk_Score]]&gt;=3,"Medium","Low")))</f>
        <v>High</v>
      </c>
      <c r="AR518">
        <f>IF(HRData[[#This Row],[Attrition_Risk_Level]]&lt;&gt;"High","",HRData[[#This Row],[Attrition_Risk_Score]]*10000-HRData[[#This Row],[EmployeeNumber]])</f>
        <v>59295</v>
      </c>
    </row>
    <row r="519" spans="1:44">
      <c r="A519">
        <v>25</v>
      </c>
      <c r="B519" t="str" cm="1">
        <f t="array" ref="B519">_xlfn.IFS(
HRData[[#This Row],[Age]]&lt;=24,"18-24",
HRData[[#This Row],[Age]]&lt;=34,"25-34",
HRData[[#This Row],[Age]]&lt;=44,"35-44",
HRData[[#This Row],[Age]]&lt;=54,"45-54",
HRData[[#This Row],[Age]]&gt;=55,"55+"
)</f>
        <v>25-34</v>
      </c>
      <c r="C519" t="s">
        <v>43</v>
      </c>
      <c r="D519">
        <f>IF(HRData[[#This Row],[Attrition]]="Yes",1,0)</f>
        <v>0</v>
      </c>
      <c r="E519" t="s">
        <v>36</v>
      </c>
      <c r="F519">
        <v>810</v>
      </c>
      <c r="G519" t="s">
        <v>37</v>
      </c>
      <c r="H519">
        <v>8</v>
      </c>
      <c r="I519">
        <v>3</v>
      </c>
      <c r="J519" t="s">
        <v>38</v>
      </c>
      <c r="K519">
        <v>1</v>
      </c>
      <c r="L519">
        <v>707</v>
      </c>
      <c r="M519">
        <v>4</v>
      </c>
      <c r="N519" t="str" cm="1">
        <f t="array" ref="N519">_xlfn.IFS(HRData[[#This Row],[EnvironmentSatisfaction]]=1,"Very Dissatisfied",
HRData[[#This Row],[EnvironmentSatisfaction]]=2,"Dissatisfied",
HRData[[#This Row],[EnvironmentSatisfaction]]=3,"Satisfied",
HRData[[#This Row],[EnvironmentSatisfaction]]=4,"Very Satisfied"
)</f>
        <v>Very Satisfied</v>
      </c>
      <c r="O519" t="s">
        <v>46</v>
      </c>
      <c r="P519">
        <v>57</v>
      </c>
      <c r="Q519">
        <v>4</v>
      </c>
      <c r="R519">
        <v>2</v>
      </c>
      <c r="S519" t="s">
        <v>40</v>
      </c>
      <c r="T519">
        <v>2</v>
      </c>
      <c r="U519" t="str" cm="1">
        <f t="array" ref="U519">_xlfn.IFS(
HRData[[#This Row],[JobSatisfaction]]=1,"Very Dissatisfied",
HRData[[#This Row],[JobSatisfaction]]=2,"Dissatisfied",
HRData[[#This Row],[JobSatisfaction]]=3,"Satisfied",
HRData[[#This Row],[JobSatisfaction]]=4,"Very Satisfied"
)</f>
        <v>Dissatisfied</v>
      </c>
      <c r="V519" t="s">
        <v>48</v>
      </c>
      <c r="W519">
        <v>4851</v>
      </c>
      <c r="X519" t="str" cm="1">
        <f t="array" ref="X519">_xlfn.IFS(
HRData[[#This Row],[MonthlyIncome]]&lt;=4000,"Very Low Income",
HRData[[#This Row],[MonthlyIncome]]&lt;=8000,"Low Income",
HRData[[#This Row],[MonthlyIncome]]&lt;=12000,"Moderate Income",
HRData[[#This Row],[MonthlyIncome]]&lt;=16000,"High Income",
HRData[[#This Row],[MonthlyIncome]]&gt;16000,"Very High Income"
)</f>
        <v>Low Income</v>
      </c>
      <c r="Y519">
        <v>15678</v>
      </c>
      <c r="Z519">
        <v>0</v>
      </c>
      <c r="AA519" t="s">
        <v>42</v>
      </c>
      <c r="AB519" t="s">
        <v>43</v>
      </c>
      <c r="AC519">
        <v>22</v>
      </c>
      <c r="AD519" t="str" cm="1">
        <f t="array" ref="AD519">_xlfn.IFS(HRData[[#This Row],[PercentSalaryHike]]&lt;=15,"11-15",HRData[[#This Row],[PercentSalaryHike]]&lt;=20,"16-20",HRData[[#This Row],[PercentSalaryHike]]&gt;=21,"21+")</f>
        <v>21+</v>
      </c>
      <c r="AE519">
        <v>4</v>
      </c>
      <c r="AF519">
        <v>3</v>
      </c>
      <c r="AG519">
        <v>80</v>
      </c>
      <c r="AH519">
        <v>1</v>
      </c>
      <c r="AI519">
        <v>4</v>
      </c>
      <c r="AJ519">
        <v>4</v>
      </c>
      <c r="AK519">
        <v>3</v>
      </c>
      <c r="AL519">
        <v>3</v>
      </c>
      <c r="AM519">
        <v>2</v>
      </c>
      <c r="AN519">
        <v>1</v>
      </c>
      <c r="AO519">
        <v>2</v>
      </c>
      <c r="AP51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19" t="str">
        <f>IF(HRData[[#This Row],[Attrition]]="Yes","Left", IF(HRData[[#This Row],[Attrition_Risk_Score]]&gt;=6,"High",IF(HRData[[#This Row],[Attrition_Risk_Score]]&gt;=3,"Medium","Low")))</f>
        <v>Low</v>
      </c>
      <c r="AR519" t="str">
        <f>IF(HRData[[#This Row],[Attrition_Risk_Level]]&lt;&gt;"High","",HRData[[#This Row],[Attrition_Risk_Score]]*10000-HRData[[#This Row],[EmployeeNumber]])</f>
        <v/>
      </c>
    </row>
    <row r="520" spans="1:44">
      <c r="A520">
        <v>38</v>
      </c>
      <c r="B520" t="str" cm="1">
        <f t="array" ref="B520">_xlfn.IFS(
HRData[[#This Row],[Age]]&lt;=24,"18-24",
HRData[[#This Row],[Age]]&lt;=34,"25-34",
HRData[[#This Row],[Age]]&lt;=44,"35-44",
HRData[[#This Row],[Age]]&lt;=54,"45-54",
HRData[[#This Row],[Age]]&gt;=55,"55+"
)</f>
        <v>35-44</v>
      </c>
      <c r="C520" t="s">
        <v>43</v>
      </c>
      <c r="D520">
        <f>IF(HRData[[#This Row],[Attrition]]="Yes",1,0)</f>
        <v>0</v>
      </c>
      <c r="E520" t="s">
        <v>36</v>
      </c>
      <c r="F520">
        <v>243</v>
      </c>
      <c r="G520" t="s">
        <v>37</v>
      </c>
      <c r="H520">
        <v>7</v>
      </c>
      <c r="I520">
        <v>4</v>
      </c>
      <c r="J520" t="s">
        <v>59</v>
      </c>
      <c r="K520">
        <v>1</v>
      </c>
      <c r="L520">
        <v>709</v>
      </c>
      <c r="M520">
        <v>4</v>
      </c>
      <c r="N520" t="str" cm="1">
        <f t="array" ref="N520">_xlfn.IFS(HRData[[#This Row],[EnvironmentSatisfaction]]=1,"Very Dissatisfied",
HRData[[#This Row],[EnvironmentSatisfaction]]=2,"Dissatisfied",
HRData[[#This Row],[EnvironmentSatisfaction]]=3,"Satisfied",
HRData[[#This Row],[EnvironmentSatisfaction]]=4,"Very Satisfied"
)</f>
        <v>Very Satisfied</v>
      </c>
      <c r="O520" t="s">
        <v>39</v>
      </c>
      <c r="P520">
        <v>46</v>
      </c>
      <c r="Q520">
        <v>2</v>
      </c>
      <c r="R520">
        <v>2</v>
      </c>
      <c r="S520" t="s">
        <v>40</v>
      </c>
      <c r="T520">
        <v>4</v>
      </c>
      <c r="U520" t="str" cm="1">
        <f t="array" ref="U520">_xlfn.IFS(
HRData[[#This Row],[JobSatisfaction]]=1,"Very Dissatisfied",
HRData[[#This Row],[JobSatisfaction]]=2,"Dissatisfied",
HRData[[#This Row],[JobSatisfaction]]=3,"Satisfied",
HRData[[#This Row],[JobSatisfaction]]=4,"Very Satisfied"
)</f>
        <v>Very Satisfied</v>
      </c>
      <c r="V520" t="s">
        <v>41</v>
      </c>
      <c r="W520">
        <v>4028</v>
      </c>
      <c r="X520" t="str" cm="1">
        <f t="array" ref="X520">_xlfn.IFS(
HRData[[#This Row],[MonthlyIncome]]&lt;=4000,"Very Low Income",
HRData[[#This Row],[MonthlyIncome]]&lt;=8000,"Low Income",
HRData[[#This Row],[MonthlyIncome]]&lt;=12000,"Moderate Income",
HRData[[#This Row],[MonthlyIncome]]&lt;=16000,"High Income",
HRData[[#This Row],[MonthlyIncome]]&gt;16000,"Very High Income"
)</f>
        <v>Low Income</v>
      </c>
      <c r="Y520">
        <v>7791</v>
      </c>
      <c r="Z520">
        <v>0</v>
      </c>
      <c r="AA520" t="s">
        <v>42</v>
      </c>
      <c r="AB520" t="s">
        <v>43</v>
      </c>
      <c r="AC520">
        <v>20</v>
      </c>
      <c r="AD520" t="str" cm="1">
        <f t="array" ref="AD520">_xlfn.IFS(HRData[[#This Row],[PercentSalaryHike]]&lt;=15,"11-15",HRData[[#This Row],[PercentSalaryHike]]&lt;=20,"16-20",HRData[[#This Row],[PercentSalaryHike]]&gt;=21,"21+")</f>
        <v>16-20</v>
      </c>
      <c r="AE520">
        <v>4</v>
      </c>
      <c r="AF520">
        <v>1</v>
      </c>
      <c r="AG520">
        <v>80</v>
      </c>
      <c r="AH520">
        <v>0</v>
      </c>
      <c r="AI520">
        <v>8</v>
      </c>
      <c r="AJ520">
        <v>2</v>
      </c>
      <c r="AK520">
        <v>3</v>
      </c>
      <c r="AL520">
        <v>7</v>
      </c>
      <c r="AM520">
        <v>7</v>
      </c>
      <c r="AN520">
        <v>0</v>
      </c>
      <c r="AO520">
        <v>5</v>
      </c>
      <c r="AP52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520" t="str">
        <f>IF(HRData[[#This Row],[Attrition]]="Yes","Left", IF(HRData[[#This Row],[Attrition_Risk_Score]]&gt;=6,"High",IF(HRData[[#This Row],[Attrition_Risk_Score]]&gt;=3,"Medium","Low")))</f>
        <v>Low</v>
      </c>
      <c r="AR520" t="str">
        <f>IF(HRData[[#This Row],[Attrition_Risk_Level]]&lt;&gt;"High","",HRData[[#This Row],[Attrition_Risk_Score]]*10000-HRData[[#This Row],[EmployeeNumber]])</f>
        <v/>
      </c>
    </row>
    <row r="521" spans="1:44">
      <c r="A521">
        <v>29</v>
      </c>
      <c r="B521" t="str" cm="1">
        <f t="array" ref="B521">_xlfn.IFS(
HRData[[#This Row],[Age]]&lt;=24,"18-24",
HRData[[#This Row],[Age]]&lt;=34,"25-34",
HRData[[#This Row],[Age]]&lt;=44,"35-44",
HRData[[#This Row],[Age]]&lt;=54,"45-54",
HRData[[#This Row],[Age]]&gt;=55,"55+"
)</f>
        <v>25-34</v>
      </c>
      <c r="C521" t="s">
        <v>43</v>
      </c>
      <c r="D521">
        <f>IF(HRData[[#This Row],[Attrition]]="Yes",1,0)</f>
        <v>0</v>
      </c>
      <c r="E521" t="s">
        <v>44</v>
      </c>
      <c r="F521">
        <v>806</v>
      </c>
      <c r="G521" t="s">
        <v>45</v>
      </c>
      <c r="H521">
        <v>1</v>
      </c>
      <c r="I521">
        <v>4</v>
      </c>
      <c r="J521" t="s">
        <v>38</v>
      </c>
      <c r="K521">
        <v>1</v>
      </c>
      <c r="L521">
        <v>710</v>
      </c>
      <c r="M521">
        <v>2</v>
      </c>
      <c r="N521" t="str" cm="1">
        <f t="array" ref="N521">_xlfn.IFS(HRData[[#This Row],[EnvironmentSatisfaction]]=1,"Very Dissatisfied",
HRData[[#This Row],[EnvironmentSatisfaction]]=2,"Dissatisfied",
HRData[[#This Row],[EnvironmentSatisfaction]]=3,"Satisfied",
HRData[[#This Row],[EnvironmentSatisfaction]]=4,"Very Satisfied"
)</f>
        <v>Dissatisfied</v>
      </c>
      <c r="O521" t="s">
        <v>46</v>
      </c>
      <c r="P521">
        <v>76</v>
      </c>
      <c r="Q521">
        <v>1</v>
      </c>
      <c r="R521">
        <v>1</v>
      </c>
      <c r="S521" t="s">
        <v>47</v>
      </c>
      <c r="T521">
        <v>4</v>
      </c>
      <c r="U521" t="str" cm="1">
        <f t="array" ref="U521">_xlfn.IFS(
HRData[[#This Row],[JobSatisfaction]]=1,"Very Dissatisfied",
HRData[[#This Row],[JobSatisfaction]]=2,"Dissatisfied",
HRData[[#This Row],[JobSatisfaction]]=3,"Satisfied",
HRData[[#This Row],[JobSatisfaction]]=4,"Very Satisfied"
)</f>
        <v>Very Satisfied</v>
      </c>
      <c r="V521" t="s">
        <v>52</v>
      </c>
      <c r="W521">
        <v>2720</v>
      </c>
      <c r="X521" t="str" cm="1">
        <f t="array" ref="X521">_xlfn.IFS(
HRData[[#This Row],[MonthlyIncome]]&lt;=4000,"Very Low Income",
HRData[[#This Row],[MonthlyIncome]]&lt;=8000,"Low Income",
HRData[[#This Row],[MonthlyIncome]]&lt;=12000,"Moderate Income",
HRData[[#This Row],[MonthlyIncome]]&lt;=16000,"High Income",
HRData[[#This Row],[MonthlyIncome]]&gt;16000,"Very High Income"
)</f>
        <v>Very Low Income</v>
      </c>
      <c r="Y521">
        <v>18959</v>
      </c>
      <c r="Z521">
        <v>1</v>
      </c>
      <c r="AA521" t="s">
        <v>42</v>
      </c>
      <c r="AB521" t="s">
        <v>43</v>
      </c>
      <c r="AC521">
        <v>18</v>
      </c>
      <c r="AD521" t="str" cm="1">
        <f t="array" ref="AD521">_xlfn.IFS(HRData[[#This Row],[PercentSalaryHike]]&lt;=15,"11-15",HRData[[#This Row],[PercentSalaryHike]]&lt;=20,"16-20",HRData[[#This Row],[PercentSalaryHike]]&gt;=21,"21+")</f>
        <v>16-20</v>
      </c>
      <c r="AE521">
        <v>3</v>
      </c>
      <c r="AF521">
        <v>4</v>
      </c>
      <c r="AG521">
        <v>80</v>
      </c>
      <c r="AH521">
        <v>1</v>
      </c>
      <c r="AI521">
        <v>10</v>
      </c>
      <c r="AJ521">
        <v>5</v>
      </c>
      <c r="AK521">
        <v>3</v>
      </c>
      <c r="AL521">
        <v>10</v>
      </c>
      <c r="AM521">
        <v>7</v>
      </c>
      <c r="AN521">
        <v>2</v>
      </c>
      <c r="AO521">
        <v>8</v>
      </c>
      <c r="AP52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21" t="str">
        <f>IF(HRData[[#This Row],[Attrition]]="Yes","Left", IF(HRData[[#This Row],[Attrition_Risk_Score]]&gt;=6,"High",IF(HRData[[#This Row],[Attrition_Risk_Score]]&gt;=3,"Medium","Low")))</f>
        <v>Medium</v>
      </c>
      <c r="AR521" t="str">
        <f>IF(HRData[[#This Row],[Attrition_Risk_Level]]&lt;&gt;"High","",HRData[[#This Row],[Attrition_Risk_Score]]*10000-HRData[[#This Row],[EmployeeNumber]])</f>
        <v/>
      </c>
    </row>
    <row r="522" spans="1:44">
      <c r="A522">
        <v>48</v>
      </c>
      <c r="B522" t="str" cm="1">
        <f t="array" ref="B522">_xlfn.IFS(
HRData[[#This Row],[Age]]&lt;=24,"18-24",
HRData[[#This Row],[Age]]&lt;=34,"25-34",
HRData[[#This Row],[Age]]&lt;=44,"35-44",
HRData[[#This Row],[Age]]&lt;=54,"45-54",
HRData[[#This Row],[Age]]&gt;=55,"55+"
)</f>
        <v>45-54</v>
      </c>
      <c r="C522" t="s">
        <v>43</v>
      </c>
      <c r="D522">
        <f>IF(HRData[[#This Row],[Attrition]]="Yes",1,0)</f>
        <v>0</v>
      </c>
      <c r="E522" t="s">
        <v>36</v>
      </c>
      <c r="F522">
        <v>817</v>
      </c>
      <c r="G522" t="s">
        <v>37</v>
      </c>
      <c r="H522">
        <v>2</v>
      </c>
      <c r="I522">
        <v>1</v>
      </c>
      <c r="J522" t="s">
        <v>59</v>
      </c>
      <c r="K522">
        <v>1</v>
      </c>
      <c r="L522">
        <v>712</v>
      </c>
      <c r="M522">
        <v>2</v>
      </c>
      <c r="N522" t="str" cm="1">
        <f t="array" ref="N522">_xlfn.IFS(HRData[[#This Row],[EnvironmentSatisfaction]]=1,"Very Dissatisfied",
HRData[[#This Row],[EnvironmentSatisfaction]]=2,"Dissatisfied",
HRData[[#This Row],[EnvironmentSatisfaction]]=3,"Satisfied",
HRData[[#This Row],[EnvironmentSatisfaction]]=4,"Very Satisfied"
)</f>
        <v>Dissatisfied</v>
      </c>
      <c r="O522" t="s">
        <v>46</v>
      </c>
      <c r="P522">
        <v>56</v>
      </c>
      <c r="Q522">
        <v>4</v>
      </c>
      <c r="R522">
        <v>2</v>
      </c>
      <c r="S522" t="s">
        <v>40</v>
      </c>
      <c r="T522">
        <v>2</v>
      </c>
      <c r="U522" t="str" cm="1">
        <f t="array" ref="U522">_xlfn.IFS(
HRData[[#This Row],[JobSatisfaction]]=1,"Very Dissatisfied",
HRData[[#This Row],[JobSatisfaction]]=2,"Dissatisfied",
HRData[[#This Row],[JobSatisfaction]]=3,"Satisfied",
HRData[[#This Row],[JobSatisfaction]]=4,"Very Satisfied"
)</f>
        <v>Dissatisfied</v>
      </c>
      <c r="V522" t="s">
        <v>48</v>
      </c>
      <c r="W522">
        <v>8120</v>
      </c>
      <c r="X522" t="str" cm="1">
        <f t="array" ref="X522">_xlfn.IFS(
HRData[[#This Row],[MonthlyIncome]]&lt;=4000,"Very Low Income",
HRData[[#This Row],[MonthlyIncome]]&lt;=8000,"Low Income",
HRData[[#This Row],[MonthlyIncome]]&lt;=12000,"Moderate Income",
HRData[[#This Row],[MonthlyIncome]]&lt;=16000,"High Income",
HRData[[#This Row],[MonthlyIncome]]&gt;16000,"Very High Income"
)</f>
        <v>Moderate Income</v>
      </c>
      <c r="Y522">
        <v>18597</v>
      </c>
      <c r="Z522">
        <v>3</v>
      </c>
      <c r="AA522" t="s">
        <v>42</v>
      </c>
      <c r="AB522" t="s">
        <v>43</v>
      </c>
      <c r="AC522">
        <v>12</v>
      </c>
      <c r="AD522" t="str" cm="1">
        <f t="array" ref="AD522">_xlfn.IFS(HRData[[#This Row],[PercentSalaryHike]]&lt;=15,"11-15",HRData[[#This Row],[PercentSalaryHike]]&lt;=20,"16-20",HRData[[#This Row],[PercentSalaryHike]]&gt;=21,"21+")</f>
        <v>11-15</v>
      </c>
      <c r="AE522">
        <v>3</v>
      </c>
      <c r="AF522">
        <v>4</v>
      </c>
      <c r="AG522">
        <v>80</v>
      </c>
      <c r="AH522">
        <v>0</v>
      </c>
      <c r="AI522">
        <v>12</v>
      </c>
      <c r="AJ522">
        <v>3</v>
      </c>
      <c r="AK522">
        <v>3</v>
      </c>
      <c r="AL522">
        <v>2</v>
      </c>
      <c r="AM522">
        <v>2</v>
      </c>
      <c r="AN522">
        <v>2</v>
      </c>
      <c r="AO522">
        <v>2</v>
      </c>
      <c r="AP52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522" t="str">
        <f>IF(HRData[[#This Row],[Attrition]]="Yes","Left", IF(HRData[[#This Row],[Attrition_Risk_Score]]&gt;=6,"High",IF(HRData[[#This Row],[Attrition_Risk_Score]]&gt;=3,"Medium","Low")))</f>
        <v>Low</v>
      </c>
      <c r="AR522" t="str">
        <f>IF(HRData[[#This Row],[Attrition_Risk_Level]]&lt;&gt;"High","",HRData[[#This Row],[Attrition_Risk_Score]]*10000-HRData[[#This Row],[EmployeeNumber]])</f>
        <v/>
      </c>
    </row>
    <row r="523" spans="1:44">
      <c r="A523">
        <v>27</v>
      </c>
      <c r="B523" t="str" cm="1">
        <f t="array" ref="B523">_xlfn.IFS(
HRData[[#This Row],[Age]]&lt;=24,"18-24",
HRData[[#This Row],[Age]]&lt;=34,"25-34",
HRData[[#This Row],[Age]]&lt;=44,"35-44",
HRData[[#This Row],[Age]]&lt;=54,"45-54",
HRData[[#This Row],[Age]]&gt;=55,"55+"
)</f>
        <v>25-34</v>
      </c>
      <c r="C523" t="s">
        <v>43</v>
      </c>
      <c r="D523">
        <f>IF(HRData[[#This Row],[Attrition]]="Yes",1,0)</f>
        <v>0</v>
      </c>
      <c r="E523" t="s">
        <v>44</v>
      </c>
      <c r="F523">
        <v>1410</v>
      </c>
      <c r="G523" t="s">
        <v>37</v>
      </c>
      <c r="H523">
        <v>3</v>
      </c>
      <c r="I523">
        <v>1</v>
      </c>
      <c r="J523" t="s">
        <v>51</v>
      </c>
      <c r="K523">
        <v>1</v>
      </c>
      <c r="L523">
        <v>714</v>
      </c>
      <c r="M523">
        <v>4</v>
      </c>
      <c r="N523" t="str" cm="1">
        <f t="array" ref="N523">_xlfn.IFS(HRData[[#This Row],[EnvironmentSatisfaction]]=1,"Very Dissatisfied",
HRData[[#This Row],[EnvironmentSatisfaction]]=2,"Dissatisfied",
HRData[[#This Row],[EnvironmentSatisfaction]]=3,"Satisfied",
HRData[[#This Row],[EnvironmentSatisfaction]]=4,"Very Satisfied"
)</f>
        <v>Very Satisfied</v>
      </c>
      <c r="O523" t="s">
        <v>39</v>
      </c>
      <c r="P523">
        <v>71</v>
      </c>
      <c r="Q523">
        <v>4</v>
      </c>
      <c r="R523">
        <v>2</v>
      </c>
      <c r="S523" t="s">
        <v>40</v>
      </c>
      <c r="T523">
        <v>4</v>
      </c>
      <c r="U523" t="str" cm="1">
        <f t="array" ref="U523">_xlfn.IFS(
HRData[[#This Row],[JobSatisfaction]]=1,"Very Dissatisfied",
HRData[[#This Row],[JobSatisfaction]]=2,"Dissatisfied",
HRData[[#This Row],[JobSatisfaction]]=3,"Satisfied",
HRData[[#This Row],[JobSatisfaction]]=4,"Very Satisfied"
)</f>
        <v>Very Satisfied</v>
      </c>
      <c r="V523" t="s">
        <v>52</v>
      </c>
      <c r="W523">
        <v>4647</v>
      </c>
      <c r="X523" t="str" cm="1">
        <f t="array" ref="X523">_xlfn.IFS(
HRData[[#This Row],[MonthlyIncome]]&lt;=4000,"Very Low Income",
HRData[[#This Row],[MonthlyIncome]]&lt;=8000,"Low Income",
HRData[[#This Row],[MonthlyIncome]]&lt;=12000,"Moderate Income",
HRData[[#This Row],[MonthlyIncome]]&lt;=16000,"High Income",
HRData[[#This Row],[MonthlyIncome]]&gt;16000,"Very High Income"
)</f>
        <v>Low Income</v>
      </c>
      <c r="Y523">
        <v>16673</v>
      </c>
      <c r="Z523">
        <v>1</v>
      </c>
      <c r="AA523" t="s">
        <v>42</v>
      </c>
      <c r="AB523" t="s">
        <v>35</v>
      </c>
      <c r="AC523">
        <v>20</v>
      </c>
      <c r="AD523" t="str" cm="1">
        <f t="array" ref="AD523">_xlfn.IFS(HRData[[#This Row],[PercentSalaryHike]]&lt;=15,"11-15",HRData[[#This Row],[PercentSalaryHike]]&lt;=20,"16-20",HRData[[#This Row],[PercentSalaryHike]]&gt;=21,"21+")</f>
        <v>16-20</v>
      </c>
      <c r="AE523">
        <v>4</v>
      </c>
      <c r="AF523">
        <v>2</v>
      </c>
      <c r="AG523">
        <v>80</v>
      </c>
      <c r="AH523">
        <v>2</v>
      </c>
      <c r="AI523">
        <v>6</v>
      </c>
      <c r="AJ523">
        <v>3</v>
      </c>
      <c r="AK523">
        <v>3</v>
      </c>
      <c r="AL523">
        <v>6</v>
      </c>
      <c r="AM523">
        <v>5</v>
      </c>
      <c r="AN523">
        <v>0</v>
      </c>
      <c r="AO523">
        <v>4</v>
      </c>
      <c r="AP52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23" t="str">
        <f>IF(HRData[[#This Row],[Attrition]]="Yes","Left", IF(HRData[[#This Row],[Attrition_Risk_Score]]&gt;=6,"High",IF(HRData[[#This Row],[Attrition_Risk_Score]]&gt;=3,"Medium","Low")))</f>
        <v>Medium</v>
      </c>
      <c r="AR523" t="str">
        <f>IF(HRData[[#This Row],[Attrition_Risk_Level]]&lt;&gt;"High","",HRData[[#This Row],[Attrition_Risk_Score]]*10000-HRData[[#This Row],[EmployeeNumber]])</f>
        <v/>
      </c>
    </row>
    <row r="524" spans="1:44">
      <c r="A524">
        <v>37</v>
      </c>
      <c r="B524" t="str" cm="1">
        <f t="array" ref="B524">_xlfn.IFS(
HRData[[#This Row],[Age]]&lt;=24,"18-24",
HRData[[#This Row],[Age]]&lt;=34,"25-34",
HRData[[#This Row],[Age]]&lt;=44,"35-44",
HRData[[#This Row],[Age]]&lt;=54,"45-54",
HRData[[#This Row],[Age]]&gt;=55,"55+"
)</f>
        <v>35-44</v>
      </c>
      <c r="C524" t="s">
        <v>43</v>
      </c>
      <c r="D524">
        <f>IF(HRData[[#This Row],[Attrition]]="Yes",1,0)</f>
        <v>0</v>
      </c>
      <c r="E524" t="s">
        <v>36</v>
      </c>
      <c r="F524">
        <v>1225</v>
      </c>
      <c r="G524" t="s">
        <v>45</v>
      </c>
      <c r="H524">
        <v>10</v>
      </c>
      <c r="I524">
        <v>2</v>
      </c>
      <c r="J524" t="s">
        <v>38</v>
      </c>
      <c r="K524">
        <v>1</v>
      </c>
      <c r="L524">
        <v>715</v>
      </c>
      <c r="M524">
        <v>4</v>
      </c>
      <c r="N524" t="str" cm="1">
        <f t="array" ref="N524">_xlfn.IFS(HRData[[#This Row],[EnvironmentSatisfaction]]=1,"Very Dissatisfied",
HRData[[#This Row],[EnvironmentSatisfaction]]=2,"Dissatisfied",
HRData[[#This Row],[EnvironmentSatisfaction]]=3,"Satisfied",
HRData[[#This Row],[EnvironmentSatisfaction]]=4,"Very Satisfied"
)</f>
        <v>Very Satisfied</v>
      </c>
      <c r="O524" t="s">
        <v>46</v>
      </c>
      <c r="P524">
        <v>80</v>
      </c>
      <c r="Q524">
        <v>4</v>
      </c>
      <c r="R524">
        <v>1</v>
      </c>
      <c r="S524" t="s">
        <v>47</v>
      </c>
      <c r="T524">
        <v>4</v>
      </c>
      <c r="U524" t="str" cm="1">
        <f t="array" ref="U524">_xlfn.IFS(
HRData[[#This Row],[JobSatisfaction]]=1,"Very Dissatisfied",
HRData[[#This Row],[JobSatisfaction]]=2,"Dissatisfied",
HRData[[#This Row],[JobSatisfaction]]=3,"Satisfied",
HRData[[#This Row],[JobSatisfaction]]=4,"Very Satisfied"
)</f>
        <v>Very Satisfied</v>
      </c>
      <c r="V524" t="s">
        <v>41</v>
      </c>
      <c r="W524">
        <v>4680</v>
      </c>
      <c r="X524" t="str" cm="1">
        <f t="array" ref="X524">_xlfn.IFS(
HRData[[#This Row],[MonthlyIncome]]&lt;=4000,"Very Low Income",
HRData[[#This Row],[MonthlyIncome]]&lt;=8000,"Low Income",
HRData[[#This Row],[MonthlyIncome]]&lt;=12000,"Moderate Income",
HRData[[#This Row],[MonthlyIncome]]&lt;=16000,"High Income",
HRData[[#This Row],[MonthlyIncome]]&gt;16000,"Very High Income"
)</f>
        <v>Low Income</v>
      </c>
      <c r="Y524">
        <v>15232</v>
      </c>
      <c r="Z524">
        <v>3</v>
      </c>
      <c r="AA524" t="s">
        <v>42</v>
      </c>
      <c r="AB524" t="s">
        <v>43</v>
      </c>
      <c r="AC524">
        <v>17</v>
      </c>
      <c r="AD524" t="str" cm="1">
        <f t="array" ref="AD524">_xlfn.IFS(HRData[[#This Row],[PercentSalaryHike]]&lt;=15,"11-15",HRData[[#This Row],[PercentSalaryHike]]&lt;=20,"16-20",HRData[[#This Row],[PercentSalaryHike]]&gt;=21,"21+")</f>
        <v>16-20</v>
      </c>
      <c r="AE524">
        <v>3</v>
      </c>
      <c r="AF524">
        <v>1</v>
      </c>
      <c r="AG524">
        <v>80</v>
      </c>
      <c r="AH524">
        <v>0</v>
      </c>
      <c r="AI524">
        <v>4</v>
      </c>
      <c r="AJ524">
        <v>2</v>
      </c>
      <c r="AK524">
        <v>3</v>
      </c>
      <c r="AL524">
        <v>1</v>
      </c>
      <c r="AM524">
        <v>0</v>
      </c>
      <c r="AN524">
        <v>0</v>
      </c>
      <c r="AO524">
        <v>0</v>
      </c>
      <c r="AP52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524" t="str">
        <f>IF(HRData[[#This Row],[Attrition]]="Yes","Left", IF(HRData[[#This Row],[Attrition_Risk_Score]]&gt;=6,"High",IF(HRData[[#This Row],[Attrition_Risk_Score]]&gt;=3,"Medium","Low")))</f>
        <v>Low</v>
      </c>
      <c r="AR524" t="str">
        <f>IF(HRData[[#This Row],[Attrition_Risk_Level]]&lt;&gt;"High","",HRData[[#This Row],[Attrition_Risk_Score]]*10000-HRData[[#This Row],[EmployeeNumber]])</f>
        <v/>
      </c>
    </row>
    <row r="525" spans="1:44">
      <c r="A525">
        <v>50</v>
      </c>
      <c r="B525" t="str" cm="1">
        <f t="array" ref="B525">_xlfn.IFS(
HRData[[#This Row],[Age]]&lt;=24,"18-24",
HRData[[#This Row],[Age]]&lt;=34,"25-34",
HRData[[#This Row],[Age]]&lt;=44,"35-44",
HRData[[#This Row],[Age]]&lt;=54,"45-54",
HRData[[#This Row],[Age]]&gt;=55,"55+"
)</f>
        <v>45-54</v>
      </c>
      <c r="C525" t="s">
        <v>43</v>
      </c>
      <c r="D525">
        <f>IF(HRData[[#This Row],[Attrition]]="Yes",1,0)</f>
        <v>0</v>
      </c>
      <c r="E525" t="s">
        <v>36</v>
      </c>
      <c r="F525">
        <v>1207</v>
      </c>
      <c r="G525" t="s">
        <v>45</v>
      </c>
      <c r="H525">
        <v>28</v>
      </c>
      <c r="I525">
        <v>1</v>
      </c>
      <c r="J525" t="s">
        <v>51</v>
      </c>
      <c r="K525">
        <v>1</v>
      </c>
      <c r="L525">
        <v>716</v>
      </c>
      <c r="M525">
        <v>4</v>
      </c>
      <c r="N525" t="str" cm="1">
        <f t="array" ref="N525">_xlfn.IFS(HRData[[#This Row],[EnvironmentSatisfaction]]=1,"Very Dissatisfied",
HRData[[#This Row],[EnvironmentSatisfaction]]=2,"Dissatisfied",
HRData[[#This Row],[EnvironmentSatisfaction]]=3,"Satisfied",
HRData[[#This Row],[EnvironmentSatisfaction]]=4,"Very Satisfied"
)</f>
        <v>Very Satisfied</v>
      </c>
      <c r="O525" t="s">
        <v>46</v>
      </c>
      <c r="P525">
        <v>74</v>
      </c>
      <c r="Q525">
        <v>4</v>
      </c>
      <c r="R525">
        <v>1</v>
      </c>
      <c r="S525" t="s">
        <v>50</v>
      </c>
      <c r="T525">
        <v>3</v>
      </c>
      <c r="U525" t="str" cm="1">
        <f t="array" ref="U525">_xlfn.IFS(
HRData[[#This Row],[JobSatisfaction]]=1,"Very Dissatisfied",
HRData[[#This Row],[JobSatisfaction]]=2,"Dissatisfied",
HRData[[#This Row],[JobSatisfaction]]=3,"Satisfied",
HRData[[#This Row],[JobSatisfaction]]=4,"Very Satisfied"
)</f>
        <v>Satisfied</v>
      </c>
      <c r="V525" t="s">
        <v>48</v>
      </c>
      <c r="W525">
        <v>3221</v>
      </c>
      <c r="X525" t="str" cm="1">
        <f t="array" ref="X525">_xlfn.IFS(
HRData[[#This Row],[MonthlyIncome]]&lt;=4000,"Very Low Income",
HRData[[#This Row],[MonthlyIncome]]&lt;=8000,"Low Income",
HRData[[#This Row],[MonthlyIncome]]&lt;=12000,"Moderate Income",
HRData[[#This Row],[MonthlyIncome]]&lt;=16000,"High Income",
HRData[[#This Row],[MonthlyIncome]]&gt;16000,"Very High Income"
)</f>
        <v>Very Low Income</v>
      </c>
      <c r="Y525">
        <v>3297</v>
      </c>
      <c r="Z525">
        <v>1</v>
      </c>
      <c r="AA525" t="s">
        <v>42</v>
      </c>
      <c r="AB525" t="s">
        <v>35</v>
      </c>
      <c r="AC525">
        <v>11</v>
      </c>
      <c r="AD525" t="str" cm="1">
        <f t="array" ref="AD525">_xlfn.IFS(HRData[[#This Row],[PercentSalaryHike]]&lt;=15,"11-15",HRData[[#This Row],[PercentSalaryHike]]&lt;=20,"16-20",HRData[[#This Row],[PercentSalaryHike]]&gt;=21,"21+")</f>
        <v>11-15</v>
      </c>
      <c r="AE525">
        <v>3</v>
      </c>
      <c r="AF525">
        <v>3</v>
      </c>
      <c r="AG525">
        <v>80</v>
      </c>
      <c r="AH525">
        <v>3</v>
      </c>
      <c r="AI525">
        <v>20</v>
      </c>
      <c r="AJ525">
        <v>3</v>
      </c>
      <c r="AK525">
        <v>3</v>
      </c>
      <c r="AL525">
        <v>20</v>
      </c>
      <c r="AM525">
        <v>8</v>
      </c>
      <c r="AN525">
        <v>3</v>
      </c>
      <c r="AO525">
        <v>8</v>
      </c>
      <c r="AP52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525" t="str">
        <f>IF(HRData[[#This Row],[Attrition]]="Yes","Left", IF(HRData[[#This Row],[Attrition_Risk_Score]]&gt;=6,"High",IF(HRData[[#This Row],[Attrition_Risk_Score]]&gt;=3,"Medium","Low")))</f>
        <v>Medium</v>
      </c>
      <c r="AR525" t="str">
        <f>IF(HRData[[#This Row],[Attrition_Risk_Level]]&lt;&gt;"High","",HRData[[#This Row],[Attrition_Risk_Score]]*10000-HRData[[#This Row],[EmployeeNumber]])</f>
        <v/>
      </c>
    </row>
    <row r="526" spans="1:44">
      <c r="A526">
        <v>34</v>
      </c>
      <c r="B526" t="str" cm="1">
        <f t="array" ref="B526">_xlfn.IFS(
HRData[[#This Row],[Age]]&lt;=24,"18-24",
HRData[[#This Row],[Age]]&lt;=34,"25-34",
HRData[[#This Row],[Age]]&lt;=44,"35-44",
HRData[[#This Row],[Age]]&lt;=54,"45-54",
HRData[[#This Row],[Age]]&gt;=55,"55+"
)</f>
        <v>25-34</v>
      </c>
      <c r="C526" t="s">
        <v>43</v>
      </c>
      <c r="D526">
        <f>IF(HRData[[#This Row],[Attrition]]="Yes",1,0)</f>
        <v>0</v>
      </c>
      <c r="E526" t="s">
        <v>36</v>
      </c>
      <c r="F526">
        <v>1442</v>
      </c>
      <c r="G526" t="s">
        <v>45</v>
      </c>
      <c r="H526">
        <v>9</v>
      </c>
      <c r="I526">
        <v>3</v>
      </c>
      <c r="J526" t="s">
        <v>51</v>
      </c>
      <c r="K526">
        <v>1</v>
      </c>
      <c r="L526">
        <v>717</v>
      </c>
      <c r="M526">
        <v>4</v>
      </c>
      <c r="N526" t="str" cm="1">
        <f t="array" ref="N526">_xlfn.IFS(HRData[[#This Row],[EnvironmentSatisfaction]]=1,"Very Dissatisfied",
HRData[[#This Row],[EnvironmentSatisfaction]]=2,"Dissatisfied",
HRData[[#This Row],[EnvironmentSatisfaction]]=3,"Satisfied",
HRData[[#This Row],[EnvironmentSatisfaction]]=4,"Very Satisfied"
)</f>
        <v>Very Satisfied</v>
      </c>
      <c r="O526" t="s">
        <v>39</v>
      </c>
      <c r="P526">
        <v>46</v>
      </c>
      <c r="Q526">
        <v>2</v>
      </c>
      <c r="R526">
        <v>3</v>
      </c>
      <c r="S526" t="s">
        <v>54</v>
      </c>
      <c r="T526">
        <v>2</v>
      </c>
      <c r="U526" t="str" cm="1">
        <f t="array" ref="U526">_xlfn.IFS(
HRData[[#This Row],[JobSatisfaction]]=1,"Very Dissatisfied",
HRData[[#This Row],[JobSatisfaction]]=2,"Dissatisfied",
HRData[[#This Row],[JobSatisfaction]]=3,"Satisfied",
HRData[[#This Row],[JobSatisfaction]]=4,"Very Satisfied"
)</f>
        <v>Dissatisfied</v>
      </c>
      <c r="V526" t="s">
        <v>41</v>
      </c>
      <c r="W526">
        <v>8621</v>
      </c>
      <c r="X526" t="str" cm="1">
        <f t="array" ref="X526">_xlfn.IFS(
HRData[[#This Row],[MonthlyIncome]]&lt;=4000,"Very Low Income",
HRData[[#This Row],[MonthlyIncome]]&lt;=8000,"Low Income",
HRData[[#This Row],[MonthlyIncome]]&lt;=12000,"Moderate Income",
HRData[[#This Row],[MonthlyIncome]]&lt;=16000,"High Income",
HRData[[#This Row],[MonthlyIncome]]&gt;16000,"Very High Income"
)</f>
        <v>Moderate Income</v>
      </c>
      <c r="Y526">
        <v>17654</v>
      </c>
      <c r="Z526">
        <v>1</v>
      </c>
      <c r="AA526" t="s">
        <v>42</v>
      </c>
      <c r="AB526" t="s">
        <v>43</v>
      </c>
      <c r="AC526">
        <v>14</v>
      </c>
      <c r="AD526" t="str" cm="1">
        <f t="array" ref="AD526">_xlfn.IFS(HRData[[#This Row],[PercentSalaryHike]]&lt;=15,"11-15",HRData[[#This Row],[PercentSalaryHike]]&lt;=20,"16-20",HRData[[#This Row],[PercentSalaryHike]]&gt;=21,"21+")</f>
        <v>11-15</v>
      </c>
      <c r="AE526">
        <v>3</v>
      </c>
      <c r="AF526">
        <v>2</v>
      </c>
      <c r="AG526">
        <v>80</v>
      </c>
      <c r="AH526">
        <v>0</v>
      </c>
      <c r="AI526">
        <v>9</v>
      </c>
      <c r="AJ526">
        <v>3</v>
      </c>
      <c r="AK526">
        <v>4</v>
      </c>
      <c r="AL526">
        <v>8</v>
      </c>
      <c r="AM526">
        <v>7</v>
      </c>
      <c r="AN526">
        <v>7</v>
      </c>
      <c r="AO526">
        <v>7</v>
      </c>
      <c r="AP52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526" t="str">
        <f>IF(HRData[[#This Row],[Attrition]]="Yes","Left", IF(HRData[[#This Row],[Attrition_Risk_Score]]&gt;=6,"High",IF(HRData[[#This Row],[Attrition_Risk_Score]]&gt;=3,"Medium","Low")))</f>
        <v>Low</v>
      </c>
      <c r="AR526" t="str">
        <f>IF(HRData[[#This Row],[Attrition_Risk_Level]]&lt;&gt;"High","",HRData[[#This Row],[Attrition_Risk_Score]]*10000-HRData[[#This Row],[EmployeeNumber]])</f>
        <v/>
      </c>
    </row>
    <row r="527" spans="1:44">
      <c r="A527">
        <v>24</v>
      </c>
      <c r="B527" t="str" cm="1">
        <f t="array" ref="B527">_xlfn.IFS(
HRData[[#This Row],[Age]]&lt;=24,"18-24",
HRData[[#This Row],[Age]]&lt;=34,"25-34",
HRData[[#This Row],[Age]]&lt;=44,"35-44",
HRData[[#This Row],[Age]]&lt;=54,"45-54",
HRData[[#This Row],[Age]]&gt;=55,"55+"
)</f>
        <v>18-24</v>
      </c>
      <c r="C527" t="s">
        <v>35</v>
      </c>
      <c r="D527">
        <f>IF(HRData[[#This Row],[Attrition]]="Yes",1,0)</f>
        <v>1</v>
      </c>
      <c r="E527" t="s">
        <v>36</v>
      </c>
      <c r="F527">
        <v>693</v>
      </c>
      <c r="G527" t="s">
        <v>37</v>
      </c>
      <c r="H527">
        <v>3</v>
      </c>
      <c r="I527">
        <v>2</v>
      </c>
      <c r="J527" t="s">
        <v>38</v>
      </c>
      <c r="K527">
        <v>1</v>
      </c>
      <c r="L527">
        <v>720</v>
      </c>
      <c r="M527">
        <v>1</v>
      </c>
      <c r="N527" t="str" cm="1">
        <f t="array" ref="N527">_xlfn.IFS(HRData[[#This Row],[EnvironmentSatisfaction]]=1,"Very Dissatisfied",
HRData[[#This Row],[EnvironmentSatisfaction]]=2,"Dissatisfied",
HRData[[#This Row],[EnvironmentSatisfaction]]=3,"Satisfied",
HRData[[#This Row],[EnvironmentSatisfaction]]=4,"Very Satisfied"
)</f>
        <v>Very Dissatisfied</v>
      </c>
      <c r="O527" t="s">
        <v>39</v>
      </c>
      <c r="P527">
        <v>65</v>
      </c>
      <c r="Q527">
        <v>3</v>
      </c>
      <c r="R527">
        <v>2</v>
      </c>
      <c r="S527" t="s">
        <v>40</v>
      </c>
      <c r="T527">
        <v>3</v>
      </c>
      <c r="U527" t="str" cm="1">
        <f t="array" ref="U527">_xlfn.IFS(
HRData[[#This Row],[JobSatisfaction]]=1,"Very Dissatisfied",
HRData[[#This Row],[JobSatisfaction]]=2,"Dissatisfied",
HRData[[#This Row],[JobSatisfaction]]=3,"Satisfied",
HRData[[#This Row],[JobSatisfaction]]=4,"Very Satisfied"
)</f>
        <v>Satisfied</v>
      </c>
      <c r="V527" t="s">
        <v>41</v>
      </c>
      <c r="W527">
        <v>4577</v>
      </c>
      <c r="X527" t="str" cm="1">
        <f t="array" ref="X527">_xlfn.IFS(
HRData[[#This Row],[MonthlyIncome]]&lt;=4000,"Very Low Income",
HRData[[#This Row],[MonthlyIncome]]&lt;=8000,"Low Income",
HRData[[#This Row],[MonthlyIncome]]&lt;=12000,"Moderate Income",
HRData[[#This Row],[MonthlyIncome]]&lt;=16000,"High Income",
HRData[[#This Row],[MonthlyIncome]]&gt;16000,"Very High Income"
)</f>
        <v>Low Income</v>
      </c>
      <c r="Y527">
        <v>24785</v>
      </c>
      <c r="Z527">
        <v>9</v>
      </c>
      <c r="AA527" t="s">
        <v>42</v>
      </c>
      <c r="AB527" t="s">
        <v>43</v>
      </c>
      <c r="AC527">
        <v>14</v>
      </c>
      <c r="AD527" t="str" cm="1">
        <f t="array" ref="AD527">_xlfn.IFS(HRData[[#This Row],[PercentSalaryHike]]&lt;=15,"11-15",HRData[[#This Row],[PercentSalaryHike]]&lt;=20,"16-20",HRData[[#This Row],[PercentSalaryHike]]&gt;=21,"21+")</f>
        <v>11-15</v>
      </c>
      <c r="AE527">
        <v>3</v>
      </c>
      <c r="AF527">
        <v>1</v>
      </c>
      <c r="AG527">
        <v>80</v>
      </c>
      <c r="AH527">
        <v>0</v>
      </c>
      <c r="AI527">
        <v>4</v>
      </c>
      <c r="AJ527">
        <v>3</v>
      </c>
      <c r="AK527">
        <v>3</v>
      </c>
      <c r="AL527">
        <v>2</v>
      </c>
      <c r="AM527">
        <v>2</v>
      </c>
      <c r="AN527">
        <v>2</v>
      </c>
      <c r="AO527">
        <v>0</v>
      </c>
      <c r="AP52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27" t="str">
        <f>IF(HRData[[#This Row],[Attrition]]="Yes","Left", IF(HRData[[#This Row],[Attrition_Risk_Score]]&gt;=6,"High",IF(HRData[[#This Row],[Attrition_Risk_Score]]&gt;=3,"Medium","Low")))</f>
        <v>Left</v>
      </c>
      <c r="AR527" t="str">
        <f>IF(HRData[[#This Row],[Attrition_Risk_Level]]&lt;&gt;"High","",HRData[[#This Row],[Attrition_Risk_Score]]*10000-HRData[[#This Row],[EmployeeNumber]])</f>
        <v/>
      </c>
    </row>
    <row r="528" spans="1:44">
      <c r="A528">
        <v>39</v>
      </c>
      <c r="B528" t="str" cm="1">
        <f t="array" ref="B528">_xlfn.IFS(
HRData[[#This Row],[Age]]&lt;=24,"18-24",
HRData[[#This Row],[Age]]&lt;=34,"25-34",
HRData[[#This Row],[Age]]&lt;=44,"35-44",
HRData[[#This Row],[Age]]&lt;=54,"45-54",
HRData[[#This Row],[Age]]&gt;=55,"55+"
)</f>
        <v>35-44</v>
      </c>
      <c r="C528" t="s">
        <v>43</v>
      </c>
      <c r="D528">
        <f>IF(HRData[[#This Row],[Attrition]]="Yes",1,0)</f>
        <v>0</v>
      </c>
      <c r="E528" t="s">
        <v>36</v>
      </c>
      <c r="F528">
        <v>408</v>
      </c>
      <c r="G528" t="s">
        <v>45</v>
      </c>
      <c r="H528">
        <v>2</v>
      </c>
      <c r="I528">
        <v>4</v>
      </c>
      <c r="J528" t="s">
        <v>60</v>
      </c>
      <c r="K528">
        <v>1</v>
      </c>
      <c r="L528">
        <v>721</v>
      </c>
      <c r="M528">
        <v>4</v>
      </c>
      <c r="N528" t="str" cm="1">
        <f t="array" ref="N528">_xlfn.IFS(HRData[[#This Row],[EnvironmentSatisfaction]]=1,"Very Dissatisfied",
HRData[[#This Row],[EnvironmentSatisfaction]]=2,"Dissatisfied",
HRData[[#This Row],[EnvironmentSatisfaction]]=3,"Satisfied",
HRData[[#This Row],[EnvironmentSatisfaction]]=4,"Very Satisfied"
)</f>
        <v>Very Satisfied</v>
      </c>
      <c r="O528" t="s">
        <v>39</v>
      </c>
      <c r="P528">
        <v>80</v>
      </c>
      <c r="Q528">
        <v>2</v>
      </c>
      <c r="R528">
        <v>2</v>
      </c>
      <c r="S528" t="s">
        <v>54</v>
      </c>
      <c r="T528">
        <v>3</v>
      </c>
      <c r="U528" t="str" cm="1">
        <f t="array" ref="U528">_xlfn.IFS(
HRData[[#This Row],[JobSatisfaction]]=1,"Very Dissatisfied",
HRData[[#This Row],[JobSatisfaction]]=2,"Dissatisfied",
HRData[[#This Row],[JobSatisfaction]]=3,"Satisfied",
HRData[[#This Row],[JobSatisfaction]]=4,"Very Satisfied"
)</f>
        <v>Satisfied</v>
      </c>
      <c r="V528" t="s">
        <v>41</v>
      </c>
      <c r="W528">
        <v>4553</v>
      </c>
      <c r="X528" t="str" cm="1">
        <f t="array" ref="X528">_xlfn.IFS(
HRData[[#This Row],[MonthlyIncome]]&lt;=4000,"Very Low Income",
HRData[[#This Row],[MonthlyIncome]]&lt;=8000,"Low Income",
HRData[[#This Row],[MonthlyIncome]]&lt;=12000,"Moderate Income",
HRData[[#This Row],[MonthlyIncome]]&lt;=16000,"High Income",
HRData[[#This Row],[MonthlyIncome]]&gt;16000,"Very High Income"
)</f>
        <v>Low Income</v>
      </c>
      <c r="Y528">
        <v>20978</v>
      </c>
      <c r="Z528">
        <v>1</v>
      </c>
      <c r="AA528" t="s">
        <v>42</v>
      </c>
      <c r="AB528" t="s">
        <v>43</v>
      </c>
      <c r="AC528">
        <v>11</v>
      </c>
      <c r="AD528" t="str" cm="1">
        <f t="array" ref="AD528">_xlfn.IFS(HRData[[#This Row],[PercentSalaryHike]]&lt;=15,"11-15",HRData[[#This Row],[PercentSalaryHike]]&lt;=20,"16-20",HRData[[#This Row],[PercentSalaryHike]]&gt;=21,"21+")</f>
        <v>11-15</v>
      </c>
      <c r="AE528">
        <v>3</v>
      </c>
      <c r="AF528">
        <v>1</v>
      </c>
      <c r="AG528">
        <v>80</v>
      </c>
      <c r="AH528">
        <v>0</v>
      </c>
      <c r="AI528">
        <v>20</v>
      </c>
      <c r="AJ528">
        <v>4</v>
      </c>
      <c r="AK528">
        <v>3</v>
      </c>
      <c r="AL528">
        <v>20</v>
      </c>
      <c r="AM528">
        <v>7</v>
      </c>
      <c r="AN528">
        <v>11</v>
      </c>
      <c r="AO528">
        <v>10</v>
      </c>
      <c r="AP52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528" t="str">
        <f>IF(HRData[[#This Row],[Attrition]]="Yes","Left", IF(HRData[[#This Row],[Attrition_Risk_Score]]&gt;=6,"High",IF(HRData[[#This Row],[Attrition_Risk_Score]]&gt;=3,"Medium","Low")))</f>
        <v>Low</v>
      </c>
      <c r="AR528" t="str">
        <f>IF(HRData[[#This Row],[Attrition_Risk_Level]]&lt;&gt;"High","",HRData[[#This Row],[Attrition_Risk_Score]]*10000-HRData[[#This Row],[EmployeeNumber]])</f>
        <v/>
      </c>
    </row>
    <row r="529" spans="1:44">
      <c r="A529">
        <v>32</v>
      </c>
      <c r="B529" t="str" cm="1">
        <f t="array" ref="B529">_xlfn.IFS(
HRData[[#This Row],[Age]]&lt;=24,"18-24",
HRData[[#This Row],[Age]]&lt;=34,"25-34",
HRData[[#This Row],[Age]]&lt;=44,"35-44",
HRData[[#This Row],[Age]]&lt;=54,"45-54",
HRData[[#This Row],[Age]]&gt;=55,"55+"
)</f>
        <v>25-34</v>
      </c>
      <c r="C529" t="s">
        <v>43</v>
      </c>
      <c r="D529">
        <f>IF(HRData[[#This Row],[Attrition]]="Yes",1,0)</f>
        <v>0</v>
      </c>
      <c r="E529" t="s">
        <v>36</v>
      </c>
      <c r="F529">
        <v>929</v>
      </c>
      <c r="G529" t="s">
        <v>37</v>
      </c>
      <c r="H529">
        <v>10</v>
      </c>
      <c r="I529">
        <v>3</v>
      </c>
      <c r="J529" t="s">
        <v>59</v>
      </c>
      <c r="K529">
        <v>1</v>
      </c>
      <c r="L529">
        <v>722</v>
      </c>
      <c r="M529">
        <v>4</v>
      </c>
      <c r="N529" t="str" cm="1">
        <f t="array" ref="N529">_xlfn.IFS(HRData[[#This Row],[EnvironmentSatisfaction]]=1,"Very Dissatisfied",
HRData[[#This Row],[EnvironmentSatisfaction]]=2,"Dissatisfied",
HRData[[#This Row],[EnvironmentSatisfaction]]=3,"Satisfied",
HRData[[#This Row],[EnvironmentSatisfaction]]=4,"Very Satisfied"
)</f>
        <v>Very Satisfied</v>
      </c>
      <c r="O529" t="s">
        <v>46</v>
      </c>
      <c r="P529">
        <v>55</v>
      </c>
      <c r="Q529">
        <v>3</v>
      </c>
      <c r="R529">
        <v>2</v>
      </c>
      <c r="S529" t="s">
        <v>40</v>
      </c>
      <c r="T529">
        <v>4</v>
      </c>
      <c r="U529" t="str" cm="1">
        <f t="array" ref="U529">_xlfn.IFS(
HRData[[#This Row],[JobSatisfaction]]=1,"Very Dissatisfied",
HRData[[#This Row],[JobSatisfaction]]=2,"Dissatisfied",
HRData[[#This Row],[JobSatisfaction]]=3,"Satisfied",
HRData[[#This Row],[JobSatisfaction]]=4,"Very Satisfied"
)</f>
        <v>Very Satisfied</v>
      </c>
      <c r="V529" t="s">
        <v>41</v>
      </c>
      <c r="W529">
        <v>5396</v>
      </c>
      <c r="X529" t="str" cm="1">
        <f t="array" ref="X529">_xlfn.IFS(
HRData[[#This Row],[MonthlyIncome]]&lt;=4000,"Very Low Income",
HRData[[#This Row],[MonthlyIncome]]&lt;=8000,"Low Income",
HRData[[#This Row],[MonthlyIncome]]&lt;=12000,"Moderate Income",
HRData[[#This Row],[MonthlyIncome]]&lt;=16000,"High Income",
HRData[[#This Row],[MonthlyIncome]]&gt;16000,"Very High Income"
)</f>
        <v>Low Income</v>
      </c>
      <c r="Y529">
        <v>21703</v>
      </c>
      <c r="Z529">
        <v>1</v>
      </c>
      <c r="AA529" t="s">
        <v>42</v>
      </c>
      <c r="AB529" t="s">
        <v>43</v>
      </c>
      <c r="AC529">
        <v>12</v>
      </c>
      <c r="AD529" t="str" cm="1">
        <f t="array" ref="AD529">_xlfn.IFS(HRData[[#This Row],[PercentSalaryHike]]&lt;=15,"11-15",HRData[[#This Row],[PercentSalaryHike]]&lt;=20,"16-20",HRData[[#This Row],[PercentSalaryHike]]&gt;=21,"21+")</f>
        <v>11-15</v>
      </c>
      <c r="AE529">
        <v>3</v>
      </c>
      <c r="AF529">
        <v>4</v>
      </c>
      <c r="AG529">
        <v>80</v>
      </c>
      <c r="AH529">
        <v>0</v>
      </c>
      <c r="AI529">
        <v>10</v>
      </c>
      <c r="AJ529">
        <v>2</v>
      </c>
      <c r="AK529">
        <v>2</v>
      </c>
      <c r="AL529">
        <v>10</v>
      </c>
      <c r="AM529">
        <v>7</v>
      </c>
      <c r="AN529">
        <v>0</v>
      </c>
      <c r="AO529">
        <v>8</v>
      </c>
      <c r="AP52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29" t="str">
        <f>IF(HRData[[#This Row],[Attrition]]="Yes","Left", IF(HRData[[#This Row],[Attrition_Risk_Score]]&gt;=6,"High",IF(HRData[[#This Row],[Attrition_Risk_Score]]&gt;=3,"Medium","Low")))</f>
        <v>Low</v>
      </c>
      <c r="AR529" t="str">
        <f>IF(HRData[[#This Row],[Attrition_Risk_Level]]&lt;&gt;"High","",HRData[[#This Row],[Attrition_Risk_Score]]*10000-HRData[[#This Row],[EmployeeNumber]])</f>
        <v/>
      </c>
    </row>
    <row r="530" spans="1:44">
      <c r="A530">
        <v>50</v>
      </c>
      <c r="B530" t="str" cm="1">
        <f t="array" ref="B530">_xlfn.IFS(
HRData[[#This Row],[Age]]&lt;=24,"18-24",
HRData[[#This Row],[Age]]&lt;=34,"25-34",
HRData[[#This Row],[Age]]&lt;=44,"35-44",
HRData[[#This Row],[Age]]&lt;=54,"45-54",
HRData[[#This Row],[Age]]&gt;=55,"55+"
)</f>
        <v>45-54</v>
      </c>
      <c r="C530" t="s">
        <v>35</v>
      </c>
      <c r="D530">
        <f>IF(HRData[[#This Row],[Attrition]]="Yes",1,0)</f>
        <v>1</v>
      </c>
      <c r="E530" t="s">
        <v>44</v>
      </c>
      <c r="F530">
        <v>562</v>
      </c>
      <c r="G530" t="s">
        <v>37</v>
      </c>
      <c r="H530">
        <v>8</v>
      </c>
      <c r="I530">
        <v>2</v>
      </c>
      <c r="J530" t="s">
        <v>60</v>
      </c>
      <c r="K530">
        <v>1</v>
      </c>
      <c r="L530">
        <v>723</v>
      </c>
      <c r="M530">
        <v>2</v>
      </c>
      <c r="N530" t="str" cm="1">
        <f t="array" ref="N530">_xlfn.IFS(HRData[[#This Row],[EnvironmentSatisfaction]]=1,"Very Dissatisfied",
HRData[[#This Row],[EnvironmentSatisfaction]]=2,"Dissatisfied",
HRData[[#This Row],[EnvironmentSatisfaction]]=3,"Satisfied",
HRData[[#This Row],[EnvironmentSatisfaction]]=4,"Very Satisfied"
)</f>
        <v>Dissatisfied</v>
      </c>
      <c r="O530" t="s">
        <v>46</v>
      </c>
      <c r="P530">
        <v>50</v>
      </c>
      <c r="Q530">
        <v>3</v>
      </c>
      <c r="R530">
        <v>2</v>
      </c>
      <c r="S530" t="s">
        <v>40</v>
      </c>
      <c r="T530">
        <v>3</v>
      </c>
      <c r="U530" t="str" cm="1">
        <f t="array" ref="U530">_xlfn.IFS(
HRData[[#This Row],[JobSatisfaction]]=1,"Very Dissatisfied",
HRData[[#This Row],[JobSatisfaction]]=2,"Dissatisfied",
HRData[[#This Row],[JobSatisfaction]]=3,"Satisfied",
HRData[[#This Row],[JobSatisfaction]]=4,"Very Satisfied"
)</f>
        <v>Satisfied</v>
      </c>
      <c r="V530" t="s">
        <v>48</v>
      </c>
      <c r="W530">
        <v>6796</v>
      </c>
      <c r="X530" t="str" cm="1">
        <f t="array" ref="X530">_xlfn.IFS(
HRData[[#This Row],[MonthlyIncome]]&lt;=4000,"Very Low Income",
HRData[[#This Row],[MonthlyIncome]]&lt;=8000,"Low Income",
HRData[[#This Row],[MonthlyIncome]]&lt;=12000,"Moderate Income",
HRData[[#This Row],[MonthlyIncome]]&lt;=16000,"High Income",
HRData[[#This Row],[MonthlyIncome]]&gt;16000,"Very High Income"
)</f>
        <v>Low Income</v>
      </c>
      <c r="Y530">
        <v>23452</v>
      </c>
      <c r="Z530">
        <v>3</v>
      </c>
      <c r="AA530" t="s">
        <v>42</v>
      </c>
      <c r="AB530" t="s">
        <v>35</v>
      </c>
      <c r="AC530">
        <v>14</v>
      </c>
      <c r="AD530" t="str" cm="1">
        <f t="array" ref="AD530">_xlfn.IFS(HRData[[#This Row],[PercentSalaryHike]]&lt;=15,"11-15",HRData[[#This Row],[PercentSalaryHike]]&lt;=20,"16-20",HRData[[#This Row],[PercentSalaryHike]]&gt;=21,"21+")</f>
        <v>11-15</v>
      </c>
      <c r="AE530">
        <v>3</v>
      </c>
      <c r="AF530">
        <v>1</v>
      </c>
      <c r="AG530">
        <v>80</v>
      </c>
      <c r="AH530">
        <v>1</v>
      </c>
      <c r="AI530">
        <v>18</v>
      </c>
      <c r="AJ530">
        <v>4</v>
      </c>
      <c r="AK530">
        <v>3</v>
      </c>
      <c r="AL530">
        <v>4</v>
      </c>
      <c r="AM530">
        <v>3</v>
      </c>
      <c r="AN530">
        <v>1</v>
      </c>
      <c r="AO530">
        <v>3</v>
      </c>
      <c r="AP53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30" t="str">
        <f>IF(HRData[[#This Row],[Attrition]]="Yes","Left", IF(HRData[[#This Row],[Attrition_Risk_Score]]&gt;=6,"High",IF(HRData[[#This Row],[Attrition_Risk_Score]]&gt;=3,"Medium","Low")))</f>
        <v>Left</v>
      </c>
      <c r="AR530" t="str">
        <f>IF(HRData[[#This Row],[Attrition_Risk_Level]]&lt;&gt;"High","",HRData[[#This Row],[Attrition_Risk_Score]]*10000-HRData[[#This Row],[EmployeeNumber]])</f>
        <v/>
      </c>
    </row>
    <row r="531" spans="1:44">
      <c r="A531">
        <v>38</v>
      </c>
      <c r="B531" t="str" cm="1">
        <f t="array" ref="B531">_xlfn.IFS(
HRData[[#This Row],[Age]]&lt;=24,"18-24",
HRData[[#This Row],[Age]]&lt;=34,"25-34",
HRData[[#This Row],[Age]]&lt;=44,"35-44",
HRData[[#This Row],[Age]]&lt;=54,"45-54",
HRData[[#This Row],[Age]]&gt;=55,"55+"
)</f>
        <v>35-44</v>
      </c>
      <c r="C531" t="s">
        <v>43</v>
      </c>
      <c r="D531">
        <f>IF(HRData[[#This Row],[Attrition]]="Yes",1,0)</f>
        <v>0</v>
      </c>
      <c r="E531" t="s">
        <v>36</v>
      </c>
      <c r="F531">
        <v>827</v>
      </c>
      <c r="G531" t="s">
        <v>45</v>
      </c>
      <c r="H531">
        <v>1</v>
      </c>
      <c r="I531">
        <v>4</v>
      </c>
      <c r="J531" t="s">
        <v>38</v>
      </c>
      <c r="K531">
        <v>1</v>
      </c>
      <c r="L531">
        <v>724</v>
      </c>
      <c r="M531">
        <v>2</v>
      </c>
      <c r="N531" t="str" cm="1">
        <f t="array" ref="N531">_xlfn.IFS(HRData[[#This Row],[EnvironmentSatisfaction]]=1,"Very Dissatisfied",
HRData[[#This Row],[EnvironmentSatisfaction]]=2,"Dissatisfied",
HRData[[#This Row],[EnvironmentSatisfaction]]=3,"Satisfied",
HRData[[#This Row],[EnvironmentSatisfaction]]=4,"Very Satisfied"
)</f>
        <v>Dissatisfied</v>
      </c>
      <c r="O531" t="s">
        <v>39</v>
      </c>
      <c r="P531">
        <v>33</v>
      </c>
      <c r="Q531">
        <v>4</v>
      </c>
      <c r="R531">
        <v>2</v>
      </c>
      <c r="S531" t="s">
        <v>54</v>
      </c>
      <c r="T531">
        <v>4</v>
      </c>
      <c r="U531" t="str" cm="1">
        <f t="array" ref="U531">_xlfn.IFS(
HRData[[#This Row],[JobSatisfaction]]=1,"Very Dissatisfied",
HRData[[#This Row],[JobSatisfaction]]=2,"Dissatisfied",
HRData[[#This Row],[JobSatisfaction]]=3,"Satisfied",
HRData[[#This Row],[JobSatisfaction]]=4,"Very Satisfied"
)</f>
        <v>Very Satisfied</v>
      </c>
      <c r="V531" t="s">
        <v>41</v>
      </c>
      <c r="W531">
        <v>7625</v>
      </c>
      <c r="X531" t="str" cm="1">
        <f t="array" ref="X531">_xlfn.IFS(
HRData[[#This Row],[MonthlyIncome]]&lt;=4000,"Very Low Income",
HRData[[#This Row],[MonthlyIncome]]&lt;=8000,"Low Income",
HRData[[#This Row],[MonthlyIncome]]&lt;=12000,"Moderate Income",
HRData[[#This Row],[MonthlyIncome]]&lt;=16000,"High Income",
HRData[[#This Row],[MonthlyIncome]]&gt;16000,"Very High Income"
)</f>
        <v>Low Income</v>
      </c>
      <c r="Y531">
        <v>19383</v>
      </c>
      <c r="Z531">
        <v>0</v>
      </c>
      <c r="AA531" t="s">
        <v>42</v>
      </c>
      <c r="AB531" t="s">
        <v>43</v>
      </c>
      <c r="AC531">
        <v>13</v>
      </c>
      <c r="AD531" t="str" cm="1">
        <f t="array" ref="AD531">_xlfn.IFS(HRData[[#This Row],[PercentSalaryHike]]&lt;=15,"11-15",HRData[[#This Row],[PercentSalaryHike]]&lt;=20,"16-20",HRData[[#This Row],[PercentSalaryHike]]&gt;=21,"21+")</f>
        <v>11-15</v>
      </c>
      <c r="AE531">
        <v>3</v>
      </c>
      <c r="AF531">
        <v>3</v>
      </c>
      <c r="AG531">
        <v>80</v>
      </c>
      <c r="AH531">
        <v>0</v>
      </c>
      <c r="AI531">
        <v>10</v>
      </c>
      <c r="AJ531">
        <v>4</v>
      </c>
      <c r="AK531">
        <v>2</v>
      </c>
      <c r="AL531">
        <v>9</v>
      </c>
      <c r="AM531">
        <v>7</v>
      </c>
      <c r="AN531">
        <v>1</v>
      </c>
      <c r="AO531">
        <v>8</v>
      </c>
      <c r="AP53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531" t="str">
        <f>IF(HRData[[#This Row],[Attrition]]="Yes","Left", IF(HRData[[#This Row],[Attrition_Risk_Score]]&gt;=6,"High",IF(HRData[[#This Row],[Attrition_Risk_Score]]&gt;=3,"Medium","Low")))</f>
        <v>Low</v>
      </c>
      <c r="AR531" t="str">
        <f>IF(HRData[[#This Row],[Attrition_Risk_Level]]&lt;&gt;"High","",HRData[[#This Row],[Attrition_Risk_Score]]*10000-HRData[[#This Row],[EmployeeNumber]])</f>
        <v/>
      </c>
    </row>
    <row r="532" spans="1:44">
      <c r="A532">
        <v>27</v>
      </c>
      <c r="B532" t="str" cm="1">
        <f t="array" ref="B532">_xlfn.IFS(
HRData[[#This Row],[Age]]&lt;=24,"18-24",
HRData[[#This Row],[Age]]&lt;=34,"25-34",
HRData[[#This Row],[Age]]&lt;=44,"35-44",
HRData[[#This Row],[Age]]&lt;=54,"45-54",
HRData[[#This Row],[Age]]&gt;=55,"55+"
)</f>
        <v>25-34</v>
      </c>
      <c r="C532" t="s">
        <v>43</v>
      </c>
      <c r="D532">
        <f>IF(HRData[[#This Row],[Attrition]]="Yes",1,0)</f>
        <v>0</v>
      </c>
      <c r="E532" t="s">
        <v>36</v>
      </c>
      <c r="F532">
        <v>608</v>
      </c>
      <c r="G532" t="s">
        <v>45</v>
      </c>
      <c r="H532">
        <v>1</v>
      </c>
      <c r="I532">
        <v>2</v>
      </c>
      <c r="J532" t="s">
        <v>38</v>
      </c>
      <c r="K532">
        <v>1</v>
      </c>
      <c r="L532">
        <v>725</v>
      </c>
      <c r="M532">
        <v>3</v>
      </c>
      <c r="N532" t="str" cm="1">
        <f t="array" ref="N532">_xlfn.IFS(HRData[[#This Row],[EnvironmentSatisfaction]]=1,"Very Dissatisfied",
HRData[[#This Row],[EnvironmentSatisfaction]]=2,"Dissatisfied",
HRData[[#This Row],[EnvironmentSatisfaction]]=3,"Satisfied",
HRData[[#This Row],[EnvironmentSatisfaction]]=4,"Very Satisfied"
)</f>
        <v>Satisfied</v>
      </c>
      <c r="O532" t="s">
        <v>39</v>
      </c>
      <c r="P532">
        <v>68</v>
      </c>
      <c r="Q532">
        <v>3</v>
      </c>
      <c r="R532">
        <v>3</v>
      </c>
      <c r="S532" t="s">
        <v>53</v>
      </c>
      <c r="T532">
        <v>1</v>
      </c>
      <c r="U532" t="str" cm="1">
        <f t="array" ref="U532">_xlfn.IFS(
HRData[[#This Row],[JobSatisfaction]]=1,"Very Dissatisfied",
HRData[[#This Row],[JobSatisfaction]]=2,"Dissatisfied",
HRData[[#This Row],[JobSatisfaction]]=3,"Satisfied",
HRData[[#This Row],[JobSatisfaction]]=4,"Very Satisfied"
)</f>
        <v>Very Dissatisfied</v>
      </c>
      <c r="V532" t="s">
        <v>48</v>
      </c>
      <c r="W532">
        <v>7412</v>
      </c>
      <c r="X532" t="str" cm="1">
        <f t="array" ref="X532">_xlfn.IFS(
HRData[[#This Row],[MonthlyIncome]]&lt;=4000,"Very Low Income",
HRData[[#This Row],[MonthlyIncome]]&lt;=8000,"Low Income",
HRData[[#This Row],[MonthlyIncome]]&lt;=12000,"Moderate Income",
HRData[[#This Row],[MonthlyIncome]]&lt;=16000,"High Income",
HRData[[#This Row],[MonthlyIncome]]&gt;16000,"Very High Income"
)</f>
        <v>Low Income</v>
      </c>
      <c r="Y532">
        <v>6009</v>
      </c>
      <c r="Z532">
        <v>1</v>
      </c>
      <c r="AA532" t="s">
        <v>42</v>
      </c>
      <c r="AB532" t="s">
        <v>43</v>
      </c>
      <c r="AC532">
        <v>11</v>
      </c>
      <c r="AD532" t="str" cm="1">
        <f t="array" ref="AD532">_xlfn.IFS(HRData[[#This Row],[PercentSalaryHike]]&lt;=15,"11-15",HRData[[#This Row],[PercentSalaryHike]]&lt;=20,"16-20",HRData[[#This Row],[PercentSalaryHike]]&gt;=21,"21+")</f>
        <v>11-15</v>
      </c>
      <c r="AE532">
        <v>3</v>
      </c>
      <c r="AF532">
        <v>4</v>
      </c>
      <c r="AG532">
        <v>80</v>
      </c>
      <c r="AH532">
        <v>0</v>
      </c>
      <c r="AI532">
        <v>9</v>
      </c>
      <c r="AJ532">
        <v>3</v>
      </c>
      <c r="AK532">
        <v>3</v>
      </c>
      <c r="AL532">
        <v>9</v>
      </c>
      <c r="AM532">
        <v>7</v>
      </c>
      <c r="AN532">
        <v>0</v>
      </c>
      <c r="AO532">
        <v>7</v>
      </c>
      <c r="AP53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32" t="str">
        <f>IF(HRData[[#This Row],[Attrition]]="Yes","Left", IF(HRData[[#This Row],[Attrition_Risk_Score]]&gt;=6,"High",IF(HRData[[#This Row],[Attrition_Risk_Score]]&gt;=3,"Medium","Low")))</f>
        <v>Medium</v>
      </c>
      <c r="AR532" t="str">
        <f>IF(HRData[[#This Row],[Attrition_Risk_Level]]&lt;&gt;"High","",HRData[[#This Row],[Attrition_Risk_Score]]*10000-HRData[[#This Row],[EmployeeNumber]])</f>
        <v/>
      </c>
    </row>
    <row r="533" spans="1:44">
      <c r="A533">
        <v>32</v>
      </c>
      <c r="B533" t="str" cm="1">
        <f t="array" ref="B533">_xlfn.IFS(
HRData[[#This Row],[Age]]&lt;=24,"18-24",
HRData[[#This Row],[Age]]&lt;=34,"25-34",
HRData[[#This Row],[Age]]&lt;=44,"35-44",
HRData[[#This Row],[Age]]&lt;=54,"45-54",
HRData[[#This Row],[Age]]&gt;=55,"55+"
)</f>
        <v>25-34</v>
      </c>
      <c r="C533" t="s">
        <v>43</v>
      </c>
      <c r="D533">
        <f>IF(HRData[[#This Row],[Attrition]]="Yes",1,0)</f>
        <v>0</v>
      </c>
      <c r="E533" t="s">
        <v>36</v>
      </c>
      <c r="F533">
        <v>1018</v>
      </c>
      <c r="G533" t="s">
        <v>45</v>
      </c>
      <c r="H533">
        <v>3</v>
      </c>
      <c r="I533">
        <v>2</v>
      </c>
      <c r="J533" t="s">
        <v>38</v>
      </c>
      <c r="K533">
        <v>1</v>
      </c>
      <c r="L533">
        <v>727</v>
      </c>
      <c r="M533">
        <v>3</v>
      </c>
      <c r="N533" t="str" cm="1">
        <f t="array" ref="N533">_xlfn.IFS(HRData[[#This Row],[EnvironmentSatisfaction]]=1,"Very Dissatisfied",
HRData[[#This Row],[EnvironmentSatisfaction]]=2,"Dissatisfied",
HRData[[#This Row],[EnvironmentSatisfaction]]=3,"Satisfied",
HRData[[#This Row],[EnvironmentSatisfaction]]=4,"Very Satisfied"
)</f>
        <v>Satisfied</v>
      </c>
      <c r="O533" t="s">
        <v>39</v>
      </c>
      <c r="P533">
        <v>39</v>
      </c>
      <c r="Q533">
        <v>3</v>
      </c>
      <c r="R533">
        <v>3</v>
      </c>
      <c r="S533" t="s">
        <v>58</v>
      </c>
      <c r="T533">
        <v>4</v>
      </c>
      <c r="U533" t="str" cm="1">
        <f t="array" ref="U533">_xlfn.IFS(
HRData[[#This Row],[JobSatisfaction]]=1,"Very Dissatisfied",
HRData[[#This Row],[JobSatisfaction]]=2,"Dissatisfied",
HRData[[#This Row],[JobSatisfaction]]=3,"Satisfied",
HRData[[#This Row],[JobSatisfaction]]=4,"Very Satisfied"
)</f>
        <v>Very Satisfied</v>
      </c>
      <c r="V533" t="s">
        <v>41</v>
      </c>
      <c r="W533">
        <v>11159</v>
      </c>
      <c r="X533" t="str" cm="1">
        <f t="array" ref="X533">_xlfn.IFS(
HRData[[#This Row],[MonthlyIncome]]&lt;=4000,"Very Low Income",
HRData[[#This Row],[MonthlyIncome]]&lt;=8000,"Low Income",
HRData[[#This Row],[MonthlyIncome]]&lt;=12000,"Moderate Income",
HRData[[#This Row],[MonthlyIncome]]&lt;=16000,"High Income",
HRData[[#This Row],[MonthlyIncome]]&gt;16000,"Very High Income"
)</f>
        <v>Moderate Income</v>
      </c>
      <c r="Y533">
        <v>19373</v>
      </c>
      <c r="Z533">
        <v>3</v>
      </c>
      <c r="AA533" t="s">
        <v>42</v>
      </c>
      <c r="AB533" t="s">
        <v>43</v>
      </c>
      <c r="AC533">
        <v>15</v>
      </c>
      <c r="AD533" t="str" cm="1">
        <f t="array" ref="AD533">_xlfn.IFS(HRData[[#This Row],[PercentSalaryHike]]&lt;=15,"11-15",HRData[[#This Row],[PercentSalaryHike]]&lt;=20,"16-20",HRData[[#This Row],[PercentSalaryHike]]&gt;=21,"21+")</f>
        <v>11-15</v>
      </c>
      <c r="AE533">
        <v>3</v>
      </c>
      <c r="AF533">
        <v>4</v>
      </c>
      <c r="AG533">
        <v>80</v>
      </c>
      <c r="AH533">
        <v>0</v>
      </c>
      <c r="AI533">
        <v>10</v>
      </c>
      <c r="AJ533">
        <v>6</v>
      </c>
      <c r="AK533">
        <v>3</v>
      </c>
      <c r="AL533">
        <v>7</v>
      </c>
      <c r="AM533">
        <v>7</v>
      </c>
      <c r="AN533">
        <v>7</v>
      </c>
      <c r="AO533">
        <v>7</v>
      </c>
      <c r="AP53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533" t="str">
        <f>IF(HRData[[#This Row],[Attrition]]="Yes","Left", IF(HRData[[#This Row],[Attrition_Risk_Score]]&gt;=6,"High",IF(HRData[[#This Row],[Attrition_Risk_Score]]&gt;=3,"Medium","Low")))</f>
        <v>Low</v>
      </c>
      <c r="AR533" t="str">
        <f>IF(HRData[[#This Row],[Attrition_Risk_Level]]&lt;&gt;"High","",HRData[[#This Row],[Attrition_Risk_Score]]*10000-HRData[[#This Row],[EmployeeNumber]])</f>
        <v/>
      </c>
    </row>
    <row r="534" spans="1:44">
      <c r="A534">
        <v>47</v>
      </c>
      <c r="B534" t="str" cm="1">
        <f t="array" ref="B534">_xlfn.IFS(
HRData[[#This Row],[Age]]&lt;=24,"18-24",
HRData[[#This Row],[Age]]&lt;=34,"25-34",
HRData[[#This Row],[Age]]&lt;=44,"35-44",
HRData[[#This Row],[Age]]&lt;=54,"45-54",
HRData[[#This Row],[Age]]&gt;=55,"55+"
)</f>
        <v>45-54</v>
      </c>
      <c r="C534" t="s">
        <v>43</v>
      </c>
      <c r="D534">
        <f>IF(HRData[[#This Row],[Attrition]]="Yes",1,0)</f>
        <v>0</v>
      </c>
      <c r="E534" t="s">
        <v>36</v>
      </c>
      <c r="F534">
        <v>703</v>
      </c>
      <c r="G534" t="s">
        <v>37</v>
      </c>
      <c r="H534">
        <v>14</v>
      </c>
      <c r="I534">
        <v>4</v>
      </c>
      <c r="J534" t="s">
        <v>59</v>
      </c>
      <c r="K534">
        <v>1</v>
      </c>
      <c r="L534">
        <v>728</v>
      </c>
      <c r="M534">
        <v>4</v>
      </c>
      <c r="N534" t="str" cm="1">
        <f t="array" ref="N534">_xlfn.IFS(HRData[[#This Row],[EnvironmentSatisfaction]]=1,"Very Dissatisfied",
HRData[[#This Row],[EnvironmentSatisfaction]]=2,"Dissatisfied",
HRData[[#This Row],[EnvironmentSatisfaction]]=3,"Satisfied",
HRData[[#This Row],[EnvironmentSatisfaction]]=4,"Very Satisfied"
)</f>
        <v>Very Satisfied</v>
      </c>
      <c r="O534" t="s">
        <v>46</v>
      </c>
      <c r="P534">
        <v>42</v>
      </c>
      <c r="Q534">
        <v>3</v>
      </c>
      <c r="R534">
        <v>2</v>
      </c>
      <c r="S534" t="s">
        <v>40</v>
      </c>
      <c r="T534">
        <v>1</v>
      </c>
      <c r="U534" t="str" cm="1">
        <f t="array" ref="U534">_xlfn.IFS(
HRData[[#This Row],[JobSatisfaction]]=1,"Very Dissatisfied",
HRData[[#This Row],[JobSatisfaction]]=2,"Dissatisfied",
HRData[[#This Row],[JobSatisfaction]]=3,"Satisfied",
HRData[[#This Row],[JobSatisfaction]]=4,"Very Satisfied"
)</f>
        <v>Very Dissatisfied</v>
      </c>
      <c r="V534" t="s">
        <v>41</v>
      </c>
      <c r="W534">
        <v>4960</v>
      </c>
      <c r="X534" t="str" cm="1">
        <f t="array" ref="X534">_xlfn.IFS(
HRData[[#This Row],[MonthlyIncome]]&lt;=4000,"Very Low Income",
HRData[[#This Row],[MonthlyIncome]]&lt;=8000,"Low Income",
HRData[[#This Row],[MonthlyIncome]]&lt;=12000,"Moderate Income",
HRData[[#This Row],[MonthlyIncome]]&lt;=16000,"High Income",
HRData[[#This Row],[MonthlyIncome]]&gt;16000,"Very High Income"
)</f>
        <v>Low Income</v>
      </c>
      <c r="Y534">
        <v>11825</v>
      </c>
      <c r="Z534">
        <v>2</v>
      </c>
      <c r="AA534" t="s">
        <v>42</v>
      </c>
      <c r="AB534" t="s">
        <v>43</v>
      </c>
      <c r="AC534">
        <v>12</v>
      </c>
      <c r="AD534" t="str" cm="1">
        <f t="array" ref="AD534">_xlfn.IFS(HRData[[#This Row],[PercentSalaryHike]]&lt;=15,"11-15",HRData[[#This Row],[PercentSalaryHike]]&lt;=20,"16-20",HRData[[#This Row],[PercentSalaryHike]]&gt;=21,"21+")</f>
        <v>11-15</v>
      </c>
      <c r="AE534">
        <v>3</v>
      </c>
      <c r="AF534">
        <v>4</v>
      </c>
      <c r="AG534">
        <v>80</v>
      </c>
      <c r="AH534">
        <v>0</v>
      </c>
      <c r="AI534">
        <v>20</v>
      </c>
      <c r="AJ534">
        <v>2</v>
      </c>
      <c r="AK534">
        <v>3</v>
      </c>
      <c r="AL534">
        <v>7</v>
      </c>
      <c r="AM534">
        <v>7</v>
      </c>
      <c r="AN534">
        <v>1</v>
      </c>
      <c r="AO534">
        <v>7</v>
      </c>
      <c r="AP53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34" t="str">
        <f>IF(HRData[[#This Row],[Attrition]]="Yes","Left", IF(HRData[[#This Row],[Attrition_Risk_Score]]&gt;=6,"High",IF(HRData[[#This Row],[Attrition_Risk_Score]]&gt;=3,"Medium","Low")))</f>
        <v>Medium</v>
      </c>
      <c r="AR534" t="str">
        <f>IF(HRData[[#This Row],[Attrition_Risk_Level]]&lt;&gt;"High","",HRData[[#This Row],[Attrition_Risk_Score]]*10000-HRData[[#This Row],[EmployeeNumber]])</f>
        <v/>
      </c>
    </row>
    <row r="535" spans="1:44">
      <c r="A535">
        <v>40</v>
      </c>
      <c r="B535" t="str" cm="1">
        <f t="array" ref="B535">_xlfn.IFS(
HRData[[#This Row],[Age]]&lt;=24,"18-24",
HRData[[#This Row],[Age]]&lt;=34,"25-34",
HRData[[#This Row],[Age]]&lt;=44,"35-44",
HRData[[#This Row],[Age]]&lt;=54,"45-54",
HRData[[#This Row],[Age]]&gt;=55,"55+"
)</f>
        <v>35-44</v>
      </c>
      <c r="C535" t="s">
        <v>43</v>
      </c>
      <c r="D535">
        <f>IF(HRData[[#This Row],[Attrition]]="Yes",1,0)</f>
        <v>0</v>
      </c>
      <c r="E535" t="s">
        <v>44</v>
      </c>
      <c r="F535">
        <v>580</v>
      </c>
      <c r="G535" t="s">
        <v>37</v>
      </c>
      <c r="H535">
        <v>5</v>
      </c>
      <c r="I535">
        <v>4</v>
      </c>
      <c r="J535" t="s">
        <v>38</v>
      </c>
      <c r="K535">
        <v>1</v>
      </c>
      <c r="L535">
        <v>729</v>
      </c>
      <c r="M535">
        <v>4</v>
      </c>
      <c r="N535" t="str" cm="1">
        <f t="array" ref="N535">_xlfn.IFS(HRData[[#This Row],[EnvironmentSatisfaction]]=1,"Very Dissatisfied",
HRData[[#This Row],[EnvironmentSatisfaction]]=2,"Dissatisfied",
HRData[[#This Row],[EnvironmentSatisfaction]]=3,"Satisfied",
HRData[[#This Row],[EnvironmentSatisfaction]]=4,"Very Satisfied"
)</f>
        <v>Very Satisfied</v>
      </c>
      <c r="O535" t="s">
        <v>46</v>
      </c>
      <c r="P535">
        <v>48</v>
      </c>
      <c r="Q535">
        <v>2</v>
      </c>
      <c r="R535">
        <v>3</v>
      </c>
      <c r="S535" t="s">
        <v>40</v>
      </c>
      <c r="T535">
        <v>1</v>
      </c>
      <c r="U535" t="str" cm="1">
        <f t="array" ref="U535">_xlfn.IFS(
HRData[[#This Row],[JobSatisfaction]]=1,"Very Dissatisfied",
HRData[[#This Row],[JobSatisfaction]]=2,"Dissatisfied",
HRData[[#This Row],[JobSatisfaction]]=3,"Satisfied",
HRData[[#This Row],[JobSatisfaction]]=4,"Very Satisfied"
)</f>
        <v>Very Dissatisfied</v>
      </c>
      <c r="V535" t="s">
        <v>48</v>
      </c>
      <c r="W535">
        <v>10475</v>
      </c>
      <c r="X535" t="str" cm="1">
        <f t="array" ref="X535">_xlfn.IFS(
HRData[[#This Row],[MonthlyIncome]]&lt;=4000,"Very Low Income",
HRData[[#This Row],[MonthlyIncome]]&lt;=8000,"Low Income",
HRData[[#This Row],[MonthlyIncome]]&lt;=12000,"Moderate Income",
HRData[[#This Row],[MonthlyIncome]]&lt;=16000,"High Income",
HRData[[#This Row],[MonthlyIncome]]&gt;16000,"Very High Income"
)</f>
        <v>Moderate Income</v>
      </c>
      <c r="Y535">
        <v>23772</v>
      </c>
      <c r="Z535">
        <v>5</v>
      </c>
      <c r="AA535" t="s">
        <v>42</v>
      </c>
      <c r="AB535" t="s">
        <v>35</v>
      </c>
      <c r="AC535">
        <v>21</v>
      </c>
      <c r="AD535" t="str" cm="1">
        <f t="array" ref="AD535">_xlfn.IFS(HRData[[#This Row],[PercentSalaryHike]]&lt;=15,"11-15",HRData[[#This Row],[PercentSalaryHike]]&lt;=20,"16-20",HRData[[#This Row],[PercentSalaryHike]]&gt;=21,"21+")</f>
        <v>21+</v>
      </c>
      <c r="AE535">
        <v>4</v>
      </c>
      <c r="AF535">
        <v>3</v>
      </c>
      <c r="AG535">
        <v>80</v>
      </c>
      <c r="AH535">
        <v>1</v>
      </c>
      <c r="AI535">
        <v>20</v>
      </c>
      <c r="AJ535">
        <v>2</v>
      </c>
      <c r="AK535">
        <v>3</v>
      </c>
      <c r="AL535">
        <v>18</v>
      </c>
      <c r="AM535">
        <v>13</v>
      </c>
      <c r="AN535">
        <v>1</v>
      </c>
      <c r="AO535">
        <v>12</v>
      </c>
      <c r="AP53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35" t="str">
        <f>IF(HRData[[#This Row],[Attrition]]="Yes","Left", IF(HRData[[#This Row],[Attrition_Risk_Score]]&gt;=6,"High",IF(HRData[[#This Row],[Attrition_Risk_Score]]&gt;=3,"Medium","Low")))</f>
        <v>Medium</v>
      </c>
      <c r="AR535" t="str">
        <f>IF(HRData[[#This Row],[Attrition_Risk_Level]]&lt;&gt;"High","",HRData[[#This Row],[Attrition_Risk_Score]]*10000-HRData[[#This Row],[EmployeeNumber]])</f>
        <v/>
      </c>
    </row>
    <row r="536" spans="1:44">
      <c r="A536">
        <v>53</v>
      </c>
      <c r="B536" t="str" cm="1">
        <f t="array" ref="B536">_xlfn.IFS(
HRData[[#This Row],[Age]]&lt;=24,"18-24",
HRData[[#This Row],[Age]]&lt;=34,"25-34",
HRData[[#This Row],[Age]]&lt;=44,"35-44",
HRData[[#This Row],[Age]]&lt;=54,"45-54",
HRData[[#This Row],[Age]]&gt;=55,"55+"
)</f>
        <v>45-54</v>
      </c>
      <c r="C536" t="s">
        <v>43</v>
      </c>
      <c r="D536">
        <f>IF(HRData[[#This Row],[Attrition]]="Yes",1,0)</f>
        <v>0</v>
      </c>
      <c r="E536" t="s">
        <v>36</v>
      </c>
      <c r="F536">
        <v>970</v>
      </c>
      <c r="G536" t="s">
        <v>45</v>
      </c>
      <c r="H536">
        <v>7</v>
      </c>
      <c r="I536">
        <v>3</v>
      </c>
      <c r="J536" t="s">
        <v>38</v>
      </c>
      <c r="K536">
        <v>1</v>
      </c>
      <c r="L536">
        <v>730</v>
      </c>
      <c r="M536">
        <v>3</v>
      </c>
      <c r="N536" t="str" cm="1">
        <f t="array" ref="N536">_xlfn.IFS(HRData[[#This Row],[EnvironmentSatisfaction]]=1,"Very Dissatisfied",
HRData[[#This Row],[EnvironmentSatisfaction]]=2,"Dissatisfied",
HRData[[#This Row],[EnvironmentSatisfaction]]=3,"Satisfied",
HRData[[#This Row],[EnvironmentSatisfaction]]=4,"Very Satisfied"
)</f>
        <v>Satisfied</v>
      </c>
      <c r="O536" t="s">
        <v>46</v>
      </c>
      <c r="P536">
        <v>59</v>
      </c>
      <c r="Q536">
        <v>4</v>
      </c>
      <c r="R536">
        <v>4</v>
      </c>
      <c r="S536" t="s">
        <v>58</v>
      </c>
      <c r="T536">
        <v>3</v>
      </c>
      <c r="U536" t="str" cm="1">
        <f t="array" ref="U536">_xlfn.IFS(
HRData[[#This Row],[JobSatisfaction]]=1,"Very Dissatisfied",
HRData[[#This Row],[JobSatisfaction]]=2,"Dissatisfied",
HRData[[#This Row],[JobSatisfaction]]=3,"Satisfied",
HRData[[#This Row],[JobSatisfaction]]=4,"Very Satisfied"
)</f>
        <v>Satisfied</v>
      </c>
      <c r="V536" t="s">
        <v>48</v>
      </c>
      <c r="W536">
        <v>14814</v>
      </c>
      <c r="X536" t="str" cm="1">
        <f t="array" ref="X536">_xlfn.IFS(
HRData[[#This Row],[MonthlyIncome]]&lt;=4000,"Very Low Income",
HRData[[#This Row],[MonthlyIncome]]&lt;=8000,"Low Income",
HRData[[#This Row],[MonthlyIncome]]&lt;=12000,"Moderate Income",
HRData[[#This Row],[MonthlyIncome]]&lt;=16000,"High Income",
HRData[[#This Row],[MonthlyIncome]]&gt;16000,"Very High Income"
)</f>
        <v>High Income</v>
      </c>
      <c r="Y536">
        <v>13514</v>
      </c>
      <c r="Z536">
        <v>3</v>
      </c>
      <c r="AA536" t="s">
        <v>42</v>
      </c>
      <c r="AB536" t="s">
        <v>43</v>
      </c>
      <c r="AC536">
        <v>19</v>
      </c>
      <c r="AD536" t="str" cm="1">
        <f t="array" ref="AD536">_xlfn.IFS(HRData[[#This Row],[PercentSalaryHike]]&lt;=15,"11-15",HRData[[#This Row],[PercentSalaryHike]]&lt;=20,"16-20",HRData[[#This Row],[PercentSalaryHike]]&gt;=21,"21+")</f>
        <v>16-20</v>
      </c>
      <c r="AE536">
        <v>3</v>
      </c>
      <c r="AF536">
        <v>3</v>
      </c>
      <c r="AG536">
        <v>80</v>
      </c>
      <c r="AH536">
        <v>0</v>
      </c>
      <c r="AI536">
        <v>32</v>
      </c>
      <c r="AJ536">
        <v>3</v>
      </c>
      <c r="AK536">
        <v>3</v>
      </c>
      <c r="AL536">
        <v>5</v>
      </c>
      <c r="AM536">
        <v>1</v>
      </c>
      <c r="AN536">
        <v>1</v>
      </c>
      <c r="AO536">
        <v>3</v>
      </c>
      <c r="AP53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536" t="str">
        <f>IF(HRData[[#This Row],[Attrition]]="Yes","Left", IF(HRData[[#This Row],[Attrition_Risk_Score]]&gt;=6,"High",IF(HRData[[#This Row],[Attrition_Risk_Score]]&gt;=3,"Medium","Low")))</f>
        <v>Low</v>
      </c>
      <c r="AR536" t="str">
        <f>IF(HRData[[#This Row],[Attrition_Risk_Level]]&lt;&gt;"High","",HRData[[#This Row],[Attrition_Risk_Score]]*10000-HRData[[#This Row],[EmployeeNumber]])</f>
        <v/>
      </c>
    </row>
    <row r="537" spans="1:44">
      <c r="A537">
        <v>41</v>
      </c>
      <c r="B537" t="str" cm="1">
        <f t="array" ref="B537">_xlfn.IFS(
HRData[[#This Row],[Age]]&lt;=24,"18-24",
HRData[[#This Row],[Age]]&lt;=34,"25-34",
HRData[[#This Row],[Age]]&lt;=44,"35-44",
HRData[[#This Row],[Age]]&lt;=54,"45-54",
HRData[[#This Row],[Age]]&gt;=55,"55+"
)</f>
        <v>35-44</v>
      </c>
      <c r="C537" t="s">
        <v>43</v>
      </c>
      <c r="D537">
        <f>IF(HRData[[#This Row],[Attrition]]="Yes",1,0)</f>
        <v>0</v>
      </c>
      <c r="E537" t="s">
        <v>36</v>
      </c>
      <c r="F537">
        <v>427</v>
      </c>
      <c r="G537" t="s">
        <v>61</v>
      </c>
      <c r="H537">
        <v>10</v>
      </c>
      <c r="I537">
        <v>4</v>
      </c>
      <c r="J537" t="s">
        <v>61</v>
      </c>
      <c r="K537">
        <v>1</v>
      </c>
      <c r="L537">
        <v>731</v>
      </c>
      <c r="M537">
        <v>2</v>
      </c>
      <c r="N537" t="str" cm="1">
        <f t="array" ref="N537">_xlfn.IFS(HRData[[#This Row],[EnvironmentSatisfaction]]=1,"Very Dissatisfied",
HRData[[#This Row],[EnvironmentSatisfaction]]=2,"Dissatisfied",
HRData[[#This Row],[EnvironmentSatisfaction]]=3,"Satisfied",
HRData[[#This Row],[EnvironmentSatisfaction]]=4,"Very Satisfied"
)</f>
        <v>Dissatisfied</v>
      </c>
      <c r="O537" t="s">
        <v>46</v>
      </c>
      <c r="P537">
        <v>73</v>
      </c>
      <c r="Q537">
        <v>2</v>
      </c>
      <c r="R537">
        <v>5</v>
      </c>
      <c r="S537" t="s">
        <v>56</v>
      </c>
      <c r="T537">
        <v>4</v>
      </c>
      <c r="U537" t="str" cm="1">
        <f t="array" ref="U537">_xlfn.IFS(
HRData[[#This Row],[JobSatisfaction]]=1,"Very Dissatisfied",
HRData[[#This Row],[JobSatisfaction]]=2,"Dissatisfied",
HRData[[#This Row],[JobSatisfaction]]=3,"Satisfied",
HRData[[#This Row],[JobSatisfaction]]=4,"Very Satisfied"
)</f>
        <v>Very Satisfied</v>
      </c>
      <c r="V537" t="s">
        <v>52</v>
      </c>
      <c r="W537">
        <v>19141</v>
      </c>
      <c r="X537" t="str" cm="1">
        <f t="array" ref="X537">_xlfn.IFS(
HRData[[#This Row],[MonthlyIncome]]&lt;=4000,"Very Low Income",
HRData[[#This Row],[MonthlyIncome]]&lt;=8000,"Low Income",
HRData[[#This Row],[MonthlyIncome]]&lt;=12000,"Moderate Income",
HRData[[#This Row],[MonthlyIncome]]&lt;=16000,"High Income",
HRData[[#This Row],[MonthlyIncome]]&gt;16000,"Very High Income"
)</f>
        <v>Very High Income</v>
      </c>
      <c r="Y537">
        <v>8861</v>
      </c>
      <c r="Z537">
        <v>3</v>
      </c>
      <c r="AA537" t="s">
        <v>42</v>
      </c>
      <c r="AB537" t="s">
        <v>43</v>
      </c>
      <c r="AC537">
        <v>15</v>
      </c>
      <c r="AD537" t="str" cm="1">
        <f t="array" ref="AD537">_xlfn.IFS(HRData[[#This Row],[PercentSalaryHike]]&lt;=15,"11-15",HRData[[#This Row],[PercentSalaryHike]]&lt;=20,"16-20",HRData[[#This Row],[PercentSalaryHike]]&gt;=21,"21+")</f>
        <v>11-15</v>
      </c>
      <c r="AE537">
        <v>3</v>
      </c>
      <c r="AF537">
        <v>2</v>
      </c>
      <c r="AG537">
        <v>80</v>
      </c>
      <c r="AH537">
        <v>3</v>
      </c>
      <c r="AI537">
        <v>23</v>
      </c>
      <c r="AJ537">
        <v>2</v>
      </c>
      <c r="AK537">
        <v>2</v>
      </c>
      <c r="AL537">
        <v>21</v>
      </c>
      <c r="AM537">
        <v>6</v>
      </c>
      <c r="AN537">
        <v>12</v>
      </c>
      <c r="AO537">
        <v>6</v>
      </c>
      <c r="AP53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537" t="str">
        <f>IF(HRData[[#This Row],[Attrition]]="Yes","Left", IF(HRData[[#This Row],[Attrition_Risk_Score]]&gt;=6,"High",IF(HRData[[#This Row],[Attrition_Risk_Score]]&gt;=3,"Medium","Low")))</f>
        <v>Low</v>
      </c>
      <c r="AR537" t="str">
        <f>IF(HRData[[#This Row],[Attrition_Risk_Level]]&lt;&gt;"High","",HRData[[#This Row],[Attrition_Risk_Score]]*10000-HRData[[#This Row],[EmployeeNumber]])</f>
        <v/>
      </c>
    </row>
    <row r="538" spans="1:44">
      <c r="A538">
        <v>60</v>
      </c>
      <c r="B538" t="str" cm="1">
        <f t="array" ref="B538">_xlfn.IFS(
HRData[[#This Row],[Age]]&lt;=24,"18-24",
HRData[[#This Row],[Age]]&lt;=34,"25-34",
HRData[[#This Row],[Age]]&lt;=44,"35-44",
HRData[[#This Row],[Age]]&lt;=54,"45-54",
HRData[[#This Row],[Age]]&gt;=55,"55+"
)</f>
        <v>55+</v>
      </c>
      <c r="C538" t="s">
        <v>43</v>
      </c>
      <c r="D538">
        <f>IF(HRData[[#This Row],[Attrition]]="Yes",1,0)</f>
        <v>0</v>
      </c>
      <c r="E538" t="s">
        <v>36</v>
      </c>
      <c r="F538">
        <v>1179</v>
      </c>
      <c r="G538" t="s">
        <v>37</v>
      </c>
      <c r="H538">
        <v>16</v>
      </c>
      <c r="I538">
        <v>4</v>
      </c>
      <c r="J538" t="s">
        <v>59</v>
      </c>
      <c r="K538">
        <v>1</v>
      </c>
      <c r="L538">
        <v>732</v>
      </c>
      <c r="M538">
        <v>1</v>
      </c>
      <c r="N538" t="str" cm="1">
        <f t="array" ref="N538">_xlfn.IFS(HRData[[#This Row],[EnvironmentSatisfaction]]=1,"Very Dissatisfied",
HRData[[#This Row],[EnvironmentSatisfaction]]=2,"Dissatisfied",
HRData[[#This Row],[EnvironmentSatisfaction]]=3,"Satisfied",
HRData[[#This Row],[EnvironmentSatisfaction]]=4,"Very Satisfied"
)</f>
        <v>Very Dissatisfied</v>
      </c>
      <c r="O538" t="s">
        <v>46</v>
      </c>
      <c r="P538">
        <v>84</v>
      </c>
      <c r="Q538">
        <v>3</v>
      </c>
      <c r="R538">
        <v>2</v>
      </c>
      <c r="S538" t="s">
        <v>40</v>
      </c>
      <c r="T538">
        <v>1</v>
      </c>
      <c r="U538" t="str" cm="1">
        <f t="array" ref="U538">_xlfn.IFS(
HRData[[#This Row],[JobSatisfaction]]=1,"Very Dissatisfied",
HRData[[#This Row],[JobSatisfaction]]=2,"Dissatisfied",
HRData[[#This Row],[JobSatisfaction]]=3,"Satisfied",
HRData[[#This Row],[JobSatisfaction]]=4,"Very Satisfied"
)</f>
        <v>Very Dissatisfied</v>
      </c>
      <c r="V538" t="s">
        <v>41</v>
      </c>
      <c r="W538">
        <v>5405</v>
      </c>
      <c r="X538" t="str" cm="1">
        <f t="array" ref="X538">_xlfn.IFS(
HRData[[#This Row],[MonthlyIncome]]&lt;=4000,"Very Low Income",
HRData[[#This Row],[MonthlyIncome]]&lt;=8000,"Low Income",
HRData[[#This Row],[MonthlyIncome]]&lt;=12000,"Moderate Income",
HRData[[#This Row],[MonthlyIncome]]&lt;=16000,"High Income",
HRData[[#This Row],[MonthlyIncome]]&gt;16000,"Very High Income"
)</f>
        <v>Low Income</v>
      </c>
      <c r="Y538">
        <v>11924</v>
      </c>
      <c r="Z538">
        <v>8</v>
      </c>
      <c r="AA538" t="s">
        <v>42</v>
      </c>
      <c r="AB538" t="s">
        <v>43</v>
      </c>
      <c r="AC538">
        <v>14</v>
      </c>
      <c r="AD538" t="str" cm="1">
        <f t="array" ref="AD538">_xlfn.IFS(HRData[[#This Row],[PercentSalaryHike]]&lt;=15,"11-15",HRData[[#This Row],[PercentSalaryHike]]&lt;=20,"16-20",HRData[[#This Row],[PercentSalaryHike]]&gt;=21,"21+")</f>
        <v>11-15</v>
      </c>
      <c r="AE538">
        <v>3</v>
      </c>
      <c r="AF538">
        <v>4</v>
      </c>
      <c r="AG538">
        <v>80</v>
      </c>
      <c r="AH538">
        <v>0</v>
      </c>
      <c r="AI538">
        <v>10</v>
      </c>
      <c r="AJ538">
        <v>1</v>
      </c>
      <c r="AK538">
        <v>3</v>
      </c>
      <c r="AL538">
        <v>2</v>
      </c>
      <c r="AM538">
        <v>2</v>
      </c>
      <c r="AN538">
        <v>2</v>
      </c>
      <c r="AO538">
        <v>2</v>
      </c>
      <c r="AP53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38" t="str">
        <f>IF(HRData[[#This Row],[Attrition]]="Yes","Left", IF(HRData[[#This Row],[Attrition_Risk_Score]]&gt;=6,"High",IF(HRData[[#This Row],[Attrition_Risk_Score]]&gt;=3,"Medium","Low")))</f>
        <v>Medium</v>
      </c>
      <c r="AR538" t="str">
        <f>IF(HRData[[#This Row],[Attrition_Risk_Level]]&lt;&gt;"High","",HRData[[#This Row],[Attrition_Risk_Score]]*10000-HRData[[#This Row],[EmployeeNumber]])</f>
        <v/>
      </c>
    </row>
    <row r="539" spans="1:44">
      <c r="A539">
        <v>27</v>
      </c>
      <c r="B539" t="str" cm="1">
        <f t="array" ref="B539">_xlfn.IFS(
HRData[[#This Row],[Age]]&lt;=24,"18-24",
HRData[[#This Row],[Age]]&lt;=34,"25-34",
HRData[[#This Row],[Age]]&lt;=44,"35-44",
HRData[[#This Row],[Age]]&lt;=54,"45-54",
HRData[[#This Row],[Age]]&gt;=55,"55+"
)</f>
        <v>25-34</v>
      </c>
      <c r="C539" t="s">
        <v>43</v>
      </c>
      <c r="D539">
        <f>IF(HRData[[#This Row],[Attrition]]="Yes",1,0)</f>
        <v>0</v>
      </c>
      <c r="E539" t="s">
        <v>44</v>
      </c>
      <c r="F539">
        <v>294</v>
      </c>
      <c r="G539" t="s">
        <v>45</v>
      </c>
      <c r="H539">
        <v>10</v>
      </c>
      <c r="I539">
        <v>2</v>
      </c>
      <c r="J539" t="s">
        <v>38</v>
      </c>
      <c r="K539">
        <v>1</v>
      </c>
      <c r="L539">
        <v>733</v>
      </c>
      <c r="M539">
        <v>4</v>
      </c>
      <c r="N539" t="str" cm="1">
        <f t="array" ref="N539">_xlfn.IFS(HRData[[#This Row],[EnvironmentSatisfaction]]=1,"Very Dissatisfied",
HRData[[#This Row],[EnvironmentSatisfaction]]=2,"Dissatisfied",
HRData[[#This Row],[EnvironmentSatisfaction]]=3,"Satisfied",
HRData[[#This Row],[EnvironmentSatisfaction]]=4,"Very Satisfied"
)</f>
        <v>Very Satisfied</v>
      </c>
      <c r="O539" t="s">
        <v>46</v>
      </c>
      <c r="P539">
        <v>32</v>
      </c>
      <c r="Q539">
        <v>3</v>
      </c>
      <c r="R539">
        <v>3</v>
      </c>
      <c r="S539" t="s">
        <v>53</v>
      </c>
      <c r="T539">
        <v>1</v>
      </c>
      <c r="U539" t="str" cm="1">
        <f t="array" ref="U539">_xlfn.IFS(
HRData[[#This Row],[JobSatisfaction]]=1,"Very Dissatisfied",
HRData[[#This Row],[JobSatisfaction]]=2,"Dissatisfied",
HRData[[#This Row],[JobSatisfaction]]=3,"Satisfied",
HRData[[#This Row],[JobSatisfaction]]=4,"Very Satisfied"
)</f>
        <v>Very Dissatisfied</v>
      </c>
      <c r="V539" t="s">
        <v>52</v>
      </c>
      <c r="W539">
        <v>8793</v>
      </c>
      <c r="X539" t="str" cm="1">
        <f t="array" ref="X539">_xlfn.IFS(
HRData[[#This Row],[MonthlyIncome]]&lt;=4000,"Very Low Income",
HRData[[#This Row],[MonthlyIncome]]&lt;=8000,"Low Income",
HRData[[#This Row],[MonthlyIncome]]&lt;=12000,"Moderate Income",
HRData[[#This Row],[MonthlyIncome]]&lt;=16000,"High Income",
HRData[[#This Row],[MonthlyIncome]]&gt;16000,"Very High Income"
)</f>
        <v>Moderate Income</v>
      </c>
      <c r="Y539">
        <v>4809</v>
      </c>
      <c r="Z539">
        <v>1</v>
      </c>
      <c r="AA539" t="s">
        <v>42</v>
      </c>
      <c r="AB539" t="s">
        <v>43</v>
      </c>
      <c r="AC539">
        <v>21</v>
      </c>
      <c r="AD539" t="str" cm="1">
        <f t="array" ref="AD539">_xlfn.IFS(HRData[[#This Row],[PercentSalaryHike]]&lt;=15,"11-15",HRData[[#This Row],[PercentSalaryHike]]&lt;=20,"16-20",HRData[[#This Row],[PercentSalaryHike]]&gt;=21,"21+")</f>
        <v>21+</v>
      </c>
      <c r="AE539">
        <v>4</v>
      </c>
      <c r="AF539">
        <v>3</v>
      </c>
      <c r="AG539">
        <v>80</v>
      </c>
      <c r="AH539">
        <v>2</v>
      </c>
      <c r="AI539">
        <v>9</v>
      </c>
      <c r="AJ539">
        <v>4</v>
      </c>
      <c r="AK539">
        <v>2</v>
      </c>
      <c r="AL539">
        <v>9</v>
      </c>
      <c r="AM539">
        <v>7</v>
      </c>
      <c r="AN539">
        <v>1</v>
      </c>
      <c r="AO539">
        <v>7</v>
      </c>
      <c r="AP53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39" t="str">
        <f>IF(HRData[[#This Row],[Attrition]]="Yes","Left", IF(HRData[[#This Row],[Attrition_Risk_Score]]&gt;=6,"High",IF(HRData[[#This Row],[Attrition_Risk_Score]]&gt;=3,"Medium","Low")))</f>
        <v>Medium</v>
      </c>
      <c r="AR539" t="str">
        <f>IF(HRData[[#This Row],[Attrition_Risk_Level]]&lt;&gt;"High","",HRData[[#This Row],[Attrition_Risk_Score]]*10000-HRData[[#This Row],[EmployeeNumber]])</f>
        <v/>
      </c>
    </row>
    <row r="540" spans="1:44">
      <c r="A540">
        <v>41</v>
      </c>
      <c r="B540" t="str" cm="1">
        <f t="array" ref="B540">_xlfn.IFS(
HRData[[#This Row],[Age]]&lt;=24,"18-24",
HRData[[#This Row],[Age]]&lt;=34,"25-34",
HRData[[#This Row],[Age]]&lt;=44,"35-44",
HRData[[#This Row],[Age]]&lt;=54,"45-54",
HRData[[#This Row],[Age]]&gt;=55,"55+"
)</f>
        <v>35-44</v>
      </c>
      <c r="C540" t="s">
        <v>43</v>
      </c>
      <c r="D540">
        <f>IF(HRData[[#This Row],[Attrition]]="Yes",1,0)</f>
        <v>0</v>
      </c>
      <c r="E540" t="s">
        <v>36</v>
      </c>
      <c r="F540">
        <v>314</v>
      </c>
      <c r="G540" t="s">
        <v>61</v>
      </c>
      <c r="H540">
        <v>1</v>
      </c>
      <c r="I540">
        <v>3</v>
      </c>
      <c r="J540" t="s">
        <v>61</v>
      </c>
      <c r="K540">
        <v>1</v>
      </c>
      <c r="L540">
        <v>734</v>
      </c>
      <c r="M540">
        <v>4</v>
      </c>
      <c r="N540" t="str" cm="1">
        <f t="array" ref="N540">_xlfn.IFS(HRData[[#This Row],[EnvironmentSatisfaction]]=1,"Very Dissatisfied",
HRData[[#This Row],[EnvironmentSatisfaction]]=2,"Dissatisfied",
HRData[[#This Row],[EnvironmentSatisfaction]]=3,"Satisfied",
HRData[[#This Row],[EnvironmentSatisfaction]]=4,"Very Satisfied"
)</f>
        <v>Very Satisfied</v>
      </c>
      <c r="O540" t="s">
        <v>46</v>
      </c>
      <c r="P540">
        <v>59</v>
      </c>
      <c r="Q540">
        <v>2</v>
      </c>
      <c r="R540">
        <v>5</v>
      </c>
      <c r="S540" t="s">
        <v>56</v>
      </c>
      <c r="T540">
        <v>3</v>
      </c>
      <c r="U540" t="str" cm="1">
        <f t="array" ref="U540">_xlfn.IFS(
HRData[[#This Row],[JobSatisfaction]]=1,"Very Dissatisfied",
HRData[[#This Row],[JobSatisfaction]]=2,"Dissatisfied",
HRData[[#This Row],[JobSatisfaction]]=3,"Satisfied",
HRData[[#This Row],[JobSatisfaction]]=4,"Very Satisfied"
)</f>
        <v>Satisfied</v>
      </c>
      <c r="V540" t="s">
        <v>48</v>
      </c>
      <c r="W540">
        <v>19189</v>
      </c>
      <c r="X540" t="str" cm="1">
        <f t="array" ref="X540">_xlfn.IFS(
HRData[[#This Row],[MonthlyIncome]]&lt;=4000,"Very Low Income",
HRData[[#This Row],[MonthlyIncome]]&lt;=8000,"Low Income",
HRData[[#This Row],[MonthlyIncome]]&lt;=12000,"Moderate Income",
HRData[[#This Row],[MonthlyIncome]]&lt;=16000,"High Income",
HRData[[#This Row],[MonthlyIncome]]&gt;16000,"Very High Income"
)</f>
        <v>Very High Income</v>
      </c>
      <c r="Y540">
        <v>19562</v>
      </c>
      <c r="Z540">
        <v>1</v>
      </c>
      <c r="AA540" t="s">
        <v>42</v>
      </c>
      <c r="AB540" t="s">
        <v>43</v>
      </c>
      <c r="AC540">
        <v>12</v>
      </c>
      <c r="AD540" t="str" cm="1">
        <f t="array" ref="AD540">_xlfn.IFS(HRData[[#This Row],[PercentSalaryHike]]&lt;=15,"11-15",HRData[[#This Row],[PercentSalaryHike]]&lt;=20,"16-20",HRData[[#This Row],[PercentSalaryHike]]&gt;=21,"21+")</f>
        <v>11-15</v>
      </c>
      <c r="AE540">
        <v>3</v>
      </c>
      <c r="AF540">
        <v>2</v>
      </c>
      <c r="AG540">
        <v>80</v>
      </c>
      <c r="AH540">
        <v>1</v>
      </c>
      <c r="AI540">
        <v>22</v>
      </c>
      <c r="AJ540">
        <v>3</v>
      </c>
      <c r="AK540">
        <v>3</v>
      </c>
      <c r="AL540">
        <v>22</v>
      </c>
      <c r="AM540">
        <v>7</v>
      </c>
      <c r="AN540">
        <v>2</v>
      </c>
      <c r="AO540">
        <v>10</v>
      </c>
      <c r="AP54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540" t="str">
        <f>IF(HRData[[#This Row],[Attrition]]="Yes","Left", IF(HRData[[#This Row],[Attrition_Risk_Score]]&gt;=6,"High",IF(HRData[[#This Row],[Attrition_Risk_Score]]&gt;=3,"Medium","Low")))</f>
        <v>Low</v>
      </c>
      <c r="AR540" t="str">
        <f>IF(HRData[[#This Row],[Attrition_Risk_Level]]&lt;&gt;"High","",HRData[[#This Row],[Attrition_Risk_Score]]*10000-HRData[[#This Row],[EmployeeNumber]])</f>
        <v/>
      </c>
    </row>
    <row r="541" spans="1:44">
      <c r="A541">
        <v>50</v>
      </c>
      <c r="B541" t="str" cm="1">
        <f t="array" ref="B541">_xlfn.IFS(
HRData[[#This Row],[Age]]&lt;=24,"18-24",
HRData[[#This Row],[Age]]&lt;=34,"25-34",
HRData[[#This Row],[Age]]&lt;=44,"35-44",
HRData[[#This Row],[Age]]&lt;=54,"45-54",
HRData[[#This Row],[Age]]&gt;=55,"55+"
)</f>
        <v>45-54</v>
      </c>
      <c r="C541" t="s">
        <v>43</v>
      </c>
      <c r="D541">
        <f>IF(HRData[[#This Row],[Attrition]]="Yes",1,0)</f>
        <v>0</v>
      </c>
      <c r="E541" t="s">
        <v>36</v>
      </c>
      <c r="F541">
        <v>316</v>
      </c>
      <c r="G541" t="s">
        <v>37</v>
      </c>
      <c r="H541">
        <v>8</v>
      </c>
      <c r="I541">
        <v>4</v>
      </c>
      <c r="J541" t="s">
        <v>59</v>
      </c>
      <c r="K541">
        <v>1</v>
      </c>
      <c r="L541">
        <v>738</v>
      </c>
      <c r="M541">
        <v>4</v>
      </c>
      <c r="N541" t="str" cm="1">
        <f t="array" ref="N541">_xlfn.IFS(HRData[[#This Row],[EnvironmentSatisfaction]]=1,"Very Dissatisfied",
HRData[[#This Row],[EnvironmentSatisfaction]]=2,"Dissatisfied",
HRData[[#This Row],[EnvironmentSatisfaction]]=3,"Satisfied",
HRData[[#This Row],[EnvironmentSatisfaction]]=4,"Very Satisfied"
)</f>
        <v>Very Satisfied</v>
      </c>
      <c r="O541" t="s">
        <v>46</v>
      </c>
      <c r="P541">
        <v>54</v>
      </c>
      <c r="Q541">
        <v>3</v>
      </c>
      <c r="R541">
        <v>1</v>
      </c>
      <c r="S541" t="s">
        <v>57</v>
      </c>
      <c r="T541">
        <v>2</v>
      </c>
      <c r="U541" t="str" cm="1">
        <f t="array" ref="U541">_xlfn.IFS(
HRData[[#This Row],[JobSatisfaction]]=1,"Very Dissatisfied",
HRData[[#This Row],[JobSatisfaction]]=2,"Dissatisfied",
HRData[[#This Row],[JobSatisfaction]]=3,"Satisfied",
HRData[[#This Row],[JobSatisfaction]]=4,"Very Satisfied"
)</f>
        <v>Dissatisfied</v>
      </c>
      <c r="V541" t="s">
        <v>48</v>
      </c>
      <c r="W541">
        <v>3875</v>
      </c>
      <c r="X541" t="str" cm="1">
        <f t="array" ref="X541">_xlfn.IFS(
HRData[[#This Row],[MonthlyIncome]]&lt;=4000,"Very Low Income",
HRData[[#This Row],[MonthlyIncome]]&lt;=8000,"Low Income",
HRData[[#This Row],[MonthlyIncome]]&lt;=12000,"Moderate Income",
HRData[[#This Row],[MonthlyIncome]]&lt;=16000,"High Income",
HRData[[#This Row],[MonthlyIncome]]&gt;16000,"Very High Income"
)</f>
        <v>Very Low Income</v>
      </c>
      <c r="Y541">
        <v>9983</v>
      </c>
      <c r="Z541">
        <v>7</v>
      </c>
      <c r="AA541" t="s">
        <v>42</v>
      </c>
      <c r="AB541" t="s">
        <v>43</v>
      </c>
      <c r="AC541">
        <v>15</v>
      </c>
      <c r="AD541" t="str" cm="1">
        <f t="array" ref="AD541">_xlfn.IFS(HRData[[#This Row],[PercentSalaryHike]]&lt;=15,"11-15",HRData[[#This Row],[PercentSalaryHike]]&lt;=20,"16-20",HRData[[#This Row],[PercentSalaryHike]]&gt;=21,"21+")</f>
        <v>11-15</v>
      </c>
      <c r="AE541">
        <v>3</v>
      </c>
      <c r="AF541">
        <v>4</v>
      </c>
      <c r="AG541">
        <v>80</v>
      </c>
      <c r="AH541">
        <v>1</v>
      </c>
      <c r="AI541">
        <v>4</v>
      </c>
      <c r="AJ541">
        <v>2</v>
      </c>
      <c r="AK541">
        <v>3</v>
      </c>
      <c r="AL541">
        <v>2</v>
      </c>
      <c r="AM541">
        <v>2</v>
      </c>
      <c r="AN541">
        <v>2</v>
      </c>
      <c r="AO541">
        <v>2</v>
      </c>
      <c r="AP54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41" t="str">
        <f>IF(HRData[[#This Row],[Attrition]]="Yes","Left", IF(HRData[[#This Row],[Attrition_Risk_Score]]&gt;=6,"High",IF(HRData[[#This Row],[Attrition_Risk_Score]]&gt;=3,"Medium","Low")))</f>
        <v>Medium</v>
      </c>
      <c r="AR541" t="str">
        <f>IF(HRData[[#This Row],[Attrition_Risk_Level]]&lt;&gt;"High","",HRData[[#This Row],[Attrition_Risk_Score]]*10000-HRData[[#This Row],[EmployeeNumber]])</f>
        <v/>
      </c>
    </row>
    <row r="542" spans="1:44">
      <c r="A542">
        <v>28</v>
      </c>
      <c r="B542" t="str" cm="1">
        <f t="array" ref="B542">_xlfn.IFS(
HRData[[#This Row],[Age]]&lt;=24,"18-24",
HRData[[#This Row],[Age]]&lt;=34,"25-34",
HRData[[#This Row],[Age]]&lt;=44,"35-44",
HRData[[#This Row],[Age]]&lt;=54,"45-54",
HRData[[#This Row],[Age]]&gt;=55,"55+"
)</f>
        <v>25-34</v>
      </c>
      <c r="C542" t="s">
        <v>35</v>
      </c>
      <c r="D542">
        <f>IF(HRData[[#This Row],[Attrition]]="Yes",1,0)</f>
        <v>1</v>
      </c>
      <c r="E542" t="s">
        <v>36</v>
      </c>
      <c r="F542">
        <v>654</v>
      </c>
      <c r="G542" t="s">
        <v>45</v>
      </c>
      <c r="H542">
        <v>1</v>
      </c>
      <c r="I542">
        <v>2</v>
      </c>
      <c r="J542" t="s">
        <v>38</v>
      </c>
      <c r="K542">
        <v>1</v>
      </c>
      <c r="L542">
        <v>741</v>
      </c>
      <c r="M542">
        <v>1</v>
      </c>
      <c r="N542" t="str" cm="1">
        <f t="array" ref="N542">_xlfn.IFS(HRData[[#This Row],[EnvironmentSatisfaction]]=1,"Very Dissatisfied",
HRData[[#This Row],[EnvironmentSatisfaction]]=2,"Dissatisfied",
HRData[[#This Row],[EnvironmentSatisfaction]]=3,"Satisfied",
HRData[[#This Row],[EnvironmentSatisfaction]]=4,"Very Satisfied"
)</f>
        <v>Very Dissatisfied</v>
      </c>
      <c r="O542" t="s">
        <v>39</v>
      </c>
      <c r="P542">
        <v>67</v>
      </c>
      <c r="Q542">
        <v>1</v>
      </c>
      <c r="R542">
        <v>1</v>
      </c>
      <c r="S542" t="s">
        <v>47</v>
      </c>
      <c r="T542">
        <v>2</v>
      </c>
      <c r="U542" t="str" cm="1">
        <f t="array" ref="U542">_xlfn.IFS(
HRData[[#This Row],[JobSatisfaction]]=1,"Very Dissatisfied",
HRData[[#This Row],[JobSatisfaction]]=2,"Dissatisfied",
HRData[[#This Row],[JobSatisfaction]]=3,"Satisfied",
HRData[[#This Row],[JobSatisfaction]]=4,"Very Satisfied"
)</f>
        <v>Dissatisfied</v>
      </c>
      <c r="V542" t="s">
        <v>41</v>
      </c>
      <c r="W542">
        <v>2216</v>
      </c>
      <c r="X542" t="str" cm="1">
        <f t="array" ref="X542">_xlfn.IFS(
HRData[[#This Row],[MonthlyIncome]]&lt;=4000,"Very Low Income",
HRData[[#This Row],[MonthlyIncome]]&lt;=8000,"Low Income",
HRData[[#This Row],[MonthlyIncome]]&lt;=12000,"Moderate Income",
HRData[[#This Row],[MonthlyIncome]]&lt;=16000,"High Income",
HRData[[#This Row],[MonthlyIncome]]&gt;16000,"Very High Income"
)</f>
        <v>Very Low Income</v>
      </c>
      <c r="Y542">
        <v>3872</v>
      </c>
      <c r="Z542">
        <v>7</v>
      </c>
      <c r="AA542" t="s">
        <v>42</v>
      </c>
      <c r="AB542" t="s">
        <v>35</v>
      </c>
      <c r="AC542">
        <v>13</v>
      </c>
      <c r="AD542" t="str" cm="1">
        <f t="array" ref="AD542">_xlfn.IFS(HRData[[#This Row],[PercentSalaryHike]]&lt;=15,"11-15",HRData[[#This Row],[PercentSalaryHike]]&lt;=20,"16-20",HRData[[#This Row],[PercentSalaryHike]]&gt;=21,"21+")</f>
        <v>11-15</v>
      </c>
      <c r="AE542">
        <v>3</v>
      </c>
      <c r="AF542">
        <v>4</v>
      </c>
      <c r="AG542">
        <v>80</v>
      </c>
      <c r="AH542">
        <v>0</v>
      </c>
      <c r="AI542">
        <v>10</v>
      </c>
      <c r="AJ542">
        <v>4</v>
      </c>
      <c r="AK542">
        <v>3</v>
      </c>
      <c r="AL542">
        <v>7</v>
      </c>
      <c r="AM542">
        <v>7</v>
      </c>
      <c r="AN542">
        <v>3</v>
      </c>
      <c r="AO542">
        <v>7</v>
      </c>
      <c r="AP54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42" t="str">
        <f>IF(HRData[[#This Row],[Attrition]]="Yes","Left", IF(HRData[[#This Row],[Attrition_Risk_Score]]&gt;=6,"High",IF(HRData[[#This Row],[Attrition_Risk_Score]]&gt;=3,"Medium","Low")))</f>
        <v>Left</v>
      </c>
      <c r="AR542" t="str">
        <f>IF(HRData[[#This Row],[Attrition_Risk_Level]]&lt;&gt;"High","",HRData[[#This Row],[Attrition_Risk_Score]]*10000-HRData[[#This Row],[EmployeeNumber]])</f>
        <v/>
      </c>
    </row>
    <row r="543" spans="1:44">
      <c r="A543">
        <v>36</v>
      </c>
      <c r="B543" t="str" cm="1">
        <f t="array" ref="B543">_xlfn.IFS(
HRData[[#This Row],[Age]]&lt;=24,"18-24",
HRData[[#This Row],[Age]]&lt;=34,"25-34",
HRData[[#This Row],[Age]]&lt;=44,"35-44",
HRData[[#This Row],[Age]]&lt;=54,"45-54",
HRData[[#This Row],[Age]]&gt;=55,"55+"
)</f>
        <v>35-44</v>
      </c>
      <c r="C543" t="s">
        <v>43</v>
      </c>
      <c r="D543">
        <f>IF(HRData[[#This Row],[Attrition]]="Yes",1,0)</f>
        <v>0</v>
      </c>
      <c r="E543" t="s">
        <v>55</v>
      </c>
      <c r="F543">
        <v>427</v>
      </c>
      <c r="G543" t="s">
        <v>45</v>
      </c>
      <c r="H543">
        <v>8</v>
      </c>
      <c r="I543">
        <v>3</v>
      </c>
      <c r="J543" t="s">
        <v>38</v>
      </c>
      <c r="K543">
        <v>1</v>
      </c>
      <c r="L543">
        <v>742</v>
      </c>
      <c r="M543">
        <v>1</v>
      </c>
      <c r="N543" t="str" cm="1">
        <f t="array" ref="N543">_xlfn.IFS(HRData[[#This Row],[EnvironmentSatisfaction]]=1,"Very Dissatisfied",
HRData[[#This Row],[EnvironmentSatisfaction]]=2,"Dissatisfied",
HRData[[#This Row],[EnvironmentSatisfaction]]=3,"Satisfied",
HRData[[#This Row],[EnvironmentSatisfaction]]=4,"Very Satisfied"
)</f>
        <v>Very Dissatisfied</v>
      </c>
      <c r="O543" t="s">
        <v>39</v>
      </c>
      <c r="P543">
        <v>63</v>
      </c>
      <c r="Q543">
        <v>4</v>
      </c>
      <c r="R543">
        <v>3</v>
      </c>
      <c r="S543" t="s">
        <v>58</v>
      </c>
      <c r="T543">
        <v>1</v>
      </c>
      <c r="U543" t="str" cm="1">
        <f t="array" ref="U543">_xlfn.IFS(
HRData[[#This Row],[JobSatisfaction]]=1,"Very Dissatisfied",
HRData[[#This Row],[JobSatisfaction]]=2,"Dissatisfied",
HRData[[#This Row],[JobSatisfaction]]=3,"Satisfied",
HRData[[#This Row],[JobSatisfaction]]=4,"Very Satisfied"
)</f>
        <v>Very Dissatisfied</v>
      </c>
      <c r="V543" t="s">
        <v>48</v>
      </c>
      <c r="W543">
        <v>11713</v>
      </c>
      <c r="X543" t="str" cm="1">
        <f t="array" ref="X543">_xlfn.IFS(
HRData[[#This Row],[MonthlyIncome]]&lt;=4000,"Very Low Income",
HRData[[#This Row],[MonthlyIncome]]&lt;=8000,"Low Income",
HRData[[#This Row],[MonthlyIncome]]&lt;=12000,"Moderate Income",
HRData[[#This Row],[MonthlyIncome]]&lt;=16000,"High Income",
HRData[[#This Row],[MonthlyIncome]]&gt;16000,"Very High Income"
)</f>
        <v>Moderate Income</v>
      </c>
      <c r="Y543">
        <v>20335</v>
      </c>
      <c r="Z543">
        <v>9</v>
      </c>
      <c r="AA543" t="s">
        <v>42</v>
      </c>
      <c r="AB543" t="s">
        <v>43</v>
      </c>
      <c r="AC543">
        <v>14</v>
      </c>
      <c r="AD543" t="str" cm="1">
        <f t="array" ref="AD543">_xlfn.IFS(HRData[[#This Row],[PercentSalaryHike]]&lt;=15,"11-15",HRData[[#This Row],[PercentSalaryHike]]&lt;=20,"16-20",HRData[[#This Row],[PercentSalaryHike]]&gt;=21,"21+")</f>
        <v>11-15</v>
      </c>
      <c r="AE543">
        <v>3</v>
      </c>
      <c r="AF543">
        <v>1</v>
      </c>
      <c r="AG543">
        <v>80</v>
      </c>
      <c r="AH543">
        <v>1</v>
      </c>
      <c r="AI543">
        <v>10</v>
      </c>
      <c r="AJ543">
        <v>2</v>
      </c>
      <c r="AK543">
        <v>3</v>
      </c>
      <c r="AL543">
        <v>8</v>
      </c>
      <c r="AM543">
        <v>7</v>
      </c>
      <c r="AN543">
        <v>0</v>
      </c>
      <c r="AO543">
        <v>5</v>
      </c>
      <c r="AP54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43" t="str">
        <f>IF(HRData[[#This Row],[Attrition]]="Yes","Left", IF(HRData[[#This Row],[Attrition_Risk_Score]]&gt;=6,"High",IF(HRData[[#This Row],[Attrition_Risk_Score]]&gt;=3,"Medium","Low")))</f>
        <v>Low</v>
      </c>
      <c r="AR543" t="str">
        <f>IF(HRData[[#This Row],[Attrition_Risk_Level]]&lt;&gt;"High","",HRData[[#This Row],[Attrition_Risk_Score]]*10000-HRData[[#This Row],[EmployeeNumber]])</f>
        <v/>
      </c>
    </row>
    <row r="544" spans="1:44">
      <c r="A544">
        <v>38</v>
      </c>
      <c r="B544" t="str" cm="1">
        <f t="array" ref="B544">_xlfn.IFS(
HRData[[#This Row],[Age]]&lt;=24,"18-24",
HRData[[#This Row],[Age]]&lt;=34,"25-34",
HRData[[#This Row],[Age]]&lt;=44,"35-44",
HRData[[#This Row],[Age]]&lt;=54,"45-54",
HRData[[#This Row],[Age]]&gt;=55,"55+"
)</f>
        <v>35-44</v>
      </c>
      <c r="C544" t="s">
        <v>43</v>
      </c>
      <c r="D544">
        <f>IF(HRData[[#This Row],[Attrition]]="Yes",1,0)</f>
        <v>0</v>
      </c>
      <c r="E544" t="s">
        <v>36</v>
      </c>
      <c r="F544">
        <v>168</v>
      </c>
      <c r="G544" t="s">
        <v>45</v>
      </c>
      <c r="H544">
        <v>1</v>
      </c>
      <c r="I544">
        <v>3</v>
      </c>
      <c r="J544" t="s">
        <v>38</v>
      </c>
      <c r="K544">
        <v>1</v>
      </c>
      <c r="L544">
        <v>743</v>
      </c>
      <c r="M544">
        <v>3</v>
      </c>
      <c r="N544" t="str" cm="1">
        <f t="array" ref="N544">_xlfn.IFS(HRData[[#This Row],[EnvironmentSatisfaction]]=1,"Very Dissatisfied",
HRData[[#This Row],[EnvironmentSatisfaction]]=2,"Dissatisfied",
HRData[[#This Row],[EnvironmentSatisfaction]]=3,"Satisfied",
HRData[[#This Row],[EnvironmentSatisfaction]]=4,"Very Satisfied"
)</f>
        <v>Satisfied</v>
      </c>
      <c r="O544" t="s">
        <v>39</v>
      </c>
      <c r="P544">
        <v>81</v>
      </c>
      <c r="Q544">
        <v>3</v>
      </c>
      <c r="R544">
        <v>3</v>
      </c>
      <c r="S544" t="s">
        <v>53</v>
      </c>
      <c r="T544">
        <v>3</v>
      </c>
      <c r="U544" t="str" cm="1">
        <f t="array" ref="U544">_xlfn.IFS(
HRData[[#This Row],[JobSatisfaction]]=1,"Very Dissatisfied",
HRData[[#This Row],[JobSatisfaction]]=2,"Dissatisfied",
HRData[[#This Row],[JobSatisfaction]]=3,"Satisfied",
HRData[[#This Row],[JobSatisfaction]]=4,"Very Satisfied"
)</f>
        <v>Satisfied</v>
      </c>
      <c r="V544" t="s">
        <v>41</v>
      </c>
      <c r="W544">
        <v>7861</v>
      </c>
      <c r="X544" t="str" cm="1">
        <f t="array" ref="X544">_xlfn.IFS(
HRData[[#This Row],[MonthlyIncome]]&lt;=4000,"Very Low Income",
HRData[[#This Row],[MonthlyIncome]]&lt;=8000,"Low Income",
HRData[[#This Row],[MonthlyIncome]]&lt;=12000,"Moderate Income",
HRData[[#This Row],[MonthlyIncome]]&lt;=16000,"High Income",
HRData[[#This Row],[MonthlyIncome]]&gt;16000,"Very High Income"
)</f>
        <v>Low Income</v>
      </c>
      <c r="Y544">
        <v>15397</v>
      </c>
      <c r="Z544">
        <v>4</v>
      </c>
      <c r="AA544" t="s">
        <v>42</v>
      </c>
      <c r="AB544" t="s">
        <v>35</v>
      </c>
      <c r="AC544">
        <v>14</v>
      </c>
      <c r="AD544" t="str" cm="1">
        <f t="array" ref="AD544">_xlfn.IFS(HRData[[#This Row],[PercentSalaryHike]]&lt;=15,"11-15",HRData[[#This Row],[PercentSalaryHike]]&lt;=20,"16-20",HRData[[#This Row],[PercentSalaryHike]]&gt;=21,"21+")</f>
        <v>11-15</v>
      </c>
      <c r="AE544">
        <v>3</v>
      </c>
      <c r="AF544">
        <v>4</v>
      </c>
      <c r="AG544">
        <v>80</v>
      </c>
      <c r="AH544">
        <v>0</v>
      </c>
      <c r="AI544">
        <v>10</v>
      </c>
      <c r="AJ544">
        <v>4</v>
      </c>
      <c r="AK544">
        <v>4</v>
      </c>
      <c r="AL544">
        <v>1</v>
      </c>
      <c r="AM544">
        <v>0</v>
      </c>
      <c r="AN544">
        <v>0</v>
      </c>
      <c r="AO544">
        <v>0</v>
      </c>
      <c r="AP54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44" t="str">
        <f>IF(HRData[[#This Row],[Attrition]]="Yes","Left", IF(HRData[[#This Row],[Attrition_Risk_Score]]&gt;=6,"High",IF(HRData[[#This Row],[Attrition_Risk_Score]]&gt;=3,"Medium","Low")))</f>
        <v>Medium</v>
      </c>
      <c r="AR544" t="str">
        <f>IF(HRData[[#This Row],[Attrition_Risk_Level]]&lt;&gt;"High","",HRData[[#This Row],[Attrition_Risk_Score]]*10000-HRData[[#This Row],[EmployeeNumber]])</f>
        <v/>
      </c>
    </row>
    <row r="545" spans="1:44">
      <c r="A545">
        <v>44</v>
      </c>
      <c r="B545" t="str" cm="1">
        <f t="array" ref="B545">_xlfn.IFS(
HRData[[#This Row],[Age]]&lt;=24,"18-24",
HRData[[#This Row],[Age]]&lt;=34,"25-34",
HRData[[#This Row],[Age]]&lt;=44,"35-44",
HRData[[#This Row],[Age]]&lt;=54,"45-54",
HRData[[#This Row],[Age]]&gt;=55,"55+"
)</f>
        <v>35-44</v>
      </c>
      <c r="C545" t="s">
        <v>43</v>
      </c>
      <c r="D545">
        <f>IF(HRData[[#This Row],[Attrition]]="Yes",1,0)</f>
        <v>0</v>
      </c>
      <c r="E545" t="s">
        <v>55</v>
      </c>
      <c r="F545">
        <v>381</v>
      </c>
      <c r="G545" t="s">
        <v>45</v>
      </c>
      <c r="H545">
        <v>24</v>
      </c>
      <c r="I545">
        <v>3</v>
      </c>
      <c r="J545" t="s">
        <v>51</v>
      </c>
      <c r="K545">
        <v>1</v>
      </c>
      <c r="L545">
        <v>744</v>
      </c>
      <c r="M545">
        <v>1</v>
      </c>
      <c r="N545" t="str" cm="1">
        <f t="array" ref="N545">_xlfn.IFS(HRData[[#This Row],[EnvironmentSatisfaction]]=1,"Very Dissatisfied",
HRData[[#This Row],[EnvironmentSatisfaction]]=2,"Dissatisfied",
HRData[[#This Row],[EnvironmentSatisfaction]]=3,"Satisfied",
HRData[[#This Row],[EnvironmentSatisfaction]]=4,"Very Satisfied"
)</f>
        <v>Very Dissatisfied</v>
      </c>
      <c r="O545" t="s">
        <v>46</v>
      </c>
      <c r="P545">
        <v>49</v>
      </c>
      <c r="Q545">
        <v>1</v>
      </c>
      <c r="R545">
        <v>1</v>
      </c>
      <c r="S545" t="s">
        <v>50</v>
      </c>
      <c r="T545">
        <v>3</v>
      </c>
      <c r="U545" t="str" cm="1">
        <f t="array" ref="U545">_xlfn.IFS(
HRData[[#This Row],[JobSatisfaction]]=1,"Very Dissatisfied",
HRData[[#This Row],[JobSatisfaction]]=2,"Dissatisfied",
HRData[[#This Row],[JobSatisfaction]]=3,"Satisfied",
HRData[[#This Row],[JobSatisfaction]]=4,"Very Satisfied"
)</f>
        <v>Satisfied</v>
      </c>
      <c r="V545" t="s">
        <v>41</v>
      </c>
      <c r="W545">
        <v>3708</v>
      </c>
      <c r="X545" t="str" cm="1">
        <f t="array" ref="X545">_xlfn.IFS(
HRData[[#This Row],[MonthlyIncome]]&lt;=4000,"Very Low Income",
HRData[[#This Row],[MonthlyIncome]]&lt;=8000,"Low Income",
HRData[[#This Row],[MonthlyIncome]]&lt;=12000,"Moderate Income",
HRData[[#This Row],[MonthlyIncome]]&lt;=16000,"High Income",
HRData[[#This Row],[MonthlyIncome]]&gt;16000,"Very High Income"
)</f>
        <v>Very Low Income</v>
      </c>
      <c r="Y545">
        <v>2104</v>
      </c>
      <c r="Z545">
        <v>2</v>
      </c>
      <c r="AA545" t="s">
        <v>42</v>
      </c>
      <c r="AB545" t="s">
        <v>43</v>
      </c>
      <c r="AC545">
        <v>14</v>
      </c>
      <c r="AD545" t="str" cm="1">
        <f t="array" ref="AD545">_xlfn.IFS(HRData[[#This Row],[PercentSalaryHike]]&lt;=15,"11-15",HRData[[#This Row],[PercentSalaryHike]]&lt;=20,"16-20",HRData[[#This Row],[PercentSalaryHike]]&gt;=21,"21+")</f>
        <v>11-15</v>
      </c>
      <c r="AE545">
        <v>3</v>
      </c>
      <c r="AF545">
        <v>3</v>
      </c>
      <c r="AG545">
        <v>80</v>
      </c>
      <c r="AH545">
        <v>0</v>
      </c>
      <c r="AI545">
        <v>9</v>
      </c>
      <c r="AJ545">
        <v>5</v>
      </c>
      <c r="AK545">
        <v>3</v>
      </c>
      <c r="AL545">
        <v>5</v>
      </c>
      <c r="AM545">
        <v>2</v>
      </c>
      <c r="AN545">
        <v>1</v>
      </c>
      <c r="AO545">
        <v>4</v>
      </c>
      <c r="AP54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45" t="str">
        <f>IF(HRData[[#This Row],[Attrition]]="Yes","Left", IF(HRData[[#This Row],[Attrition_Risk_Score]]&gt;=6,"High",IF(HRData[[#This Row],[Attrition_Risk_Score]]&gt;=3,"Medium","Low")))</f>
        <v>Medium</v>
      </c>
      <c r="AR545" t="str">
        <f>IF(HRData[[#This Row],[Attrition_Risk_Level]]&lt;&gt;"High","",HRData[[#This Row],[Attrition_Risk_Score]]*10000-HRData[[#This Row],[EmployeeNumber]])</f>
        <v/>
      </c>
    </row>
    <row r="546" spans="1:44">
      <c r="A546">
        <v>47</v>
      </c>
      <c r="B546" t="str" cm="1">
        <f t="array" ref="B546">_xlfn.IFS(
HRData[[#This Row],[Age]]&lt;=24,"18-24",
HRData[[#This Row],[Age]]&lt;=34,"25-34",
HRData[[#This Row],[Age]]&lt;=44,"35-44",
HRData[[#This Row],[Age]]&lt;=54,"45-54",
HRData[[#This Row],[Age]]&gt;=55,"55+"
)</f>
        <v>45-54</v>
      </c>
      <c r="C546" t="s">
        <v>43</v>
      </c>
      <c r="D546">
        <f>IF(HRData[[#This Row],[Attrition]]="Yes",1,0)</f>
        <v>0</v>
      </c>
      <c r="E546" t="s">
        <v>44</v>
      </c>
      <c r="F546">
        <v>217</v>
      </c>
      <c r="G546" t="s">
        <v>37</v>
      </c>
      <c r="H546">
        <v>3</v>
      </c>
      <c r="I546">
        <v>3</v>
      </c>
      <c r="J546" t="s">
        <v>51</v>
      </c>
      <c r="K546">
        <v>1</v>
      </c>
      <c r="L546">
        <v>746</v>
      </c>
      <c r="M546">
        <v>4</v>
      </c>
      <c r="N546" t="str" cm="1">
        <f t="array" ref="N546">_xlfn.IFS(HRData[[#This Row],[EnvironmentSatisfaction]]=1,"Very Dissatisfied",
HRData[[#This Row],[EnvironmentSatisfaction]]=2,"Dissatisfied",
HRData[[#This Row],[EnvironmentSatisfaction]]=3,"Satisfied",
HRData[[#This Row],[EnvironmentSatisfaction]]=4,"Very Satisfied"
)</f>
        <v>Very Satisfied</v>
      </c>
      <c r="O546" t="s">
        <v>39</v>
      </c>
      <c r="P546">
        <v>49</v>
      </c>
      <c r="Q546">
        <v>3</v>
      </c>
      <c r="R546">
        <v>4</v>
      </c>
      <c r="S546" t="s">
        <v>40</v>
      </c>
      <c r="T546">
        <v>3</v>
      </c>
      <c r="U546" t="str" cm="1">
        <f t="array" ref="U546">_xlfn.IFS(
HRData[[#This Row],[JobSatisfaction]]=1,"Very Dissatisfied",
HRData[[#This Row],[JobSatisfaction]]=2,"Dissatisfied",
HRData[[#This Row],[JobSatisfaction]]=3,"Satisfied",
HRData[[#This Row],[JobSatisfaction]]=4,"Very Satisfied"
)</f>
        <v>Satisfied</v>
      </c>
      <c r="V546" t="s">
        <v>52</v>
      </c>
      <c r="W546">
        <v>13770</v>
      </c>
      <c r="X546" t="str" cm="1">
        <f t="array" ref="X546">_xlfn.IFS(
HRData[[#This Row],[MonthlyIncome]]&lt;=4000,"Very Low Income",
HRData[[#This Row],[MonthlyIncome]]&lt;=8000,"Low Income",
HRData[[#This Row],[MonthlyIncome]]&lt;=12000,"Moderate Income",
HRData[[#This Row],[MonthlyIncome]]&lt;=16000,"High Income",
HRData[[#This Row],[MonthlyIncome]]&gt;16000,"Very High Income"
)</f>
        <v>High Income</v>
      </c>
      <c r="Y546">
        <v>10225</v>
      </c>
      <c r="Z546">
        <v>9</v>
      </c>
      <c r="AA546" t="s">
        <v>42</v>
      </c>
      <c r="AB546" t="s">
        <v>35</v>
      </c>
      <c r="AC546">
        <v>12</v>
      </c>
      <c r="AD546" t="str" cm="1">
        <f t="array" ref="AD546">_xlfn.IFS(HRData[[#This Row],[PercentSalaryHike]]&lt;=15,"11-15",HRData[[#This Row],[PercentSalaryHike]]&lt;=20,"16-20",HRData[[#This Row],[PercentSalaryHike]]&gt;=21,"21+")</f>
        <v>11-15</v>
      </c>
      <c r="AE546">
        <v>3</v>
      </c>
      <c r="AF546">
        <v>4</v>
      </c>
      <c r="AG546">
        <v>80</v>
      </c>
      <c r="AH546">
        <v>2</v>
      </c>
      <c r="AI546">
        <v>28</v>
      </c>
      <c r="AJ546">
        <v>2</v>
      </c>
      <c r="AK546">
        <v>2</v>
      </c>
      <c r="AL546">
        <v>22</v>
      </c>
      <c r="AM546">
        <v>2</v>
      </c>
      <c r="AN546">
        <v>11</v>
      </c>
      <c r="AO546">
        <v>13</v>
      </c>
      <c r="AP54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46" t="str">
        <f>IF(HRData[[#This Row],[Attrition]]="Yes","Left", IF(HRData[[#This Row],[Attrition_Risk_Score]]&gt;=6,"High",IF(HRData[[#This Row],[Attrition_Risk_Score]]&gt;=3,"Medium","Low")))</f>
        <v>Low</v>
      </c>
      <c r="AR546" t="str">
        <f>IF(HRData[[#This Row],[Attrition_Risk_Level]]&lt;&gt;"High","",HRData[[#This Row],[Attrition_Risk_Score]]*10000-HRData[[#This Row],[EmployeeNumber]])</f>
        <v/>
      </c>
    </row>
    <row r="547" spans="1:44">
      <c r="A547">
        <v>30</v>
      </c>
      <c r="B547" t="str" cm="1">
        <f t="array" ref="B547">_xlfn.IFS(
HRData[[#This Row],[Age]]&lt;=24,"18-24",
HRData[[#This Row],[Age]]&lt;=34,"25-34",
HRData[[#This Row],[Age]]&lt;=44,"35-44",
HRData[[#This Row],[Age]]&lt;=54,"45-54",
HRData[[#This Row],[Age]]&gt;=55,"55+"
)</f>
        <v>25-34</v>
      </c>
      <c r="C547" t="s">
        <v>43</v>
      </c>
      <c r="D547">
        <f>IF(HRData[[#This Row],[Attrition]]="Yes",1,0)</f>
        <v>0</v>
      </c>
      <c r="E547" t="s">
        <v>36</v>
      </c>
      <c r="F547">
        <v>501</v>
      </c>
      <c r="G547" t="s">
        <v>37</v>
      </c>
      <c r="H547">
        <v>27</v>
      </c>
      <c r="I547">
        <v>5</v>
      </c>
      <c r="J547" t="s">
        <v>59</v>
      </c>
      <c r="K547">
        <v>1</v>
      </c>
      <c r="L547">
        <v>747</v>
      </c>
      <c r="M547">
        <v>3</v>
      </c>
      <c r="N547" t="str" cm="1">
        <f t="array" ref="N547">_xlfn.IFS(HRData[[#This Row],[EnvironmentSatisfaction]]=1,"Very Dissatisfied",
HRData[[#This Row],[EnvironmentSatisfaction]]=2,"Dissatisfied",
HRData[[#This Row],[EnvironmentSatisfaction]]=3,"Satisfied",
HRData[[#This Row],[EnvironmentSatisfaction]]=4,"Very Satisfied"
)</f>
        <v>Satisfied</v>
      </c>
      <c r="O547" t="s">
        <v>46</v>
      </c>
      <c r="P547">
        <v>99</v>
      </c>
      <c r="Q547">
        <v>3</v>
      </c>
      <c r="R547">
        <v>2</v>
      </c>
      <c r="S547" t="s">
        <v>40</v>
      </c>
      <c r="T547">
        <v>4</v>
      </c>
      <c r="U547" t="str" cm="1">
        <f t="array" ref="U547">_xlfn.IFS(
HRData[[#This Row],[JobSatisfaction]]=1,"Very Dissatisfied",
HRData[[#This Row],[JobSatisfaction]]=2,"Dissatisfied",
HRData[[#This Row],[JobSatisfaction]]=3,"Satisfied",
HRData[[#This Row],[JobSatisfaction]]=4,"Very Satisfied"
)</f>
        <v>Very Satisfied</v>
      </c>
      <c r="V547" t="s">
        <v>52</v>
      </c>
      <c r="W547">
        <v>5304</v>
      </c>
      <c r="X547" t="str" cm="1">
        <f t="array" ref="X547">_xlfn.IFS(
HRData[[#This Row],[MonthlyIncome]]&lt;=4000,"Very Low Income",
HRData[[#This Row],[MonthlyIncome]]&lt;=8000,"Low Income",
HRData[[#This Row],[MonthlyIncome]]&lt;=12000,"Moderate Income",
HRData[[#This Row],[MonthlyIncome]]&lt;=16000,"High Income",
HRData[[#This Row],[MonthlyIncome]]&gt;16000,"Very High Income"
)</f>
        <v>Low Income</v>
      </c>
      <c r="Y547">
        <v>25275</v>
      </c>
      <c r="Z547">
        <v>7</v>
      </c>
      <c r="AA547" t="s">
        <v>42</v>
      </c>
      <c r="AB547" t="s">
        <v>43</v>
      </c>
      <c r="AC547">
        <v>23</v>
      </c>
      <c r="AD547" t="str" cm="1">
        <f t="array" ref="AD547">_xlfn.IFS(HRData[[#This Row],[PercentSalaryHike]]&lt;=15,"11-15",HRData[[#This Row],[PercentSalaryHike]]&lt;=20,"16-20",HRData[[#This Row],[PercentSalaryHike]]&gt;=21,"21+")</f>
        <v>21+</v>
      </c>
      <c r="AE547">
        <v>4</v>
      </c>
      <c r="AF547">
        <v>4</v>
      </c>
      <c r="AG547">
        <v>80</v>
      </c>
      <c r="AH547">
        <v>1</v>
      </c>
      <c r="AI547">
        <v>10</v>
      </c>
      <c r="AJ547">
        <v>2</v>
      </c>
      <c r="AK547">
        <v>2</v>
      </c>
      <c r="AL547">
        <v>8</v>
      </c>
      <c r="AM547">
        <v>7</v>
      </c>
      <c r="AN547">
        <v>7</v>
      </c>
      <c r="AO547">
        <v>7</v>
      </c>
      <c r="AP54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47" t="str">
        <f>IF(HRData[[#This Row],[Attrition]]="Yes","Left", IF(HRData[[#This Row],[Attrition_Risk_Score]]&gt;=6,"High",IF(HRData[[#This Row],[Attrition_Risk_Score]]&gt;=3,"Medium","Low")))</f>
        <v>Low</v>
      </c>
      <c r="AR547" t="str">
        <f>IF(HRData[[#This Row],[Attrition_Risk_Level]]&lt;&gt;"High","",HRData[[#This Row],[Attrition_Risk_Score]]*10000-HRData[[#This Row],[EmployeeNumber]])</f>
        <v/>
      </c>
    </row>
    <row r="548" spans="1:44">
      <c r="A548">
        <v>29</v>
      </c>
      <c r="B548" t="str" cm="1">
        <f t="array" ref="B548">_xlfn.IFS(
HRData[[#This Row],[Age]]&lt;=24,"18-24",
HRData[[#This Row],[Age]]&lt;=34,"25-34",
HRData[[#This Row],[Age]]&lt;=44,"35-44",
HRData[[#This Row],[Age]]&lt;=54,"45-54",
HRData[[#This Row],[Age]]&gt;=55,"55+"
)</f>
        <v>25-34</v>
      </c>
      <c r="C548" t="s">
        <v>43</v>
      </c>
      <c r="D548">
        <f>IF(HRData[[#This Row],[Attrition]]="Yes",1,0)</f>
        <v>0</v>
      </c>
      <c r="E548" t="s">
        <v>36</v>
      </c>
      <c r="F548">
        <v>1396</v>
      </c>
      <c r="G548" t="s">
        <v>37</v>
      </c>
      <c r="H548">
        <v>10</v>
      </c>
      <c r="I548">
        <v>3</v>
      </c>
      <c r="J548" t="s">
        <v>38</v>
      </c>
      <c r="K548">
        <v>1</v>
      </c>
      <c r="L548">
        <v>749</v>
      </c>
      <c r="M548">
        <v>3</v>
      </c>
      <c r="N548" t="str" cm="1">
        <f t="array" ref="N548">_xlfn.IFS(HRData[[#This Row],[EnvironmentSatisfaction]]=1,"Very Dissatisfied",
HRData[[#This Row],[EnvironmentSatisfaction]]=2,"Dissatisfied",
HRData[[#This Row],[EnvironmentSatisfaction]]=3,"Satisfied",
HRData[[#This Row],[EnvironmentSatisfaction]]=4,"Very Satisfied"
)</f>
        <v>Satisfied</v>
      </c>
      <c r="O548" t="s">
        <v>46</v>
      </c>
      <c r="P548">
        <v>99</v>
      </c>
      <c r="Q548">
        <v>3</v>
      </c>
      <c r="R548">
        <v>1</v>
      </c>
      <c r="S548" t="s">
        <v>57</v>
      </c>
      <c r="T548">
        <v>3</v>
      </c>
      <c r="U548" t="str" cm="1">
        <f t="array" ref="U548">_xlfn.IFS(
HRData[[#This Row],[JobSatisfaction]]=1,"Very Dissatisfied",
HRData[[#This Row],[JobSatisfaction]]=2,"Dissatisfied",
HRData[[#This Row],[JobSatisfaction]]=3,"Satisfied",
HRData[[#This Row],[JobSatisfaction]]=4,"Very Satisfied"
)</f>
        <v>Satisfied</v>
      </c>
      <c r="V548" t="s">
        <v>41</v>
      </c>
      <c r="W548">
        <v>2642</v>
      </c>
      <c r="X548" t="str" cm="1">
        <f t="array" ref="X548">_xlfn.IFS(
HRData[[#This Row],[MonthlyIncome]]&lt;=4000,"Very Low Income",
HRData[[#This Row],[MonthlyIncome]]&lt;=8000,"Low Income",
HRData[[#This Row],[MonthlyIncome]]&lt;=12000,"Moderate Income",
HRData[[#This Row],[MonthlyIncome]]&lt;=16000,"High Income",
HRData[[#This Row],[MonthlyIncome]]&gt;16000,"Very High Income"
)</f>
        <v>Very Low Income</v>
      </c>
      <c r="Y548">
        <v>2755</v>
      </c>
      <c r="Z548">
        <v>1</v>
      </c>
      <c r="AA548" t="s">
        <v>42</v>
      </c>
      <c r="AB548" t="s">
        <v>43</v>
      </c>
      <c r="AC548">
        <v>11</v>
      </c>
      <c r="AD548" t="str" cm="1">
        <f t="array" ref="AD548">_xlfn.IFS(HRData[[#This Row],[PercentSalaryHike]]&lt;=15,"11-15",HRData[[#This Row],[PercentSalaryHike]]&lt;=20,"16-20",HRData[[#This Row],[PercentSalaryHike]]&gt;=21,"21+")</f>
        <v>11-15</v>
      </c>
      <c r="AE548">
        <v>3</v>
      </c>
      <c r="AF548">
        <v>3</v>
      </c>
      <c r="AG548">
        <v>80</v>
      </c>
      <c r="AH548">
        <v>0</v>
      </c>
      <c r="AI548">
        <v>1</v>
      </c>
      <c r="AJ548">
        <v>6</v>
      </c>
      <c r="AK548">
        <v>3</v>
      </c>
      <c r="AL548">
        <v>1</v>
      </c>
      <c r="AM548">
        <v>0</v>
      </c>
      <c r="AN548">
        <v>0</v>
      </c>
      <c r="AO548">
        <v>0</v>
      </c>
      <c r="AP54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548" t="str">
        <f>IF(HRData[[#This Row],[Attrition]]="Yes","Left", IF(HRData[[#This Row],[Attrition_Risk_Score]]&gt;=6,"High",IF(HRData[[#This Row],[Attrition_Risk_Score]]&gt;=3,"Medium","Low")))</f>
        <v>Medium</v>
      </c>
      <c r="AR548" t="str">
        <f>IF(HRData[[#This Row],[Attrition_Risk_Level]]&lt;&gt;"High","",HRData[[#This Row],[Attrition_Risk_Score]]*10000-HRData[[#This Row],[EmployeeNumber]])</f>
        <v/>
      </c>
    </row>
    <row r="549" spans="1:44">
      <c r="A549">
        <v>42</v>
      </c>
      <c r="B549" t="str" cm="1">
        <f t="array" ref="B549">_xlfn.IFS(
HRData[[#This Row],[Age]]&lt;=24,"18-24",
HRData[[#This Row],[Age]]&lt;=34,"25-34",
HRData[[#This Row],[Age]]&lt;=44,"35-44",
HRData[[#This Row],[Age]]&lt;=54,"45-54",
HRData[[#This Row],[Age]]&gt;=55,"55+"
)</f>
        <v>35-44</v>
      </c>
      <c r="C549" t="s">
        <v>35</v>
      </c>
      <c r="D549">
        <f>IF(HRData[[#This Row],[Attrition]]="Yes",1,0)</f>
        <v>1</v>
      </c>
      <c r="E549" t="s">
        <v>44</v>
      </c>
      <c r="F549">
        <v>933</v>
      </c>
      <c r="G549" t="s">
        <v>45</v>
      </c>
      <c r="H549">
        <v>19</v>
      </c>
      <c r="I549">
        <v>3</v>
      </c>
      <c r="J549" t="s">
        <v>51</v>
      </c>
      <c r="K549">
        <v>1</v>
      </c>
      <c r="L549">
        <v>752</v>
      </c>
      <c r="M549">
        <v>3</v>
      </c>
      <c r="N549" t="str" cm="1">
        <f t="array" ref="N549">_xlfn.IFS(HRData[[#This Row],[EnvironmentSatisfaction]]=1,"Very Dissatisfied",
HRData[[#This Row],[EnvironmentSatisfaction]]=2,"Dissatisfied",
HRData[[#This Row],[EnvironmentSatisfaction]]=3,"Satisfied",
HRData[[#This Row],[EnvironmentSatisfaction]]=4,"Very Satisfied"
)</f>
        <v>Satisfied</v>
      </c>
      <c r="O549" t="s">
        <v>46</v>
      </c>
      <c r="P549">
        <v>57</v>
      </c>
      <c r="Q549">
        <v>4</v>
      </c>
      <c r="R549">
        <v>1</v>
      </c>
      <c r="S549" t="s">
        <v>47</v>
      </c>
      <c r="T549">
        <v>3</v>
      </c>
      <c r="U549" t="str" cm="1">
        <f t="array" ref="U549">_xlfn.IFS(
HRData[[#This Row],[JobSatisfaction]]=1,"Very Dissatisfied",
HRData[[#This Row],[JobSatisfaction]]=2,"Dissatisfied",
HRData[[#This Row],[JobSatisfaction]]=3,"Satisfied",
HRData[[#This Row],[JobSatisfaction]]=4,"Very Satisfied"
)</f>
        <v>Satisfied</v>
      </c>
      <c r="V549" t="s">
        <v>52</v>
      </c>
      <c r="W549">
        <v>2759</v>
      </c>
      <c r="X549" t="str" cm="1">
        <f t="array" ref="X549">_xlfn.IFS(
HRData[[#This Row],[MonthlyIncome]]&lt;=4000,"Very Low Income",
HRData[[#This Row],[MonthlyIncome]]&lt;=8000,"Low Income",
HRData[[#This Row],[MonthlyIncome]]&lt;=12000,"Moderate Income",
HRData[[#This Row],[MonthlyIncome]]&lt;=16000,"High Income",
HRData[[#This Row],[MonthlyIncome]]&gt;16000,"Very High Income"
)</f>
        <v>Very Low Income</v>
      </c>
      <c r="Y549">
        <v>20366</v>
      </c>
      <c r="Z549">
        <v>6</v>
      </c>
      <c r="AA549" t="s">
        <v>42</v>
      </c>
      <c r="AB549" t="s">
        <v>35</v>
      </c>
      <c r="AC549">
        <v>12</v>
      </c>
      <c r="AD549" t="str" cm="1">
        <f t="array" ref="AD549">_xlfn.IFS(HRData[[#This Row],[PercentSalaryHike]]&lt;=15,"11-15",HRData[[#This Row],[PercentSalaryHike]]&lt;=20,"16-20",HRData[[#This Row],[PercentSalaryHike]]&gt;=21,"21+")</f>
        <v>11-15</v>
      </c>
      <c r="AE549">
        <v>3</v>
      </c>
      <c r="AF549">
        <v>4</v>
      </c>
      <c r="AG549">
        <v>80</v>
      </c>
      <c r="AH549">
        <v>0</v>
      </c>
      <c r="AI549">
        <v>7</v>
      </c>
      <c r="AJ549">
        <v>2</v>
      </c>
      <c r="AK549">
        <v>3</v>
      </c>
      <c r="AL549">
        <v>2</v>
      </c>
      <c r="AM549">
        <v>2</v>
      </c>
      <c r="AN549">
        <v>2</v>
      </c>
      <c r="AO549">
        <v>2</v>
      </c>
      <c r="AP54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49" t="str">
        <f>IF(HRData[[#This Row],[Attrition]]="Yes","Left", IF(HRData[[#This Row],[Attrition_Risk_Score]]&gt;=6,"High",IF(HRData[[#This Row],[Attrition_Risk_Score]]&gt;=3,"Medium","Low")))</f>
        <v>Left</v>
      </c>
      <c r="AR549" t="str">
        <f>IF(HRData[[#This Row],[Attrition_Risk_Level]]&lt;&gt;"High","",HRData[[#This Row],[Attrition_Risk_Score]]*10000-HRData[[#This Row],[EmployeeNumber]])</f>
        <v/>
      </c>
    </row>
    <row r="550" spans="1:44">
      <c r="A550">
        <v>43</v>
      </c>
      <c r="B550" t="str" cm="1">
        <f t="array" ref="B550">_xlfn.IFS(
HRData[[#This Row],[Age]]&lt;=24,"18-24",
HRData[[#This Row],[Age]]&lt;=34,"25-34",
HRData[[#This Row],[Age]]&lt;=44,"35-44",
HRData[[#This Row],[Age]]&lt;=54,"45-54",
HRData[[#This Row],[Age]]&gt;=55,"55+"
)</f>
        <v>35-44</v>
      </c>
      <c r="C550" t="s">
        <v>43</v>
      </c>
      <c r="D550">
        <f>IF(HRData[[#This Row],[Attrition]]="Yes",1,0)</f>
        <v>0</v>
      </c>
      <c r="E550" t="s">
        <v>44</v>
      </c>
      <c r="F550">
        <v>775</v>
      </c>
      <c r="G550" t="s">
        <v>37</v>
      </c>
      <c r="H550">
        <v>15</v>
      </c>
      <c r="I550">
        <v>3</v>
      </c>
      <c r="J550" t="s">
        <v>38</v>
      </c>
      <c r="K550">
        <v>1</v>
      </c>
      <c r="L550">
        <v>754</v>
      </c>
      <c r="M550">
        <v>4</v>
      </c>
      <c r="N550" t="str" cm="1">
        <f t="array" ref="N550">_xlfn.IFS(HRData[[#This Row],[EnvironmentSatisfaction]]=1,"Very Dissatisfied",
HRData[[#This Row],[EnvironmentSatisfaction]]=2,"Dissatisfied",
HRData[[#This Row],[EnvironmentSatisfaction]]=3,"Satisfied",
HRData[[#This Row],[EnvironmentSatisfaction]]=4,"Very Satisfied"
)</f>
        <v>Very Satisfied</v>
      </c>
      <c r="O550" t="s">
        <v>46</v>
      </c>
      <c r="P550">
        <v>47</v>
      </c>
      <c r="Q550">
        <v>2</v>
      </c>
      <c r="R550">
        <v>2</v>
      </c>
      <c r="S550" t="s">
        <v>40</v>
      </c>
      <c r="T550">
        <v>4</v>
      </c>
      <c r="U550" t="str" cm="1">
        <f t="array" ref="U550">_xlfn.IFS(
HRData[[#This Row],[JobSatisfaction]]=1,"Very Dissatisfied",
HRData[[#This Row],[JobSatisfaction]]=2,"Dissatisfied",
HRData[[#This Row],[JobSatisfaction]]=3,"Satisfied",
HRData[[#This Row],[JobSatisfaction]]=4,"Very Satisfied"
)</f>
        <v>Very Satisfied</v>
      </c>
      <c r="V550" t="s">
        <v>48</v>
      </c>
      <c r="W550">
        <v>6804</v>
      </c>
      <c r="X550" t="str" cm="1">
        <f t="array" ref="X550">_xlfn.IFS(
HRData[[#This Row],[MonthlyIncome]]&lt;=4000,"Very Low Income",
HRData[[#This Row],[MonthlyIncome]]&lt;=8000,"Low Income",
HRData[[#This Row],[MonthlyIncome]]&lt;=12000,"Moderate Income",
HRData[[#This Row],[MonthlyIncome]]&lt;=16000,"High Income",
HRData[[#This Row],[MonthlyIncome]]&gt;16000,"Very High Income"
)</f>
        <v>Low Income</v>
      </c>
      <c r="Y550">
        <v>23683</v>
      </c>
      <c r="Z550">
        <v>3</v>
      </c>
      <c r="AA550" t="s">
        <v>42</v>
      </c>
      <c r="AB550" t="s">
        <v>43</v>
      </c>
      <c r="AC550">
        <v>18</v>
      </c>
      <c r="AD550" t="str" cm="1">
        <f t="array" ref="AD550">_xlfn.IFS(HRData[[#This Row],[PercentSalaryHike]]&lt;=15,"11-15",HRData[[#This Row],[PercentSalaryHike]]&lt;=20,"16-20",HRData[[#This Row],[PercentSalaryHike]]&gt;=21,"21+")</f>
        <v>16-20</v>
      </c>
      <c r="AE550">
        <v>3</v>
      </c>
      <c r="AF550">
        <v>3</v>
      </c>
      <c r="AG550">
        <v>80</v>
      </c>
      <c r="AH550">
        <v>1</v>
      </c>
      <c r="AI550">
        <v>7</v>
      </c>
      <c r="AJ550">
        <v>5</v>
      </c>
      <c r="AK550">
        <v>3</v>
      </c>
      <c r="AL550">
        <v>2</v>
      </c>
      <c r="AM550">
        <v>2</v>
      </c>
      <c r="AN550">
        <v>2</v>
      </c>
      <c r="AO550">
        <v>2</v>
      </c>
      <c r="AP55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550" t="str">
        <f>IF(HRData[[#This Row],[Attrition]]="Yes","Left", IF(HRData[[#This Row],[Attrition_Risk_Score]]&gt;=6,"High",IF(HRData[[#This Row],[Attrition_Risk_Score]]&gt;=3,"Medium","Low")))</f>
        <v>Low</v>
      </c>
      <c r="AR550" t="str">
        <f>IF(HRData[[#This Row],[Attrition_Risk_Level]]&lt;&gt;"High","",HRData[[#This Row],[Attrition_Risk_Score]]*10000-HRData[[#This Row],[EmployeeNumber]])</f>
        <v/>
      </c>
    </row>
    <row r="551" spans="1:44">
      <c r="A551">
        <v>34</v>
      </c>
      <c r="B551" t="str" cm="1">
        <f t="array" ref="B551">_xlfn.IFS(
HRData[[#This Row],[Age]]&lt;=24,"18-24",
HRData[[#This Row],[Age]]&lt;=34,"25-34",
HRData[[#This Row],[Age]]&lt;=44,"35-44",
HRData[[#This Row],[Age]]&lt;=54,"45-54",
HRData[[#This Row],[Age]]&gt;=55,"55+"
)</f>
        <v>25-34</v>
      </c>
      <c r="C551" t="s">
        <v>43</v>
      </c>
      <c r="D551">
        <f>IF(HRData[[#This Row],[Attrition]]="Yes",1,0)</f>
        <v>0</v>
      </c>
      <c r="E551" t="s">
        <v>36</v>
      </c>
      <c r="F551">
        <v>970</v>
      </c>
      <c r="G551" t="s">
        <v>45</v>
      </c>
      <c r="H551">
        <v>8</v>
      </c>
      <c r="I551">
        <v>2</v>
      </c>
      <c r="J551" t="s">
        <v>51</v>
      </c>
      <c r="K551">
        <v>1</v>
      </c>
      <c r="L551">
        <v>757</v>
      </c>
      <c r="M551">
        <v>2</v>
      </c>
      <c r="N551" t="str" cm="1">
        <f t="array" ref="N551">_xlfn.IFS(HRData[[#This Row],[EnvironmentSatisfaction]]=1,"Very Dissatisfied",
HRData[[#This Row],[EnvironmentSatisfaction]]=2,"Dissatisfied",
HRData[[#This Row],[EnvironmentSatisfaction]]=3,"Satisfied",
HRData[[#This Row],[EnvironmentSatisfaction]]=4,"Very Satisfied"
)</f>
        <v>Dissatisfied</v>
      </c>
      <c r="O551" t="s">
        <v>39</v>
      </c>
      <c r="P551">
        <v>96</v>
      </c>
      <c r="Q551">
        <v>3</v>
      </c>
      <c r="R551">
        <v>2</v>
      </c>
      <c r="S551" t="s">
        <v>54</v>
      </c>
      <c r="T551">
        <v>3</v>
      </c>
      <c r="U551" t="str" cm="1">
        <f t="array" ref="U551">_xlfn.IFS(
HRData[[#This Row],[JobSatisfaction]]=1,"Very Dissatisfied",
HRData[[#This Row],[JobSatisfaction]]=2,"Dissatisfied",
HRData[[#This Row],[JobSatisfaction]]=3,"Satisfied",
HRData[[#This Row],[JobSatisfaction]]=4,"Very Satisfied"
)</f>
        <v>Satisfied</v>
      </c>
      <c r="V551" t="s">
        <v>41</v>
      </c>
      <c r="W551">
        <v>6142</v>
      </c>
      <c r="X551" t="str" cm="1">
        <f t="array" ref="X551">_xlfn.IFS(
HRData[[#This Row],[MonthlyIncome]]&lt;=4000,"Very Low Income",
HRData[[#This Row],[MonthlyIncome]]&lt;=8000,"Low Income",
HRData[[#This Row],[MonthlyIncome]]&lt;=12000,"Moderate Income",
HRData[[#This Row],[MonthlyIncome]]&lt;=16000,"High Income",
HRData[[#This Row],[MonthlyIncome]]&gt;16000,"Very High Income"
)</f>
        <v>Low Income</v>
      </c>
      <c r="Y551">
        <v>7360</v>
      </c>
      <c r="Z551">
        <v>3</v>
      </c>
      <c r="AA551" t="s">
        <v>42</v>
      </c>
      <c r="AB551" t="s">
        <v>43</v>
      </c>
      <c r="AC551">
        <v>11</v>
      </c>
      <c r="AD551" t="str" cm="1">
        <f t="array" ref="AD551">_xlfn.IFS(HRData[[#This Row],[PercentSalaryHike]]&lt;=15,"11-15",HRData[[#This Row],[PercentSalaryHike]]&lt;=20,"16-20",HRData[[#This Row],[PercentSalaryHike]]&gt;=21,"21+")</f>
        <v>11-15</v>
      </c>
      <c r="AE551">
        <v>3</v>
      </c>
      <c r="AF551">
        <v>4</v>
      </c>
      <c r="AG551">
        <v>80</v>
      </c>
      <c r="AH551">
        <v>0</v>
      </c>
      <c r="AI551">
        <v>10</v>
      </c>
      <c r="AJ551">
        <v>2</v>
      </c>
      <c r="AK551">
        <v>3</v>
      </c>
      <c r="AL551">
        <v>5</v>
      </c>
      <c r="AM551">
        <v>1</v>
      </c>
      <c r="AN551">
        <v>4</v>
      </c>
      <c r="AO551">
        <v>3</v>
      </c>
      <c r="AP55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51" t="str">
        <f>IF(HRData[[#This Row],[Attrition]]="Yes","Left", IF(HRData[[#This Row],[Attrition_Risk_Score]]&gt;=6,"High",IF(HRData[[#This Row],[Attrition_Risk_Score]]&gt;=3,"Medium","Low")))</f>
        <v>Low</v>
      </c>
      <c r="AR551" t="str">
        <f>IF(HRData[[#This Row],[Attrition_Risk_Level]]&lt;&gt;"High","",HRData[[#This Row],[Attrition_Risk_Score]]*10000-HRData[[#This Row],[EmployeeNumber]])</f>
        <v/>
      </c>
    </row>
    <row r="552" spans="1:44">
      <c r="A552">
        <v>23</v>
      </c>
      <c r="B552" t="str" cm="1">
        <f t="array" ref="B552">_xlfn.IFS(
HRData[[#This Row],[Age]]&lt;=24,"18-24",
HRData[[#This Row],[Age]]&lt;=34,"25-34",
HRData[[#This Row],[Age]]&lt;=44,"35-44",
HRData[[#This Row],[Age]]&lt;=54,"45-54",
HRData[[#This Row],[Age]]&gt;=55,"55+"
)</f>
        <v>18-24</v>
      </c>
      <c r="C552" t="s">
        <v>43</v>
      </c>
      <c r="D552">
        <f>IF(HRData[[#This Row],[Attrition]]="Yes",1,0)</f>
        <v>0</v>
      </c>
      <c r="E552" t="s">
        <v>36</v>
      </c>
      <c r="F552">
        <v>650</v>
      </c>
      <c r="G552" t="s">
        <v>45</v>
      </c>
      <c r="H552">
        <v>9</v>
      </c>
      <c r="I552">
        <v>1</v>
      </c>
      <c r="J552" t="s">
        <v>51</v>
      </c>
      <c r="K552">
        <v>1</v>
      </c>
      <c r="L552">
        <v>758</v>
      </c>
      <c r="M552">
        <v>2</v>
      </c>
      <c r="N552" t="str" cm="1">
        <f t="array" ref="N552">_xlfn.IFS(HRData[[#This Row],[EnvironmentSatisfaction]]=1,"Very Dissatisfied",
HRData[[#This Row],[EnvironmentSatisfaction]]=2,"Dissatisfied",
HRData[[#This Row],[EnvironmentSatisfaction]]=3,"Satisfied",
HRData[[#This Row],[EnvironmentSatisfaction]]=4,"Very Satisfied"
)</f>
        <v>Dissatisfied</v>
      </c>
      <c r="O552" t="s">
        <v>46</v>
      </c>
      <c r="P552">
        <v>37</v>
      </c>
      <c r="Q552">
        <v>3</v>
      </c>
      <c r="R552">
        <v>1</v>
      </c>
      <c r="S552" t="s">
        <v>50</v>
      </c>
      <c r="T552">
        <v>1</v>
      </c>
      <c r="U552" t="str" cm="1">
        <f t="array" ref="U552">_xlfn.IFS(
HRData[[#This Row],[JobSatisfaction]]=1,"Very Dissatisfied",
HRData[[#This Row],[JobSatisfaction]]=2,"Dissatisfied",
HRData[[#This Row],[JobSatisfaction]]=3,"Satisfied",
HRData[[#This Row],[JobSatisfaction]]=4,"Very Satisfied"
)</f>
        <v>Very Dissatisfied</v>
      </c>
      <c r="V552" t="s">
        <v>48</v>
      </c>
      <c r="W552">
        <v>2500</v>
      </c>
      <c r="X552" t="str" cm="1">
        <f t="array" ref="X552">_xlfn.IFS(
HRData[[#This Row],[MonthlyIncome]]&lt;=4000,"Very Low Income",
HRData[[#This Row],[MonthlyIncome]]&lt;=8000,"Low Income",
HRData[[#This Row],[MonthlyIncome]]&lt;=12000,"Moderate Income",
HRData[[#This Row],[MonthlyIncome]]&lt;=16000,"High Income",
HRData[[#This Row],[MonthlyIncome]]&gt;16000,"Very High Income"
)</f>
        <v>Very Low Income</v>
      </c>
      <c r="Y552">
        <v>4344</v>
      </c>
      <c r="Z552">
        <v>1</v>
      </c>
      <c r="AA552" t="s">
        <v>42</v>
      </c>
      <c r="AB552" t="s">
        <v>43</v>
      </c>
      <c r="AC552">
        <v>14</v>
      </c>
      <c r="AD552" t="str" cm="1">
        <f t="array" ref="AD552">_xlfn.IFS(HRData[[#This Row],[PercentSalaryHike]]&lt;=15,"11-15",HRData[[#This Row],[PercentSalaryHike]]&lt;=20,"16-20",HRData[[#This Row],[PercentSalaryHike]]&gt;=21,"21+")</f>
        <v>11-15</v>
      </c>
      <c r="AE552">
        <v>3</v>
      </c>
      <c r="AF552">
        <v>4</v>
      </c>
      <c r="AG552">
        <v>80</v>
      </c>
      <c r="AH552">
        <v>1</v>
      </c>
      <c r="AI552">
        <v>5</v>
      </c>
      <c r="AJ552">
        <v>2</v>
      </c>
      <c r="AK552">
        <v>4</v>
      </c>
      <c r="AL552">
        <v>4</v>
      </c>
      <c r="AM552">
        <v>3</v>
      </c>
      <c r="AN552">
        <v>0</v>
      </c>
      <c r="AO552">
        <v>2</v>
      </c>
      <c r="AP55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552" t="str">
        <f>IF(HRData[[#This Row],[Attrition]]="Yes","Left", IF(HRData[[#This Row],[Attrition_Risk_Score]]&gt;=6,"High",IF(HRData[[#This Row],[Attrition_Risk_Score]]&gt;=3,"Medium","Low")))</f>
        <v>High</v>
      </c>
      <c r="AR552">
        <f>IF(HRData[[#This Row],[Attrition_Risk_Level]]&lt;&gt;"High","",HRData[[#This Row],[Attrition_Risk_Score]]*10000-HRData[[#This Row],[EmployeeNumber]])</f>
        <v>69242</v>
      </c>
    </row>
    <row r="553" spans="1:44">
      <c r="A553">
        <v>39</v>
      </c>
      <c r="B553" t="str" cm="1">
        <f t="array" ref="B553">_xlfn.IFS(
HRData[[#This Row],[Age]]&lt;=24,"18-24",
HRData[[#This Row],[Age]]&lt;=34,"25-34",
HRData[[#This Row],[Age]]&lt;=44,"35-44",
HRData[[#This Row],[Age]]&lt;=54,"45-54",
HRData[[#This Row],[Age]]&gt;=55,"55+"
)</f>
        <v>35-44</v>
      </c>
      <c r="C553" t="s">
        <v>43</v>
      </c>
      <c r="D553">
        <f>IF(HRData[[#This Row],[Attrition]]="Yes",1,0)</f>
        <v>0</v>
      </c>
      <c r="E553" t="s">
        <v>36</v>
      </c>
      <c r="F553">
        <v>141</v>
      </c>
      <c r="G553" t="s">
        <v>61</v>
      </c>
      <c r="H553">
        <v>3</v>
      </c>
      <c r="I553">
        <v>3</v>
      </c>
      <c r="J553" t="s">
        <v>61</v>
      </c>
      <c r="K553">
        <v>1</v>
      </c>
      <c r="L553">
        <v>760</v>
      </c>
      <c r="M553">
        <v>3</v>
      </c>
      <c r="N553" t="str" cm="1">
        <f t="array" ref="N553">_xlfn.IFS(HRData[[#This Row],[EnvironmentSatisfaction]]=1,"Very Dissatisfied",
HRData[[#This Row],[EnvironmentSatisfaction]]=2,"Dissatisfied",
HRData[[#This Row],[EnvironmentSatisfaction]]=3,"Satisfied",
HRData[[#This Row],[EnvironmentSatisfaction]]=4,"Very Satisfied"
)</f>
        <v>Satisfied</v>
      </c>
      <c r="O553" t="s">
        <v>39</v>
      </c>
      <c r="P553">
        <v>44</v>
      </c>
      <c r="Q553">
        <v>4</v>
      </c>
      <c r="R553">
        <v>2</v>
      </c>
      <c r="S553" t="s">
        <v>61</v>
      </c>
      <c r="T553">
        <v>2</v>
      </c>
      <c r="U553" t="str" cm="1">
        <f t="array" ref="U553">_xlfn.IFS(
HRData[[#This Row],[JobSatisfaction]]=1,"Very Dissatisfied",
HRData[[#This Row],[JobSatisfaction]]=2,"Dissatisfied",
HRData[[#This Row],[JobSatisfaction]]=3,"Satisfied",
HRData[[#This Row],[JobSatisfaction]]=4,"Very Satisfied"
)</f>
        <v>Dissatisfied</v>
      </c>
      <c r="V553" t="s">
        <v>48</v>
      </c>
      <c r="W553">
        <v>6389</v>
      </c>
      <c r="X553" t="str" cm="1">
        <f t="array" ref="X553">_xlfn.IFS(
HRData[[#This Row],[MonthlyIncome]]&lt;=4000,"Very Low Income",
HRData[[#This Row],[MonthlyIncome]]&lt;=8000,"Low Income",
HRData[[#This Row],[MonthlyIncome]]&lt;=12000,"Moderate Income",
HRData[[#This Row],[MonthlyIncome]]&lt;=16000,"High Income",
HRData[[#This Row],[MonthlyIncome]]&gt;16000,"Very High Income"
)</f>
        <v>Low Income</v>
      </c>
      <c r="Y553">
        <v>18767</v>
      </c>
      <c r="Z553">
        <v>9</v>
      </c>
      <c r="AA553" t="s">
        <v>42</v>
      </c>
      <c r="AB553" t="s">
        <v>43</v>
      </c>
      <c r="AC553">
        <v>15</v>
      </c>
      <c r="AD553" t="str" cm="1">
        <f t="array" ref="AD553">_xlfn.IFS(HRData[[#This Row],[PercentSalaryHike]]&lt;=15,"11-15",HRData[[#This Row],[PercentSalaryHike]]&lt;=20,"16-20",HRData[[#This Row],[PercentSalaryHike]]&gt;=21,"21+")</f>
        <v>11-15</v>
      </c>
      <c r="AE553">
        <v>3</v>
      </c>
      <c r="AF553">
        <v>3</v>
      </c>
      <c r="AG553">
        <v>80</v>
      </c>
      <c r="AH553">
        <v>1</v>
      </c>
      <c r="AI553">
        <v>12</v>
      </c>
      <c r="AJ553">
        <v>3</v>
      </c>
      <c r="AK553">
        <v>1</v>
      </c>
      <c r="AL553">
        <v>8</v>
      </c>
      <c r="AM553">
        <v>3</v>
      </c>
      <c r="AN553">
        <v>3</v>
      </c>
      <c r="AO553">
        <v>6</v>
      </c>
      <c r="AP55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53" t="str">
        <f>IF(HRData[[#This Row],[Attrition]]="Yes","Left", IF(HRData[[#This Row],[Attrition_Risk_Score]]&gt;=6,"High",IF(HRData[[#This Row],[Attrition_Risk_Score]]&gt;=3,"Medium","Low")))</f>
        <v>Low</v>
      </c>
      <c r="AR553" t="str">
        <f>IF(HRData[[#This Row],[Attrition_Risk_Level]]&lt;&gt;"High","",HRData[[#This Row],[Attrition_Risk_Score]]*10000-HRData[[#This Row],[EmployeeNumber]])</f>
        <v/>
      </c>
    </row>
    <row r="554" spans="1:44">
      <c r="A554">
        <v>56</v>
      </c>
      <c r="B554" t="str" cm="1">
        <f t="array" ref="B554">_xlfn.IFS(
HRData[[#This Row],[Age]]&lt;=24,"18-24",
HRData[[#This Row],[Age]]&lt;=34,"25-34",
HRData[[#This Row],[Age]]&lt;=44,"35-44",
HRData[[#This Row],[Age]]&lt;=54,"45-54",
HRData[[#This Row],[Age]]&gt;=55,"55+"
)</f>
        <v>55+</v>
      </c>
      <c r="C554" t="s">
        <v>43</v>
      </c>
      <c r="D554">
        <f>IF(HRData[[#This Row],[Attrition]]="Yes",1,0)</f>
        <v>0</v>
      </c>
      <c r="E554" t="s">
        <v>36</v>
      </c>
      <c r="F554">
        <v>832</v>
      </c>
      <c r="G554" t="s">
        <v>45</v>
      </c>
      <c r="H554">
        <v>9</v>
      </c>
      <c r="I554">
        <v>3</v>
      </c>
      <c r="J554" t="s">
        <v>51</v>
      </c>
      <c r="K554">
        <v>1</v>
      </c>
      <c r="L554">
        <v>762</v>
      </c>
      <c r="M554">
        <v>3</v>
      </c>
      <c r="N554" t="str" cm="1">
        <f t="array" ref="N554">_xlfn.IFS(HRData[[#This Row],[EnvironmentSatisfaction]]=1,"Very Dissatisfied",
HRData[[#This Row],[EnvironmentSatisfaction]]=2,"Dissatisfied",
HRData[[#This Row],[EnvironmentSatisfaction]]=3,"Satisfied",
HRData[[#This Row],[EnvironmentSatisfaction]]=4,"Very Satisfied"
)</f>
        <v>Satisfied</v>
      </c>
      <c r="O554" t="s">
        <v>46</v>
      </c>
      <c r="P554">
        <v>81</v>
      </c>
      <c r="Q554">
        <v>3</v>
      </c>
      <c r="R554">
        <v>4</v>
      </c>
      <c r="S554" t="s">
        <v>54</v>
      </c>
      <c r="T554">
        <v>4</v>
      </c>
      <c r="U554" t="str" cm="1">
        <f t="array" ref="U554">_xlfn.IFS(
HRData[[#This Row],[JobSatisfaction]]=1,"Very Dissatisfied",
HRData[[#This Row],[JobSatisfaction]]=2,"Dissatisfied",
HRData[[#This Row],[JobSatisfaction]]=3,"Satisfied",
HRData[[#This Row],[JobSatisfaction]]=4,"Very Satisfied"
)</f>
        <v>Very Satisfied</v>
      </c>
      <c r="V554" t="s">
        <v>48</v>
      </c>
      <c r="W554">
        <v>11103</v>
      </c>
      <c r="X554" t="str" cm="1">
        <f t="array" ref="X554">_xlfn.IFS(
HRData[[#This Row],[MonthlyIncome]]&lt;=4000,"Very Low Income",
HRData[[#This Row],[MonthlyIncome]]&lt;=8000,"Low Income",
HRData[[#This Row],[MonthlyIncome]]&lt;=12000,"Moderate Income",
HRData[[#This Row],[MonthlyIncome]]&lt;=16000,"High Income",
HRData[[#This Row],[MonthlyIncome]]&gt;16000,"Very High Income"
)</f>
        <v>Moderate Income</v>
      </c>
      <c r="Y554">
        <v>20420</v>
      </c>
      <c r="Z554">
        <v>7</v>
      </c>
      <c r="AA554" t="s">
        <v>42</v>
      </c>
      <c r="AB554" t="s">
        <v>43</v>
      </c>
      <c r="AC554">
        <v>11</v>
      </c>
      <c r="AD554" t="str" cm="1">
        <f t="array" ref="AD554">_xlfn.IFS(HRData[[#This Row],[PercentSalaryHike]]&lt;=15,"11-15",HRData[[#This Row],[PercentSalaryHike]]&lt;=20,"16-20",HRData[[#This Row],[PercentSalaryHike]]&gt;=21,"21+")</f>
        <v>11-15</v>
      </c>
      <c r="AE554">
        <v>3</v>
      </c>
      <c r="AF554">
        <v>3</v>
      </c>
      <c r="AG554">
        <v>80</v>
      </c>
      <c r="AH554">
        <v>0</v>
      </c>
      <c r="AI554">
        <v>30</v>
      </c>
      <c r="AJ554">
        <v>1</v>
      </c>
      <c r="AK554">
        <v>2</v>
      </c>
      <c r="AL554">
        <v>10</v>
      </c>
      <c r="AM554">
        <v>7</v>
      </c>
      <c r="AN554">
        <v>1</v>
      </c>
      <c r="AO554">
        <v>1</v>
      </c>
      <c r="AP55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554" t="str">
        <f>IF(HRData[[#This Row],[Attrition]]="Yes","Left", IF(HRData[[#This Row],[Attrition_Risk_Score]]&gt;=6,"High",IF(HRData[[#This Row],[Attrition_Risk_Score]]&gt;=3,"Medium","Low")))</f>
        <v>Low</v>
      </c>
      <c r="AR554" t="str">
        <f>IF(HRData[[#This Row],[Attrition_Risk_Level]]&lt;&gt;"High","",HRData[[#This Row],[Attrition_Risk_Score]]*10000-HRData[[#This Row],[EmployeeNumber]])</f>
        <v/>
      </c>
    </row>
    <row r="555" spans="1:44">
      <c r="A555">
        <v>40</v>
      </c>
      <c r="B555" t="str" cm="1">
        <f t="array" ref="B555">_xlfn.IFS(
HRData[[#This Row],[Age]]&lt;=24,"18-24",
HRData[[#This Row],[Age]]&lt;=34,"25-34",
HRData[[#This Row],[Age]]&lt;=44,"35-44",
HRData[[#This Row],[Age]]&lt;=54,"45-54",
HRData[[#This Row],[Age]]&gt;=55,"55+"
)</f>
        <v>35-44</v>
      </c>
      <c r="C555" t="s">
        <v>43</v>
      </c>
      <c r="D555">
        <f>IF(HRData[[#This Row],[Attrition]]="Yes",1,0)</f>
        <v>0</v>
      </c>
      <c r="E555" t="s">
        <v>36</v>
      </c>
      <c r="F555">
        <v>804</v>
      </c>
      <c r="G555" t="s">
        <v>45</v>
      </c>
      <c r="H555">
        <v>2</v>
      </c>
      <c r="I555">
        <v>1</v>
      </c>
      <c r="J555" t="s">
        <v>51</v>
      </c>
      <c r="K555">
        <v>1</v>
      </c>
      <c r="L555">
        <v>763</v>
      </c>
      <c r="M555">
        <v>4</v>
      </c>
      <c r="N555" t="str" cm="1">
        <f t="array" ref="N555">_xlfn.IFS(HRData[[#This Row],[EnvironmentSatisfaction]]=1,"Very Dissatisfied",
HRData[[#This Row],[EnvironmentSatisfaction]]=2,"Dissatisfied",
HRData[[#This Row],[EnvironmentSatisfaction]]=3,"Satisfied",
HRData[[#This Row],[EnvironmentSatisfaction]]=4,"Very Satisfied"
)</f>
        <v>Very Satisfied</v>
      </c>
      <c r="O555" t="s">
        <v>39</v>
      </c>
      <c r="P555">
        <v>86</v>
      </c>
      <c r="Q555">
        <v>2</v>
      </c>
      <c r="R555">
        <v>1</v>
      </c>
      <c r="S555" t="s">
        <v>47</v>
      </c>
      <c r="T555">
        <v>4</v>
      </c>
      <c r="U555" t="str" cm="1">
        <f t="array" ref="U555">_xlfn.IFS(
HRData[[#This Row],[JobSatisfaction]]=1,"Very Dissatisfied",
HRData[[#This Row],[JobSatisfaction]]=2,"Dissatisfied",
HRData[[#This Row],[JobSatisfaction]]=3,"Satisfied",
HRData[[#This Row],[JobSatisfaction]]=4,"Very Satisfied"
)</f>
        <v>Very Satisfied</v>
      </c>
      <c r="V555" t="s">
        <v>41</v>
      </c>
      <c r="W555">
        <v>2342</v>
      </c>
      <c r="X555" t="str" cm="1">
        <f t="array" ref="X555">_xlfn.IFS(
HRData[[#This Row],[MonthlyIncome]]&lt;=4000,"Very Low Income",
HRData[[#This Row],[MonthlyIncome]]&lt;=8000,"Low Income",
HRData[[#This Row],[MonthlyIncome]]&lt;=12000,"Moderate Income",
HRData[[#This Row],[MonthlyIncome]]&lt;=16000,"High Income",
HRData[[#This Row],[MonthlyIncome]]&gt;16000,"Very High Income"
)</f>
        <v>Very Low Income</v>
      </c>
      <c r="Y555">
        <v>22929</v>
      </c>
      <c r="Z555">
        <v>0</v>
      </c>
      <c r="AA555" t="s">
        <v>42</v>
      </c>
      <c r="AB555" t="s">
        <v>35</v>
      </c>
      <c r="AC555">
        <v>20</v>
      </c>
      <c r="AD555" t="str" cm="1">
        <f t="array" ref="AD555">_xlfn.IFS(HRData[[#This Row],[PercentSalaryHike]]&lt;=15,"11-15",HRData[[#This Row],[PercentSalaryHike]]&lt;=20,"16-20",HRData[[#This Row],[PercentSalaryHike]]&gt;=21,"21+")</f>
        <v>16-20</v>
      </c>
      <c r="AE555">
        <v>4</v>
      </c>
      <c r="AF555">
        <v>4</v>
      </c>
      <c r="AG555">
        <v>80</v>
      </c>
      <c r="AH555">
        <v>0</v>
      </c>
      <c r="AI555">
        <v>5</v>
      </c>
      <c r="AJ555">
        <v>2</v>
      </c>
      <c r="AK555">
        <v>2</v>
      </c>
      <c r="AL555">
        <v>4</v>
      </c>
      <c r="AM555">
        <v>2</v>
      </c>
      <c r="AN555">
        <v>2</v>
      </c>
      <c r="AO555">
        <v>3</v>
      </c>
      <c r="AP55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55" t="str">
        <f>IF(HRData[[#This Row],[Attrition]]="Yes","Left", IF(HRData[[#This Row],[Attrition_Risk_Score]]&gt;=6,"High",IF(HRData[[#This Row],[Attrition_Risk_Score]]&gt;=3,"Medium","Low")))</f>
        <v>Medium</v>
      </c>
      <c r="AR555" t="str">
        <f>IF(HRData[[#This Row],[Attrition_Risk_Level]]&lt;&gt;"High","",HRData[[#This Row],[Attrition_Risk_Score]]*10000-HRData[[#This Row],[EmployeeNumber]])</f>
        <v/>
      </c>
    </row>
    <row r="556" spans="1:44">
      <c r="A556">
        <v>27</v>
      </c>
      <c r="B556" t="str" cm="1">
        <f t="array" ref="B556">_xlfn.IFS(
HRData[[#This Row],[Age]]&lt;=24,"18-24",
HRData[[#This Row],[Age]]&lt;=34,"25-34",
HRData[[#This Row],[Age]]&lt;=44,"35-44",
HRData[[#This Row],[Age]]&lt;=54,"45-54",
HRData[[#This Row],[Age]]&gt;=55,"55+"
)</f>
        <v>25-34</v>
      </c>
      <c r="C556" t="s">
        <v>43</v>
      </c>
      <c r="D556">
        <f>IF(HRData[[#This Row],[Attrition]]="Yes",1,0)</f>
        <v>0</v>
      </c>
      <c r="E556" t="s">
        <v>36</v>
      </c>
      <c r="F556">
        <v>975</v>
      </c>
      <c r="G556" t="s">
        <v>45</v>
      </c>
      <c r="H556">
        <v>7</v>
      </c>
      <c r="I556">
        <v>3</v>
      </c>
      <c r="J556" t="s">
        <v>51</v>
      </c>
      <c r="K556">
        <v>1</v>
      </c>
      <c r="L556">
        <v>764</v>
      </c>
      <c r="M556">
        <v>4</v>
      </c>
      <c r="N556" t="str" cm="1">
        <f t="array" ref="N556">_xlfn.IFS(HRData[[#This Row],[EnvironmentSatisfaction]]=1,"Very Dissatisfied",
HRData[[#This Row],[EnvironmentSatisfaction]]=2,"Dissatisfied",
HRData[[#This Row],[EnvironmentSatisfaction]]=3,"Satisfied",
HRData[[#This Row],[EnvironmentSatisfaction]]=4,"Very Satisfied"
)</f>
        <v>Very Satisfied</v>
      </c>
      <c r="O556" t="s">
        <v>39</v>
      </c>
      <c r="P556">
        <v>55</v>
      </c>
      <c r="Q556">
        <v>2</v>
      </c>
      <c r="R556">
        <v>2</v>
      </c>
      <c r="S556" t="s">
        <v>54</v>
      </c>
      <c r="T556">
        <v>1</v>
      </c>
      <c r="U556" t="str" cm="1">
        <f t="array" ref="U556">_xlfn.IFS(
HRData[[#This Row],[JobSatisfaction]]=1,"Very Dissatisfied",
HRData[[#This Row],[JobSatisfaction]]=2,"Dissatisfied",
HRData[[#This Row],[JobSatisfaction]]=3,"Satisfied",
HRData[[#This Row],[JobSatisfaction]]=4,"Very Satisfied"
)</f>
        <v>Very Dissatisfied</v>
      </c>
      <c r="V556" t="s">
        <v>41</v>
      </c>
      <c r="W556">
        <v>6811</v>
      </c>
      <c r="X556" t="str" cm="1">
        <f t="array" ref="X556">_xlfn.IFS(
HRData[[#This Row],[MonthlyIncome]]&lt;=4000,"Very Low Income",
HRData[[#This Row],[MonthlyIncome]]&lt;=8000,"Low Income",
HRData[[#This Row],[MonthlyIncome]]&lt;=12000,"Moderate Income",
HRData[[#This Row],[MonthlyIncome]]&lt;=16000,"High Income",
HRData[[#This Row],[MonthlyIncome]]&gt;16000,"Very High Income"
)</f>
        <v>Low Income</v>
      </c>
      <c r="Y556">
        <v>23398</v>
      </c>
      <c r="Z556">
        <v>8</v>
      </c>
      <c r="AA556" t="s">
        <v>42</v>
      </c>
      <c r="AB556" t="s">
        <v>43</v>
      </c>
      <c r="AC556">
        <v>19</v>
      </c>
      <c r="AD556" t="str" cm="1">
        <f t="array" ref="AD556">_xlfn.IFS(HRData[[#This Row],[PercentSalaryHike]]&lt;=15,"11-15",HRData[[#This Row],[PercentSalaryHike]]&lt;=20,"16-20",HRData[[#This Row],[PercentSalaryHike]]&gt;=21,"21+")</f>
        <v>16-20</v>
      </c>
      <c r="AE556">
        <v>3</v>
      </c>
      <c r="AF556">
        <v>1</v>
      </c>
      <c r="AG556">
        <v>80</v>
      </c>
      <c r="AH556">
        <v>0</v>
      </c>
      <c r="AI556">
        <v>9</v>
      </c>
      <c r="AJ556">
        <v>2</v>
      </c>
      <c r="AK556">
        <v>1</v>
      </c>
      <c r="AL556">
        <v>7</v>
      </c>
      <c r="AM556">
        <v>6</v>
      </c>
      <c r="AN556">
        <v>0</v>
      </c>
      <c r="AO556">
        <v>7</v>
      </c>
      <c r="AP55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56" t="str">
        <f>IF(HRData[[#This Row],[Attrition]]="Yes","Left", IF(HRData[[#This Row],[Attrition_Risk_Score]]&gt;=6,"High",IF(HRData[[#This Row],[Attrition_Risk_Score]]&gt;=3,"Medium","Low")))</f>
        <v>Medium</v>
      </c>
      <c r="AR556" t="str">
        <f>IF(HRData[[#This Row],[Attrition_Risk_Level]]&lt;&gt;"High","",HRData[[#This Row],[Attrition_Risk_Score]]*10000-HRData[[#This Row],[EmployeeNumber]])</f>
        <v/>
      </c>
    </row>
    <row r="557" spans="1:44">
      <c r="A557">
        <v>29</v>
      </c>
      <c r="B557" t="str" cm="1">
        <f t="array" ref="B557">_xlfn.IFS(
HRData[[#This Row],[Age]]&lt;=24,"18-24",
HRData[[#This Row],[Age]]&lt;=34,"25-34",
HRData[[#This Row],[Age]]&lt;=44,"35-44",
HRData[[#This Row],[Age]]&lt;=54,"45-54",
HRData[[#This Row],[Age]]&gt;=55,"55+"
)</f>
        <v>25-34</v>
      </c>
      <c r="C557" t="s">
        <v>43</v>
      </c>
      <c r="D557">
        <f>IF(HRData[[#This Row],[Attrition]]="Yes",1,0)</f>
        <v>0</v>
      </c>
      <c r="E557" t="s">
        <v>36</v>
      </c>
      <c r="F557">
        <v>1090</v>
      </c>
      <c r="G557" t="s">
        <v>37</v>
      </c>
      <c r="H557">
        <v>10</v>
      </c>
      <c r="I557">
        <v>3</v>
      </c>
      <c r="J557" t="s">
        <v>59</v>
      </c>
      <c r="K557">
        <v>1</v>
      </c>
      <c r="L557">
        <v>766</v>
      </c>
      <c r="M557">
        <v>4</v>
      </c>
      <c r="N557" t="str" cm="1">
        <f t="array" ref="N557">_xlfn.IFS(HRData[[#This Row],[EnvironmentSatisfaction]]=1,"Very Dissatisfied",
HRData[[#This Row],[EnvironmentSatisfaction]]=2,"Dissatisfied",
HRData[[#This Row],[EnvironmentSatisfaction]]=3,"Satisfied",
HRData[[#This Row],[EnvironmentSatisfaction]]=4,"Very Satisfied"
)</f>
        <v>Very Satisfied</v>
      </c>
      <c r="O557" t="s">
        <v>46</v>
      </c>
      <c r="P557">
        <v>83</v>
      </c>
      <c r="Q557">
        <v>3</v>
      </c>
      <c r="R557">
        <v>1</v>
      </c>
      <c r="S557" t="s">
        <v>57</v>
      </c>
      <c r="T557">
        <v>2</v>
      </c>
      <c r="U557" t="str" cm="1">
        <f t="array" ref="U557">_xlfn.IFS(
HRData[[#This Row],[JobSatisfaction]]=1,"Very Dissatisfied",
HRData[[#This Row],[JobSatisfaction]]=2,"Dissatisfied",
HRData[[#This Row],[JobSatisfaction]]=3,"Satisfied",
HRData[[#This Row],[JobSatisfaction]]=4,"Very Satisfied"
)</f>
        <v>Dissatisfied</v>
      </c>
      <c r="V557" t="s">
        <v>52</v>
      </c>
      <c r="W557">
        <v>2297</v>
      </c>
      <c r="X557" t="str" cm="1">
        <f t="array" ref="X557">_xlfn.IFS(
HRData[[#This Row],[MonthlyIncome]]&lt;=4000,"Very Low Income",
HRData[[#This Row],[MonthlyIncome]]&lt;=8000,"Low Income",
HRData[[#This Row],[MonthlyIncome]]&lt;=12000,"Moderate Income",
HRData[[#This Row],[MonthlyIncome]]&lt;=16000,"High Income",
HRData[[#This Row],[MonthlyIncome]]&gt;16000,"Very High Income"
)</f>
        <v>Very Low Income</v>
      </c>
      <c r="Y557">
        <v>17967</v>
      </c>
      <c r="Z557">
        <v>1</v>
      </c>
      <c r="AA557" t="s">
        <v>42</v>
      </c>
      <c r="AB557" t="s">
        <v>43</v>
      </c>
      <c r="AC557">
        <v>14</v>
      </c>
      <c r="AD557" t="str" cm="1">
        <f t="array" ref="AD557">_xlfn.IFS(HRData[[#This Row],[PercentSalaryHike]]&lt;=15,"11-15",HRData[[#This Row],[PercentSalaryHike]]&lt;=20,"16-20",HRData[[#This Row],[PercentSalaryHike]]&gt;=21,"21+")</f>
        <v>11-15</v>
      </c>
      <c r="AE557">
        <v>3</v>
      </c>
      <c r="AF557">
        <v>4</v>
      </c>
      <c r="AG557">
        <v>80</v>
      </c>
      <c r="AH557">
        <v>2</v>
      </c>
      <c r="AI557">
        <v>2</v>
      </c>
      <c r="AJ557">
        <v>2</v>
      </c>
      <c r="AK557">
        <v>3</v>
      </c>
      <c r="AL557">
        <v>2</v>
      </c>
      <c r="AM557">
        <v>2</v>
      </c>
      <c r="AN557">
        <v>2</v>
      </c>
      <c r="AO557">
        <v>2</v>
      </c>
      <c r="AP55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557" t="str">
        <f>IF(HRData[[#This Row],[Attrition]]="Yes","Left", IF(HRData[[#This Row],[Attrition_Risk_Score]]&gt;=6,"High",IF(HRData[[#This Row],[Attrition_Risk_Score]]&gt;=3,"Medium","Low")))</f>
        <v>Medium</v>
      </c>
      <c r="AR557" t="str">
        <f>IF(HRData[[#This Row],[Attrition_Risk_Level]]&lt;&gt;"High","",HRData[[#This Row],[Attrition_Risk_Score]]*10000-HRData[[#This Row],[EmployeeNumber]])</f>
        <v/>
      </c>
    </row>
    <row r="558" spans="1:44">
      <c r="A558">
        <v>53</v>
      </c>
      <c r="B558" t="str" cm="1">
        <f t="array" ref="B558">_xlfn.IFS(
HRData[[#This Row],[Age]]&lt;=24,"18-24",
HRData[[#This Row],[Age]]&lt;=34,"25-34",
HRData[[#This Row],[Age]]&lt;=44,"35-44",
HRData[[#This Row],[Age]]&lt;=54,"45-54",
HRData[[#This Row],[Age]]&gt;=55,"55+"
)</f>
        <v>45-54</v>
      </c>
      <c r="C558" t="s">
        <v>43</v>
      </c>
      <c r="D558">
        <f>IF(HRData[[#This Row],[Attrition]]="Yes",1,0)</f>
        <v>0</v>
      </c>
      <c r="E558" t="s">
        <v>36</v>
      </c>
      <c r="F558">
        <v>346</v>
      </c>
      <c r="G558" t="s">
        <v>45</v>
      </c>
      <c r="H558">
        <v>6</v>
      </c>
      <c r="I558">
        <v>3</v>
      </c>
      <c r="J558" t="s">
        <v>38</v>
      </c>
      <c r="K558">
        <v>1</v>
      </c>
      <c r="L558">
        <v>769</v>
      </c>
      <c r="M558">
        <v>4</v>
      </c>
      <c r="N558" t="str" cm="1">
        <f t="array" ref="N558">_xlfn.IFS(HRData[[#This Row],[EnvironmentSatisfaction]]=1,"Very Dissatisfied",
HRData[[#This Row],[EnvironmentSatisfaction]]=2,"Dissatisfied",
HRData[[#This Row],[EnvironmentSatisfaction]]=3,"Satisfied",
HRData[[#This Row],[EnvironmentSatisfaction]]=4,"Very Satisfied"
)</f>
        <v>Very Satisfied</v>
      </c>
      <c r="O558" t="s">
        <v>46</v>
      </c>
      <c r="P558">
        <v>86</v>
      </c>
      <c r="Q558">
        <v>3</v>
      </c>
      <c r="R558">
        <v>2</v>
      </c>
      <c r="S558" t="s">
        <v>50</v>
      </c>
      <c r="T558">
        <v>4</v>
      </c>
      <c r="U558" t="str" cm="1">
        <f t="array" ref="U558">_xlfn.IFS(
HRData[[#This Row],[JobSatisfaction]]=1,"Very Dissatisfied",
HRData[[#This Row],[JobSatisfaction]]=2,"Dissatisfied",
HRData[[#This Row],[JobSatisfaction]]=3,"Satisfied",
HRData[[#This Row],[JobSatisfaction]]=4,"Very Satisfied"
)</f>
        <v>Very Satisfied</v>
      </c>
      <c r="V558" t="s">
        <v>41</v>
      </c>
      <c r="W558">
        <v>2450</v>
      </c>
      <c r="X558" t="str" cm="1">
        <f t="array" ref="X558">_xlfn.IFS(
HRData[[#This Row],[MonthlyIncome]]&lt;=4000,"Very Low Income",
HRData[[#This Row],[MonthlyIncome]]&lt;=8000,"Low Income",
HRData[[#This Row],[MonthlyIncome]]&lt;=12000,"Moderate Income",
HRData[[#This Row],[MonthlyIncome]]&lt;=16000,"High Income",
HRData[[#This Row],[MonthlyIncome]]&gt;16000,"Very High Income"
)</f>
        <v>Very Low Income</v>
      </c>
      <c r="Y558">
        <v>10919</v>
      </c>
      <c r="Z558">
        <v>2</v>
      </c>
      <c r="AA558" t="s">
        <v>42</v>
      </c>
      <c r="AB558" t="s">
        <v>43</v>
      </c>
      <c r="AC558">
        <v>17</v>
      </c>
      <c r="AD558" t="str" cm="1">
        <f t="array" ref="AD558">_xlfn.IFS(HRData[[#This Row],[PercentSalaryHike]]&lt;=15,"11-15",HRData[[#This Row],[PercentSalaryHike]]&lt;=20,"16-20",HRData[[#This Row],[PercentSalaryHike]]&gt;=21,"21+")</f>
        <v>16-20</v>
      </c>
      <c r="AE558">
        <v>3</v>
      </c>
      <c r="AF558">
        <v>4</v>
      </c>
      <c r="AG558">
        <v>80</v>
      </c>
      <c r="AH558">
        <v>0</v>
      </c>
      <c r="AI558">
        <v>19</v>
      </c>
      <c r="AJ558">
        <v>4</v>
      </c>
      <c r="AK558">
        <v>3</v>
      </c>
      <c r="AL558">
        <v>2</v>
      </c>
      <c r="AM558">
        <v>2</v>
      </c>
      <c r="AN558">
        <v>2</v>
      </c>
      <c r="AO558">
        <v>2</v>
      </c>
      <c r="AP55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58" t="str">
        <f>IF(HRData[[#This Row],[Attrition]]="Yes","Left", IF(HRData[[#This Row],[Attrition_Risk_Score]]&gt;=6,"High",IF(HRData[[#This Row],[Attrition_Risk_Score]]&gt;=3,"Medium","Low")))</f>
        <v>Medium</v>
      </c>
      <c r="AR558" t="str">
        <f>IF(HRData[[#This Row],[Attrition_Risk_Level]]&lt;&gt;"High","",HRData[[#This Row],[Attrition_Risk_Score]]*10000-HRData[[#This Row],[EmployeeNumber]])</f>
        <v/>
      </c>
    </row>
    <row r="559" spans="1:44">
      <c r="A559">
        <v>35</v>
      </c>
      <c r="B559" t="str" cm="1">
        <f t="array" ref="B559">_xlfn.IFS(
HRData[[#This Row],[Age]]&lt;=24,"18-24",
HRData[[#This Row],[Age]]&lt;=34,"25-34",
HRData[[#This Row],[Age]]&lt;=44,"35-44",
HRData[[#This Row],[Age]]&lt;=54,"45-54",
HRData[[#This Row],[Age]]&gt;=55,"55+"
)</f>
        <v>35-44</v>
      </c>
      <c r="C559" t="s">
        <v>43</v>
      </c>
      <c r="D559">
        <f>IF(HRData[[#This Row],[Attrition]]="Yes",1,0)</f>
        <v>0</v>
      </c>
      <c r="E559" t="s">
        <v>55</v>
      </c>
      <c r="F559">
        <v>1225</v>
      </c>
      <c r="G559" t="s">
        <v>45</v>
      </c>
      <c r="H559">
        <v>2</v>
      </c>
      <c r="I559">
        <v>4</v>
      </c>
      <c r="J559" t="s">
        <v>38</v>
      </c>
      <c r="K559">
        <v>1</v>
      </c>
      <c r="L559">
        <v>771</v>
      </c>
      <c r="M559">
        <v>4</v>
      </c>
      <c r="N559" t="str" cm="1">
        <f t="array" ref="N559">_xlfn.IFS(HRData[[#This Row],[EnvironmentSatisfaction]]=1,"Very Dissatisfied",
HRData[[#This Row],[EnvironmentSatisfaction]]=2,"Dissatisfied",
HRData[[#This Row],[EnvironmentSatisfaction]]=3,"Satisfied",
HRData[[#This Row],[EnvironmentSatisfaction]]=4,"Very Satisfied"
)</f>
        <v>Very Satisfied</v>
      </c>
      <c r="O559" t="s">
        <v>39</v>
      </c>
      <c r="P559">
        <v>61</v>
      </c>
      <c r="Q559">
        <v>3</v>
      </c>
      <c r="R559">
        <v>2</v>
      </c>
      <c r="S559" t="s">
        <v>54</v>
      </c>
      <c r="T559">
        <v>1</v>
      </c>
      <c r="U559" t="str" cm="1">
        <f t="array" ref="U559">_xlfn.IFS(
HRData[[#This Row],[JobSatisfaction]]=1,"Very Dissatisfied",
HRData[[#This Row],[JobSatisfaction]]=2,"Dissatisfied",
HRData[[#This Row],[JobSatisfaction]]=3,"Satisfied",
HRData[[#This Row],[JobSatisfaction]]=4,"Very Satisfied"
)</f>
        <v>Very Dissatisfied</v>
      </c>
      <c r="V559" t="s">
        <v>52</v>
      </c>
      <c r="W559">
        <v>5093</v>
      </c>
      <c r="X559" t="str" cm="1">
        <f t="array" ref="X559">_xlfn.IFS(
HRData[[#This Row],[MonthlyIncome]]&lt;=4000,"Very Low Income",
HRData[[#This Row],[MonthlyIncome]]&lt;=8000,"Low Income",
HRData[[#This Row],[MonthlyIncome]]&lt;=12000,"Moderate Income",
HRData[[#This Row],[MonthlyIncome]]&lt;=16000,"High Income",
HRData[[#This Row],[MonthlyIncome]]&gt;16000,"Very High Income"
)</f>
        <v>Low Income</v>
      </c>
      <c r="Y559">
        <v>4761</v>
      </c>
      <c r="Z559">
        <v>2</v>
      </c>
      <c r="AA559" t="s">
        <v>42</v>
      </c>
      <c r="AB559" t="s">
        <v>43</v>
      </c>
      <c r="AC559">
        <v>11</v>
      </c>
      <c r="AD559" t="str" cm="1">
        <f t="array" ref="AD559">_xlfn.IFS(HRData[[#This Row],[PercentSalaryHike]]&lt;=15,"11-15",HRData[[#This Row],[PercentSalaryHike]]&lt;=20,"16-20",HRData[[#This Row],[PercentSalaryHike]]&gt;=21,"21+")</f>
        <v>11-15</v>
      </c>
      <c r="AE559">
        <v>3</v>
      </c>
      <c r="AF559">
        <v>1</v>
      </c>
      <c r="AG559">
        <v>80</v>
      </c>
      <c r="AH559">
        <v>1</v>
      </c>
      <c r="AI559">
        <v>16</v>
      </c>
      <c r="AJ559">
        <v>2</v>
      </c>
      <c r="AK559">
        <v>4</v>
      </c>
      <c r="AL559">
        <v>1</v>
      </c>
      <c r="AM559">
        <v>0</v>
      </c>
      <c r="AN559">
        <v>0</v>
      </c>
      <c r="AO559">
        <v>0</v>
      </c>
      <c r="AP55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59" t="str">
        <f>IF(HRData[[#This Row],[Attrition]]="Yes","Left", IF(HRData[[#This Row],[Attrition_Risk_Score]]&gt;=6,"High",IF(HRData[[#This Row],[Attrition_Risk_Score]]&gt;=3,"Medium","Low")))</f>
        <v>Medium</v>
      </c>
      <c r="AR559" t="str">
        <f>IF(HRData[[#This Row],[Attrition_Risk_Level]]&lt;&gt;"High","",HRData[[#This Row],[Attrition_Risk_Score]]*10000-HRData[[#This Row],[EmployeeNumber]])</f>
        <v/>
      </c>
    </row>
    <row r="560" spans="1:44">
      <c r="A560">
        <v>32</v>
      </c>
      <c r="B560" t="str" cm="1">
        <f t="array" ref="B560">_xlfn.IFS(
HRData[[#This Row],[Age]]&lt;=24,"18-24",
HRData[[#This Row],[Age]]&lt;=34,"25-34",
HRData[[#This Row],[Age]]&lt;=44,"35-44",
HRData[[#This Row],[Age]]&lt;=54,"45-54",
HRData[[#This Row],[Age]]&gt;=55,"55+"
)</f>
        <v>25-34</v>
      </c>
      <c r="C560" t="s">
        <v>43</v>
      </c>
      <c r="D560">
        <f>IF(HRData[[#This Row],[Attrition]]="Yes",1,0)</f>
        <v>0</v>
      </c>
      <c r="E560" t="s">
        <v>44</v>
      </c>
      <c r="F560">
        <v>430</v>
      </c>
      <c r="G560" t="s">
        <v>45</v>
      </c>
      <c r="H560">
        <v>24</v>
      </c>
      <c r="I560">
        <v>4</v>
      </c>
      <c r="J560" t="s">
        <v>38</v>
      </c>
      <c r="K560">
        <v>1</v>
      </c>
      <c r="L560">
        <v>772</v>
      </c>
      <c r="M560">
        <v>1</v>
      </c>
      <c r="N560" t="str" cm="1">
        <f t="array" ref="N560">_xlfn.IFS(HRData[[#This Row],[EnvironmentSatisfaction]]=1,"Very Dissatisfied",
HRData[[#This Row],[EnvironmentSatisfaction]]=2,"Dissatisfied",
HRData[[#This Row],[EnvironmentSatisfaction]]=3,"Satisfied",
HRData[[#This Row],[EnvironmentSatisfaction]]=4,"Very Satisfied"
)</f>
        <v>Very Dissatisfied</v>
      </c>
      <c r="O560" t="s">
        <v>46</v>
      </c>
      <c r="P560">
        <v>80</v>
      </c>
      <c r="Q560">
        <v>3</v>
      </c>
      <c r="R560">
        <v>2</v>
      </c>
      <c r="S560" t="s">
        <v>50</v>
      </c>
      <c r="T560">
        <v>4</v>
      </c>
      <c r="U560" t="str" cm="1">
        <f t="array" ref="U560">_xlfn.IFS(
HRData[[#This Row],[JobSatisfaction]]=1,"Very Dissatisfied",
HRData[[#This Row],[JobSatisfaction]]=2,"Dissatisfied",
HRData[[#This Row],[JobSatisfaction]]=3,"Satisfied",
HRData[[#This Row],[JobSatisfaction]]=4,"Very Satisfied"
)</f>
        <v>Very Satisfied</v>
      </c>
      <c r="V560" t="s">
        <v>48</v>
      </c>
      <c r="W560">
        <v>5309</v>
      </c>
      <c r="X560" t="str" cm="1">
        <f t="array" ref="X560">_xlfn.IFS(
HRData[[#This Row],[MonthlyIncome]]&lt;=4000,"Very Low Income",
HRData[[#This Row],[MonthlyIncome]]&lt;=8000,"Low Income",
HRData[[#This Row],[MonthlyIncome]]&lt;=12000,"Moderate Income",
HRData[[#This Row],[MonthlyIncome]]&lt;=16000,"High Income",
HRData[[#This Row],[MonthlyIncome]]&gt;16000,"Very High Income"
)</f>
        <v>Low Income</v>
      </c>
      <c r="Y560">
        <v>21146</v>
      </c>
      <c r="Z560">
        <v>1</v>
      </c>
      <c r="AA560" t="s">
        <v>42</v>
      </c>
      <c r="AB560" t="s">
        <v>43</v>
      </c>
      <c r="AC560">
        <v>15</v>
      </c>
      <c r="AD560" t="str" cm="1">
        <f t="array" ref="AD560">_xlfn.IFS(HRData[[#This Row],[PercentSalaryHike]]&lt;=15,"11-15",HRData[[#This Row],[PercentSalaryHike]]&lt;=20,"16-20",HRData[[#This Row],[PercentSalaryHike]]&gt;=21,"21+")</f>
        <v>11-15</v>
      </c>
      <c r="AE560">
        <v>3</v>
      </c>
      <c r="AF560">
        <v>4</v>
      </c>
      <c r="AG560">
        <v>80</v>
      </c>
      <c r="AH560">
        <v>2</v>
      </c>
      <c r="AI560">
        <v>10</v>
      </c>
      <c r="AJ560">
        <v>2</v>
      </c>
      <c r="AK560">
        <v>3</v>
      </c>
      <c r="AL560">
        <v>10</v>
      </c>
      <c r="AM560">
        <v>8</v>
      </c>
      <c r="AN560">
        <v>4</v>
      </c>
      <c r="AO560">
        <v>7</v>
      </c>
      <c r="AP56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60" t="str">
        <f>IF(HRData[[#This Row],[Attrition]]="Yes","Left", IF(HRData[[#This Row],[Attrition_Risk_Score]]&gt;=6,"High",IF(HRData[[#This Row],[Attrition_Risk_Score]]&gt;=3,"Medium","Low")))</f>
        <v>Medium</v>
      </c>
      <c r="AR560" t="str">
        <f>IF(HRData[[#This Row],[Attrition_Risk_Level]]&lt;&gt;"High","",HRData[[#This Row],[Attrition_Risk_Score]]*10000-HRData[[#This Row],[EmployeeNumber]])</f>
        <v/>
      </c>
    </row>
    <row r="561" spans="1:44">
      <c r="A561">
        <v>38</v>
      </c>
      <c r="B561" t="str" cm="1">
        <f t="array" ref="B561">_xlfn.IFS(
HRData[[#This Row],[Age]]&lt;=24,"18-24",
HRData[[#This Row],[Age]]&lt;=34,"25-34",
HRData[[#This Row],[Age]]&lt;=44,"35-44",
HRData[[#This Row],[Age]]&lt;=54,"45-54",
HRData[[#This Row],[Age]]&gt;=55,"55+"
)</f>
        <v>35-44</v>
      </c>
      <c r="C561" t="s">
        <v>43</v>
      </c>
      <c r="D561">
        <f>IF(HRData[[#This Row],[Attrition]]="Yes",1,0)</f>
        <v>0</v>
      </c>
      <c r="E561" t="s">
        <v>36</v>
      </c>
      <c r="F561">
        <v>268</v>
      </c>
      <c r="G561" t="s">
        <v>45</v>
      </c>
      <c r="H561">
        <v>2</v>
      </c>
      <c r="I561">
        <v>5</v>
      </c>
      <c r="J561" t="s">
        <v>51</v>
      </c>
      <c r="K561">
        <v>1</v>
      </c>
      <c r="L561">
        <v>773</v>
      </c>
      <c r="M561">
        <v>4</v>
      </c>
      <c r="N561" t="str" cm="1">
        <f t="array" ref="N561">_xlfn.IFS(HRData[[#This Row],[EnvironmentSatisfaction]]=1,"Very Dissatisfied",
HRData[[#This Row],[EnvironmentSatisfaction]]=2,"Dissatisfied",
HRData[[#This Row],[EnvironmentSatisfaction]]=3,"Satisfied",
HRData[[#This Row],[EnvironmentSatisfaction]]=4,"Very Satisfied"
)</f>
        <v>Very Satisfied</v>
      </c>
      <c r="O561" t="s">
        <v>46</v>
      </c>
      <c r="P561">
        <v>92</v>
      </c>
      <c r="Q561">
        <v>3</v>
      </c>
      <c r="R561">
        <v>1</v>
      </c>
      <c r="S561" t="s">
        <v>47</v>
      </c>
      <c r="T561">
        <v>3</v>
      </c>
      <c r="U561" t="str" cm="1">
        <f t="array" ref="U561">_xlfn.IFS(
HRData[[#This Row],[JobSatisfaction]]=1,"Very Dissatisfied",
HRData[[#This Row],[JobSatisfaction]]=2,"Dissatisfied",
HRData[[#This Row],[JobSatisfaction]]=3,"Satisfied",
HRData[[#This Row],[JobSatisfaction]]=4,"Very Satisfied"
)</f>
        <v>Satisfied</v>
      </c>
      <c r="V561" t="s">
        <v>48</v>
      </c>
      <c r="W561">
        <v>3057</v>
      </c>
      <c r="X561" t="str" cm="1">
        <f t="array" ref="X561">_xlfn.IFS(
HRData[[#This Row],[MonthlyIncome]]&lt;=4000,"Very Low Income",
HRData[[#This Row],[MonthlyIncome]]&lt;=8000,"Low Income",
HRData[[#This Row],[MonthlyIncome]]&lt;=12000,"Moderate Income",
HRData[[#This Row],[MonthlyIncome]]&lt;=16000,"High Income",
HRData[[#This Row],[MonthlyIncome]]&gt;16000,"Very High Income"
)</f>
        <v>Very Low Income</v>
      </c>
      <c r="Y561">
        <v>20471</v>
      </c>
      <c r="Z561">
        <v>6</v>
      </c>
      <c r="AA561" t="s">
        <v>42</v>
      </c>
      <c r="AB561" t="s">
        <v>35</v>
      </c>
      <c r="AC561">
        <v>13</v>
      </c>
      <c r="AD561" t="str" cm="1">
        <f t="array" ref="AD561">_xlfn.IFS(HRData[[#This Row],[PercentSalaryHike]]&lt;=15,"11-15",HRData[[#This Row],[PercentSalaryHike]]&lt;=20,"16-20",HRData[[#This Row],[PercentSalaryHike]]&gt;=21,"21+")</f>
        <v>11-15</v>
      </c>
      <c r="AE561">
        <v>3</v>
      </c>
      <c r="AF561">
        <v>2</v>
      </c>
      <c r="AG561">
        <v>80</v>
      </c>
      <c r="AH561">
        <v>1</v>
      </c>
      <c r="AI561">
        <v>6</v>
      </c>
      <c r="AJ561">
        <v>0</v>
      </c>
      <c r="AK561">
        <v>1</v>
      </c>
      <c r="AL561">
        <v>1</v>
      </c>
      <c r="AM561">
        <v>0</v>
      </c>
      <c r="AN561">
        <v>0</v>
      </c>
      <c r="AO561">
        <v>1</v>
      </c>
      <c r="AP56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61" t="str">
        <f>IF(HRData[[#This Row],[Attrition]]="Yes","Left", IF(HRData[[#This Row],[Attrition_Risk_Score]]&gt;=6,"High",IF(HRData[[#This Row],[Attrition_Risk_Score]]&gt;=3,"Medium","Low")))</f>
        <v>Medium</v>
      </c>
      <c r="AR561" t="str">
        <f>IF(HRData[[#This Row],[Attrition_Risk_Level]]&lt;&gt;"High","",HRData[[#This Row],[Attrition_Risk_Score]]*10000-HRData[[#This Row],[EmployeeNumber]])</f>
        <v/>
      </c>
    </row>
    <row r="562" spans="1:44">
      <c r="A562">
        <v>34</v>
      </c>
      <c r="B562" t="str" cm="1">
        <f t="array" ref="B562">_xlfn.IFS(
HRData[[#This Row],[Age]]&lt;=24,"18-24",
HRData[[#This Row],[Age]]&lt;=34,"25-34",
HRData[[#This Row],[Age]]&lt;=44,"35-44",
HRData[[#This Row],[Age]]&lt;=54,"45-54",
HRData[[#This Row],[Age]]&gt;=55,"55+"
)</f>
        <v>25-34</v>
      </c>
      <c r="C562" t="s">
        <v>43</v>
      </c>
      <c r="D562">
        <f>IF(HRData[[#This Row],[Attrition]]="Yes",1,0)</f>
        <v>0</v>
      </c>
      <c r="E562" t="s">
        <v>36</v>
      </c>
      <c r="F562">
        <v>167</v>
      </c>
      <c r="G562" t="s">
        <v>45</v>
      </c>
      <c r="H562">
        <v>8</v>
      </c>
      <c r="I562">
        <v>5</v>
      </c>
      <c r="J562" t="s">
        <v>38</v>
      </c>
      <c r="K562">
        <v>1</v>
      </c>
      <c r="L562">
        <v>775</v>
      </c>
      <c r="M562">
        <v>2</v>
      </c>
      <c r="N562" t="str" cm="1">
        <f t="array" ref="N562">_xlfn.IFS(HRData[[#This Row],[EnvironmentSatisfaction]]=1,"Very Dissatisfied",
HRData[[#This Row],[EnvironmentSatisfaction]]=2,"Dissatisfied",
HRData[[#This Row],[EnvironmentSatisfaction]]=3,"Satisfied",
HRData[[#This Row],[EnvironmentSatisfaction]]=4,"Very Satisfied"
)</f>
        <v>Dissatisfied</v>
      </c>
      <c r="O562" t="s">
        <v>39</v>
      </c>
      <c r="P562">
        <v>32</v>
      </c>
      <c r="Q562">
        <v>3</v>
      </c>
      <c r="R562">
        <v>2</v>
      </c>
      <c r="S562" t="s">
        <v>53</v>
      </c>
      <c r="T562">
        <v>1</v>
      </c>
      <c r="U562" t="str" cm="1">
        <f t="array" ref="U562">_xlfn.IFS(
HRData[[#This Row],[JobSatisfaction]]=1,"Very Dissatisfied",
HRData[[#This Row],[JobSatisfaction]]=2,"Dissatisfied",
HRData[[#This Row],[JobSatisfaction]]=3,"Satisfied",
HRData[[#This Row],[JobSatisfaction]]=4,"Very Satisfied"
)</f>
        <v>Very Dissatisfied</v>
      </c>
      <c r="V562" t="s">
        <v>52</v>
      </c>
      <c r="W562">
        <v>5121</v>
      </c>
      <c r="X562" t="str" cm="1">
        <f t="array" ref="X562">_xlfn.IFS(
HRData[[#This Row],[MonthlyIncome]]&lt;=4000,"Very Low Income",
HRData[[#This Row],[MonthlyIncome]]&lt;=8000,"Low Income",
HRData[[#This Row],[MonthlyIncome]]&lt;=12000,"Moderate Income",
HRData[[#This Row],[MonthlyIncome]]&lt;=16000,"High Income",
HRData[[#This Row],[MonthlyIncome]]&gt;16000,"Very High Income"
)</f>
        <v>Low Income</v>
      </c>
      <c r="Y562">
        <v>4187</v>
      </c>
      <c r="Z562">
        <v>3</v>
      </c>
      <c r="AA562" t="s">
        <v>42</v>
      </c>
      <c r="AB562" t="s">
        <v>43</v>
      </c>
      <c r="AC562">
        <v>14</v>
      </c>
      <c r="AD562" t="str" cm="1">
        <f t="array" ref="AD562">_xlfn.IFS(HRData[[#This Row],[PercentSalaryHike]]&lt;=15,"11-15",HRData[[#This Row],[PercentSalaryHike]]&lt;=20,"16-20",HRData[[#This Row],[PercentSalaryHike]]&gt;=21,"21+")</f>
        <v>11-15</v>
      </c>
      <c r="AE562">
        <v>3</v>
      </c>
      <c r="AF562">
        <v>3</v>
      </c>
      <c r="AG562">
        <v>80</v>
      </c>
      <c r="AH562">
        <v>1</v>
      </c>
      <c r="AI562">
        <v>7</v>
      </c>
      <c r="AJ562">
        <v>3</v>
      </c>
      <c r="AK562">
        <v>3</v>
      </c>
      <c r="AL562">
        <v>0</v>
      </c>
      <c r="AM562">
        <v>0</v>
      </c>
      <c r="AN562">
        <v>0</v>
      </c>
      <c r="AO562">
        <v>0</v>
      </c>
      <c r="AP56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62" t="str">
        <f>IF(HRData[[#This Row],[Attrition]]="Yes","Left", IF(HRData[[#This Row],[Attrition_Risk_Score]]&gt;=6,"High",IF(HRData[[#This Row],[Attrition_Risk_Score]]&gt;=3,"Medium","Low")))</f>
        <v>Medium</v>
      </c>
      <c r="AR562" t="str">
        <f>IF(HRData[[#This Row],[Attrition_Risk_Level]]&lt;&gt;"High","",HRData[[#This Row],[Attrition_Risk_Score]]*10000-HRData[[#This Row],[EmployeeNumber]])</f>
        <v/>
      </c>
    </row>
    <row r="563" spans="1:44">
      <c r="A563">
        <v>52</v>
      </c>
      <c r="B563" t="str" cm="1">
        <f t="array" ref="B563">_xlfn.IFS(
HRData[[#This Row],[Age]]&lt;=24,"18-24",
HRData[[#This Row],[Age]]&lt;=34,"25-34",
HRData[[#This Row],[Age]]&lt;=44,"35-44",
HRData[[#This Row],[Age]]&lt;=54,"45-54",
HRData[[#This Row],[Age]]&gt;=55,"55+"
)</f>
        <v>45-54</v>
      </c>
      <c r="C563" t="s">
        <v>43</v>
      </c>
      <c r="D563">
        <f>IF(HRData[[#This Row],[Attrition]]="Yes",1,0)</f>
        <v>0</v>
      </c>
      <c r="E563" t="s">
        <v>36</v>
      </c>
      <c r="F563">
        <v>621</v>
      </c>
      <c r="G563" t="s">
        <v>37</v>
      </c>
      <c r="H563">
        <v>3</v>
      </c>
      <c r="I563">
        <v>4</v>
      </c>
      <c r="J563" t="s">
        <v>59</v>
      </c>
      <c r="K563">
        <v>1</v>
      </c>
      <c r="L563">
        <v>776</v>
      </c>
      <c r="M563">
        <v>3</v>
      </c>
      <c r="N563" t="str" cm="1">
        <f t="array" ref="N563">_xlfn.IFS(HRData[[#This Row],[EnvironmentSatisfaction]]=1,"Very Dissatisfied",
HRData[[#This Row],[EnvironmentSatisfaction]]=2,"Dissatisfied",
HRData[[#This Row],[EnvironmentSatisfaction]]=3,"Satisfied",
HRData[[#This Row],[EnvironmentSatisfaction]]=4,"Very Satisfied"
)</f>
        <v>Satisfied</v>
      </c>
      <c r="O563" t="s">
        <v>46</v>
      </c>
      <c r="P563">
        <v>31</v>
      </c>
      <c r="Q563">
        <v>2</v>
      </c>
      <c r="R563">
        <v>4</v>
      </c>
      <c r="S563" t="s">
        <v>56</v>
      </c>
      <c r="T563">
        <v>1</v>
      </c>
      <c r="U563" t="str" cm="1">
        <f t="array" ref="U563">_xlfn.IFS(
HRData[[#This Row],[JobSatisfaction]]=1,"Very Dissatisfied",
HRData[[#This Row],[JobSatisfaction]]=2,"Dissatisfied",
HRData[[#This Row],[JobSatisfaction]]=3,"Satisfied",
HRData[[#This Row],[JobSatisfaction]]=4,"Very Satisfied"
)</f>
        <v>Very Dissatisfied</v>
      </c>
      <c r="V563" t="s">
        <v>48</v>
      </c>
      <c r="W563">
        <v>16856</v>
      </c>
      <c r="X563" t="str" cm="1">
        <f t="array" ref="X563">_xlfn.IFS(
HRData[[#This Row],[MonthlyIncome]]&lt;=4000,"Very Low Income",
HRData[[#This Row],[MonthlyIncome]]&lt;=8000,"Low Income",
HRData[[#This Row],[MonthlyIncome]]&lt;=12000,"Moderate Income",
HRData[[#This Row],[MonthlyIncome]]&lt;=16000,"High Income",
HRData[[#This Row],[MonthlyIncome]]&gt;16000,"Very High Income"
)</f>
        <v>Very High Income</v>
      </c>
      <c r="Y563">
        <v>10084</v>
      </c>
      <c r="Z563">
        <v>1</v>
      </c>
      <c r="AA563" t="s">
        <v>42</v>
      </c>
      <c r="AB563" t="s">
        <v>43</v>
      </c>
      <c r="AC563">
        <v>11</v>
      </c>
      <c r="AD563" t="str" cm="1">
        <f t="array" ref="AD563">_xlfn.IFS(HRData[[#This Row],[PercentSalaryHike]]&lt;=15,"11-15",HRData[[#This Row],[PercentSalaryHike]]&lt;=20,"16-20",HRData[[#This Row],[PercentSalaryHike]]&gt;=21,"21+")</f>
        <v>11-15</v>
      </c>
      <c r="AE563">
        <v>3</v>
      </c>
      <c r="AF563">
        <v>1</v>
      </c>
      <c r="AG563">
        <v>80</v>
      </c>
      <c r="AH563">
        <v>0</v>
      </c>
      <c r="AI563">
        <v>34</v>
      </c>
      <c r="AJ563">
        <v>3</v>
      </c>
      <c r="AK563">
        <v>4</v>
      </c>
      <c r="AL563">
        <v>34</v>
      </c>
      <c r="AM563">
        <v>6</v>
      </c>
      <c r="AN563">
        <v>1</v>
      </c>
      <c r="AO563">
        <v>16</v>
      </c>
      <c r="AP56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63" t="str">
        <f>IF(HRData[[#This Row],[Attrition]]="Yes","Left", IF(HRData[[#This Row],[Attrition_Risk_Score]]&gt;=6,"High",IF(HRData[[#This Row],[Attrition_Risk_Score]]&gt;=3,"Medium","Low")))</f>
        <v>Low</v>
      </c>
      <c r="AR563" t="str">
        <f>IF(HRData[[#This Row],[Attrition_Risk_Level]]&lt;&gt;"High","",HRData[[#This Row],[Attrition_Risk_Score]]*10000-HRData[[#This Row],[EmployeeNumber]])</f>
        <v/>
      </c>
    </row>
    <row r="564" spans="1:44">
      <c r="A564">
        <v>33</v>
      </c>
      <c r="B564" t="str" cm="1">
        <f t="array" ref="B564">_xlfn.IFS(
HRData[[#This Row],[Age]]&lt;=24,"18-24",
HRData[[#This Row],[Age]]&lt;=34,"25-34",
HRData[[#This Row],[Age]]&lt;=44,"35-44",
HRData[[#This Row],[Age]]&lt;=54,"45-54",
HRData[[#This Row],[Age]]&gt;=55,"55+"
)</f>
        <v>25-34</v>
      </c>
      <c r="C564" t="s">
        <v>35</v>
      </c>
      <c r="D564">
        <f>IF(HRData[[#This Row],[Attrition]]="Yes",1,0)</f>
        <v>1</v>
      </c>
      <c r="E564" t="s">
        <v>36</v>
      </c>
      <c r="F564">
        <v>527</v>
      </c>
      <c r="G564" t="s">
        <v>45</v>
      </c>
      <c r="H564">
        <v>1</v>
      </c>
      <c r="I564">
        <v>4</v>
      </c>
      <c r="J564" t="s">
        <v>49</v>
      </c>
      <c r="K564">
        <v>1</v>
      </c>
      <c r="L564">
        <v>780</v>
      </c>
      <c r="M564">
        <v>4</v>
      </c>
      <c r="N564" t="str" cm="1">
        <f t="array" ref="N564">_xlfn.IFS(HRData[[#This Row],[EnvironmentSatisfaction]]=1,"Very Dissatisfied",
HRData[[#This Row],[EnvironmentSatisfaction]]=2,"Dissatisfied",
HRData[[#This Row],[EnvironmentSatisfaction]]=3,"Satisfied",
HRData[[#This Row],[EnvironmentSatisfaction]]=4,"Very Satisfied"
)</f>
        <v>Very Satisfied</v>
      </c>
      <c r="O564" t="s">
        <v>46</v>
      </c>
      <c r="P564">
        <v>63</v>
      </c>
      <c r="Q564">
        <v>3</v>
      </c>
      <c r="R564">
        <v>1</v>
      </c>
      <c r="S564" t="s">
        <v>47</v>
      </c>
      <c r="T564">
        <v>4</v>
      </c>
      <c r="U564" t="str" cm="1">
        <f t="array" ref="U564">_xlfn.IFS(
HRData[[#This Row],[JobSatisfaction]]=1,"Very Dissatisfied",
HRData[[#This Row],[JobSatisfaction]]=2,"Dissatisfied",
HRData[[#This Row],[JobSatisfaction]]=3,"Satisfied",
HRData[[#This Row],[JobSatisfaction]]=4,"Very Satisfied"
)</f>
        <v>Very Satisfied</v>
      </c>
      <c r="V564" t="s">
        <v>41</v>
      </c>
      <c r="W564">
        <v>2686</v>
      </c>
      <c r="X564" t="str" cm="1">
        <f t="array" ref="X564">_xlfn.IFS(
HRData[[#This Row],[MonthlyIncome]]&lt;=4000,"Very Low Income",
HRData[[#This Row],[MonthlyIncome]]&lt;=8000,"Low Income",
HRData[[#This Row],[MonthlyIncome]]&lt;=12000,"Moderate Income",
HRData[[#This Row],[MonthlyIncome]]&lt;=16000,"High Income",
HRData[[#This Row],[MonthlyIncome]]&gt;16000,"Very High Income"
)</f>
        <v>Very Low Income</v>
      </c>
      <c r="Y564">
        <v>5207</v>
      </c>
      <c r="Z564">
        <v>1</v>
      </c>
      <c r="AA564" t="s">
        <v>42</v>
      </c>
      <c r="AB564" t="s">
        <v>35</v>
      </c>
      <c r="AC564">
        <v>13</v>
      </c>
      <c r="AD564" t="str" cm="1">
        <f t="array" ref="AD564">_xlfn.IFS(HRData[[#This Row],[PercentSalaryHike]]&lt;=15,"11-15",HRData[[#This Row],[PercentSalaryHike]]&lt;=20,"16-20",HRData[[#This Row],[PercentSalaryHike]]&gt;=21,"21+")</f>
        <v>11-15</v>
      </c>
      <c r="AE564">
        <v>3</v>
      </c>
      <c r="AF564">
        <v>3</v>
      </c>
      <c r="AG564">
        <v>80</v>
      </c>
      <c r="AH564">
        <v>0</v>
      </c>
      <c r="AI564">
        <v>10</v>
      </c>
      <c r="AJ564">
        <v>2</v>
      </c>
      <c r="AK564">
        <v>2</v>
      </c>
      <c r="AL564">
        <v>10</v>
      </c>
      <c r="AM564">
        <v>9</v>
      </c>
      <c r="AN564">
        <v>7</v>
      </c>
      <c r="AO564">
        <v>8</v>
      </c>
      <c r="AP56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64" t="str">
        <f>IF(HRData[[#This Row],[Attrition]]="Yes","Left", IF(HRData[[#This Row],[Attrition_Risk_Score]]&gt;=6,"High",IF(HRData[[#This Row],[Attrition_Risk_Score]]&gt;=3,"Medium","Low")))</f>
        <v>Left</v>
      </c>
      <c r="AR564" t="str">
        <f>IF(HRData[[#This Row],[Attrition_Risk_Level]]&lt;&gt;"High","",HRData[[#This Row],[Attrition_Risk_Score]]*10000-HRData[[#This Row],[EmployeeNumber]])</f>
        <v/>
      </c>
    </row>
    <row r="565" spans="1:44">
      <c r="A565">
        <v>25</v>
      </c>
      <c r="B565" t="str" cm="1">
        <f t="array" ref="B565">_xlfn.IFS(
HRData[[#This Row],[Age]]&lt;=24,"18-24",
HRData[[#This Row],[Age]]&lt;=34,"25-34",
HRData[[#This Row],[Age]]&lt;=44,"35-44",
HRData[[#This Row],[Age]]&lt;=54,"45-54",
HRData[[#This Row],[Age]]&gt;=55,"55+"
)</f>
        <v>25-34</v>
      </c>
      <c r="C565" t="s">
        <v>43</v>
      </c>
      <c r="D565">
        <f>IF(HRData[[#This Row],[Attrition]]="Yes",1,0)</f>
        <v>0</v>
      </c>
      <c r="E565" t="s">
        <v>36</v>
      </c>
      <c r="F565">
        <v>883</v>
      </c>
      <c r="G565" t="s">
        <v>37</v>
      </c>
      <c r="H565">
        <v>26</v>
      </c>
      <c r="I565">
        <v>1</v>
      </c>
      <c r="J565" t="s">
        <v>51</v>
      </c>
      <c r="K565">
        <v>1</v>
      </c>
      <c r="L565">
        <v>781</v>
      </c>
      <c r="M565">
        <v>3</v>
      </c>
      <c r="N565" t="str" cm="1">
        <f t="array" ref="N565">_xlfn.IFS(HRData[[#This Row],[EnvironmentSatisfaction]]=1,"Very Dissatisfied",
HRData[[#This Row],[EnvironmentSatisfaction]]=2,"Dissatisfied",
HRData[[#This Row],[EnvironmentSatisfaction]]=3,"Satisfied",
HRData[[#This Row],[EnvironmentSatisfaction]]=4,"Very Satisfied"
)</f>
        <v>Satisfied</v>
      </c>
      <c r="O565" t="s">
        <v>39</v>
      </c>
      <c r="P565">
        <v>32</v>
      </c>
      <c r="Q565">
        <v>3</v>
      </c>
      <c r="R565">
        <v>2</v>
      </c>
      <c r="S565" t="s">
        <v>40</v>
      </c>
      <c r="T565">
        <v>4</v>
      </c>
      <c r="U565" t="str" cm="1">
        <f t="array" ref="U565">_xlfn.IFS(
HRData[[#This Row],[JobSatisfaction]]=1,"Very Dissatisfied",
HRData[[#This Row],[JobSatisfaction]]=2,"Dissatisfied",
HRData[[#This Row],[JobSatisfaction]]=3,"Satisfied",
HRData[[#This Row],[JobSatisfaction]]=4,"Very Satisfied"
)</f>
        <v>Very Satisfied</v>
      </c>
      <c r="V565" t="s">
        <v>41</v>
      </c>
      <c r="W565">
        <v>6180</v>
      </c>
      <c r="X565" t="str" cm="1">
        <f t="array" ref="X565">_xlfn.IFS(
HRData[[#This Row],[MonthlyIncome]]&lt;=4000,"Very Low Income",
HRData[[#This Row],[MonthlyIncome]]&lt;=8000,"Low Income",
HRData[[#This Row],[MonthlyIncome]]&lt;=12000,"Moderate Income",
HRData[[#This Row],[MonthlyIncome]]&lt;=16000,"High Income",
HRData[[#This Row],[MonthlyIncome]]&gt;16000,"Very High Income"
)</f>
        <v>Low Income</v>
      </c>
      <c r="Y565">
        <v>22807</v>
      </c>
      <c r="Z565">
        <v>1</v>
      </c>
      <c r="AA565" t="s">
        <v>42</v>
      </c>
      <c r="AB565" t="s">
        <v>43</v>
      </c>
      <c r="AC565">
        <v>23</v>
      </c>
      <c r="AD565" t="str" cm="1">
        <f t="array" ref="AD565">_xlfn.IFS(HRData[[#This Row],[PercentSalaryHike]]&lt;=15,"11-15",HRData[[#This Row],[PercentSalaryHike]]&lt;=20,"16-20",HRData[[#This Row],[PercentSalaryHike]]&gt;=21,"21+")</f>
        <v>21+</v>
      </c>
      <c r="AE565">
        <v>4</v>
      </c>
      <c r="AF565">
        <v>2</v>
      </c>
      <c r="AG565">
        <v>80</v>
      </c>
      <c r="AH565">
        <v>0</v>
      </c>
      <c r="AI565">
        <v>6</v>
      </c>
      <c r="AJ565">
        <v>5</v>
      </c>
      <c r="AK565">
        <v>2</v>
      </c>
      <c r="AL565">
        <v>6</v>
      </c>
      <c r="AM565">
        <v>5</v>
      </c>
      <c r="AN565">
        <v>1</v>
      </c>
      <c r="AO565">
        <v>4</v>
      </c>
      <c r="AP56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65" t="str">
        <f>IF(HRData[[#This Row],[Attrition]]="Yes","Left", IF(HRData[[#This Row],[Attrition_Risk_Score]]&gt;=6,"High",IF(HRData[[#This Row],[Attrition_Risk_Score]]&gt;=3,"Medium","Low")))</f>
        <v>Low</v>
      </c>
      <c r="AR565" t="str">
        <f>IF(HRData[[#This Row],[Attrition_Risk_Level]]&lt;&gt;"High","",HRData[[#This Row],[Attrition_Risk_Score]]*10000-HRData[[#This Row],[EmployeeNumber]])</f>
        <v/>
      </c>
    </row>
    <row r="566" spans="1:44">
      <c r="A566">
        <v>45</v>
      </c>
      <c r="B566" t="str" cm="1">
        <f t="array" ref="B566">_xlfn.IFS(
HRData[[#This Row],[Age]]&lt;=24,"18-24",
HRData[[#This Row],[Age]]&lt;=34,"25-34",
HRData[[#This Row],[Age]]&lt;=44,"35-44",
HRData[[#This Row],[Age]]&lt;=54,"45-54",
HRData[[#This Row],[Age]]&gt;=55,"55+"
)</f>
        <v>45-54</v>
      </c>
      <c r="C566" t="s">
        <v>43</v>
      </c>
      <c r="D566">
        <f>IF(HRData[[#This Row],[Attrition]]="Yes",1,0)</f>
        <v>0</v>
      </c>
      <c r="E566" t="s">
        <v>36</v>
      </c>
      <c r="F566">
        <v>954</v>
      </c>
      <c r="G566" t="s">
        <v>37</v>
      </c>
      <c r="H566">
        <v>2</v>
      </c>
      <c r="I566">
        <v>2</v>
      </c>
      <c r="J566" t="s">
        <v>60</v>
      </c>
      <c r="K566">
        <v>1</v>
      </c>
      <c r="L566">
        <v>783</v>
      </c>
      <c r="M566">
        <v>2</v>
      </c>
      <c r="N566" t="str" cm="1">
        <f t="array" ref="N566">_xlfn.IFS(HRData[[#This Row],[EnvironmentSatisfaction]]=1,"Very Dissatisfied",
HRData[[#This Row],[EnvironmentSatisfaction]]=2,"Dissatisfied",
HRData[[#This Row],[EnvironmentSatisfaction]]=3,"Satisfied",
HRData[[#This Row],[EnvironmentSatisfaction]]=4,"Very Satisfied"
)</f>
        <v>Dissatisfied</v>
      </c>
      <c r="O566" t="s">
        <v>46</v>
      </c>
      <c r="P566">
        <v>46</v>
      </c>
      <c r="Q566">
        <v>1</v>
      </c>
      <c r="R566">
        <v>2</v>
      </c>
      <c r="S566" t="s">
        <v>57</v>
      </c>
      <c r="T566">
        <v>3</v>
      </c>
      <c r="U566" t="str" cm="1">
        <f t="array" ref="U566">_xlfn.IFS(
HRData[[#This Row],[JobSatisfaction]]=1,"Very Dissatisfied",
HRData[[#This Row],[JobSatisfaction]]=2,"Dissatisfied",
HRData[[#This Row],[JobSatisfaction]]=3,"Satisfied",
HRData[[#This Row],[JobSatisfaction]]=4,"Very Satisfied"
)</f>
        <v>Satisfied</v>
      </c>
      <c r="V566" t="s">
        <v>41</v>
      </c>
      <c r="W566">
        <v>6632</v>
      </c>
      <c r="X566" t="str" cm="1">
        <f t="array" ref="X566">_xlfn.IFS(
HRData[[#This Row],[MonthlyIncome]]&lt;=4000,"Very Low Income",
HRData[[#This Row],[MonthlyIncome]]&lt;=8000,"Low Income",
HRData[[#This Row],[MonthlyIncome]]&lt;=12000,"Moderate Income",
HRData[[#This Row],[MonthlyIncome]]&lt;=16000,"High Income",
HRData[[#This Row],[MonthlyIncome]]&gt;16000,"Very High Income"
)</f>
        <v>Low Income</v>
      </c>
      <c r="Y566">
        <v>12388</v>
      </c>
      <c r="Z566">
        <v>0</v>
      </c>
      <c r="AA566" t="s">
        <v>42</v>
      </c>
      <c r="AB566" t="s">
        <v>43</v>
      </c>
      <c r="AC566">
        <v>13</v>
      </c>
      <c r="AD566" t="str" cm="1">
        <f t="array" ref="AD566">_xlfn.IFS(HRData[[#This Row],[PercentSalaryHike]]&lt;=15,"11-15",HRData[[#This Row],[PercentSalaryHike]]&lt;=20,"16-20",HRData[[#This Row],[PercentSalaryHike]]&gt;=21,"21+")</f>
        <v>11-15</v>
      </c>
      <c r="AE566">
        <v>3</v>
      </c>
      <c r="AF566">
        <v>1</v>
      </c>
      <c r="AG566">
        <v>80</v>
      </c>
      <c r="AH566">
        <v>0</v>
      </c>
      <c r="AI566">
        <v>9</v>
      </c>
      <c r="AJ566">
        <v>3</v>
      </c>
      <c r="AK566">
        <v>3</v>
      </c>
      <c r="AL566">
        <v>8</v>
      </c>
      <c r="AM566">
        <v>7</v>
      </c>
      <c r="AN566">
        <v>3</v>
      </c>
      <c r="AO566">
        <v>1</v>
      </c>
      <c r="AP56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66" t="str">
        <f>IF(HRData[[#This Row],[Attrition]]="Yes","Left", IF(HRData[[#This Row],[Attrition_Risk_Score]]&gt;=6,"High",IF(HRData[[#This Row],[Attrition_Risk_Score]]&gt;=3,"Medium","Low")))</f>
        <v>Medium</v>
      </c>
      <c r="AR566" t="str">
        <f>IF(HRData[[#This Row],[Attrition_Risk_Level]]&lt;&gt;"High","",HRData[[#This Row],[Attrition_Risk_Score]]*10000-HRData[[#This Row],[EmployeeNumber]])</f>
        <v/>
      </c>
    </row>
    <row r="567" spans="1:44">
      <c r="A567">
        <v>23</v>
      </c>
      <c r="B567" t="str" cm="1">
        <f t="array" ref="B567">_xlfn.IFS(
HRData[[#This Row],[Age]]&lt;=24,"18-24",
HRData[[#This Row],[Age]]&lt;=34,"25-34",
HRData[[#This Row],[Age]]&lt;=44,"35-44",
HRData[[#This Row],[Age]]&lt;=54,"45-54",
HRData[[#This Row],[Age]]&gt;=55,"55+"
)</f>
        <v>18-24</v>
      </c>
      <c r="C567" t="s">
        <v>43</v>
      </c>
      <c r="D567">
        <f>IF(HRData[[#This Row],[Attrition]]="Yes",1,0)</f>
        <v>0</v>
      </c>
      <c r="E567" t="s">
        <v>36</v>
      </c>
      <c r="F567">
        <v>310</v>
      </c>
      <c r="G567" t="s">
        <v>45</v>
      </c>
      <c r="H567">
        <v>10</v>
      </c>
      <c r="I567">
        <v>1</v>
      </c>
      <c r="J567" t="s">
        <v>51</v>
      </c>
      <c r="K567">
        <v>1</v>
      </c>
      <c r="L567">
        <v>784</v>
      </c>
      <c r="M567">
        <v>1</v>
      </c>
      <c r="N567" t="str" cm="1">
        <f t="array" ref="N567">_xlfn.IFS(HRData[[#This Row],[EnvironmentSatisfaction]]=1,"Very Dissatisfied",
HRData[[#This Row],[EnvironmentSatisfaction]]=2,"Dissatisfied",
HRData[[#This Row],[EnvironmentSatisfaction]]=3,"Satisfied",
HRData[[#This Row],[EnvironmentSatisfaction]]=4,"Very Satisfied"
)</f>
        <v>Very Dissatisfied</v>
      </c>
      <c r="O567" t="s">
        <v>46</v>
      </c>
      <c r="P567">
        <v>79</v>
      </c>
      <c r="Q567">
        <v>4</v>
      </c>
      <c r="R567">
        <v>1</v>
      </c>
      <c r="S567" t="s">
        <v>47</v>
      </c>
      <c r="T567">
        <v>3</v>
      </c>
      <c r="U567" t="str" cm="1">
        <f t="array" ref="U567">_xlfn.IFS(
HRData[[#This Row],[JobSatisfaction]]=1,"Very Dissatisfied",
HRData[[#This Row],[JobSatisfaction]]=2,"Dissatisfied",
HRData[[#This Row],[JobSatisfaction]]=3,"Satisfied",
HRData[[#This Row],[JobSatisfaction]]=4,"Very Satisfied"
)</f>
        <v>Satisfied</v>
      </c>
      <c r="V567" t="s">
        <v>41</v>
      </c>
      <c r="W567">
        <v>3505</v>
      </c>
      <c r="X567" t="str" cm="1">
        <f t="array" ref="X567">_xlfn.IFS(
HRData[[#This Row],[MonthlyIncome]]&lt;=4000,"Very Low Income",
HRData[[#This Row],[MonthlyIncome]]&lt;=8000,"Low Income",
HRData[[#This Row],[MonthlyIncome]]&lt;=12000,"Moderate Income",
HRData[[#This Row],[MonthlyIncome]]&lt;=16000,"High Income",
HRData[[#This Row],[MonthlyIncome]]&gt;16000,"Very High Income"
)</f>
        <v>Very Low Income</v>
      </c>
      <c r="Y567">
        <v>19630</v>
      </c>
      <c r="Z567">
        <v>1</v>
      </c>
      <c r="AA567" t="s">
        <v>42</v>
      </c>
      <c r="AB567" t="s">
        <v>43</v>
      </c>
      <c r="AC567">
        <v>18</v>
      </c>
      <c r="AD567" t="str" cm="1">
        <f t="array" ref="AD567">_xlfn.IFS(HRData[[#This Row],[PercentSalaryHike]]&lt;=15,"11-15",HRData[[#This Row],[PercentSalaryHike]]&lt;=20,"16-20",HRData[[#This Row],[PercentSalaryHike]]&gt;=21,"21+")</f>
        <v>16-20</v>
      </c>
      <c r="AE567">
        <v>3</v>
      </c>
      <c r="AF567">
        <v>4</v>
      </c>
      <c r="AG567">
        <v>80</v>
      </c>
      <c r="AH567">
        <v>0</v>
      </c>
      <c r="AI567">
        <v>2</v>
      </c>
      <c r="AJ567">
        <v>3</v>
      </c>
      <c r="AK567">
        <v>3</v>
      </c>
      <c r="AL567">
        <v>2</v>
      </c>
      <c r="AM567">
        <v>2</v>
      </c>
      <c r="AN567">
        <v>0</v>
      </c>
      <c r="AO567">
        <v>2</v>
      </c>
      <c r="AP56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67" t="str">
        <f>IF(HRData[[#This Row],[Attrition]]="Yes","Left", IF(HRData[[#This Row],[Attrition_Risk_Score]]&gt;=6,"High",IF(HRData[[#This Row],[Attrition_Risk_Score]]&gt;=3,"Medium","Low")))</f>
        <v>Medium</v>
      </c>
      <c r="AR567" t="str">
        <f>IF(HRData[[#This Row],[Attrition_Risk_Level]]&lt;&gt;"High","",HRData[[#This Row],[Attrition_Risk_Score]]*10000-HRData[[#This Row],[EmployeeNumber]])</f>
        <v/>
      </c>
    </row>
    <row r="568" spans="1:44">
      <c r="A568">
        <v>47</v>
      </c>
      <c r="B568" t="str" cm="1">
        <f t="array" ref="B568">_xlfn.IFS(
HRData[[#This Row],[Age]]&lt;=24,"18-24",
HRData[[#This Row],[Age]]&lt;=34,"25-34",
HRData[[#This Row],[Age]]&lt;=44,"35-44",
HRData[[#This Row],[Age]]&lt;=54,"45-54",
HRData[[#This Row],[Age]]&gt;=55,"55+"
)</f>
        <v>45-54</v>
      </c>
      <c r="C568" t="s">
        <v>35</v>
      </c>
      <c r="D568">
        <f>IF(HRData[[#This Row],[Attrition]]="Yes",1,0)</f>
        <v>1</v>
      </c>
      <c r="E568" t="s">
        <v>44</v>
      </c>
      <c r="F568">
        <v>719</v>
      </c>
      <c r="G568" t="s">
        <v>37</v>
      </c>
      <c r="H568">
        <v>27</v>
      </c>
      <c r="I568">
        <v>2</v>
      </c>
      <c r="J568" t="s">
        <v>38</v>
      </c>
      <c r="K568">
        <v>1</v>
      </c>
      <c r="L568">
        <v>785</v>
      </c>
      <c r="M568">
        <v>2</v>
      </c>
      <c r="N568" t="str" cm="1">
        <f t="array" ref="N568">_xlfn.IFS(HRData[[#This Row],[EnvironmentSatisfaction]]=1,"Very Dissatisfied",
HRData[[#This Row],[EnvironmentSatisfaction]]=2,"Dissatisfied",
HRData[[#This Row],[EnvironmentSatisfaction]]=3,"Satisfied",
HRData[[#This Row],[EnvironmentSatisfaction]]=4,"Very Satisfied"
)</f>
        <v>Dissatisfied</v>
      </c>
      <c r="O568" t="s">
        <v>39</v>
      </c>
      <c r="P568">
        <v>77</v>
      </c>
      <c r="Q568">
        <v>4</v>
      </c>
      <c r="R568">
        <v>2</v>
      </c>
      <c r="S568" t="s">
        <v>40</v>
      </c>
      <c r="T568">
        <v>3</v>
      </c>
      <c r="U568" t="str" cm="1">
        <f t="array" ref="U568">_xlfn.IFS(
HRData[[#This Row],[JobSatisfaction]]=1,"Very Dissatisfied",
HRData[[#This Row],[JobSatisfaction]]=2,"Dissatisfied",
HRData[[#This Row],[JobSatisfaction]]=3,"Satisfied",
HRData[[#This Row],[JobSatisfaction]]=4,"Very Satisfied"
)</f>
        <v>Satisfied</v>
      </c>
      <c r="V568" t="s">
        <v>41</v>
      </c>
      <c r="W568">
        <v>6397</v>
      </c>
      <c r="X568" t="str" cm="1">
        <f t="array" ref="X568">_xlfn.IFS(
HRData[[#This Row],[MonthlyIncome]]&lt;=4000,"Very Low Income",
HRData[[#This Row],[MonthlyIncome]]&lt;=8000,"Low Income",
HRData[[#This Row],[MonthlyIncome]]&lt;=12000,"Moderate Income",
HRData[[#This Row],[MonthlyIncome]]&lt;=16000,"High Income",
HRData[[#This Row],[MonthlyIncome]]&gt;16000,"Very High Income"
)</f>
        <v>Low Income</v>
      </c>
      <c r="Y568">
        <v>10339</v>
      </c>
      <c r="Z568">
        <v>4</v>
      </c>
      <c r="AA568" t="s">
        <v>42</v>
      </c>
      <c r="AB568" t="s">
        <v>35</v>
      </c>
      <c r="AC568">
        <v>12</v>
      </c>
      <c r="AD568" t="str" cm="1">
        <f t="array" ref="AD568">_xlfn.IFS(HRData[[#This Row],[PercentSalaryHike]]&lt;=15,"11-15",HRData[[#This Row],[PercentSalaryHike]]&lt;=20,"16-20",HRData[[#This Row],[PercentSalaryHike]]&gt;=21,"21+")</f>
        <v>11-15</v>
      </c>
      <c r="AE568">
        <v>3</v>
      </c>
      <c r="AF568">
        <v>4</v>
      </c>
      <c r="AG568">
        <v>80</v>
      </c>
      <c r="AH568">
        <v>0</v>
      </c>
      <c r="AI568">
        <v>8</v>
      </c>
      <c r="AJ568">
        <v>2</v>
      </c>
      <c r="AK568">
        <v>3</v>
      </c>
      <c r="AL568">
        <v>5</v>
      </c>
      <c r="AM568">
        <v>4</v>
      </c>
      <c r="AN568">
        <v>1</v>
      </c>
      <c r="AO568">
        <v>3</v>
      </c>
      <c r="AP56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68" t="str">
        <f>IF(HRData[[#This Row],[Attrition]]="Yes","Left", IF(HRData[[#This Row],[Attrition_Risk_Score]]&gt;=6,"High",IF(HRData[[#This Row],[Attrition_Risk_Score]]&gt;=3,"Medium","Low")))</f>
        <v>Left</v>
      </c>
      <c r="AR568" t="str">
        <f>IF(HRData[[#This Row],[Attrition_Risk_Level]]&lt;&gt;"High","",HRData[[#This Row],[Attrition_Risk_Score]]*10000-HRData[[#This Row],[EmployeeNumber]])</f>
        <v/>
      </c>
    </row>
    <row r="569" spans="1:44">
      <c r="A569">
        <v>34</v>
      </c>
      <c r="B569" t="str" cm="1">
        <f t="array" ref="B569">_xlfn.IFS(
HRData[[#This Row],[Age]]&lt;=24,"18-24",
HRData[[#This Row],[Age]]&lt;=34,"25-34",
HRData[[#This Row],[Age]]&lt;=44,"35-44",
HRData[[#This Row],[Age]]&lt;=54,"45-54",
HRData[[#This Row],[Age]]&gt;=55,"55+"
)</f>
        <v>25-34</v>
      </c>
      <c r="C569" t="s">
        <v>43</v>
      </c>
      <c r="D569">
        <f>IF(HRData[[#This Row],[Attrition]]="Yes",1,0)</f>
        <v>0</v>
      </c>
      <c r="E569" t="s">
        <v>36</v>
      </c>
      <c r="F569">
        <v>304</v>
      </c>
      <c r="G569" t="s">
        <v>37</v>
      </c>
      <c r="H569">
        <v>2</v>
      </c>
      <c r="I569">
        <v>3</v>
      </c>
      <c r="J569" t="s">
        <v>49</v>
      </c>
      <c r="K569">
        <v>1</v>
      </c>
      <c r="L569">
        <v>786</v>
      </c>
      <c r="M569">
        <v>4</v>
      </c>
      <c r="N569" t="str" cm="1">
        <f t="array" ref="N569">_xlfn.IFS(HRData[[#This Row],[EnvironmentSatisfaction]]=1,"Very Dissatisfied",
HRData[[#This Row],[EnvironmentSatisfaction]]=2,"Dissatisfied",
HRData[[#This Row],[EnvironmentSatisfaction]]=3,"Satisfied",
HRData[[#This Row],[EnvironmentSatisfaction]]=4,"Very Satisfied"
)</f>
        <v>Very Satisfied</v>
      </c>
      <c r="O569" t="s">
        <v>46</v>
      </c>
      <c r="P569">
        <v>60</v>
      </c>
      <c r="Q569">
        <v>3</v>
      </c>
      <c r="R569">
        <v>2</v>
      </c>
      <c r="S569" t="s">
        <v>40</v>
      </c>
      <c r="T569">
        <v>4</v>
      </c>
      <c r="U569" t="str" cm="1">
        <f t="array" ref="U569">_xlfn.IFS(
HRData[[#This Row],[JobSatisfaction]]=1,"Very Dissatisfied",
HRData[[#This Row],[JobSatisfaction]]=2,"Dissatisfied",
HRData[[#This Row],[JobSatisfaction]]=3,"Satisfied",
HRData[[#This Row],[JobSatisfaction]]=4,"Very Satisfied"
)</f>
        <v>Very Satisfied</v>
      </c>
      <c r="V569" t="s">
        <v>41</v>
      </c>
      <c r="W569">
        <v>6274</v>
      </c>
      <c r="X569" t="str" cm="1">
        <f t="array" ref="X569">_xlfn.IFS(
HRData[[#This Row],[MonthlyIncome]]&lt;=4000,"Very Low Income",
HRData[[#This Row],[MonthlyIncome]]&lt;=8000,"Low Income",
HRData[[#This Row],[MonthlyIncome]]&lt;=12000,"Moderate Income",
HRData[[#This Row],[MonthlyIncome]]&lt;=16000,"High Income",
HRData[[#This Row],[MonthlyIncome]]&gt;16000,"Very High Income"
)</f>
        <v>Low Income</v>
      </c>
      <c r="Y569">
        <v>18686</v>
      </c>
      <c r="Z569">
        <v>1</v>
      </c>
      <c r="AA569" t="s">
        <v>42</v>
      </c>
      <c r="AB569" t="s">
        <v>43</v>
      </c>
      <c r="AC569">
        <v>22</v>
      </c>
      <c r="AD569" t="str" cm="1">
        <f t="array" ref="AD569">_xlfn.IFS(HRData[[#This Row],[PercentSalaryHike]]&lt;=15,"11-15",HRData[[#This Row],[PercentSalaryHike]]&lt;=20,"16-20",HRData[[#This Row],[PercentSalaryHike]]&gt;=21,"21+")</f>
        <v>21+</v>
      </c>
      <c r="AE569">
        <v>4</v>
      </c>
      <c r="AF569">
        <v>3</v>
      </c>
      <c r="AG569">
        <v>80</v>
      </c>
      <c r="AH569">
        <v>0</v>
      </c>
      <c r="AI569">
        <v>6</v>
      </c>
      <c r="AJ569">
        <v>5</v>
      </c>
      <c r="AK569">
        <v>3</v>
      </c>
      <c r="AL569">
        <v>6</v>
      </c>
      <c r="AM569">
        <v>5</v>
      </c>
      <c r="AN569">
        <v>1</v>
      </c>
      <c r="AO569">
        <v>4</v>
      </c>
      <c r="AP56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69" t="str">
        <f>IF(HRData[[#This Row],[Attrition]]="Yes","Left", IF(HRData[[#This Row],[Attrition_Risk_Score]]&gt;=6,"High",IF(HRData[[#This Row],[Attrition_Risk_Score]]&gt;=3,"Medium","Low")))</f>
        <v>Low</v>
      </c>
      <c r="AR569" t="str">
        <f>IF(HRData[[#This Row],[Attrition_Risk_Level]]&lt;&gt;"High","",HRData[[#This Row],[Attrition_Risk_Score]]*10000-HRData[[#This Row],[EmployeeNumber]])</f>
        <v/>
      </c>
    </row>
    <row r="570" spans="1:44">
      <c r="A570">
        <v>55</v>
      </c>
      <c r="B570" t="str" cm="1">
        <f t="array" ref="B570">_xlfn.IFS(
HRData[[#This Row],[Age]]&lt;=24,"18-24",
HRData[[#This Row],[Age]]&lt;=34,"25-34",
HRData[[#This Row],[Age]]&lt;=44,"35-44",
HRData[[#This Row],[Age]]&lt;=54,"45-54",
HRData[[#This Row],[Age]]&gt;=55,"55+"
)</f>
        <v>55+</v>
      </c>
      <c r="C570" t="s">
        <v>35</v>
      </c>
      <c r="D570">
        <f>IF(HRData[[#This Row],[Attrition]]="Yes",1,0)</f>
        <v>1</v>
      </c>
      <c r="E570" t="s">
        <v>36</v>
      </c>
      <c r="F570">
        <v>725</v>
      </c>
      <c r="G570" t="s">
        <v>45</v>
      </c>
      <c r="H570">
        <v>2</v>
      </c>
      <c r="I570">
        <v>3</v>
      </c>
      <c r="J570" t="s">
        <v>51</v>
      </c>
      <c r="K570">
        <v>1</v>
      </c>
      <c r="L570">
        <v>787</v>
      </c>
      <c r="M570">
        <v>4</v>
      </c>
      <c r="N570" t="str" cm="1">
        <f t="array" ref="N570">_xlfn.IFS(HRData[[#This Row],[EnvironmentSatisfaction]]=1,"Very Dissatisfied",
HRData[[#This Row],[EnvironmentSatisfaction]]=2,"Dissatisfied",
HRData[[#This Row],[EnvironmentSatisfaction]]=3,"Satisfied",
HRData[[#This Row],[EnvironmentSatisfaction]]=4,"Very Satisfied"
)</f>
        <v>Very Satisfied</v>
      </c>
      <c r="O570" t="s">
        <v>46</v>
      </c>
      <c r="P570">
        <v>78</v>
      </c>
      <c r="Q570">
        <v>3</v>
      </c>
      <c r="R570">
        <v>5</v>
      </c>
      <c r="S570" t="s">
        <v>56</v>
      </c>
      <c r="T570">
        <v>1</v>
      </c>
      <c r="U570" t="str" cm="1">
        <f t="array" ref="U570">_xlfn.IFS(
HRData[[#This Row],[JobSatisfaction]]=1,"Very Dissatisfied",
HRData[[#This Row],[JobSatisfaction]]=2,"Dissatisfied",
HRData[[#This Row],[JobSatisfaction]]=3,"Satisfied",
HRData[[#This Row],[JobSatisfaction]]=4,"Very Satisfied"
)</f>
        <v>Very Dissatisfied</v>
      </c>
      <c r="V570" t="s">
        <v>48</v>
      </c>
      <c r="W570">
        <v>19859</v>
      </c>
      <c r="X570" t="str" cm="1">
        <f t="array" ref="X570">_xlfn.IFS(
HRData[[#This Row],[MonthlyIncome]]&lt;=4000,"Very Low Income",
HRData[[#This Row],[MonthlyIncome]]&lt;=8000,"Low Income",
HRData[[#This Row],[MonthlyIncome]]&lt;=12000,"Moderate Income",
HRData[[#This Row],[MonthlyIncome]]&lt;=16000,"High Income",
HRData[[#This Row],[MonthlyIncome]]&gt;16000,"Very High Income"
)</f>
        <v>Very High Income</v>
      </c>
      <c r="Y570">
        <v>21199</v>
      </c>
      <c r="Z570">
        <v>5</v>
      </c>
      <c r="AA570" t="s">
        <v>42</v>
      </c>
      <c r="AB570" t="s">
        <v>35</v>
      </c>
      <c r="AC570">
        <v>13</v>
      </c>
      <c r="AD570" t="str" cm="1">
        <f t="array" ref="AD570">_xlfn.IFS(HRData[[#This Row],[PercentSalaryHike]]&lt;=15,"11-15",HRData[[#This Row],[PercentSalaryHike]]&lt;=20,"16-20",HRData[[#This Row],[PercentSalaryHike]]&gt;=21,"21+")</f>
        <v>11-15</v>
      </c>
      <c r="AE570">
        <v>3</v>
      </c>
      <c r="AF570">
        <v>4</v>
      </c>
      <c r="AG570">
        <v>80</v>
      </c>
      <c r="AH570">
        <v>1</v>
      </c>
      <c r="AI570">
        <v>24</v>
      </c>
      <c r="AJ570">
        <v>2</v>
      </c>
      <c r="AK570">
        <v>3</v>
      </c>
      <c r="AL570">
        <v>5</v>
      </c>
      <c r="AM570">
        <v>2</v>
      </c>
      <c r="AN570">
        <v>1</v>
      </c>
      <c r="AO570">
        <v>4</v>
      </c>
      <c r="AP57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70" t="str">
        <f>IF(HRData[[#This Row],[Attrition]]="Yes","Left", IF(HRData[[#This Row],[Attrition_Risk_Score]]&gt;=6,"High",IF(HRData[[#This Row],[Attrition_Risk_Score]]&gt;=3,"Medium","Low")))</f>
        <v>Left</v>
      </c>
      <c r="AR570" t="str">
        <f>IF(HRData[[#This Row],[Attrition_Risk_Level]]&lt;&gt;"High","",HRData[[#This Row],[Attrition_Risk_Score]]*10000-HRData[[#This Row],[EmployeeNumber]])</f>
        <v/>
      </c>
    </row>
    <row r="571" spans="1:44">
      <c r="A571">
        <v>36</v>
      </c>
      <c r="B571" t="str" cm="1">
        <f t="array" ref="B571">_xlfn.IFS(
HRData[[#This Row],[Age]]&lt;=24,"18-24",
HRData[[#This Row],[Age]]&lt;=34,"25-34",
HRData[[#This Row],[Age]]&lt;=44,"35-44",
HRData[[#This Row],[Age]]&lt;=54,"45-54",
HRData[[#This Row],[Age]]&gt;=55,"55+"
)</f>
        <v>35-44</v>
      </c>
      <c r="C571" t="s">
        <v>43</v>
      </c>
      <c r="D571">
        <f>IF(HRData[[#This Row],[Attrition]]="Yes",1,0)</f>
        <v>0</v>
      </c>
      <c r="E571" t="s">
        <v>55</v>
      </c>
      <c r="F571">
        <v>1434</v>
      </c>
      <c r="G571" t="s">
        <v>37</v>
      </c>
      <c r="H571">
        <v>8</v>
      </c>
      <c r="I571">
        <v>4</v>
      </c>
      <c r="J571" t="s">
        <v>38</v>
      </c>
      <c r="K571">
        <v>1</v>
      </c>
      <c r="L571">
        <v>789</v>
      </c>
      <c r="M571">
        <v>1</v>
      </c>
      <c r="N571" t="str" cm="1">
        <f t="array" ref="N571">_xlfn.IFS(HRData[[#This Row],[EnvironmentSatisfaction]]=1,"Very Dissatisfied",
HRData[[#This Row],[EnvironmentSatisfaction]]=2,"Dissatisfied",
HRData[[#This Row],[EnvironmentSatisfaction]]=3,"Satisfied",
HRData[[#This Row],[EnvironmentSatisfaction]]=4,"Very Satisfied"
)</f>
        <v>Very Dissatisfied</v>
      </c>
      <c r="O571" t="s">
        <v>46</v>
      </c>
      <c r="P571">
        <v>76</v>
      </c>
      <c r="Q571">
        <v>2</v>
      </c>
      <c r="R571">
        <v>3</v>
      </c>
      <c r="S571" t="s">
        <v>40</v>
      </c>
      <c r="T571">
        <v>1</v>
      </c>
      <c r="U571" t="str" cm="1">
        <f t="array" ref="U571">_xlfn.IFS(
HRData[[#This Row],[JobSatisfaction]]=1,"Very Dissatisfied",
HRData[[#This Row],[JobSatisfaction]]=2,"Dissatisfied",
HRData[[#This Row],[JobSatisfaction]]=3,"Satisfied",
HRData[[#This Row],[JobSatisfaction]]=4,"Very Satisfied"
)</f>
        <v>Very Dissatisfied</v>
      </c>
      <c r="V571" t="s">
        <v>41</v>
      </c>
      <c r="W571">
        <v>7587</v>
      </c>
      <c r="X571" t="str" cm="1">
        <f t="array" ref="X571">_xlfn.IFS(
HRData[[#This Row],[MonthlyIncome]]&lt;=4000,"Very Low Income",
HRData[[#This Row],[MonthlyIncome]]&lt;=8000,"Low Income",
HRData[[#This Row],[MonthlyIncome]]&lt;=12000,"Moderate Income",
HRData[[#This Row],[MonthlyIncome]]&lt;=16000,"High Income",
HRData[[#This Row],[MonthlyIncome]]&gt;16000,"Very High Income"
)</f>
        <v>Low Income</v>
      </c>
      <c r="Y571">
        <v>14229</v>
      </c>
      <c r="Z571">
        <v>1</v>
      </c>
      <c r="AA571" t="s">
        <v>42</v>
      </c>
      <c r="AB571" t="s">
        <v>43</v>
      </c>
      <c r="AC571">
        <v>15</v>
      </c>
      <c r="AD571" t="str" cm="1">
        <f t="array" ref="AD571">_xlfn.IFS(HRData[[#This Row],[PercentSalaryHike]]&lt;=15,"11-15",HRData[[#This Row],[PercentSalaryHike]]&lt;=20,"16-20",HRData[[#This Row],[PercentSalaryHike]]&gt;=21,"21+")</f>
        <v>11-15</v>
      </c>
      <c r="AE571">
        <v>3</v>
      </c>
      <c r="AF571">
        <v>2</v>
      </c>
      <c r="AG571">
        <v>80</v>
      </c>
      <c r="AH571">
        <v>0</v>
      </c>
      <c r="AI571">
        <v>10</v>
      </c>
      <c r="AJ571">
        <v>1</v>
      </c>
      <c r="AK571">
        <v>3</v>
      </c>
      <c r="AL571">
        <v>10</v>
      </c>
      <c r="AM571">
        <v>7</v>
      </c>
      <c r="AN571">
        <v>0</v>
      </c>
      <c r="AO571">
        <v>9</v>
      </c>
      <c r="AP57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71" t="str">
        <f>IF(HRData[[#This Row],[Attrition]]="Yes","Left", IF(HRData[[#This Row],[Attrition_Risk_Score]]&gt;=6,"High",IF(HRData[[#This Row],[Attrition_Risk_Score]]&gt;=3,"Medium","Low")))</f>
        <v>Medium</v>
      </c>
      <c r="AR571" t="str">
        <f>IF(HRData[[#This Row],[Attrition_Risk_Level]]&lt;&gt;"High","",HRData[[#This Row],[Attrition_Risk_Score]]*10000-HRData[[#This Row],[EmployeeNumber]])</f>
        <v/>
      </c>
    </row>
    <row r="572" spans="1:44">
      <c r="A572">
        <v>52</v>
      </c>
      <c r="B572" t="str" cm="1">
        <f t="array" ref="B572">_xlfn.IFS(
HRData[[#This Row],[Age]]&lt;=24,"18-24",
HRData[[#This Row],[Age]]&lt;=34,"25-34",
HRData[[#This Row],[Age]]&lt;=44,"35-44",
HRData[[#This Row],[Age]]&lt;=54,"45-54",
HRData[[#This Row],[Age]]&gt;=55,"55+"
)</f>
        <v>45-54</v>
      </c>
      <c r="C572" t="s">
        <v>43</v>
      </c>
      <c r="D572">
        <f>IF(HRData[[#This Row],[Attrition]]="Yes",1,0)</f>
        <v>0</v>
      </c>
      <c r="E572" t="s">
        <v>55</v>
      </c>
      <c r="F572">
        <v>715</v>
      </c>
      <c r="G572" t="s">
        <v>45</v>
      </c>
      <c r="H572">
        <v>19</v>
      </c>
      <c r="I572">
        <v>4</v>
      </c>
      <c r="J572" t="s">
        <v>51</v>
      </c>
      <c r="K572">
        <v>1</v>
      </c>
      <c r="L572">
        <v>791</v>
      </c>
      <c r="M572">
        <v>4</v>
      </c>
      <c r="N572" t="str" cm="1">
        <f t="array" ref="N572">_xlfn.IFS(HRData[[#This Row],[EnvironmentSatisfaction]]=1,"Very Dissatisfied",
HRData[[#This Row],[EnvironmentSatisfaction]]=2,"Dissatisfied",
HRData[[#This Row],[EnvironmentSatisfaction]]=3,"Satisfied",
HRData[[#This Row],[EnvironmentSatisfaction]]=4,"Very Satisfied"
)</f>
        <v>Very Satisfied</v>
      </c>
      <c r="O572" t="s">
        <v>46</v>
      </c>
      <c r="P572">
        <v>41</v>
      </c>
      <c r="Q572">
        <v>3</v>
      </c>
      <c r="R572">
        <v>1</v>
      </c>
      <c r="S572" t="s">
        <v>47</v>
      </c>
      <c r="T572">
        <v>4</v>
      </c>
      <c r="U572" t="str" cm="1">
        <f t="array" ref="U572">_xlfn.IFS(
HRData[[#This Row],[JobSatisfaction]]=1,"Very Dissatisfied",
HRData[[#This Row],[JobSatisfaction]]=2,"Dissatisfied",
HRData[[#This Row],[JobSatisfaction]]=3,"Satisfied",
HRData[[#This Row],[JobSatisfaction]]=4,"Very Satisfied"
)</f>
        <v>Very Satisfied</v>
      </c>
      <c r="V572" t="s">
        <v>48</v>
      </c>
      <c r="W572">
        <v>4258</v>
      </c>
      <c r="X572" t="str" cm="1">
        <f t="array" ref="X572">_xlfn.IFS(
HRData[[#This Row],[MonthlyIncome]]&lt;=4000,"Very Low Income",
HRData[[#This Row],[MonthlyIncome]]&lt;=8000,"Low Income",
HRData[[#This Row],[MonthlyIncome]]&lt;=12000,"Moderate Income",
HRData[[#This Row],[MonthlyIncome]]&lt;=16000,"High Income",
HRData[[#This Row],[MonthlyIncome]]&gt;16000,"Very High Income"
)</f>
        <v>Low Income</v>
      </c>
      <c r="Y572">
        <v>26589</v>
      </c>
      <c r="Z572">
        <v>0</v>
      </c>
      <c r="AA572" t="s">
        <v>42</v>
      </c>
      <c r="AB572" t="s">
        <v>43</v>
      </c>
      <c r="AC572">
        <v>18</v>
      </c>
      <c r="AD572" t="str" cm="1">
        <f t="array" ref="AD572">_xlfn.IFS(HRData[[#This Row],[PercentSalaryHike]]&lt;=15,"11-15",HRData[[#This Row],[PercentSalaryHike]]&lt;=20,"16-20",HRData[[#This Row],[PercentSalaryHike]]&gt;=21,"21+")</f>
        <v>16-20</v>
      </c>
      <c r="AE572">
        <v>3</v>
      </c>
      <c r="AF572">
        <v>1</v>
      </c>
      <c r="AG572">
        <v>80</v>
      </c>
      <c r="AH572">
        <v>1</v>
      </c>
      <c r="AI572">
        <v>5</v>
      </c>
      <c r="AJ572">
        <v>3</v>
      </c>
      <c r="AK572">
        <v>3</v>
      </c>
      <c r="AL572">
        <v>4</v>
      </c>
      <c r="AM572">
        <v>3</v>
      </c>
      <c r="AN572">
        <v>1</v>
      </c>
      <c r="AO572">
        <v>2</v>
      </c>
      <c r="AP57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572" t="str">
        <f>IF(HRData[[#This Row],[Attrition]]="Yes","Left", IF(HRData[[#This Row],[Attrition_Risk_Score]]&gt;=6,"High",IF(HRData[[#This Row],[Attrition_Risk_Score]]&gt;=3,"Medium","Low")))</f>
        <v>Low</v>
      </c>
      <c r="AR572" t="str">
        <f>IF(HRData[[#This Row],[Attrition_Risk_Level]]&lt;&gt;"High","",HRData[[#This Row],[Attrition_Risk_Score]]*10000-HRData[[#This Row],[EmployeeNumber]])</f>
        <v/>
      </c>
    </row>
    <row r="573" spans="1:44">
      <c r="A573">
        <v>26</v>
      </c>
      <c r="B573" t="str" cm="1">
        <f t="array" ref="B573">_xlfn.IFS(
HRData[[#This Row],[Age]]&lt;=24,"18-24",
HRData[[#This Row],[Age]]&lt;=34,"25-34",
HRData[[#This Row],[Age]]&lt;=44,"35-44",
HRData[[#This Row],[Age]]&lt;=54,"45-54",
HRData[[#This Row],[Age]]&gt;=55,"55+"
)</f>
        <v>25-34</v>
      </c>
      <c r="C573" t="s">
        <v>43</v>
      </c>
      <c r="D573">
        <f>IF(HRData[[#This Row],[Attrition]]="Yes",1,0)</f>
        <v>0</v>
      </c>
      <c r="E573" t="s">
        <v>44</v>
      </c>
      <c r="F573">
        <v>575</v>
      </c>
      <c r="G573" t="s">
        <v>45</v>
      </c>
      <c r="H573">
        <v>1</v>
      </c>
      <c r="I573">
        <v>2</v>
      </c>
      <c r="J573" t="s">
        <v>38</v>
      </c>
      <c r="K573">
        <v>1</v>
      </c>
      <c r="L573">
        <v>792</v>
      </c>
      <c r="M573">
        <v>1</v>
      </c>
      <c r="N573" t="str" cm="1">
        <f t="array" ref="N573">_xlfn.IFS(HRData[[#This Row],[EnvironmentSatisfaction]]=1,"Very Dissatisfied",
HRData[[#This Row],[EnvironmentSatisfaction]]=2,"Dissatisfied",
HRData[[#This Row],[EnvironmentSatisfaction]]=3,"Satisfied",
HRData[[#This Row],[EnvironmentSatisfaction]]=4,"Very Satisfied"
)</f>
        <v>Very Dissatisfied</v>
      </c>
      <c r="O573" t="s">
        <v>39</v>
      </c>
      <c r="P573">
        <v>71</v>
      </c>
      <c r="Q573">
        <v>1</v>
      </c>
      <c r="R573">
        <v>1</v>
      </c>
      <c r="S573" t="s">
        <v>50</v>
      </c>
      <c r="T573">
        <v>4</v>
      </c>
      <c r="U573" t="str" cm="1">
        <f t="array" ref="U573">_xlfn.IFS(
HRData[[#This Row],[JobSatisfaction]]=1,"Very Dissatisfied",
HRData[[#This Row],[JobSatisfaction]]=2,"Dissatisfied",
HRData[[#This Row],[JobSatisfaction]]=3,"Satisfied",
HRData[[#This Row],[JobSatisfaction]]=4,"Very Satisfied"
)</f>
        <v>Very Satisfied</v>
      </c>
      <c r="V573" t="s">
        <v>52</v>
      </c>
      <c r="W573">
        <v>4364</v>
      </c>
      <c r="X573" t="str" cm="1">
        <f t="array" ref="X573">_xlfn.IFS(
HRData[[#This Row],[MonthlyIncome]]&lt;=4000,"Very Low Income",
HRData[[#This Row],[MonthlyIncome]]&lt;=8000,"Low Income",
HRData[[#This Row],[MonthlyIncome]]&lt;=12000,"Moderate Income",
HRData[[#This Row],[MonthlyIncome]]&lt;=16000,"High Income",
HRData[[#This Row],[MonthlyIncome]]&gt;16000,"Very High Income"
)</f>
        <v>Low Income</v>
      </c>
      <c r="Y573">
        <v>5288</v>
      </c>
      <c r="Z573">
        <v>3</v>
      </c>
      <c r="AA573" t="s">
        <v>42</v>
      </c>
      <c r="AB573" t="s">
        <v>43</v>
      </c>
      <c r="AC573">
        <v>14</v>
      </c>
      <c r="AD573" t="str" cm="1">
        <f t="array" ref="AD573">_xlfn.IFS(HRData[[#This Row],[PercentSalaryHike]]&lt;=15,"11-15",HRData[[#This Row],[PercentSalaryHike]]&lt;=20,"16-20",HRData[[#This Row],[PercentSalaryHike]]&gt;=21,"21+")</f>
        <v>11-15</v>
      </c>
      <c r="AE573">
        <v>3</v>
      </c>
      <c r="AF573">
        <v>1</v>
      </c>
      <c r="AG573">
        <v>80</v>
      </c>
      <c r="AH573">
        <v>1</v>
      </c>
      <c r="AI573">
        <v>5</v>
      </c>
      <c r="AJ573">
        <v>2</v>
      </c>
      <c r="AK573">
        <v>3</v>
      </c>
      <c r="AL573">
        <v>2</v>
      </c>
      <c r="AM573">
        <v>2</v>
      </c>
      <c r="AN573">
        <v>2</v>
      </c>
      <c r="AO573">
        <v>0</v>
      </c>
      <c r="AP57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73" t="str">
        <f>IF(HRData[[#This Row],[Attrition]]="Yes","Left", IF(HRData[[#This Row],[Attrition_Risk_Score]]&gt;=6,"High",IF(HRData[[#This Row],[Attrition_Risk_Score]]&gt;=3,"Medium","Low")))</f>
        <v>Medium</v>
      </c>
      <c r="AR573" t="str">
        <f>IF(HRData[[#This Row],[Attrition_Risk_Level]]&lt;&gt;"High","",HRData[[#This Row],[Attrition_Risk_Score]]*10000-HRData[[#This Row],[EmployeeNumber]])</f>
        <v/>
      </c>
    </row>
    <row r="574" spans="1:44">
      <c r="A574">
        <v>29</v>
      </c>
      <c r="B574" t="str" cm="1">
        <f t="array" ref="B574">_xlfn.IFS(
HRData[[#This Row],[Age]]&lt;=24,"18-24",
HRData[[#This Row],[Age]]&lt;=34,"25-34",
HRData[[#This Row],[Age]]&lt;=44,"35-44",
HRData[[#This Row],[Age]]&lt;=54,"45-54",
HRData[[#This Row],[Age]]&gt;=55,"55+"
)</f>
        <v>25-34</v>
      </c>
      <c r="C574" t="s">
        <v>43</v>
      </c>
      <c r="D574">
        <f>IF(HRData[[#This Row],[Attrition]]="Yes",1,0)</f>
        <v>0</v>
      </c>
      <c r="E574" t="s">
        <v>36</v>
      </c>
      <c r="F574">
        <v>657</v>
      </c>
      <c r="G574" t="s">
        <v>45</v>
      </c>
      <c r="H574">
        <v>27</v>
      </c>
      <c r="I574">
        <v>3</v>
      </c>
      <c r="J574" t="s">
        <v>51</v>
      </c>
      <c r="K574">
        <v>1</v>
      </c>
      <c r="L574">
        <v>793</v>
      </c>
      <c r="M574">
        <v>2</v>
      </c>
      <c r="N574" t="str" cm="1">
        <f t="array" ref="N574">_xlfn.IFS(HRData[[#This Row],[EnvironmentSatisfaction]]=1,"Very Dissatisfied",
HRData[[#This Row],[EnvironmentSatisfaction]]=2,"Dissatisfied",
HRData[[#This Row],[EnvironmentSatisfaction]]=3,"Satisfied",
HRData[[#This Row],[EnvironmentSatisfaction]]=4,"Very Satisfied"
)</f>
        <v>Dissatisfied</v>
      </c>
      <c r="O574" t="s">
        <v>39</v>
      </c>
      <c r="P574">
        <v>66</v>
      </c>
      <c r="Q574">
        <v>3</v>
      </c>
      <c r="R574">
        <v>2</v>
      </c>
      <c r="S574" t="s">
        <v>54</v>
      </c>
      <c r="T574">
        <v>3</v>
      </c>
      <c r="U574" t="str" cm="1">
        <f t="array" ref="U574">_xlfn.IFS(
HRData[[#This Row],[JobSatisfaction]]=1,"Very Dissatisfied",
HRData[[#This Row],[JobSatisfaction]]=2,"Dissatisfied",
HRData[[#This Row],[JobSatisfaction]]=3,"Satisfied",
HRData[[#This Row],[JobSatisfaction]]=4,"Very Satisfied"
)</f>
        <v>Satisfied</v>
      </c>
      <c r="V574" t="s">
        <v>48</v>
      </c>
      <c r="W574">
        <v>4335</v>
      </c>
      <c r="X574" t="str" cm="1">
        <f t="array" ref="X574">_xlfn.IFS(
HRData[[#This Row],[MonthlyIncome]]&lt;=4000,"Very Low Income",
HRData[[#This Row],[MonthlyIncome]]&lt;=8000,"Low Income",
HRData[[#This Row],[MonthlyIncome]]&lt;=12000,"Moderate Income",
HRData[[#This Row],[MonthlyIncome]]&lt;=16000,"High Income",
HRData[[#This Row],[MonthlyIncome]]&gt;16000,"Very High Income"
)</f>
        <v>Low Income</v>
      </c>
      <c r="Y574">
        <v>25549</v>
      </c>
      <c r="Z574">
        <v>4</v>
      </c>
      <c r="AA574" t="s">
        <v>42</v>
      </c>
      <c r="AB574" t="s">
        <v>43</v>
      </c>
      <c r="AC574">
        <v>12</v>
      </c>
      <c r="AD574" t="str" cm="1">
        <f t="array" ref="AD574">_xlfn.IFS(HRData[[#This Row],[PercentSalaryHike]]&lt;=15,"11-15",HRData[[#This Row],[PercentSalaryHike]]&lt;=20,"16-20",HRData[[#This Row],[PercentSalaryHike]]&gt;=21,"21+")</f>
        <v>11-15</v>
      </c>
      <c r="AE574">
        <v>3</v>
      </c>
      <c r="AF574">
        <v>1</v>
      </c>
      <c r="AG574">
        <v>80</v>
      </c>
      <c r="AH574">
        <v>1</v>
      </c>
      <c r="AI574">
        <v>11</v>
      </c>
      <c r="AJ574">
        <v>3</v>
      </c>
      <c r="AK574">
        <v>2</v>
      </c>
      <c r="AL574">
        <v>8</v>
      </c>
      <c r="AM574">
        <v>7</v>
      </c>
      <c r="AN574">
        <v>1</v>
      </c>
      <c r="AO574">
        <v>1</v>
      </c>
      <c r="AP57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74" t="str">
        <f>IF(HRData[[#This Row],[Attrition]]="Yes","Left", IF(HRData[[#This Row],[Attrition_Risk_Score]]&gt;=6,"High",IF(HRData[[#This Row],[Attrition_Risk_Score]]&gt;=3,"Medium","Low")))</f>
        <v>Low</v>
      </c>
      <c r="AR574" t="str">
        <f>IF(HRData[[#This Row],[Attrition_Risk_Level]]&lt;&gt;"High","",HRData[[#This Row],[Attrition_Risk_Score]]*10000-HRData[[#This Row],[EmployeeNumber]])</f>
        <v/>
      </c>
    </row>
    <row r="575" spans="1:44">
      <c r="A575">
        <v>26</v>
      </c>
      <c r="B575" t="str" cm="1">
        <f t="array" ref="B575">_xlfn.IFS(
HRData[[#This Row],[Age]]&lt;=24,"18-24",
HRData[[#This Row],[Age]]&lt;=34,"25-34",
HRData[[#This Row],[Age]]&lt;=44,"35-44",
HRData[[#This Row],[Age]]&lt;=54,"45-54",
HRData[[#This Row],[Age]]&gt;=55,"55+"
)</f>
        <v>25-34</v>
      </c>
      <c r="C575" t="s">
        <v>35</v>
      </c>
      <c r="D575">
        <f>IF(HRData[[#This Row],[Attrition]]="Yes",1,0)</f>
        <v>1</v>
      </c>
      <c r="E575" t="s">
        <v>36</v>
      </c>
      <c r="F575">
        <v>1146</v>
      </c>
      <c r="G575" t="s">
        <v>37</v>
      </c>
      <c r="H575">
        <v>8</v>
      </c>
      <c r="I575">
        <v>3</v>
      </c>
      <c r="J575" t="s">
        <v>60</v>
      </c>
      <c r="K575">
        <v>1</v>
      </c>
      <c r="L575">
        <v>796</v>
      </c>
      <c r="M575">
        <v>4</v>
      </c>
      <c r="N575" t="str" cm="1">
        <f t="array" ref="N575">_xlfn.IFS(HRData[[#This Row],[EnvironmentSatisfaction]]=1,"Very Dissatisfied",
HRData[[#This Row],[EnvironmentSatisfaction]]=2,"Dissatisfied",
HRData[[#This Row],[EnvironmentSatisfaction]]=3,"Satisfied",
HRData[[#This Row],[EnvironmentSatisfaction]]=4,"Very Satisfied"
)</f>
        <v>Very Satisfied</v>
      </c>
      <c r="O575" t="s">
        <v>46</v>
      </c>
      <c r="P575">
        <v>38</v>
      </c>
      <c r="Q575">
        <v>2</v>
      </c>
      <c r="R575">
        <v>2</v>
      </c>
      <c r="S575" t="s">
        <v>40</v>
      </c>
      <c r="T575">
        <v>1</v>
      </c>
      <c r="U575" t="str" cm="1">
        <f t="array" ref="U575">_xlfn.IFS(
HRData[[#This Row],[JobSatisfaction]]=1,"Very Dissatisfied",
HRData[[#This Row],[JobSatisfaction]]=2,"Dissatisfied",
HRData[[#This Row],[JobSatisfaction]]=3,"Satisfied",
HRData[[#This Row],[JobSatisfaction]]=4,"Very Satisfied"
)</f>
        <v>Very Dissatisfied</v>
      </c>
      <c r="V575" t="s">
        <v>41</v>
      </c>
      <c r="W575">
        <v>5326</v>
      </c>
      <c r="X575" t="str" cm="1">
        <f t="array" ref="X575">_xlfn.IFS(
HRData[[#This Row],[MonthlyIncome]]&lt;=4000,"Very Low Income",
HRData[[#This Row],[MonthlyIncome]]&lt;=8000,"Low Income",
HRData[[#This Row],[MonthlyIncome]]&lt;=12000,"Moderate Income",
HRData[[#This Row],[MonthlyIncome]]&lt;=16000,"High Income",
HRData[[#This Row],[MonthlyIncome]]&gt;16000,"Very High Income"
)</f>
        <v>Low Income</v>
      </c>
      <c r="Y575">
        <v>3064</v>
      </c>
      <c r="Z575">
        <v>6</v>
      </c>
      <c r="AA575" t="s">
        <v>42</v>
      </c>
      <c r="AB575" t="s">
        <v>43</v>
      </c>
      <c r="AC575">
        <v>17</v>
      </c>
      <c r="AD575" t="str" cm="1">
        <f t="array" ref="AD575">_xlfn.IFS(HRData[[#This Row],[PercentSalaryHike]]&lt;=15,"11-15",HRData[[#This Row],[PercentSalaryHike]]&lt;=20,"16-20",HRData[[#This Row],[PercentSalaryHike]]&gt;=21,"21+")</f>
        <v>16-20</v>
      </c>
      <c r="AE575">
        <v>3</v>
      </c>
      <c r="AF575">
        <v>3</v>
      </c>
      <c r="AG575">
        <v>80</v>
      </c>
      <c r="AH575">
        <v>0</v>
      </c>
      <c r="AI575">
        <v>6</v>
      </c>
      <c r="AJ575">
        <v>2</v>
      </c>
      <c r="AK575">
        <v>2</v>
      </c>
      <c r="AL575">
        <v>4</v>
      </c>
      <c r="AM575">
        <v>3</v>
      </c>
      <c r="AN575">
        <v>1</v>
      </c>
      <c r="AO575">
        <v>2</v>
      </c>
      <c r="AP57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75" t="str">
        <f>IF(HRData[[#This Row],[Attrition]]="Yes","Left", IF(HRData[[#This Row],[Attrition_Risk_Score]]&gt;=6,"High",IF(HRData[[#This Row],[Attrition_Risk_Score]]&gt;=3,"Medium","Low")))</f>
        <v>Left</v>
      </c>
      <c r="AR575" t="str">
        <f>IF(HRData[[#This Row],[Attrition_Risk_Level]]&lt;&gt;"High","",HRData[[#This Row],[Attrition_Risk_Score]]*10000-HRData[[#This Row],[EmployeeNumber]])</f>
        <v/>
      </c>
    </row>
    <row r="576" spans="1:44">
      <c r="A576">
        <v>34</v>
      </c>
      <c r="B576" t="str" cm="1">
        <f t="array" ref="B576">_xlfn.IFS(
HRData[[#This Row],[Age]]&lt;=24,"18-24",
HRData[[#This Row],[Age]]&lt;=34,"25-34",
HRData[[#This Row],[Age]]&lt;=44,"35-44",
HRData[[#This Row],[Age]]&lt;=54,"45-54",
HRData[[#This Row],[Age]]&gt;=55,"55+"
)</f>
        <v>25-34</v>
      </c>
      <c r="C576" t="s">
        <v>43</v>
      </c>
      <c r="D576">
        <f>IF(HRData[[#This Row],[Attrition]]="Yes",1,0)</f>
        <v>0</v>
      </c>
      <c r="E576" t="s">
        <v>36</v>
      </c>
      <c r="F576">
        <v>182</v>
      </c>
      <c r="G576" t="s">
        <v>45</v>
      </c>
      <c r="H576">
        <v>1</v>
      </c>
      <c r="I576">
        <v>4</v>
      </c>
      <c r="J576" t="s">
        <v>38</v>
      </c>
      <c r="K576">
        <v>1</v>
      </c>
      <c r="L576">
        <v>797</v>
      </c>
      <c r="M576">
        <v>2</v>
      </c>
      <c r="N576" t="str" cm="1">
        <f t="array" ref="N576">_xlfn.IFS(HRData[[#This Row],[EnvironmentSatisfaction]]=1,"Very Dissatisfied",
HRData[[#This Row],[EnvironmentSatisfaction]]=2,"Dissatisfied",
HRData[[#This Row],[EnvironmentSatisfaction]]=3,"Satisfied",
HRData[[#This Row],[EnvironmentSatisfaction]]=4,"Very Satisfied"
)</f>
        <v>Dissatisfied</v>
      </c>
      <c r="O576" t="s">
        <v>39</v>
      </c>
      <c r="P576">
        <v>72</v>
      </c>
      <c r="Q576">
        <v>4</v>
      </c>
      <c r="R576">
        <v>1</v>
      </c>
      <c r="S576" t="s">
        <v>47</v>
      </c>
      <c r="T576">
        <v>4</v>
      </c>
      <c r="U576" t="str" cm="1">
        <f t="array" ref="U576">_xlfn.IFS(
HRData[[#This Row],[JobSatisfaction]]=1,"Very Dissatisfied",
HRData[[#This Row],[JobSatisfaction]]=2,"Dissatisfied",
HRData[[#This Row],[JobSatisfaction]]=3,"Satisfied",
HRData[[#This Row],[JobSatisfaction]]=4,"Very Satisfied"
)</f>
        <v>Very Satisfied</v>
      </c>
      <c r="V576" t="s">
        <v>41</v>
      </c>
      <c r="W576">
        <v>3280</v>
      </c>
      <c r="X576" t="str" cm="1">
        <f t="array" ref="X576">_xlfn.IFS(
HRData[[#This Row],[MonthlyIncome]]&lt;=4000,"Very Low Income",
HRData[[#This Row],[MonthlyIncome]]&lt;=8000,"Low Income",
HRData[[#This Row],[MonthlyIncome]]&lt;=12000,"Moderate Income",
HRData[[#This Row],[MonthlyIncome]]&lt;=16000,"High Income",
HRData[[#This Row],[MonthlyIncome]]&gt;16000,"Very High Income"
)</f>
        <v>Very Low Income</v>
      </c>
      <c r="Y576">
        <v>13551</v>
      </c>
      <c r="Z576">
        <v>2</v>
      </c>
      <c r="AA576" t="s">
        <v>42</v>
      </c>
      <c r="AB576" t="s">
        <v>43</v>
      </c>
      <c r="AC576">
        <v>16</v>
      </c>
      <c r="AD576" t="str" cm="1">
        <f t="array" ref="AD576">_xlfn.IFS(HRData[[#This Row],[PercentSalaryHike]]&lt;=15,"11-15",HRData[[#This Row],[PercentSalaryHike]]&lt;=20,"16-20",HRData[[#This Row],[PercentSalaryHike]]&gt;=21,"21+")</f>
        <v>16-20</v>
      </c>
      <c r="AE576">
        <v>3</v>
      </c>
      <c r="AF576">
        <v>3</v>
      </c>
      <c r="AG576">
        <v>80</v>
      </c>
      <c r="AH576">
        <v>0</v>
      </c>
      <c r="AI576">
        <v>10</v>
      </c>
      <c r="AJ576">
        <v>2</v>
      </c>
      <c r="AK576">
        <v>3</v>
      </c>
      <c r="AL576">
        <v>4</v>
      </c>
      <c r="AM576">
        <v>2</v>
      </c>
      <c r="AN576">
        <v>1</v>
      </c>
      <c r="AO576">
        <v>3</v>
      </c>
      <c r="AP57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76" t="str">
        <f>IF(HRData[[#This Row],[Attrition]]="Yes","Left", IF(HRData[[#This Row],[Attrition_Risk_Score]]&gt;=6,"High",IF(HRData[[#This Row],[Attrition_Risk_Score]]&gt;=3,"Medium","Low")))</f>
        <v>Medium</v>
      </c>
      <c r="AR576" t="str">
        <f>IF(HRData[[#This Row],[Attrition_Risk_Level]]&lt;&gt;"High","",HRData[[#This Row],[Attrition_Risk_Score]]*10000-HRData[[#This Row],[EmployeeNumber]])</f>
        <v/>
      </c>
    </row>
    <row r="577" spans="1:44">
      <c r="A577">
        <v>54</v>
      </c>
      <c r="B577" t="str" cm="1">
        <f t="array" ref="B577">_xlfn.IFS(
HRData[[#This Row],[Age]]&lt;=24,"18-24",
HRData[[#This Row],[Age]]&lt;=34,"25-34",
HRData[[#This Row],[Age]]&lt;=44,"35-44",
HRData[[#This Row],[Age]]&lt;=54,"45-54",
HRData[[#This Row],[Age]]&gt;=55,"55+"
)</f>
        <v>45-54</v>
      </c>
      <c r="C577" t="s">
        <v>43</v>
      </c>
      <c r="D577">
        <f>IF(HRData[[#This Row],[Attrition]]="Yes",1,0)</f>
        <v>0</v>
      </c>
      <c r="E577" t="s">
        <v>36</v>
      </c>
      <c r="F577">
        <v>376</v>
      </c>
      <c r="G577" t="s">
        <v>45</v>
      </c>
      <c r="H577">
        <v>19</v>
      </c>
      <c r="I577">
        <v>4</v>
      </c>
      <c r="J577" t="s">
        <v>51</v>
      </c>
      <c r="K577">
        <v>1</v>
      </c>
      <c r="L577">
        <v>799</v>
      </c>
      <c r="M577">
        <v>4</v>
      </c>
      <c r="N577" t="str" cm="1">
        <f t="array" ref="N577">_xlfn.IFS(HRData[[#This Row],[EnvironmentSatisfaction]]=1,"Very Dissatisfied",
HRData[[#This Row],[EnvironmentSatisfaction]]=2,"Dissatisfied",
HRData[[#This Row],[EnvironmentSatisfaction]]=3,"Satisfied",
HRData[[#This Row],[EnvironmentSatisfaction]]=4,"Very Satisfied"
)</f>
        <v>Very Satisfied</v>
      </c>
      <c r="O577" t="s">
        <v>39</v>
      </c>
      <c r="P577">
        <v>95</v>
      </c>
      <c r="Q577">
        <v>3</v>
      </c>
      <c r="R577">
        <v>2</v>
      </c>
      <c r="S577" t="s">
        <v>53</v>
      </c>
      <c r="T577">
        <v>1</v>
      </c>
      <c r="U577" t="str" cm="1">
        <f t="array" ref="U577">_xlfn.IFS(
HRData[[#This Row],[JobSatisfaction]]=1,"Very Dissatisfied",
HRData[[#This Row],[JobSatisfaction]]=2,"Dissatisfied",
HRData[[#This Row],[JobSatisfaction]]=3,"Satisfied",
HRData[[#This Row],[JobSatisfaction]]=4,"Very Satisfied"
)</f>
        <v>Very Dissatisfied</v>
      </c>
      <c r="V577" t="s">
        <v>52</v>
      </c>
      <c r="W577">
        <v>5485</v>
      </c>
      <c r="X577" t="str" cm="1">
        <f t="array" ref="X577">_xlfn.IFS(
HRData[[#This Row],[MonthlyIncome]]&lt;=4000,"Very Low Income",
HRData[[#This Row],[MonthlyIncome]]&lt;=8000,"Low Income",
HRData[[#This Row],[MonthlyIncome]]&lt;=12000,"Moderate Income",
HRData[[#This Row],[MonthlyIncome]]&lt;=16000,"High Income",
HRData[[#This Row],[MonthlyIncome]]&gt;16000,"Very High Income"
)</f>
        <v>Low Income</v>
      </c>
      <c r="Y577">
        <v>22670</v>
      </c>
      <c r="Z577">
        <v>9</v>
      </c>
      <c r="AA577" t="s">
        <v>42</v>
      </c>
      <c r="AB577" t="s">
        <v>35</v>
      </c>
      <c r="AC577">
        <v>11</v>
      </c>
      <c r="AD577" t="str" cm="1">
        <f t="array" ref="AD577">_xlfn.IFS(HRData[[#This Row],[PercentSalaryHike]]&lt;=15,"11-15",HRData[[#This Row],[PercentSalaryHike]]&lt;=20,"16-20",HRData[[#This Row],[PercentSalaryHike]]&gt;=21,"21+")</f>
        <v>11-15</v>
      </c>
      <c r="AE577">
        <v>3</v>
      </c>
      <c r="AF577">
        <v>2</v>
      </c>
      <c r="AG577">
        <v>80</v>
      </c>
      <c r="AH577">
        <v>2</v>
      </c>
      <c r="AI577">
        <v>9</v>
      </c>
      <c r="AJ577">
        <v>4</v>
      </c>
      <c r="AK577">
        <v>3</v>
      </c>
      <c r="AL577">
        <v>5</v>
      </c>
      <c r="AM577">
        <v>3</v>
      </c>
      <c r="AN577">
        <v>1</v>
      </c>
      <c r="AO577">
        <v>4</v>
      </c>
      <c r="AP57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577" t="str">
        <f>IF(HRData[[#This Row],[Attrition]]="Yes","Left", IF(HRData[[#This Row],[Attrition_Risk_Score]]&gt;=6,"High",IF(HRData[[#This Row],[Attrition_Risk_Score]]&gt;=3,"Medium","Low")))</f>
        <v>Medium</v>
      </c>
      <c r="AR577" t="str">
        <f>IF(HRData[[#This Row],[Attrition_Risk_Level]]&lt;&gt;"High","",HRData[[#This Row],[Attrition_Risk_Score]]*10000-HRData[[#This Row],[EmployeeNumber]])</f>
        <v/>
      </c>
    </row>
    <row r="578" spans="1:44">
      <c r="A578">
        <v>27</v>
      </c>
      <c r="B578" t="str" cm="1">
        <f t="array" ref="B578">_xlfn.IFS(
HRData[[#This Row],[Age]]&lt;=24,"18-24",
HRData[[#This Row],[Age]]&lt;=34,"25-34",
HRData[[#This Row],[Age]]&lt;=44,"35-44",
HRData[[#This Row],[Age]]&lt;=54,"45-54",
HRData[[#This Row],[Age]]&gt;=55,"55+"
)</f>
        <v>25-34</v>
      </c>
      <c r="C578" t="s">
        <v>43</v>
      </c>
      <c r="D578">
        <f>IF(HRData[[#This Row],[Attrition]]="Yes",1,0)</f>
        <v>0</v>
      </c>
      <c r="E578" t="s">
        <v>44</v>
      </c>
      <c r="F578">
        <v>829</v>
      </c>
      <c r="G578" t="s">
        <v>37</v>
      </c>
      <c r="H578">
        <v>8</v>
      </c>
      <c r="I578">
        <v>1</v>
      </c>
      <c r="J578" t="s">
        <v>59</v>
      </c>
      <c r="K578">
        <v>1</v>
      </c>
      <c r="L578">
        <v>800</v>
      </c>
      <c r="M578">
        <v>3</v>
      </c>
      <c r="N578" t="str" cm="1">
        <f t="array" ref="N578">_xlfn.IFS(HRData[[#This Row],[EnvironmentSatisfaction]]=1,"Very Dissatisfied",
HRData[[#This Row],[EnvironmentSatisfaction]]=2,"Dissatisfied",
HRData[[#This Row],[EnvironmentSatisfaction]]=3,"Satisfied",
HRData[[#This Row],[EnvironmentSatisfaction]]=4,"Very Satisfied"
)</f>
        <v>Satisfied</v>
      </c>
      <c r="O578" t="s">
        <v>46</v>
      </c>
      <c r="P578">
        <v>84</v>
      </c>
      <c r="Q578">
        <v>3</v>
      </c>
      <c r="R578">
        <v>2</v>
      </c>
      <c r="S578" t="s">
        <v>40</v>
      </c>
      <c r="T578">
        <v>4</v>
      </c>
      <c r="U578" t="str" cm="1">
        <f t="array" ref="U578">_xlfn.IFS(
HRData[[#This Row],[JobSatisfaction]]=1,"Very Dissatisfied",
HRData[[#This Row],[JobSatisfaction]]=2,"Dissatisfied",
HRData[[#This Row],[JobSatisfaction]]=3,"Satisfied",
HRData[[#This Row],[JobSatisfaction]]=4,"Very Satisfied"
)</f>
        <v>Very Satisfied</v>
      </c>
      <c r="V578" t="s">
        <v>48</v>
      </c>
      <c r="W578">
        <v>4342</v>
      </c>
      <c r="X578" t="str" cm="1">
        <f t="array" ref="X578">_xlfn.IFS(
HRData[[#This Row],[MonthlyIncome]]&lt;=4000,"Very Low Income",
HRData[[#This Row],[MonthlyIncome]]&lt;=8000,"Low Income",
HRData[[#This Row],[MonthlyIncome]]&lt;=12000,"Moderate Income",
HRData[[#This Row],[MonthlyIncome]]&lt;=16000,"High Income",
HRData[[#This Row],[MonthlyIncome]]&gt;16000,"Very High Income"
)</f>
        <v>Low Income</v>
      </c>
      <c r="Y578">
        <v>24008</v>
      </c>
      <c r="Z578">
        <v>0</v>
      </c>
      <c r="AA578" t="s">
        <v>42</v>
      </c>
      <c r="AB578" t="s">
        <v>43</v>
      </c>
      <c r="AC578">
        <v>19</v>
      </c>
      <c r="AD578" t="str" cm="1">
        <f t="array" ref="AD578">_xlfn.IFS(HRData[[#This Row],[PercentSalaryHike]]&lt;=15,"11-15",HRData[[#This Row],[PercentSalaryHike]]&lt;=20,"16-20",HRData[[#This Row],[PercentSalaryHike]]&gt;=21,"21+")</f>
        <v>16-20</v>
      </c>
      <c r="AE578">
        <v>3</v>
      </c>
      <c r="AF578">
        <v>2</v>
      </c>
      <c r="AG578">
        <v>80</v>
      </c>
      <c r="AH578">
        <v>1</v>
      </c>
      <c r="AI578">
        <v>5</v>
      </c>
      <c r="AJ578">
        <v>3</v>
      </c>
      <c r="AK578">
        <v>3</v>
      </c>
      <c r="AL578">
        <v>4</v>
      </c>
      <c r="AM578">
        <v>2</v>
      </c>
      <c r="AN578">
        <v>1</v>
      </c>
      <c r="AO578">
        <v>1</v>
      </c>
      <c r="AP57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78" t="str">
        <f>IF(HRData[[#This Row],[Attrition]]="Yes","Left", IF(HRData[[#This Row],[Attrition_Risk_Score]]&gt;=6,"High",IF(HRData[[#This Row],[Attrition_Risk_Score]]&gt;=3,"Medium","Low")))</f>
        <v>Low</v>
      </c>
      <c r="AR578" t="str">
        <f>IF(HRData[[#This Row],[Attrition_Risk_Level]]&lt;&gt;"High","",HRData[[#This Row],[Attrition_Risk_Score]]*10000-HRData[[#This Row],[EmployeeNumber]])</f>
        <v/>
      </c>
    </row>
    <row r="579" spans="1:44">
      <c r="A579">
        <v>37</v>
      </c>
      <c r="B579" t="str" cm="1">
        <f t="array" ref="B579">_xlfn.IFS(
HRData[[#This Row],[Age]]&lt;=24,"18-24",
HRData[[#This Row],[Age]]&lt;=34,"25-34",
HRData[[#This Row],[Age]]&lt;=44,"35-44",
HRData[[#This Row],[Age]]&lt;=54,"45-54",
HRData[[#This Row],[Age]]&gt;=55,"55+"
)</f>
        <v>35-44</v>
      </c>
      <c r="C579" t="s">
        <v>43</v>
      </c>
      <c r="D579">
        <f>IF(HRData[[#This Row],[Attrition]]="Yes",1,0)</f>
        <v>0</v>
      </c>
      <c r="E579" t="s">
        <v>36</v>
      </c>
      <c r="F579">
        <v>571</v>
      </c>
      <c r="G579" t="s">
        <v>45</v>
      </c>
      <c r="H579">
        <v>10</v>
      </c>
      <c r="I579">
        <v>1</v>
      </c>
      <c r="J579" t="s">
        <v>38</v>
      </c>
      <c r="K579">
        <v>1</v>
      </c>
      <c r="L579">
        <v>802</v>
      </c>
      <c r="M579">
        <v>4</v>
      </c>
      <c r="N579" t="str" cm="1">
        <f t="array" ref="N579">_xlfn.IFS(HRData[[#This Row],[EnvironmentSatisfaction]]=1,"Very Dissatisfied",
HRData[[#This Row],[EnvironmentSatisfaction]]=2,"Dissatisfied",
HRData[[#This Row],[EnvironmentSatisfaction]]=3,"Satisfied",
HRData[[#This Row],[EnvironmentSatisfaction]]=4,"Very Satisfied"
)</f>
        <v>Very Satisfied</v>
      </c>
      <c r="O579" t="s">
        <v>39</v>
      </c>
      <c r="P579">
        <v>82</v>
      </c>
      <c r="Q579">
        <v>3</v>
      </c>
      <c r="R579">
        <v>1</v>
      </c>
      <c r="S579" t="s">
        <v>47</v>
      </c>
      <c r="T579">
        <v>1</v>
      </c>
      <c r="U579" t="str" cm="1">
        <f t="array" ref="U579">_xlfn.IFS(
HRData[[#This Row],[JobSatisfaction]]=1,"Very Dissatisfied",
HRData[[#This Row],[JobSatisfaction]]=2,"Dissatisfied",
HRData[[#This Row],[JobSatisfaction]]=3,"Satisfied",
HRData[[#This Row],[JobSatisfaction]]=4,"Very Satisfied"
)</f>
        <v>Very Dissatisfied</v>
      </c>
      <c r="V579" t="s">
        <v>52</v>
      </c>
      <c r="W579">
        <v>2782</v>
      </c>
      <c r="X579" t="str" cm="1">
        <f t="array" ref="X579">_xlfn.IFS(
HRData[[#This Row],[MonthlyIncome]]&lt;=4000,"Very Low Income",
HRData[[#This Row],[MonthlyIncome]]&lt;=8000,"Low Income",
HRData[[#This Row],[MonthlyIncome]]&lt;=12000,"Moderate Income",
HRData[[#This Row],[MonthlyIncome]]&lt;=16000,"High Income",
HRData[[#This Row],[MonthlyIncome]]&gt;16000,"Very High Income"
)</f>
        <v>Very Low Income</v>
      </c>
      <c r="Y579">
        <v>19905</v>
      </c>
      <c r="Z579">
        <v>0</v>
      </c>
      <c r="AA579" t="s">
        <v>42</v>
      </c>
      <c r="AB579" t="s">
        <v>35</v>
      </c>
      <c r="AC579">
        <v>13</v>
      </c>
      <c r="AD579" t="str" cm="1">
        <f t="array" ref="AD579">_xlfn.IFS(HRData[[#This Row],[PercentSalaryHike]]&lt;=15,"11-15",HRData[[#This Row],[PercentSalaryHike]]&lt;=20,"16-20",HRData[[#This Row],[PercentSalaryHike]]&gt;=21,"21+")</f>
        <v>11-15</v>
      </c>
      <c r="AE579">
        <v>3</v>
      </c>
      <c r="AF579">
        <v>2</v>
      </c>
      <c r="AG579">
        <v>80</v>
      </c>
      <c r="AH579">
        <v>2</v>
      </c>
      <c r="AI579">
        <v>6</v>
      </c>
      <c r="AJ579">
        <v>3</v>
      </c>
      <c r="AK579">
        <v>2</v>
      </c>
      <c r="AL579">
        <v>5</v>
      </c>
      <c r="AM579">
        <v>3</v>
      </c>
      <c r="AN579">
        <v>4</v>
      </c>
      <c r="AO579">
        <v>3</v>
      </c>
      <c r="AP57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579" t="str">
        <f>IF(HRData[[#This Row],[Attrition]]="Yes","Left", IF(HRData[[#This Row],[Attrition_Risk_Score]]&gt;=6,"High",IF(HRData[[#This Row],[Attrition_Risk_Score]]&gt;=3,"Medium","Low")))</f>
        <v>High</v>
      </c>
      <c r="AR579">
        <f>IF(HRData[[#This Row],[Attrition_Risk_Level]]&lt;&gt;"High","",HRData[[#This Row],[Attrition_Risk_Score]]*10000-HRData[[#This Row],[EmployeeNumber]])</f>
        <v>59198</v>
      </c>
    </row>
    <row r="580" spans="1:44">
      <c r="A580">
        <v>38</v>
      </c>
      <c r="B580" t="str" cm="1">
        <f t="array" ref="B580">_xlfn.IFS(
HRData[[#This Row],[Age]]&lt;=24,"18-24",
HRData[[#This Row],[Age]]&lt;=34,"25-34",
HRData[[#This Row],[Age]]&lt;=44,"35-44",
HRData[[#This Row],[Age]]&lt;=54,"45-54",
HRData[[#This Row],[Age]]&gt;=55,"55+"
)</f>
        <v>35-44</v>
      </c>
      <c r="C580" t="s">
        <v>43</v>
      </c>
      <c r="D580">
        <f>IF(HRData[[#This Row],[Attrition]]="Yes",1,0)</f>
        <v>0</v>
      </c>
      <c r="E580" t="s">
        <v>44</v>
      </c>
      <c r="F580">
        <v>240</v>
      </c>
      <c r="G580" t="s">
        <v>45</v>
      </c>
      <c r="H580">
        <v>2</v>
      </c>
      <c r="I580">
        <v>4</v>
      </c>
      <c r="J580" t="s">
        <v>38</v>
      </c>
      <c r="K580">
        <v>1</v>
      </c>
      <c r="L580">
        <v>803</v>
      </c>
      <c r="M580">
        <v>1</v>
      </c>
      <c r="N580" t="str" cm="1">
        <f t="array" ref="N580">_xlfn.IFS(HRData[[#This Row],[EnvironmentSatisfaction]]=1,"Very Dissatisfied",
HRData[[#This Row],[EnvironmentSatisfaction]]=2,"Dissatisfied",
HRData[[#This Row],[EnvironmentSatisfaction]]=3,"Satisfied",
HRData[[#This Row],[EnvironmentSatisfaction]]=4,"Very Satisfied"
)</f>
        <v>Very Dissatisfied</v>
      </c>
      <c r="O580" t="s">
        <v>39</v>
      </c>
      <c r="P580">
        <v>75</v>
      </c>
      <c r="Q580">
        <v>4</v>
      </c>
      <c r="R580">
        <v>2</v>
      </c>
      <c r="S580" t="s">
        <v>53</v>
      </c>
      <c r="T580">
        <v>1</v>
      </c>
      <c r="U580" t="str" cm="1">
        <f t="array" ref="U580">_xlfn.IFS(
HRData[[#This Row],[JobSatisfaction]]=1,"Very Dissatisfied",
HRData[[#This Row],[JobSatisfaction]]=2,"Dissatisfied",
HRData[[#This Row],[JobSatisfaction]]=3,"Satisfied",
HRData[[#This Row],[JobSatisfaction]]=4,"Very Satisfied"
)</f>
        <v>Very Dissatisfied</v>
      </c>
      <c r="V580" t="s">
        <v>41</v>
      </c>
      <c r="W580">
        <v>5980</v>
      </c>
      <c r="X580" t="str" cm="1">
        <f t="array" ref="X580">_xlfn.IFS(
HRData[[#This Row],[MonthlyIncome]]&lt;=4000,"Very Low Income",
HRData[[#This Row],[MonthlyIncome]]&lt;=8000,"Low Income",
HRData[[#This Row],[MonthlyIncome]]&lt;=12000,"Moderate Income",
HRData[[#This Row],[MonthlyIncome]]&lt;=16000,"High Income",
HRData[[#This Row],[MonthlyIncome]]&gt;16000,"Very High Income"
)</f>
        <v>Low Income</v>
      </c>
      <c r="Y580">
        <v>26085</v>
      </c>
      <c r="Z580">
        <v>6</v>
      </c>
      <c r="AA580" t="s">
        <v>42</v>
      </c>
      <c r="AB580" t="s">
        <v>35</v>
      </c>
      <c r="AC580">
        <v>12</v>
      </c>
      <c r="AD580" t="str" cm="1">
        <f t="array" ref="AD580">_xlfn.IFS(HRData[[#This Row],[PercentSalaryHike]]&lt;=15,"11-15",HRData[[#This Row],[PercentSalaryHike]]&lt;=20,"16-20",HRData[[#This Row],[PercentSalaryHike]]&gt;=21,"21+")</f>
        <v>11-15</v>
      </c>
      <c r="AE580">
        <v>3</v>
      </c>
      <c r="AF580">
        <v>4</v>
      </c>
      <c r="AG580">
        <v>80</v>
      </c>
      <c r="AH580">
        <v>0</v>
      </c>
      <c r="AI580">
        <v>17</v>
      </c>
      <c r="AJ580">
        <v>2</v>
      </c>
      <c r="AK580">
        <v>3</v>
      </c>
      <c r="AL580">
        <v>15</v>
      </c>
      <c r="AM580">
        <v>7</v>
      </c>
      <c r="AN580">
        <v>4</v>
      </c>
      <c r="AO580">
        <v>12</v>
      </c>
      <c r="AP58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580" t="str">
        <f>IF(HRData[[#This Row],[Attrition]]="Yes","Left", IF(HRData[[#This Row],[Attrition_Risk_Score]]&gt;=6,"High",IF(HRData[[#This Row],[Attrition_Risk_Score]]&gt;=3,"Medium","Low")))</f>
        <v>Medium</v>
      </c>
      <c r="AR580" t="str">
        <f>IF(HRData[[#This Row],[Attrition_Risk_Level]]&lt;&gt;"High","",HRData[[#This Row],[Attrition_Risk_Score]]*10000-HRData[[#This Row],[EmployeeNumber]])</f>
        <v/>
      </c>
    </row>
    <row r="581" spans="1:44">
      <c r="A581">
        <v>34</v>
      </c>
      <c r="B581" t="str" cm="1">
        <f t="array" ref="B581">_xlfn.IFS(
HRData[[#This Row],[Age]]&lt;=24,"18-24",
HRData[[#This Row],[Age]]&lt;=34,"25-34",
HRData[[#This Row],[Age]]&lt;=44,"35-44",
HRData[[#This Row],[Age]]&lt;=54,"45-54",
HRData[[#This Row],[Age]]&gt;=55,"55+"
)</f>
        <v>25-34</v>
      </c>
      <c r="C581" t="s">
        <v>43</v>
      </c>
      <c r="D581">
        <f>IF(HRData[[#This Row],[Attrition]]="Yes",1,0)</f>
        <v>0</v>
      </c>
      <c r="E581" t="s">
        <v>36</v>
      </c>
      <c r="F581">
        <v>121</v>
      </c>
      <c r="G581" t="s">
        <v>45</v>
      </c>
      <c r="H581">
        <v>2</v>
      </c>
      <c r="I581">
        <v>4</v>
      </c>
      <c r="J581" t="s">
        <v>51</v>
      </c>
      <c r="K581">
        <v>1</v>
      </c>
      <c r="L581">
        <v>804</v>
      </c>
      <c r="M581">
        <v>3</v>
      </c>
      <c r="N581" t="str" cm="1">
        <f t="array" ref="N581">_xlfn.IFS(HRData[[#This Row],[EnvironmentSatisfaction]]=1,"Very Dissatisfied",
HRData[[#This Row],[EnvironmentSatisfaction]]=2,"Dissatisfied",
HRData[[#This Row],[EnvironmentSatisfaction]]=3,"Satisfied",
HRData[[#This Row],[EnvironmentSatisfaction]]=4,"Very Satisfied"
)</f>
        <v>Satisfied</v>
      </c>
      <c r="O581" t="s">
        <v>39</v>
      </c>
      <c r="P581">
        <v>86</v>
      </c>
      <c r="Q581">
        <v>2</v>
      </c>
      <c r="R581">
        <v>1</v>
      </c>
      <c r="S581" t="s">
        <v>47</v>
      </c>
      <c r="T581">
        <v>1</v>
      </c>
      <c r="U581" t="str" cm="1">
        <f t="array" ref="U581">_xlfn.IFS(
HRData[[#This Row],[JobSatisfaction]]=1,"Very Dissatisfied",
HRData[[#This Row],[JobSatisfaction]]=2,"Dissatisfied",
HRData[[#This Row],[JobSatisfaction]]=3,"Satisfied",
HRData[[#This Row],[JobSatisfaction]]=4,"Very Satisfied"
)</f>
        <v>Very Dissatisfied</v>
      </c>
      <c r="V581" t="s">
        <v>41</v>
      </c>
      <c r="W581">
        <v>4381</v>
      </c>
      <c r="X581" t="str" cm="1">
        <f t="array" ref="X581">_xlfn.IFS(
HRData[[#This Row],[MonthlyIncome]]&lt;=4000,"Very Low Income",
HRData[[#This Row],[MonthlyIncome]]&lt;=8000,"Low Income",
HRData[[#This Row],[MonthlyIncome]]&lt;=12000,"Moderate Income",
HRData[[#This Row],[MonthlyIncome]]&lt;=16000,"High Income",
HRData[[#This Row],[MonthlyIncome]]&gt;16000,"Very High Income"
)</f>
        <v>Low Income</v>
      </c>
      <c r="Y581">
        <v>7530</v>
      </c>
      <c r="Z581">
        <v>1</v>
      </c>
      <c r="AA581" t="s">
        <v>42</v>
      </c>
      <c r="AB581" t="s">
        <v>43</v>
      </c>
      <c r="AC581">
        <v>11</v>
      </c>
      <c r="AD581" t="str" cm="1">
        <f t="array" ref="AD581">_xlfn.IFS(HRData[[#This Row],[PercentSalaryHike]]&lt;=15,"11-15",HRData[[#This Row],[PercentSalaryHike]]&lt;=20,"16-20",HRData[[#This Row],[PercentSalaryHike]]&gt;=21,"21+")</f>
        <v>11-15</v>
      </c>
      <c r="AE581">
        <v>3</v>
      </c>
      <c r="AF581">
        <v>3</v>
      </c>
      <c r="AG581">
        <v>80</v>
      </c>
      <c r="AH581">
        <v>0</v>
      </c>
      <c r="AI581">
        <v>6</v>
      </c>
      <c r="AJ581">
        <v>3</v>
      </c>
      <c r="AK581">
        <v>3</v>
      </c>
      <c r="AL581">
        <v>6</v>
      </c>
      <c r="AM581">
        <v>5</v>
      </c>
      <c r="AN581">
        <v>1</v>
      </c>
      <c r="AO581">
        <v>3</v>
      </c>
      <c r="AP58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81" t="str">
        <f>IF(HRData[[#This Row],[Attrition]]="Yes","Left", IF(HRData[[#This Row],[Attrition_Risk_Score]]&gt;=6,"High",IF(HRData[[#This Row],[Attrition_Risk_Score]]&gt;=3,"Medium","Low")))</f>
        <v>Medium</v>
      </c>
      <c r="AR581" t="str">
        <f>IF(HRData[[#This Row],[Attrition_Risk_Level]]&lt;&gt;"High","",HRData[[#This Row],[Attrition_Risk_Score]]*10000-HRData[[#This Row],[EmployeeNumber]])</f>
        <v/>
      </c>
    </row>
    <row r="582" spans="1:44">
      <c r="A582">
        <v>35</v>
      </c>
      <c r="B582" t="str" cm="1">
        <f t="array" ref="B582">_xlfn.IFS(
HRData[[#This Row],[Age]]&lt;=24,"18-24",
HRData[[#This Row],[Age]]&lt;=34,"25-34",
HRData[[#This Row],[Age]]&lt;=44,"35-44",
HRData[[#This Row],[Age]]&lt;=54,"45-54",
HRData[[#This Row],[Age]]&gt;=55,"55+"
)</f>
        <v>35-44</v>
      </c>
      <c r="C582" t="s">
        <v>43</v>
      </c>
      <c r="D582">
        <f>IF(HRData[[#This Row],[Attrition]]="Yes",1,0)</f>
        <v>0</v>
      </c>
      <c r="E582" t="s">
        <v>36</v>
      </c>
      <c r="F582">
        <v>384</v>
      </c>
      <c r="G582" t="s">
        <v>37</v>
      </c>
      <c r="H582">
        <v>8</v>
      </c>
      <c r="I582">
        <v>4</v>
      </c>
      <c r="J582" t="s">
        <v>38</v>
      </c>
      <c r="K582">
        <v>1</v>
      </c>
      <c r="L582">
        <v>805</v>
      </c>
      <c r="M582">
        <v>1</v>
      </c>
      <c r="N582" t="str" cm="1">
        <f t="array" ref="N582">_xlfn.IFS(HRData[[#This Row],[EnvironmentSatisfaction]]=1,"Very Dissatisfied",
HRData[[#This Row],[EnvironmentSatisfaction]]=2,"Dissatisfied",
HRData[[#This Row],[EnvironmentSatisfaction]]=3,"Satisfied",
HRData[[#This Row],[EnvironmentSatisfaction]]=4,"Very Satisfied"
)</f>
        <v>Very Dissatisfied</v>
      </c>
      <c r="O582" t="s">
        <v>39</v>
      </c>
      <c r="P582">
        <v>72</v>
      </c>
      <c r="Q582">
        <v>3</v>
      </c>
      <c r="R582">
        <v>1</v>
      </c>
      <c r="S582" t="s">
        <v>57</v>
      </c>
      <c r="T582">
        <v>4</v>
      </c>
      <c r="U582" t="str" cm="1">
        <f t="array" ref="U582">_xlfn.IFS(
HRData[[#This Row],[JobSatisfaction]]=1,"Very Dissatisfied",
HRData[[#This Row],[JobSatisfaction]]=2,"Dissatisfied",
HRData[[#This Row],[JobSatisfaction]]=3,"Satisfied",
HRData[[#This Row],[JobSatisfaction]]=4,"Very Satisfied"
)</f>
        <v>Very Satisfied</v>
      </c>
      <c r="V582" t="s">
        <v>48</v>
      </c>
      <c r="W582">
        <v>2572</v>
      </c>
      <c r="X582" t="str" cm="1">
        <f t="array" ref="X582">_xlfn.IFS(
HRData[[#This Row],[MonthlyIncome]]&lt;=4000,"Very Low Income",
HRData[[#This Row],[MonthlyIncome]]&lt;=8000,"Low Income",
HRData[[#This Row],[MonthlyIncome]]&lt;=12000,"Moderate Income",
HRData[[#This Row],[MonthlyIncome]]&lt;=16000,"High Income",
HRData[[#This Row],[MonthlyIncome]]&gt;16000,"Very High Income"
)</f>
        <v>Very Low Income</v>
      </c>
      <c r="Y582">
        <v>20317</v>
      </c>
      <c r="Z582">
        <v>1</v>
      </c>
      <c r="AA582" t="s">
        <v>42</v>
      </c>
      <c r="AB582" t="s">
        <v>43</v>
      </c>
      <c r="AC582">
        <v>16</v>
      </c>
      <c r="AD582" t="str" cm="1">
        <f t="array" ref="AD582">_xlfn.IFS(HRData[[#This Row],[PercentSalaryHike]]&lt;=15,"11-15",HRData[[#This Row],[PercentSalaryHike]]&lt;=20,"16-20",HRData[[#This Row],[PercentSalaryHike]]&gt;=21,"21+")</f>
        <v>16-20</v>
      </c>
      <c r="AE582">
        <v>3</v>
      </c>
      <c r="AF582">
        <v>2</v>
      </c>
      <c r="AG582">
        <v>80</v>
      </c>
      <c r="AH582">
        <v>1</v>
      </c>
      <c r="AI582">
        <v>3</v>
      </c>
      <c r="AJ582">
        <v>1</v>
      </c>
      <c r="AK582">
        <v>2</v>
      </c>
      <c r="AL582">
        <v>3</v>
      </c>
      <c r="AM582">
        <v>2</v>
      </c>
      <c r="AN582">
        <v>0</v>
      </c>
      <c r="AO582">
        <v>2</v>
      </c>
      <c r="AP58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82" t="str">
        <f>IF(HRData[[#This Row],[Attrition]]="Yes","Left", IF(HRData[[#This Row],[Attrition_Risk_Score]]&gt;=6,"High",IF(HRData[[#This Row],[Attrition_Risk_Score]]&gt;=3,"Medium","Low")))</f>
        <v>Medium</v>
      </c>
      <c r="AR582" t="str">
        <f>IF(HRData[[#This Row],[Attrition_Risk_Level]]&lt;&gt;"High","",HRData[[#This Row],[Attrition_Risk_Score]]*10000-HRData[[#This Row],[EmployeeNumber]])</f>
        <v/>
      </c>
    </row>
    <row r="583" spans="1:44">
      <c r="A583">
        <v>30</v>
      </c>
      <c r="B583" t="str" cm="1">
        <f t="array" ref="B583">_xlfn.IFS(
HRData[[#This Row],[Age]]&lt;=24,"18-24",
HRData[[#This Row],[Age]]&lt;=34,"25-34",
HRData[[#This Row],[Age]]&lt;=44,"35-44",
HRData[[#This Row],[Age]]&lt;=54,"45-54",
HRData[[#This Row],[Age]]&gt;=55,"55+"
)</f>
        <v>25-34</v>
      </c>
      <c r="C583" t="s">
        <v>43</v>
      </c>
      <c r="D583">
        <f>IF(HRData[[#This Row],[Attrition]]="Yes",1,0)</f>
        <v>0</v>
      </c>
      <c r="E583" t="s">
        <v>36</v>
      </c>
      <c r="F583">
        <v>921</v>
      </c>
      <c r="G583" t="s">
        <v>45</v>
      </c>
      <c r="H583">
        <v>1</v>
      </c>
      <c r="I583">
        <v>3</v>
      </c>
      <c r="J583" t="s">
        <v>38</v>
      </c>
      <c r="K583">
        <v>1</v>
      </c>
      <c r="L583">
        <v>806</v>
      </c>
      <c r="M583">
        <v>4</v>
      </c>
      <c r="N583" t="str" cm="1">
        <f t="array" ref="N583">_xlfn.IFS(HRData[[#This Row],[EnvironmentSatisfaction]]=1,"Very Dissatisfied",
HRData[[#This Row],[EnvironmentSatisfaction]]=2,"Dissatisfied",
HRData[[#This Row],[EnvironmentSatisfaction]]=3,"Satisfied",
HRData[[#This Row],[EnvironmentSatisfaction]]=4,"Very Satisfied"
)</f>
        <v>Very Satisfied</v>
      </c>
      <c r="O583" t="s">
        <v>46</v>
      </c>
      <c r="P583">
        <v>38</v>
      </c>
      <c r="Q583">
        <v>1</v>
      </c>
      <c r="R583">
        <v>1</v>
      </c>
      <c r="S583" t="s">
        <v>50</v>
      </c>
      <c r="T583">
        <v>3</v>
      </c>
      <c r="U583" t="str" cm="1">
        <f t="array" ref="U583">_xlfn.IFS(
HRData[[#This Row],[JobSatisfaction]]=1,"Very Dissatisfied",
HRData[[#This Row],[JobSatisfaction]]=2,"Dissatisfied",
HRData[[#This Row],[JobSatisfaction]]=3,"Satisfied",
HRData[[#This Row],[JobSatisfaction]]=4,"Very Satisfied"
)</f>
        <v>Satisfied</v>
      </c>
      <c r="V583" t="s">
        <v>48</v>
      </c>
      <c r="W583">
        <v>3833</v>
      </c>
      <c r="X583" t="str" cm="1">
        <f t="array" ref="X583">_xlfn.IFS(
HRData[[#This Row],[MonthlyIncome]]&lt;=4000,"Very Low Income",
HRData[[#This Row],[MonthlyIncome]]&lt;=8000,"Low Income",
HRData[[#This Row],[MonthlyIncome]]&lt;=12000,"Moderate Income",
HRData[[#This Row],[MonthlyIncome]]&lt;=16000,"High Income",
HRData[[#This Row],[MonthlyIncome]]&gt;16000,"Very High Income"
)</f>
        <v>Very Low Income</v>
      </c>
      <c r="Y583">
        <v>24375</v>
      </c>
      <c r="Z583">
        <v>3</v>
      </c>
      <c r="AA583" t="s">
        <v>42</v>
      </c>
      <c r="AB583" t="s">
        <v>43</v>
      </c>
      <c r="AC583">
        <v>21</v>
      </c>
      <c r="AD583" t="str" cm="1">
        <f t="array" ref="AD583">_xlfn.IFS(HRData[[#This Row],[PercentSalaryHike]]&lt;=15,"11-15",HRData[[#This Row],[PercentSalaryHike]]&lt;=20,"16-20",HRData[[#This Row],[PercentSalaryHike]]&gt;=21,"21+")</f>
        <v>21+</v>
      </c>
      <c r="AE583">
        <v>4</v>
      </c>
      <c r="AF583">
        <v>3</v>
      </c>
      <c r="AG583">
        <v>80</v>
      </c>
      <c r="AH583">
        <v>2</v>
      </c>
      <c r="AI583">
        <v>7</v>
      </c>
      <c r="AJ583">
        <v>2</v>
      </c>
      <c r="AK583">
        <v>3</v>
      </c>
      <c r="AL583">
        <v>2</v>
      </c>
      <c r="AM583">
        <v>2</v>
      </c>
      <c r="AN583">
        <v>0</v>
      </c>
      <c r="AO583">
        <v>2</v>
      </c>
      <c r="AP58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83" t="str">
        <f>IF(HRData[[#This Row],[Attrition]]="Yes","Left", IF(HRData[[#This Row],[Attrition_Risk_Score]]&gt;=6,"High",IF(HRData[[#This Row],[Attrition_Risk_Score]]&gt;=3,"Medium","Low")))</f>
        <v>Medium</v>
      </c>
      <c r="AR583" t="str">
        <f>IF(HRData[[#This Row],[Attrition_Risk_Level]]&lt;&gt;"High","",HRData[[#This Row],[Attrition_Risk_Score]]*10000-HRData[[#This Row],[EmployeeNumber]])</f>
        <v/>
      </c>
    </row>
    <row r="584" spans="1:44">
      <c r="A584">
        <v>40</v>
      </c>
      <c r="B584" t="str" cm="1">
        <f t="array" ref="B584">_xlfn.IFS(
HRData[[#This Row],[Age]]&lt;=24,"18-24",
HRData[[#This Row],[Age]]&lt;=34,"25-34",
HRData[[#This Row],[Age]]&lt;=44,"35-44",
HRData[[#This Row],[Age]]&lt;=54,"45-54",
HRData[[#This Row],[Age]]&gt;=55,"55+"
)</f>
        <v>35-44</v>
      </c>
      <c r="C584" t="s">
        <v>43</v>
      </c>
      <c r="D584">
        <f>IF(HRData[[#This Row],[Attrition]]="Yes",1,0)</f>
        <v>0</v>
      </c>
      <c r="E584" t="s">
        <v>44</v>
      </c>
      <c r="F584">
        <v>791</v>
      </c>
      <c r="G584" t="s">
        <v>45</v>
      </c>
      <c r="H584">
        <v>2</v>
      </c>
      <c r="I584">
        <v>2</v>
      </c>
      <c r="J584" t="s">
        <v>51</v>
      </c>
      <c r="K584">
        <v>1</v>
      </c>
      <c r="L584">
        <v>807</v>
      </c>
      <c r="M584">
        <v>3</v>
      </c>
      <c r="N584" t="str" cm="1">
        <f t="array" ref="N584">_xlfn.IFS(HRData[[#This Row],[EnvironmentSatisfaction]]=1,"Very Dissatisfied",
HRData[[#This Row],[EnvironmentSatisfaction]]=2,"Dissatisfied",
HRData[[#This Row],[EnvironmentSatisfaction]]=3,"Satisfied",
HRData[[#This Row],[EnvironmentSatisfaction]]=4,"Very Satisfied"
)</f>
        <v>Satisfied</v>
      </c>
      <c r="O584" t="s">
        <v>39</v>
      </c>
      <c r="P584">
        <v>38</v>
      </c>
      <c r="Q584">
        <v>4</v>
      </c>
      <c r="R584">
        <v>2</v>
      </c>
      <c r="S584" t="s">
        <v>54</v>
      </c>
      <c r="T584">
        <v>2</v>
      </c>
      <c r="U584" t="str" cm="1">
        <f t="array" ref="U584">_xlfn.IFS(
HRData[[#This Row],[JobSatisfaction]]=1,"Very Dissatisfied",
HRData[[#This Row],[JobSatisfaction]]=2,"Dissatisfied",
HRData[[#This Row],[JobSatisfaction]]=3,"Satisfied",
HRData[[#This Row],[JobSatisfaction]]=4,"Very Satisfied"
)</f>
        <v>Dissatisfied</v>
      </c>
      <c r="V584" t="s">
        <v>48</v>
      </c>
      <c r="W584">
        <v>4244</v>
      </c>
      <c r="X584" t="str" cm="1">
        <f t="array" ref="X584">_xlfn.IFS(
HRData[[#This Row],[MonthlyIncome]]&lt;=4000,"Very Low Income",
HRData[[#This Row],[MonthlyIncome]]&lt;=8000,"Low Income",
HRData[[#This Row],[MonthlyIncome]]&lt;=12000,"Moderate Income",
HRData[[#This Row],[MonthlyIncome]]&lt;=16000,"High Income",
HRData[[#This Row],[MonthlyIncome]]&gt;16000,"Very High Income"
)</f>
        <v>Low Income</v>
      </c>
      <c r="Y584">
        <v>9931</v>
      </c>
      <c r="Z584">
        <v>1</v>
      </c>
      <c r="AA584" t="s">
        <v>42</v>
      </c>
      <c r="AB584" t="s">
        <v>43</v>
      </c>
      <c r="AC584">
        <v>24</v>
      </c>
      <c r="AD584" t="str" cm="1">
        <f t="array" ref="AD584">_xlfn.IFS(HRData[[#This Row],[PercentSalaryHike]]&lt;=15,"11-15",HRData[[#This Row],[PercentSalaryHike]]&lt;=20,"16-20",HRData[[#This Row],[PercentSalaryHike]]&gt;=21,"21+")</f>
        <v>21+</v>
      </c>
      <c r="AE584">
        <v>4</v>
      </c>
      <c r="AF584">
        <v>4</v>
      </c>
      <c r="AG584">
        <v>80</v>
      </c>
      <c r="AH584">
        <v>1</v>
      </c>
      <c r="AI584">
        <v>8</v>
      </c>
      <c r="AJ584">
        <v>2</v>
      </c>
      <c r="AK584">
        <v>3</v>
      </c>
      <c r="AL584">
        <v>8</v>
      </c>
      <c r="AM584">
        <v>7</v>
      </c>
      <c r="AN584">
        <v>3</v>
      </c>
      <c r="AO584">
        <v>7</v>
      </c>
      <c r="AP58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584" t="str">
        <f>IF(HRData[[#This Row],[Attrition]]="Yes","Left", IF(HRData[[#This Row],[Attrition_Risk_Score]]&gt;=6,"High",IF(HRData[[#This Row],[Attrition_Risk_Score]]&gt;=3,"Medium","Low")))</f>
        <v>Low</v>
      </c>
      <c r="AR584" t="str">
        <f>IF(HRData[[#This Row],[Attrition_Risk_Level]]&lt;&gt;"High","",HRData[[#This Row],[Attrition_Risk_Score]]*10000-HRData[[#This Row],[EmployeeNumber]])</f>
        <v/>
      </c>
    </row>
    <row r="585" spans="1:44">
      <c r="A585">
        <v>34</v>
      </c>
      <c r="B585" t="str" cm="1">
        <f t="array" ref="B585">_xlfn.IFS(
HRData[[#This Row],[Age]]&lt;=24,"18-24",
HRData[[#This Row],[Age]]&lt;=34,"25-34",
HRData[[#This Row],[Age]]&lt;=44,"35-44",
HRData[[#This Row],[Age]]&lt;=54,"45-54",
HRData[[#This Row],[Age]]&gt;=55,"55+"
)</f>
        <v>25-34</v>
      </c>
      <c r="C585" t="s">
        <v>43</v>
      </c>
      <c r="D585">
        <f>IF(HRData[[#This Row],[Attrition]]="Yes",1,0)</f>
        <v>0</v>
      </c>
      <c r="E585" t="s">
        <v>36</v>
      </c>
      <c r="F585">
        <v>1111</v>
      </c>
      <c r="G585" t="s">
        <v>37</v>
      </c>
      <c r="H585">
        <v>8</v>
      </c>
      <c r="I585">
        <v>2</v>
      </c>
      <c r="J585" t="s">
        <v>38</v>
      </c>
      <c r="K585">
        <v>1</v>
      </c>
      <c r="L585">
        <v>808</v>
      </c>
      <c r="M585">
        <v>3</v>
      </c>
      <c r="N585" t="str" cm="1">
        <f t="array" ref="N585">_xlfn.IFS(HRData[[#This Row],[EnvironmentSatisfaction]]=1,"Very Dissatisfied",
HRData[[#This Row],[EnvironmentSatisfaction]]=2,"Dissatisfied",
HRData[[#This Row],[EnvironmentSatisfaction]]=3,"Satisfied",
HRData[[#This Row],[EnvironmentSatisfaction]]=4,"Very Satisfied"
)</f>
        <v>Satisfied</v>
      </c>
      <c r="O585" t="s">
        <v>39</v>
      </c>
      <c r="P585">
        <v>93</v>
      </c>
      <c r="Q585">
        <v>3</v>
      </c>
      <c r="R585">
        <v>2</v>
      </c>
      <c r="S585" t="s">
        <v>40</v>
      </c>
      <c r="T585">
        <v>1</v>
      </c>
      <c r="U585" t="str" cm="1">
        <f t="array" ref="U585">_xlfn.IFS(
HRData[[#This Row],[JobSatisfaction]]=1,"Very Dissatisfied",
HRData[[#This Row],[JobSatisfaction]]=2,"Dissatisfied",
HRData[[#This Row],[JobSatisfaction]]=3,"Satisfied",
HRData[[#This Row],[JobSatisfaction]]=4,"Very Satisfied"
)</f>
        <v>Very Dissatisfied</v>
      </c>
      <c r="V585" t="s">
        <v>48</v>
      </c>
      <c r="W585">
        <v>6500</v>
      </c>
      <c r="X585" t="str" cm="1">
        <f t="array" ref="X585">_xlfn.IFS(
HRData[[#This Row],[MonthlyIncome]]&lt;=4000,"Very Low Income",
HRData[[#This Row],[MonthlyIncome]]&lt;=8000,"Low Income",
HRData[[#This Row],[MonthlyIncome]]&lt;=12000,"Moderate Income",
HRData[[#This Row],[MonthlyIncome]]&lt;=16000,"High Income",
HRData[[#This Row],[MonthlyIncome]]&gt;16000,"Very High Income"
)</f>
        <v>Low Income</v>
      </c>
      <c r="Y585">
        <v>13305</v>
      </c>
      <c r="Z585">
        <v>5</v>
      </c>
      <c r="AA585" t="s">
        <v>42</v>
      </c>
      <c r="AB585" t="s">
        <v>43</v>
      </c>
      <c r="AC585">
        <v>17</v>
      </c>
      <c r="AD585" t="str" cm="1">
        <f t="array" ref="AD585">_xlfn.IFS(HRData[[#This Row],[PercentSalaryHike]]&lt;=15,"11-15",HRData[[#This Row],[PercentSalaryHike]]&lt;=20,"16-20",HRData[[#This Row],[PercentSalaryHike]]&gt;=21,"21+")</f>
        <v>16-20</v>
      </c>
      <c r="AE585">
        <v>3</v>
      </c>
      <c r="AF585">
        <v>2</v>
      </c>
      <c r="AG585">
        <v>80</v>
      </c>
      <c r="AH585">
        <v>1</v>
      </c>
      <c r="AI585">
        <v>6</v>
      </c>
      <c r="AJ585">
        <v>1</v>
      </c>
      <c r="AK585">
        <v>3</v>
      </c>
      <c r="AL585">
        <v>3</v>
      </c>
      <c r="AM585">
        <v>2</v>
      </c>
      <c r="AN585">
        <v>1</v>
      </c>
      <c r="AO585">
        <v>2</v>
      </c>
      <c r="AP58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85" t="str">
        <f>IF(HRData[[#This Row],[Attrition]]="Yes","Left", IF(HRData[[#This Row],[Attrition_Risk_Score]]&gt;=6,"High",IF(HRData[[#This Row],[Attrition_Risk_Score]]&gt;=3,"Medium","Low")))</f>
        <v>Medium</v>
      </c>
      <c r="AR585" t="str">
        <f>IF(HRData[[#This Row],[Attrition_Risk_Level]]&lt;&gt;"High","",HRData[[#This Row],[Attrition_Risk_Score]]*10000-HRData[[#This Row],[EmployeeNumber]])</f>
        <v/>
      </c>
    </row>
    <row r="586" spans="1:44">
      <c r="A586">
        <v>42</v>
      </c>
      <c r="B586" t="str" cm="1">
        <f t="array" ref="B586">_xlfn.IFS(
HRData[[#This Row],[Age]]&lt;=24,"18-24",
HRData[[#This Row],[Age]]&lt;=34,"25-34",
HRData[[#This Row],[Age]]&lt;=44,"35-44",
HRData[[#This Row],[Age]]&lt;=54,"45-54",
HRData[[#This Row],[Age]]&gt;=55,"55+"
)</f>
        <v>35-44</v>
      </c>
      <c r="C586" t="s">
        <v>43</v>
      </c>
      <c r="D586">
        <f>IF(HRData[[#This Row],[Attrition]]="Yes",1,0)</f>
        <v>0</v>
      </c>
      <c r="E586" t="s">
        <v>44</v>
      </c>
      <c r="F586">
        <v>570</v>
      </c>
      <c r="G586" t="s">
        <v>45</v>
      </c>
      <c r="H586">
        <v>8</v>
      </c>
      <c r="I586">
        <v>3</v>
      </c>
      <c r="J586" t="s">
        <v>38</v>
      </c>
      <c r="K586">
        <v>1</v>
      </c>
      <c r="L586">
        <v>809</v>
      </c>
      <c r="M586">
        <v>2</v>
      </c>
      <c r="N586" t="str" cm="1">
        <f t="array" ref="N586">_xlfn.IFS(HRData[[#This Row],[EnvironmentSatisfaction]]=1,"Very Dissatisfied",
HRData[[#This Row],[EnvironmentSatisfaction]]=2,"Dissatisfied",
HRData[[#This Row],[EnvironmentSatisfaction]]=3,"Satisfied",
HRData[[#This Row],[EnvironmentSatisfaction]]=4,"Very Satisfied"
)</f>
        <v>Dissatisfied</v>
      </c>
      <c r="O586" t="s">
        <v>46</v>
      </c>
      <c r="P586">
        <v>66</v>
      </c>
      <c r="Q586">
        <v>3</v>
      </c>
      <c r="R586">
        <v>5</v>
      </c>
      <c r="S586" t="s">
        <v>56</v>
      </c>
      <c r="T586">
        <v>4</v>
      </c>
      <c r="U586" t="str" cm="1">
        <f t="array" ref="U586">_xlfn.IFS(
HRData[[#This Row],[JobSatisfaction]]=1,"Very Dissatisfied",
HRData[[#This Row],[JobSatisfaction]]=2,"Dissatisfied",
HRData[[#This Row],[JobSatisfaction]]=3,"Satisfied",
HRData[[#This Row],[JobSatisfaction]]=4,"Very Satisfied"
)</f>
        <v>Very Satisfied</v>
      </c>
      <c r="V586" t="s">
        <v>52</v>
      </c>
      <c r="W586">
        <v>18430</v>
      </c>
      <c r="X586" t="str" cm="1">
        <f t="array" ref="X586">_xlfn.IFS(
HRData[[#This Row],[MonthlyIncome]]&lt;=4000,"Very Low Income",
HRData[[#This Row],[MonthlyIncome]]&lt;=8000,"Low Income",
HRData[[#This Row],[MonthlyIncome]]&lt;=12000,"Moderate Income",
HRData[[#This Row],[MonthlyIncome]]&lt;=16000,"High Income",
HRData[[#This Row],[MonthlyIncome]]&gt;16000,"Very High Income"
)</f>
        <v>Very High Income</v>
      </c>
      <c r="Y586">
        <v>16225</v>
      </c>
      <c r="Z586">
        <v>1</v>
      </c>
      <c r="AA586" t="s">
        <v>42</v>
      </c>
      <c r="AB586" t="s">
        <v>43</v>
      </c>
      <c r="AC586">
        <v>13</v>
      </c>
      <c r="AD586" t="str" cm="1">
        <f t="array" ref="AD586">_xlfn.IFS(HRData[[#This Row],[PercentSalaryHike]]&lt;=15,"11-15",HRData[[#This Row],[PercentSalaryHike]]&lt;=20,"16-20",HRData[[#This Row],[PercentSalaryHike]]&gt;=21,"21+")</f>
        <v>11-15</v>
      </c>
      <c r="AE586">
        <v>3</v>
      </c>
      <c r="AF586">
        <v>2</v>
      </c>
      <c r="AG586">
        <v>80</v>
      </c>
      <c r="AH586">
        <v>1</v>
      </c>
      <c r="AI586">
        <v>24</v>
      </c>
      <c r="AJ586">
        <v>4</v>
      </c>
      <c r="AK586">
        <v>2</v>
      </c>
      <c r="AL586">
        <v>24</v>
      </c>
      <c r="AM586">
        <v>7</v>
      </c>
      <c r="AN586">
        <v>14</v>
      </c>
      <c r="AO586">
        <v>9</v>
      </c>
      <c r="AP58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586" t="str">
        <f>IF(HRData[[#This Row],[Attrition]]="Yes","Left", IF(HRData[[#This Row],[Attrition_Risk_Score]]&gt;=6,"High",IF(HRData[[#This Row],[Attrition_Risk_Score]]&gt;=3,"Medium","Low")))</f>
        <v>Low</v>
      </c>
      <c r="AR586" t="str">
        <f>IF(HRData[[#This Row],[Attrition_Risk_Level]]&lt;&gt;"High","",HRData[[#This Row],[Attrition_Risk_Score]]*10000-HRData[[#This Row],[EmployeeNumber]])</f>
        <v/>
      </c>
    </row>
    <row r="587" spans="1:44">
      <c r="A587">
        <v>23</v>
      </c>
      <c r="B587" t="str" cm="1">
        <f t="array" ref="B587">_xlfn.IFS(
HRData[[#This Row],[Age]]&lt;=24,"18-24",
HRData[[#This Row],[Age]]&lt;=34,"25-34",
HRData[[#This Row],[Age]]&lt;=44,"35-44",
HRData[[#This Row],[Age]]&lt;=54,"45-54",
HRData[[#This Row],[Age]]&gt;=55,"55+"
)</f>
        <v>18-24</v>
      </c>
      <c r="C587" t="s">
        <v>35</v>
      </c>
      <c r="D587">
        <f>IF(HRData[[#This Row],[Attrition]]="Yes",1,0)</f>
        <v>1</v>
      </c>
      <c r="E587" t="s">
        <v>36</v>
      </c>
      <c r="F587">
        <v>1243</v>
      </c>
      <c r="G587" t="s">
        <v>45</v>
      </c>
      <c r="H587">
        <v>6</v>
      </c>
      <c r="I587">
        <v>3</v>
      </c>
      <c r="J587" t="s">
        <v>38</v>
      </c>
      <c r="K587">
        <v>1</v>
      </c>
      <c r="L587">
        <v>811</v>
      </c>
      <c r="M587">
        <v>3</v>
      </c>
      <c r="N587" t="str" cm="1">
        <f t="array" ref="N587">_xlfn.IFS(HRData[[#This Row],[EnvironmentSatisfaction]]=1,"Very Dissatisfied",
HRData[[#This Row],[EnvironmentSatisfaction]]=2,"Dissatisfied",
HRData[[#This Row],[EnvironmentSatisfaction]]=3,"Satisfied",
HRData[[#This Row],[EnvironmentSatisfaction]]=4,"Very Satisfied"
)</f>
        <v>Satisfied</v>
      </c>
      <c r="O587" t="s">
        <v>46</v>
      </c>
      <c r="P587">
        <v>63</v>
      </c>
      <c r="Q587">
        <v>4</v>
      </c>
      <c r="R587">
        <v>1</v>
      </c>
      <c r="S587" t="s">
        <v>50</v>
      </c>
      <c r="T587">
        <v>1</v>
      </c>
      <c r="U587" t="str" cm="1">
        <f t="array" ref="U587">_xlfn.IFS(
HRData[[#This Row],[JobSatisfaction]]=1,"Very Dissatisfied",
HRData[[#This Row],[JobSatisfaction]]=2,"Dissatisfied",
HRData[[#This Row],[JobSatisfaction]]=3,"Satisfied",
HRData[[#This Row],[JobSatisfaction]]=4,"Very Satisfied"
)</f>
        <v>Very Dissatisfied</v>
      </c>
      <c r="V587" t="s">
        <v>48</v>
      </c>
      <c r="W587">
        <v>1601</v>
      </c>
      <c r="X587" t="str" cm="1">
        <f t="array" ref="X587">_xlfn.IFS(
HRData[[#This Row],[MonthlyIncome]]&lt;=4000,"Very Low Income",
HRData[[#This Row],[MonthlyIncome]]&lt;=8000,"Low Income",
HRData[[#This Row],[MonthlyIncome]]&lt;=12000,"Moderate Income",
HRData[[#This Row],[MonthlyIncome]]&lt;=16000,"High Income",
HRData[[#This Row],[MonthlyIncome]]&gt;16000,"Very High Income"
)</f>
        <v>Very Low Income</v>
      </c>
      <c r="Y587">
        <v>3445</v>
      </c>
      <c r="Z587">
        <v>1</v>
      </c>
      <c r="AA587" t="s">
        <v>42</v>
      </c>
      <c r="AB587" t="s">
        <v>35</v>
      </c>
      <c r="AC587">
        <v>21</v>
      </c>
      <c r="AD587" t="str" cm="1">
        <f t="array" ref="AD587">_xlfn.IFS(HRData[[#This Row],[PercentSalaryHike]]&lt;=15,"11-15",HRData[[#This Row],[PercentSalaryHike]]&lt;=20,"16-20",HRData[[#This Row],[PercentSalaryHike]]&gt;=21,"21+")</f>
        <v>21+</v>
      </c>
      <c r="AE587">
        <v>4</v>
      </c>
      <c r="AF587">
        <v>3</v>
      </c>
      <c r="AG587">
        <v>80</v>
      </c>
      <c r="AH587">
        <v>2</v>
      </c>
      <c r="AI587">
        <v>1</v>
      </c>
      <c r="AJ587">
        <v>2</v>
      </c>
      <c r="AK587">
        <v>3</v>
      </c>
      <c r="AL587">
        <v>0</v>
      </c>
      <c r="AM587">
        <v>0</v>
      </c>
      <c r="AN587">
        <v>0</v>
      </c>
      <c r="AO587">
        <v>0</v>
      </c>
      <c r="AP58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87" t="str">
        <f>IF(HRData[[#This Row],[Attrition]]="Yes","Left", IF(HRData[[#This Row],[Attrition_Risk_Score]]&gt;=6,"High",IF(HRData[[#This Row],[Attrition_Risk_Score]]&gt;=3,"Medium","Low")))</f>
        <v>Left</v>
      </c>
      <c r="AR587" t="str">
        <f>IF(HRData[[#This Row],[Attrition_Risk_Level]]&lt;&gt;"High","",HRData[[#This Row],[Attrition_Risk_Score]]*10000-HRData[[#This Row],[EmployeeNumber]])</f>
        <v/>
      </c>
    </row>
    <row r="588" spans="1:44">
      <c r="A588">
        <v>24</v>
      </c>
      <c r="B588" t="str" cm="1">
        <f t="array" ref="B588">_xlfn.IFS(
HRData[[#This Row],[Age]]&lt;=24,"18-24",
HRData[[#This Row],[Age]]&lt;=34,"25-34",
HRData[[#This Row],[Age]]&lt;=44,"35-44",
HRData[[#This Row],[Age]]&lt;=54,"45-54",
HRData[[#This Row],[Age]]&gt;=55,"55+"
)</f>
        <v>18-24</v>
      </c>
      <c r="C588" t="s">
        <v>43</v>
      </c>
      <c r="D588">
        <f>IF(HRData[[#This Row],[Attrition]]="Yes",1,0)</f>
        <v>0</v>
      </c>
      <c r="E588" t="s">
        <v>55</v>
      </c>
      <c r="F588">
        <v>1092</v>
      </c>
      <c r="G588" t="s">
        <v>45</v>
      </c>
      <c r="H588">
        <v>9</v>
      </c>
      <c r="I588">
        <v>3</v>
      </c>
      <c r="J588" t="s">
        <v>38</v>
      </c>
      <c r="K588">
        <v>1</v>
      </c>
      <c r="L588">
        <v>812</v>
      </c>
      <c r="M588">
        <v>3</v>
      </c>
      <c r="N588" t="str" cm="1">
        <f t="array" ref="N588">_xlfn.IFS(HRData[[#This Row],[EnvironmentSatisfaction]]=1,"Very Dissatisfied",
HRData[[#This Row],[EnvironmentSatisfaction]]=2,"Dissatisfied",
HRData[[#This Row],[EnvironmentSatisfaction]]=3,"Satisfied",
HRData[[#This Row],[EnvironmentSatisfaction]]=4,"Very Satisfied"
)</f>
        <v>Satisfied</v>
      </c>
      <c r="O588" t="s">
        <v>46</v>
      </c>
      <c r="P588">
        <v>60</v>
      </c>
      <c r="Q588">
        <v>2</v>
      </c>
      <c r="R588">
        <v>1</v>
      </c>
      <c r="S588" t="s">
        <v>50</v>
      </c>
      <c r="T588">
        <v>2</v>
      </c>
      <c r="U588" t="str" cm="1">
        <f t="array" ref="U588">_xlfn.IFS(
HRData[[#This Row],[JobSatisfaction]]=1,"Very Dissatisfied",
HRData[[#This Row],[JobSatisfaction]]=2,"Dissatisfied",
HRData[[#This Row],[JobSatisfaction]]=3,"Satisfied",
HRData[[#This Row],[JobSatisfaction]]=4,"Very Satisfied"
)</f>
        <v>Dissatisfied</v>
      </c>
      <c r="V588" t="s">
        <v>52</v>
      </c>
      <c r="W588">
        <v>2694</v>
      </c>
      <c r="X588" t="str" cm="1">
        <f t="array" ref="X588">_xlfn.IFS(
HRData[[#This Row],[MonthlyIncome]]&lt;=4000,"Very Low Income",
HRData[[#This Row],[MonthlyIncome]]&lt;=8000,"Low Income",
HRData[[#This Row],[MonthlyIncome]]&lt;=12000,"Moderate Income",
HRData[[#This Row],[MonthlyIncome]]&lt;=16000,"High Income",
HRData[[#This Row],[MonthlyIncome]]&gt;16000,"Very High Income"
)</f>
        <v>Very Low Income</v>
      </c>
      <c r="Y588">
        <v>26551</v>
      </c>
      <c r="Z588">
        <v>1</v>
      </c>
      <c r="AA588" t="s">
        <v>42</v>
      </c>
      <c r="AB588" t="s">
        <v>43</v>
      </c>
      <c r="AC588">
        <v>11</v>
      </c>
      <c r="AD588" t="str" cm="1">
        <f t="array" ref="AD588">_xlfn.IFS(HRData[[#This Row],[PercentSalaryHike]]&lt;=15,"11-15",HRData[[#This Row],[PercentSalaryHike]]&lt;=20,"16-20",HRData[[#This Row],[PercentSalaryHike]]&gt;=21,"21+")</f>
        <v>11-15</v>
      </c>
      <c r="AE588">
        <v>3</v>
      </c>
      <c r="AF588">
        <v>3</v>
      </c>
      <c r="AG588">
        <v>80</v>
      </c>
      <c r="AH588">
        <v>3</v>
      </c>
      <c r="AI588">
        <v>1</v>
      </c>
      <c r="AJ588">
        <v>4</v>
      </c>
      <c r="AK588">
        <v>3</v>
      </c>
      <c r="AL588">
        <v>1</v>
      </c>
      <c r="AM588">
        <v>0</v>
      </c>
      <c r="AN588">
        <v>0</v>
      </c>
      <c r="AO588">
        <v>0</v>
      </c>
      <c r="AP58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588" t="str">
        <f>IF(HRData[[#This Row],[Attrition]]="Yes","Left", IF(HRData[[#This Row],[Attrition_Risk_Score]]&gt;=6,"High",IF(HRData[[#This Row],[Attrition_Risk_Score]]&gt;=3,"Medium","Low")))</f>
        <v>Medium</v>
      </c>
      <c r="AR588" t="str">
        <f>IF(HRData[[#This Row],[Attrition_Risk_Level]]&lt;&gt;"High","",HRData[[#This Row],[Attrition_Risk_Score]]*10000-HRData[[#This Row],[EmployeeNumber]])</f>
        <v/>
      </c>
    </row>
    <row r="589" spans="1:44">
      <c r="A589">
        <v>52</v>
      </c>
      <c r="B589" t="str" cm="1">
        <f t="array" ref="B589">_xlfn.IFS(
HRData[[#This Row],[Age]]&lt;=24,"18-24",
HRData[[#This Row],[Age]]&lt;=34,"25-34",
HRData[[#This Row],[Age]]&lt;=44,"35-44",
HRData[[#This Row],[Age]]&lt;=54,"45-54",
HRData[[#This Row],[Age]]&gt;=55,"55+"
)</f>
        <v>45-54</v>
      </c>
      <c r="C589" t="s">
        <v>43</v>
      </c>
      <c r="D589">
        <f>IF(HRData[[#This Row],[Attrition]]="Yes",1,0)</f>
        <v>0</v>
      </c>
      <c r="E589" t="s">
        <v>36</v>
      </c>
      <c r="F589">
        <v>1325</v>
      </c>
      <c r="G589" t="s">
        <v>45</v>
      </c>
      <c r="H589">
        <v>11</v>
      </c>
      <c r="I589">
        <v>4</v>
      </c>
      <c r="J589" t="s">
        <v>38</v>
      </c>
      <c r="K589">
        <v>1</v>
      </c>
      <c r="L589">
        <v>813</v>
      </c>
      <c r="M589">
        <v>4</v>
      </c>
      <c r="N589" t="str" cm="1">
        <f t="array" ref="N589">_xlfn.IFS(HRData[[#This Row],[EnvironmentSatisfaction]]=1,"Very Dissatisfied",
HRData[[#This Row],[EnvironmentSatisfaction]]=2,"Dissatisfied",
HRData[[#This Row],[EnvironmentSatisfaction]]=3,"Satisfied",
HRData[[#This Row],[EnvironmentSatisfaction]]=4,"Very Satisfied"
)</f>
        <v>Very Satisfied</v>
      </c>
      <c r="O589" t="s">
        <v>39</v>
      </c>
      <c r="P589">
        <v>82</v>
      </c>
      <c r="Q589">
        <v>3</v>
      </c>
      <c r="R589">
        <v>2</v>
      </c>
      <c r="S589" t="s">
        <v>50</v>
      </c>
      <c r="T589">
        <v>3</v>
      </c>
      <c r="U589" t="str" cm="1">
        <f t="array" ref="U589">_xlfn.IFS(
HRData[[#This Row],[JobSatisfaction]]=1,"Very Dissatisfied",
HRData[[#This Row],[JobSatisfaction]]=2,"Dissatisfied",
HRData[[#This Row],[JobSatisfaction]]=3,"Satisfied",
HRData[[#This Row],[JobSatisfaction]]=4,"Very Satisfied"
)</f>
        <v>Satisfied</v>
      </c>
      <c r="V589" t="s">
        <v>48</v>
      </c>
      <c r="W589">
        <v>3149</v>
      </c>
      <c r="X589" t="str" cm="1">
        <f t="array" ref="X589">_xlfn.IFS(
HRData[[#This Row],[MonthlyIncome]]&lt;=4000,"Very Low Income",
HRData[[#This Row],[MonthlyIncome]]&lt;=8000,"Low Income",
HRData[[#This Row],[MonthlyIncome]]&lt;=12000,"Moderate Income",
HRData[[#This Row],[MonthlyIncome]]&lt;=16000,"High Income",
HRData[[#This Row],[MonthlyIncome]]&gt;16000,"Very High Income"
)</f>
        <v>Very Low Income</v>
      </c>
      <c r="Y589">
        <v>21821</v>
      </c>
      <c r="Z589">
        <v>8</v>
      </c>
      <c r="AA589" t="s">
        <v>42</v>
      </c>
      <c r="AB589" t="s">
        <v>43</v>
      </c>
      <c r="AC589">
        <v>20</v>
      </c>
      <c r="AD589" t="str" cm="1">
        <f t="array" ref="AD589">_xlfn.IFS(HRData[[#This Row],[PercentSalaryHike]]&lt;=15,"11-15",HRData[[#This Row],[PercentSalaryHike]]&lt;=20,"16-20",HRData[[#This Row],[PercentSalaryHike]]&gt;=21,"21+")</f>
        <v>16-20</v>
      </c>
      <c r="AE589">
        <v>4</v>
      </c>
      <c r="AF589">
        <v>2</v>
      </c>
      <c r="AG589">
        <v>80</v>
      </c>
      <c r="AH589">
        <v>1</v>
      </c>
      <c r="AI589">
        <v>9</v>
      </c>
      <c r="AJ589">
        <v>3</v>
      </c>
      <c r="AK589">
        <v>3</v>
      </c>
      <c r="AL589">
        <v>5</v>
      </c>
      <c r="AM589">
        <v>2</v>
      </c>
      <c r="AN589">
        <v>1</v>
      </c>
      <c r="AO589">
        <v>4</v>
      </c>
      <c r="AP58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89" t="str">
        <f>IF(HRData[[#This Row],[Attrition]]="Yes","Left", IF(HRData[[#This Row],[Attrition_Risk_Score]]&gt;=6,"High",IF(HRData[[#This Row],[Attrition_Risk_Score]]&gt;=3,"Medium","Low")))</f>
        <v>Medium</v>
      </c>
      <c r="AR589" t="str">
        <f>IF(HRData[[#This Row],[Attrition_Risk_Level]]&lt;&gt;"High","",HRData[[#This Row],[Attrition_Risk_Score]]*10000-HRData[[#This Row],[EmployeeNumber]])</f>
        <v/>
      </c>
    </row>
    <row r="590" spans="1:44">
      <c r="A590">
        <v>50</v>
      </c>
      <c r="B590" t="str" cm="1">
        <f t="array" ref="B590">_xlfn.IFS(
HRData[[#This Row],[Age]]&lt;=24,"18-24",
HRData[[#This Row],[Age]]&lt;=34,"25-34",
HRData[[#This Row],[Age]]&lt;=44,"35-44",
HRData[[#This Row],[Age]]&lt;=54,"45-54",
HRData[[#This Row],[Age]]&gt;=55,"55+"
)</f>
        <v>45-54</v>
      </c>
      <c r="C590" t="s">
        <v>43</v>
      </c>
      <c r="D590">
        <f>IF(HRData[[#This Row],[Attrition]]="Yes",1,0)</f>
        <v>0</v>
      </c>
      <c r="E590" t="s">
        <v>36</v>
      </c>
      <c r="F590">
        <v>691</v>
      </c>
      <c r="G590" t="s">
        <v>45</v>
      </c>
      <c r="H590">
        <v>2</v>
      </c>
      <c r="I590">
        <v>3</v>
      </c>
      <c r="J590" t="s">
        <v>51</v>
      </c>
      <c r="K590">
        <v>1</v>
      </c>
      <c r="L590">
        <v>815</v>
      </c>
      <c r="M590">
        <v>3</v>
      </c>
      <c r="N590" t="str" cm="1">
        <f t="array" ref="N590">_xlfn.IFS(HRData[[#This Row],[EnvironmentSatisfaction]]=1,"Very Dissatisfied",
HRData[[#This Row],[EnvironmentSatisfaction]]=2,"Dissatisfied",
HRData[[#This Row],[EnvironmentSatisfaction]]=3,"Satisfied",
HRData[[#This Row],[EnvironmentSatisfaction]]=4,"Very Satisfied"
)</f>
        <v>Satisfied</v>
      </c>
      <c r="O590" t="s">
        <v>46</v>
      </c>
      <c r="P590">
        <v>64</v>
      </c>
      <c r="Q590">
        <v>3</v>
      </c>
      <c r="R590">
        <v>4</v>
      </c>
      <c r="S590" t="s">
        <v>58</v>
      </c>
      <c r="T590">
        <v>3</v>
      </c>
      <c r="U590" t="str" cm="1">
        <f t="array" ref="U590">_xlfn.IFS(
HRData[[#This Row],[JobSatisfaction]]=1,"Very Dissatisfied",
HRData[[#This Row],[JobSatisfaction]]=2,"Dissatisfied",
HRData[[#This Row],[JobSatisfaction]]=3,"Satisfied",
HRData[[#This Row],[JobSatisfaction]]=4,"Very Satisfied"
)</f>
        <v>Satisfied</v>
      </c>
      <c r="V590" t="s">
        <v>48</v>
      </c>
      <c r="W590">
        <v>17639</v>
      </c>
      <c r="X590" t="str" cm="1">
        <f t="array" ref="X590">_xlfn.IFS(
HRData[[#This Row],[MonthlyIncome]]&lt;=4000,"Very Low Income",
HRData[[#This Row],[MonthlyIncome]]&lt;=8000,"Low Income",
HRData[[#This Row],[MonthlyIncome]]&lt;=12000,"Moderate Income",
HRData[[#This Row],[MonthlyIncome]]&lt;=16000,"High Income",
HRData[[#This Row],[MonthlyIncome]]&gt;16000,"Very High Income"
)</f>
        <v>Very High Income</v>
      </c>
      <c r="Y590">
        <v>6881</v>
      </c>
      <c r="Z590">
        <v>5</v>
      </c>
      <c r="AA590" t="s">
        <v>42</v>
      </c>
      <c r="AB590" t="s">
        <v>43</v>
      </c>
      <c r="AC590">
        <v>16</v>
      </c>
      <c r="AD590" t="str" cm="1">
        <f t="array" ref="AD590">_xlfn.IFS(HRData[[#This Row],[PercentSalaryHike]]&lt;=15,"11-15",HRData[[#This Row],[PercentSalaryHike]]&lt;=20,"16-20",HRData[[#This Row],[PercentSalaryHike]]&gt;=21,"21+")</f>
        <v>16-20</v>
      </c>
      <c r="AE590">
        <v>3</v>
      </c>
      <c r="AF590">
        <v>4</v>
      </c>
      <c r="AG590">
        <v>80</v>
      </c>
      <c r="AH590">
        <v>0</v>
      </c>
      <c r="AI590">
        <v>30</v>
      </c>
      <c r="AJ590">
        <v>3</v>
      </c>
      <c r="AK590">
        <v>3</v>
      </c>
      <c r="AL590">
        <v>4</v>
      </c>
      <c r="AM590">
        <v>3</v>
      </c>
      <c r="AN590">
        <v>0</v>
      </c>
      <c r="AO590">
        <v>3</v>
      </c>
      <c r="AP59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590" t="str">
        <f>IF(HRData[[#This Row],[Attrition]]="Yes","Left", IF(HRData[[#This Row],[Attrition_Risk_Score]]&gt;=6,"High",IF(HRData[[#This Row],[Attrition_Risk_Score]]&gt;=3,"Medium","Low")))</f>
        <v>Low</v>
      </c>
      <c r="AR590" t="str">
        <f>IF(HRData[[#This Row],[Attrition_Risk_Level]]&lt;&gt;"High","",HRData[[#This Row],[Attrition_Risk_Score]]*10000-HRData[[#This Row],[EmployeeNumber]])</f>
        <v/>
      </c>
    </row>
    <row r="591" spans="1:44">
      <c r="A591">
        <v>29</v>
      </c>
      <c r="B591" t="str" cm="1">
        <f t="array" ref="B591">_xlfn.IFS(
HRData[[#This Row],[Age]]&lt;=24,"18-24",
HRData[[#This Row],[Age]]&lt;=34,"25-34",
HRData[[#This Row],[Age]]&lt;=44,"35-44",
HRData[[#This Row],[Age]]&lt;=54,"45-54",
HRData[[#This Row],[Age]]&gt;=55,"55+"
)</f>
        <v>25-34</v>
      </c>
      <c r="C591" t="s">
        <v>35</v>
      </c>
      <c r="D591">
        <f>IF(HRData[[#This Row],[Attrition]]="Yes",1,0)</f>
        <v>1</v>
      </c>
      <c r="E591" t="s">
        <v>36</v>
      </c>
      <c r="F591">
        <v>805</v>
      </c>
      <c r="G591" t="s">
        <v>45</v>
      </c>
      <c r="H591">
        <v>1</v>
      </c>
      <c r="I591">
        <v>2</v>
      </c>
      <c r="J591" t="s">
        <v>38</v>
      </c>
      <c r="K591">
        <v>1</v>
      </c>
      <c r="L591">
        <v>816</v>
      </c>
      <c r="M591">
        <v>2</v>
      </c>
      <c r="N591" t="str" cm="1">
        <f t="array" ref="N591">_xlfn.IFS(HRData[[#This Row],[EnvironmentSatisfaction]]=1,"Very Dissatisfied",
HRData[[#This Row],[EnvironmentSatisfaction]]=2,"Dissatisfied",
HRData[[#This Row],[EnvironmentSatisfaction]]=3,"Satisfied",
HRData[[#This Row],[EnvironmentSatisfaction]]=4,"Very Satisfied"
)</f>
        <v>Dissatisfied</v>
      </c>
      <c r="O591" t="s">
        <v>39</v>
      </c>
      <c r="P591">
        <v>36</v>
      </c>
      <c r="Q591">
        <v>2</v>
      </c>
      <c r="R591">
        <v>1</v>
      </c>
      <c r="S591" t="s">
        <v>50</v>
      </c>
      <c r="T591">
        <v>1</v>
      </c>
      <c r="U591" t="str" cm="1">
        <f t="array" ref="U591">_xlfn.IFS(
HRData[[#This Row],[JobSatisfaction]]=1,"Very Dissatisfied",
HRData[[#This Row],[JobSatisfaction]]=2,"Dissatisfied",
HRData[[#This Row],[JobSatisfaction]]=3,"Satisfied",
HRData[[#This Row],[JobSatisfaction]]=4,"Very Satisfied"
)</f>
        <v>Very Dissatisfied</v>
      </c>
      <c r="V591" t="s">
        <v>48</v>
      </c>
      <c r="W591">
        <v>2319</v>
      </c>
      <c r="X591" t="str" cm="1">
        <f t="array" ref="X591">_xlfn.IFS(
HRData[[#This Row],[MonthlyIncome]]&lt;=4000,"Very Low Income",
HRData[[#This Row],[MonthlyIncome]]&lt;=8000,"Low Income",
HRData[[#This Row],[MonthlyIncome]]&lt;=12000,"Moderate Income",
HRData[[#This Row],[MonthlyIncome]]&lt;=16000,"High Income",
HRData[[#This Row],[MonthlyIncome]]&gt;16000,"Very High Income"
)</f>
        <v>Very Low Income</v>
      </c>
      <c r="Y591">
        <v>6689</v>
      </c>
      <c r="Z591">
        <v>1</v>
      </c>
      <c r="AA591" t="s">
        <v>42</v>
      </c>
      <c r="AB591" t="s">
        <v>35</v>
      </c>
      <c r="AC591">
        <v>11</v>
      </c>
      <c r="AD591" t="str" cm="1">
        <f t="array" ref="AD591">_xlfn.IFS(HRData[[#This Row],[PercentSalaryHike]]&lt;=15,"11-15",HRData[[#This Row],[PercentSalaryHike]]&lt;=20,"16-20",HRData[[#This Row],[PercentSalaryHike]]&gt;=21,"21+")</f>
        <v>11-15</v>
      </c>
      <c r="AE591">
        <v>3</v>
      </c>
      <c r="AF591">
        <v>4</v>
      </c>
      <c r="AG591">
        <v>80</v>
      </c>
      <c r="AH591">
        <v>1</v>
      </c>
      <c r="AI591">
        <v>1</v>
      </c>
      <c r="AJ591">
        <v>1</v>
      </c>
      <c r="AK591">
        <v>3</v>
      </c>
      <c r="AL591">
        <v>1</v>
      </c>
      <c r="AM591">
        <v>0</v>
      </c>
      <c r="AN591">
        <v>0</v>
      </c>
      <c r="AO591">
        <v>0</v>
      </c>
      <c r="AP59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91" t="str">
        <f>IF(HRData[[#This Row],[Attrition]]="Yes","Left", IF(HRData[[#This Row],[Attrition_Risk_Score]]&gt;=6,"High",IF(HRData[[#This Row],[Attrition_Risk_Score]]&gt;=3,"Medium","Low")))</f>
        <v>Left</v>
      </c>
      <c r="AR591" t="str">
        <f>IF(HRData[[#This Row],[Attrition_Risk_Level]]&lt;&gt;"High","",HRData[[#This Row],[Attrition_Risk_Score]]*10000-HRData[[#This Row],[EmployeeNumber]])</f>
        <v/>
      </c>
    </row>
    <row r="592" spans="1:44">
      <c r="A592">
        <v>33</v>
      </c>
      <c r="B592" t="str" cm="1">
        <f t="array" ref="B592">_xlfn.IFS(
HRData[[#This Row],[Age]]&lt;=24,"18-24",
HRData[[#This Row],[Age]]&lt;=34,"25-34",
HRData[[#This Row],[Age]]&lt;=44,"35-44",
HRData[[#This Row],[Age]]&lt;=54,"45-54",
HRData[[#This Row],[Age]]&gt;=55,"55+"
)</f>
        <v>25-34</v>
      </c>
      <c r="C592" t="s">
        <v>43</v>
      </c>
      <c r="D592">
        <f>IF(HRData[[#This Row],[Attrition]]="Yes",1,0)</f>
        <v>0</v>
      </c>
      <c r="E592" t="s">
        <v>36</v>
      </c>
      <c r="F592">
        <v>213</v>
      </c>
      <c r="G592" t="s">
        <v>45</v>
      </c>
      <c r="H592">
        <v>7</v>
      </c>
      <c r="I592">
        <v>3</v>
      </c>
      <c r="J592" t="s">
        <v>51</v>
      </c>
      <c r="K592">
        <v>1</v>
      </c>
      <c r="L592">
        <v>817</v>
      </c>
      <c r="M592">
        <v>3</v>
      </c>
      <c r="N592" t="str" cm="1">
        <f t="array" ref="N592">_xlfn.IFS(HRData[[#This Row],[EnvironmentSatisfaction]]=1,"Very Dissatisfied",
HRData[[#This Row],[EnvironmentSatisfaction]]=2,"Dissatisfied",
HRData[[#This Row],[EnvironmentSatisfaction]]=3,"Satisfied",
HRData[[#This Row],[EnvironmentSatisfaction]]=4,"Very Satisfied"
)</f>
        <v>Satisfied</v>
      </c>
      <c r="O592" t="s">
        <v>46</v>
      </c>
      <c r="P592">
        <v>49</v>
      </c>
      <c r="Q592">
        <v>3</v>
      </c>
      <c r="R592">
        <v>3</v>
      </c>
      <c r="S592" t="s">
        <v>58</v>
      </c>
      <c r="T592">
        <v>3</v>
      </c>
      <c r="U592" t="str" cm="1">
        <f t="array" ref="U592">_xlfn.IFS(
HRData[[#This Row],[JobSatisfaction]]=1,"Very Dissatisfied",
HRData[[#This Row],[JobSatisfaction]]=2,"Dissatisfied",
HRData[[#This Row],[JobSatisfaction]]=3,"Satisfied",
HRData[[#This Row],[JobSatisfaction]]=4,"Very Satisfied"
)</f>
        <v>Satisfied</v>
      </c>
      <c r="V592" t="s">
        <v>48</v>
      </c>
      <c r="W592">
        <v>11691</v>
      </c>
      <c r="X592" t="str" cm="1">
        <f t="array" ref="X592">_xlfn.IFS(
HRData[[#This Row],[MonthlyIncome]]&lt;=4000,"Very Low Income",
HRData[[#This Row],[MonthlyIncome]]&lt;=8000,"Low Income",
HRData[[#This Row],[MonthlyIncome]]&lt;=12000,"Moderate Income",
HRData[[#This Row],[MonthlyIncome]]&lt;=16000,"High Income",
HRData[[#This Row],[MonthlyIncome]]&gt;16000,"Very High Income"
)</f>
        <v>Moderate Income</v>
      </c>
      <c r="Y592">
        <v>25995</v>
      </c>
      <c r="Z592">
        <v>0</v>
      </c>
      <c r="AA592" t="s">
        <v>42</v>
      </c>
      <c r="AB592" t="s">
        <v>43</v>
      </c>
      <c r="AC592">
        <v>11</v>
      </c>
      <c r="AD592" t="str" cm="1">
        <f t="array" ref="AD592">_xlfn.IFS(HRData[[#This Row],[PercentSalaryHike]]&lt;=15,"11-15",HRData[[#This Row],[PercentSalaryHike]]&lt;=20,"16-20",HRData[[#This Row],[PercentSalaryHike]]&gt;=21,"21+")</f>
        <v>11-15</v>
      </c>
      <c r="AE592">
        <v>3</v>
      </c>
      <c r="AF592">
        <v>4</v>
      </c>
      <c r="AG592">
        <v>80</v>
      </c>
      <c r="AH592">
        <v>0</v>
      </c>
      <c r="AI592">
        <v>14</v>
      </c>
      <c r="AJ592">
        <v>3</v>
      </c>
      <c r="AK592">
        <v>4</v>
      </c>
      <c r="AL592">
        <v>13</v>
      </c>
      <c r="AM592">
        <v>9</v>
      </c>
      <c r="AN592">
        <v>3</v>
      </c>
      <c r="AO592">
        <v>7</v>
      </c>
      <c r="AP59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592" t="str">
        <f>IF(HRData[[#This Row],[Attrition]]="Yes","Left", IF(HRData[[#This Row],[Attrition_Risk_Score]]&gt;=6,"High",IF(HRData[[#This Row],[Attrition_Risk_Score]]&gt;=3,"Medium","Low")))</f>
        <v>Low</v>
      </c>
      <c r="AR592" t="str">
        <f>IF(HRData[[#This Row],[Attrition_Risk_Level]]&lt;&gt;"High","",HRData[[#This Row],[Attrition_Risk_Score]]*10000-HRData[[#This Row],[EmployeeNumber]])</f>
        <v/>
      </c>
    </row>
    <row r="593" spans="1:44">
      <c r="A593">
        <v>33</v>
      </c>
      <c r="B593" t="str" cm="1">
        <f t="array" ref="B593">_xlfn.IFS(
HRData[[#This Row],[Age]]&lt;=24,"18-24",
HRData[[#This Row],[Age]]&lt;=34,"25-34",
HRData[[#This Row],[Age]]&lt;=44,"35-44",
HRData[[#This Row],[Age]]&lt;=54,"45-54",
HRData[[#This Row],[Age]]&gt;=55,"55+"
)</f>
        <v>25-34</v>
      </c>
      <c r="C593" t="s">
        <v>35</v>
      </c>
      <c r="D593">
        <f>IF(HRData[[#This Row],[Attrition]]="Yes",1,0)</f>
        <v>1</v>
      </c>
      <c r="E593" t="s">
        <v>36</v>
      </c>
      <c r="F593">
        <v>118</v>
      </c>
      <c r="G593" t="s">
        <v>37</v>
      </c>
      <c r="H593">
        <v>16</v>
      </c>
      <c r="I593">
        <v>3</v>
      </c>
      <c r="J593" t="s">
        <v>59</v>
      </c>
      <c r="K593">
        <v>1</v>
      </c>
      <c r="L593">
        <v>819</v>
      </c>
      <c r="M593">
        <v>1</v>
      </c>
      <c r="N593" t="str" cm="1">
        <f t="array" ref="N593">_xlfn.IFS(HRData[[#This Row],[EnvironmentSatisfaction]]=1,"Very Dissatisfied",
HRData[[#This Row],[EnvironmentSatisfaction]]=2,"Dissatisfied",
HRData[[#This Row],[EnvironmentSatisfaction]]=3,"Satisfied",
HRData[[#This Row],[EnvironmentSatisfaction]]=4,"Very Satisfied"
)</f>
        <v>Very Dissatisfied</v>
      </c>
      <c r="O593" t="s">
        <v>39</v>
      </c>
      <c r="P593">
        <v>69</v>
      </c>
      <c r="Q593">
        <v>3</v>
      </c>
      <c r="R593">
        <v>2</v>
      </c>
      <c r="S593" t="s">
        <v>40</v>
      </c>
      <c r="T593">
        <v>1</v>
      </c>
      <c r="U593" t="str" cm="1">
        <f t="array" ref="U593">_xlfn.IFS(
HRData[[#This Row],[JobSatisfaction]]=1,"Very Dissatisfied",
HRData[[#This Row],[JobSatisfaction]]=2,"Dissatisfied",
HRData[[#This Row],[JobSatisfaction]]=3,"Satisfied",
HRData[[#This Row],[JobSatisfaction]]=4,"Very Satisfied"
)</f>
        <v>Very Dissatisfied</v>
      </c>
      <c r="V593" t="s">
        <v>41</v>
      </c>
      <c r="W593">
        <v>5324</v>
      </c>
      <c r="X593" t="str" cm="1">
        <f t="array" ref="X593">_xlfn.IFS(
HRData[[#This Row],[MonthlyIncome]]&lt;=4000,"Very Low Income",
HRData[[#This Row],[MonthlyIncome]]&lt;=8000,"Low Income",
HRData[[#This Row],[MonthlyIncome]]&lt;=12000,"Moderate Income",
HRData[[#This Row],[MonthlyIncome]]&lt;=16000,"High Income",
HRData[[#This Row],[MonthlyIncome]]&gt;16000,"Very High Income"
)</f>
        <v>Low Income</v>
      </c>
      <c r="Y593">
        <v>26507</v>
      </c>
      <c r="Z593">
        <v>5</v>
      </c>
      <c r="AA593" t="s">
        <v>42</v>
      </c>
      <c r="AB593" t="s">
        <v>43</v>
      </c>
      <c r="AC593">
        <v>15</v>
      </c>
      <c r="AD593" t="str" cm="1">
        <f t="array" ref="AD593">_xlfn.IFS(HRData[[#This Row],[PercentSalaryHike]]&lt;=15,"11-15",HRData[[#This Row],[PercentSalaryHike]]&lt;=20,"16-20",HRData[[#This Row],[PercentSalaryHike]]&gt;=21,"21+")</f>
        <v>11-15</v>
      </c>
      <c r="AE593">
        <v>3</v>
      </c>
      <c r="AF593">
        <v>3</v>
      </c>
      <c r="AG593">
        <v>80</v>
      </c>
      <c r="AH593">
        <v>0</v>
      </c>
      <c r="AI593">
        <v>6</v>
      </c>
      <c r="AJ593">
        <v>3</v>
      </c>
      <c r="AK593">
        <v>3</v>
      </c>
      <c r="AL593">
        <v>3</v>
      </c>
      <c r="AM593">
        <v>2</v>
      </c>
      <c r="AN593">
        <v>0</v>
      </c>
      <c r="AO593">
        <v>2</v>
      </c>
      <c r="AP59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93" t="str">
        <f>IF(HRData[[#This Row],[Attrition]]="Yes","Left", IF(HRData[[#This Row],[Attrition_Risk_Score]]&gt;=6,"High",IF(HRData[[#This Row],[Attrition_Risk_Score]]&gt;=3,"Medium","Low")))</f>
        <v>Left</v>
      </c>
      <c r="AR593" t="str">
        <f>IF(HRData[[#This Row],[Attrition_Risk_Level]]&lt;&gt;"High","",HRData[[#This Row],[Attrition_Risk_Score]]*10000-HRData[[#This Row],[EmployeeNumber]])</f>
        <v/>
      </c>
    </row>
    <row r="594" spans="1:44">
      <c r="A594">
        <v>47</v>
      </c>
      <c r="B594" t="str" cm="1">
        <f t="array" ref="B594">_xlfn.IFS(
HRData[[#This Row],[Age]]&lt;=24,"18-24",
HRData[[#This Row],[Age]]&lt;=34,"25-34",
HRData[[#This Row],[Age]]&lt;=44,"35-44",
HRData[[#This Row],[Age]]&lt;=54,"45-54",
HRData[[#This Row],[Age]]&gt;=55,"55+"
)</f>
        <v>45-54</v>
      </c>
      <c r="C594" t="s">
        <v>43</v>
      </c>
      <c r="D594">
        <f>IF(HRData[[#This Row],[Attrition]]="Yes",1,0)</f>
        <v>0</v>
      </c>
      <c r="E594" t="s">
        <v>36</v>
      </c>
      <c r="F594">
        <v>202</v>
      </c>
      <c r="G594" t="s">
        <v>45</v>
      </c>
      <c r="H594">
        <v>2</v>
      </c>
      <c r="I594">
        <v>2</v>
      </c>
      <c r="J594" t="s">
        <v>49</v>
      </c>
      <c r="K594">
        <v>1</v>
      </c>
      <c r="L594">
        <v>820</v>
      </c>
      <c r="M594">
        <v>3</v>
      </c>
      <c r="N594" t="str" cm="1">
        <f t="array" ref="N594">_xlfn.IFS(HRData[[#This Row],[EnvironmentSatisfaction]]=1,"Very Dissatisfied",
HRData[[#This Row],[EnvironmentSatisfaction]]=2,"Dissatisfied",
HRData[[#This Row],[EnvironmentSatisfaction]]=3,"Satisfied",
HRData[[#This Row],[EnvironmentSatisfaction]]=4,"Very Satisfied"
)</f>
        <v>Satisfied</v>
      </c>
      <c r="O594" t="s">
        <v>39</v>
      </c>
      <c r="P594">
        <v>33</v>
      </c>
      <c r="Q594">
        <v>3</v>
      </c>
      <c r="R594">
        <v>4</v>
      </c>
      <c r="S594" t="s">
        <v>56</v>
      </c>
      <c r="T594">
        <v>4</v>
      </c>
      <c r="U594" t="str" cm="1">
        <f t="array" ref="U594">_xlfn.IFS(
HRData[[#This Row],[JobSatisfaction]]=1,"Very Dissatisfied",
HRData[[#This Row],[JobSatisfaction]]=2,"Dissatisfied",
HRData[[#This Row],[JobSatisfaction]]=3,"Satisfied",
HRData[[#This Row],[JobSatisfaction]]=4,"Very Satisfied"
)</f>
        <v>Very Satisfied</v>
      </c>
      <c r="V594" t="s">
        <v>48</v>
      </c>
      <c r="W594">
        <v>16752</v>
      </c>
      <c r="X594" t="str" cm="1">
        <f t="array" ref="X594">_xlfn.IFS(
HRData[[#This Row],[MonthlyIncome]]&lt;=4000,"Very Low Income",
HRData[[#This Row],[MonthlyIncome]]&lt;=8000,"Low Income",
HRData[[#This Row],[MonthlyIncome]]&lt;=12000,"Moderate Income",
HRData[[#This Row],[MonthlyIncome]]&lt;=16000,"High Income",
HRData[[#This Row],[MonthlyIncome]]&gt;16000,"Very High Income"
)</f>
        <v>Very High Income</v>
      </c>
      <c r="Y594">
        <v>12982</v>
      </c>
      <c r="Z594">
        <v>1</v>
      </c>
      <c r="AA594" t="s">
        <v>42</v>
      </c>
      <c r="AB594" t="s">
        <v>35</v>
      </c>
      <c r="AC594">
        <v>11</v>
      </c>
      <c r="AD594" t="str" cm="1">
        <f t="array" ref="AD594">_xlfn.IFS(HRData[[#This Row],[PercentSalaryHike]]&lt;=15,"11-15",HRData[[#This Row],[PercentSalaryHike]]&lt;=20,"16-20",HRData[[#This Row],[PercentSalaryHike]]&gt;=21,"21+")</f>
        <v>11-15</v>
      </c>
      <c r="AE594">
        <v>3</v>
      </c>
      <c r="AF594">
        <v>3</v>
      </c>
      <c r="AG594">
        <v>80</v>
      </c>
      <c r="AH594">
        <v>1</v>
      </c>
      <c r="AI594">
        <v>26</v>
      </c>
      <c r="AJ594">
        <v>3</v>
      </c>
      <c r="AK594">
        <v>2</v>
      </c>
      <c r="AL594">
        <v>26</v>
      </c>
      <c r="AM594">
        <v>14</v>
      </c>
      <c r="AN594">
        <v>3</v>
      </c>
      <c r="AO594">
        <v>0</v>
      </c>
      <c r="AP59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94" t="str">
        <f>IF(HRData[[#This Row],[Attrition]]="Yes","Left", IF(HRData[[#This Row],[Attrition_Risk_Score]]&gt;=6,"High",IF(HRData[[#This Row],[Attrition_Risk_Score]]&gt;=3,"Medium","Low")))</f>
        <v>Low</v>
      </c>
      <c r="AR594" t="str">
        <f>IF(HRData[[#This Row],[Attrition_Risk_Level]]&lt;&gt;"High","",HRData[[#This Row],[Attrition_Risk_Score]]*10000-HRData[[#This Row],[EmployeeNumber]])</f>
        <v/>
      </c>
    </row>
    <row r="595" spans="1:44">
      <c r="A595">
        <v>36</v>
      </c>
      <c r="B595" t="str" cm="1">
        <f t="array" ref="B595">_xlfn.IFS(
HRData[[#This Row],[Age]]&lt;=24,"18-24",
HRData[[#This Row],[Age]]&lt;=34,"25-34",
HRData[[#This Row],[Age]]&lt;=44,"35-44",
HRData[[#This Row],[Age]]&lt;=54,"45-54",
HRData[[#This Row],[Age]]&gt;=55,"55+"
)</f>
        <v>35-44</v>
      </c>
      <c r="C595" t="s">
        <v>43</v>
      </c>
      <c r="D595">
        <f>IF(HRData[[#This Row],[Attrition]]="Yes",1,0)</f>
        <v>0</v>
      </c>
      <c r="E595" t="s">
        <v>36</v>
      </c>
      <c r="F595">
        <v>676</v>
      </c>
      <c r="G595" t="s">
        <v>45</v>
      </c>
      <c r="H595">
        <v>1</v>
      </c>
      <c r="I595">
        <v>3</v>
      </c>
      <c r="J595" t="s">
        <v>49</v>
      </c>
      <c r="K595">
        <v>1</v>
      </c>
      <c r="L595">
        <v>823</v>
      </c>
      <c r="M595">
        <v>3</v>
      </c>
      <c r="N595" t="str" cm="1">
        <f t="array" ref="N595">_xlfn.IFS(HRData[[#This Row],[EnvironmentSatisfaction]]=1,"Very Dissatisfied",
HRData[[#This Row],[EnvironmentSatisfaction]]=2,"Dissatisfied",
HRData[[#This Row],[EnvironmentSatisfaction]]=3,"Satisfied",
HRData[[#This Row],[EnvironmentSatisfaction]]=4,"Very Satisfied"
)</f>
        <v>Satisfied</v>
      </c>
      <c r="O595" t="s">
        <v>39</v>
      </c>
      <c r="P595">
        <v>35</v>
      </c>
      <c r="Q595">
        <v>3</v>
      </c>
      <c r="R595">
        <v>2</v>
      </c>
      <c r="S595" t="s">
        <v>53</v>
      </c>
      <c r="T595">
        <v>2</v>
      </c>
      <c r="U595" t="str" cm="1">
        <f t="array" ref="U595">_xlfn.IFS(
HRData[[#This Row],[JobSatisfaction]]=1,"Very Dissatisfied",
HRData[[#This Row],[JobSatisfaction]]=2,"Dissatisfied",
HRData[[#This Row],[JobSatisfaction]]=3,"Satisfied",
HRData[[#This Row],[JobSatisfaction]]=4,"Very Satisfied"
)</f>
        <v>Dissatisfied</v>
      </c>
      <c r="V595" t="s">
        <v>48</v>
      </c>
      <c r="W595">
        <v>5228</v>
      </c>
      <c r="X595" t="str" cm="1">
        <f t="array" ref="X595">_xlfn.IFS(
HRData[[#This Row],[MonthlyIncome]]&lt;=4000,"Very Low Income",
HRData[[#This Row],[MonthlyIncome]]&lt;=8000,"Low Income",
HRData[[#This Row],[MonthlyIncome]]&lt;=12000,"Moderate Income",
HRData[[#This Row],[MonthlyIncome]]&lt;=16000,"High Income",
HRData[[#This Row],[MonthlyIncome]]&gt;16000,"Very High Income"
)</f>
        <v>Low Income</v>
      </c>
      <c r="Y595">
        <v>23361</v>
      </c>
      <c r="Z595">
        <v>0</v>
      </c>
      <c r="AA595" t="s">
        <v>42</v>
      </c>
      <c r="AB595" t="s">
        <v>43</v>
      </c>
      <c r="AC595">
        <v>15</v>
      </c>
      <c r="AD595" t="str" cm="1">
        <f t="array" ref="AD595">_xlfn.IFS(HRData[[#This Row],[PercentSalaryHike]]&lt;=15,"11-15",HRData[[#This Row],[PercentSalaryHike]]&lt;=20,"16-20",HRData[[#This Row],[PercentSalaryHike]]&gt;=21,"21+")</f>
        <v>11-15</v>
      </c>
      <c r="AE595">
        <v>3</v>
      </c>
      <c r="AF595">
        <v>1</v>
      </c>
      <c r="AG595">
        <v>80</v>
      </c>
      <c r="AH595">
        <v>1</v>
      </c>
      <c r="AI595">
        <v>10</v>
      </c>
      <c r="AJ595">
        <v>2</v>
      </c>
      <c r="AK595">
        <v>3</v>
      </c>
      <c r="AL595">
        <v>9</v>
      </c>
      <c r="AM595">
        <v>7</v>
      </c>
      <c r="AN595">
        <v>0</v>
      </c>
      <c r="AO595">
        <v>5</v>
      </c>
      <c r="AP59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595" t="str">
        <f>IF(HRData[[#This Row],[Attrition]]="Yes","Left", IF(HRData[[#This Row],[Attrition_Risk_Score]]&gt;=6,"High",IF(HRData[[#This Row],[Attrition_Risk_Score]]&gt;=3,"Medium","Low")))</f>
        <v>Low</v>
      </c>
      <c r="AR595" t="str">
        <f>IF(HRData[[#This Row],[Attrition_Risk_Level]]&lt;&gt;"High","",HRData[[#This Row],[Attrition_Risk_Score]]*10000-HRData[[#This Row],[EmployeeNumber]])</f>
        <v/>
      </c>
    </row>
    <row r="596" spans="1:44">
      <c r="A596">
        <v>29</v>
      </c>
      <c r="B596" t="str" cm="1">
        <f t="array" ref="B596">_xlfn.IFS(
HRData[[#This Row],[Age]]&lt;=24,"18-24",
HRData[[#This Row],[Age]]&lt;=34,"25-34",
HRData[[#This Row],[Age]]&lt;=44,"35-44",
HRData[[#This Row],[Age]]&lt;=54,"45-54",
HRData[[#This Row],[Age]]&gt;=55,"55+"
)</f>
        <v>25-34</v>
      </c>
      <c r="C596" t="s">
        <v>43</v>
      </c>
      <c r="D596">
        <f>IF(HRData[[#This Row],[Attrition]]="Yes",1,0)</f>
        <v>0</v>
      </c>
      <c r="E596" t="s">
        <v>36</v>
      </c>
      <c r="F596">
        <v>1252</v>
      </c>
      <c r="G596" t="s">
        <v>45</v>
      </c>
      <c r="H596">
        <v>23</v>
      </c>
      <c r="I596">
        <v>2</v>
      </c>
      <c r="J596" t="s">
        <v>38</v>
      </c>
      <c r="K596">
        <v>1</v>
      </c>
      <c r="L596">
        <v>824</v>
      </c>
      <c r="M596">
        <v>3</v>
      </c>
      <c r="N596" t="str" cm="1">
        <f t="array" ref="N596">_xlfn.IFS(HRData[[#This Row],[EnvironmentSatisfaction]]=1,"Very Dissatisfied",
HRData[[#This Row],[EnvironmentSatisfaction]]=2,"Dissatisfied",
HRData[[#This Row],[EnvironmentSatisfaction]]=3,"Satisfied",
HRData[[#This Row],[EnvironmentSatisfaction]]=4,"Very Satisfied"
)</f>
        <v>Satisfied</v>
      </c>
      <c r="O596" t="s">
        <v>46</v>
      </c>
      <c r="P596">
        <v>81</v>
      </c>
      <c r="Q596">
        <v>4</v>
      </c>
      <c r="R596">
        <v>1</v>
      </c>
      <c r="S596" t="s">
        <v>47</v>
      </c>
      <c r="T596">
        <v>3</v>
      </c>
      <c r="U596" t="str" cm="1">
        <f t="array" ref="U596">_xlfn.IFS(
HRData[[#This Row],[JobSatisfaction]]=1,"Very Dissatisfied",
HRData[[#This Row],[JobSatisfaction]]=2,"Dissatisfied",
HRData[[#This Row],[JobSatisfaction]]=3,"Satisfied",
HRData[[#This Row],[JobSatisfaction]]=4,"Very Satisfied"
)</f>
        <v>Satisfied</v>
      </c>
      <c r="V596" t="s">
        <v>48</v>
      </c>
      <c r="W596">
        <v>2700</v>
      </c>
      <c r="X596" t="str" cm="1">
        <f t="array" ref="X596">_xlfn.IFS(
HRData[[#This Row],[MonthlyIncome]]&lt;=4000,"Very Low Income",
HRData[[#This Row],[MonthlyIncome]]&lt;=8000,"Low Income",
HRData[[#This Row],[MonthlyIncome]]&lt;=12000,"Moderate Income",
HRData[[#This Row],[MonthlyIncome]]&lt;=16000,"High Income",
HRData[[#This Row],[MonthlyIncome]]&gt;16000,"Very High Income"
)</f>
        <v>Very Low Income</v>
      </c>
      <c r="Y596">
        <v>23779</v>
      </c>
      <c r="Z596">
        <v>1</v>
      </c>
      <c r="AA596" t="s">
        <v>42</v>
      </c>
      <c r="AB596" t="s">
        <v>43</v>
      </c>
      <c r="AC596">
        <v>24</v>
      </c>
      <c r="AD596" t="str" cm="1">
        <f t="array" ref="AD596">_xlfn.IFS(HRData[[#This Row],[PercentSalaryHike]]&lt;=15,"11-15",HRData[[#This Row],[PercentSalaryHike]]&lt;=20,"16-20",HRData[[#This Row],[PercentSalaryHike]]&gt;=21,"21+")</f>
        <v>21+</v>
      </c>
      <c r="AE596">
        <v>4</v>
      </c>
      <c r="AF596">
        <v>3</v>
      </c>
      <c r="AG596">
        <v>80</v>
      </c>
      <c r="AH596">
        <v>1</v>
      </c>
      <c r="AI596">
        <v>10</v>
      </c>
      <c r="AJ596">
        <v>3</v>
      </c>
      <c r="AK596">
        <v>3</v>
      </c>
      <c r="AL596">
        <v>10</v>
      </c>
      <c r="AM596">
        <v>7</v>
      </c>
      <c r="AN596">
        <v>0</v>
      </c>
      <c r="AO596">
        <v>7</v>
      </c>
      <c r="AP59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96" t="str">
        <f>IF(HRData[[#This Row],[Attrition]]="Yes","Left", IF(HRData[[#This Row],[Attrition_Risk_Score]]&gt;=6,"High",IF(HRData[[#This Row],[Attrition_Risk_Score]]&gt;=3,"Medium","Low")))</f>
        <v>Medium</v>
      </c>
      <c r="AR596" t="str">
        <f>IF(HRData[[#This Row],[Attrition_Risk_Level]]&lt;&gt;"High","",HRData[[#This Row],[Attrition_Risk_Score]]*10000-HRData[[#This Row],[EmployeeNumber]])</f>
        <v/>
      </c>
    </row>
    <row r="597" spans="1:44">
      <c r="A597">
        <v>58</v>
      </c>
      <c r="B597" t="str" cm="1">
        <f t="array" ref="B597">_xlfn.IFS(
HRData[[#This Row],[Age]]&lt;=24,"18-24",
HRData[[#This Row],[Age]]&lt;=34,"25-34",
HRData[[#This Row],[Age]]&lt;=44,"35-44",
HRData[[#This Row],[Age]]&lt;=54,"45-54",
HRData[[#This Row],[Age]]&gt;=55,"55+"
)</f>
        <v>55+</v>
      </c>
      <c r="C597" t="s">
        <v>35</v>
      </c>
      <c r="D597">
        <f>IF(HRData[[#This Row],[Attrition]]="Yes",1,0)</f>
        <v>1</v>
      </c>
      <c r="E597" t="s">
        <v>36</v>
      </c>
      <c r="F597">
        <v>286</v>
      </c>
      <c r="G597" t="s">
        <v>45</v>
      </c>
      <c r="H597">
        <v>2</v>
      </c>
      <c r="I597">
        <v>4</v>
      </c>
      <c r="J597" t="s">
        <v>38</v>
      </c>
      <c r="K597">
        <v>1</v>
      </c>
      <c r="L597">
        <v>825</v>
      </c>
      <c r="M597">
        <v>4</v>
      </c>
      <c r="N597" t="str" cm="1">
        <f t="array" ref="N597">_xlfn.IFS(HRData[[#This Row],[EnvironmentSatisfaction]]=1,"Very Dissatisfied",
HRData[[#This Row],[EnvironmentSatisfaction]]=2,"Dissatisfied",
HRData[[#This Row],[EnvironmentSatisfaction]]=3,"Satisfied",
HRData[[#This Row],[EnvironmentSatisfaction]]=4,"Very Satisfied"
)</f>
        <v>Very Satisfied</v>
      </c>
      <c r="O597" t="s">
        <v>46</v>
      </c>
      <c r="P597">
        <v>31</v>
      </c>
      <c r="Q597">
        <v>3</v>
      </c>
      <c r="R597">
        <v>5</v>
      </c>
      <c r="S597" t="s">
        <v>58</v>
      </c>
      <c r="T597">
        <v>2</v>
      </c>
      <c r="U597" t="str" cm="1">
        <f t="array" ref="U597">_xlfn.IFS(
HRData[[#This Row],[JobSatisfaction]]=1,"Very Dissatisfied",
HRData[[#This Row],[JobSatisfaction]]=2,"Dissatisfied",
HRData[[#This Row],[JobSatisfaction]]=3,"Satisfied",
HRData[[#This Row],[JobSatisfaction]]=4,"Very Satisfied"
)</f>
        <v>Dissatisfied</v>
      </c>
      <c r="V597" t="s">
        <v>41</v>
      </c>
      <c r="W597">
        <v>19246</v>
      </c>
      <c r="X597" t="str" cm="1">
        <f t="array" ref="X597">_xlfn.IFS(
HRData[[#This Row],[MonthlyIncome]]&lt;=4000,"Very Low Income",
HRData[[#This Row],[MonthlyIncome]]&lt;=8000,"Low Income",
HRData[[#This Row],[MonthlyIncome]]&lt;=12000,"Moderate Income",
HRData[[#This Row],[MonthlyIncome]]&lt;=16000,"High Income",
HRData[[#This Row],[MonthlyIncome]]&gt;16000,"Very High Income"
)</f>
        <v>Very High Income</v>
      </c>
      <c r="Y597">
        <v>25761</v>
      </c>
      <c r="Z597">
        <v>7</v>
      </c>
      <c r="AA597" t="s">
        <v>42</v>
      </c>
      <c r="AB597" t="s">
        <v>35</v>
      </c>
      <c r="AC597">
        <v>12</v>
      </c>
      <c r="AD597" t="str" cm="1">
        <f t="array" ref="AD597">_xlfn.IFS(HRData[[#This Row],[PercentSalaryHike]]&lt;=15,"11-15",HRData[[#This Row],[PercentSalaryHike]]&lt;=20,"16-20",HRData[[#This Row],[PercentSalaryHike]]&gt;=21,"21+")</f>
        <v>11-15</v>
      </c>
      <c r="AE597">
        <v>3</v>
      </c>
      <c r="AF597">
        <v>4</v>
      </c>
      <c r="AG597">
        <v>80</v>
      </c>
      <c r="AH597">
        <v>0</v>
      </c>
      <c r="AI597">
        <v>40</v>
      </c>
      <c r="AJ597">
        <v>2</v>
      </c>
      <c r="AK597">
        <v>3</v>
      </c>
      <c r="AL597">
        <v>31</v>
      </c>
      <c r="AM597">
        <v>15</v>
      </c>
      <c r="AN597">
        <v>13</v>
      </c>
      <c r="AO597">
        <v>8</v>
      </c>
      <c r="AP59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97" t="str">
        <f>IF(HRData[[#This Row],[Attrition]]="Yes","Left", IF(HRData[[#This Row],[Attrition_Risk_Score]]&gt;=6,"High",IF(HRData[[#This Row],[Attrition_Risk_Score]]&gt;=3,"Medium","Low")))</f>
        <v>Left</v>
      </c>
      <c r="AR597" t="str">
        <f>IF(HRData[[#This Row],[Attrition_Risk_Level]]&lt;&gt;"High","",HRData[[#This Row],[Attrition_Risk_Score]]*10000-HRData[[#This Row],[EmployeeNumber]])</f>
        <v/>
      </c>
    </row>
    <row r="598" spans="1:44">
      <c r="A598">
        <v>35</v>
      </c>
      <c r="B598" t="str" cm="1">
        <f t="array" ref="B598">_xlfn.IFS(
HRData[[#This Row],[Age]]&lt;=24,"18-24",
HRData[[#This Row],[Age]]&lt;=34,"25-34",
HRData[[#This Row],[Age]]&lt;=44,"35-44",
HRData[[#This Row],[Age]]&lt;=54,"45-54",
HRData[[#This Row],[Age]]&gt;=55,"55+"
)</f>
        <v>35-44</v>
      </c>
      <c r="C598" t="s">
        <v>43</v>
      </c>
      <c r="D598">
        <f>IF(HRData[[#This Row],[Attrition]]="Yes",1,0)</f>
        <v>0</v>
      </c>
      <c r="E598" t="s">
        <v>36</v>
      </c>
      <c r="F598">
        <v>1258</v>
      </c>
      <c r="G598" t="s">
        <v>45</v>
      </c>
      <c r="H598">
        <v>1</v>
      </c>
      <c r="I598">
        <v>4</v>
      </c>
      <c r="J598" t="s">
        <v>38</v>
      </c>
      <c r="K598">
        <v>1</v>
      </c>
      <c r="L598">
        <v>826</v>
      </c>
      <c r="M598">
        <v>4</v>
      </c>
      <c r="N598" t="str" cm="1">
        <f t="array" ref="N598">_xlfn.IFS(HRData[[#This Row],[EnvironmentSatisfaction]]=1,"Very Dissatisfied",
HRData[[#This Row],[EnvironmentSatisfaction]]=2,"Dissatisfied",
HRData[[#This Row],[EnvironmentSatisfaction]]=3,"Satisfied",
HRData[[#This Row],[EnvironmentSatisfaction]]=4,"Very Satisfied"
)</f>
        <v>Very Satisfied</v>
      </c>
      <c r="O598" t="s">
        <v>39</v>
      </c>
      <c r="P598">
        <v>40</v>
      </c>
      <c r="Q598">
        <v>4</v>
      </c>
      <c r="R598">
        <v>1</v>
      </c>
      <c r="S598" t="s">
        <v>47</v>
      </c>
      <c r="T598">
        <v>3</v>
      </c>
      <c r="U598" t="str" cm="1">
        <f t="array" ref="U598">_xlfn.IFS(
HRData[[#This Row],[JobSatisfaction]]=1,"Very Dissatisfied",
HRData[[#This Row],[JobSatisfaction]]=2,"Dissatisfied",
HRData[[#This Row],[JobSatisfaction]]=3,"Satisfied",
HRData[[#This Row],[JobSatisfaction]]=4,"Very Satisfied"
)</f>
        <v>Satisfied</v>
      </c>
      <c r="V598" t="s">
        <v>41</v>
      </c>
      <c r="W598">
        <v>2506</v>
      </c>
      <c r="X598" t="str" cm="1">
        <f t="array" ref="X598">_xlfn.IFS(
HRData[[#This Row],[MonthlyIncome]]&lt;=4000,"Very Low Income",
HRData[[#This Row],[MonthlyIncome]]&lt;=8000,"Low Income",
HRData[[#This Row],[MonthlyIncome]]&lt;=12000,"Moderate Income",
HRData[[#This Row],[MonthlyIncome]]&lt;=16000,"High Income",
HRData[[#This Row],[MonthlyIncome]]&gt;16000,"Very High Income"
)</f>
        <v>Very Low Income</v>
      </c>
      <c r="Y598">
        <v>13301</v>
      </c>
      <c r="Z598">
        <v>3</v>
      </c>
      <c r="AA598" t="s">
        <v>42</v>
      </c>
      <c r="AB598" t="s">
        <v>43</v>
      </c>
      <c r="AC598">
        <v>13</v>
      </c>
      <c r="AD598" t="str" cm="1">
        <f t="array" ref="AD598">_xlfn.IFS(HRData[[#This Row],[PercentSalaryHike]]&lt;=15,"11-15",HRData[[#This Row],[PercentSalaryHike]]&lt;=20,"16-20",HRData[[#This Row],[PercentSalaryHike]]&gt;=21,"21+")</f>
        <v>11-15</v>
      </c>
      <c r="AE598">
        <v>3</v>
      </c>
      <c r="AF598">
        <v>3</v>
      </c>
      <c r="AG598">
        <v>80</v>
      </c>
      <c r="AH598">
        <v>0</v>
      </c>
      <c r="AI598">
        <v>7</v>
      </c>
      <c r="AJ598">
        <v>0</v>
      </c>
      <c r="AK598">
        <v>3</v>
      </c>
      <c r="AL598">
        <v>2</v>
      </c>
      <c r="AM598">
        <v>2</v>
      </c>
      <c r="AN598">
        <v>2</v>
      </c>
      <c r="AO598">
        <v>2</v>
      </c>
      <c r="AP59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98" t="str">
        <f>IF(HRData[[#This Row],[Attrition]]="Yes","Left", IF(HRData[[#This Row],[Attrition_Risk_Score]]&gt;=6,"High",IF(HRData[[#This Row],[Attrition_Risk_Score]]&gt;=3,"Medium","Low")))</f>
        <v>Low</v>
      </c>
      <c r="AR598" t="str">
        <f>IF(HRData[[#This Row],[Attrition_Risk_Level]]&lt;&gt;"High","",HRData[[#This Row],[Attrition_Risk_Score]]*10000-HRData[[#This Row],[EmployeeNumber]])</f>
        <v/>
      </c>
    </row>
    <row r="599" spans="1:44">
      <c r="A599">
        <v>42</v>
      </c>
      <c r="B599" t="str" cm="1">
        <f t="array" ref="B599">_xlfn.IFS(
HRData[[#This Row],[Age]]&lt;=24,"18-24",
HRData[[#This Row],[Age]]&lt;=34,"25-34",
HRData[[#This Row],[Age]]&lt;=44,"35-44",
HRData[[#This Row],[Age]]&lt;=54,"45-54",
HRData[[#This Row],[Age]]&gt;=55,"55+"
)</f>
        <v>35-44</v>
      </c>
      <c r="C599" t="s">
        <v>43</v>
      </c>
      <c r="D599">
        <f>IF(HRData[[#This Row],[Attrition]]="Yes",1,0)</f>
        <v>0</v>
      </c>
      <c r="E599" t="s">
        <v>36</v>
      </c>
      <c r="F599">
        <v>932</v>
      </c>
      <c r="G599" t="s">
        <v>45</v>
      </c>
      <c r="H599">
        <v>1</v>
      </c>
      <c r="I599">
        <v>2</v>
      </c>
      <c r="J599" t="s">
        <v>38</v>
      </c>
      <c r="K599">
        <v>1</v>
      </c>
      <c r="L599">
        <v>827</v>
      </c>
      <c r="M599">
        <v>4</v>
      </c>
      <c r="N599" t="str" cm="1">
        <f t="array" ref="N599">_xlfn.IFS(HRData[[#This Row],[EnvironmentSatisfaction]]=1,"Very Dissatisfied",
HRData[[#This Row],[EnvironmentSatisfaction]]=2,"Dissatisfied",
HRData[[#This Row],[EnvironmentSatisfaction]]=3,"Satisfied",
HRData[[#This Row],[EnvironmentSatisfaction]]=4,"Very Satisfied"
)</f>
        <v>Very Satisfied</v>
      </c>
      <c r="O599" t="s">
        <v>39</v>
      </c>
      <c r="P599">
        <v>43</v>
      </c>
      <c r="Q599">
        <v>2</v>
      </c>
      <c r="R599">
        <v>2</v>
      </c>
      <c r="S599" t="s">
        <v>53</v>
      </c>
      <c r="T599">
        <v>4</v>
      </c>
      <c r="U599" t="str" cm="1">
        <f t="array" ref="U599">_xlfn.IFS(
HRData[[#This Row],[JobSatisfaction]]=1,"Very Dissatisfied",
HRData[[#This Row],[JobSatisfaction]]=2,"Dissatisfied",
HRData[[#This Row],[JobSatisfaction]]=3,"Satisfied",
HRData[[#This Row],[JobSatisfaction]]=4,"Very Satisfied"
)</f>
        <v>Very Satisfied</v>
      </c>
      <c r="V599" t="s">
        <v>48</v>
      </c>
      <c r="W599">
        <v>6062</v>
      </c>
      <c r="X599" t="str" cm="1">
        <f t="array" ref="X599">_xlfn.IFS(
HRData[[#This Row],[MonthlyIncome]]&lt;=4000,"Very Low Income",
HRData[[#This Row],[MonthlyIncome]]&lt;=8000,"Low Income",
HRData[[#This Row],[MonthlyIncome]]&lt;=12000,"Moderate Income",
HRData[[#This Row],[MonthlyIncome]]&lt;=16000,"High Income",
HRData[[#This Row],[MonthlyIncome]]&gt;16000,"Very High Income"
)</f>
        <v>Low Income</v>
      </c>
      <c r="Y599">
        <v>4051</v>
      </c>
      <c r="Z599">
        <v>9</v>
      </c>
      <c r="AA599" t="s">
        <v>42</v>
      </c>
      <c r="AB599" t="s">
        <v>35</v>
      </c>
      <c r="AC599">
        <v>13</v>
      </c>
      <c r="AD599" t="str" cm="1">
        <f t="array" ref="AD599">_xlfn.IFS(HRData[[#This Row],[PercentSalaryHike]]&lt;=15,"11-15",HRData[[#This Row],[PercentSalaryHike]]&lt;=20,"16-20",HRData[[#This Row],[PercentSalaryHike]]&gt;=21,"21+")</f>
        <v>11-15</v>
      </c>
      <c r="AE599">
        <v>3</v>
      </c>
      <c r="AF599">
        <v>4</v>
      </c>
      <c r="AG599">
        <v>80</v>
      </c>
      <c r="AH599">
        <v>1</v>
      </c>
      <c r="AI599">
        <v>8</v>
      </c>
      <c r="AJ599">
        <v>4</v>
      </c>
      <c r="AK599">
        <v>3</v>
      </c>
      <c r="AL599">
        <v>4</v>
      </c>
      <c r="AM599">
        <v>3</v>
      </c>
      <c r="AN599">
        <v>0</v>
      </c>
      <c r="AO599">
        <v>2</v>
      </c>
      <c r="AP59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99" t="str">
        <f>IF(HRData[[#This Row],[Attrition]]="Yes","Left", IF(HRData[[#This Row],[Attrition_Risk_Score]]&gt;=6,"High",IF(HRData[[#This Row],[Attrition_Risk_Score]]&gt;=3,"Medium","Low")))</f>
        <v>Medium</v>
      </c>
      <c r="AR599" t="str">
        <f>IF(HRData[[#This Row],[Attrition_Risk_Level]]&lt;&gt;"High","",HRData[[#This Row],[Attrition_Risk_Score]]*10000-HRData[[#This Row],[EmployeeNumber]])</f>
        <v/>
      </c>
    </row>
    <row r="600" spans="1:44">
      <c r="A600">
        <v>28</v>
      </c>
      <c r="B600" t="str" cm="1">
        <f t="array" ref="B600">_xlfn.IFS(
HRData[[#This Row],[Age]]&lt;=24,"18-24",
HRData[[#This Row],[Age]]&lt;=34,"25-34",
HRData[[#This Row],[Age]]&lt;=44,"35-44",
HRData[[#This Row],[Age]]&lt;=54,"45-54",
HRData[[#This Row],[Age]]&gt;=55,"55+"
)</f>
        <v>25-34</v>
      </c>
      <c r="C600" t="s">
        <v>35</v>
      </c>
      <c r="D600">
        <f>IF(HRData[[#This Row],[Attrition]]="Yes",1,0)</f>
        <v>1</v>
      </c>
      <c r="E600" t="s">
        <v>36</v>
      </c>
      <c r="F600">
        <v>890</v>
      </c>
      <c r="G600" t="s">
        <v>45</v>
      </c>
      <c r="H600">
        <v>2</v>
      </c>
      <c r="I600">
        <v>4</v>
      </c>
      <c r="J600" t="s">
        <v>51</v>
      </c>
      <c r="K600">
        <v>1</v>
      </c>
      <c r="L600">
        <v>828</v>
      </c>
      <c r="M600">
        <v>3</v>
      </c>
      <c r="N600" t="str" cm="1">
        <f t="array" ref="N600">_xlfn.IFS(HRData[[#This Row],[EnvironmentSatisfaction]]=1,"Very Dissatisfied",
HRData[[#This Row],[EnvironmentSatisfaction]]=2,"Dissatisfied",
HRData[[#This Row],[EnvironmentSatisfaction]]=3,"Satisfied",
HRData[[#This Row],[EnvironmentSatisfaction]]=4,"Very Satisfied"
)</f>
        <v>Satisfied</v>
      </c>
      <c r="O600" t="s">
        <v>46</v>
      </c>
      <c r="P600">
        <v>46</v>
      </c>
      <c r="Q600">
        <v>3</v>
      </c>
      <c r="R600">
        <v>1</v>
      </c>
      <c r="S600" t="s">
        <v>47</v>
      </c>
      <c r="T600">
        <v>3</v>
      </c>
      <c r="U600" t="str" cm="1">
        <f t="array" ref="U600">_xlfn.IFS(
HRData[[#This Row],[JobSatisfaction]]=1,"Very Dissatisfied",
HRData[[#This Row],[JobSatisfaction]]=2,"Dissatisfied",
HRData[[#This Row],[JobSatisfaction]]=3,"Satisfied",
HRData[[#This Row],[JobSatisfaction]]=4,"Very Satisfied"
)</f>
        <v>Satisfied</v>
      </c>
      <c r="V600" t="s">
        <v>41</v>
      </c>
      <c r="W600">
        <v>4382</v>
      </c>
      <c r="X600" t="str" cm="1">
        <f t="array" ref="X600">_xlfn.IFS(
HRData[[#This Row],[MonthlyIncome]]&lt;=4000,"Very Low Income",
HRData[[#This Row],[MonthlyIncome]]&lt;=8000,"Low Income",
HRData[[#This Row],[MonthlyIncome]]&lt;=12000,"Moderate Income",
HRData[[#This Row],[MonthlyIncome]]&lt;=16000,"High Income",
HRData[[#This Row],[MonthlyIncome]]&gt;16000,"Very High Income"
)</f>
        <v>Low Income</v>
      </c>
      <c r="Y600">
        <v>16374</v>
      </c>
      <c r="Z600">
        <v>6</v>
      </c>
      <c r="AA600" t="s">
        <v>42</v>
      </c>
      <c r="AB600" t="s">
        <v>43</v>
      </c>
      <c r="AC600">
        <v>17</v>
      </c>
      <c r="AD600" t="str" cm="1">
        <f t="array" ref="AD600">_xlfn.IFS(HRData[[#This Row],[PercentSalaryHike]]&lt;=15,"11-15",HRData[[#This Row],[PercentSalaryHike]]&lt;=20,"16-20",HRData[[#This Row],[PercentSalaryHike]]&gt;=21,"21+")</f>
        <v>16-20</v>
      </c>
      <c r="AE600">
        <v>3</v>
      </c>
      <c r="AF600">
        <v>4</v>
      </c>
      <c r="AG600">
        <v>80</v>
      </c>
      <c r="AH600">
        <v>0</v>
      </c>
      <c r="AI600">
        <v>5</v>
      </c>
      <c r="AJ600">
        <v>3</v>
      </c>
      <c r="AK600">
        <v>2</v>
      </c>
      <c r="AL600">
        <v>2</v>
      </c>
      <c r="AM600">
        <v>2</v>
      </c>
      <c r="AN600">
        <v>2</v>
      </c>
      <c r="AO600">
        <v>1</v>
      </c>
      <c r="AP60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00" t="str">
        <f>IF(HRData[[#This Row],[Attrition]]="Yes","Left", IF(HRData[[#This Row],[Attrition_Risk_Score]]&gt;=6,"High",IF(HRData[[#This Row],[Attrition_Risk_Score]]&gt;=3,"Medium","Low")))</f>
        <v>Left</v>
      </c>
      <c r="AR600" t="str">
        <f>IF(HRData[[#This Row],[Attrition_Risk_Level]]&lt;&gt;"High","",HRData[[#This Row],[Attrition_Risk_Score]]*10000-HRData[[#This Row],[EmployeeNumber]])</f>
        <v/>
      </c>
    </row>
    <row r="601" spans="1:44">
      <c r="A601">
        <v>36</v>
      </c>
      <c r="B601" t="str" cm="1">
        <f t="array" ref="B601">_xlfn.IFS(
HRData[[#This Row],[Age]]&lt;=24,"18-24",
HRData[[#This Row],[Age]]&lt;=34,"25-34",
HRData[[#This Row],[Age]]&lt;=44,"35-44",
HRData[[#This Row],[Age]]&lt;=54,"45-54",
HRData[[#This Row],[Age]]&gt;=55,"55+"
)</f>
        <v>35-44</v>
      </c>
      <c r="C601" t="s">
        <v>43</v>
      </c>
      <c r="D601">
        <f>IF(HRData[[#This Row],[Attrition]]="Yes",1,0)</f>
        <v>0</v>
      </c>
      <c r="E601" t="s">
        <v>36</v>
      </c>
      <c r="F601">
        <v>1041</v>
      </c>
      <c r="G601" t="s">
        <v>61</v>
      </c>
      <c r="H601">
        <v>13</v>
      </c>
      <c r="I601">
        <v>3</v>
      </c>
      <c r="J601" t="s">
        <v>61</v>
      </c>
      <c r="K601">
        <v>1</v>
      </c>
      <c r="L601">
        <v>829</v>
      </c>
      <c r="M601">
        <v>3</v>
      </c>
      <c r="N601" t="str" cm="1">
        <f t="array" ref="N601">_xlfn.IFS(HRData[[#This Row],[EnvironmentSatisfaction]]=1,"Very Dissatisfied",
HRData[[#This Row],[EnvironmentSatisfaction]]=2,"Dissatisfied",
HRData[[#This Row],[EnvironmentSatisfaction]]=3,"Satisfied",
HRData[[#This Row],[EnvironmentSatisfaction]]=4,"Very Satisfied"
)</f>
        <v>Satisfied</v>
      </c>
      <c r="O601" t="s">
        <v>46</v>
      </c>
      <c r="P601">
        <v>36</v>
      </c>
      <c r="Q601">
        <v>3</v>
      </c>
      <c r="R601">
        <v>1</v>
      </c>
      <c r="S601" t="s">
        <v>61</v>
      </c>
      <c r="T601">
        <v>2</v>
      </c>
      <c r="U601" t="str" cm="1">
        <f t="array" ref="U601">_xlfn.IFS(
HRData[[#This Row],[JobSatisfaction]]=1,"Very Dissatisfied",
HRData[[#This Row],[JobSatisfaction]]=2,"Dissatisfied",
HRData[[#This Row],[JobSatisfaction]]=3,"Satisfied",
HRData[[#This Row],[JobSatisfaction]]=4,"Very Satisfied"
)</f>
        <v>Dissatisfied</v>
      </c>
      <c r="V601" t="s">
        <v>48</v>
      </c>
      <c r="W601">
        <v>2143</v>
      </c>
      <c r="X601" t="str" cm="1">
        <f t="array" ref="X601">_xlfn.IFS(
HRData[[#This Row],[MonthlyIncome]]&lt;=4000,"Very Low Income",
HRData[[#This Row],[MonthlyIncome]]&lt;=8000,"Low Income",
HRData[[#This Row],[MonthlyIncome]]&lt;=12000,"Moderate Income",
HRData[[#This Row],[MonthlyIncome]]&lt;=16000,"High Income",
HRData[[#This Row],[MonthlyIncome]]&gt;16000,"Very High Income"
)</f>
        <v>Very Low Income</v>
      </c>
      <c r="Y601">
        <v>25527</v>
      </c>
      <c r="Z601">
        <v>4</v>
      </c>
      <c r="AA601" t="s">
        <v>42</v>
      </c>
      <c r="AB601" t="s">
        <v>43</v>
      </c>
      <c r="AC601">
        <v>13</v>
      </c>
      <c r="AD601" t="str" cm="1">
        <f t="array" ref="AD601">_xlfn.IFS(HRData[[#This Row],[PercentSalaryHike]]&lt;=15,"11-15",HRData[[#This Row],[PercentSalaryHike]]&lt;=20,"16-20",HRData[[#This Row],[PercentSalaryHike]]&gt;=21,"21+")</f>
        <v>11-15</v>
      </c>
      <c r="AE601">
        <v>3</v>
      </c>
      <c r="AF601">
        <v>2</v>
      </c>
      <c r="AG601">
        <v>80</v>
      </c>
      <c r="AH601">
        <v>1</v>
      </c>
      <c r="AI601">
        <v>8</v>
      </c>
      <c r="AJ601">
        <v>2</v>
      </c>
      <c r="AK601">
        <v>3</v>
      </c>
      <c r="AL601">
        <v>5</v>
      </c>
      <c r="AM601">
        <v>2</v>
      </c>
      <c r="AN601">
        <v>0</v>
      </c>
      <c r="AO601">
        <v>4</v>
      </c>
      <c r="AP60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01" t="str">
        <f>IF(HRData[[#This Row],[Attrition]]="Yes","Left", IF(HRData[[#This Row],[Attrition_Risk_Score]]&gt;=6,"High",IF(HRData[[#This Row],[Attrition_Risk_Score]]&gt;=3,"Medium","Low")))</f>
        <v>Medium</v>
      </c>
      <c r="AR601" t="str">
        <f>IF(HRData[[#This Row],[Attrition_Risk_Level]]&lt;&gt;"High","",HRData[[#This Row],[Attrition_Risk_Score]]*10000-HRData[[#This Row],[EmployeeNumber]])</f>
        <v/>
      </c>
    </row>
    <row r="602" spans="1:44">
      <c r="A602">
        <v>32</v>
      </c>
      <c r="B602" t="str" cm="1">
        <f t="array" ref="B602">_xlfn.IFS(
HRData[[#This Row],[Age]]&lt;=24,"18-24",
HRData[[#This Row],[Age]]&lt;=34,"25-34",
HRData[[#This Row],[Age]]&lt;=44,"35-44",
HRData[[#This Row],[Age]]&lt;=54,"45-54",
HRData[[#This Row],[Age]]&gt;=55,"55+"
)</f>
        <v>25-34</v>
      </c>
      <c r="C602" t="s">
        <v>43</v>
      </c>
      <c r="D602">
        <f>IF(HRData[[#This Row],[Attrition]]="Yes",1,0)</f>
        <v>0</v>
      </c>
      <c r="E602" t="s">
        <v>36</v>
      </c>
      <c r="F602">
        <v>859</v>
      </c>
      <c r="G602" t="s">
        <v>45</v>
      </c>
      <c r="H602">
        <v>4</v>
      </c>
      <c r="I602">
        <v>3</v>
      </c>
      <c r="J602" t="s">
        <v>38</v>
      </c>
      <c r="K602">
        <v>1</v>
      </c>
      <c r="L602">
        <v>830</v>
      </c>
      <c r="M602">
        <v>3</v>
      </c>
      <c r="N602" t="str" cm="1">
        <f t="array" ref="N602">_xlfn.IFS(HRData[[#This Row],[EnvironmentSatisfaction]]=1,"Very Dissatisfied",
HRData[[#This Row],[EnvironmentSatisfaction]]=2,"Dissatisfied",
HRData[[#This Row],[EnvironmentSatisfaction]]=3,"Satisfied",
HRData[[#This Row],[EnvironmentSatisfaction]]=4,"Very Satisfied"
)</f>
        <v>Satisfied</v>
      </c>
      <c r="O602" t="s">
        <v>39</v>
      </c>
      <c r="P602">
        <v>98</v>
      </c>
      <c r="Q602">
        <v>2</v>
      </c>
      <c r="R602">
        <v>2</v>
      </c>
      <c r="S602" t="s">
        <v>53</v>
      </c>
      <c r="T602">
        <v>3</v>
      </c>
      <c r="U602" t="str" cm="1">
        <f t="array" ref="U602">_xlfn.IFS(
HRData[[#This Row],[JobSatisfaction]]=1,"Very Dissatisfied",
HRData[[#This Row],[JobSatisfaction]]=2,"Dissatisfied",
HRData[[#This Row],[JobSatisfaction]]=3,"Satisfied",
HRData[[#This Row],[JobSatisfaction]]=4,"Very Satisfied"
)</f>
        <v>Satisfied</v>
      </c>
      <c r="V602" t="s">
        <v>48</v>
      </c>
      <c r="W602">
        <v>6162</v>
      </c>
      <c r="X602" t="str" cm="1">
        <f t="array" ref="X602">_xlfn.IFS(
HRData[[#This Row],[MonthlyIncome]]&lt;=4000,"Very Low Income",
HRData[[#This Row],[MonthlyIncome]]&lt;=8000,"Low Income",
HRData[[#This Row],[MonthlyIncome]]&lt;=12000,"Moderate Income",
HRData[[#This Row],[MonthlyIncome]]&lt;=16000,"High Income",
HRData[[#This Row],[MonthlyIncome]]&gt;16000,"Very High Income"
)</f>
        <v>Low Income</v>
      </c>
      <c r="Y602">
        <v>19124</v>
      </c>
      <c r="Z602">
        <v>1</v>
      </c>
      <c r="AA602" t="s">
        <v>42</v>
      </c>
      <c r="AB602" t="s">
        <v>43</v>
      </c>
      <c r="AC602">
        <v>12</v>
      </c>
      <c r="AD602" t="str" cm="1">
        <f t="array" ref="AD602">_xlfn.IFS(HRData[[#This Row],[PercentSalaryHike]]&lt;=15,"11-15",HRData[[#This Row],[PercentSalaryHike]]&lt;=20,"16-20",HRData[[#This Row],[PercentSalaryHike]]&gt;=21,"21+")</f>
        <v>11-15</v>
      </c>
      <c r="AE602">
        <v>3</v>
      </c>
      <c r="AF602">
        <v>3</v>
      </c>
      <c r="AG602">
        <v>80</v>
      </c>
      <c r="AH602">
        <v>1</v>
      </c>
      <c r="AI602">
        <v>14</v>
      </c>
      <c r="AJ602">
        <v>3</v>
      </c>
      <c r="AK602">
        <v>3</v>
      </c>
      <c r="AL602">
        <v>14</v>
      </c>
      <c r="AM602">
        <v>13</v>
      </c>
      <c r="AN602">
        <v>6</v>
      </c>
      <c r="AO602">
        <v>8</v>
      </c>
      <c r="AP60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02" t="str">
        <f>IF(HRData[[#This Row],[Attrition]]="Yes","Left", IF(HRData[[#This Row],[Attrition_Risk_Score]]&gt;=6,"High",IF(HRData[[#This Row],[Attrition_Risk_Score]]&gt;=3,"Medium","Low")))</f>
        <v>Low</v>
      </c>
      <c r="AR602" t="str">
        <f>IF(HRData[[#This Row],[Attrition_Risk_Level]]&lt;&gt;"High","",HRData[[#This Row],[Attrition_Risk_Score]]*10000-HRData[[#This Row],[EmployeeNumber]])</f>
        <v/>
      </c>
    </row>
    <row r="603" spans="1:44">
      <c r="A603">
        <v>40</v>
      </c>
      <c r="B603" t="str" cm="1">
        <f t="array" ref="B603">_xlfn.IFS(
HRData[[#This Row],[Age]]&lt;=24,"18-24",
HRData[[#This Row],[Age]]&lt;=34,"25-34",
HRData[[#This Row],[Age]]&lt;=44,"35-44",
HRData[[#This Row],[Age]]&lt;=54,"45-54",
HRData[[#This Row],[Age]]&gt;=55,"55+"
)</f>
        <v>35-44</v>
      </c>
      <c r="C603" t="s">
        <v>43</v>
      </c>
      <c r="D603">
        <f>IF(HRData[[#This Row],[Attrition]]="Yes",1,0)</f>
        <v>0</v>
      </c>
      <c r="E603" t="s">
        <v>44</v>
      </c>
      <c r="F603">
        <v>720</v>
      </c>
      <c r="G603" t="s">
        <v>45</v>
      </c>
      <c r="H603">
        <v>16</v>
      </c>
      <c r="I603">
        <v>4</v>
      </c>
      <c r="J603" t="s">
        <v>51</v>
      </c>
      <c r="K603">
        <v>1</v>
      </c>
      <c r="L603">
        <v>832</v>
      </c>
      <c r="M603">
        <v>1</v>
      </c>
      <c r="N603" t="str" cm="1">
        <f t="array" ref="N603">_xlfn.IFS(HRData[[#This Row],[EnvironmentSatisfaction]]=1,"Very Dissatisfied",
HRData[[#This Row],[EnvironmentSatisfaction]]=2,"Dissatisfied",
HRData[[#This Row],[EnvironmentSatisfaction]]=3,"Satisfied",
HRData[[#This Row],[EnvironmentSatisfaction]]=4,"Very Satisfied"
)</f>
        <v>Very Dissatisfied</v>
      </c>
      <c r="O603" t="s">
        <v>46</v>
      </c>
      <c r="P603">
        <v>51</v>
      </c>
      <c r="Q603">
        <v>2</v>
      </c>
      <c r="R603">
        <v>2</v>
      </c>
      <c r="S603" t="s">
        <v>50</v>
      </c>
      <c r="T603">
        <v>3</v>
      </c>
      <c r="U603" t="str" cm="1">
        <f t="array" ref="U603">_xlfn.IFS(
HRData[[#This Row],[JobSatisfaction]]=1,"Very Dissatisfied",
HRData[[#This Row],[JobSatisfaction]]=2,"Dissatisfied",
HRData[[#This Row],[JobSatisfaction]]=3,"Satisfied",
HRData[[#This Row],[JobSatisfaction]]=4,"Very Satisfied"
)</f>
        <v>Satisfied</v>
      </c>
      <c r="V603" t="s">
        <v>41</v>
      </c>
      <c r="W603">
        <v>5094</v>
      </c>
      <c r="X603" t="str" cm="1">
        <f t="array" ref="X603">_xlfn.IFS(
HRData[[#This Row],[MonthlyIncome]]&lt;=4000,"Very Low Income",
HRData[[#This Row],[MonthlyIncome]]&lt;=8000,"Low Income",
HRData[[#This Row],[MonthlyIncome]]&lt;=12000,"Moderate Income",
HRData[[#This Row],[MonthlyIncome]]&lt;=16000,"High Income",
HRData[[#This Row],[MonthlyIncome]]&gt;16000,"Very High Income"
)</f>
        <v>Low Income</v>
      </c>
      <c r="Y603">
        <v>11983</v>
      </c>
      <c r="Z603">
        <v>6</v>
      </c>
      <c r="AA603" t="s">
        <v>42</v>
      </c>
      <c r="AB603" t="s">
        <v>43</v>
      </c>
      <c r="AC603">
        <v>14</v>
      </c>
      <c r="AD603" t="str" cm="1">
        <f t="array" ref="AD603">_xlfn.IFS(HRData[[#This Row],[PercentSalaryHike]]&lt;=15,"11-15",HRData[[#This Row],[PercentSalaryHike]]&lt;=20,"16-20",HRData[[#This Row],[PercentSalaryHike]]&gt;=21,"21+")</f>
        <v>11-15</v>
      </c>
      <c r="AE603">
        <v>3</v>
      </c>
      <c r="AF603">
        <v>4</v>
      </c>
      <c r="AG603">
        <v>80</v>
      </c>
      <c r="AH603">
        <v>0</v>
      </c>
      <c r="AI603">
        <v>10</v>
      </c>
      <c r="AJ603">
        <v>6</v>
      </c>
      <c r="AK603">
        <v>3</v>
      </c>
      <c r="AL603">
        <v>1</v>
      </c>
      <c r="AM603">
        <v>0</v>
      </c>
      <c r="AN603">
        <v>0</v>
      </c>
      <c r="AO603">
        <v>0</v>
      </c>
      <c r="AP60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03" t="str">
        <f>IF(HRData[[#This Row],[Attrition]]="Yes","Left", IF(HRData[[#This Row],[Attrition_Risk_Score]]&gt;=6,"High",IF(HRData[[#This Row],[Attrition_Risk_Score]]&gt;=3,"Medium","Low")))</f>
        <v>Low</v>
      </c>
      <c r="AR603" t="str">
        <f>IF(HRData[[#This Row],[Attrition_Risk_Level]]&lt;&gt;"High","",HRData[[#This Row],[Attrition_Risk_Score]]*10000-HRData[[#This Row],[EmployeeNumber]])</f>
        <v/>
      </c>
    </row>
    <row r="604" spans="1:44">
      <c r="A604">
        <v>30</v>
      </c>
      <c r="B604" t="str" cm="1">
        <f t="array" ref="B604">_xlfn.IFS(
HRData[[#This Row],[Age]]&lt;=24,"18-24",
HRData[[#This Row],[Age]]&lt;=34,"25-34",
HRData[[#This Row],[Age]]&lt;=44,"35-44",
HRData[[#This Row],[Age]]&lt;=54,"45-54",
HRData[[#This Row],[Age]]&gt;=55,"55+"
)</f>
        <v>25-34</v>
      </c>
      <c r="C604" t="s">
        <v>43</v>
      </c>
      <c r="D604">
        <f>IF(HRData[[#This Row],[Attrition]]="Yes",1,0)</f>
        <v>0</v>
      </c>
      <c r="E604" t="s">
        <v>36</v>
      </c>
      <c r="F604">
        <v>946</v>
      </c>
      <c r="G604" t="s">
        <v>45</v>
      </c>
      <c r="H604">
        <v>2</v>
      </c>
      <c r="I604">
        <v>3</v>
      </c>
      <c r="J604" t="s">
        <v>51</v>
      </c>
      <c r="K604">
        <v>1</v>
      </c>
      <c r="L604">
        <v>833</v>
      </c>
      <c r="M604">
        <v>3</v>
      </c>
      <c r="N604" t="str" cm="1">
        <f t="array" ref="N604">_xlfn.IFS(HRData[[#This Row],[EnvironmentSatisfaction]]=1,"Very Dissatisfied",
HRData[[#This Row],[EnvironmentSatisfaction]]=2,"Dissatisfied",
HRData[[#This Row],[EnvironmentSatisfaction]]=3,"Satisfied",
HRData[[#This Row],[EnvironmentSatisfaction]]=4,"Very Satisfied"
)</f>
        <v>Satisfied</v>
      </c>
      <c r="O604" t="s">
        <v>39</v>
      </c>
      <c r="P604">
        <v>52</v>
      </c>
      <c r="Q604">
        <v>2</v>
      </c>
      <c r="R604">
        <v>2</v>
      </c>
      <c r="S604" t="s">
        <v>53</v>
      </c>
      <c r="T604">
        <v>4</v>
      </c>
      <c r="U604" t="str" cm="1">
        <f t="array" ref="U604">_xlfn.IFS(
HRData[[#This Row],[JobSatisfaction]]=1,"Very Dissatisfied",
HRData[[#This Row],[JobSatisfaction]]=2,"Dissatisfied",
HRData[[#This Row],[JobSatisfaction]]=3,"Satisfied",
HRData[[#This Row],[JobSatisfaction]]=4,"Very Satisfied"
)</f>
        <v>Very Satisfied</v>
      </c>
      <c r="V604" t="s">
        <v>41</v>
      </c>
      <c r="W604">
        <v>6877</v>
      </c>
      <c r="X604" t="str" cm="1">
        <f t="array" ref="X604">_xlfn.IFS(
HRData[[#This Row],[MonthlyIncome]]&lt;=4000,"Very Low Income",
HRData[[#This Row],[MonthlyIncome]]&lt;=8000,"Low Income",
HRData[[#This Row],[MonthlyIncome]]&lt;=12000,"Moderate Income",
HRData[[#This Row],[MonthlyIncome]]&lt;=16000,"High Income",
HRData[[#This Row],[MonthlyIncome]]&gt;16000,"Very High Income"
)</f>
        <v>Low Income</v>
      </c>
      <c r="Y604">
        <v>20234</v>
      </c>
      <c r="Z604">
        <v>5</v>
      </c>
      <c r="AA604" t="s">
        <v>42</v>
      </c>
      <c r="AB604" t="s">
        <v>35</v>
      </c>
      <c r="AC604">
        <v>24</v>
      </c>
      <c r="AD604" t="str" cm="1">
        <f t="array" ref="AD604">_xlfn.IFS(HRData[[#This Row],[PercentSalaryHike]]&lt;=15,"11-15",HRData[[#This Row],[PercentSalaryHike]]&lt;=20,"16-20",HRData[[#This Row],[PercentSalaryHike]]&gt;=21,"21+")</f>
        <v>21+</v>
      </c>
      <c r="AE604">
        <v>4</v>
      </c>
      <c r="AF604">
        <v>2</v>
      </c>
      <c r="AG604">
        <v>80</v>
      </c>
      <c r="AH604">
        <v>0</v>
      </c>
      <c r="AI604">
        <v>12</v>
      </c>
      <c r="AJ604">
        <v>4</v>
      </c>
      <c r="AK604">
        <v>2</v>
      </c>
      <c r="AL604">
        <v>0</v>
      </c>
      <c r="AM604">
        <v>0</v>
      </c>
      <c r="AN604">
        <v>0</v>
      </c>
      <c r="AO604">
        <v>0</v>
      </c>
      <c r="AP60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04" t="str">
        <f>IF(HRData[[#This Row],[Attrition]]="Yes","Left", IF(HRData[[#This Row],[Attrition_Risk_Score]]&gt;=6,"High",IF(HRData[[#This Row],[Attrition_Risk_Score]]&gt;=3,"Medium","Low")))</f>
        <v>Medium</v>
      </c>
      <c r="AR604" t="str">
        <f>IF(HRData[[#This Row],[Attrition_Risk_Level]]&lt;&gt;"High","",HRData[[#This Row],[Attrition_Risk_Score]]*10000-HRData[[#This Row],[EmployeeNumber]])</f>
        <v/>
      </c>
    </row>
    <row r="605" spans="1:44">
      <c r="A605">
        <v>45</v>
      </c>
      <c r="B605" t="str" cm="1">
        <f t="array" ref="B605">_xlfn.IFS(
HRData[[#This Row],[Age]]&lt;=24,"18-24",
HRData[[#This Row],[Age]]&lt;=34,"25-34",
HRData[[#This Row],[Age]]&lt;=44,"35-44",
HRData[[#This Row],[Age]]&lt;=54,"45-54",
HRData[[#This Row],[Age]]&gt;=55,"55+"
)</f>
        <v>45-54</v>
      </c>
      <c r="C605" t="s">
        <v>43</v>
      </c>
      <c r="D605">
        <f>IF(HRData[[#This Row],[Attrition]]="Yes",1,0)</f>
        <v>0</v>
      </c>
      <c r="E605" t="s">
        <v>36</v>
      </c>
      <c r="F605">
        <v>252</v>
      </c>
      <c r="G605" t="s">
        <v>45</v>
      </c>
      <c r="H605">
        <v>2</v>
      </c>
      <c r="I605">
        <v>3</v>
      </c>
      <c r="J605" t="s">
        <v>38</v>
      </c>
      <c r="K605">
        <v>1</v>
      </c>
      <c r="L605">
        <v>834</v>
      </c>
      <c r="M605">
        <v>2</v>
      </c>
      <c r="N605" t="str" cm="1">
        <f t="array" ref="N605">_xlfn.IFS(HRData[[#This Row],[EnvironmentSatisfaction]]=1,"Very Dissatisfied",
HRData[[#This Row],[EnvironmentSatisfaction]]=2,"Dissatisfied",
HRData[[#This Row],[EnvironmentSatisfaction]]=3,"Satisfied",
HRData[[#This Row],[EnvironmentSatisfaction]]=4,"Very Satisfied"
)</f>
        <v>Dissatisfied</v>
      </c>
      <c r="O605" t="s">
        <v>39</v>
      </c>
      <c r="P605">
        <v>95</v>
      </c>
      <c r="Q605">
        <v>2</v>
      </c>
      <c r="R605">
        <v>1</v>
      </c>
      <c r="S605" t="s">
        <v>47</v>
      </c>
      <c r="T605">
        <v>3</v>
      </c>
      <c r="U605" t="str" cm="1">
        <f t="array" ref="U605">_xlfn.IFS(
HRData[[#This Row],[JobSatisfaction]]=1,"Very Dissatisfied",
HRData[[#This Row],[JobSatisfaction]]=2,"Dissatisfied",
HRData[[#This Row],[JobSatisfaction]]=3,"Satisfied",
HRData[[#This Row],[JobSatisfaction]]=4,"Very Satisfied"
)</f>
        <v>Satisfied</v>
      </c>
      <c r="V605" t="s">
        <v>41</v>
      </c>
      <c r="W605">
        <v>2274</v>
      </c>
      <c r="X605" t="str" cm="1">
        <f t="array" ref="X605">_xlfn.IFS(
HRData[[#This Row],[MonthlyIncome]]&lt;=4000,"Very Low Income",
HRData[[#This Row],[MonthlyIncome]]&lt;=8000,"Low Income",
HRData[[#This Row],[MonthlyIncome]]&lt;=12000,"Moderate Income",
HRData[[#This Row],[MonthlyIncome]]&lt;=16000,"High Income",
HRData[[#This Row],[MonthlyIncome]]&gt;16000,"Very High Income"
)</f>
        <v>Very Low Income</v>
      </c>
      <c r="Y605">
        <v>6153</v>
      </c>
      <c r="Z605">
        <v>1</v>
      </c>
      <c r="AA605" t="s">
        <v>42</v>
      </c>
      <c r="AB605" t="s">
        <v>43</v>
      </c>
      <c r="AC605">
        <v>14</v>
      </c>
      <c r="AD605" t="str" cm="1">
        <f t="array" ref="AD605">_xlfn.IFS(HRData[[#This Row],[PercentSalaryHike]]&lt;=15,"11-15",HRData[[#This Row],[PercentSalaryHike]]&lt;=20,"16-20",HRData[[#This Row],[PercentSalaryHike]]&gt;=21,"21+")</f>
        <v>11-15</v>
      </c>
      <c r="AE605">
        <v>3</v>
      </c>
      <c r="AF605">
        <v>4</v>
      </c>
      <c r="AG605">
        <v>80</v>
      </c>
      <c r="AH605">
        <v>0</v>
      </c>
      <c r="AI605">
        <v>1</v>
      </c>
      <c r="AJ605">
        <v>3</v>
      </c>
      <c r="AK605">
        <v>3</v>
      </c>
      <c r="AL605">
        <v>1</v>
      </c>
      <c r="AM605">
        <v>0</v>
      </c>
      <c r="AN605">
        <v>0</v>
      </c>
      <c r="AO605">
        <v>0</v>
      </c>
      <c r="AP60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05" t="str">
        <f>IF(HRData[[#This Row],[Attrition]]="Yes","Left", IF(HRData[[#This Row],[Attrition_Risk_Score]]&gt;=6,"High",IF(HRData[[#This Row],[Attrition_Risk_Score]]&gt;=3,"Medium","Low")))</f>
        <v>Low</v>
      </c>
      <c r="AR605" t="str">
        <f>IF(HRData[[#This Row],[Attrition_Risk_Level]]&lt;&gt;"High","",HRData[[#This Row],[Attrition_Risk_Score]]*10000-HRData[[#This Row],[EmployeeNumber]])</f>
        <v/>
      </c>
    </row>
    <row r="606" spans="1:44">
      <c r="A606">
        <v>42</v>
      </c>
      <c r="B606" t="str" cm="1">
        <f t="array" ref="B606">_xlfn.IFS(
HRData[[#This Row],[Age]]&lt;=24,"18-24",
HRData[[#This Row],[Age]]&lt;=34,"25-34",
HRData[[#This Row],[Age]]&lt;=44,"35-44",
HRData[[#This Row],[Age]]&lt;=54,"45-54",
HRData[[#This Row],[Age]]&gt;=55,"55+"
)</f>
        <v>35-44</v>
      </c>
      <c r="C606" t="s">
        <v>43</v>
      </c>
      <c r="D606">
        <f>IF(HRData[[#This Row],[Attrition]]="Yes",1,0)</f>
        <v>0</v>
      </c>
      <c r="E606" t="s">
        <v>36</v>
      </c>
      <c r="F606">
        <v>933</v>
      </c>
      <c r="G606" t="s">
        <v>45</v>
      </c>
      <c r="H606">
        <v>29</v>
      </c>
      <c r="I606">
        <v>3</v>
      </c>
      <c r="J606" t="s">
        <v>38</v>
      </c>
      <c r="K606">
        <v>1</v>
      </c>
      <c r="L606">
        <v>836</v>
      </c>
      <c r="M606">
        <v>2</v>
      </c>
      <c r="N606" t="str" cm="1">
        <f t="array" ref="N606">_xlfn.IFS(HRData[[#This Row],[EnvironmentSatisfaction]]=1,"Very Dissatisfied",
HRData[[#This Row],[EnvironmentSatisfaction]]=2,"Dissatisfied",
HRData[[#This Row],[EnvironmentSatisfaction]]=3,"Satisfied",
HRData[[#This Row],[EnvironmentSatisfaction]]=4,"Very Satisfied"
)</f>
        <v>Dissatisfied</v>
      </c>
      <c r="O606" t="s">
        <v>46</v>
      </c>
      <c r="P606">
        <v>98</v>
      </c>
      <c r="Q606">
        <v>3</v>
      </c>
      <c r="R606">
        <v>2</v>
      </c>
      <c r="S606" t="s">
        <v>53</v>
      </c>
      <c r="T606">
        <v>2</v>
      </c>
      <c r="U606" t="str" cm="1">
        <f t="array" ref="U606">_xlfn.IFS(
HRData[[#This Row],[JobSatisfaction]]=1,"Very Dissatisfied",
HRData[[#This Row],[JobSatisfaction]]=2,"Dissatisfied",
HRData[[#This Row],[JobSatisfaction]]=3,"Satisfied",
HRData[[#This Row],[JobSatisfaction]]=4,"Very Satisfied"
)</f>
        <v>Dissatisfied</v>
      </c>
      <c r="V606" t="s">
        <v>48</v>
      </c>
      <c r="W606">
        <v>4434</v>
      </c>
      <c r="X606" t="str" cm="1">
        <f t="array" ref="X606">_xlfn.IFS(
HRData[[#This Row],[MonthlyIncome]]&lt;=4000,"Very Low Income",
HRData[[#This Row],[MonthlyIncome]]&lt;=8000,"Low Income",
HRData[[#This Row],[MonthlyIncome]]&lt;=12000,"Moderate Income",
HRData[[#This Row],[MonthlyIncome]]&lt;=16000,"High Income",
HRData[[#This Row],[MonthlyIncome]]&gt;16000,"Very High Income"
)</f>
        <v>Low Income</v>
      </c>
      <c r="Y606">
        <v>11806</v>
      </c>
      <c r="Z606">
        <v>1</v>
      </c>
      <c r="AA606" t="s">
        <v>42</v>
      </c>
      <c r="AB606" t="s">
        <v>43</v>
      </c>
      <c r="AC606">
        <v>13</v>
      </c>
      <c r="AD606" t="str" cm="1">
        <f t="array" ref="AD606">_xlfn.IFS(HRData[[#This Row],[PercentSalaryHike]]&lt;=15,"11-15",HRData[[#This Row],[PercentSalaryHike]]&lt;=20,"16-20",HRData[[#This Row],[PercentSalaryHike]]&gt;=21,"21+")</f>
        <v>11-15</v>
      </c>
      <c r="AE606">
        <v>3</v>
      </c>
      <c r="AF606">
        <v>4</v>
      </c>
      <c r="AG606">
        <v>80</v>
      </c>
      <c r="AH606">
        <v>1</v>
      </c>
      <c r="AI606">
        <v>10</v>
      </c>
      <c r="AJ606">
        <v>3</v>
      </c>
      <c r="AK606">
        <v>2</v>
      </c>
      <c r="AL606">
        <v>9</v>
      </c>
      <c r="AM606">
        <v>8</v>
      </c>
      <c r="AN606">
        <v>7</v>
      </c>
      <c r="AO606">
        <v>8</v>
      </c>
      <c r="AP60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606" t="str">
        <f>IF(HRData[[#This Row],[Attrition]]="Yes","Left", IF(HRData[[#This Row],[Attrition_Risk_Score]]&gt;=6,"High",IF(HRData[[#This Row],[Attrition_Risk_Score]]&gt;=3,"Medium","Low")))</f>
        <v>Low</v>
      </c>
      <c r="AR606" t="str">
        <f>IF(HRData[[#This Row],[Attrition_Risk_Level]]&lt;&gt;"High","",HRData[[#This Row],[Attrition_Risk_Score]]*10000-HRData[[#This Row],[EmployeeNumber]])</f>
        <v/>
      </c>
    </row>
    <row r="607" spans="1:44">
      <c r="A607">
        <v>38</v>
      </c>
      <c r="B607" t="str" cm="1">
        <f t="array" ref="B607">_xlfn.IFS(
HRData[[#This Row],[Age]]&lt;=24,"18-24",
HRData[[#This Row],[Age]]&lt;=34,"25-34",
HRData[[#This Row],[Age]]&lt;=44,"35-44",
HRData[[#This Row],[Age]]&lt;=54,"45-54",
HRData[[#This Row],[Age]]&gt;=55,"55+"
)</f>
        <v>35-44</v>
      </c>
      <c r="C607" t="s">
        <v>43</v>
      </c>
      <c r="D607">
        <f>IF(HRData[[#This Row],[Attrition]]="Yes",1,0)</f>
        <v>0</v>
      </c>
      <c r="E607" t="s">
        <v>44</v>
      </c>
      <c r="F607">
        <v>471</v>
      </c>
      <c r="G607" t="s">
        <v>45</v>
      </c>
      <c r="H607">
        <v>12</v>
      </c>
      <c r="I607">
        <v>3</v>
      </c>
      <c r="J607" t="s">
        <v>38</v>
      </c>
      <c r="K607">
        <v>1</v>
      </c>
      <c r="L607">
        <v>837</v>
      </c>
      <c r="M607">
        <v>1</v>
      </c>
      <c r="N607" t="str" cm="1">
        <f t="array" ref="N607">_xlfn.IFS(HRData[[#This Row],[EnvironmentSatisfaction]]=1,"Very Dissatisfied",
HRData[[#This Row],[EnvironmentSatisfaction]]=2,"Dissatisfied",
HRData[[#This Row],[EnvironmentSatisfaction]]=3,"Satisfied",
HRData[[#This Row],[EnvironmentSatisfaction]]=4,"Very Satisfied"
)</f>
        <v>Very Dissatisfied</v>
      </c>
      <c r="O607" t="s">
        <v>46</v>
      </c>
      <c r="P607">
        <v>45</v>
      </c>
      <c r="Q607">
        <v>2</v>
      </c>
      <c r="R607">
        <v>2</v>
      </c>
      <c r="S607" t="s">
        <v>54</v>
      </c>
      <c r="T607">
        <v>1</v>
      </c>
      <c r="U607" t="str" cm="1">
        <f t="array" ref="U607">_xlfn.IFS(
HRData[[#This Row],[JobSatisfaction]]=1,"Very Dissatisfied",
HRData[[#This Row],[JobSatisfaction]]=2,"Dissatisfied",
HRData[[#This Row],[JobSatisfaction]]=3,"Satisfied",
HRData[[#This Row],[JobSatisfaction]]=4,"Very Satisfied"
)</f>
        <v>Very Dissatisfied</v>
      </c>
      <c r="V607" t="s">
        <v>52</v>
      </c>
      <c r="W607">
        <v>6288</v>
      </c>
      <c r="X607" t="str" cm="1">
        <f t="array" ref="X607">_xlfn.IFS(
HRData[[#This Row],[MonthlyIncome]]&lt;=4000,"Very Low Income",
HRData[[#This Row],[MonthlyIncome]]&lt;=8000,"Low Income",
HRData[[#This Row],[MonthlyIncome]]&lt;=12000,"Moderate Income",
HRData[[#This Row],[MonthlyIncome]]&lt;=16000,"High Income",
HRData[[#This Row],[MonthlyIncome]]&gt;16000,"Very High Income"
)</f>
        <v>Low Income</v>
      </c>
      <c r="Y607">
        <v>4284</v>
      </c>
      <c r="Z607">
        <v>2</v>
      </c>
      <c r="AA607" t="s">
        <v>42</v>
      </c>
      <c r="AB607" t="s">
        <v>43</v>
      </c>
      <c r="AC607">
        <v>15</v>
      </c>
      <c r="AD607" t="str" cm="1">
        <f t="array" ref="AD607">_xlfn.IFS(HRData[[#This Row],[PercentSalaryHike]]&lt;=15,"11-15",HRData[[#This Row],[PercentSalaryHike]]&lt;=20,"16-20",HRData[[#This Row],[PercentSalaryHike]]&gt;=21,"21+")</f>
        <v>11-15</v>
      </c>
      <c r="AE607">
        <v>3</v>
      </c>
      <c r="AF607">
        <v>3</v>
      </c>
      <c r="AG607">
        <v>80</v>
      </c>
      <c r="AH607">
        <v>1</v>
      </c>
      <c r="AI607">
        <v>13</v>
      </c>
      <c r="AJ607">
        <v>3</v>
      </c>
      <c r="AK607">
        <v>2</v>
      </c>
      <c r="AL607">
        <v>4</v>
      </c>
      <c r="AM607">
        <v>3</v>
      </c>
      <c r="AN607">
        <v>1</v>
      </c>
      <c r="AO607">
        <v>2</v>
      </c>
      <c r="AP60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07" t="str">
        <f>IF(HRData[[#This Row],[Attrition]]="Yes","Left", IF(HRData[[#This Row],[Attrition_Risk_Score]]&gt;=6,"High",IF(HRData[[#This Row],[Attrition_Risk_Score]]&gt;=3,"Medium","Low")))</f>
        <v>Medium</v>
      </c>
      <c r="AR607" t="str">
        <f>IF(HRData[[#This Row],[Attrition_Risk_Level]]&lt;&gt;"High","",HRData[[#This Row],[Attrition_Risk_Score]]*10000-HRData[[#This Row],[EmployeeNumber]])</f>
        <v/>
      </c>
    </row>
    <row r="608" spans="1:44">
      <c r="A608">
        <v>34</v>
      </c>
      <c r="B608" t="str" cm="1">
        <f t="array" ref="B608">_xlfn.IFS(
HRData[[#This Row],[Age]]&lt;=24,"18-24",
HRData[[#This Row],[Age]]&lt;=34,"25-34",
HRData[[#This Row],[Age]]&lt;=44,"35-44",
HRData[[#This Row],[Age]]&lt;=54,"45-54",
HRData[[#This Row],[Age]]&gt;=55,"55+"
)</f>
        <v>25-34</v>
      </c>
      <c r="C608" t="s">
        <v>43</v>
      </c>
      <c r="D608">
        <f>IF(HRData[[#This Row],[Attrition]]="Yes",1,0)</f>
        <v>0</v>
      </c>
      <c r="E608" t="s">
        <v>44</v>
      </c>
      <c r="F608">
        <v>702</v>
      </c>
      <c r="G608" t="s">
        <v>45</v>
      </c>
      <c r="H608">
        <v>16</v>
      </c>
      <c r="I608">
        <v>4</v>
      </c>
      <c r="J608" t="s">
        <v>38</v>
      </c>
      <c r="K608">
        <v>1</v>
      </c>
      <c r="L608">
        <v>838</v>
      </c>
      <c r="M608">
        <v>3</v>
      </c>
      <c r="N608" t="str" cm="1">
        <f t="array" ref="N608">_xlfn.IFS(HRData[[#This Row],[EnvironmentSatisfaction]]=1,"Very Dissatisfied",
HRData[[#This Row],[EnvironmentSatisfaction]]=2,"Dissatisfied",
HRData[[#This Row],[EnvironmentSatisfaction]]=3,"Satisfied",
HRData[[#This Row],[EnvironmentSatisfaction]]=4,"Very Satisfied"
)</f>
        <v>Satisfied</v>
      </c>
      <c r="O608" t="s">
        <v>39</v>
      </c>
      <c r="P608">
        <v>100</v>
      </c>
      <c r="Q608">
        <v>2</v>
      </c>
      <c r="R608">
        <v>1</v>
      </c>
      <c r="S608" t="s">
        <v>47</v>
      </c>
      <c r="T608">
        <v>4</v>
      </c>
      <c r="U608" t="str" cm="1">
        <f t="array" ref="U608">_xlfn.IFS(
HRData[[#This Row],[JobSatisfaction]]=1,"Very Dissatisfied",
HRData[[#This Row],[JobSatisfaction]]=2,"Dissatisfied",
HRData[[#This Row],[JobSatisfaction]]=3,"Satisfied",
HRData[[#This Row],[JobSatisfaction]]=4,"Very Satisfied"
)</f>
        <v>Very Satisfied</v>
      </c>
      <c r="V608" t="s">
        <v>41</v>
      </c>
      <c r="W608">
        <v>2553</v>
      </c>
      <c r="X608" t="str" cm="1">
        <f t="array" ref="X608">_xlfn.IFS(
HRData[[#This Row],[MonthlyIncome]]&lt;=4000,"Very Low Income",
HRData[[#This Row],[MonthlyIncome]]&lt;=8000,"Low Income",
HRData[[#This Row],[MonthlyIncome]]&lt;=12000,"Moderate Income",
HRData[[#This Row],[MonthlyIncome]]&lt;=16000,"High Income",
HRData[[#This Row],[MonthlyIncome]]&gt;16000,"Very High Income"
)</f>
        <v>Very Low Income</v>
      </c>
      <c r="Y608">
        <v>8306</v>
      </c>
      <c r="Z608">
        <v>1</v>
      </c>
      <c r="AA608" t="s">
        <v>42</v>
      </c>
      <c r="AB608" t="s">
        <v>43</v>
      </c>
      <c r="AC608">
        <v>16</v>
      </c>
      <c r="AD608" t="str" cm="1">
        <f t="array" ref="AD608">_xlfn.IFS(HRData[[#This Row],[PercentSalaryHike]]&lt;=15,"11-15",HRData[[#This Row],[PercentSalaryHike]]&lt;=20,"16-20",HRData[[#This Row],[PercentSalaryHike]]&gt;=21,"21+")</f>
        <v>16-20</v>
      </c>
      <c r="AE608">
        <v>3</v>
      </c>
      <c r="AF608">
        <v>3</v>
      </c>
      <c r="AG608">
        <v>80</v>
      </c>
      <c r="AH608">
        <v>0</v>
      </c>
      <c r="AI608">
        <v>6</v>
      </c>
      <c r="AJ608">
        <v>3</v>
      </c>
      <c r="AK608">
        <v>3</v>
      </c>
      <c r="AL608">
        <v>5</v>
      </c>
      <c r="AM608">
        <v>2</v>
      </c>
      <c r="AN608">
        <v>1</v>
      </c>
      <c r="AO608">
        <v>3</v>
      </c>
      <c r="AP60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08" t="str">
        <f>IF(HRData[[#This Row],[Attrition]]="Yes","Left", IF(HRData[[#This Row],[Attrition_Risk_Score]]&gt;=6,"High",IF(HRData[[#This Row],[Attrition_Risk_Score]]&gt;=3,"Medium","Low")))</f>
        <v>Medium</v>
      </c>
      <c r="AR608" t="str">
        <f>IF(HRData[[#This Row],[Attrition_Risk_Level]]&lt;&gt;"High","",HRData[[#This Row],[Attrition_Risk_Score]]*10000-HRData[[#This Row],[EmployeeNumber]])</f>
        <v/>
      </c>
    </row>
    <row r="609" spans="1:44">
      <c r="A609">
        <v>49</v>
      </c>
      <c r="B609" t="str" cm="1">
        <f t="array" ref="B609">_xlfn.IFS(
HRData[[#This Row],[Age]]&lt;=24,"18-24",
HRData[[#This Row],[Age]]&lt;=34,"25-34",
HRData[[#This Row],[Age]]&lt;=44,"35-44",
HRData[[#This Row],[Age]]&lt;=54,"45-54",
HRData[[#This Row],[Age]]&gt;=55,"55+"
)</f>
        <v>45-54</v>
      </c>
      <c r="C609" t="s">
        <v>35</v>
      </c>
      <c r="D609">
        <f>IF(HRData[[#This Row],[Attrition]]="Yes",1,0)</f>
        <v>1</v>
      </c>
      <c r="E609" t="s">
        <v>36</v>
      </c>
      <c r="F609">
        <v>1184</v>
      </c>
      <c r="G609" t="s">
        <v>37</v>
      </c>
      <c r="H609">
        <v>11</v>
      </c>
      <c r="I609">
        <v>3</v>
      </c>
      <c r="J609" t="s">
        <v>59</v>
      </c>
      <c r="K609">
        <v>1</v>
      </c>
      <c r="L609">
        <v>840</v>
      </c>
      <c r="M609">
        <v>3</v>
      </c>
      <c r="N609" t="str" cm="1">
        <f t="array" ref="N609">_xlfn.IFS(HRData[[#This Row],[EnvironmentSatisfaction]]=1,"Very Dissatisfied",
HRData[[#This Row],[EnvironmentSatisfaction]]=2,"Dissatisfied",
HRData[[#This Row],[EnvironmentSatisfaction]]=3,"Satisfied",
HRData[[#This Row],[EnvironmentSatisfaction]]=4,"Very Satisfied"
)</f>
        <v>Satisfied</v>
      </c>
      <c r="O609" t="s">
        <v>39</v>
      </c>
      <c r="P609">
        <v>43</v>
      </c>
      <c r="Q609">
        <v>3</v>
      </c>
      <c r="R609">
        <v>3</v>
      </c>
      <c r="S609" t="s">
        <v>40</v>
      </c>
      <c r="T609">
        <v>4</v>
      </c>
      <c r="U609" t="str" cm="1">
        <f t="array" ref="U609">_xlfn.IFS(
HRData[[#This Row],[JobSatisfaction]]=1,"Very Dissatisfied",
HRData[[#This Row],[JobSatisfaction]]=2,"Dissatisfied",
HRData[[#This Row],[JobSatisfaction]]=3,"Satisfied",
HRData[[#This Row],[JobSatisfaction]]=4,"Very Satisfied"
)</f>
        <v>Very Satisfied</v>
      </c>
      <c r="V609" t="s">
        <v>48</v>
      </c>
      <c r="W609">
        <v>7654</v>
      </c>
      <c r="X609" t="str" cm="1">
        <f t="array" ref="X609">_xlfn.IFS(
HRData[[#This Row],[MonthlyIncome]]&lt;=4000,"Very Low Income",
HRData[[#This Row],[MonthlyIncome]]&lt;=8000,"Low Income",
HRData[[#This Row],[MonthlyIncome]]&lt;=12000,"Moderate Income",
HRData[[#This Row],[MonthlyIncome]]&lt;=16000,"High Income",
HRData[[#This Row],[MonthlyIncome]]&gt;16000,"Very High Income"
)</f>
        <v>Low Income</v>
      </c>
      <c r="Y609">
        <v>5860</v>
      </c>
      <c r="Z609">
        <v>1</v>
      </c>
      <c r="AA609" t="s">
        <v>42</v>
      </c>
      <c r="AB609" t="s">
        <v>43</v>
      </c>
      <c r="AC609">
        <v>18</v>
      </c>
      <c r="AD609" t="str" cm="1">
        <f t="array" ref="AD609">_xlfn.IFS(HRData[[#This Row],[PercentSalaryHike]]&lt;=15,"11-15",HRData[[#This Row],[PercentSalaryHike]]&lt;=20,"16-20",HRData[[#This Row],[PercentSalaryHike]]&gt;=21,"21+")</f>
        <v>16-20</v>
      </c>
      <c r="AE609">
        <v>3</v>
      </c>
      <c r="AF609">
        <v>1</v>
      </c>
      <c r="AG609">
        <v>80</v>
      </c>
      <c r="AH609">
        <v>2</v>
      </c>
      <c r="AI609">
        <v>9</v>
      </c>
      <c r="AJ609">
        <v>3</v>
      </c>
      <c r="AK609">
        <v>4</v>
      </c>
      <c r="AL609">
        <v>9</v>
      </c>
      <c r="AM609">
        <v>8</v>
      </c>
      <c r="AN609">
        <v>7</v>
      </c>
      <c r="AO609">
        <v>7</v>
      </c>
      <c r="AP60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09" t="str">
        <f>IF(HRData[[#This Row],[Attrition]]="Yes","Left", IF(HRData[[#This Row],[Attrition_Risk_Score]]&gt;=6,"High",IF(HRData[[#This Row],[Attrition_Risk_Score]]&gt;=3,"Medium","Low")))</f>
        <v>Left</v>
      </c>
      <c r="AR609" t="str">
        <f>IF(HRData[[#This Row],[Attrition_Risk_Level]]&lt;&gt;"High","",HRData[[#This Row],[Attrition_Risk_Score]]*10000-HRData[[#This Row],[EmployeeNumber]])</f>
        <v/>
      </c>
    </row>
    <row r="610" spans="1:44">
      <c r="A610">
        <v>55</v>
      </c>
      <c r="B610" t="str" cm="1">
        <f t="array" ref="B610">_xlfn.IFS(
HRData[[#This Row],[Age]]&lt;=24,"18-24",
HRData[[#This Row],[Age]]&lt;=34,"25-34",
HRData[[#This Row],[Age]]&lt;=44,"35-44",
HRData[[#This Row],[Age]]&lt;=54,"45-54",
HRData[[#This Row],[Age]]&gt;=55,"55+"
)</f>
        <v>55+</v>
      </c>
      <c r="C610" t="s">
        <v>35</v>
      </c>
      <c r="D610">
        <f>IF(HRData[[#This Row],[Attrition]]="Yes",1,0)</f>
        <v>1</v>
      </c>
      <c r="E610" t="s">
        <v>36</v>
      </c>
      <c r="F610">
        <v>436</v>
      </c>
      <c r="G610" t="s">
        <v>37</v>
      </c>
      <c r="H610">
        <v>2</v>
      </c>
      <c r="I610">
        <v>1</v>
      </c>
      <c r="J610" t="s">
        <v>51</v>
      </c>
      <c r="K610">
        <v>1</v>
      </c>
      <c r="L610">
        <v>842</v>
      </c>
      <c r="M610">
        <v>3</v>
      </c>
      <c r="N610" t="str" cm="1">
        <f t="array" ref="N610">_xlfn.IFS(HRData[[#This Row],[EnvironmentSatisfaction]]=1,"Very Dissatisfied",
HRData[[#This Row],[EnvironmentSatisfaction]]=2,"Dissatisfied",
HRData[[#This Row],[EnvironmentSatisfaction]]=3,"Satisfied",
HRData[[#This Row],[EnvironmentSatisfaction]]=4,"Very Satisfied"
)</f>
        <v>Satisfied</v>
      </c>
      <c r="O610" t="s">
        <v>46</v>
      </c>
      <c r="P610">
        <v>37</v>
      </c>
      <c r="Q610">
        <v>3</v>
      </c>
      <c r="R610">
        <v>2</v>
      </c>
      <c r="S610" t="s">
        <v>40</v>
      </c>
      <c r="T610">
        <v>4</v>
      </c>
      <c r="U610" t="str" cm="1">
        <f t="array" ref="U610">_xlfn.IFS(
HRData[[#This Row],[JobSatisfaction]]=1,"Very Dissatisfied",
HRData[[#This Row],[JobSatisfaction]]=2,"Dissatisfied",
HRData[[#This Row],[JobSatisfaction]]=3,"Satisfied",
HRData[[#This Row],[JobSatisfaction]]=4,"Very Satisfied"
)</f>
        <v>Very Satisfied</v>
      </c>
      <c r="V610" t="s">
        <v>41</v>
      </c>
      <c r="W610">
        <v>5160</v>
      </c>
      <c r="X610" t="str" cm="1">
        <f t="array" ref="X610">_xlfn.IFS(
HRData[[#This Row],[MonthlyIncome]]&lt;=4000,"Very Low Income",
HRData[[#This Row],[MonthlyIncome]]&lt;=8000,"Low Income",
HRData[[#This Row],[MonthlyIncome]]&lt;=12000,"Moderate Income",
HRData[[#This Row],[MonthlyIncome]]&lt;=16000,"High Income",
HRData[[#This Row],[MonthlyIncome]]&gt;16000,"Very High Income"
)</f>
        <v>Low Income</v>
      </c>
      <c r="Y610">
        <v>21519</v>
      </c>
      <c r="Z610">
        <v>4</v>
      </c>
      <c r="AA610" t="s">
        <v>42</v>
      </c>
      <c r="AB610" t="s">
        <v>43</v>
      </c>
      <c r="AC610">
        <v>16</v>
      </c>
      <c r="AD610" t="str" cm="1">
        <f t="array" ref="AD610">_xlfn.IFS(HRData[[#This Row],[PercentSalaryHike]]&lt;=15,"11-15",HRData[[#This Row],[PercentSalaryHike]]&lt;=20,"16-20",HRData[[#This Row],[PercentSalaryHike]]&gt;=21,"21+")</f>
        <v>16-20</v>
      </c>
      <c r="AE610">
        <v>3</v>
      </c>
      <c r="AF610">
        <v>3</v>
      </c>
      <c r="AG610">
        <v>80</v>
      </c>
      <c r="AH610">
        <v>0</v>
      </c>
      <c r="AI610">
        <v>12</v>
      </c>
      <c r="AJ610">
        <v>3</v>
      </c>
      <c r="AK610">
        <v>2</v>
      </c>
      <c r="AL610">
        <v>9</v>
      </c>
      <c r="AM610">
        <v>7</v>
      </c>
      <c r="AN610">
        <v>7</v>
      </c>
      <c r="AO610">
        <v>3</v>
      </c>
      <c r="AP61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10" t="str">
        <f>IF(HRData[[#This Row],[Attrition]]="Yes","Left", IF(HRData[[#This Row],[Attrition_Risk_Score]]&gt;=6,"High",IF(HRData[[#This Row],[Attrition_Risk_Score]]&gt;=3,"Medium","Low")))</f>
        <v>Left</v>
      </c>
      <c r="AR610" t="str">
        <f>IF(HRData[[#This Row],[Attrition_Risk_Level]]&lt;&gt;"High","",HRData[[#This Row],[Attrition_Risk_Score]]*10000-HRData[[#This Row],[EmployeeNumber]])</f>
        <v/>
      </c>
    </row>
    <row r="611" spans="1:44">
      <c r="A611">
        <v>43</v>
      </c>
      <c r="B611" t="str" cm="1">
        <f t="array" ref="B611">_xlfn.IFS(
HRData[[#This Row],[Age]]&lt;=24,"18-24",
HRData[[#This Row],[Age]]&lt;=34,"25-34",
HRData[[#This Row],[Age]]&lt;=44,"35-44",
HRData[[#This Row],[Age]]&lt;=54,"45-54",
HRData[[#This Row],[Age]]&gt;=55,"55+"
)</f>
        <v>35-44</v>
      </c>
      <c r="C611" t="s">
        <v>43</v>
      </c>
      <c r="D611">
        <f>IF(HRData[[#This Row],[Attrition]]="Yes",1,0)</f>
        <v>0</v>
      </c>
      <c r="E611" t="s">
        <v>36</v>
      </c>
      <c r="F611">
        <v>589</v>
      </c>
      <c r="G611" t="s">
        <v>45</v>
      </c>
      <c r="H611">
        <v>14</v>
      </c>
      <c r="I611">
        <v>2</v>
      </c>
      <c r="J611" t="s">
        <v>38</v>
      </c>
      <c r="K611">
        <v>1</v>
      </c>
      <c r="L611">
        <v>843</v>
      </c>
      <c r="M611">
        <v>2</v>
      </c>
      <c r="N611" t="str" cm="1">
        <f t="array" ref="N611">_xlfn.IFS(HRData[[#This Row],[EnvironmentSatisfaction]]=1,"Very Dissatisfied",
HRData[[#This Row],[EnvironmentSatisfaction]]=2,"Dissatisfied",
HRData[[#This Row],[EnvironmentSatisfaction]]=3,"Satisfied",
HRData[[#This Row],[EnvironmentSatisfaction]]=4,"Very Satisfied"
)</f>
        <v>Dissatisfied</v>
      </c>
      <c r="O611" t="s">
        <v>46</v>
      </c>
      <c r="P611">
        <v>94</v>
      </c>
      <c r="Q611">
        <v>3</v>
      </c>
      <c r="R611">
        <v>4</v>
      </c>
      <c r="S611" t="s">
        <v>58</v>
      </c>
      <c r="T611">
        <v>1</v>
      </c>
      <c r="U611" t="str" cm="1">
        <f t="array" ref="U611">_xlfn.IFS(
HRData[[#This Row],[JobSatisfaction]]=1,"Very Dissatisfied",
HRData[[#This Row],[JobSatisfaction]]=2,"Dissatisfied",
HRData[[#This Row],[JobSatisfaction]]=3,"Satisfied",
HRData[[#This Row],[JobSatisfaction]]=4,"Very Satisfied"
)</f>
        <v>Very Dissatisfied</v>
      </c>
      <c r="V611" t="s">
        <v>48</v>
      </c>
      <c r="W611">
        <v>17159</v>
      </c>
      <c r="X611" t="str" cm="1">
        <f t="array" ref="X611">_xlfn.IFS(
HRData[[#This Row],[MonthlyIncome]]&lt;=4000,"Very Low Income",
HRData[[#This Row],[MonthlyIncome]]&lt;=8000,"Low Income",
HRData[[#This Row],[MonthlyIncome]]&lt;=12000,"Moderate Income",
HRData[[#This Row],[MonthlyIncome]]&lt;=16000,"High Income",
HRData[[#This Row],[MonthlyIncome]]&gt;16000,"Very High Income"
)</f>
        <v>Very High Income</v>
      </c>
      <c r="Y611">
        <v>5200</v>
      </c>
      <c r="Z611">
        <v>6</v>
      </c>
      <c r="AA611" t="s">
        <v>42</v>
      </c>
      <c r="AB611" t="s">
        <v>43</v>
      </c>
      <c r="AC611">
        <v>24</v>
      </c>
      <c r="AD611" t="str" cm="1">
        <f t="array" ref="AD611">_xlfn.IFS(HRData[[#This Row],[PercentSalaryHike]]&lt;=15,"11-15",HRData[[#This Row],[PercentSalaryHike]]&lt;=20,"16-20",HRData[[#This Row],[PercentSalaryHike]]&gt;=21,"21+")</f>
        <v>21+</v>
      </c>
      <c r="AE611">
        <v>4</v>
      </c>
      <c r="AF611">
        <v>3</v>
      </c>
      <c r="AG611">
        <v>80</v>
      </c>
      <c r="AH611">
        <v>1</v>
      </c>
      <c r="AI611">
        <v>22</v>
      </c>
      <c r="AJ611">
        <v>3</v>
      </c>
      <c r="AK611">
        <v>3</v>
      </c>
      <c r="AL611">
        <v>4</v>
      </c>
      <c r="AM611">
        <v>1</v>
      </c>
      <c r="AN611">
        <v>1</v>
      </c>
      <c r="AO611">
        <v>0</v>
      </c>
      <c r="AP61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11" t="str">
        <f>IF(HRData[[#This Row],[Attrition]]="Yes","Left", IF(HRData[[#This Row],[Attrition_Risk_Score]]&gt;=6,"High",IF(HRData[[#This Row],[Attrition_Risk_Score]]&gt;=3,"Medium","Low")))</f>
        <v>Low</v>
      </c>
      <c r="AR611" t="str">
        <f>IF(HRData[[#This Row],[Attrition_Risk_Level]]&lt;&gt;"High","",HRData[[#This Row],[Attrition_Risk_Score]]*10000-HRData[[#This Row],[EmployeeNumber]])</f>
        <v/>
      </c>
    </row>
    <row r="612" spans="1:44">
      <c r="A612">
        <v>27</v>
      </c>
      <c r="B612" t="str" cm="1">
        <f t="array" ref="B612">_xlfn.IFS(
HRData[[#This Row],[Age]]&lt;=24,"18-24",
HRData[[#This Row],[Age]]&lt;=34,"25-34",
HRData[[#This Row],[Age]]&lt;=44,"35-44",
HRData[[#This Row],[Age]]&lt;=54,"45-54",
HRData[[#This Row],[Age]]&gt;=55,"55+"
)</f>
        <v>25-34</v>
      </c>
      <c r="C612" t="s">
        <v>43</v>
      </c>
      <c r="D612">
        <f>IF(HRData[[#This Row],[Attrition]]="Yes",1,0)</f>
        <v>0</v>
      </c>
      <c r="E612" t="s">
        <v>36</v>
      </c>
      <c r="F612">
        <v>269</v>
      </c>
      <c r="G612" t="s">
        <v>45</v>
      </c>
      <c r="H612">
        <v>5</v>
      </c>
      <c r="I612">
        <v>1</v>
      </c>
      <c r="J612" t="s">
        <v>60</v>
      </c>
      <c r="K612">
        <v>1</v>
      </c>
      <c r="L612">
        <v>844</v>
      </c>
      <c r="M612">
        <v>3</v>
      </c>
      <c r="N612" t="str" cm="1">
        <f t="array" ref="N612">_xlfn.IFS(HRData[[#This Row],[EnvironmentSatisfaction]]=1,"Very Dissatisfied",
HRData[[#This Row],[EnvironmentSatisfaction]]=2,"Dissatisfied",
HRData[[#This Row],[EnvironmentSatisfaction]]=3,"Satisfied",
HRData[[#This Row],[EnvironmentSatisfaction]]=4,"Very Satisfied"
)</f>
        <v>Satisfied</v>
      </c>
      <c r="O612" t="s">
        <v>46</v>
      </c>
      <c r="P612">
        <v>42</v>
      </c>
      <c r="Q612">
        <v>2</v>
      </c>
      <c r="R612">
        <v>3</v>
      </c>
      <c r="S612" t="s">
        <v>58</v>
      </c>
      <c r="T612">
        <v>4</v>
      </c>
      <c r="U612" t="str" cm="1">
        <f t="array" ref="U612">_xlfn.IFS(
HRData[[#This Row],[JobSatisfaction]]=1,"Very Dissatisfied",
HRData[[#This Row],[JobSatisfaction]]=2,"Dissatisfied",
HRData[[#This Row],[JobSatisfaction]]=3,"Satisfied",
HRData[[#This Row],[JobSatisfaction]]=4,"Very Satisfied"
)</f>
        <v>Very Satisfied</v>
      </c>
      <c r="V612" t="s">
        <v>52</v>
      </c>
      <c r="W612">
        <v>12808</v>
      </c>
      <c r="X612" t="str" cm="1">
        <f t="array" ref="X612">_xlfn.IFS(
HRData[[#This Row],[MonthlyIncome]]&lt;=4000,"Very Low Income",
HRData[[#This Row],[MonthlyIncome]]&lt;=8000,"Low Income",
HRData[[#This Row],[MonthlyIncome]]&lt;=12000,"Moderate Income",
HRData[[#This Row],[MonthlyIncome]]&lt;=16000,"High Income",
HRData[[#This Row],[MonthlyIncome]]&gt;16000,"Very High Income"
)</f>
        <v>High Income</v>
      </c>
      <c r="Y612">
        <v>8842</v>
      </c>
      <c r="Z612">
        <v>1</v>
      </c>
      <c r="AA612" t="s">
        <v>42</v>
      </c>
      <c r="AB612" t="s">
        <v>35</v>
      </c>
      <c r="AC612">
        <v>16</v>
      </c>
      <c r="AD612" t="str" cm="1">
        <f t="array" ref="AD612">_xlfn.IFS(HRData[[#This Row],[PercentSalaryHike]]&lt;=15,"11-15",HRData[[#This Row],[PercentSalaryHike]]&lt;=20,"16-20",HRData[[#This Row],[PercentSalaryHike]]&gt;=21,"21+")</f>
        <v>16-20</v>
      </c>
      <c r="AE612">
        <v>3</v>
      </c>
      <c r="AF612">
        <v>2</v>
      </c>
      <c r="AG612">
        <v>80</v>
      </c>
      <c r="AH612">
        <v>1</v>
      </c>
      <c r="AI612">
        <v>9</v>
      </c>
      <c r="AJ612">
        <v>3</v>
      </c>
      <c r="AK612">
        <v>3</v>
      </c>
      <c r="AL612">
        <v>9</v>
      </c>
      <c r="AM612">
        <v>8</v>
      </c>
      <c r="AN612">
        <v>0</v>
      </c>
      <c r="AO612">
        <v>8</v>
      </c>
      <c r="AP61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12" t="str">
        <f>IF(HRData[[#This Row],[Attrition]]="Yes","Left", IF(HRData[[#This Row],[Attrition_Risk_Score]]&gt;=6,"High",IF(HRData[[#This Row],[Attrition_Risk_Score]]&gt;=3,"Medium","Low")))</f>
        <v>Medium</v>
      </c>
      <c r="AR612" t="str">
        <f>IF(HRData[[#This Row],[Attrition_Risk_Level]]&lt;&gt;"High","",HRData[[#This Row],[Attrition_Risk_Score]]*10000-HRData[[#This Row],[EmployeeNumber]])</f>
        <v/>
      </c>
    </row>
    <row r="613" spans="1:44">
      <c r="A613">
        <v>35</v>
      </c>
      <c r="B613" t="str" cm="1">
        <f t="array" ref="B613">_xlfn.IFS(
HRData[[#This Row],[Age]]&lt;=24,"18-24",
HRData[[#This Row],[Age]]&lt;=34,"25-34",
HRData[[#This Row],[Age]]&lt;=44,"35-44",
HRData[[#This Row],[Age]]&lt;=54,"45-54",
HRData[[#This Row],[Age]]&gt;=55,"55+"
)</f>
        <v>35-44</v>
      </c>
      <c r="C613" t="s">
        <v>43</v>
      </c>
      <c r="D613">
        <f>IF(HRData[[#This Row],[Attrition]]="Yes",1,0)</f>
        <v>0</v>
      </c>
      <c r="E613" t="s">
        <v>36</v>
      </c>
      <c r="F613">
        <v>950</v>
      </c>
      <c r="G613" t="s">
        <v>45</v>
      </c>
      <c r="H613">
        <v>7</v>
      </c>
      <c r="I613">
        <v>3</v>
      </c>
      <c r="J613" t="s">
        <v>49</v>
      </c>
      <c r="K613">
        <v>1</v>
      </c>
      <c r="L613">
        <v>845</v>
      </c>
      <c r="M613">
        <v>3</v>
      </c>
      <c r="N613" t="str" cm="1">
        <f t="array" ref="N613">_xlfn.IFS(HRData[[#This Row],[EnvironmentSatisfaction]]=1,"Very Dissatisfied",
HRData[[#This Row],[EnvironmentSatisfaction]]=2,"Dissatisfied",
HRData[[#This Row],[EnvironmentSatisfaction]]=3,"Satisfied",
HRData[[#This Row],[EnvironmentSatisfaction]]=4,"Very Satisfied"
)</f>
        <v>Satisfied</v>
      </c>
      <c r="O613" t="s">
        <v>46</v>
      </c>
      <c r="P613">
        <v>59</v>
      </c>
      <c r="Q613">
        <v>3</v>
      </c>
      <c r="R613">
        <v>3</v>
      </c>
      <c r="S613" t="s">
        <v>53</v>
      </c>
      <c r="T613">
        <v>3</v>
      </c>
      <c r="U613" t="str" cm="1">
        <f t="array" ref="U613">_xlfn.IFS(
HRData[[#This Row],[JobSatisfaction]]=1,"Very Dissatisfied",
HRData[[#This Row],[JobSatisfaction]]=2,"Dissatisfied",
HRData[[#This Row],[JobSatisfaction]]=3,"Satisfied",
HRData[[#This Row],[JobSatisfaction]]=4,"Very Satisfied"
)</f>
        <v>Satisfied</v>
      </c>
      <c r="V613" t="s">
        <v>41</v>
      </c>
      <c r="W613">
        <v>10221</v>
      </c>
      <c r="X613" t="str" cm="1">
        <f t="array" ref="X613">_xlfn.IFS(
HRData[[#This Row],[MonthlyIncome]]&lt;=4000,"Very Low Income",
HRData[[#This Row],[MonthlyIncome]]&lt;=8000,"Low Income",
HRData[[#This Row],[MonthlyIncome]]&lt;=12000,"Moderate Income",
HRData[[#This Row],[MonthlyIncome]]&lt;=16000,"High Income",
HRData[[#This Row],[MonthlyIncome]]&gt;16000,"Very High Income"
)</f>
        <v>Moderate Income</v>
      </c>
      <c r="Y613">
        <v>18869</v>
      </c>
      <c r="Z613">
        <v>3</v>
      </c>
      <c r="AA613" t="s">
        <v>42</v>
      </c>
      <c r="AB613" t="s">
        <v>43</v>
      </c>
      <c r="AC613">
        <v>21</v>
      </c>
      <c r="AD613" t="str" cm="1">
        <f t="array" ref="AD613">_xlfn.IFS(HRData[[#This Row],[PercentSalaryHike]]&lt;=15,"11-15",HRData[[#This Row],[PercentSalaryHike]]&lt;=20,"16-20",HRData[[#This Row],[PercentSalaryHike]]&gt;=21,"21+")</f>
        <v>21+</v>
      </c>
      <c r="AE613">
        <v>4</v>
      </c>
      <c r="AF613">
        <v>2</v>
      </c>
      <c r="AG613">
        <v>80</v>
      </c>
      <c r="AH613">
        <v>0</v>
      </c>
      <c r="AI613">
        <v>17</v>
      </c>
      <c r="AJ613">
        <v>3</v>
      </c>
      <c r="AK613">
        <v>4</v>
      </c>
      <c r="AL613">
        <v>8</v>
      </c>
      <c r="AM613">
        <v>5</v>
      </c>
      <c r="AN613">
        <v>1</v>
      </c>
      <c r="AO613">
        <v>6</v>
      </c>
      <c r="AP61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613" t="str">
        <f>IF(HRData[[#This Row],[Attrition]]="Yes","Left", IF(HRData[[#This Row],[Attrition_Risk_Score]]&gt;=6,"High",IF(HRData[[#This Row],[Attrition_Risk_Score]]&gt;=3,"Medium","Low")))</f>
        <v>Low</v>
      </c>
      <c r="AR613" t="str">
        <f>IF(HRData[[#This Row],[Attrition_Risk_Level]]&lt;&gt;"High","",HRData[[#This Row],[Attrition_Risk_Score]]*10000-HRData[[#This Row],[EmployeeNumber]])</f>
        <v/>
      </c>
    </row>
    <row r="614" spans="1:44">
      <c r="A614">
        <v>28</v>
      </c>
      <c r="B614" t="str" cm="1">
        <f t="array" ref="B614">_xlfn.IFS(
HRData[[#This Row],[Age]]&lt;=24,"18-24",
HRData[[#This Row],[Age]]&lt;=34,"25-34",
HRData[[#This Row],[Age]]&lt;=44,"35-44",
HRData[[#This Row],[Age]]&lt;=54,"45-54",
HRData[[#This Row],[Age]]&gt;=55,"55+"
)</f>
        <v>25-34</v>
      </c>
      <c r="C614" t="s">
        <v>43</v>
      </c>
      <c r="D614">
        <f>IF(HRData[[#This Row],[Attrition]]="Yes",1,0)</f>
        <v>0</v>
      </c>
      <c r="E614" t="s">
        <v>36</v>
      </c>
      <c r="F614">
        <v>760</v>
      </c>
      <c r="G614" t="s">
        <v>37</v>
      </c>
      <c r="H614">
        <v>2</v>
      </c>
      <c r="I614">
        <v>4</v>
      </c>
      <c r="J614" t="s">
        <v>59</v>
      </c>
      <c r="K614">
        <v>1</v>
      </c>
      <c r="L614">
        <v>846</v>
      </c>
      <c r="M614">
        <v>2</v>
      </c>
      <c r="N614" t="str" cm="1">
        <f t="array" ref="N614">_xlfn.IFS(HRData[[#This Row],[EnvironmentSatisfaction]]=1,"Very Dissatisfied",
HRData[[#This Row],[EnvironmentSatisfaction]]=2,"Dissatisfied",
HRData[[#This Row],[EnvironmentSatisfaction]]=3,"Satisfied",
HRData[[#This Row],[EnvironmentSatisfaction]]=4,"Very Satisfied"
)</f>
        <v>Dissatisfied</v>
      </c>
      <c r="O614" t="s">
        <v>39</v>
      </c>
      <c r="P614">
        <v>81</v>
      </c>
      <c r="Q614">
        <v>3</v>
      </c>
      <c r="R614">
        <v>2</v>
      </c>
      <c r="S614" t="s">
        <v>40</v>
      </c>
      <c r="T614">
        <v>2</v>
      </c>
      <c r="U614" t="str" cm="1">
        <f t="array" ref="U614">_xlfn.IFS(
HRData[[#This Row],[JobSatisfaction]]=1,"Very Dissatisfied",
HRData[[#This Row],[JobSatisfaction]]=2,"Dissatisfied",
HRData[[#This Row],[JobSatisfaction]]=3,"Satisfied",
HRData[[#This Row],[JobSatisfaction]]=4,"Very Satisfied"
)</f>
        <v>Dissatisfied</v>
      </c>
      <c r="V614" t="s">
        <v>48</v>
      </c>
      <c r="W614">
        <v>4779</v>
      </c>
      <c r="X614" t="str" cm="1">
        <f t="array" ref="X614">_xlfn.IFS(
HRData[[#This Row],[MonthlyIncome]]&lt;=4000,"Very Low Income",
HRData[[#This Row],[MonthlyIncome]]&lt;=8000,"Low Income",
HRData[[#This Row],[MonthlyIncome]]&lt;=12000,"Moderate Income",
HRData[[#This Row],[MonthlyIncome]]&lt;=16000,"High Income",
HRData[[#This Row],[MonthlyIncome]]&gt;16000,"Very High Income"
)</f>
        <v>Low Income</v>
      </c>
      <c r="Y614">
        <v>3698</v>
      </c>
      <c r="Z614">
        <v>1</v>
      </c>
      <c r="AA614" t="s">
        <v>42</v>
      </c>
      <c r="AB614" t="s">
        <v>35</v>
      </c>
      <c r="AC614">
        <v>20</v>
      </c>
      <c r="AD614" t="str" cm="1">
        <f t="array" ref="AD614">_xlfn.IFS(HRData[[#This Row],[PercentSalaryHike]]&lt;=15,"11-15",HRData[[#This Row],[PercentSalaryHike]]&lt;=20,"16-20",HRData[[#This Row],[PercentSalaryHike]]&gt;=21,"21+")</f>
        <v>16-20</v>
      </c>
      <c r="AE614">
        <v>4</v>
      </c>
      <c r="AF614">
        <v>1</v>
      </c>
      <c r="AG614">
        <v>80</v>
      </c>
      <c r="AH614">
        <v>0</v>
      </c>
      <c r="AI614">
        <v>8</v>
      </c>
      <c r="AJ614">
        <v>2</v>
      </c>
      <c r="AK614">
        <v>3</v>
      </c>
      <c r="AL614">
        <v>8</v>
      </c>
      <c r="AM614">
        <v>7</v>
      </c>
      <c r="AN614">
        <v>7</v>
      </c>
      <c r="AO614">
        <v>5</v>
      </c>
      <c r="AP61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14" t="str">
        <f>IF(HRData[[#This Row],[Attrition]]="Yes","Left", IF(HRData[[#This Row],[Attrition_Risk_Score]]&gt;=6,"High",IF(HRData[[#This Row],[Attrition_Risk_Score]]&gt;=3,"Medium","Low")))</f>
        <v>Medium</v>
      </c>
      <c r="AR614" t="str">
        <f>IF(HRData[[#This Row],[Attrition_Risk_Level]]&lt;&gt;"High","",HRData[[#This Row],[Attrition_Risk_Score]]*10000-HRData[[#This Row],[EmployeeNumber]])</f>
        <v/>
      </c>
    </row>
    <row r="615" spans="1:44">
      <c r="A615">
        <v>34</v>
      </c>
      <c r="B615" t="str" cm="1">
        <f t="array" ref="B615">_xlfn.IFS(
HRData[[#This Row],[Age]]&lt;=24,"18-24",
HRData[[#This Row],[Age]]&lt;=34,"25-34",
HRData[[#This Row],[Age]]&lt;=44,"35-44",
HRData[[#This Row],[Age]]&lt;=54,"45-54",
HRData[[#This Row],[Age]]&gt;=55,"55+"
)</f>
        <v>25-34</v>
      </c>
      <c r="C615" t="s">
        <v>43</v>
      </c>
      <c r="D615">
        <f>IF(HRData[[#This Row],[Attrition]]="Yes",1,0)</f>
        <v>0</v>
      </c>
      <c r="E615" t="s">
        <v>36</v>
      </c>
      <c r="F615">
        <v>829</v>
      </c>
      <c r="G615" t="s">
        <v>61</v>
      </c>
      <c r="H615">
        <v>3</v>
      </c>
      <c r="I615">
        <v>2</v>
      </c>
      <c r="J615" t="s">
        <v>61</v>
      </c>
      <c r="K615">
        <v>1</v>
      </c>
      <c r="L615">
        <v>847</v>
      </c>
      <c r="M615">
        <v>3</v>
      </c>
      <c r="N615" t="str" cm="1">
        <f t="array" ref="N615">_xlfn.IFS(HRData[[#This Row],[EnvironmentSatisfaction]]=1,"Very Dissatisfied",
HRData[[#This Row],[EnvironmentSatisfaction]]=2,"Dissatisfied",
HRData[[#This Row],[EnvironmentSatisfaction]]=3,"Satisfied",
HRData[[#This Row],[EnvironmentSatisfaction]]=4,"Very Satisfied"
)</f>
        <v>Satisfied</v>
      </c>
      <c r="O615" t="s">
        <v>46</v>
      </c>
      <c r="P615">
        <v>88</v>
      </c>
      <c r="Q615">
        <v>3</v>
      </c>
      <c r="R615">
        <v>1</v>
      </c>
      <c r="S615" t="s">
        <v>61</v>
      </c>
      <c r="T615">
        <v>4</v>
      </c>
      <c r="U615" t="str" cm="1">
        <f t="array" ref="U615">_xlfn.IFS(
HRData[[#This Row],[JobSatisfaction]]=1,"Very Dissatisfied",
HRData[[#This Row],[JobSatisfaction]]=2,"Dissatisfied",
HRData[[#This Row],[JobSatisfaction]]=3,"Satisfied",
HRData[[#This Row],[JobSatisfaction]]=4,"Very Satisfied"
)</f>
        <v>Very Satisfied</v>
      </c>
      <c r="V615" t="s">
        <v>48</v>
      </c>
      <c r="W615">
        <v>3737</v>
      </c>
      <c r="X615" t="str" cm="1">
        <f t="array" ref="X615">_xlfn.IFS(
HRData[[#This Row],[MonthlyIncome]]&lt;=4000,"Very Low Income",
HRData[[#This Row],[MonthlyIncome]]&lt;=8000,"Low Income",
HRData[[#This Row],[MonthlyIncome]]&lt;=12000,"Moderate Income",
HRData[[#This Row],[MonthlyIncome]]&lt;=16000,"High Income",
HRData[[#This Row],[MonthlyIncome]]&gt;16000,"Very High Income"
)</f>
        <v>Very Low Income</v>
      </c>
      <c r="Y615">
        <v>2243</v>
      </c>
      <c r="Z615">
        <v>0</v>
      </c>
      <c r="AA615" t="s">
        <v>42</v>
      </c>
      <c r="AB615" t="s">
        <v>43</v>
      </c>
      <c r="AC615">
        <v>19</v>
      </c>
      <c r="AD615" t="str" cm="1">
        <f t="array" ref="AD615">_xlfn.IFS(HRData[[#This Row],[PercentSalaryHike]]&lt;=15,"11-15",HRData[[#This Row],[PercentSalaryHike]]&lt;=20,"16-20",HRData[[#This Row],[PercentSalaryHike]]&gt;=21,"21+")</f>
        <v>16-20</v>
      </c>
      <c r="AE615">
        <v>3</v>
      </c>
      <c r="AF615">
        <v>3</v>
      </c>
      <c r="AG615">
        <v>80</v>
      </c>
      <c r="AH615">
        <v>1</v>
      </c>
      <c r="AI615">
        <v>4</v>
      </c>
      <c r="AJ615">
        <v>1</v>
      </c>
      <c r="AK615">
        <v>1</v>
      </c>
      <c r="AL615">
        <v>3</v>
      </c>
      <c r="AM615">
        <v>2</v>
      </c>
      <c r="AN615">
        <v>0</v>
      </c>
      <c r="AO615">
        <v>2</v>
      </c>
      <c r="AP61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15" t="str">
        <f>IF(HRData[[#This Row],[Attrition]]="Yes","Left", IF(HRData[[#This Row],[Attrition_Risk_Score]]&gt;=6,"High",IF(HRData[[#This Row],[Attrition_Risk_Score]]&gt;=3,"Medium","Low")))</f>
        <v>Medium</v>
      </c>
      <c r="AR615" t="str">
        <f>IF(HRData[[#This Row],[Attrition_Risk_Level]]&lt;&gt;"High","",HRData[[#This Row],[Attrition_Risk_Score]]*10000-HRData[[#This Row],[EmployeeNumber]])</f>
        <v/>
      </c>
    </row>
    <row r="616" spans="1:44">
      <c r="A616">
        <v>26</v>
      </c>
      <c r="B616" t="str" cm="1">
        <f t="array" ref="B616">_xlfn.IFS(
HRData[[#This Row],[Age]]&lt;=24,"18-24",
HRData[[#This Row],[Age]]&lt;=34,"25-34",
HRData[[#This Row],[Age]]&lt;=44,"35-44",
HRData[[#This Row],[Age]]&lt;=54,"45-54",
HRData[[#This Row],[Age]]&gt;=55,"55+"
)</f>
        <v>25-34</v>
      </c>
      <c r="C616" t="s">
        <v>35</v>
      </c>
      <c r="D616">
        <f>IF(HRData[[#This Row],[Attrition]]="Yes",1,0)</f>
        <v>1</v>
      </c>
      <c r="E616" t="s">
        <v>44</v>
      </c>
      <c r="F616">
        <v>887</v>
      </c>
      <c r="G616" t="s">
        <v>45</v>
      </c>
      <c r="H616">
        <v>5</v>
      </c>
      <c r="I616">
        <v>2</v>
      </c>
      <c r="J616" t="s">
        <v>51</v>
      </c>
      <c r="K616">
        <v>1</v>
      </c>
      <c r="L616">
        <v>848</v>
      </c>
      <c r="M616">
        <v>3</v>
      </c>
      <c r="N616" t="str" cm="1">
        <f t="array" ref="N616">_xlfn.IFS(HRData[[#This Row],[EnvironmentSatisfaction]]=1,"Very Dissatisfied",
HRData[[#This Row],[EnvironmentSatisfaction]]=2,"Dissatisfied",
HRData[[#This Row],[EnvironmentSatisfaction]]=3,"Satisfied",
HRData[[#This Row],[EnvironmentSatisfaction]]=4,"Very Satisfied"
)</f>
        <v>Satisfied</v>
      </c>
      <c r="O616" t="s">
        <v>39</v>
      </c>
      <c r="P616">
        <v>88</v>
      </c>
      <c r="Q616">
        <v>2</v>
      </c>
      <c r="R616">
        <v>1</v>
      </c>
      <c r="S616" t="s">
        <v>47</v>
      </c>
      <c r="T616">
        <v>3</v>
      </c>
      <c r="U616" t="str" cm="1">
        <f t="array" ref="U616">_xlfn.IFS(
HRData[[#This Row],[JobSatisfaction]]=1,"Very Dissatisfied",
HRData[[#This Row],[JobSatisfaction]]=2,"Dissatisfied",
HRData[[#This Row],[JobSatisfaction]]=3,"Satisfied",
HRData[[#This Row],[JobSatisfaction]]=4,"Very Satisfied"
)</f>
        <v>Satisfied</v>
      </c>
      <c r="V616" t="s">
        <v>48</v>
      </c>
      <c r="W616">
        <v>2366</v>
      </c>
      <c r="X616" t="str" cm="1">
        <f t="array" ref="X616">_xlfn.IFS(
HRData[[#This Row],[MonthlyIncome]]&lt;=4000,"Very Low Income",
HRData[[#This Row],[MonthlyIncome]]&lt;=8000,"Low Income",
HRData[[#This Row],[MonthlyIncome]]&lt;=12000,"Moderate Income",
HRData[[#This Row],[MonthlyIncome]]&lt;=16000,"High Income",
HRData[[#This Row],[MonthlyIncome]]&gt;16000,"Very High Income"
)</f>
        <v>Very Low Income</v>
      </c>
      <c r="Y616">
        <v>20898</v>
      </c>
      <c r="Z616">
        <v>1</v>
      </c>
      <c r="AA616" t="s">
        <v>42</v>
      </c>
      <c r="AB616" t="s">
        <v>35</v>
      </c>
      <c r="AC616">
        <v>14</v>
      </c>
      <c r="AD616" t="str" cm="1">
        <f t="array" ref="AD616">_xlfn.IFS(HRData[[#This Row],[PercentSalaryHike]]&lt;=15,"11-15",HRData[[#This Row],[PercentSalaryHike]]&lt;=20,"16-20",HRData[[#This Row],[PercentSalaryHike]]&gt;=21,"21+")</f>
        <v>11-15</v>
      </c>
      <c r="AE616">
        <v>3</v>
      </c>
      <c r="AF616">
        <v>1</v>
      </c>
      <c r="AG616">
        <v>80</v>
      </c>
      <c r="AH616">
        <v>1</v>
      </c>
      <c r="AI616">
        <v>8</v>
      </c>
      <c r="AJ616">
        <v>2</v>
      </c>
      <c r="AK616">
        <v>3</v>
      </c>
      <c r="AL616">
        <v>8</v>
      </c>
      <c r="AM616">
        <v>7</v>
      </c>
      <c r="AN616">
        <v>1</v>
      </c>
      <c r="AO616">
        <v>7</v>
      </c>
      <c r="AP61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16" t="str">
        <f>IF(HRData[[#This Row],[Attrition]]="Yes","Left", IF(HRData[[#This Row],[Attrition_Risk_Score]]&gt;=6,"High",IF(HRData[[#This Row],[Attrition_Risk_Score]]&gt;=3,"Medium","Low")))</f>
        <v>Left</v>
      </c>
      <c r="AR616" t="str">
        <f>IF(HRData[[#This Row],[Attrition_Risk_Level]]&lt;&gt;"High","",HRData[[#This Row],[Attrition_Risk_Score]]*10000-HRData[[#This Row],[EmployeeNumber]])</f>
        <v/>
      </c>
    </row>
    <row r="617" spans="1:44">
      <c r="A617">
        <v>27</v>
      </c>
      <c r="B617" t="str" cm="1">
        <f t="array" ref="B617">_xlfn.IFS(
HRData[[#This Row],[Age]]&lt;=24,"18-24",
HRData[[#This Row],[Age]]&lt;=34,"25-34",
HRData[[#This Row],[Age]]&lt;=44,"35-44",
HRData[[#This Row],[Age]]&lt;=54,"45-54",
HRData[[#This Row],[Age]]&gt;=55,"55+"
)</f>
        <v>25-34</v>
      </c>
      <c r="C617" t="s">
        <v>43</v>
      </c>
      <c r="D617">
        <f>IF(HRData[[#This Row],[Attrition]]="Yes",1,0)</f>
        <v>0</v>
      </c>
      <c r="E617" t="s">
        <v>55</v>
      </c>
      <c r="F617">
        <v>443</v>
      </c>
      <c r="G617" t="s">
        <v>45</v>
      </c>
      <c r="H617">
        <v>3</v>
      </c>
      <c r="I617">
        <v>3</v>
      </c>
      <c r="J617" t="s">
        <v>51</v>
      </c>
      <c r="K617">
        <v>1</v>
      </c>
      <c r="L617">
        <v>850</v>
      </c>
      <c r="M617">
        <v>4</v>
      </c>
      <c r="N617" t="str" cm="1">
        <f t="array" ref="N617">_xlfn.IFS(HRData[[#This Row],[EnvironmentSatisfaction]]=1,"Very Dissatisfied",
HRData[[#This Row],[EnvironmentSatisfaction]]=2,"Dissatisfied",
HRData[[#This Row],[EnvironmentSatisfaction]]=3,"Satisfied",
HRData[[#This Row],[EnvironmentSatisfaction]]=4,"Very Satisfied"
)</f>
        <v>Very Satisfied</v>
      </c>
      <c r="O617" t="s">
        <v>46</v>
      </c>
      <c r="P617">
        <v>50</v>
      </c>
      <c r="Q617">
        <v>3</v>
      </c>
      <c r="R617">
        <v>1</v>
      </c>
      <c r="S617" t="s">
        <v>47</v>
      </c>
      <c r="T617">
        <v>4</v>
      </c>
      <c r="U617" t="str" cm="1">
        <f t="array" ref="U617">_xlfn.IFS(
HRData[[#This Row],[JobSatisfaction]]=1,"Very Dissatisfied",
HRData[[#This Row],[JobSatisfaction]]=2,"Dissatisfied",
HRData[[#This Row],[JobSatisfaction]]=3,"Satisfied",
HRData[[#This Row],[JobSatisfaction]]=4,"Very Satisfied"
)</f>
        <v>Very Satisfied</v>
      </c>
      <c r="V617" t="s">
        <v>48</v>
      </c>
      <c r="W617">
        <v>1706</v>
      </c>
      <c r="X617" t="str" cm="1">
        <f t="array" ref="X617">_xlfn.IFS(
HRData[[#This Row],[MonthlyIncome]]&lt;=4000,"Very Low Income",
HRData[[#This Row],[MonthlyIncome]]&lt;=8000,"Low Income",
HRData[[#This Row],[MonthlyIncome]]&lt;=12000,"Moderate Income",
HRData[[#This Row],[MonthlyIncome]]&lt;=16000,"High Income",
HRData[[#This Row],[MonthlyIncome]]&gt;16000,"Very High Income"
)</f>
        <v>Very Low Income</v>
      </c>
      <c r="Y617">
        <v>16571</v>
      </c>
      <c r="Z617">
        <v>1</v>
      </c>
      <c r="AA617" t="s">
        <v>42</v>
      </c>
      <c r="AB617" t="s">
        <v>43</v>
      </c>
      <c r="AC617">
        <v>11</v>
      </c>
      <c r="AD617" t="str" cm="1">
        <f t="array" ref="AD617">_xlfn.IFS(HRData[[#This Row],[PercentSalaryHike]]&lt;=15,"11-15",HRData[[#This Row],[PercentSalaryHike]]&lt;=20,"16-20",HRData[[#This Row],[PercentSalaryHike]]&gt;=21,"21+")</f>
        <v>11-15</v>
      </c>
      <c r="AE617">
        <v>3</v>
      </c>
      <c r="AF617">
        <v>3</v>
      </c>
      <c r="AG617">
        <v>80</v>
      </c>
      <c r="AH617">
        <v>3</v>
      </c>
      <c r="AI617">
        <v>0</v>
      </c>
      <c r="AJ617">
        <v>6</v>
      </c>
      <c r="AK617">
        <v>2</v>
      </c>
      <c r="AL617">
        <v>0</v>
      </c>
      <c r="AM617">
        <v>0</v>
      </c>
      <c r="AN617">
        <v>0</v>
      </c>
      <c r="AO617">
        <v>0</v>
      </c>
      <c r="AP61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17" t="str">
        <f>IF(HRData[[#This Row],[Attrition]]="Yes","Left", IF(HRData[[#This Row],[Attrition_Risk_Score]]&gt;=6,"High",IF(HRData[[#This Row],[Attrition_Risk_Score]]&gt;=3,"Medium","Low")))</f>
        <v>Medium</v>
      </c>
      <c r="AR617" t="str">
        <f>IF(HRData[[#This Row],[Attrition_Risk_Level]]&lt;&gt;"High","",HRData[[#This Row],[Attrition_Risk_Score]]*10000-HRData[[#This Row],[EmployeeNumber]])</f>
        <v/>
      </c>
    </row>
    <row r="618" spans="1:44">
      <c r="A618">
        <v>51</v>
      </c>
      <c r="B618" t="str" cm="1">
        <f t="array" ref="B618">_xlfn.IFS(
HRData[[#This Row],[Age]]&lt;=24,"18-24",
HRData[[#This Row],[Age]]&lt;=34,"25-34",
HRData[[#This Row],[Age]]&lt;=44,"35-44",
HRData[[#This Row],[Age]]&lt;=54,"45-54",
HRData[[#This Row],[Age]]&gt;=55,"55+"
)</f>
        <v>45-54</v>
      </c>
      <c r="C618" t="s">
        <v>43</v>
      </c>
      <c r="D618">
        <f>IF(HRData[[#This Row],[Attrition]]="Yes",1,0)</f>
        <v>0</v>
      </c>
      <c r="E618" t="s">
        <v>36</v>
      </c>
      <c r="F618">
        <v>1318</v>
      </c>
      <c r="G618" t="s">
        <v>37</v>
      </c>
      <c r="H618">
        <v>26</v>
      </c>
      <c r="I618">
        <v>4</v>
      </c>
      <c r="J618" t="s">
        <v>59</v>
      </c>
      <c r="K618">
        <v>1</v>
      </c>
      <c r="L618">
        <v>851</v>
      </c>
      <c r="M618">
        <v>1</v>
      </c>
      <c r="N618" t="str" cm="1">
        <f t="array" ref="N618">_xlfn.IFS(HRData[[#This Row],[EnvironmentSatisfaction]]=1,"Very Dissatisfied",
HRData[[#This Row],[EnvironmentSatisfaction]]=2,"Dissatisfied",
HRData[[#This Row],[EnvironmentSatisfaction]]=3,"Satisfied",
HRData[[#This Row],[EnvironmentSatisfaction]]=4,"Very Satisfied"
)</f>
        <v>Very Dissatisfied</v>
      </c>
      <c r="O618" t="s">
        <v>39</v>
      </c>
      <c r="P618">
        <v>66</v>
      </c>
      <c r="Q618">
        <v>3</v>
      </c>
      <c r="R618">
        <v>4</v>
      </c>
      <c r="S618" t="s">
        <v>56</v>
      </c>
      <c r="T618">
        <v>3</v>
      </c>
      <c r="U618" t="str" cm="1">
        <f t="array" ref="U618">_xlfn.IFS(
HRData[[#This Row],[JobSatisfaction]]=1,"Very Dissatisfied",
HRData[[#This Row],[JobSatisfaction]]=2,"Dissatisfied",
HRData[[#This Row],[JobSatisfaction]]=3,"Satisfied",
HRData[[#This Row],[JobSatisfaction]]=4,"Very Satisfied"
)</f>
        <v>Satisfied</v>
      </c>
      <c r="V618" t="s">
        <v>48</v>
      </c>
      <c r="W618">
        <v>16307</v>
      </c>
      <c r="X618" t="str" cm="1">
        <f t="array" ref="X618">_xlfn.IFS(
HRData[[#This Row],[MonthlyIncome]]&lt;=4000,"Very Low Income",
HRData[[#This Row],[MonthlyIncome]]&lt;=8000,"Low Income",
HRData[[#This Row],[MonthlyIncome]]&lt;=12000,"Moderate Income",
HRData[[#This Row],[MonthlyIncome]]&lt;=16000,"High Income",
HRData[[#This Row],[MonthlyIncome]]&gt;16000,"Very High Income"
)</f>
        <v>Very High Income</v>
      </c>
      <c r="Y618">
        <v>5594</v>
      </c>
      <c r="Z618">
        <v>2</v>
      </c>
      <c r="AA618" t="s">
        <v>42</v>
      </c>
      <c r="AB618" t="s">
        <v>43</v>
      </c>
      <c r="AC618">
        <v>14</v>
      </c>
      <c r="AD618" t="str" cm="1">
        <f t="array" ref="AD618">_xlfn.IFS(HRData[[#This Row],[PercentSalaryHike]]&lt;=15,"11-15",HRData[[#This Row],[PercentSalaryHike]]&lt;=20,"16-20",HRData[[#This Row],[PercentSalaryHike]]&gt;=21,"21+")</f>
        <v>11-15</v>
      </c>
      <c r="AE618">
        <v>3</v>
      </c>
      <c r="AF618">
        <v>3</v>
      </c>
      <c r="AG618">
        <v>80</v>
      </c>
      <c r="AH618">
        <v>1</v>
      </c>
      <c r="AI618">
        <v>29</v>
      </c>
      <c r="AJ618">
        <v>2</v>
      </c>
      <c r="AK618">
        <v>2</v>
      </c>
      <c r="AL618">
        <v>20</v>
      </c>
      <c r="AM618">
        <v>6</v>
      </c>
      <c r="AN618">
        <v>4</v>
      </c>
      <c r="AO618">
        <v>17</v>
      </c>
      <c r="AP61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618" t="str">
        <f>IF(HRData[[#This Row],[Attrition]]="Yes","Left", IF(HRData[[#This Row],[Attrition_Risk_Score]]&gt;=6,"High",IF(HRData[[#This Row],[Attrition_Risk_Score]]&gt;=3,"Medium","Low")))</f>
        <v>Low</v>
      </c>
      <c r="AR618" t="str">
        <f>IF(HRData[[#This Row],[Attrition_Risk_Level]]&lt;&gt;"High","",HRData[[#This Row],[Attrition_Risk_Score]]*10000-HRData[[#This Row],[EmployeeNumber]])</f>
        <v/>
      </c>
    </row>
    <row r="619" spans="1:44">
      <c r="A619">
        <v>44</v>
      </c>
      <c r="B619" t="str" cm="1">
        <f t="array" ref="B619">_xlfn.IFS(
HRData[[#This Row],[Age]]&lt;=24,"18-24",
HRData[[#This Row],[Age]]&lt;=34,"25-34",
HRData[[#This Row],[Age]]&lt;=44,"35-44",
HRData[[#This Row],[Age]]&lt;=54,"45-54",
HRData[[#This Row],[Age]]&gt;=55,"55+"
)</f>
        <v>35-44</v>
      </c>
      <c r="C619" t="s">
        <v>43</v>
      </c>
      <c r="D619">
        <f>IF(HRData[[#This Row],[Attrition]]="Yes",1,0)</f>
        <v>0</v>
      </c>
      <c r="E619" t="s">
        <v>36</v>
      </c>
      <c r="F619">
        <v>625</v>
      </c>
      <c r="G619" t="s">
        <v>45</v>
      </c>
      <c r="H619">
        <v>4</v>
      </c>
      <c r="I619">
        <v>3</v>
      </c>
      <c r="J619" t="s">
        <v>51</v>
      </c>
      <c r="K619">
        <v>1</v>
      </c>
      <c r="L619">
        <v>852</v>
      </c>
      <c r="M619">
        <v>4</v>
      </c>
      <c r="N619" t="str" cm="1">
        <f t="array" ref="N619">_xlfn.IFS(HRData[[#This Row],[EnvironmentSatisfaction]]=1,"Very Dissatisfied",
HRData[[#This Row],[EnvironmentSatisfaction]]=2,"Dissatisfied",
HRData[[#This Row],[EnvironmentSatisfaction]]=3,"Satisfied",
HRData[[#This Row],[EnvironmentSatisfaction]]=4,"Very Satisfied"
)</f>
        <v>Very Satisfied</v>
      </c>
      <c r="O619" t="s">
        <v>46</v>
      </c>
      <c r="P619">
        <v>50</v>
      </c>
      <c r="Q619">
        <v>3</v>
      </c>
      <c r="R619">
        <v>2</v>
      </c>
      <c r="S619" t="s">
        <v>54</v>
      </c>
      <c r="T619">
        <v>2</v>
      </c>
      <c r="U619" t="str" cm="1">
        <f t="array" ref="U619">_xlfn.IFS(
HRData[[#This Row],[JobSatisfaction]]=1,"Very Dissatisfied",
HRData[[#This Row],[JobSatisfaction]]=2,"Dissatisfied",
HRData[[#This Row],[JobSatisfaction]]=3,"Satisfied",
HRData[[#This Row],[JobSatisfaction]]=4,"Very Satisfied"
)</f>
        <v>Dissatisfied</v>
      </c>
      <c r="V619" t="s">
        <v>41</v>
      </c>
      <c r="W619">
        <v>5933</v>
      </c>
      <c r="X619" t="str" cm="1">
        <f t="array" ref="X619">_xlfn.IFS(
HRData[[#This Row],[MonthlyIncome]]&lt;=4000,"Very Low Income",
HRData[[#This Row],[MonthlyIncome]]&lt;=8000,"Low Income",
HRData[[#This Row],[MonthlyIncome]]&lt;=12000,"Moderate Income",
HRData[[#This Row],[MonthlyIncome]]&lt;=16000,"High Income",
HRData[[#This Row],[MonthlyIncome]]&gt;16000,"Very High Income"
)</f>
        <v>Low Income</v>
      </c>
      <c r="Y619">
        <v>5197</v>
      </c>
      <c r="Z619">
        <v>9</v>
      </c>
      <c r="AA619" t="s">
        <v>42</v>
      </c>
      <c r="AB619" t="s">
        <v>43</v>
      </c>
      <c r="AC619">
        <v>12</v>
      </c>
      <c r="AD619" t="str" cm="1">
        <f t="array" ref="AD619">_xlfn.IFS(HRData[[#This Row],[PercentSalaryHike]]&lt;=15,"11-15",HRData[[#This Row],[PercentSalaryHike]]&lt;=20,"16-20",HRData[[#This Row],[PercentSalaryHike]]&gt;=21,"21+")</f>
        <v>11-15</v>
      </c>
      <c r="AE619">
        <v>3</v>
      </c>
      <c r="AF619">
        <v>4</v>
      </c>
      <c r="AG619">
        <v>80</v>
      </c>
      <c r="AH619">
        <v>0</v>
      </c>
      <c r="AI619">
        <v>10</v>
      </c>
      <c r="AJ619">
        <v>2</v>
      </c>
      <c r="AK619">
        <v>2</v>
      </c>
      <c r="AL619">
        <v>5</v>
      </c>
      <c r="AM619">
        <v>2</v>
      </c>
      <c r="AN619">
        <v>2</v>
      </c>
      <c r="AO619">
        <v>3</v>
      </c>
      <c r="AP61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619" t="str">
        <f>IF(HRData[[#This Row],[Attrition]]="Yes","Left", IF(HRData[[#This Row],[Attrition_Risk_Score]]&gt;=6,"High",IF(HRData[[#This Row],[Attrition_Risk_Score]]&gt;=3,"Medium","Low")))</f>
        <v>Low</v>
      </c>
      <c r="AR619" t="str">
        <f>IF(HRData[[#This Row],[Attrition_Risk_Level]]&lt;&gt;"High","",HRData[[#This Row],[Attrition_Risk_Score]]*10000-HRData[[#This Row],[EmployeeNumber]])</f>
        <v/>
      </c>
    </row>
    <row r="620" spans="1:44">
      <c r="A620">
        <v>25</v>
      </c>
      <c r="B620" t="str" cm="1">
        <f t="array" ref="B620">_xlfn.IFS(
HRData[[#This Row],[Age]]&lt;=24,"18-24",
HRData[[#This Row],[Age]]&lt;=34,"25-34",
HRData[[#This Row],[Age]]&lt;=44,"35-44",
HRData[[#This Row],[Age]]&lt;=54,"45-54",
HRData[[#This Row],[Age]]&gt;=55,"55+"
)</f>
        <v>25-34</v>
      </c>
      <c r="C620" t="s">
        <v>43</v>
      </c>
      <c r="D620">
        <f>IF(HRData[[#This Row],[Attrition]]="Yes",1,0)</f>
        <v>0</v>
      </c>
      <c r="E620" t="s">
        <v>36</v>
      </c>
      <c r="F620">
        <v>180</v>
      </c>
      <c r="G620" t="s">
        <v>45</v>
      </c>
      <c r="H620">
        <v>2</v>
      </c>
      <c r="I620">
        <v>1</v>
      </c>
      <c r="J620" t="s">
        <v>51</v>
      </c>
      <c r="K620">
        <v>1</v>
      </c>
      <c r="L620">
        <v>854</v>
      </c>
      <c r="M620">
        <v>1</v>
      </c>
      <c r="N620" t="str" cm="1">
        <f t="array" ref="N620">_xlfn.IFS(HRData[[#This Row],[EnvironmentSatisfaction]]=1,"Very Dissatisfied",
HRData[[#This Row],[EnvironmentSatisfaction]]=2,"Dissatisfied",
HRData[[#This Row],[EnvironmentSatisfaction]]=3,"Satisfied",
HRData[[#This Row],[EnvironmentSatisfaction]]=4,"Very Satisfied"
)</f>
        <v>Very Dissatisfied</v>
      </c>
      <c r="O620" t="s">
        <v>46</v>
      </c>
      <c r="P620">
        <v>65</v>
      </c>
      <c r="Q620">
        <v>4</v>
      </c>
      <c r="R620">
        <v>1</v>
      </c>
      <c r="S620" t="s">
        <v>47</v>
      </c>
      <c r="T620">
        <v>1</v>
      </c>
      <c r="U620" t="str" cm="1">
        <f t="array" ref="U620">_xlfn.IFS(
HRData[[#This Row],[JobSatisfaction]]=1,"Very Dissatisfied",
HRData[[#This Row],[JobSatisfaction]]=2,"Dissatisfied",
HRData[[#This Row],[JobSatisfaction]]=3,"Satisfied",
HRData[[#This Row],[JobSatisfaction]]=4,"Very Satisfied"
)</f>
        <v>Very Dissatisfied</v>
      </c>
      <c r="V620" t="s">
        <v>41</v>
      </c>
      <c r="W620">
        <v>3424</v>
      </c>
      <c r="X620" t="str" cm="1">
        <f t="array" ref="X620">_xlfn.IFS(
HRData[[#This Row],[MonthlyIncome]]&lt;=4000,"Very Low Income",
HRData[[#This Row],[MonthlyIncome]]&lt;=8000,"Low Income",
HRData[[#This Row],[MonthlyIncome]]&lt;=12000,"Moderate Income",
HRData[[#This Row],[MonthlyIncome]]&lt;=16000,"High Income",
HRData[[#This Row],[MonthlyIncome]]&gt;16000,"Very High Income"
)</f>
        <v>Very Low Income</v>
      </c>
      <c r="Y620">
        <v>21632</v>
      </c>
      <c r="Z620">
        <v>7</v>
      </c>
      <c r="AA620" t="s">
        <v>42</v>
      </c>
      <c r="AB620" t="s">
        <v>43</v>
      </c>
      <c r="AC620">
        <v>13</v>
      </c>
      <c r="AD620" t="str" cm="1">
        <f t="array" ref="AD620">_xlfn.IFS(HRData[[#This Row],[PercentSalaryHike]]&lt;=15,"11-15",HRData[[#This Row],[PercentSalaryHike]]&lt;=20,"16-20",HRData[[#This Row],[PercentSalaryHike]]&gt;=21,"21+")</f>
        <v>11-15</v>
      </c>
      <c r="AE620">
        <v>3</v>
      </c>
      <c r="AF620">
        <v>3</v>
      </c>
      <c r="AG620">
        <v>80</v>
      </c>
      <c r="AH620">
        <v>0</v>
      </c>
      <c r="AI620">
        <v>6</v>
      </c>
      <c r="AJ620">
        <v>3</v>
      </c>
      <c r="AK620">
        <v>2</v>
      </c>
      <c r="AL620">
        <v>4</v>
      </c>
      <c r="AM620">
        <v>3</v>
      </c>
      <c r="AN620">
        <v>0</v>
      </c>
      <c r="AO620">
        <v>1</v>
      </c>
      <c r="AP62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620" t="str">
        <f>IF(HRData[[#This Row],[Attrition]]="Yes","Left", IF(HRData[[#This Row],[Attrition_Risk_Score]]&gt;=6,"High",IF(HRData[[#This Row],[Attrition_Risk_Score]]&gt;=3,"Medium","Low")))</f>
        <v>Medium</v>
      </c>
      <c r="AR620" t="str">
        <f>IF(HRData[[#This Row],[Attrition_Risk_Level]]&lt;&gt;"High","",HRData[[#This Row],[Attrition_Risk_Score]]*10000-HRData[[#This Row],[EmployeeNumber]])</f>
        <v/>
      </c>
    </row>
    <row r="621" spans="1:44">
      <c r="A621">
        <v>33</v>
      </c>
      <c r="B621" t="str" cm="1">
        <f t="array" ref="B621">_xlfn.IFS(
HRData[[#This Row],[Age]]&lt;=24,"18-24",
HRData[[#This Row],[Age]]&lt;=34,"25-34",
HRData[[#This Row],[Age]]&lt;=44,"35-44",
HRData[[#This Row],[Age]]&lt;=54,"45-54",
HRData[[#This Row],[Age]]&gt;=55,"55+"
)</f>
        <v>25-34</v>
      </c>
      <c r="C621" t="s">
        <v>43</v>
      </c>
      <c r="D621">
        <f>IF(HRData[[#This Row],[Attrition]]="Yes",1,0)</f>
        <v>0</v>
      </c>
      <c r="E621" t="s">
        <v>36</v>
      </c>
      <c r="F621">
        <v>586</v>
      </c>
      <c r="G621" t="s">
        <v>37</v>
      </c>
      <c r="H621">
        <v>1</v>
      </c>
      <c r="I621">
        <v>3</v>
      </c>
      <c r="J621" t="s">
        <v>51</v>
      </c>
      <c r="K621">
        <v>1</v>
      </c>
      <c r="L621">
        <v>855</v>
      </c>
      <c r="M621">
        <v>1</v>
      </c>
      <c r="N621" t="str" cm="1">
        <f t="array" ref="N621">_xlfn.IFS(HRData[[#This Row],[EnvironmentSatisfaction]]=1,"Very Dissatisfied",
HRData[[#This Row],[EnvironmentSatisfaction]]=2,"Dissatisfied",
HRData[[#This Row],[EnvironmentSatisfaction]]=3,"Satisfied",
HRData[[#This Row],[EnvironmentSatisfaction]]=4,"Very Satisfied"
)</f>
        <v>Very Dissatisfied</v>
      </c>
      <c r="O621" t="s">
        <v>46</v>
      </c>
      <c r="P621">
        <v>48</v>
      </c>
      <c r="Q621">
        <v>4</v>
      </c>
      <c r="R621">
        <v>2</v>
      </c>
      <c r="S621" t="s">
        <v>40</v>
      </c>
      <c r="T621">
        <v>1</v>
      </c>
      <c r="U621" t="str" cm="1">
        <f t="array" ref="U621">_xlfn.IFS(
HRData[[#This Row],[JobSatisfaction]]=1,"Very Dissatisfied",
HRData[[#This Row],[JobSatisfaction]]=2,"Dissatisfied",
HRData[[#This Row],[JobSatisfaction]]=3,"Satisfied",
HRData[[#This Row],[JobSatisfaction]]=4,"Very Satisfied"
)</f>
        <v>Very Dissatisfied</v>
      </c>
      <c r="V621" t="s">
        <v>52</v>
      </c>
      <c r="W621">
        <v>4037</v>
      </c>
      <c r="X621" t="str" cm="1">
        <f t="array" ref="X621">_xlfn.IFS(
HRData[[#This Row],[MonthlyIncome]]&lt;=4000,"Very Low Income",
HRData[[#This Row],[MonthlyIncome]]&lt;=8000,"Low Income",
HRData[[#This Row],[MonthlyIncome]]&lt;=12000,"Moderate Income",
HRData[[#This Row],[MonthlyIncome]]&lt;=16000,"High Income",
HRData[[#This Row],[MonthlyIncome]]&gt;16000,"Very High Income"
)</f>
        <v>Low Income</v>
      </c>
      <c r="Y621">
        <v>21816</v>
      </c>
      <c r="Z621">
        <v>1</v>
      </c>
      <c r="AA621" t="s">
        <v>42</v>
      </c>
      <c r="AB621" t="s">
        <v>43</v>
      </c>
      <c r="AC621">
        <v>22</v>
      </c>
      <c r="AD621" t="str" cm="1">
        <f t="array" ref="AD621">_xlfn.IFS(HRData[[#This Row],[PercentSalaryHike]]&lt;=15,"11-15",HRData[[#This Row],[PercentSalaryHike]]&lt;=20,"16-20",HRData[[#This Row],[PercentSalaryHike]]&gt;=21,"21+")</f>
        <v>21+</v>
      </c>
      <c r="AE621">
        <v>4</v>
      </c>
      <c r="AF621">
        <v>1</v>
      </c>
      <c r="AG621">
        <v>80</v>
      </c>
      <c r="AH621">
        <v>1</v>
      </c>
      <c r="AI621">
        <v>9</v>
      </c>
      <c r="AJ621">
        <v>5</v>
      </c>
      <c r="AK621">
        <v>3</v>
      </c>
      <c r="AL621">
        <v>9</v>
      </c>
      <c r="AM621">
        <v>8</v>
      </c>
      <c r="AN621">
        <v>0</v>
      </c>
      <c r="AO621">
        <v>8</v>
      </c>
      <c r="AP62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21" t="str">
        <f>IF(HRData[[#This Row],[Attrition]]="Yes","Left", IF(HRData[[#This Row],[Attrition_Risk_Score]]&gt;=6,"High",IF(HRData[[#This Row],[Attrition_Risk_Score]]&gt;=3,"Medium","Low")))</f>
        <v>Medium</v>
      </c>
      <c r="AR621" t="str">
        <f>IF(HRData[[#This Row],[Attrition_Risk_Level]]&lt;&gt;"High","",HRData[[#This Row],[Attrition_Risk_Score]]*10000-HRData[[#This Row],[EmployeeNumber]])</f>
        <v/>
      </c>
    </row>
    <row r="622" spans="1:44">
      <c r="A622">
        <v>35</v>
      </c>
      <c r="B622" t="str" cm="1">
        <f t="array" ref="B622">_xlfn.IFS(
HRData[[#This Row],[Age]]&lt;=24,"18-24",
HRData[[#This Row],[Age]]&lt;=34,"25-34",
HRData[[#This Row],[Age]]&lt;=44,"35-44",
HRData[[#This Row],[Age]]&lt;=54,"45-54",
HRData[[#This Row],[Age]]&gt;=55,"55+"
)</f>
        <v>35-44</v>
      </c>
      <c r="C622" t="s">
        <v>43</v>
      </c>
      <c r="D622">
        <f>IF(HRData[[#This Row],[Attrition]]="Yes",1,0)</f>
        <v>0</v>
      </c>
      <c r="E622" t="s">
        <v>36</v>
      </c>
      <c r="F622">
        <v>1343</v>
      </c>
      <c r="G622" t="s">
        <v>45</v>
      </c>
      <c r="H622">
        <v>27</v>
      </c>
      <c r="I622">
        <v>1</v>
      </c>
      <c r="J622" t="s">
        <v>51</v>
      </c>
      <c r="K622">
        <v>1</v>
      </c>
      <c r="L622">
        <v>856</v>
      </c>
      <c r="M622">
        <v>3</v>
      </c>
      <c r="N622" t="str" cm="1">
        <f t="array" ref="N622">_xlfn.IFS(HRData[[#This Row],[EnvironmentSatisfaction]]=1,"Very Dissatisfied",
HRData[[#This Row],[EnvironmentSatisfaction]]=2,"Dissatisfied",
HRData[[#This Row],[EnvironmentSatisfaction]]=3,"Satisfied",
HRData[[#This Row],[EnvironmentSatisfaction]]=4,"Very Satisfied"
)</f>
        <v>Satisfied</v>
      </c>
      <c r="O622" t="s">
        <v>39</v>
      </c>
      <c r="P622">
        <v>53</v>
      </c>
      <c r="Q622">
        <v>2</v>
      </c>
      <c r="R622">
        <v>1</v>
      </c>
      <c r="S622" t="s">
        <v>47</v>
      </c>
      <c r="T622">
        <v>1</v>
      </c>
      <c r="U622" t="str" cm="1">
        <f t="array" ref="U622">_xlfn.IFS(
HRData[[#This Row],[JobSatisfaction]]=1,"Very Dissatisfied",
HRData[[#This Row],[JobSatisfaction]]=2,"Dissatisfied",
HRData[[#This Row],[JobSatisfaction]]=3,"Satisfied",
HRData[[#This Row],[JobSatisfaction]]=4,"Very Satisfied"
)</f>
        <v>Very Dissatisfied</v>
      </c>
      <c r="V622" t="s">
        <v>41</v>
      </c>
      <c r="W622">
        <v>2559</v>
      </c>
      <c r="X622" t="str" cm="1">
        <f t="array" ref="X622">_xlfn.IFS(
HRData[[#This Row],[MonthlyIncome]]&lt;=4000,"Very Low Income",
HRData[[#This Row],[MonthlyIncome]]&lt;=8000,"Low Income",
HRData[[#This Row],[MonthlyIncome]]&lt;=12000,"Moderate Income",
HRData[[#This Row],[MonthlyIncome]]&lt;=16000,"High Income",
HRData[[#This Row],[MonthlyIncome]]&gt;16000,"Very High Income"
)</f>
        <v>Very Low Income</v>
      </c>
      <c r="Y622">
        <v>17852</v>
      </c>
      <c r="Z622">
        <v>1</v>
      </c>
      <c r="AA622" t="s">
        <v>42</v>
      </c>
      <c r="AB622" t="s">
        <v>43</v>
      </c>
      <c r="AC622">
        <v>11</v>
      </c>
      <c r="AD622" t="str" cm="1">
        <f t="array" ref="AD622">_xlfn.IFS(HRData[[#This Row],[PercentSalaryHike]]&lt;=15,"11-15",HRData[[#This Row],[PercentSalaryHike]]&lt;=20,"16-20",HRData[[#This Row],[PercentSalaryHike]]&gt;=21,"21+")</f>
        <v>11-15</v>
      </c>
      <c r="AE622">
        <v>3</v>
      </c>
      <c r="AF622">
        <v>4</v>
      </c>
      <c r="AG622">
        <v>80</v>
      </c>
      <c r="AH622">
        <v>0</v>
      </c>
      <c r="AI622">
        <v>6</v>
      </c>
      <c r="AJ622">
        <v>3</v>
      </c>
      <c r="AK622">
        <v>2</v>
      </c>
      <c r="AL622">
        <v>6</v>
      </c>
      <c r="AM622">
        <v>5</v>
      </c>
      <c r="AN622">
        <v>1</v>
      </c>
      <c r="AO622">
        <v>1</v>
      </c>
      <c r="AP62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22" t="str">
        <f>IF(HRData[[#This Row],[Attrition]]="Yes","Left", IF(HRData[[#This Row],[Attrition_Risk_Score]]&gt;=6,"High",IF(HRData[[#This Row],[Attrition_Risk_Score]]&gt;=3,"Medium","Low")))</f>
        <v>Medium</v>
      </c>
      <c r="AR622" t="str">
        <f>IF(HRData[[#This Row],[Attrition_Risk_Level]]&lt;&gt;"High","",HRData[[#This Row],[Attrition_Risk_Score]]*10000-HRData[[#This Row],[EmployeeNumber]])</f>
        <v/>
      </c>
    </row>
    <row r="623" spans="1:44">
      <c r="A623">
        <v>36</v>
      </c>
      <c r="B623" t="str" cm="1">
        <f t="array" ref="B623">_xlfn.IFS(
HRData[[#This Row],[Age]]&lt;=24,"18-24",
HRData[[#This Row],[Age]]&lt;=34,"25-34",
HRData[[#This Row],[Age]]&lt;=44,"35-44",
HRData[[#This Row],[Age]]&lt;=54,"45-54",
HRData[[#This Row],[Age]]&gt;=55,"55+"
)</f>
        <v>35-44</v>
      </c>
      <c r="C623" t="s">
        <v>43</v>
      </c>
      <c r="D623">
        <f>IF(HRData[[#This Row],[Attrition]]="Yes",1,0)</f>
        <v>0</v>
      </c>
      <c r="E623" t="s">
        <v>36</v>
      </c>
      <c r="F623">
        <v>928</v>
      </c>
      <c r="G623" t="s">
        <v>37</v>
      </c>
      <c r="H623">
        <v>1</v>
      </c>
      <c r="I623">
        <v>2</v>
      </c>
      <c r="J623" t="s">
        <v>38</v>
      </c>
      <c r="K623">
        <v>1</v>
      </c>
      <c r="L623">
        <v>857</v>
      </c>
      <c r="M623">
        <v>2</v>
      </c>
      <c r="N623" t="str" cm="1">
        <f t="array" ref="N623">_xlfn.IFS(HRData[[#This Row],[EnvironmentSatisfaction]]=1,"Very Dissatisfied",
HRData[[#This Row],[EnvironmentSatisfaction]]=2,"Dissatisfied",
HRData[[#This Row],[EnvironmentSatisfaction]]=3,"Satisfied",
HRData[[#This Row],[EnvironmentSatisfaction]]=4,"Very Satisfied"
)</f>
        <v>Dissatisfied</v>
      </c>
      <c r="O623" t="s">
        <v>46</v>
      </c>
      <c r="P623">
        <v>56</v>
      </c>
      <c r="Q623">
        <v>3</v>
      </c>
      <c r="R623">
        <v>2</v>
      </c>
      <c r="S623" t="s">
        <v>40</v>
      </c>
      <c r="T623">
        <v>4</v>
      </c>
      <c r="U623" t="str" cm="1">
        <f t="array" ref="U623">_xlfn.IFS(
HRData[[#This Row],[JobSatisfaction]]=1,"Very Dissatisfied",
HRData[[#This Row],[JobSatisfaction]]=2,"Dissatisfied",
HRData[[#This Row],[JobSatisfaction]]=3,"Satisfied",
HRData[[#This Row],[JobSatisfaction]]=4,"Very Satisfied"
)</f>
        <v>Very Satisfied</v>
      </c>
      <c r="V623" t="s">
        <v>48</v>
      </c>
      <c r="W623">
        <v>6201</v>
      </c>
      <c r="X623" t="str" cm="1">
        <f t="array" ref="X623">_xlfn.IFS(
HRData[[#This Row],[MonthlyIncome]]&lt;=4000,"Very Low Income",
HRData[[#This Row],[MonthlyIncome]]&lt;=8000,"Low Income",
HRData[[#This Row],[MonthlyIncome]]&lt;=12000,"Moderate Income",
HRData[[#This Row],[MonthlyIncome]]&lt;=16000,"High Income",
HRData[[#This Row],[MonthlyIncome]]&gt;16000,"Very High Income"
)</f>
        <v>Low Income</v>
      </c>
      <c r="Y623">
        <v>2823</v>
      </c>
      <c r="Z623">
        <v>1</v>
      </c>
      <c r="AA623" t="s">
        <v>42</v>
      </c>
      <c r="AB623" t="s">
        <v>35</v>
      </c>
      <c r="AC623">
        <v>14</v>
      </c>
      <c r="AD623" t="str" cm="1">
        <f t="array" ref="AD623">_xlfn.IFS(HRData[[#This Row],[PercentSalaryHike]]&lt;=15,"11-15",HRData[[#This Row],[PercentSalaryHike]]&lt;=20,"16-20",HRData[[#This Row],[PercentSalaryHike]]&gt;=21,"21+")</f>
        <v>11-15</v>
      </c>
      <c r="AE623">
        <v>3</v>
      </c>
      <c r="AF623">
        <v>4</v>
      </c>
      <c r="AG623">
        <v>80</v>
      </c>
      <c r="AH623">
        <v>1</v>
      </c>
      <c r="AI623">
        <v>18</v>
      </c>
      <c r="AJ623">
        <v>1</v>
      </c>
      <c r="AK623">
        <v>2</v>
      </c>
      <c r="AL623">
        <v>18</v>
      </c>
      <c r="AM623">
        <v>14</v>
      </c>
      <c r="AN623">
        <v>4</v>
      </c>
      <c r="AO623">
        <v>11</v>
      </c>
      <c r="AP62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23" t="str">
        <f>IF(HRData[[#This Row],[Attrition]]="Yes","Left", IF(HRData[[#This Row],[Attrition_Risk_Score]]&gt;=6,"High",IF(HRData[[#This Row],[Attrition_Risk_Score]]&gt;=3,"Medium","Low")))</f>
        <v>Medium</v>
      </c>
      <c r="AR623" t="str">
        <f>IF(HRData[[#This Row],[Attrition_Risk_Level]]&lt;&gt;"High","",HRData[[#This Row],[Attrition_Risk_Score]]*10000-HRData[[#This Row],[EmployeeNumber]])</f>
        <v/>
      </c>
    </row>
    <row r="624" spans="1:44">
      <c r="A624">
        <v>32</v>
      </c>
      <c r="B624" t="str" cm="1">
        <f t="array" ref="B624">_xlfn.IFS(
HRData[[#This Row],[Age]]&lt;=24,"18-24",
HRData[[#This Row],[Age]]&lt;=34,"25-34",
HRData[[#This Row],[Age]]&lt;=44,"35-44",
HRData[[#This Row],[Age]]&lt;=54,"45-54",
HRData[[#This Row],[Age]]&gt;=55,"55+"
)</f>
        <v>25-34</v>
      </c>
      <c r="C624" t="s">
        <v>43</v>
      </c>
      <c r="D624">
        <f>IF(HRData[[#This Row],[Attrition]]="Yes",1,0)</f>
        <v>0</v>
      </c>
      <c r="E624" t="s">
        <v>36</v>
      </c>
      <c r="F624">
        <v>117</v>
      </c>
      <c r="G624" t="s">
        <v>37</v>
      </c>
      <c r="H624">
        <v>13</v>
      </c>
      <c r="I624">
        <v>4</v>
      </c>
      <c r="J624" t="s">
        <v>38</v>
      </c>
      <c r="K624">
        <v>1</v>
      </c>
      <c r="L624">
        <v>859</v>
      </c>
      <c r="M624">
        <v>2</v>
      </c>
      <c r="N624" t="str" cm="1">
        <f t="array" ref="N624">_xlfn.IFS(HRData[[#This Row],[EnvironmentSatisfaction]]=1,"Very Dissatisfied",
HRData[[#This Row],[EnvironmentSatisfaction]]=2,"Dissatisfied",
HRData[[#This Row],[EnvironmentSatisfaction]]=3,"Satisfied",
HRData[[#This Row],[EnvironmentSatisfaction]]=4,"Very Satisfied"
)</f>
        <v>Dissatisfied</v>
      </c>
      <c r="O624" t="s">
        <v>46</v>
      </c>
      <c r="P624">
        <v>73</v>
      </c>
      <c r="Q624">
        <v>3</v>
      </c>
      <c r="R624">
        <v>2</v>
      </c>
      <c r="S624" t="s">
        <v>40</v>
      </c>
      <c r="T624">
        <v>4</v>
      </c>
      <c r="U624" t="str" cm="1">
        <f t="array" ref="U624">_xlfn.IFS(
HRData[[#This Row],[JobSatisfaction]]=1,"Very Dissatisfied",
HRData[[#This Row],[JobSatisfaction]]=2,"Dissatisfied",
HRData[[#This Row],[JobSatisfaction]]=3,"Satisfied",
HRData[[#This Row],[JobSatisfaction]]=4,"Very Satisfied"
)</f>
        <v>Very Satisfied</v>
      </c>
      <c r="V624" t="s">
        <v>52</v>
      </c>
      <c r="W624">
        <v>4403</v>
      </c>
      <c r="X624" t="str" cm="1">
        <f t="array" ref="X624">_xlfn.IFS(
HRData[[#This Row],[MonthlyIncome]]&lt;=4000,"Very Low Income",
HRData[[#This Row],[MonthlyIncome]]&lt;=8000,"Low Income",
HRData[[#This Row],[MonthlyIncome]]&lt;=12000,"Moderate Income",
HRData[[#This Row],[MonthlyIncome]]&lt;=16000,"High Income",
HRData[[#This Row],[MonthlyIncome]]&gt;16000,"Very High Income"
)</f>
        <v>Low Income</v>
      </c>
      <c r="Y624">
        <v>9250</v>
      </c>
      <c r="Z624">
        <v>2</v>
      </c>
      <c r="AA624" t="s">
        <v>42</v>
      </c>
      <c r="AB624" t="s">
        <v>43</v>
      </c>
      <c r="AC624">
        <v>11</v>
      </c>
      <c r="AD624" t="str" cm="1">
        <f t="array" ref="AD624">_xlfn.IFS(HRData[[#This Row],[PercentSalaryHike]]&lt;=15,"11-15",HRData[[#This Row],[PercentSalaryHike]]&lt;=20,"16-20",HRData[[#This Row],[PercentSalaryHike]]&gt;=21,"21+")</f>
        <v>11-15</v>
      </c>
      <c r="AE624">
        <v>3</v>
      </c>
      <c r="AF624">
        <v>3</v>
      </c>
      <c r="AG624">
        <v>80</v>
      </c>
      <c r="AH624">
        <v>1</v>
      </c>
      <c r="AI624">
        <v>8</v>
      </c>
      <c r="AJ624">
        <v>3</v>
      </c>
      <c r="AK624">
        <v>2</v>
      </c>
      <c r="AL624">
        <v>5</v>
      </c>
      <c r="AM624">
        <v>2</v>
      </c>
      <c r="AN624">
        <v>0</v>
      </c>
      <c r="AO624">
        <v>3</v>
      </c>
      <c r="AP62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24" t="str">
        <f>IF(HRData[[#This Row],[Attrition]]="Yes","Left", IF(HRData[[#This Row],[Attrition_Risk_Score]]&gt;=6,"High",IF(HRData[[#This Row],[Attrition_Risk_Score]]&gt;=3,"Medium","Low")))</f>
        <v>Low</v>
      </c>
      <c r="AR624" t="str">
        <f>IF(HRData[[#This Row],[Attrition_Risk_Level]]&lt;&gt;"High","",HRData[[#This Row],[Attrition_Risk_Score]]*10000-HRData[[#This Row],[EmployeeNumber]])</f>
        <v/>
      </c>
    </row>
    <row r="625" spans="1:44">
      <c r="A625">
        <v>30</v>
      </c>
      <c r="B625" t="str" cm="1">
        <f t="array" ref="B625">_xlfn.IFS(
HRData[[#This Row],[Age]]&lt;=24,"18-24",
HRData[[#This Row],[Age]]&lt;=34,"25-34",
HRData[[#This Row],[Age]]&lt;=44,"35-44",
HRData[[#This Row],[Age]]&lt;=54,"45-54",
HRData[[#This Row],[Age]]&gt;=55,"55+"
)</f>
        <v>25-34</v>
      </c>
      <c r="C625" t="s">
        <v>43</v>
      </c>
      <c r="D625">
        <f>IF(HRData[[#This Row],[Attrition]]="Yes",1,0)</f>
        <v>0</v>
      </c>
      <c r="E625" t="s">
        <v>44</v>
      </c>
      <c r="F625">
        <v>1012</v>
      </c>
      <c r="G625" t="s">
        <v>45</v>
      </c>
      <c r="H625">
        <v>5</v>
      </c>
      <c r="I625">
        <v>4</v>
      </c>
      <c r="J625" t="s">
        <v>38</v>
      </c>
      <c r="K625">
        <v>1</v>
      </c>
      <c r="L625">
        <v>861</v>
      </c>
      <c r="M625">
        <v>2</v>
      </c>
      <c r="N625" t="str" cm="1">
        <f t="array" ref="N625">_xlfn.IFS(HRData[[#This Row],[EnvironmentSatisfaction]]=1,"Very Dissatisfied",
HRData[[#This Row],[EnvironmentSatisfaction]]=2,"Dissatisfied",
HRData[[#This Row],[EnvironmentSatisfaction]]=3,"Satisfied",
HRData[[#This Row],[EnvironmentSatisfaction]]=4,"Very Satisfied"
)</f>
        <v>Dissatisfied</v>
      </c>
      <c r="O625" t="s">
        <v>46</v>
      </c>
      <c r="P625">
        <v>75</v>
      </c>
      <c r="Q625">
        <v>2</v>
      </c>
      <c r="R625">
        <v>1</v>
      </c>
      <c r="S625" t="s">
        <v>47</v>
      </c>
      <c r="T625">
        <v>4</v>
      </c>
      <c r="U625" t="str" cm="1">
        <f t="array" ref="U625">_xlfn.IFS(
HRData[[#This Row],[JobSatisfaction]]=1,"Very Dissatisfied",
HRData[[#This Row],[JobSatisfaction]]=2,"Dissatisfied",
HRData[[#This Row],[JobSatisfaction]]=3,"Satisfied",
HRData[[#This Row],[JobSatisfaction]]=4,"Very Satisfied"
)</f>
        <v>Very Satisfied</v>
      </c>
      <c r="V625" t="s">
        <v>52</v>
      </c>
      <c r="W625">
        <v>3761</v>
      </c>
      <c r="X625" t="str" cm="1">
        <f t="array" ref="X625">_xlfn.IFS(
HRData[[#This Row],[MonthlyIncome]]&lt;=4000,"Very Low Income",
HRData[[#This Row],[MonthlyIncome]]&lt;=8000,"Low Income",
HRData[[#This Row],[MonthlyIncome]]&lt;=12000,"Moderate Income",
HRData[[#This Row],[MonthlyIncome]]&lt;=16000,"High Income",
HRData[[#This Row],[MonthlyIncome]]&gt;16000,"Very High Income"
)</f>
        <v>Very Low Income</v>
      </c>
      <c r="Y625">
        <v>2373</v>
      </c>
      <c r="Z625">
        <v>9</v>
      </c>
      <c r="AA625" t="s">
        <v>42</v>
      </c>
      <c r="AB625" t="s">
        <v>43</v>
      </c>
      <c r="AC625">
        <v>12</v>
      </c>
      <c r="AD625" t="str" cm="1">
        <f t="array" ref="AD625">_xlfn.IFS(HRData[[#This Row],[PercentSalaryHike]]&lt;=15,"11-15",HRData[[#This Row],[PercentSalaryHike]]&lt;=20,"16-20",HRData[[#This Row],[PercentSalaryHike]]&gt;=21,"21+")</f>
        <v>11-15</v>
      </c>
      <c r="AE625">
        <v>3</v>
      </c>
      <c r="AF625">
        <v>2</v>
      </c>
      <c r="AG625">
        <v>80</v>
      </c>
      <c r="AH625">
        <v>1</v>
      </c>
      <c r="AI625">
        <v>10</v>
      </c>
      <c r="AJ625">
        <v>3</v>
      </c>
      <c r="AK625">
        <v>2</v>
      </c>
      <c r="AL625">
        <v>5</v>
      </c>
      <c r="AM625">
        <v>4</v>
      </c>
      <c r="AN625">
        <v>0</v>
      </c>
      <c r="AO625">
        <v>3</v>
      </c>
      <c r="AP62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25" t="str">
        <f>IF(HRData[[#This Row],[Attrition]]="Yes","Left", IF(HRData[[#This Row],[Attrition_Risk_Score]]&gt;=6,"High",IF(HRData[[#This Row],[Attrition_Risk_Score]]&gt;=3,"Medium","Low")))</f>
        <v>Medium</v>
      </c>
      <c r="AR625" t="str">
        <f>IF(HRData[[#This Row],[Attrition_Risk_Level]]&lt;&gt;"High","",HRData[[#This Row],[Attrition_Risk_Score]]*10000-HRData[[#This Row],[EmployeeNumber]])</f>
        <v/>
      </c>
    </row>
    <row r="626" spans="1:44">
      <c r="A626">
        <v>53</v>
      </c>
      <c r="B626" t="str" cm="1">
        <f t="array" ref="B626">_xlfn.IFS(
HRData[[#This Row],[Age]]&lt;=24,"18-24",
HRData[[#This Row],[Age]]&lt;=34,"25-34",
HRData[[#This Row],[Age]]&lt;=44,"35-44",
HRData[[#This Row],[Age]]&lt;=54,"45-54",
HRData[[#This Row],[Age]]&gt;=55,"55+"
)</f>
        <v>45-54</v>
      </c>
      <c r="C626" t="s">
        <v>43</v>
      </c>
      <c r="D626">
        <f>IF(HRData[[#This Row],[Attrition]]="Yes",1,0)</f>
        <v>0</v>
      </c>
      <c r="E626" t="s">
        <v>36</v>
      </c>
      <c r="F626">
        <v>661</v>
      </c>
      <c r="G626" t="s">
        <v>37</v>
      </c>
      <c r="H626">
        <v>7</v>
      </c>
      <c r="I626">
        <v>2</v>
      </c>
      <c r="J626" t="s">
        <v>59</v>
      </c>
      <c r="K626">
        <v>1</v>
      </c>
      <c r="L626">
        <v>862</v>
      </c>
      <c r="M626">
        <v>1</v>
      </c>
      <c r="N626" t="str" cm="1">
        <f t="array" ref="N626">_xlfn.IFS(HRData[[#This Row],[EnvironmentSatisfaction]]=1,"Very Dissatisfied",
HRData[[#This Row],[EnvironmentSatisfaction]]=2,"Dissatisfied",
HRData[[#This Row],[EnvironmentSatisfaction]]=3,"Satisfied",
HRData[[#This Row],[EnvironmentSatisfaction]]=4,"Very Satisfied"
)</f>
        <v>Very Dissatisfied</v>
      </c>
      <c r="O626" t="s">
        <v>39</v>
      </c>
      <c r="P626">
        <v>78</v>
      </c>
      <c r="Q626">
        <v>2</v>
      </c>
      <c r="R626">
        <v>3</v>
      </c>
      <c r="S626" t="s">
        <v>40</v>
      </c>
      <c r="T626">
        <v>4</v>
      </c>
      <c r="U626" t="str" cm="1">
        <f t="array" ref="U626">_xlfn.IFS(
HRData[[#This Row],[JobSatisfaction]]=1,"Very Dissatisfied",
HRData[[#This Row],[JobSatisfaction]]=2,"Dissatisfied",
HRData[[#This Row],[JobSatisfaction]]=3,"Satisfied",
HRData[[#This Row],[JobSatisfaction]]=4,"Very Satisfied"
)</f>
        <v>Very Satisfied</v>
      </c>
      <c r="V626" t="s">
        <v>48</v>
      </c>
      <c r="W626">
        <v>10934</v>
      </c>
      <c r="X626" t="str" cm="1">
        <f t="array" ref="X626">_xlfn.IFS(
HRData[[#This Row],[MonthlyIncome]]&lt;=4000,"Very Low Income",
HRData[[#This Row],[MonthlyIncome]]&lt;=8000,"Low Income",
HRData[[#This Row],[MonthlyIncome]]&lt;=12000,"Moderate Income",
HRData[[#This Row],[MonthlyIncome]]&lt;=16000,"High Income",
HRData[[#This Row],[MonthlyIncome]]&gt;16000,"Very High Income"
)</f>
        <v>Moderate Income</v>
      </c>
      <c r="Y626">
        <v>20715</v>
      </c>
      <c r="Z626">
        <v>7</v>
      </c>
      <c r="AA626" t="s">
        <v>42</v>
      </c>
      <c r="AB626" t="s">
        <v>35</v>
      </c>
      <c r="AC626">
        <v>18</v>
      </c>
      <c r="AD626" t="str" cm="1">
        <f t="array" ref="AD626">_xlfn.IFS(HRData[[#This Row],[PercentSalaryHike]]&lt;=15,"11-15",HRData[[#This Row],[PercentSalaryHike]]&lt;=20,"16-20",HRData[[#This Row],[PercentSalaryHike]]&gt;=21,"21+")</f>
        <v>16-20</v>
      </c>
      <c r="AE626">
        <v>3</v>
      </c>
      <c r="AF626">
        <v>4</v>
      </c>
      <c r="AG626">
        <v>80</v>
      </c>
      <c r="AH626">
        <v>1</v>
      </c>
      <c r="AI626">
        <v>35</v>
      </c>
      <c r="AJ626">
        <v>3</v>
      </c>
      <c r="AK626">
        <v>3</v>
      </c>
      <c r="AL626">
        <v>5</v>
      </c>
      <c r="AM626">
        <v>2</v>
      </c>
      <c r="AN626">
        <v>0</v>
      </c>
      <c r="AO626">
        <v>4</v>
      </c>
      <c r="AP62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26" t="str">
        <f>IF(HRData[[#This Row],[Attrition]]="Yes","Left", IF(HRData[[#This Row],[Attrition_Risk_Score]]&gt;=6,"High",IF(HRData[[#This Row],[Attrition_Risk_Score]]&gt;=3,"Medium","Low")))</f>
        <v>Low</v>
      </c>
      <c r="AR626" t="str">
        <f>IF(HRData[[#This Row],[Attrition_Risk_Level]]&lt;&gt;"High","",HRData[[#This Row],[Attrition_Risk_Score]]*10000-HRData[[#This Row],[EmployeeNumber]])</f>
        <v/>
      </c>
    </row>
    <row r="627" spans="1:44">
      <c r="A627">
        <v>45</v>
      </c>
      <c r="B627" t="str" cm="1">
        <f t="array" ref="B627">_xlfn.IFS(
HRData[[#This Row],[Age]]&lt;=24,"18-24",
HRData[[#This Row],[Age]]&lt;=34,"25-34",
HRData[[#This Row],[Age]]&lt;=44,"35-44",
HRData[[#This Row],[Age]]&lt;=54,"45-54",
HRData[[#This Row],[Age]]&gt;=55,"55+"
)</f>
        <v>45-54</v>
      </c>
      <c r="C627" t="s">
        <v>43</v>
      </c>
      <c r="D627">
        <f>IF(HRData[[#This Row],[Attrition]]="Yes",1,0)</f>
        <v>0</v>
      </c>
      <c r="E627" t="s">
        <v>36</v>
      </c>
      <c r="F627">
        <v>930</v>
      </c>
      <c r="G627" t="s">
        <v>37</v>
      </c>
      <c r="H627">
        <v>9</v>
      </c>
      <c r="I627">
        <v>3</v>
      </c>
      <c r="J627" t="s">
        <v>59</v>
      </c>
      <c r="K627">
        <v>1</v>
      </c>
      <c r="L627">
        <v>864</v>
      </c>
      <c r="M627">
        <v>4</v>
      </c>
      <c r="N627" t="str" cm="1">
        <f t="array" ref="N627">_xlfn.IFS(HRData[[#This Row],[EnvironmentSatisfaction]]=1,"Very Dissatisfied",
HRData[[#This Row],[EnvironmentSatisfaction]]=2,"Dissatisfied",
HRData[[#This Row],[EnvironmentSatisfaction]]=3,"Satisfied",
HRData[[#This Row],[EnvironmentSatisfaction]]=4,"Very Satisfied"
)</f>
        <v>Very Satisfied</v>
      </c>
      <c r="O627" t="s">
        <v>46</v>
      </c>
      <c r="P627">
        <v>74</v>
      </c>
      <c r="Q627">
        <v>3</v>
      </c>
      <c r="R627">
        <v>3</v>
      </c>
      <c r="S627" t="s">
        <v>40</v>
      </c>
      <c r="T627">
        <v>1</v>
      </c>
      <c r="U627" t="str" cm="1">
        <f t="array" ref="U627">_xlfn.IFS(
HRData[[#This Row],[JobSatisfaction]]=1,"Very Dissatisfied",
HRData[[#This Row],[JobSatisfaction]]=2,"Dissatisfied",
HRData[[#This Row],[JobSatisfaction]]=3,"Satisfied",
HRData[[#This Row],[JobSatisfaction]]=4,"Very Satisfied"
)</f>
        <v>Very Dissatisfied</v>
      </c>
      <c r="V627" t="s">
        <v>52</v>
      </c>
      <c r="W627">
        <v>10761</v>
      </c>
      <c r="X627" t="str" cm="1">
        <f t="array" ref="X627">_xlfn.IFS(
HRData[[#This Row],[MonthlyIncome]]&lt;=4000,"Very Low Income",
HRData[[#This Row],[MonthlyIncome]]&lt;=8000,"Low Income",
HRData[[#This Row],[MonthlyIncome]]&lt;=12000,"Moderate Income",
HRData[[#This Row],[MonthlyIncome]]&lt;=16000,"High Income",
HRData[[#This Row],[MonthlyIncome]]&gt;16000,"Very High Income"
)</f>
        <v>Moderate Income</v>
      </c>
      <c r="Y627">
        <v>19239</v>
      </c>
      <c r="Z627">
        <v>4</v>
      </c>
      <c r="AA627" t="s">
        <v>42</v>
      </c>
      <c r="AB627" t="s">
        <v>35</v>
      </c>
      <c r="AC627">
        <v>12</v>
      </c>
      <c r="AD627" t="str" cm="1">
        <f t="array" ref="AD627">_xlfn.IFS(HRData[[#This Row],[PercentSalaryHike]]&lt;=15,"11-15",HRData[[#This Row],[PercentSalaryHike]]&lt;=20,"16-20",HRData[[#This Row],[PercentSalaryHike]]&gt;=21,"21+")</f>
        <v>11-15</v>
      </c>
      <c r="AE627">
        <v>3</v>
      </c>
      <c r="AF627">
        <v>3</v>
      </c>
      <c r="AG627">
        <v>80</v>
      </c>
      <c r="AH627">
        <v>1</v>
      </c>
      <c r="AI627">
        <v>18</v>
      </c>
      <c r="AJ627">
        <v>2</v>
      </c>
      <c r="AK627">
        <v>3</v>
      </c>
      <c r="AL627">
        <v>5</v>
      </c>
      <c r="AM627">
        <v>4</v>
      </c>
      <c r="AN627">
        <v>0</v>
      </c>
      <c r="AO627">
        <v>2</v>
      </c>
      <c r="AP62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27" t="str">
        <f>IF(HRData[[#This Row],[Attrition]]="Yes","Left", IF(HRData[[#This Row],[Attrition_Risk_Score]]&gt;=6,"High",IF(HRData[[#This Row],[Attrition_Risk_Score]]&gt;=3,"Medium","Low")))</f>
        <v>Medium</v>
      </c>
      <c r="AR627" t="str">
        <f>IF(HRData[[#This Row],[Attrition_Risk_Level]]&lt;&gt;"High","",HRData[[#This Row],[Attrition_Risk_Score]]*10000-HRData[[#This Row],[EmployeeNumber]])</f>
        <v/>
      </c>
    </row>
    <row r="628" spans="1:44">
      <c r="A628">
        <v>32</v>
      </c>
      <c r="B628" t="str" cm="1">
        <f t="array" ref="B628">_xlfn.IFS(
HRData[[#This Row],[Age]]&lt;=24,"18-24",
HRData[[#This Row],[Age]]&lt;=34,"25-34",
HRData[[#This Row],[Age]]&lt;=44,"35-44",
HRData[[#This Row],[Age]]&lt;=54,"45-54",
HRData[[#This Row],[Age]]&gt;=55,"55+"
)</f>
        <v>25-34</v>
      </c>
      <c r="C628" t="s">
        <v>43</v>
      </c>
      <c r="D628">
        <f>IF(HRData[[#This Row],[Attrition]]="Yes",1,0)</f>
        <v>0</v>
      </c>
      <c r="E628" t="s">
        <v>36</v>
      </c>
      <c r="F628">
        <v>638</v>
      </c>
      <c r="G628" t="s">
        <v>45</v>
      </c>
      <c r="H628">
        <v>8</v>
      </c>
      <c r="I628">
        <v>2</v>
      </c>
      <c r="J628" t="s">
        <v>51</v>
      </c>
      <c r="K628">
        <v>1</v>
      </c>
      <c r="L628">
        <v>865</v>
      </c>
      <c r="M628">
        <v>3</v>
      </c>
      <c r="N628" t="str" cm="1">
        <f t="array" ref="N628">_xlfn.IFS(HRData[[#This Row],[EnvironmentSatisfaction]]=1,"Very Dissatisfied",
HRData[[#This Row],[EnvironmentSatisfaction]]=2,"Dissatisfied",
HRData[[#This Row],[EnvironmentSatisfaction]]=3,"Satisfied",
HRData[[#This Row],[EnvironmentSatisfaction]]=4,"Very Satisfied"
)</f>
        <v>Satisfied</v>
      </c>
      <c r="O628" t="s">
        <v>39</v>
      </c>
      <c r="P628">
        <v>91</v>
      </c>
      <c r="Q628">
        <v>4</v>
      </c>
      <c r="R628">
        <v>2</v>
      </c>
      <c r="S628" t="s">
        <v>47</v>
      </c>
      <c r="T628">
        <v>3</v>
      </c>
      <c r="U628" t="str" cm="1">
        <f t="array" ref="U628">_xlfn.IFS(
HRData[[#This Row],[JobSatisfaction]]=1,"Very Dissatisfied",
HRData[[#This Row],[JobSatisfaction]]=2,"Dissatisfied",
HRData[[#This Row],[JobSatisfaction]]=3,"Satisfied",
HRData[[#This Row],[JobSatisfaction]]=4,"Very Satisfied"
)</f>
        <v>Satisfied</v>
      </c>
      <c r="V628" t="s">
        <v>48</v>
      </c>
      <c r="W628">
        <v>5175</v>
      </c>
      <c r="X628" t="str" cm="1">
        <f t="array" ref="X628">_xlfn.IFS(
HRData[[#This Row],[MonthlyIncome]]&lt;=4000,"Very Low Income",
HRData[[#This Row],[MonthlyIncome]]&lt;=8000,"Low Income",
HRData[[#This Row],[MonthlyIncome]]&lt;=12000,"Moderate Income",
HRData[[#This Row],[MonthlyIncome]]&lt;=16000,"High Income",
HRData[[#This Row],[MonthlyIncome]]&gt;16000,"Very High Income"
)</f>
        <v>Low Income</v>
      </c>
      <c r="Y628">
        <v>22162</v>
      </c>
      <c r="Z628">
        <v>5</v>
      </c>
      <c r="AA628" t="s">
        <v>42</v>
      </c>
      <c r="AB628" t="s">
        <v>43</v>
      </c>
      <c r="AC628">
        <v>12</v>
      </c>
      <c r="AD628" t="str" cm="1">
        <f t="array" ref="AD628">_xlfn.IFS(HRData[[#This Row],[PercentSalaryHike]]&lt;=15,"11-15",HRData[[#This Row],[PercentSalaryHike]]&lt;=20,"16-20",HRData[[#This Row],[PercentSalaryHike]]&gt;=21,"21+")</f>
        <v>11-15</v>
      </c>
      <c r="AE628">
        <v>3</v>
      </c>
      <c r="AF628">
        <v>3</v>
      </c>
      <c r="AG628">
        <v>80</v>
      </c>
      <c r="AH628">
        <v>1</v>
      </c>
      <c r="AI628">
        <v>9</v>
      </c>
      <c r="AJ628">
        <v>3</v>
      </c>
      <c r="AK628">
        <v>2</v>
      </c>
      <c r="AL628">
        <v>5</v>
      </c>
      <c r="AM628">
        <v>3</v>
      </c>
      <c r="AN628">
        <v>1</v>
      </c>
      <c r="AO628">
        <v>3</v>
      </c>
      <c r="AP62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28" t="str">
        <f>IF(HRData[[#This Row],[Attrition]]="Yes","Left", IF(HRData[[#This Row],[Attrition_Risk_Score]]&gt;=6,"High",IF(HRData[[#This Row],[Attrition_Risk_Score]]&gt;=3,"Medium","Low")))</f>
        <v>Low</v>
      </c>
      <c r="AR628" t="str">
        <f>IF(HRData[[#This Row],[Attrition_Risk_Level]]&lt;&gt;"High","",HRData[[#This Row],[Attrition_Risk_Score]]*10000-HRData[[#This Row],[EmployeeNumber]])</f>
        <v/>
      </c>
    </row>
    <row r="629" spans="1:44">
      <c r="A629">
        <v>52</v>
      </c>
      <c r="B629" t="str" cm="1">
        <f t="array" ref="B629">_xlfn.IFS(
HRData[[#This Row],[Age]]&lt;=24,"18-24",
HRData[[#This Row],[Age]]&lt;=34,"25-34",
HRData[[#This Row],[Age]]&lt;=44,"35-44",
HRData[[#This Row],[Age]]&lt;=54,"45-54",
HRData[[#This Row],[Age]]&gt;=55,"55+"
)</f>
        <v>45-54</v>
      </c>
      <c r="C629" t="s">
        <v>43</v>
      </c>
      <c r="D629">
        <f>IF(HRData[[#This Row],[Attrition]]="Yes",1,0)</f>
        <v>0</v>
      </c>
      <c r="E629" t="s">
        <v>44</v>
      </c>
      <c r="F629">
        <v>890</v>
      </c>
      <c r="G629" t="s">
        <v>45</v>
      </c>
      <c r="H629">
        <v>25</v>
      </c>
      <c r="I629">
        <v>4</v>
      </c>
      <c r="J629" t="s">
        <v>51</v>
      </c>
      <c r="K629">
        <v>1</v>
      </c>
      <c r="L629">
        <v>867</v>
      </c>
      <c r="M629">
        <v>3</v>
      </c>
      <c r="N629" t="str" cm="1">
        <f t="array" ref="N629">_xlfn.IFS(HRData[[#This Row],[EnvironmentSatisfaction]]=1,"Very Dissatisfied",
HRData[[#This Row],[EnvironmentSatisfaction]]=2,"Dissatisfied",
HRData[[#This Row],[EnvironmentSatisfaction]]=3,"Satisfied",
HRData[[#This Row],[EnvironmentSatisfaction]]=4,"Very Satisfied"
)</f>
        <v>Satisfied</v>
      </c>
      <c r="O629" t="s">
        <v>39</v>
      </c>
      <c r="P629">
        <v>81</v>
      </c>
      <c r="Q629">
        <v>2</v>
      </c>
      <c r="R629">
        <v>4</v>
      </c>
      <c r="S629" t="s">
        <v>53</v>
      </c>
      <c r="T629">
        <v>4</v>
      </c>
      <c r="U629" t="str" cm="1">
        <f t="array" ref="U629">_xlfn.IFS(
HRData[[#This Row],[JobSatisfaction]]=1,"Very Dissatisfied",
HRData[[#This Row],[JobSatisfaction]]=2,"Dissatisfied",
HRData[[#This Row],[JobSatisfaction]]=3,"Satisfied",
HRData[[#This Row],[JobSatisfaction]]=4,"Very Satisfied"
)</f>
        <v>Very Satisfied</v>
      </c>
      <c r="V629" t="s">
        <v>48</v>
      </c>
      <c r="W629">
        <v>13826</v>
      </c>
      <c r="X629" t="str" cm="1">
        <f t="array" ref="X629">_xlfn.IFS(
HRData[[#This Row],[MonthlyIncome]]&lt;=4000,"Very Low Income",
HRData[[#This Row],[MonthlyIncome]]&lt;=8000,"Low Income",
HRData[[#This Row],[MonthlyIncome]]&lt;=12000,"Moderate Income",
HRData[[#This Row],[MonthlyIncome]]&lt;=16000,"High Income",
HRData[[#This Row],[MonthlyIncome]]&gt;16000,"Very High Income"
)</f>
        <v>High Income</v>
      </c>
      <c r="Y629">
        <v>19028</v>
      </c>
      <c r="Z629">
        <v>3</v>
      </c>
      <c r="AA629" t="s">
        <v>42</v>
      </c>
      <c r="AB629" t="s">
        <v>43</v>
      </c>
      <c r="AC629">
        <v>22</v>
      </c>
      <c r="AD629" t="str" cm="1">
        <f t="array" ref="AD629">_xlfn.IFS(HRData[[#This Row],[PercentSalaryHike]]&lt;=15,"11-15",HRData[[#This Row],[PercentSalaryHike]]&lt;=20,"16-20",HRData[[#This Row],[PercentSalaryHike]]&gt;=21,"21+")</f>
        <v>21+</v>
      </c>
      <c r="AE629">
        <v>4</v>
      </c>
      <c r="AF629">
        <v>3</v>
      </c>
      <c r="AG629">
        <v>80</v>
      </c>
      <c r="AH629">
        <v>0</v>
      </c>
      <c r="AI629">
        <v>31</v>
      </c>
      <c r="AJ629">
        <v>3</v>
      </c>
      <c r="AK629">
        <v>3</v>
      </c>
      <c r="AL629">
        <v>9</v>
      </c>
      <c r="AM629">
        <v>8</v>
      </c>
      <c r="AN629">
        <v>0</v>
      </c>
      <c r="AO629">
        <v>0</v>
      </c>
      <c r="AP62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629" t="str">
        <f>IF(HRData[[#This Row],[Attrition]]="Yes","Left", IF(HRData[[#This Row],[Attrition_Risk_Score]]&gt;=6,"High",IF(HRData[[#This Row],[Attrition_Risk_Score]]&gt;=3,"Medium","Low")))</f>
        <v>Low</v>
      </c>
      <c r="AR629" t="str">
        <f>IF(HRData[[#This Row],[Attrition_Risk_Level]]&lt;&gt;"High","",HRData[[#This Row],[Attrition_Risk_Score]]*10000-HRData[[#This Row],[EmployeeNumber]])</f>
        <v/>
      </c>
    </row>
    <row r="630" spans="1:44">
      <c r="A630">
        <v>37</v>
      </c>
      <c r="B630" t="str" cm="1">
        <f t="array" ref="B630">_xlfn.IFS(
HRData[[#This Row],[Age]]&lt;=24,"18-24",
HRData[[#This Row],[Age]]&lt;=34,"25-34",
HRData[[#This Row],[Age]]&lt;=44,"35-44",
HRData[[#This Row],[Age]]&lt;=54,"45-54",
HRData[[#This Row],[Age]]&gt;=55,"55+"
)</f>
        <v>35-44</v>
      </c>
      <c r="C630" t="s">
        <v>43</v>
      </c>
      <c r="D630">
        <f>IF(HRData[[#This Row],[Attrition]]="Yes",1,0)</f>
        <v>0</v>
      </c>
      <c r="E630" t="s">
        <v>36</v>
      </c>
      <c r="F630">
        <v>342</v>
      </c>
      <c r="G630" t="s">
        <v>37</v>
      </c>
      <c r="H630">
        <v>16</v>
      </c>
      <c r="I630">
        <v>4</v>
      </c>
      <c r="J630" t="s">
        <v>59</v>
      </c>
      <c r="K630">
        <v>1</v>
      </c>
      <c r="L630">
        <v>868</v>
      </c>
      <c r="M630">
        <v>4</v>
      </c>
      <c r="N630" t="str" cm="1">
        <f t="array" ref="N630">_xlfn.IFS(HRData[[#This Row],[EnvironmentSatisfaction]]=1,"Very Dissatisfied",
HRData[[#This Row],[EnvironmentSatisfaction]]=2,"Dissatisfied",
HRData[[#This Row],[EnvironmentSatisfaction]]=3,"Satisfied",
HRData[[#This Row],[EnvironmentSatisfaction]]=4,"Very Satisfied"
)</f>
        <v>Very Satisfied</v>
      </c>
      <c r="O630" t="s">
        <v>46</v>
      </c>
      <c r="P630">
        <v>66</v>
      </c>
      <c r="Q630">
        <v>2</v>
      </c>
      <c r="R630">
        <v>2</v>
      </c>
      <c r="S630" t="s">
        <v>40</v>
      </c>
      <c r="T630">
        <v>3</v>
      </c>
      <c r="U630" t="str" cm="1">
        <f t="array" ref="U630">_xlfn.IFS(
HRData[[#This Row],[JobSatisfaction]]=1,"Very Dissatisfied",
HRData[[#This Row],[JobSatisfaction]]=2,"Dissatisfied",
HRData[[#This Row],[JobSatisfaction]]=3,"Satisfied",
HRData[[#This Row],[JobSatisfaction]]=4,"Very Satisfied"
)</f>
        <v>Satisfied</v>
      </c>
      <c r="V630" t="s">
        <v>52</v>
      </c>
      <c r="W630">
        <v>6334</v>
      </c>
      <c r="X630" t="str" cm="1">
        <f t="array" ref="X630">_xlfn.IFS(
HRData[[#This Row],[MonthlyIncome]]&lt;=4000,"Very Low Income",
HRData[[#This Row],[MonthlyIncome]]&lt;=8000,"Low Income",
HRData[[#This Row],[MonthlyIncome]]&lt;=12000,"Moderate Income",
HRData[[#This Row],[MonthlyIncome]]&lt;=16000,"High Income",
HRData[[#This Row],[MonthlyIncome]]&gt;16000,"Very High Income"
)</f>
        <v>Low Income</v>
      </c>
      <c r="Y630">
        <v>24558</v>
      </c>
      <c r="Z630">
        <v>4</v>
      </c>
      <c r="AA630" t="s">
        <v>42</v>
      </c>
      <c r="AB630" t="s">
        <v>43</v>
      </c>
      <c r="AC630">
        <v>19</v>
      </c>
      <c r="AD630" t="str" cm="1">
        <f t="array" ref="AD630">_xlfn.IFS(HRData[[#This Row],[PercentSalaryHike]]&lt;=15,"11-15",HRData[[#This Row],[PercentSalaryHike]]&lt;=20,"16-20",HRData[[#This Row],[PercentSalaryHike]]&gt;=21,"21+")</f>
        <v>16-20</v>
      </c>
      <c r="AE630">
        <v>3</v>
      </c>
      <c r="AF630">
        <v>4</v>
      </c>
      <c r="AG630">
        <v>80</v>
      </c>
      <c r="AH630">
        <v>2</v>
      </c>
      <c r="AI630">
        <v>9</v>
      </c>
      <c r="AJ630">
        <v>2</v>
      </c>
      <c r="AK630">
        <v>3</v>
      </c>
      <c r="AL630">
        <v>1</v>
      </c>
      <c r="AM630">
        <v>0</v>
      </c>
      <c r="AN630">
        <v>0</v>
      </c>
      <c r="AO630">
        <v>0</v>
      </c>
      <c r="AP63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630" t="str">
        <f>IF(HRData[[#This Row],[Attrition]]="Yes","Left", IF(HRData[[#This Row],[Attrition_Risk_Score]]&gt;=6,"High",IF(HRData[[#This Row],[Attrition_Risk_Score]]&gt;=3,"Medium","Low")))</f>
        <v>Low</v>
      </c>
      <c r="AR630" t="str">
        <f>IF(HRData[[#This Row],[Attrition_Risk_Level]]&lt;&gt;"High","",HRData[[#This Row],[Attrition_Risk_Score]]*10000-HRData[[#This Row],[EmployeeNumber]])</f>
        <v/>
      </c>
    </row>
    <row r="631" spans="1:44">
      <c r="A631">
        <v>28</v>
      </c>
      <c r="B631" t="str" cm="1">
        <f t="array" ref="B631">_xlfn.IFS(
HRData[[#This Row],[Age]]&lt;=24,"18-24",
HRData[[#This Row],[Age]]&lt;=34,"25-34",
HRData[[#This Row],[Age]]&lt;=44,"35-44",
HRData[[#This Row],[Age]]&lt;=54,"45-54",
HRData[[#This Row],[Age]]&gt;=55,"55+"
)</f>
        <v>25-34</v>
      </c>
      <c r="C631" t="s">
        <v>43</v>
      </c>
      <c r="D631">
        <f>IF(HRData[[#This Row],[Attrition]]="Yes",1,0)</f>
        <v>0</v>
      </c>
      <c r="E631" t="s">
        <v>36</v>
      </c>
      <c r="F631">
        <v>1169</v>
      </c>
      <c r="G631" t="s">
        <v>61</v>
      </c>
      <c r="H631">
        <v>8</v>
      </c>
      <c r="I631">
        <v>2</v>
      </c>
      <c r="J631" t="s">
        <v>51</v>
      </c>
      <c r="K631">
        <v>1</v>
      </c>
      <c r="L631">
        <v>869</v>
      </c>
      <c r="M631">
        <v>2</v>
      </c>
      <c r="N631" t="str" cm="1">
        <f t="array" ref="N631">_xlfn.IFS(HRData[[#This Row],[EnvironmentSatisfaction]]=1,"Very Dissatisfied",
HRData[[#This Row],[EnvironmentSatisfaction]]=2,"Dissatisfied",
HRData[[#This Row],[EnvironmentSatisfaction]]=3,"Satisfied",
HRData[[#This Row],[EnvironmentSatisfaction]]=4,"Very Satisfied"
)</f>
        <v>Dissatisfied</v>
      </c>
      <c r="O631" t="s">
        <v>46</v>
      </c>
      <c r="P631">
        <v>63</v>
      </c>
      <c r="Q631">
        <v>2</v>
      </c>
      <c r="R631">
        <v>1</v>
      </c>
      <c r="S631" t="s">
        <v>61</v>
      </c>
      <c r="T631">
        <v>4</v>
      </c>
      <c r="U631" t="str" cm="1">
        <f t="array" ref="U631">_xlfn.IFS(
HRData[[#This Row],[JobSatisfaction]]=1,"Very Dissatisfied",
HRData[[#This Row],[JobSatisfaction]]=2,"Dissatisfied",
HRData[[#This Row],[JobSatisfaction]]=3,"Satisfied",
HRData[[#This Row],[JobSatisfaction]]=4,"Very Satisfied"
)</f>
        <v>Very Satisfied</v>
      </c>
      <c r="V631" t="s">
        <v>52</v>
      </c>
      <c r="W631">
        <v>4936</v>
      </c>
      <c r="X631" t="str" cm="1">
        <f t="array" ref="X631">_xlfn.IFS(
HRData[[#This Row],[MonthlyIncome]]&lt;=4000,"Very Low Income",
HRData[[#This Row],[MonthlyIncome]]&lt;=8000,"Low Income",
HRData[[#This Row],[MonthlyIncome]]&lt;=12000,"Moderate Income",
HRData[[#This Row],[MonthlyIncome]]&lt;=16000,"High Income",
HRData[[#This Row],[MonthlyIncome]]&gt;16000,"Very High Income"
)</f>
        <v>Low Income</v>
      </c>
      <c r="Y631">
        <v>23965</v>
      </c>
      <c r="Z631">
        <v>1</v>
      </c>
      <c r="AA631" t="s">
        <v>42</v>
      </c>
      <c r="AB631" t="s">
        <v>43</v>
      </c>
      <c r="AC631">
        <v>13</v>
      </c>
      <c r="AD631" t="str" cm="1">
        <f t="array" ref="AD631">_xlfn.IFS(HRData[[#This Row],[PercentSalaryHike]]&lt;=15,"11-15",HRData[[#This Row],[PercentSalaryHike]]&lt;=20,"16-20",HRData[[#This Row],[PercentSalaryHike]]&gt;=21,"21+")</f>
        <v>11-15</v>
      </c>
      <c r="AE631">
        <v>3</v>
      </c>
      <c r="AF631">
        <v>4</v>
      </c>
      <c r="AG631">
        <v>80</v>
      </c>
      <c r="AH631">
        <v>1</v>
      </c>
      <c r="AI631">
        <v>6</v>
      </c>
      <c r="AJ631">
        <v>6</v>
      </c>
      <c r="AK631">
        <v>3</v>
      </c>
      <c r="AL631">
        <v>5</v>
      </c>
      <c r="AM631">
        <v>1</v>
      </c>
      <c r="AN631">
        <v>0</v>
      </c>
      <c r="AO631">
        <v>4</v>
      </c>
      <c r="AP63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31" t="str">
        <f>IF(HRData[[#This Row],[Attrition]]="Yes","Left", IF(HRData[[#This Row],[Attrition_Risk_Score]]&gt;=6,"High",IF(HRData[[#This Row],[Attrition_Risk_Score]]&gt;=3,"Medium","Low")))</f>
        <v>Medium</v>
      </c>
      <c r="AR631" t="str">
        <f>IF(HRData[[#This Row],[Attrition_Risk_Level]]&lt;&gt;"High","",HRData[[#This Row],[Attrition_Risk_Score]]*10000-HRData[[#This Row],[EmployeeNumber]])</f>
        <v/>
      </c>
    </row>
    <row r="632" spans="1:44">
      <c r="A632">
        <v>22</v>
      </c>
      <c r="B632" t="str" cm="1">
        <f t="array" ref="B632">_xlfn.IFS(
HRData[[#This Row],[Age]]&lt;=24,"18-24",
HRData[[#This Row],[Age]]&lt;=34,"25-34",
HRData[[#This Row],[Age]]&lt;=44,"35-44",
HRData[[#This Row],[Age]]&lt;=54,"45-54",
HRData[[#This Row],[Age]]&gt;=55,"55+"
)</f>
        <v>18-24</v>
      </c>
      <c r="C632" t="s">
        <v>43</v>
      </c>
      <c r="D632">
        <f>IF(HRData[[#This Row],[Attrition]]="Yes",1,0)</f>
        <v>0</v>
      </c>
      <c r="E632" t="s">
        <v>36</v>
      </c>
      <c r="F632">
        <v>1230</v>
      </c>
      <c r="G632" t="s">
        <v>45</v>
      </c>
      <c r="H632">
        <v>1</v>
      </c>
      <c r="I632">
        <v>2</v>
      </c>
      <c r="J632" t="s">
        <v>38</v>
      </c>
      <c r="K632">
        <v>1</v>
      </c>
      <c r="L632">
        <v>872</v>
      </c>
      <c r="M632">
        <v>4</v>
      </c>
      <c r="N632" t="str" cm="1">
        <f t="array" ref="N632">_xlfn.IFS(HRData[[#This Row],[EnvironmentSatisfaction]]=1,"Very Dissatisfied",
HRData[[#This Row],[EnvironmentSatisfaction]]=2,"Dissatisfied",
HRData[[#This Row],[EnvironmentSatisfaction]]=3,"Satisfied",
HRData[[#This Row],[EnvironmentSatisfaction]]=4,"Very Satisfied"
)</f>
        <v>Very Satisfied</v>
      </c>
      <c r="O632" t="s">
        <v>46</v>
      </c>
      <c r="P632">
        <v>33</v>
      </c>
      <c r="Q632">
        <v>2</v>
      </c>
      <c r="R632">
        <v>2</v>
      </c>
      <c r="S632" t="s">
        <v>53</v>
      </c>
      <c r="T632">
        <v>4</v>
      </c>
      <c r="U632" t="str" cm="1">
        <f t="array" ref="U632">_xlfn.IFS(
HRData[[#This Row],[JobSatisfaction]]=1,"Very Dissatisfied",
HRData[[#This Row],[JobSatisfaction]]=2,"Dissatisfied",
HRData[[#This Row],[JobSatisfaction]]=3,"Satisfied",
HRData[[#This Row],[JobSatisfaction]]=4,"Very Satisfied"
)</f>
        <v>Very Satisfied</v>
      </c>
      <c r="V632" t="s">
        <v>48</v>
      </c>
      <c r="W632">
        <v>4775</v>
      </c>
      <c r="X632" t="str" cm="1">
        <f t="array" ref="X632">_xlfn.IFS(
HRData[[#This Row],[MonthlyIncome]]&lt;=4000,"Very Low Income",
HRData[[#This Row],[MonthlyIncome]]&lt;=8000,"Low Income",
HRData[[#This Row],[MonthlyIncome]]&lt;=12000,"Moderate Income",
HRData[[#This Row],[MonthlyIncome]]&lt;=16000,"High Income",
HRData[[#This Row],[MonthlyIncome]]&gt;16000,"Very High Income"
)</f>
        <v>Low Income</v>
      </c>
      <c r="Y632">
        <v>19146</v>
      </c>
      <c r="Z632">
        <v>6</v>
      </c>
      <c r="AA632" t="s">
        <v>42</v>
      </c>
      <c r="AB632" t="s">
        <v>43</v>
      </c>
      <c r="AC632">
        <v>22</v>
      </c>
      <c r="AD632" t="str" cm="1">
        <f t="array" ref="AD632">_xlfn.IFS(HRData[[#This Row],[PercentSalaryHike]]&lt;=15,"11-15",HRData[[#This Row],[PercentSalaryHike]]&lt;=20,"16-20",HRData[[#This Row],[PercentSalaryHike]]&gt;=21,"21+")</f>
        <v>21+</v>
      </c>
      <c r="AE632">
        <v>4</v>
      </c>
      <c r="AF632">
        <v>1</v>
      </c>
      <c r="AG632">
        <v>80</v>
      </c>
      <c r="AH632">
        <v>2</v>
      </c>
      <c r="AI632">
        <v>4</v>
      </c>
      <c r="AJ632">
        <v>2</v>
      </c>
      <c r="AK632">
        <v>1</v>
      </c>
      <c r="AL632">
        <v>2</v>
      </c>
      <c r="AM632">
        <v>2</v>
      </c>
      <c r="AN632">
        <v>2</v>
      </c>
      <c r="AO632">
        <v>2</v>
      </c>
      <c r="AP63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32" t="str">
        <f>IF(HRData[[#This Row],[Attrition]]="Yes","Left", IF(HRData[[#This Row],[Attrition_Risk_Score]]&gt;=6,"High",IF(HRData[[#This Row],[Attrition_Risk_Score]]&gt;=3,"Medium","Low")))</f>
        <v>Medium</v>
      </c>
      <c r="AR632" t="str">
        <f>IF(HRData[[#This Row],[Attrition_Risk_Level]]&lt;&gt;"High","",HRData[[#This Row],[Attrition_Risk_Score]]*10000-HRData[[#This Row],[EmployeeNumber]])</f>
        <v/>
      </c>
    </row>
    <row r="633" spans="1:44">
      <c r="A633">
        <v>44</v>
      </c>
      <c r="B633" t="str" cm="1">
        <f t="array" ref="B633">_xlfn.IFS(
HRData[[#This Row],[Age]]&lt;=24,"18-24",
HRData[[#This Row],[Age]]&lt;=34,"25-34",
HRData[[#This Row],[Age]]&lt;=44,"35-44",
HRData[[#This Row],[Age]]&lt;=54,"45-54",
HRData[[#This Row],[Age]]&gt;=55,"55+"
)</f>
        <v>35-44</v>
      </c>
      <c r="C633" t="s">
        <v>43</v>
      </c>
      <c r="D633">
        <f>IF(HRData[[#This Row],[Attrition]]="Yes",1,0)</f>
        <v>0</v>
      </c>
      <c r="E633" t="s">
        <v>36</v>
      </c>
      <c r="F633">
        <v>986</v>
      </c>
      <c r="G633" t="s">
        <v>45</v>
      </c>
      <c r="H633">
        <v>8</v>
      </c>
      <c r="I633">
        <v>4</v>
      </c>
      <c r="J633" t="s">
        <v>38</v>
      </c>
      <c r="K633">
        <v>1</v>
      </c>
      <c r="L633">
        <v>874</v>
      </c>
      <c r="M633">
        <v>1</v>
      </c>
      <c r="N633" t="str" cm="1">
        <f t="array" ref="N633">_xlfn.IFS(HRData[[#This Row],[EnvironmentSatisfaction]]=1,"Very Dissatisfied",
HRData[[#This Row],[EnvironmentSatisfaction]]=2,"Dissatisfied",
HRData[[#This Row],[EnvironmentSatisfaction]]=3,"Satisfied",
HRData[[#This Row],[EnvironmentSatisfaction]]=4,"Very Satisfied"
)</f>
        <v>Very Dissatisfied</v>
      </c>
      <c r="O633" t="s">
        <v>46</v>
      </c>
      <c r="P633">
        <v>62</v>
      </c>
      <c r="Q633">
        <v>4</v>
      </c>
      <c r="R633">
        <v>1</v>
      </c>
      <c r="S633" t="s">
        <v>50</v>
      </c>
      <c r="T633">
        <v>4</v>
      </c>
      <c r="U633" t="str" cm="1">
        <f t="array" ref="U633">_xlfn.IFS(
HRData[[#This Row],[JobSatisfaction]]=1,"Very Dissatisfied",
HRData[[#This Row],[JobSatisfaction]]=2,"Dissatisfied",
HRData[[#This Row],[JobSatisfaction]]=3,"Satisfied",
HRData[[#This Row],[JobSatisfaction]]=4,"Very Satisfied"
)</f>
        <v>Very Satisfied</v>
      </c>
      <c r="V633" t="s">
        <v>48</v>
      </c>
      <c r="W633">
        <v>2818</v>
      </c>
      <c r="X633" t="str" cm="1">
        <f t="array" ref="X633">_xlfn.IFS(
HRData[[#This Row],[MonthlyIncome]]&lt;=4000,"Very Low Income",
HRData[[#This Row],[MonthlyIncome]]&lt;=8000,"Low Income",
HRData[[#This Row],[MonthlyIncome]]&lt;=12000,"Moderate Income",
HRData[[#This Row],[MonthlyIncome]]&lt;=16000,"High Income",
HRData[[#This Row],[MonthlyIncome]]&gt;16000,"Very High Income"
)</f>
        <v>Very Low Income</v>
      </c>
      <c r="Y633">
        <v>5044</v>
      </c>
      <c r="Z633">
        <v>2</v>
      </c>
      <c r="AA633" t="s">
        <v>42</v>
      </c>
      <c r="AB633" t="s">
        <v>35</v>
      </c>
      <c r="AC633">
        <v>24</v>
      </c>
      <c r="AD633" t="str" cm="1">
        <f t="array" ref="AD633">_xlfn.IFS(HRData[[#This Row],[PercentSalaryHike]]&lt;=15,"11-15",HRData[[#This Row],[PercentSalaryHike]]&lt;=20,"16-20",HRData[[#This Row],[PercentSalaryHike]]&gt;=21,"21+")</f>
        <v>21+</v>
      </c>
      <c r="AE633">
        <v>4</v>
      </c>
      <c r="AF633">
        <v>3</v>
      </c>
      <c r="AG633">
        <v>80</v>
      </c>
      <c r="AH633">
        <v>1</v>
      </c>
      <c r="AI633">
        <v>10</v>
      </c>
      <c r="AJ633">
        <v>2</v>
      </c>
      <c r="AK633">
        <v>2</v>
      </c>
      <c r="AL633">
        <v>3</v>
      </c>
      <c r="AM633">
        <v>2</v>
      </c>
      <c r="AN633">
        <v>0</v>
      </c>
      <c r="AO633">
        <v>2</v>
      </c>
      <c r="AP63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633" t="str">
        <f>IF(HRData[[#This Row],[Attrition]]="Yes","Left", IF(HRData[[#This Row],[Attrition_Risk_Score]]&gt;=6,"High",IF(HRData[[#This Row],[Attrition_Risk_Score]]&gt;=3,"Medium","Low")))</f>
        <v>Medium</v>
      </c>
      <c r="AR633" t="str">
        <f>IF(HRData[[#This Row],[Attrition_Risk_Level]]&lt;&gt;"High","",HRData[[#This Row],[Attrition_Risk_Score]]*10000-HRData[[#This Row],[EmployeeNumber]])</f>
        <v/>
      </c>
    </row>
    <row r="634" spans="1:44">
      <c r="A634">
        <v>42</v>
      </c>
      <c r="B634" t="str" cm="1">
        <f t="array" ref="B634">_xlfn.IFS(
HRData[[#This Row],[Age]]&lt;=24,"18-24",
HRData[[#This Row],[Age]]&lt;=34,"25-34",
HRData[[#This Row],[Age]]&lt;=44,"35-44",
HRData[[#This Row],[Age]]&lt;=54,"45-54",
HRData[[#This Row],[Age]]&gt;=55,"55+"
)</f>
        <v>35-44</v>
      </c>
      <c r="C634" t="s">
        <v>43</v>
      </c>
      <c r="D634">
        <f>IF(HRData[[#This Row],[Attrition]]="Yes",1,0)</f>
        <v>0</v>
      </c>
      <c r="E634" t="s">
        <v>44</v>
      </c>
      <c r="F634">
        <v>1271</v>
      </c>
      <c r="G634" t="s">
        <v>45</v>
      </c>
      <c r="H634">
        <v>2</v>
      </c>
      <c r="I634">
        <v>1</v>
      </c>
      <c r="J634" t="s">
        <v>51</v>
      </c>
      <c r="K634">
        <v>1</v>
      </c>
      <c r="L634">
        <v>875</v>
      </c>
      <c r="M634">
        <v>2</v>
      </c>
      <c r="N634" t="str" cm="1">
        <f t="array" ref="N634">_xlfn.IFS(HRData[[#This Row],[EnvironmentSatisfaction]]=1,"Very Dissatisfied",
HRData[[#This Row],[EnvironmentSatisfaction]]=2,"Dissatisfied",
HRData[[#This Row],[EnvironmentSatisfaction]]=3,"Satisfied",
HRData[[#This Row],[EnvironmentSatisfaction]]=4,"Very Satisfied"
)</f>
        <v>Dissatisfied</v>
      </c>
      <c r="O634" t="s">
        <v>46</v>
      </c>
      <c r="P634">
        <v>35</v>
      </c>
      <c r="Q634">
        <v>3</v>
      </c>
      <c r="R634">
        <v>1</v>
      </c>
      <c r="S634" t="s">
        <v>47</v>
      </c>
      <c r="T634">
        <v>4</v>
      </c>
      <c r="U634" t="str" cm="1">
        <f t="array" ref="U634">_xlfn.IFS(
HRData[[#This Row],[JobSatisfaction]]=1,"Very Dissatisfied",
HRData[[#This Row],[JobSatisfaction]]=2,"Dissatisfied",
HRData[[#This Row],[JobSatisfaction]]=3,"Satisfied",
HRData[[#This Row],[JobSatisfaction]]=4,"Very Satisfied"
)</f>
        <v>Very Satisfied</v>
      </c>
      <c r="V634" t="s">
        <v>41</v>
      </c>
      <c r="W634">
        <v>2515</v>
      </c>
      <c r="X634" t="str" cm="1">
        <f t="array" ref="X634">_xlfn.IFS(
HRData[[#This Row],[MonthlyIncome]]&lt;=4000,"Very Low Income",
HRData[[#This Row],[MonthlyIncome]]&lt;=8000,"Low Income",
HRData[[#This Row],[MonthlyIncome]]&lt;=12000,"Moderate Income",
HRData[[#This Row],[MonthlyIncome]]&lt;=16000,"High Income",
HRData[[#This Row],[MonthlyIncome]]&gt;16000,"Very High Income"
)</f>
        <v>Very Low Income</v>
      </c>
      <c r="Y634">
        <v>9068</v>
      </c>
      <c r="Z634">
        <v>5</v>
      </c>
      <c r="AA634" t="s">
        <v>42</v>
      </c>
      <c r="AB634" t="s">
        <v>35</v>
      </c>
      <c r="AC634">
        <v>14</v>
      </c>
      <c r="AD634" t="str" cm="1">
        <f t="array" ref="AD634">_xlfn.IFS(HRData[[#This Row],[PercentSalaryHike]]&lt;=15,"11-15",HRData[[#This Row],[PercentSalaryHike]]&lt;=20,"16-20",HRData[[#This Row],[PercentSalaryHike]]&gt;=21,"21+")</f>
        <v>11-15</v>
      </c>
      <c r="AE634">
        <v>3</v>
      </c>
      <c r="AF634">
        <v>4</v>
      </c>
      <c r="AG634">
        <v>80</v>
      </c>
      <c r="AH634">
        <v>0</v>
      </c>
      <c r="AI634">
        <v>8</v>
      </c>
      <c r="AJ634">
        <v>2</v>
      </c>
      <c r="AK634">
        <v>3</v>
      </c>
      <c r="AL634">
        <v>2</v>
      </c>
      <c r="AM634">
        <v>1</v>
      </c>
      <c r="AN634">
        <v>2</v>
      </c>
      <c r="AO634">
        <v>2</v>
      </c>
      <c r="AP63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34" t="str">
        <f>IF(HRData[[#This Row],[Attrition]]="Yes","Left", IF(HRData[[#This Row],[Attrition_Risk_Score]]&gt;=6,"High",IF(HRData[[#This Row],[Attrition_Risk_Score]]&gt;=3,"Medium","Low")))</f>
        <v>Medium</v>
      </c>
      <c r="AR634" t="str">
        <f>IF(HRData[[#This Row],[Attrition_Risk_Level]]&lt;&gt;"High","",HRData[[#This Row],[Attrition_Risk_Score]]*10000-HRData[[#This Row],[EmployeeNumber]])</f>
        <v/>
      </c>
    </row>
    <row r="635" spans="1:44">
      <c r="A635">
        <v>36</v>
      </c>
      <c r="B635" t="str" cm="1">
        <f t="array" ref="B635">_xlfn.IFS(
HRData[[#This Row],[Age]]&lt;=24,"18-24",
HRData[[#This Row],[Age]]&lt;=34,"25-34",
HRData[[#This Row],[Age]]&lt;=44,"35-44",
HRData[[#This Row],[Age]]&lt;=54,"45-54",
HRData[[#This Row],[Age]]&gt;=55,"55+"
)</f>
        <v>35-44</v>
      </c>
      <c r="C635" t="s">
        <v>43</v>
      </c>
      <c r="D635">
        <f>IF(HRData[[#This Row],[Attrition]]="Yes",1,0)</f>
        <v>0</v>
      </c>
      <c r="E635" t="s">
        <v>36</v>
      </c>
      <c r="F635">
        <v>1278</v>
      </c>
      <c r="G635" t="s">
        <v>61</v>
      </c>
      <c r="H635">
        <v>8</v>
      </c>
      <c r="I635">
        <v>3</v>
      </c>
      <c r="J635" t="s">
        <v>38</v>
      </c>
      <c r="K635">
        <v>1</v>
      </c>
      <c r="L635">
        <v>878</v>
      </c>
      <c r="M635">
        <v>1</v>
      </c>
      <c r="N635" t="str" cm="1">
        <f t="array" ref="N635">_xlfn.IFS(HRData[[#This Row],[EnvironmentSatisfaction]]=1,"Very Dissatisfied",
HRData[[#This Row],[EnvironmentSatisfaction]]=2,"Dissatisfied",
HRData[[#This Row],[EnvironmentSatisfaction]]=3,"Satisfied",
HRData[[#This Row],[EnvironmentSatisfaction]]=4,"Very Satisfied"
)</f>
        <v>Very Dissatisfied</v>
      </c>
      <c r="O635" t="s">
        <v>46</v>
      </c>
      <c r="P635">
        <v>77</v>
      </c>
      <c r="Q635">
        <v>2</v>
      </c>
      <c r="R635">
        <v>1</v>
      </c>
      <c r="S635" t="s">
        <v>61</v>
      </c>
      <c r="T635">
        <v>1</v>
      </c>
      <c r="U635" t="str" cm="1">
        <f t="array" ref="U635">_xlfn.IFS(
HRData[[#This Row],[JobSatisfaction]]=1,"Very Dissatisfied",
HRData[[#This Row],[JobSatisfaction]]=2,"Dissatisfied",
HRData[[#This Row],[JobSatisfaction]]=3,"Satisfied",
HRData[[#This Row],[JobSatisfaction]]=4,"Very Satisfied"
)</f>
        <v>Very Dissatisfied</v>
      </c>
      <c r="V635" t="s">
        <v>48</v>
      </c>
      <c r="W635">
        <v>2342</v>
      </c>
      <c r="X635" t="str" cm="1">
        <f t="array" ref="X635">_xlfn.IFS(
HRData[[#This Row],[MonthlyIncome]]&lt;=4000,"Very Low Income",
HRData[[#This Row],[MonthlyIncome]]&lt;=8000,"Low Income",
HRData[[#This Row],[MonthlyIncome]]&lt;=12000,"Moderate Income",
HRData[[#This Row],[MonthlyIncome]]&lt;=16000,"High Income",
HRData[[#This Row],[MonthlyIncome]]&gt;16000,"Very High Income"
)</f>
        <v>Very Low Income</v>
      </c>
      <c r="Y635">
        <v>8635</v>
      </c>
      <c r="Z635">
        <v>0</v>
      </c>
      <c r="AA635" t="s">
        <v>42</v>
      </c>
      <c r="AB635" t="s">
        <v>43</v>
      </c>
      <c r="AC635">
        <v>21</v>
      </c>
      <c r="AD635" t="str" cm="1">
        <f t="array" ref="AD635">_xlfn.IFS(HRData[[#This Row],[PercentSalaryHike]]&lt;=15,"11-15",HRData[[#This Row],[PercentSalaryHike]]&lt;=20,"16-20",HRData[[#This Row],[PercentSalaryHike]]&gt;=21,"21+")</f>
        <v>21+</v>
      </c>
      <c r="AE635">
        <v>4</v>
      </c>
      <c r="AF635">
        <v>3</v>
      </c>
      <c r="AG635">
        <v>80</v>
      </c>
      <c r="AH635">
        <v>0</v>
      </c>
      <c r="AI635">
        <v>6</v>
      </c>
      <c r="AJ635">
        <v>3</v>
      </c>
      <c r="AK635">
        <v>3</v>
      </c>
      <c r="AL635">
        <v>5</v>
      </c>
      <c r="AM635">
        <v>4</v>
      </c>
      <c r="AN635">
        <v>0</v>
      </c>
      <c r="AO635">
        <v>3</v>
      </c>
      <c r="AP63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635" t="str">
        <f>IF(HRData[[#This Row],[Attrition]]="Yes","Left", IF(HRData[[#This Row],[Attrition_Risk_Score]]&gt;=6,"High",IF(HRData[[#This Row],[Attrition_Risk_Score]]&gt;=3,"Medium","Low")))</f>
        <v>Medium</v>
      </c>
      <c r="AR635" t="str">
        <f>IF(HRData[[#This Row],[Attrition_Risk_Level]]&lt;&gt;"High","",HRData[[#This Row],[Attrition_Risk_Score]]*10000-HRData[[#This Row],[EmployeeNumber]])</f>
        <v/>
      </c>
    </row>
    <row r="636" spans="1:44">
      <c r="A636">
        <v>25</v>
      </c>
      <c r="B636" t="str" cm="1">
        <f t="array" ref="B636">_xlfn.IFS(
HRData[[#This Row],[Age]]&lt;=24,"18-24",
HRData[[#This Row],[Age]]&lt;=34,"25-34",
HRData[[#This Row],[Age]]&lt;=44,"35-44",
HRData[[#This Row],[Age]]&lt;=54,"45-54",
HRData[[#This Row],[Age]]&gt;=55,"55+"
)</f>
        <v>25-34</v>
      </c>
      <c r="C636" t="s">
        <v>43</v>
      </c>
      <c r="D636">
        <f>IF(HRData[[#This Row],[Attrition]]="Yes",1,0)</f>
        <v>0</v>
      </c>
      <c r="E636" t="s">
        <v>36</v>
      </c>
      <c r="F636">
        <v>141</v>
      </c>
      <c r="G636" t="s">
        <v>37</v>
      </c>
      <c r="H636">
        <v>3</v>
      </c>
      <c r="I636">
        <v>1</v>
      </c>
      <c r="J636" t="s">
        <v>49</v>
      </c>
      <c r="K636">
        <v>1</v>
      </c>
      <c r="L636">
        <v>879</v>
      </c>
      <c r="M636">
        <v>3</v>
      </c>
      <c r="N636" t="str" cm="1">
        <f t="array" ref="N636">_xlfn.IFS(HRData[[#This Row],[EnvironmentSatisfaction]]=1,"Very Dissatisfied",
HRData[[#This Row],[EnvironmentSatisfaction]]=2,"Dissatisfied",
HRData[[#This Row],[EnvironmentSatisfaction]]=3,"Satisfied",
HRData[[#This Row],[EnvironmentSatisfaction]]=4,"Very Satisfied"
)</f>
        <v>Satisfied</v>
      </c>
      <c r="O636" t="s">
        <v>46</v>
      </c>
      <c r="P636">
        <v>98</v>
      </c>
      <c r="Q636">
        <v>3</v>
      </c>
      <c r="R636">
        <v>2</v>
      </c>
      <c r="S636" t="s">
        <v>40</v>
      </c>
      <c r="T636">
        <v>1</v>
      </c>
      <c r="U636" t="str" cm="1">
        <f t="array" ref="U636">_xlfn.IFS(
HRData[[#This Row],[JobSatisfaction]]=1,"Very Dissatisfied",
HRData[[#This Row],[JobSatisfaction]]=2,"Dissatisfied",
HRData[[#This Row],[JobSatisfaction]]=3,"Satisfied",
HRData[[#This Row],[JobSatisfaction]]=4,"Very Satisfied"
)</f>
        <v>Very Dissatisfied</v>
      </c>
      <c r="V636" t="s">
        <v>48</v>
      </c>
      <c r="W636">
        <v>4194</v>
      </c>
      <c r="X636" t="str" cm="1">
        <f t="array" ref="X636">_xlfn.IFS(
HRData[[#This Row],[MonthlyIncome]]&lt;=4000,"Very Low Income",
HRData[[#This Row],[MonthlyIncome]]&lt;=8000,"Low Income",
HRData[[#This Row],[MonthlyIncome]]&lt;=12000,"Moderate Income",
HRData[[#This Row],[MonthlyIncome]]&lt;=16000,"High Income",
HRData[[#This Row],[MonthlyIncome]]&gt;16000,"Very High Income"
)</f>
        <v>Low Income</v>
      </c>
      <c r="Y636">
        <v>14363</v>
      </c>
      <c r="Z636">
        <v>1</v>
      </c>
      <c r="AA636" t="s">
        <v>42</v>
      </c>
      <c r="AB636" t="s">
        <v>35</v>
      </c>
      <c r="AC636">
        <v>18</v>
      </c>
      <c r="AD636" t="str" cm="1">
        <f t="array" ref="AD636">_xlfn.IFS(HRData[[#This Row],[PercentSalaryHike]]&lt;=15,"11-15",HRData[[#This Row],[PercentSalaryHike]]&lt;=20,"16-20",HRData[[#This Row],[PercentSalaryHike]]&gt;=21,"21+")</f>
        <v>16-20</v>
      </c>
      <c r="AE636">
        <v>3</v>
      </c>
      <c r="AF636">
        <v>4</v>
      </c>
      <c r="AG636">
        <v>80</v>
      </c>
      <c r="AH636">
        <v>0</v>
      </c>
      <c r="AI636">
        <v>5</v>
      </c>
      <c r="AJ636">
        <v>3</v>
      </c>
      <c r="AK636">
        <v>3</v>
      </c>
      <c r="AL636">
        <v>5</v>
      </c>
      <c r="AM636">
        <v>3</v>
      </c>
      <c r="AN636">
        <v>0</v>
      </c>
      <c r="AO636">
        <v>3</v>
      </c>
      <c r="AP63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636" t="str">
        <f>IF(HRData[[#This Row],[Attrition]]="Yes","Left", IF(HRData[[#This Row],[Attrition_Risk_Score]]&gt;=6,"High",IF(HRData[[#This Row],[Attrition_Risk_Score]]&gt;=3,"Medium","Low")))</f>
        <v>High</v>
      </c>
      <c r="AR636">
        <f>IF(HRData[[#This Row],[Attrition_Risk_Level]]&lt;&gt;"High","",HRData[[#This Row],[Attrition_Risk_Score]]*10000-HRData[[#This Row],[EmployeeNumber]])</f>
        <v>59121</v>
      </c>
    </row>
    <row r="637" spans="1:44">
      <c r="A637">
        <v>35</v>
      </c>
      <c r="B637" t="str" cm="1">
        <f t="array" ref="B637">_xlfn.IFS(
HRData[[#This Row],[Age]]&lt;=24,"18-24",
HRData[[#This Row],[Age]]&lt;=34,"25-34",
HRData[[#This Row],[Age]]&lt;=44,"35-44",
HRData[[#This Row],[Age]]&lt;=54,"45-54",
HRData[[#This Row],[Age]]&gt;=55,"55+"
)</f>
        <v>35-44</v>
      </c>
      <c r="C637" t="s">
        <v>43</v>
      </c>
      <c r="D637">
        <f>IF(HRData[[#This Row],[Attrition]]="Yes",1,0)</f>
        <v>0</v>
      </c>
      <c r="E637" t="s">
        <v>36</v>
      </c>
      <c r="F637">
        <v>607</v>
      </c>
      <c r="G637" t="s">
        <v>45</v>
      </c>
      <c r="H637">
        <v>9</v>
      </c>
      <c r="I637">
        <v>3</v>
      </c>
      <c r="J637" t="s">
        <v>38</v>
      </c>
      <c r="K637">
        <v>1</v>
      </c>
      <c r="L637">
        <v>880</v>
      </c>
      <c r="M637">
        <v>4</v>
      </c>
      <c r="N637" t="str" cm="1">
        <f t="array" ref="N637">_xlfn.IFS(HRData[[#This Row],[EnvironmentSatisfaction]]=1,"Very Dissatisfied",
HRData[[#This Row],[EnvironmentSatisfaction]]=2,"Dissatisfied",
HRData[[#This Row],[EnvironmentSatisfaction]]=3,"Satisfied",
HRData[[#This Row],[EnvironmentSatisfaction]]=4,"Very Satisfied"
)</f>
        <v>Very Satisfied</v>
      </c>
      <c r="O637" t="s">
        <v>39</v>
      </c>
      <c r="P637">
        <v>66</v>
      </c>
      <c r="Q637">
        <v>2</v>
      </c>
      <c r="R637">
        <v>3</v>
      </c>
      <c r="S637" t="s">
        <v>53</v>
      </c>
      <c r="T637">
        <v>3</v>
      </c>
      <c r="U637" t="str" cm="1">
        <f t="array" ref="U637">_xlfn.IFS(
HRData[[#This Row],[JobSatisfaction]]=1,"Very Dissatisfied",
HRData[[#This Row],[JobSatisfaction]]=2,"Dissatisfied",
HRData[[#This Row],[JobSatisfaction]]=3,"Satisfied",
HRData[[#This Row],[JobSatisfaction]]=4,"Very Satisfied"
)</f>
        <v>Satisfied</v>
      </c>
      <c r="V637" t="s">
        <v>48</v>
      </c>
      <c r="W637">
        <v>10685</v>
      </c>
      <c r="X637" t="str" cm="1">
        <f t="array" ref="X637">_xlfn.IFS(
HRData[[#This Row],[MonthlyIncome]]&lt;=4000,"Very Low Income",
HRData[[#This Row],[MonthlyIncome]]&lt;=8000,"Low Income",
HRData[[#This Row],[MonthlyIncome]]&lt;=12000,"Moderate Income",
HRData[[#This Row],[MonthlyIncome]]&lt;=16000,"High Income",
HRData[[#This Row],[MonthlyIncome]]&gt;16000,"Very High Income"
)</f>
        <v>Moderate Income</v>
      </c>
      <c r="Y637">
        <v>23457</v>
      </c>
      <c r="Z637">
        <v>1</v>
      </c>
      <c r="AA637" t="s">
        <v>42</v>
      </c>
      <c r="AB637" t="s">
        <v>35</v>
      </c>
      <c r="AC637">
        <v>20</v>
      </c>
      <c r="AD637" t="str" cm="1">
        <f t="array" ref="AD637">_xlfn.IFS(HRData[[#This Row],[PercentSalaryHike]]&lt;=15,"11-15",HRData[[#This Row],[PercentSalaryHike]]&lt;=20,"16-20",HRData[[#This Row],[PercentSalaryHike]]&gt;=21,"21+")</f>
        <v>16-20</v>
      </c>
      <c r="AE637">
        <v>4</v>
      </c>
      <c r="AF637">
        <v>2</v>
      </c>
      <c r="AG637">
        <v>80</v>
      </c>
      <c r="AH637">
        <v>1</v>
      </c>
      <c r="AI637">
        <v>17</v>
      </c>
      <c r="AJ637">
        <v>2</v>
      </c>
      <c r="AK637">
        <v>3</v>
      </c>
      <c r="AL637">
        <v>17</v>
      </c>
      <c r="AM637">
        <v>14</v>
      </c>
      <c r="AN637">
        <v>5</v>
      </c>
      <c r="AO637">
        <v>15</v>
      </c>
      <c r="AP63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37" t="str">
        <f>IF(HRData[[#This Row],[Attrition]]="Yes","Left", IF(HRData[[#This Row],[Attrition_Risk_Score]]&gt;=6,"High",IF(HRData[[#This Row],[Attrition_Risk_Score]]&gt;=3,"Medium","Low")))</f>
        <v>Low</v>
      </c>
      <c r="AR637" t="str">
        <f>IF(HRData[[#This Row],[Attrition_Risk_Level]]&lt;&gt;"High","",HRData[[#This Row],[Attrition_Risk_Score]]*10000-HRData[[#This Row],[EmployeeNumber]])</f>
        <v/>
      </c>
    </row>
    <row r="638" spans="1:44">
      <c r="A638">
        <v>35</v>
      </c>
      <c r="B638" t="str" cm="1">
        <f t="array" ref="B638">_xlfn.IFS(
HRData[[#This Row],[Age]]&lt;=24,"18-24",
HRData[[#This Row],[Age]]&lt;=34,"25-34",
HRData[[#This Row],[Age]]&lt;=44,"35-44",
HRData[[#This Row],[Age]]&lt;=54,"45-54",
HRData[[#This Row],[Age]]&gt;=55,"55+"
)</f>
        <v>35-44</v>
      </c>
      <c r="C638" t="s">
        <v>35</v>
      </c>
      <c r="D638">
        <f>IF(HRData[[#This Row],[Attrition]]="Yes",1,0)</f>
        <v>1</v>
      </c>
      <c r="E638" t="s">
        <v>44</v>
      </c>
      <c r="F638">
        <v>130</v>
      </c>
      <c r="G638" t="s">
        <v>45</v>
      </c>
      <c r="H638">
        <v>25</v>
      </c>
      <c r="I638">
        <v>4</v>
      </c>
      <c r="J638" t="s">
        <v>38</v>
      </c>
      <c r="K638">
        <v>1</v>
      </c>
      <c r="L638">
        <v>881</v>
      </c>
      <c r="M638">
        <v>4</v>
      </c>
      <c r="N638" t="str" cm="1">
        <f t="array" ref="N638">_xlfn.IFS(HRData[[#This Row],[EnvironmentSatisfaction]]=1,"Very Dissatisfied",
HRData[[#This Row],[EnvironmentSatisfaction]]=2,"Dissatisfied",
HRData[[#This Row],[EnvironmentSatisfaction]]=3,"Satisfied",
HRData[[#This Row],[EnvironmentSatisfaction]]=4,"Very Satisfied"
)</f>
        <v>Very Satisfied</v>
      </c>
      <c r="O638" t="s">
        <v>39</v>
      </c>
      <c r="P638">
        <v>96</v>
      </c>
      <c r="Q638">
        <v>3</v>
      </c>
      <c r="R638">
        <v>1</v>
      </c>
      <c r="S638" t="s">
        <v>47</v>
      </c>
      <c r="T638">
        <v>2</v>
      </c>
      <c r="U638" t="str" cm="1">
        <f t="array" ref="U638">_xlfn.IFS(
HRData[[#This Row],[JobSatisfaction]]=1,"Very Dissatisfied",
HRData[[#This Row],[JobSatisfaction]]=2,"Dissatisfied",
HRData[[#This Row],[JobSatisfaction]]=3,"Satisfied",
HRData[[#This Row],[JobSatisfaction]]=4,"Very Satisfied"
)</f>
        <v>Dissatisfied</v>
      </c>
      <c r="V638" t="s">
        <v>52</v>
      </c>
      <c r="W638">
        <v>2022</v>
      </c>
      <c r="X638" t="str" cm="1">
        <f t="array" ref="X638">_xlfn.IFS(
HRData[[#This Row],[MonthlyIncome]]&lt;=4000,"Very Low Income",
HRData[[#This Row],[MonthlyIncome]]&lt;=8000,"Low Income",
HRData[[#This Row],[MonthlyIncome]]&lt;=12000,"Moderate Income",
HRData[[#This Row],[MonthlyIncome]]&lt;=16000,"High Income",
HRData[[#This Row],[MonthlyIncome]]&gt;16000,"Very High Income"
)</f>
        <v>Very Low Income</v>
      </c>
      <c r="Y638">
        <v>16612</v>
      </c>
      <c r="Z638">
        <v>1</v>
      </c>
      <c r="AA638" t="s">
        <v>42</v>
      </c>
      <c r="AB638" t="s">
        <v>35</v>
      </c>
      <c r="AC638">
        <v>19</v>
      </c>
      <c r="AD638" t="str" cm="1">
        <f t="array" ref="AD638">_xlfn.IFS(HRData[[#This Row],[PercentSalaryHike]]&lt;=15,"11-15",HRData[[#This Row],[PercentSalaryHike]]&lt;=20,"16-20",HRData[[#This Row],[PercentSalaryHike]]&gt;=21,"21+")</f>
        <v>16-20</v>
      </c>
      <c r="AE638">
        <v>3</v>
      </c>
      <c r="AF638">
        <v>1</v>
      </c>
      <c r="AG638">
        <v>80</v>
      </c>
      <c r="AH638">
        <v>1</v>
      </c>
      <c r="AI638">
        <v>10</v>
      </c>
      <c r="AJ638">
        <v>3</v>
      </c>
      <c r="AK638">
        <v>2</v>
      </c>
      <c r="AL638">
        <v>10</v>
      </c>
      <c r="AM638">
        <v>2</v>
      </c>
      <c r="AN638">
        <v>7</v>
      </c>
      <c r="AO638">
        <v>8</v>
      </c>
      <c r="AP63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38" t="str">
        <f>IF(HRData[[#This Row],[Attrition]]="Yes","Left", IF(HRData[[#This Row],[Attrition_Risk_Score]]&gt;=6,"High",IF(HRData[[#This Row],[Attrition_Risk_Score]]&gt;=3,"Medium","Low")))</f>
        <v>Left</v>
      </c>
      <c r="AR638" t="str">
        <f>IF(HRData[[#This Row],[Attrition_Risk_Level]]&lt;&gt;"High","",HRData[[#This Row],[Attrition_Risk_Score]]*10000-HRData[[#This Row],[EmployeeNumber]])</f>
        <v/>
      </c>
    </row>
    <row r="639" spans="1:44">
      <c r="A639">
        <v>32</v>
      </c>
      <c r="B639" t="str" cm="1">
        <f t="array" ref="B639">_xlfn.IFS(
HRData[[#This Row],[Age]]&lt;=24,"18-24",
HRData[[#This Row],[Age]]&lt;=34,"25-34",
HRData[[#This Row],[Age]]&lt;=44,"35-44",
HRData[[#This Row],[Age]]&lt;=54,"45-54",
HRData[[#This Row],[Age]]&gt;=55,"55+"
)</f>
        <v>25-34</v>
      </c>
      <c r="C639" t="s">
        <v>43</v>
      </c>
      <c r="D639">
        <f>IF(HRData[[#This Row],[Attrition]]="Yes",1,0)</f>
        <v>0</v>
      </c>
      <c r="E639" t="s">
        <v>55</v>
      </c>
      <c r="F639">
        <v>300</v>
      </c>
      <c r="G639" t="s">
        <v>45</v>
      </c>
      <c r="H639">
        <v>1</v>
      </c>
      <c r="I639">
        <v>3</v>
      </c>
      <c r="J639" t="s">
        <v>38</v>
      </c>
      <c r="K639">
        <v>1</v>
      </c>
      <c r="L639">
        <v>882</v>
      </c>
      <c r="M639">
        <v>4</v>
      </c>
      <c r="N639" t="str" cm="1">
        <f t="array" ref="N639">_xlfn.IFS(HRData[[#This Row],[EnvironmentSatisfaction]]=1,"Very Dissatisfied",
HRData[[#This Row],[EnvironmentSatisfaction]]=2,"Dissatisfied",
HRData[[#This Row],[EnvironmentSatisfaction]]=3,"Satisfied",
HRData[[#This Row],[EnvironmentSatisfaction]]=4,"Very Satisfied"
)</f>
        <v>Very Satisfied</v>
      </c>
      <c r="O639" t="s">
        <v>46</v>
      </c>
      <c r="P639">
        <v>61</v>
      </c>
      <c r="Q639">
        <v>3</v>
      </c>
      <c r="R639">
        <v>1</v>
      </c>
      <c r="S639" t="s">
        <v>50</v>
      </c>
      <c r="T639">
        <v>4</v>
      </c>
      <c r="U639" t="str" cm="1">
        <f t="array" ref="U639">_xlfn.IFS(
HRData[[#This Row],[JobSatisfaction]]=1,"Very Dissatisfied",
HRData[[#This Row],[JobSatisfaction]]=2,"Dissatisfied",
HRData[[#This Row],[JobSatisfaction]]=3,"Satisfied",
HRData[[#This Row],[JobSatisfaction]]=4,"Very Satisfied"
)</f>
        <v>Very Satisfied</v>
      </c>
      <c r="V639" t="s">
        <v>52</v>
      </c>
      <c r="W639">
        <v>2314</v>
      </c>
      <c r="X639" t="str" cm="1">
        <f t="array" ref="X639">_xlfn.IFS(
HRData[[#This Row],[MonthlyIncome]]&lt;=4000,"Very Low Income",
HRData[[#This Row],[MonthlyIncome]]&lt;=8000,"Low Income",
HRData[[#This Row],[MonthlyIncome]]&lt;=12000,"Moderate Income",
HRData[[#This Row],[MonthlyIncome]]&lt;=16000,"High Income",
HRData[[#This Row],[MonthlyIncome]]&gt;16000,"Very High Income"
)</f>
        <v>Very Low Income</v>
      </c>
      <c r="Y639">
        <v>9148</v>
      </c>
      <c r="Z639">
        <v>0</v>
      </c>
      <c r="AA639" t="s">
        <v>42</v>
      </c>
      <c r="AB639" t="s">
        <v>43</v>
      </c>
      <c r="AC639">
        <v>12</v>
      </c>
      <c r="AD639" t="str" cm="1">
        <f t="array" ref="AD639">_xlfn.IFS(HRData[[#This Row],[PercentSalaryHike]]&lt;=15,"11-15",HRData[[#This Row],[PercentSalaryHike]]&lt;=20,"16-20",HRData[[#This Row],[PercentSalaryHike]]&gt;=21,"21+")</f>
        <v>11-15</v>
      </c>
      <c r="AE639">
        <v>3</v>
      </c>
      <c r="AF639">
        <v>2</v>
      </c>
      <c r="AG639">
        <v>80</v>
      </c>
      <c r="AH639">
        <v>1</v>
      </c>
      <c r="AI639">
        <v>4</v>
      </c>
      <c r="AJ639">
        <v>2</v>
      </c>
      <c r="AK639">
        <v>3</v>
      </c>
      <c r="AL639">
        <v>3</v>
      </c>
      <c r="AM639">
        <v>0</v>
      </c>
      <c r="AN639">
        <v>0</v>
      </c>
      <c r="AO639">
        <v>2</v>
      </c>
      <c r="AP63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39" t="str">
        <f>IF(HRData[[#This Row],[Attrition]]="Yes","Left", IF(HRData[[#This Row],[Attrition_Risk_Score]]&gt;=6,"High",IF(HRData[[#This Row],[Attrition_Risk_Score]]&gt;=3,"Medium","Low")))</f>
        <v>Medium</v>
      </c>
      <c r="AR639" t="str">
        <f>IF(HRData[[#This Row],[Attrition_Risk_Level]]&lt;&gt;"High","",HRData[[#This Row],[Attrition_Risk_Score]]*10000-HRData[[#This Row],[EmployeeNumber]])</f>
        <v/>
      </c>
    </row>
    <row r="640" spans="1:44">
      <c r="A640">
        <v>25</v>
      </c>
      <c r="B640" t="str" cm="1">
        <f t="array" ref="B640">_xlfn.IFS(
HRData[[#This Row],[Age]]&lt;=24,"18-24",
HRData[[#This Row],[Age]]&lt;=34,"25-34",
HRData[[#This Row],[Age]]&lt;=44,"35-44",
HRData[[#This Row],[Age]]&lt;=54,"45-54",
HRData[[#This Row],[Age]]&gt;=55,"55+"
)</f>
        <v>25-34</v>
      </c>
      <c r="C640" t="s">
        <v>43</v>
      </c>
      <c r="D640">
        <f>IF(HRData[[#This Row],[Attrition]]="Yes",1,0)</f>
        <v>0</v>
      </c>
      <c r="E640" t="s">
        <v>36</v>
      </c>
      <c r="F640">
        <v>583</v>
      </c>
      <c r="G640" t="s">
        <v>37</v>
      </c>
      <c r="H640">
        <v>4</v>
      </c>
      <c r="I640">
        <v>1</v>
      </c>
      <c r="J640" t="s">
        <v>59</v>
      </c>
      <c r="K640">
        <v>1</v>
      </c>
      <c r="L640">
        <v>885</v>
      </c>
      <c r="M640">
        <v>3</v>
      </c>
      <c r="N640" t="str" cm="1">
        <f t="array" ref="N640">_xlfn.IFS(HRData[[#This Row],[EnvironmentSatisfaction]]=1,"Very Dissatisfied",
HRData[[#This Row],[EnvironmentSatisfaction]]=2,"Dissatisfied",
HRData[[#This Row],[EnvironmentSatisfaction]]=3,"Satisfied",
HRData[[#This Row],[EnvironmentSatisfaction]]=4,"Very Satisfied"
)</f>
        <v>Satisfied</v>
      </c>
      <c r="O640" t="s">
        <v>46</v>
      </c>
      <c r="P640">
        <v>87</v>
      </c>
      <c r="Q640">
        <v>2</v>
      </c>
      <c r="R640">
        <v>2</v>
      </c>
      <c r="S640" t="s">
        <v>40</v>
      </c>
      <c r="T640">
        <v>1</v>
      </c>
      <c r="U640" t="str" cm="1">
        <f t="array" ref="U640">_xlfn.IFS(
HRData[[#This Row],[JobSatisfaction]]=1,"Very Dissatisfied",
HRData[[#This Row],[JobSatisfaction]]=2,"Dissatisfied",
HRData[[#This Row],[JobSatisfaction]]=3,"Satisfied",
HRData[[#This Row],[JobSatisfaction]]=4,"Very Satisfied"
)</f>
        <v>Very Dissatisfied</v>
      </c>
      <c r="V640" t="s">
        <v>48</v>
      </c>
      <c r="W640">
        <v>4256</v>
      </c>
      <c r="X640" t="str" cm="1">
        <f t="array" ref="X640">_xlfn.IFS(
HRData[[#This Row],[MonthlyIncome]]&lt;=4000,"Very Low Income",
HRData[[#This Row],[MonthlyIncome]]&lt;=8000,"Low Income",
HRData[[#This Row],[MonthlyIncome]]&lt;=12000,"Moderate Income",
HRData[[#This Row],[MonthlyIncome]]&lt;=16000,"High Income",
HRData[[#This Row],[MonthlyIncome]]&gt;16000,"Very High Income"
)</f>
        <v>Low Income</v>
      </c>
      <c r="Y640">
        <v>18154</v>
      </c>
      <c r="Z640">
        <v>1</v>
      </c>
      <c r="AA640" t="s">
        <v>42</v>
      </c>
      <c r="AB640" t="s">
        <v>43</v>
      </c>
      <c r="AC640">
        <v>12</v>
      </c>
      <c r="AD640" t="str" cm="1">
        <f t="array" ref="AD640">_xlfn.IFS(HRData[[#This Row],[PercentSalaryHike]]&lt;=15,"11-15",HRData[[#This Row],[PercentSalaryHike]]&lt;=20,"16-20",HRData[[#This Row],[PercentSalaryHike]]&gt;=21,"21+")</f>
        <v>11-15</v>
      </c>
      <c r="AE640">
        <v>3</v>
      </c>
      <c r="AF640">
        <v>1</v>
      </c>
      <c r="AG640">
        <v>80</v>
      </c>
      <c r="AH640">
        <v>0</v>
      </c>
      <c r="AI640">
        <v>5</v>
      </c>
      <c r="AJ640">
        <v>1</v>
      </c>
      <c r="AK640">
        <v>4</v>
      </c>
      <c r="AL640">
        <v>5</v>
      </c>
      <c r="AM640">
        <v>2</v>
      </c>
      <c r="AN640">
        <v>0</v>
      </c>
      <c r="AO640">
        <v>3</v>
      </c>
      <c r="AP64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40" t="str">
        <f>IF(HRData[[#This Row],[Attrition]]="Yes","Left", IF(HRData[[#This Row],[Attrition_Risk_Score]]&gt;=6,"High",IF(HRData[[#This Row],[Attrition_Risk_Score]]&gt;=3,"Medium","Low")))</f>
        <v>Medium</v>
      </c>
      <c r="AR640" t="str">
        <f>IF(HRData[[#This Row],[Attrition_Risk_Level]]&lt;&gt;"High","",HRData[[#This Row],[Attrition_Risk_Score]]*10000-HRData[[#This Row],[EmployeeNumber]])</f>
        <v/>
      </c>
    </row>
    <row r="641" spans="1:44">
      <c r="A641">
        <v>49</v>
      </c>
      <c r="B641" t="str" cm="1">
        <f t="array" ref="B641">_xlfn.IFS(
HRData[[#This Row],[Age]]&lt;=24,"18-24",
HRData[[#This Row],[Age]]&lt;=34,"25-34",
HRData[[#This Row],[Age]]&lt;=44,"35-44",
HRData[[#This Row],[Age]]&lt;=54,"45-54",
HRData[[#This Row],[Age]]&gt;=55,"55+"
)</f>
        <v>45-54</v>
      </c>
      <c r="C641" t="s">
        <v>43</v>
      </c>
      <c r="D641">
        <f>IF(HRData[[#This Row],[Attrition]]="Yes",1,0)</f>
        <v>0</v>
      </c>
      <c r="E641" t="s">
        <v>36</v>
      </c>
      <c r="F641">
        <v>1418</v>
      </c>
      <c r="G641" t="s">
        <v>45</v>
      </c>
      <c r="H641">
        <v>1</v>
      </c>
      <c r="I641">
        <v>3</v>
      </c>
      <c r="J641" t="s">
        <v>60</v>
      </c>
      <c r="K641">
        <v>1</v>
      </c>
      <c r="L641">
        <v>887</v>
      </c>
      <c r="M641">
        <v>3</v>
      </c>
      <c r="N641" t="str" cm="1">
        <f t="array" ref="N641">_xlfn.IFS(HRData[[#This Row],[EnvironmentSatisfaction]]=1,"Very Dissatisfied",
HRData[[#This Row],[EnvironmentSatisfaction]]=2,"Dissatisfied",
HRData[[#This Row],[EnvironmentSatisfaction]]=3,"Satisfied",
HRData[[#This Row],[EnvironmentSatisfaction]]=4,"Very Satisfied"
)</f>
        <v>Satisfied</v>
      </c>
      <c r="O641" t="s">
        <v>39</v>
      </c>
      <c r="P641">
        <v>36</v>
      </c>
      <c r="Q641">
        <v>3</v>
      </c>
      <c r="R641">
        <v>1</v>
      </c>
      <c r="S641" t="s">
        <v>47</v>
      </c>
      <c r="T641">
        <v>1</v>
      </c>
      <c r="U641" t="str" cm="1">
        <f t="array" ref="U641">_xlfn.IFS(
HRData[[#This Row],[JobSatisfaction]]=1,"Very Dissatisfied",
HRData[[#This Row],[JobSatisfaction]]=2,"Dissatisfied",
HRData[[#This Row],[JobSatisfaction]]=3,"Satisfied",
HRData[[#This Row],[JobSatisfaction]]=4,"Very Satisfied"
)</f>
        <v>Very Dissatisfied</v>
      </c>
      <c r="V641" t="s">
        <v>48</v>
      </c>
      <c r="W641">
        <v>3580</v>
      </c>
      <c r="X641" t="str" cm="1">
        <f t="array" ref="X641">_xlfn.IFS(
HRData[[#This Row],[MonthlyIncome]]&lt;=4000,"Very Low Income",
HRData[[#This Row],[MonthlyIncome]]&lt;=8000,"Low Income",
HRData[[#This Row],[MonthlyIncome]]&lt;=12000,"Moderate Income",
HRData[[#This Row],[MonthlyIncome]]&lt;=16000,"High Income",
HRData[[#This Row],[MonthlyIncome]]&gt;16000,"Very High Income"
)</f>
        <v>Very Low Income</v>
      </c>
      <c r="Y641">
        <v>10554</v>
      </c>
      <c r="Z641">
        <v>2</v>
      </c>
      <c r="AA641" t="s">
        <v>42</v>
      </c>
      <c r="AB641" t="s">
        <v>43</v>
      </c>
      <c r="AC641">
        <v>16</v>
      </c>
      <c r="AD641" t="str" cm="1">
        <f t="array" ref="AD641">_xlfn.IFS(HRData[[#This Row],[PercentSalaryHike]]&lt;=15,"11-15",HRData[[#This Row],[PercentSalaryHike]]&lt;=20,"16-20",HRData[[#This Row],[PercentSalaryHike]]&gt;=21,"21+")</f>
        <v>16-20</v>
      </c>
      <c r="AE641">
        <v>3</v>
      </c>
      <c r="AF641">
        <v>2</v>
      </c>
      <c r="AG641">
        <v>80</v>
      </c>
      <c r="AH641">
        <v>1</v>
      </c>
      <c r="AI641">
        <v>7</v>
      </c>
      <c r="AJ641">
        <v>2</v>
      </c>
      <c r="AK641">
        <v>3</v>
      </c>
      <c r="AL641">
        <v>4</v>
      </c>
      <c r="AM641">
        <v>2</v>
      </c>
      <c r="AN641">
        <v>0</v>
      </c>
      <c r="AO641">
        <v>2</v>
      </c>
      <c r="AP64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41" t="str">
        <f>IF(HRData[[#This Row],[Attrition]]="Yes","Left", IF(HRData[[#This Row],[Attrition_Risk_Score]]&gt;=6,"High",IF(HRData[[#This Row],[Attrition_Risk_Score]]&gt;=3,"Medium","Low")))</f>
        <v>Medium</v>
      </c>
      <c r="AR641" t="str">
        <f>IF(HRData[[#This Row],[Attrition_Risk_Level]]&lt;&gt;"High","",HRData[[#This Row],[Attrition_Risk_Score]]*10000-HRData[[#This Row],[EmployeeNumber]])</f>
        <v/>
      </c>
    </row>
    <row r="642" spans="1:44">
      <c r="A642">
        <v>24</v>
      </c>
      <c r="B642" t="str" cm="1">
        <f t="array" ref="B642">_xlfn.IFS(
HRData[[#This Row],[Age]]&lt;=24,"18-24",
HRData[[#This Row],[Age]]&lt;=34,"25-34",
HRData[[#This Row],[Age]]&lt;=44,"35-44",
HRData[[#This Row],[Age]]&lt;=54,"45-54",
HRData[[#This Row],[Age]]&gt;=55,"55+"
)</f>
        <v>18-24</v>
      </c>
      <c r="C642" t="s">
        <v>43</v>
      </c>
      <c r="D642">
        <f>IF(HRData[[#This Row],[Attrition]]="Yes",1,0)</f>
        <v>0</v>
      </c>
      <c r="E642" t="s">
        <v>55</v>
      </c>
      <c r="F642">
        <v>1269</v>
      </c>
      <c r="G642" t="s">
        <v>45</v>
      </c>
      <c r="H642">
        <v>4</v>
      </c>
      <c r="I642">
        <v>1</v>
      </c>
      <c r="J642" t="s">
        <v>38</v>
      </c>
      <c r="K642">
        <v>1</v>
      </c>
      <c r="L642">
        <v>888</v>
      </c>
      <c r="M642">
        <v>1</v>
      </c>
      <c r="N642" t="str" cm="1">
        <f t="array" ref="N642">_xlfn.IFS(HRData[[#This Row],[EnvironmentSatisfaction]]=1,"Very Dissatisfied",
HRData[[#This Row],[EnvironmentSatisfaction]]=2,"Dissatisfied",
HRData[[#This Row],[EnvironmentSatisfaction]]=3,"Satisfied",
HRData[[#This Row],[EnvironmentSatisfaction]]=4,"Very Satisfied"
)</f>
        <v>Very Dissatisfied</v>
      </c>
      <c r="O642" t="s">
        <v>46</v>
      </c>
      <c r="P642">
        <v>46</v>
      </c>
      <c r="Q642">
        <v>2</v>
      </c>
      <c r="R642">
        <v>1</v>
      </c>
      <c r="S642" t="s">
        <v>50</v>
      </c>
      <c r="T642">
        <v>4</v>
      </c>
      <c r="U642" t="str" cm="1">
        <f t="array" ref="U642">_xlfn.IFS(
HRData[[#This Row],[JobSatisfaction]]=1,"Very Dissatisfied",
HRData[[#This Row],[JobSatisfaction]]=2,"Dissatisfied",
HRData[[#This Row],[JobSatisfaction]]=3,"Satisfied",
HRData[[#This Row],[JobSatisfaction]]=4,"Very Satisfied"
)</f>
        <v>Very Satisfied</v>
      </c>
      <c r="V642" t="s">
        <v>48</v>
      </c>
      <c r="W642">
        <v>3162</v>
      </c>
      <c r="X642" t="str" cm="1">
        <f t="array" ref="X642">_xlfn.IFS(
HRData[[#This Row],[MonthlyIncome]]&lt;=4000,"Very Low Income",
HRData[[#This Row],[MonthlyIncome]]&lt;=8000,"Low Income",
HRData[[#This Row],[MonthlyIncome]]&lt;=12000,"Moderate Income",
HRData[[#This Row],[MonthlyIncome]]&lt;=16000,"High Income",
HRData[[#This Row],[MonthlyIncome]]&gt;16000,"Very High Income"
)</f>
        <v>Very Low Income</v>
      </c>
      <c r="Y642">
        <v>10778</v>
      </c>
      <c r="Z642">
        <v>0</v>
      </c>
      <c r="AA642" t="s">
        <v>42</v>
      </c>
      <c r="AB642" t="s">
        <v>43</v>
      </c>
      <c r="AC642">
        <v>17</v>
      </c>
      <c r="AD642" t="str" cm="1">
        <f t="array" ref="AD642">_xlfn.IFS(HRData[[#This Row],[PercentSalaryHike]]&lt;=15,"11-15",HRData[[#This Row],[PercentSalaryHike]]&lt;=20,"16-20",HRData[[#This Row],[PercentSalaryHike]]&gt;=21,"21+")</f>
        <v>16-20</v>
      </c>
      <c r="AE642">
        <v>3</v>
      </c>
      <c r="AF642">
        <v>4</v>
      </c>
      <c r="AG642">
        <v>80</v>
      </c>
      <c r="AH642">
        <v>0</v>
      </c>
      <c r="AI642">
        <v>6</v>
      </c>
      <c r="AJ642">
        <v>2</v>
      </c>
      <c r="AK642">
        <v>2</v>
      </c>
      <c r="AL642">
        <v>5</v>
      </c>
      <c r="AM642">
        <v>2</v>
      </c>
      <c r="AN642">
        <v>3</v>
      </c>
      <c r="AO642">
        <v>4</v>
      </c>
      <c r="AP64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642" t="str">
        <f>IF(HRData[[#This Row],[Attrition]]="Yes","Left", IF(HRData[[#This Row],[Attrition_Risk_Score]]&gt;=6,"High",IF(HRData[[#This Row],[Attrition_Risk_Score]]&gt;=3,"Medium","Low")))</f>
        <v>Medium</v>
      </c>
      <c r="AR642" t="str">
        <f>IF(HRData[[#This Row],[Attrition_Risk_Level]]&lt;&gt;"High","",HRData[[#This Row],[Attrition_Risk_Score]]*10000-HRData[[#This Row],[EmployeeNumber]])</f>
        <v/>
      </c>
    </row>
    <row r="643" spans="1:44">
      <c r="A643">
        <v>32</v>
      </c>
      <c r="B643" t="str" cm="1">
        <f t="array" ref="B643">_xlfn.IFS(
HRData[[#This Row],[Age]]&lt;=24,"18-24",
HRData[[#This Row],[Age]]&lt;=34,"25-34",
HRData[[#This Row],[Age]]&lt;=44,"35-44",
HRData[[#This Row],[Age]]&lt;=54,"45-54",
HRData[[#This Row],[Age]]&gt;=55,"55+"
)</f>
        <v>25-34</v>
      </c>
      <c r="C643" t="s">
        <v>43</v>
      </c>
      <c r="D643">
        <f>IF(HRData[[#This Row],[Attrition]]="Yes",1,0)</f>
        <v>0</v>
      </c>
      <c r="E643" t="s">
        <v>44</v>
      </c>
      <c r="F643">
        <v>379</v>
      </c>
      <c r="G643" t="s">
        <v>37</v>
      </c>
      <c r="H643">
        <v>5</v>
      </c>
      <c r="I643">
        <v>2</v>
      </c>
      <c r="J643" t="s">
        <v>38</v>
      </c>
      <c r="K643">
        <v>1</v>
      </c>
      <c r="L643">
        <v>889</v>
      </c>
      <c r="M643">
        <v>2</v>
      </c>
      <c r="N643" t="str" cm="1">
        <f t="array" ref="N643">_xlfn.IFS(HRData[[#This Row],[EnvironmentSatisfaction]]=1,"Very Dissatisfied",
HRData[[#This Row],[EnvironmentSatisfaction]]=2,"Dissatisfied",
HRData[[#This Row],[EnvironmentSatisfaction]]=3,"Satisfied",
HRData[[#This Row],[EnvironmentSatisfaction]]=4,"Very Satisfied"
)</f>
        <v>Dissatisfied</v>
      </c>
      <c r="O643" t="s">
        <v>46</v>
      </c>
      <c r="P643">
        <v>48</v>
      </c>
      <c r="Q643">
        <v>3</v>
      </c>
      <c r="R643">
        <v>2</v>
      </c>
      <c r="S643" t="s">
        <v>40</v>
      </c>
      <c r="T643">
        <v>2</v>
      </c>
      <c r="U643" t="str" cm="1">
        <f t="array" ref="U643">_xlfn.IFS(
HRData[[#This Row],[JobSatisfaction]]=1,"Very Dissatisfied",
HRData[[#This Row],[JobSatisfaction]]=2,"Dissatisfied",
HRData[[#This Row],[JobSatisfaction]]=3,"Satisfied",
HRData[[#This Row],[JobSatisfaction]]=4,"Very Satisfied"
)</f>
        <v>Dissatisfied</v>
      </c>
      <c r="V643" t="s">
        <v>48</v>
      </c>
      <c r="W643">
        <v>6524</v>
      </c>
      <c r="X643" t="str" cm="1">
        <f t="array" ref="X643">_xlfn.IFS(
HRData[[#This Row],[MonthlyIncome]]&lt;=4000,"Very Low Income",
HRData[[#This Row],[MonthlyIncome]]&lt;=8000,"Low Income",
HRData[[#This Row],[MonthlyIncome]]&lt;=12000,"Moderate Income",
HRData[[#This Row],[MonthlyIncome]]&lt;=16000,"High Income",
HRData[[#This Row],[MonthlyIncome]]&gt;16000,"Very High Income"
)</f>
        <v>Low Income</v>
      </c>
      <c r="Y643">
        <v>8891</v>
      </c>
      <c r="Z643">
        <v>1</v>
      </c>
      <c r="AA643" t="s">
        <v>42</v>
      </c>
      <c r="AB643" t="s">
        <v>43</v>
      </c>
      <c r="AC643">
        <v>14</v>
      </c>
      <c r="AD643" t="str" cm="1">
        <f t="array" ref="AD643">_xlfn.IFS(HRData[[#This Row],[PercentSalaryHike]]&lt;=15,"11-15",HRData[[#This Row],[PercentSalaryHike]]&lt;=20,"16-20",HRData[[#This Row],[PercentSalaryHike]]&gt;=21,"21+")</f>
        <v>11-15</v>
      </c>
      <c r="AE643">
        <v>3</v>
      </c>
      <c r="AF643">
        <v>4</v>
      </c>
      <c r="AG643">
        <v>80</v>
      </c>
      <c r="AH643">
        <v>1</v>
      </c>
      <c r="AI643">
        <v>10</v>
      </c>
      <c r="AJ643">
        <v>3</v>
      </c>
      <c r="AK643">
        <v>3</v>
      </c>
      <c r="AL643">
        <v>10</v>
      </c>
      <c r="AM643">
        <v>8</v>
      </c>
      <c r="AN643">
        <v>5</v>
      </c>
      <c r="AO643">
        <v>3</v>
      </c>
      <c r="AP64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43" t="str">
        <f>IF(HRData[[#This Row],[Attrition]]="Yes","Left", IF(HRData[[#This Row],[Attrition_Risk_Score]]&gt;=6,"High",IF(HRData[[#This Row],[Attrition_Risk_Score]]&gt;=3,"Medium","Low")))</f>
        <v>Low</v>
      </c>
      <c r="AR643" t="str">
        <f>IF(HRData[[#This Row],[Attrition_Risk_Level]]&lt;&gt;"High","",HRData[[#This Row],[Attrition_Risk_Score]]*10000-HRData[[#This Row],[EmployeeNumber]])</f>
        <v/>
      </c>
    </row>
    <row r="644" spans="1:44">
      <c r="A644">
        <v>38</v>
      </c>
      <c r="B644" t="str" cm="1">
        <f t="array" ref="B644">_xlfn.IFS(
HRData[[#This Row],[Age]]&lt;=24,"18-24",
HRData[[#This Row],[Age]]&lt;=34,"25-34",
HRData[[#This Row],[Age]]&lt;=44,"35-44",
HRData[[#This Row],[Age]]&lt;=54,"45-54",
HRData[[#This Row],[Age]]&gt;=55,"55+"
)</f>
        <v>35-44</v>
      </c>
      <c r="C644" t="s">
        <v>43</v>
      </c>
      <c r="D644">
        <f>IF(HRData[[#This Row],[Attrition]]="Yes",1,0)</f>
        <v>0</v>
      </c>
      <c r="E644" t="s">
        <v>36</v>
      </c>
      <c r="F644">
        <v>395</v>
      </c>
      <c r="G644" t="s">
        <v>37</v>
      </c>
      <c r="H644">
        <v>9</v>
      </c>
      <c r="I644">
        <v>3</v>
      </c>
      <c r="J644" t="s">
        <v>59</v>
      </c>
      <c r="K644">
        <v>1</v>
      </c>
      <c r="L644">
        <v>893</v>
      </c>
      <c r="M644">
        <v>2</v>
      </c>
      <c r="N644" t="str" cm="1">
        <f t="array" ref="N644">_xlfn.IFS(HRData[[#This Row],[EnvironmentSatisfaction]]=1,"Very Dissatisfied",
HRData[[#This Row],[EnvironmentSatisfaction]]=2,"Dissatisfied",
HRData[[#This Row],[EnvironmentSatisfaction]]=3,"Satisfied",
HRData[[#This Row],[EnvironmentSatisfaction]]=4,"Very Satisfied"
)</f>
        <v>Dissatisfied</v>
      </c>
      <c r="O644" t="s">
        <v>46</v>
      </c>
      <c r="P644">
        <v>98</v>
      </c>
      <c r="Q644">
        <v>2</v>
      </c>
      <c r="R644">
        <v>1</v>
      </c>
      <c r="S644" t="s">
        <v>57</v>
      </c>
      <c r="T644">
        <v>2</v>
      </c>
      <c r="U644" t="str" cm="1">
        <f t="array" ref="U644">_xlfn.IFS(
HRData[[#This Row],[JobSatisfaction]]=1,"Very Dissatisfied",
HRData[[#This Row],[JobSatisfaction]]=2,"Dissatisfied",
HRData[[#This Row],[JobSatisfaction]]=3,"Satisfied",
HRData[[#This Row],[JobSatisfaction]]=4,"Very Satisfied"
)</f>
        <v>Dissatisfied</v>
      </c>
      <c r="V644" t="s">
        <v>48</v>
      </c>
      <c r="W644">
        <v>2899</v>
      </c>
      <c r="X644" t="str" cm="1">
        <f t="array" ref="X644">_xlfn.IFS(
HRData[[#This Row],[MonthlyIncome]]&lt;=4000,"Very Low Income",
HRData[[#This Row],[MonthlyIncome]]&lt;=8000,"Low Income",
HRData[[#This Row],[MonthlyIncome]]&lt;=12000,"Moderate Income",
HRData[[#This Row],[MonthlyIncome]]&lt;=16000,"High Income",
HRData[[#This Row],[MonthlyIncome]]&gt;16000,"Very High Income"
)</f>
        <v>Very Low Income</v>
      </c>
      <c r="Y644">
        <v>12102</v>
      </c>
      <c r="Z644">
        <v>0</v>
      </c>
      <c r="AA644" t="s">
        <v>42</v>
      </c>
      <c r="AB644" t="s">
        <v>43</v>
      </c>
      <c r="AC644">
        <v>19</v>
      </c>
      <c r="AD644" t="str" cm="1">
        <f t="array" ref="AD644">_xlfn.IFS(HRData[[#This Row],[PercentSalaryHike]]&lt;=15,"11-15",HRData[[#This Row],[PercentSalaryHike]]&lt;=20,"16-20",HRData[[#This Row],[PercentSalaryHike]]&gt;=21,"21+")</f>
        <v>16-20</v>
      </c>
      <c r="AE644">
        <v>3</v>
      </c>
      <c r="AF644">
        <v>4</v>
      </c>
      <c r="AG644">
        <v>80</v>
      </c>
      <c r="AH644">
        <v>1</v>
      </c>
      <c r="AI644">
        <v>3</v>
      </c>
      <c r="AJ644">
        <v>3</v>
      </c>
      <c r="AK644">
        <v>3</v>
      </c>
      <c r="AL644">
        <v>2</v>
      </c>
      <c r="AM644">
        <v>2</v>
      </c>
      <c r="AN644">
        <v>1</v>
      </c>
      <c r="AO644">
        <v>2</v>
      </c>
      <c r="AP64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44" t="str">
        <f>IF(HRData[[#This Row],[Attrition]]="Yes","Left", IF(HRData[[#This Row],[Attrition_Risk_Score]]&gt;=6,"High",IF(HRData[[#This Row],[Attrition_Risk_Score]]&gt;=3,"Medium","Low")))</f>
        <v>Medium</v>
      </c>
      <c r="AR644" t="str">
        <f>IF(HRData[[#This Row],[Attrition_Risk_Level]]&lt;&gt;"High","",HRData[[#This Row],[Attrition_Risk_Score]]*10000-HRData[[#This Row],[EmployeeNumber]])</f>
        <v/>
      </c>
    </row>
    <row r="645" spans="1:44">
      <c r="A645">
        <v>42</v>
      </c>
      <c r="B645" t="str" cm="1">
        <f t="array" ref="B645">_xlfn.IFS(
HRData[[#This Row],[Age]]&lt;=24,"18-24",
HRData[[#This Row],[Age]]&lt;=34,"25-34",
HRData[[#This Row],[Age]]&lt;=44,"35-44",
HRData[[#This Row],[Age]]&lt;=54,"45-54",
HRData[[#This Row],[Age]]&gt;=55,"55+"
)</f>
        <v>35-44</v>
      </c>
      <c r="C645" t="s">
        <v>43</v>
      </c>
      <c r="D645">
        <f>IF(HRData[[#This Row],[Attrition]]="Yes",1,0)</f>
        <v>0</v>
      </c>
      <c r="E645" t="s">
        <v>36</v>
      </c>
      <c r="F645">
        <v>1265</v>
      </c>
      <c r="G645" t="s">
        <v>45</v>
      </c>
      <c r="H645">
        <v>3</v>
      </c>
      <c r="I645">
        <v>3</v>
      </c>
      <c r="J645" t="s">
        <v>38</v>
      </c>
      <c r="K645">
        <v>1</v>
      </c>
      <c r="L645">
        <v>894</v>
      </c>
      <c r="M645">
        <v>3</v>
      </c>
      <c r="N645" t="str" cm="1">
        <f t="array" ref="N645">_xlfn.IFS(HRData[[#This Row],[EnvironmentSatisfaction]]=1,"Very Dissatisfied",
HRData[[#This Row],[EnvironmentSatisfaction]]=2,"Dissatisfied",
HRData[[#This Row],[EnvironmentSatisfaction]]=3,"Satisfied",
HRData[[#This Row],[EnvironmentSatisfaction]]=4,"Very Satisfied"
)</f>
        <v>Satisfied</v>
      </c>
      <c r="O645" t="s">
        <v>39</v>
      </c>
      <c r="P645">
        <v>95</v>
      </c>
      <c r="Q645">
        <v>4</v>
      </c>
      <c r="R645">
        <v>2</v>
      </c>
      <c r="S645" t="s">
        <v>50</v>
      </c>
      <c r="T645">
        <v>4</v>
      </c>
      <c r="U645" t="str" cm="1">
        <f t="array" ref="U645">_xlfn.IFS(
HRData[[#This Row],[JobSatisfaction]]=1,"Very Dissatisfied",
HRData[[#This Row],[JobSatisfaction]]=2,"Dissatisfied",
HRData[[#This Row],[JobSatisfaction]]=3,"Satisfied",
HRData[[#This Row],[JobSatisfaction]]=4,"Very Satisfied"
)</f>
        <v>Very Satisfied</v>
      </c>
      <c r="V645" t="s">
        <v>48</v>
      </c>
      <c r="W645">
        <v>5231</v>
      </c>
      <c r="X645" t="str" cm="1">
        <f t="array" ref="X645">_xlfn.IFS(
HRData[[#This Row],[MonthlyIncome]]&lt;=4000,"Very Low Income",
HRData[[#This Row],[MonthlyIncome]]&lt;=8000,"Low Income",
HRData[[#This Row],[MonthlyIncome]]&lt;=12000,"Moderate Income",
HRData[[#This Row],[MonthlyIncome]]&lt;=16000,"High Income",
HRData[[#This Row],[MonthlyIncome]]&gt;16000,"Very High Income"
)</f>
        <v>Low Income</v>
      </c>
      <c r="Y645">
        <v>23726</v>
      </c>
      <c r="Z645">
        <v>2</v>
      </c>
      <c r="AA645" t="s">
        <v>42</v>
      </c>
      <c r="AB645" t="s">
        <v>35</v>
      </c>
      <c r="AC645">
        <v>13</v>
      </c>
      <c r="AD645" t="str" cm="1">
        <f t="array" ref="AD645">_xlfn.IFS(HRData[[#This Row],[PercentSalaryHike]]&lt;=15,"11-15",HRData[[#This Row],[PercentSalaryHike]]&lt;=20,"16-20",HRData[[#This Row],[PercentSalaryHike]]&gt;=21,"21+")</f>
        <v>11-15</v>
      </c>
      <c r="AE645">
        <v>3</v>
      </c>
      <c r="AF645">
        <v>2</v>
      </c>
      <c r="AG645">
        <v>80</v>
      </c>
      <c r="AH645">
        <v>1</v>
      </c>
      <c r="AI645">
        <v>17</v>
      </c>
      <c r="AJ645">
        <v>1</v>
      </c>
      <c r="AK645">
        <v>2</v>
      </c>
      <c r="AL645">
        <v>5</v>
      </c>
      <c r="AM645">
        <v>3</v>
      </c>
      <c r="AN645">
        <v>1</v>
      </c>
      <c r="AO645">
        <v>3</v>
      </c>
      <c r="AP64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45" t="str">
        <f>IF(HRData[[#This Row],[Attrition]]="Yes","Left", IF(HRData[[#This Row],[Attrition_Risk_Score]]&gt;=6,"High",IF(HRData[[#This Row],[Attrition_Risk_Score]]&gt;=3,"Medium","Low")))</f>
        <v>Medium</v>
      </c>
      <c r="AR645" t="str">
        <f>IF(HRData[[#This Row],[Attrition_Risk_Level]]&lt;&gt;"High","",HRData[[#This Row],[Attrition_Risk_Score]]*10000-HRData[[#This Row],[EmployeeNumber]])</f>
        <v/>
      </c>
    </row>
    <row r="646" spans="1:44">
      <c r="A646">
        <v>31</v>
      </c>
      <c r="B646" t="str" cm="1">
        <f t="array" ref="B646">_xlfn.IFS(
HRData[[#This Row],[Age]]&lt;=24,"18-24",
HRData[[#This Row],[Age]]&lt;=34,"25-34",
HRData[[#This Row],[Age]]&lt;=44,"35-44",
HRData[[#This Row],[Age]]&lt;=54,"45-54",
HRData[[#This Row],[Age]]&gt;=55,"55+"
)</f>
        <v>25-34</v>
      </c>
      <c r="C646" t="s">
        <v>43</v>
      </c>
      <c r="D646">
        <f>IF(HRData[[#This Row],[Attrition]]="Yes",1,0)</f>
        <v>0</v>
      </c>
      <c r="E646" t="s">
        <v>36</v>
      </c>
      <c r="F646">
        <v>1222</v>
      </c>
      <c r="G646" t="s">
        <v>45</v>
      </c>
      <c r="H646">
        <v>11</v>
      </c>
      <c r="I646">
        <v>4</v>
      </c>
      <c r="J646" t="s">
        <v>38</v>
      </c>
      <c r="K646">
        <v>1</v>
      </c>
      <c r="L646">
        <v>895</v>
      </c>
      <c r="M646">
        <v>4</v>
      </c>
      <c r="N646" t="str" cm="1">
        <f t="array" ref="N646">_xlfn.IFS(HRData[[#This Row],[EnvironmentSatisfaction]]=1,"Very Dissatisfied",
HRData[[#This Row],[EnvironmentSatisfaction]]=2,"Dissatisfied",
HRData[[#This Row],[EnvironmentSatisfaction]]=3,"Satisfied",
HRData[[#This Row],[EnvironmentSatisfaction]]=4,"Very Satisfied"
)</f>
        <v>Very Satisfied</v>
      </c>
      <c r="O646" t="s">
        <v>46</v>
      </c>
      <c r="P646">
        <v>48</v>
      </c>
      <c r="Q646">
        <v>3</v>
      </c>
      <c r="R646">
        <v>1</v>
      </c>
      <c r="S646" t="s">
        <v>47</v>
      </c>
      <c r="T646">
        <v>4</v>
      </c>
      <c r="U646" t="str" cm="1">
        <f t="array" ref="U646">_xlfn.IFS(
HRData[[#This Row],[JobSatisfaction]]=1,"Very Dissatisfied",
HRData[[#This Row],[JobSatisfaction]]=2,"Dissatisfied",
HRData[[#This Row],[JobSatisfaction]]=3,"Satisfied",
HRData[[#This Row],[JobSatisfaction]]=4,"Very Satisfied"
)</f>
        <v>Very Satisfied</v>
      </c>
      <c r="V646" t="s">
        <v>48</v>
      </c>
      <c r="W646">
        <v>2356</v>
      </c>
      <c r="X646" t="str" cm="1">
        <f t="array" ref="X646">_xlfn.IFS(
HRData[[#This Row],[MonthlyIncome]]&lt;=4000,"Very Low Income",
HRData[[#This Row],[MonthlyIncome]]&lt;=8000,"Low Income",
HRData[[#This Row],[MonthlyIncome]]&lt;=12000,"Moderate Income",
HRData[[#This Row],[MonthlyIncome]]&lt;=16000,"High Income",
HRData[[#This Row],[MonthlyIncome]]&gt;16000,"Very High Income"
)</f>
        <v>Very Low Income</v>
      </c>
      <c r="Y646">
        <v>14871</v>
      </c>
      <c r="Z646">
        <v>3</v>
      </c>
      <c r="AA646" t="s">
        <v>42</v>
      </c>
      <c r="AB646" t="s">
        <v>35</v>
      </c>
      <c r="AC646">
        <v>19</v>
      </c>
      <c r="AD646" t="str" cm="1">
        <f t="array" ref="AD646">_xlfn.IFS(HRData[[#This Row],[PercentSalaryHike]]&lt;=15,"11-15",HRData[[#This Row],[PercentSalaryHike]]&lt;=20,"16-20",HRData[[#This Row],[PercentSalaryHike]]&gt;=21,"21+")</f>
        <v>16-20</v>
      </c>
      <c r="AE646">
        <v>3</v>
      </c>
      <c r="AF646">
        <v>2</v>
      </c>
      <c r="AG646">
        <v>80</v>
      </c>
      <c r="AH646">
        <v>1</v>
      </c>
      <c r="AI646">
        <v>8</v>
      </c>
      <c r="AJ646">
        <v>2</v>
      </c>
      <c r="AK646">
        <v>3</v>
      </c>
      <c r="AL646">
        <v>6</v>
      </c>
      <c r="AM646">
        <v>4</v>
      </c>
      <c r="AN646">
        <v>0</v>
      </c>
      <c r="AO646">
        <v>2</v>
      </c>
      <c r="AP64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646" t="str">
        <f>IF(HRData[[#This Row],[Attrition]]="Yes","Left", IF(HRData[[#This Row],[Attrition_Risk_Score]]&gt;=6,"High",IF(HRData[[#This Row],[Attrition_Risk_Score]]&gt;=3,"Medium","Low")))</f>
        <v>Medium</v>
      </c>
      <c r="AR646" t="str">
        <f>IF(HRData[[#This Row],[Attrition_Risk_Level]]&lt;&gt;"High","",HRData[[#This Row],[Attrition_Risk_Score]]*10000-HRData[[#This Row],[EmployeeNumber]])</f>
        <v/>
      </c>
    </row>
    <row r="647" spans="1:44">
      <c r="A647">
        <v>29</v>
      </c>
      <c r="B647" t="str" cm="1">
        <f t="array" ref="B647">_xlfn.IFS(
HRData[[#This Row],[Age]]&lt;=24,"18-24",
HRData[[#This Row],[Age]]&lt;=34,"25-34",
HRData[[#This Row],[Age]]&lt;=44,"35-44",
HRData[[#This Row],[Age]]&lt;=54,"45-54",
HRData[[#This Row],[Age]]&gt;=55,"55+"
)</f>
        <v>25-34</v>
      </c>
      <c r="C647" t="s">
        <v>35</v>
      </c>
      <c r="D647">
        <f>IF(HRData[[#This Row],[Attrition]]="Yes",1,0)</f>
        <v>1</v>
      </c>
      <c r="E647" t="s">
        <v>36</v>
      </c>
      <c r="F647">
        <v>341</v>
      </c>
      <c r="G647" t="s">
        <v>37</v>
      </c>
      <c r="H647">
        <v>1</v>
      </c>
      <c r="I647">
        <v>3</v>
      </c>
      <c r="J647" t="s">
        <v>51</v>
      </c>
      <c r="K647">
        <v>1</v>
      </c>
      <c r="L647">
        <v>896</v>
      </c>
      <c r="M647">
        <v>2</v>
      </c>
      <c r="N647" t="str" cm="1">
        <f t="array" ref="N647">_xlfn.IFS(HRData[[#This Row],[EnvironmentSatisfaction]]=1,"Very Dissatisfied",
HRData[[#This Row],[EnvironmentSatisfaction]]=2,"Dissatisfied",
HRData[[#This Row],[EnvironmentSatisfaction]]=3,"Satisfied",
HRData[[#This Row],[EnvironmentSatisfaction]]=4,"Very Satisfied"
)</f>
        <v>Dissatisfied</v>
      </c>
      <c r="O647" t="s">
        <v>39</v>
      </c>
      <c r="P647">
        <v>48</v>
      </c>
      <c r="Q647">
        <v>2</v>
      </c>
      <c r="R647">
        <v>1</v>
      </c>
      <c r="S647" t="s">
        <v>57</v>
      </c>
      <c r="T647">
        <v>3</v>
      </c>
      <c r="U647" t="str" cm="1">
        <f t="array" ref="U647">_xlfn.IFS(
HRData[[#This Row],[JobSatisfaction]]=1,"Very Dissatisfied",
HRData[[#This Row],[JobSatisfaction]]=2,"Dissatisfied",
HRData[[#This Row],[JobSatisfaction]]=3,"Satisfied",
HRData[[#This Row],[JobSatisfaction]]=4,"Very Satisfied"
)</f>
        <v>Satisfied</v>
      </c>
      <c r="V647" t="s">
        <v>52</v>
      </c>
      <c r="W647">
        <v>2800</v>
      </c>
      <c r="X647" t="str" cm="1">
        <f t="array" ref="X647">_xlfn.IFS(
HRData[[#This Row],[MonthlyIncome]]&lt;=4000,"Very Low Income",
HRData[[#This Row],[MonthlyIncome]]&lt;=8000,"Low Income",
HRData[[#This Row],[MonthlyIncome]]&lt;=12000,"Moderate Income",
HRData[[#This Row],[MonthlyIncome]]&lt;=16000,"High Income",
HRData[[#This Row],[MonthlyIncome]]&gt;16000,"Very High Income"
)</f>
        <v>Very Low Income</v>
      </c>
      <c r="Y647">
        <v>23522</v>
      </c>
      <c r="Z647">
        <v>6</v>
      </c>
      <c r="AA647" t="s">
        <v>42</v>
      </c>
      <c r="AB647" t="s">
        <v>35</v>
      </c>
      <c r="AC647">
        <v>19</v>
      </c>
      <c r="AD647" t="str" cm="1">
        <f t="array" ref="AD647">_xlfn.IFS(HRData[[#This Row],[PercentSalaryHike]]&lt;=15,"11-15",HRData[[#This Row],[PercentSalaryHike]]&lt;=20,"16-20",HRData[[#This Row],[PercentSalaryHike]]&gt;=21,"21+")</f>
        <v>16-20</v>
      </c>
      <c r="AE647">
        <v>3</v>
      </c>
      <c r="AF647">
        <v>3</v>
      </c>
      <c r="AG647">
        <v>80</v>
      </c>
      <c r="AH647">
        <v>3</v>
      </c>
      <c r="AI647">
        <v>5</v>
      </c>
      <c r="AJ647">
        <v>3</v>
      </c>
      <c r="AK647">
        <v>3</v>
      </c>
      <c r="AL647">
        <v>3</v>
      </c>
      <c r="AM647">
        <v>2</v>
      </c>
      <c r="AN647">
        <v>0</v>
      </c>
      <c r="AO647">
        <v>2</v>
      </c>
      <c r="AP64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47" t="str">
        <f>IF(HRData[[#This Row],[Attrition]]="Yes","Left", IF(HRData[[#This Row],[Attrition_Risk_Score]]&gt;=6,"High",IF(HRData[[#This Row],[Attrition_Risk_Score]]&gt;=3,"Medium","Low")))</f>
        <v>Left</v>
      </c>
      <c r="AR647" t="str">
        <f>IF(HRData[[#This Row],[Attrition_Risk_Level]]&lt;&gt;"High","",HRData[[#This Row],[Attrition_Risk_Score]]*10000-HRData[[#This Row],[EmployeeNumber]])</f>
        <v/>
      </c>
    </row>
    <row r="648" spans="1:44">
      <c r="A648">
        <v>53</v>
      </c>
      <c r="B648" t="str" cm="1">
        <f t="array" ref="B648">_xlfn.IFS(
HRData[[#This Row],[Age]]&lt;=24,"18-24",
HRData[[#This Row],[Age]]&lt;=34,"25-34",
HRData[[#This Row],[Age]]&lt;=44,"35-44",
HRData[[#This Row],[Age]]&lt;=54,"45-54",
HRData[[#This Row],[Age]]&gt;=55,"55+"
)</f>
        <v>45-54</v>
      </c>
      <c r="C648" t="s">
        <v>43</v>
      </c>
      <c r="D648">
        <f>IF(HRData[[#This Row],[Attrition]]="Yes",1,0)</f>
        <v>0</v>
      </c>
      <c r="E648" t="s">
        <v>36</v>
      </c>
      <c r="F648">
        <v>868</v>
      </c>
      <c r="G648" t="s">
        <v>37</v>
      </c>
      <c r="H648">
        <v>8</v>
      </c>
      <c r="I648">
        <v>3</v>
      </c>
      <c r="J648" t="s">
        <v>59</v>
      </c>
      <c r="K648">
        <v>1</v>
      </c>
      <c r="L648">
        <v>897</v>
      </c>
      <c r="M648">
        <v>1</v>
      </c>
      <c r="N648" t="str" cm="1">
        <f t="array" ref="N648">_xlfn.IFS(HRData[[#This Row],[EnvironmentSatisfaction]]=1,"Very Dissatisfied",
HRData[[#This Row],[EnvironmentSatisfaction]]=2,"Dissatisfied",
HRData[[#This Row],[EnvironmentSatisfaction]]=3,"Satisfied",
HRData[[#This Row],[EnvironmentSatisfaction]]=4,"Very Satisfied"
)</f>
        <v>Very Dissatisfied</v>
      </c>
      <c r="O648" t="s">
        <v>46</v>
      </c>
      <c r="P648">
        <v>73</v>
      </c>
      <c r="Q648">
        <v>3</v>
      </c>
      <c r="R648">
        <v>4</v>
      </c>
      <c r="S648" t="s">
        <v>40</v>
      </c>
      <c r="T648">
        <v>4</v>
      </c>
      <c r="U648" t="str" cm="1">
        <f t="array" ref="U648">_xlfn.IFS(
HRData[[#This Row],[JobSatisfaction]]=1,"Very Dissatisfied",
HRData[[#This Row],[JobSatisfaction]]=2,"Dissatisfied",
HRData[[#This Row],[JobSatisfaction]]=3,"Satisfied",
HRData[[#This Row],[JobSatisfaction]]=4,"Very Satisfied"
)</f>
        <v>Very Satisfied</v>
      </c>
      <c r="V648" t="s">
        <v>48</v>
      </c>
      <c r="W648">
        <v>11836</v>
      </c>
      <c r="X648" t="str" cm="1">
        <f t="array" ref="X648">_xlfn.IFS(
HRData[[#This Row],[MonthlyIncome]]&lt;=4000,"Very Low Income",
HRData[[#This Row],[MonthlyIncome]]&lt;=8000,"Low Income",
HRData[[#This Row],[MonthlyIncome]]&lt;=12000,"Moderate Income",
HRData[[#This Row],[MonthlyIncome]]&lt;=16000,"High Income",
HRData[[#This Row],[MonthlyIncome]]&gt;16000,"Very High Income"
)</f>
        <v>Moderate Income</v>
      </c>
      <c r="Y648">
        <v>22789</v>
      </c>
      <c r="Z648">
        <v>5</v>
      </c>
      <c r="AA648" t="s">
        <v>42</v>
      </c>
      <c r="AB648" t="s">
        <v>43</v>
      </c>
      <c r="AC648">
        <v>14</v>
      </c>
      <c r="AD648" t="str" cm="1">
        <f t="array" ref="AD648">_xlfn.IFS(HRData[[#This Row],[PercentSalaryHike]]&lt;=15,"11-15",HRData[[#This Row],[PercentSalaryHike]]&lt;=20,"16-20",HRData[[#This Row],[PercentSalaryHike]]&gt;=21,"21+")</f>
        <v>11-15</v>
      </c>
      <c r="AE648">
        <v>3</v>
      </c>
      <c r="AF648">
        <v>3</v>
      </c>
      <c r="AG648">
        <v>80</v>
      </c>
      <c r="AH648">
        <v>1</v>
      </c>
      <c r="AI648">
        <v>28</v>
      </c>
      <c r="AJ648">
        <v>3</v>
      </c>
      <c r="AK648">
        <v>3</v>
      </c>
      <c r="AL648">
        <v>2</v>
      </c>
      <c r="AM648">
        <v>0</v>
      </c>
      <c r="AN648">
        <v>2</v>
      </c>
      <c r="AO648">
        <v>2</v>
      </c>
      <c r="AP64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648" t="str">
        <f>IF(HRData[[#This Row],[Attrition]]="Yes","Left", IF(HRData[[#This Row],[Attrition_Risk_Score]]&gt;=6,"High",IF(HRData[[#This Row],[Attrition_Risk_Score]]&gt;=3,"Medium","Low")))</f>
        <v>Low</v>
      </c>
      <c r="AR648" t="str">
        <f>IF(HRData[[#This Row],[Attrition_Risk_Level]]&lt;&gt;"High","",HRData[[#This Row],[Attrition_Risk_Score]]*10000-HRData[[#This Row],[EmployeeNumber]])</f>
        <v/>
      </c>
    </row>
    <row r="649" spans="1:44">
      <c r="A649">
        <v>35</v>
      </c>
      <c r="B649" t="str" cm="1">
        <f t="array" ref="B649">_xlfn.IFS(
HRData[[#This Row],[Age]]&lt;=24,"18-24",
HRData[[#This Row],[Age]]&lt;=34,"25-34",
HRData[[#This Row],[Age]]&lt;=44,"35-44",
HRData[[#This Row],[Age]]&lt;=54,"45-54",
HRData[[#This Row],[Age]]&gt;=55,"55+"
)</f>
        <v>35-44</v>
      </c>
      <c r="C649" t="s">
        <v>43</v>
      </c>
      <c r="D649">
        <f>IF(HRData[[#This Row],[Attrition]]="Yes",1,0)</f>
        <v>0</v>
      </c>
      <c r="E649" t="s">
        <v>36</v>
      </c>
      <c r="F649">
        <v>672</v>
      </c>
      <c r="G649" t="s">
        <v>45</v>
      </c>
      <c r="H649">
        <v>25</v>
      </c>
      <c r="I649">
        <v>3</v>
      </c>
      <c r="J649" t="s">
        <v>60</v>
      </c>
      <c r="K649">
        <v>1</v>
      </c>
      <c r="L649">
        <v>899</v>
      </c>
      <c r="M649">
        <v>4</v>
      </c>
      <c r="N649" t="str" cm="1">
        <f t="array" ref="N649">_xlfn.IFS(HRData[[#This Row],[EnvironmentSatisfaction]]=1,"Very Dissatisfied",
HRData[[#This Row],[EnvironmentSatisfaction]]=2,"Dissatisfied",
HRData[[#This Row],[EnvironmentSatisfaction]]=3,"Satisfied",
HRData[[#This Row],[EnvironmentSatisfaction]]=4,"Very Satisfied"
)</f>
        <v>Very Satisfied</v>
      </c>
      <c r="O649" t="s">
        <v>46</v>
      </c>
      <c r="P649">
        <v>78</v>
      </c>
      <c r="Q649">
        <v>2</v>
      </c>
      <c r="R649">
        <v>3</v>
      </c>
      <c r="S649" t="s">
        <v>53</v>
      </c>
      <c r="T649">
        <v>2</v>
      </c>
      <c r="U649" t="str" cm="1">
        <f t="array" ref="U649">_xlfn.IFS(
HRData[[#This Row],[JobSatisfaction]]=1,"Very Dissatisfied",
HRData[[#This Row],[JobSatisfaction]]=2,"Dissatisfied",
HRData[[#This Row],[JobSatisfaction]]=3,"Satisfied",
HRData[[#This Row],[JobSatisfaction]]=4,"Very Satisfied"
)</f>
        <v>Dissatisfied</v>
      </c>
      <c r="V649" t="s">
        <v>48</v>
      </c>
      <c r="W649">
        <v>10903</v>
      </c>
      <c r="X649" t="str" cm="1">
        <f t="array" ref="X649">_xlfn.IFS(
HRData[[#This Row],[MonthlyIncome]]&lt;=4000,"Very Low Income",
HRData[[#This Row],[MonthlyIncome]]&lt;=8000,"Low Income",
HRData[[#This Row],[MonthlyIncome]]&lt;=12000,"Moderate Income",
HRData[[#This Row],[MonthlyIncome]]&lt;=16000,"High Income",
HRData[[#This Row],[MonthlyIncome]]&gt;16000,"Very High Income"
)</f>
        <v>Moderate Income</v>
      </c>
      <c r="Y649">
        <v>9129</v>
      </c>
      <c r="Z649">
        <v>3</v>
      </c>
      <c r="AA649" t="s">
        <v>42</v>
      </c>
      <c r="AB649" t="s">
        <v>43</v>
      </c>
      <c r="AC649">
        <v>16</v>
      </c>
      <c r="AD649" t="str" cm="1">
        <f t="array" ref="AD649">_xlfn.IFS(HRData[[#This Row],[PercentSalaryHike]]&lt;=15,"11-15",HRData[[#This Row],[PercentSalaryHike]]&lt;=20,"16-20",HRData[[#This Row],[PercentSalaryHike]]&gt;=21,"21+")</f>
        <v>16-20</v>
      </c>
      <c r="AE649">
        <v>3</v>
      </c>
      <c r="AF649">
        <v>1</v>
      </c>
      <c r="AG649">
        <v>80</v>
      </c>
      <c r="AH649">
        <v>0</v>
      </c>
      <c r="AI649">
        <v>16</v>
      </c>
      <c r="AJ649">
        <v>2</v>
      </c>
      <c r="AK649">
        <v>3</v>
      </c>
      <c r="AL649">
        <v>13</v>
      </c>
      <c r="AM649">
        <v>10</v>
      </c>
      <c r="AN649">
        <v>4</v>
      </c>
      <c r="AO649">
        <v>8</v>
      </c>
      <c r="AP64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649" t="str">
        <f>IF(HRData[[#This Row],[Attrition]]="Yes","Left", IF(HRData[[#This Row],[Attrition_Risk_Score]]&gt;=6,"High",IF(HRData[[#This Row],[Attrition_Risk_Score]]&gt;=3,"Medium","Low")))</f>
        <v>Low</v>
      </c>
      <c r="AR649" t="str">
        <f>IF(HRData[[#This Row],[Attrition_Risk_Level]]&lt;&gt;"High","",HRData[[#This Row],[Attrition_Risk_Score]]*10000-HRData[[#This Row],[EmployeeNumber]])</f>
        <v/>
      </c>
    </row>
    <row r="650" spans="1:44">
      <c r="A650">
        <v>37</v>
      </c>
      <c r="B650" t="str" cm="1">
        <f t="array" ref="B650">_xlfn.IFS(
HRData[[#This Row],[Age]]&lt;=24,"18-24",
HRData[[#This Row],[Age]]&lt;=34,"25-34",
HRData[[#This Row],[Age]]&lt;=44,"35-44",
HRData[[#This Row],[Age]]&lt;=54,"45-54",
HRData[[#This Row],[Age]]&gt;=55,"55+"
)</f>
        <v>35-44</v>
      </c>
      <c r="C650" t="s">
        <v>43</v>
      </c>
      <c r="D650">
        <f>IF(HRData[[#This Row],[Attrition]]="Yes",1,0)</f>
        <v>0</v>
      </c>
      <c r="E650" t="s">
        <v>44</v>
      </c>
      <c r="F650">
        <v>1231</v>
      </c>
      <c r="G650" t="s">
        <v>37</v>
      </c>
      <c r="H650">
        <v>21</v>
      </c>
      <c r="I650">
        <v>2</v>
      </c>
      <c r="J650" t="s">
        <v>51</v>
      </c>
      <c r="K650">
        <v>1</v>
      </c>
      <c r="L650">
        <v>900</v>
      </c>
      <c r="M650">
        <v>3</v>
      </c>
      <c r="N650" t="str" cm="1">
        <f t="array" ref="N650">_xlfn.IFS(HRData[[#This Row],[EnvironmentSatisfaction]]=1,"Very Dissatisfied",
HRData[[#This Row],[EnvironmentSatisfaction]]=2,"Dissatisfied",
HRData[[#This Row],[EnvironmentSatisfaction]]=3,"Satisfied",
HRData[[#This Row],[EnvironmentSatisfaction]]=4,"Very Satisfied"
)</f>
        <v>Satisfied</v>
      </c>
      <c r="O650" t="s">
        <v>39</v>
      </c>
      <c r="P650">
        <v>54</v>
      </c>
      <c r="Q650">
        <v>3</v>
      </c>
      <c r="R650">
        <v>1</v>
      </c>
      <c r="S650" t="s">
        <v>57</v>
      </c>
      <c r="T650">
        <v>4</v>
      </c>
      <c r="U650" t="str" cm="1">
        <f t="array" ref="U650">_xlfn.IFS(
HRData[[#This Row],[JobSatisfaction]]=1,"Very Dissatisfied",
HRData[[#This Row],[JobSatisfaction]]=2,"Dissatisfied",
HRData[[#This Row],[JobSatisfaction]]=3,"Satisfied",
HRData[[#This Row],[JobSatisfaction]]=4,"Very Satisfied"
)</f>
        <v>Very Satisfied</v>
      </c>
      <c r="V650" t="s">
        <v>48</v>
      </c>
      <c r="W650">
        <v>2973</v>
      </c>
      <c r="X650" t="str" cm="1">
        <f t="array" ref="X650">_xlfn.IFS(
HRData[[#This Row],[MonthlyIncome]]&lt;=4000,"Very Low Income",
HRData[[#This Row],[MonthlyIncome]]&lt;=8000,"Low Income",
HRData[[#This Row],[MonthlyIncome]]&lt;=12000,"Moderate Income",
HRData[[#This Row],[MonthlyIncome]]&lt;=16000,"High Income",
HRData[[#This Row],[MonthlyIncome]]&gt;16000,"Very High Income"
)</f>
        <v>Very Low Income</v>
      </c>
      <c r="Y650">
        <v>21222</v>
      </c>
      <c r="Z650">
        <v>5</v>
      </c>
      <c r="AA650" t="s">
        <v>42</v>
      </c>
      <c r="AB650" t="s">
        <v>43</v>
      </c>
      <c r="AC650">
        <v>15</v>
      </c>
      <c r="AD650" t="str" cm="1">
        <f t="array" ref="AD650">_xlfn.IFS(HRData[[#This Row],[PercentSalaryHike]]&lt;=15,"11-15",HRData[[#This Row],[PercentSalaryHike]]&lt;=20,"16-20",HRData[[#This Row],[PercentSalaryHike]]&gt;=21,"21+")</f>
        <v>11-15</v>
      </c>
      <c r="AE650">
        <v>3</v>
      </c>
      <c r="AF650">
        <v>2</v>
      </c>
      <c r="AG650">
        <v>80</v>
      </c>
      <c r="AH650">
        <v>1</v>
      </c>
      <c r="AI650">
        <v>10</v>
      </c>
      <c r="AJ650">
        <v>3</v>
      </c>
      <c r="AK650">
        <v>3</v>
      </c>
      <c r="AL650">
        <v>5</v>
      </c>
      <c r="AM650">
        <v>4</v>
      </c>
      <c r="AN650">
        <v>0</v>
      </c>
      <c r="AO650">
        <v>0</v>
      </c>
      <c r="AP65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50" t="str">
        <f>IF(HRData[[#This Row],[Attrition]]="Yes","Left", IF(HRData[[#This Row],[Attrition_Risk_Score]]&gt;=6,"High",IF(HRData[[#This Row],[Attrition_Risk_Score]]&gt;=3,"Medium","Low")))</f>
        <v>Medium</v>
      </c>
      <c r="AR650" t="str">
        <f>IF(HRData[[#This Row],[Attrition_Risk_Level]]&lt;&gt;"High","",HRData[[#This Row],[Attrition_Risk_Score]]*10000-HRData[[#This Row],[EmployeeNumber]])</f>
        <v/>
      </c>
    </row>
    <row r="651" spans="1:44">
      <c r="A651">
        <v>53</v>
      </c>
      <c r="B651" t="str" cm="1">
        <f t="array" ref="B651">_xlfn.IFS(
HRData[[#This Row],[Age]]&lt;=24,"18-24",
HRData[[#This Row],[Age]]&lt;=34,"25-34",
HRData[[#This Row],[Age]]&lt;=44,"35-44",
HRData[[#This Row],[Age]]&lt;=54,"45-54",
HRData[[#This Row],[Age]]&gt;=55,"55+"
)</f>
        <v>45-54</v>
      </c>
      <c r="C651" t="s">
        <v>43</v>
      </c>
      <c r="D651">
        <f>IF(HRData[[#This Row],[Attrition]]="Yes",1,0)</f>
        <v>0</v>
      </c>
      <c r="E651" t="s">
        <v>36</v>
      </c>
      <c r="F651">
        <v>102</v>
      </c>
      <c r="G651" t="s">
        <v>45</v>
      </c>
      <c r="H651">
        <v>23</v>
      </c>
      <c r="I651">
        <v>4</v>
      </c>
      <c r="J651" t="s">
        <v>38</v>
      </c>
      <c r="K651">
        <v>1</v>
      </c>
      <c r="L651">
        <v>901</v>
      </c>
      <c r="M651">
        <v>4</v>
      </c>
      <c r="N651" t="str" cm="1">
        <f t="array" ref="N651">_xlfn.IFS(HRData[[#This Row],[EnvironmentSatisfaction]]=1,"Very Dissatisfied",
HRData[[#This Row],[EnvironmentSatisfaction]]=2,"Dissatisfied",
HRData[[#This Row],[EnvironmentSatisfaction]]=3,"Satisfied",
HRData[[#This Row],[EnvironmentSatisfaction]]=4,"Very Satisfied"
)</f>
        <v>Very Satisfied</v>
      </c>
      <c r="O651" t="s">
        <v>39</v>
      </c>
      <c r="P651">
        <v>72</v>
      </c>
      <c r="Q651">
        <v>3</v>
      </c>
      <c r="R651">
        <v>4</v>
      </c>
      <c r="S651" t="s">
        <v>58</v>
      </c>
      <c r="T651">
        <v>4</v>
      </c>
      <c r="U651" t="str" cm="1">
        <f t="array" ref="U651">_xlfn.IFS(
HRData[[#This Row],[JobSatisfaction]]=1,"Very Dissatisfied",
HRData[[#This Row],[JobSatisfaction]]=2,"Dissatisfied",
HRData[[#This Row],[JobSatisfaction]]=3,"Satisfied",
HRData[[#This Row],[JobSatisfaction]]=4,"Very Satisfied"
)</f>
        <v>Very Satisfied</v>
      </c>
      <c r="V651" t="s">
        <v>41</v>
      </c>
      <c r="W651">
        <v>14275</v>
      </c>
      <c r="X651" t="str" cm="1">
        <f t="array" ref="X651">_xlfn.IFS(
HRData[[#This Row],[MonthlyIncome]]&lt;=4000,"Very Low Income",
HRData[[#This Row],[MonthlyIncome]]&lt;=8000,"Low Income",
HRData[[#This Row],[MonthlyIncome]]&lt;=12000,"Moderate Income",
HRData[[#This Row],[MonthlyIncome]]&lt;=16000,"High Income",
HRData[[#This Row],[MonthlyIncome]]&gt;16000,"Very High Income"
)</f>
        <v>High Income</v>
      </c>
      <c r="Y651">
        <v>20206</v>
      </c>
      <c r="Z651">
        <v>6</v>
      </c>
      <c r="AA651" t="s">
        <v>42</v>
      </c>
      <c r="AB651" t="s">
        <v>43</v>
      </c>
      <c r="AC651">
        <v>18</v>
      </c>
      <c r="AD651" t="str" cm="1">
        <f t="array" ref="AD651">_xlfn.IFS(HRData[[#This Row],[PercentSalaryHike]]&lt;=15,"11-15",HRData[[#This Row],[PercentSalaryHike]]&lt;=20,"16-20",HRData[[#This Row],[PercentSalaryHike]]&gt;=21,"21+")</f>
        <v>16-20</v>
      </c>
      <c r="AE651">
        <v>3</v>
      </c>
      <c r="AF651">
        <v>3</v>
      </c>
      <c r="AG651">
        <v>80</v>
      </c>
      <c r="AH651">
        <v>0</v>
      </c>
      <c r="AI651">
        <v>33</v>
      </c>
      <c r="AJ651">
        <v>0</v>
      </c>
      <c r="AK651">
        <v>3</v>
      </c>
      <c r="AL651">
        <v>12</v>
      </c>
      <c r="AM651">
        <v>9</v>
      </c>
      <c r="AN651">
        <v>3</v>
      </c>
      <c r="AO651">
        <v>8</v>
      </c>
      <c r="AP65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651" t="str">
        <f>IF(HRData[[#This Row],[Attrition]]="Yes","Left", IF(HRData[[#This Row],[Attrition_Risk_Score]]&gt;=6,"High",IF(HRData[[#This Row],[Attrition_Risk_Score]]&gt;=3,"Medium","Low")))</f>
        <v>Low</v>
      </c>
      <c r="AR651" t="str">
        <f>IF(HRData[[#This Row],[Attrition_Risk_Level]]&lt;&gt;"High","",HRData[[#This Row],[Attrition_Risk_Score]]*10000-HRData[[#This Row],[EmployeeNumber]])</f>
        <v/>
      </c>
    </row>
    <row r="652" spans="1:44">
      <c r="A652">
        <v>43</v>
      </c>
      <c r="B652" t="str" cm="1">
        <f t="array" ref="B652">_xlfn.IFS(
HRData[[#This Row],[Age]]&lt;=24,"18-24",
HRData[[#This Row],[Age]]&lt;=34,"25-34",
HRData[[#This Row],[Age]]&lt;=44,"35-44",
HRData[[#This Row],[Age]]&lt;=54,"45-54",
HRData[[#This Row],[Age]]&gt;=55,"55+"
)</f>
        <v>35-44</v>
      </c>
      <c r="C652" t="s">
        <v>43</v>
      </c>
      <c r="D652">
        <f>IF(HRData[[#This Row],[Attrition]]="Yes",1,0)</f>
        <v>0</v>
      </c>
      <c r="E652" t="s">
        <v>44</v>
      </c>
      <c r="F652">
        <v>422</v>
      </c>
      <c r="G652" t="s">
        <v>45</v>
      </c>
      <c r="H652">
        <v>1</v>
      </c>
      <c r="I652">
        <v>3</v>
      </c>
      <c r="J652" t="s">
        <v>38</v>
      </c>
      <c r="K652">
        <v>1</v>
      </c>
      <c r="L652">
        <v>902</v>
      </c>
      <c r="M652">
        <v>4</v>
      </c>
      <c r="N652" t="str" cm="1">
        <f t="array" ref="N652">_xlfn.IFS(HRData[[#This Row],[EnvironmentSatisfaction]]=1,"Very Dissatisfied",
HRData[[#This Row],[EnvironmentSatisfaction]]=2,"Dissatisfied",
HRData[[#This Row],[EnvironmentSatisfaction]]=3,"Satisfied",
HRData[[#This Row],[EnvironmentSatisfaction]]=4,"Very Satisfied"
)</f>
        <v>Very Satisfied</v>
      </c>
      <c r="O652" t="s">
        <v>39</v>
      </c>
      <c r="P652">
        <v>33</v>
      </c>
      <c r="Q652">
        <v>3</v>
      </c>
      <c r="R652">
        <v>2</v>
      </c>
      <c r="S652" t="s">
        <v>54</v>
      </c>
      <c r="T652">
        <v>4</v>
      </c>
      <c r="U652" t="str" cm="1">
        <f t="array" ref="U652">_xlfn.IFS(
HRData[[#This Row],[JobSatisfaction]]=1,"Very Dissatisfied",
HRData[[#This Row],[JobSatisfaction]]=2,"Dissatisfied",
HRData[[#This Row],[JobSatisfaction]]=3,"Satisfied",
HRData[[#This Row],[JobSatisfaction]]=4,"Very Satisfied"
)</f>
        <v>Very Satisfied</v>
      </c>
      <c r="V652" t="s">
        <v>48</v>
      </c>
      <c r="W652">
        <v>5562</v>
      </c>
      <c r="X652" t="str" cm="1">
        <f t="array" ref="X652">_xlfn.IFS(
HRData[[#This Row],[MonthlyIncome]]&lt;=4000,"Very Low Income",
HRData[[#This Row],[MonthlyIncome]]&lt;=8000,"Low Income",
HRData[[#This Row],[MonthlyIncome]]&lt;=12000,"Moderate Income",
HRData[[#This Row],[MonthlyIncome]]&lt;=16000,"High Income",
HRData[[#This Row],[MonthlyIncome]]&gt;16000,"Very High Income"
)</f>
        <v>Low Income</v>
      </c>
      <c r="Y652">
        <v>21782</v>
      </c>
      <c r="Z652">
        <v>4</v>
      </c>
      <c r="AA652" t="s">
        <v>42</v>
      </c>
      <c r="AB652" t="s">
        <v>43</v>
      </c>
      <c r="AC652">
        <v>13</v>
      </c>
      <c r="AD652" t="str" cm="1">
        <f t="array" ref="AD652">_xlfn.IFS(HRData[[#This Row],[PercentSalaryHike]]&lt;=15,"11-15",HRData[[#This Row],[PercentSalaryHike]]&lt;=20,"16-20",HRData[[#This Row],[PercentSalaryHike]]&gt;=21,"21+")</f>
        <v>11-15</v>
      </c>
      <c r="AE652">
        <v>3</v>
      </c>
      <c r="AF652">
        <v>2</v>
      </c>
      <c r="AG652">
        <v>80</v>
      </c>
      <c r="AH652">
        <v>1</v>
      </c>
      <c r="AI652">
        <v>12</v>
      </c>
      <c r="AJ652">
        <v>2</v>
      </c>
      <c r="AK652">
        <v>2</v>
      </c>
      <c r="AL652">
        <v>5</v>
      </c>
      <c r="AM652">
        <v>2</v>
      </c>
      <c r="AN652">
        <v>2</v>
      </c>
      <c r="AO652">
        <v>2</v>
      </c>
      <c r="AP65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652" t="str">
        <f>IF(HRData[[#This Row],[Attrition]]="Yes","Left", IF(HRData[[#This Row],[Attrition_Risk_Score]]&gt;=6,"High",IF(HRData[[#This Row],[Attrition_Risk_Score]]&gt;=3,"Medium","Low")))</f>
        <v>Low</v>
      </c>
      <c r="AR652" t="str">
        <f>IF(HRData[[#This Row],[Attrition_Risk_Level]]&lt;&gt;"High","",HRData[[#This Row],[Attrition_Risk_Score]]*10000-HRData[[#This Row],[EmployeeNumber]])</f>
        <v/>
      </c>
    </row>
    <row r="653" spans="1:44">
      <c r="A653">
        <v>47</v>
      </c>
      <c r="B653" t="str" cm="1">
        <f t="array" ref="B653">_xlfn.IFS(
HRData[[#This Row],[Age]]&lt;=24,"18-24",
HRData[[#This Row],[Age]]&lt;=34,"25-34",
HRData[[#This Row],[Age]]&lt;=44,"35-44",
HRData[[#This Row],[Age]]&lt;=54,"45-54",
HRData[[#This Row],[Age]]&gt;=55,"55+"
)</f>
        <v>45-54</v>
      </c>
      <c r="C653" t="s">
        <v>43</v>
      </c>
      <c r="D653">
        <f>IF(HRData[[#This Row],[Attrition]]="Yes",1,0)</f>
        <v>0</v>
      </c>
      <c r="E653" t="s">
        <v>36</v>
      </c>
      <c r="F653">
        <v>249</v>
      </c>
      <c r="G653" t="s">
        <v>37</v>
      </c>
      <c r="H653">
        <v>2</v>
      </c>
      <c r="I653">
        <v>2</v>
      </c>
      <c r="J653" t="s">
        <v>59</v>
      </c>
      <c r="K653">
        <v>1</v>
      </c>
      <c r="L653">
        <v>903</v>
      </c>
      <c r="M653">
        <v>3</v>
      </c>
      <c r="N653" t="str" cm="1">
        <f t="array" ref="N653">_xlfn.IFS(HRData[[#This Row],[EnvironmentSatisfaction]]=1,"Very Dissatisfied",
HRData[[#This Row],[EnvironmentSatisfaction]]=2,"Dissatisfied",
HRData[[#This Row],[EnvironmentSatisfaction]]=3,"Satisfied",
HRData[[#This Row],[EnvironmentSatisfaction]]=4,"Very Satisfied"
)</f>
        <v>Satisfied</v>
      </c>
      <c r="O653" t="s">
        <v>39</v>
      </c>
      <c r="P653">
        <v>35</v>
      </c>
      <c r="Q653">
        <v>3</v>
      </c>
      <c r="R653">
        <v>2</v>
      </c>
      <c r="S653" t="s">
        <v>40</v>
      </c>
      <c r="T653">
        <v>4</v>
      </c>
      <c r="U653" t="str" cm="1">
        <f t="array" ref="U653">_xlfn.IFS(
HRData[[#This Row],[JobSatisfaction]]=1,"Very Dissatisfied",
HRData[[#This Row],[JobSatisfaction]]=2,"Dissatisfied",
HRData[[#This Row],[JobSatisfaction]]=3,"Satisfied",
HRData[[#This Row],[JobSatisfaction]]=4,"Very Satisfied"
)</f>
        <v>Very Satisfied</v>
      </c>
      <c r="V653" t="s">
        <v>48</v>
      </c>
      <c r="W653">
        <v>4537</v>
      </c>
      <c r="X653" t="str" cm="1">
        <f t="array" ref="X653">_xlfn.IFS(
HRData[[#This Row],[MonthlyIncome]]&lt;=4000,"Very Low Income",
HRData[[#This Row],[MonthlyIncome]]&lt;=8000,"Low Income",
HRData[[#This Row],[MonthlyIncome]]&lt;=12000,"Moderate Income",
HRData[[#This Row],[MonthlyIncome]]&lt;=16000,"High Income",
HRData[[#This Row],[MonthlyIncome]]&gt;16000,"Very High Income"
)</f>
        <v>Low Income</v>
      </c>
      <c r="Y653">
        <v>17783</v>
      </c>
      <c r="Z653">
        <v>0</v>
      </c>
      <c r="AA653" t="s">
        <v>42</v>
      </c>
      <c r="AB653" t="s">
        <v>35</v>
      </c>
      <c r="AC653">
        <v>22</v>
      </c>
      <c r="AD653" t="str" cm="1">
        <f t="array" ref="AD653">_xlfn.IFS(HRData[[#This Row],[PercentSalaryHike]]&lt;=15,"11-15",HRData[[#This Row],[PercentSalaryHike]]&lt;=20,"16-20",HRData[[#This Row],[PercentSalaryHike]]&gt;=21,"21+")</f>
        <v>21+</v>
      </c>
      <c r="AE653">
        <v>4</v>
      </c>
      <c r="AF653">
        <v>1</v>
      </c>
      <c r="AG653">
        <v>80</v>
      </c>
      <c r="AH653">
        <v>1</v>
      </c>
      <c r="AI653">
        <v>8</v>
      </c>
      <c r="AJ653">
        <v>2</v>
      </c>
      <c r="AK653">
        <v>3</v>
      </c>
      <c r="AL653">
        <v>7</v>
      </c>
      <c r="AM653">
        <v>6</v>
      </c>
      <c r="AN653">
        <v>7</v>
      </c>
      <c r="AO653">
        <v>7</v>
      </c>
      <c r="AP65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53" t="str">
        <f>IF(HRData[[#This Row],[Attrition]]="Yes","Left", IF(HRData[[#This Row],[Attrition_Risk_Score]]&gt;=6,"High",IF(HRData[[#This Row],[Attrition_Risk_Score]]&gt;=3,"Medium","Low")))</f>
        <v>Medium</v>
      </c>
      <c r="AR653" t="str">
        <f>IF(HRData[[#This Row],[Attrition_Risk_Level]]&lt;&gt;"High","",HRData[[#This Row],[Attrition_Risk_Score]]*10000-HRData[[#This Row],[EmployeeNumber]])</f>
        <v/>
      </c>
    </row>
    <row r="654" spans="1:44">
      <c r="A654">
        <v>37</v>
      </c>
      <c r="B654" t="str" cm="1">
        <f t="array" ref="B654">_xlfn.IFS(
HRData[[#This Row],[Age]]&lt;=24,"18-24",
HRData[[#This Row],[Age]]&lt;=34,"25-34",
HRData[[#This Row],[Age]]&lt;=44,"35-44",
HRData[[#This Row],[Age]]&lt;=54,"45-54",
HRData[[#This Row],[Age]]&gt;=55,"55+"
)</f>
        <v>35-44</v>
      </c>
      <c r="C654" t="s">
        <v>43</v>
      </c>
      <c r="D654">
        <f>IF(HRData[[#This Row],[Attrition]]="Yes",1,0)</f>
        <v>0</v>
      </c>
      <c r="E654" t="s">
        <v>55</v>
      </c>
      <c r="F654">
        <v>1252</v>
      </c>
      <c r="G654" t="s">
        <v>37</v>
      </c>
      <c r="H654">
        <v>19</v>
      </c>
      <c r="I654">
        <v>2</v>
      </c>
      <c r="J654" t="s">
        <v>51</v>
      </c>
      <c r="K654">
        <v>1</v>
      </c>
      <c r="L654">
        <v>904</v>
      </c>
      <c r="M654">
        <v>1</v>
      </c>
      <c r="N654" t="str" cm="1">
        <f t="array" ref="N654">_xlfn.IFS(HRData[[#This Row],[EnvironmentSatisfaction]]=1,"Very Dissatisfied",
HRData[[#This Row],[EnvironmentSatisfaction]]=2,"Dissatisfied",
HRData[[#This Row],[EnvironmentSatisfaction]]=3,"Satisfied",
HRData[[#This Row],[EnvironmentSatisfaction]]=4,"Very Satisfied"
)</f>
        <v>Very Dissatisfied</v>
      </c>
      <c r="O654" t="s">
        <v>46</v>
      </c>
      <c r="P654">
        <v>32</v>
      </c>
      <c r="Q654">
        <v>3</v>
      </c>
      <c r="R654">
        <v>3</v>
      </c>
      <c r="S654" t="s">
        <v>40</v>
      </c>
      <c r="T654">
        <v>2</v>
      </c>
      <c r="U654" t="str" cm="1">
        <f t="array" ref="U654">_xlfn.IFS(
HRData[[#This Row],[JobSatisfaction]]=1,"Very Dissatisfied",
HRData[[#This Row],[JobSatisfaction]]=2,"Dissatisfied",
HRData[[#This Row],[JobSatisfaction]]=3,"Satisfied",
HRData[[#This Row],[JobSatisfaction]]=4,"Very Satisfied"
)</f>
        <v>Dissatisfied</v>
      </c>
      <c r="V654" t="s">
        <v>41</v>
      </c>
      <c r="W654">
        <v>7642</v>
      </c>
      <c r="X654" t="str" cm="1">
        <f t="array" ref="X654">_xlfn.IFS(
HRData[[#This Row],[MonthlyIncome]]&lt;=4000,"Very Low Income",
HRData[[#This Row],[MonthlyIncome]]&lt;=8000,"Low Income",
HRData[[#This Row],[MonthlyIncome]]&lt;=12000,"Moderate Income",
HRData[[#This Row],[MonthlyIncome]]&lt;=16000,"High Income",
HRData[[#This Row],[MonthlyIncome]]&gt;16000,"Very High Income"
)</f>
        <v>Low Income</v>
      </c>
      <c r="Y654">
        <v>4814</v>
      </c>
      <c r="Z654">
        <v>1</v>
      </c>
      <c r="AA654" t="s">
        <v>42</v>
      </c>
      <c r="AB654" t="s">
        <v>35</v>
      </c>
      <c r="AC654">
        <v>13</v>
      </c>
      <c r="AD654" t="str" cm="1">
        <f t="array" ref="AD654">_xlfn.IFS(HRData[[#This Row],[PercentSalaryHike]]&lt;=15,"11-15",HRData[[#This Row],[PercentSalaryHike]]&lt;=20,"16-20",HRData[[#This Row],[PercentSalaryHike]]&gt;=21,"21+")</f>
        <v>11-15</v>
      </c>
      <c r="AE654">
        <v>3</v>
      </c>
      <c r="AF654">
        <v>4</v>
      </c>
      <c r="AG654">
        <v>80</v>
      </c>
      <c r="AH654">
        <v>0</v>
      </c>
      <c r="AI654">
        <v>10</v>
      </c>
      <c r="AJ654">
        <v>2</v>
      </c>
      <c r="AK654">
        <v>3</v>
      </c>
      <c r="AL654">
        <v>10</v>
      </c>
      <c r="AM654">
        <v>0</v>
      </c>
      <c r="AN654">
        <v>0</v>
      </c>
      <c r="AO654">
        <v>9</v>
      </c>
      <c r="AP65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54" t="str">
        <f>IF(HRData[[#This Row],[Attrition]]="Yes","Left", IF(HRData[[#This Row],[Attrition_Risk_Score]]&gt;=6,"High",IF(HRData[[#This Row],[Attrition_Risk_Score]]&gt;=3,"Medium","Low")))</f>
        <v>Medium</v>
      </c>
      <c r="AR654" t="str">
        <f>IF(HRData[[#This Row],[Attrition_Risk_Level]]&lt;&gt;"High","",HRData[[#This Row],[Attrition_Risk_Score]]*10000-HRData[[#This Row],[EmployeeNumber]])</f>
        <v/>
      </c>
    </row>
    <row r="655" spans="1:44">
      <c r="A655">
        <v>50</v>
      </c>
      <c r="B655" t="str" cm="1">
        <f t="array" ref="B655">_xlfn.IFS(
HRData[[#This Row],[Age]]&lt;=24,"18-24",
HRData[[#This Row],[Age]]&lt;=34,"25-34",
HRData[[#This Row],[Age]]&lt;=44,"35-44",
HRData[[#This Row],[Age]]&lt;=54,"45-54",
HRData[[#This Row],[Age]]&gt;=55,"55+"
)</f>
        <v>45-54</v>
      </c>
      <c r="C655" t="s">
        <v>43</v>
      </c>
      <c r="D655">
        <f>IF(HRData[[#This Row],[Attrition]]="Yes",1,0)</f>
        <v>0</v>
      </c>
      <c r="E655" t="s">
        <v>55</v>
      </c>
      <c r="F655">
        <v>881</v>
      </c>
      <c r="G655" t="s">
        <v>45</v>
      </c>
      <c r="H655">
        <v>2</v>
      </c>
      <c r="I655">
        <v>4</v>
      </c>
      <c r="J655" t="s">
        <v>38</v>
      </c>
      <c r="K655">
        <v>1</v>
      </c>
      <c r="L655">
        <v>905</v>
      </c>
      <c r="M655">
        <v>1</v>
      </c>
      <c r="N655" t="str" cm="1">
        <f t="array" ref="N655">_xlfn.IFS(HRData[[#This Row],[EnvironmentSatisfaction]]=1,"Very Dissatisfied",
HRData[[#This Row],[EnvironmentSatisfaction]]=2,"Dissatisfied",
HRData[[#This Row],[EnvironmentSatisfaction]]=3,"Satisfied",
HRData[[#This Row],[EnvironmentSatisfaction]]=4,"Very Satisfied"
)</f>
        <v>Very Dissatisfied</v>
      </c>
      <c r="O655" t="s">
        <v>46</v>
      </c>
      <c r="P655">
        <v>98</v>
      </c>
      <c r="Q655">
        <v>3</v>
      </c>
      <c r="R655">
        <v>4</v>
      </c>
      <c r="S655" t="s">
        <v>56</v>
      </c>
      <c r="T655">
        <v>1</v>
      </c>
      <c r="U655" t="str" cm="1">
        <f t="array" ref="U655">_xlfn.IFS(
HRData[[#This Row],[JobSatisfaction]]=1,"Very Dissatisfied",
HRData[[#This Row],[JobSatisfaction]]=2,"Dissatisfied",
HRData[[#This Row],[JobSatisfaction]]=3,"Satisfied",
HRData[[#This Row],[JobSatisfaction]]=4,"Very Satisfied"
)</f>
        <v>Very Dissatisfied</v>
      </c>
      <c r="V655" t="s">
        <v>52</v>
      </c>
      <c r="W655">
        <v>17924</v>
      </c>
      <c r="X655" t="str" cm="1">
        <f t="array" ref="X655">_xlfn.IFS(
HRData[[#This Row],[MonthlyIncome]]&lt;=4000,"Very Low Income",
HRData[[#This Row],[MonthlyIncome]]&lt;=8000,"Low Income",
HRData[[#This Row],[MonthlyIncome]]&lt;=12000,"Moderate Income",
HRData[[#This Row],[MonthlyIncome]]&lt;=16000,"High Income",
HRData[[#This Row],[MonthlyIncome]]&gt;16000,"Very High Income"
)</f>
        <v>Very High Income</v>
      </c>
      <c r="Y655">
        <v>4544</v>
      </c>
      <c r="Z655">
        <v>1</v>
      </c>
      <c r="AA655" t="s">
        <v>42</v>
      </c>
      <c r="AB655" t="s">
        <v>43</v>
      </c>
      <c r="AC655">
        <v>11</v>
      </c>
      <c r="AD655" t="str" cm="1">
        <f t="array" ref="AD655">_xlfn.IFS(HRData[[#This Row],[PercentSalaryHike]]&lt;=15,"11-15",HRData[[#This Row],[PercentSalaryHike]]&lt;=20,"16-20",HRData[[#This Row],[PercentSalaryHike]]&gt;=21,"21+")</f>
        <v>11-15</v>
      </c>
      <c r="AE655">
        <v>3</v>
      </c>
      <c r="AF655">
        <v>4</v>
      </c>
      <c r="AG655">
        <v>80</v>
      </c>
      <c r="AH655">
        <v>1</v>
      </c>
      <c r="AI655">
        <v>31</v>
      </c>
      <c r="AJ655">
        <v>3</v>
      </c>
      <c r="AK655">
        <v>3</v>
      </c>
      <c r="AL655">
        <v>31</v>
      </c>
      <c r="AM655">
        <v>6</v>
      </c>
      <c r="AN655">
        <v>14</v>
      </c>
      <c r="AO655">
        <v>7</v>
      </c>
      <c r="AP65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55" t="str">
        <f>IF(HRData[[#This Row],[Attrition]]="Yes","Left", IF(HRData[[#This Row],[Attrition_Risk_Score]]&gt;=6,"High",IF(HRData[[#This Row],[Attrition_Risk_Score]]&gt;=3,"Medium","Low")))</f>
        <v>Low</v>
      </c>
      <c r="AR655" t="str">
        <f>IF(HRData[[#This Row],[Attrition_Risk_Level]]&lt;&gt;"High","",HRData[[#This Row],[Attrition_Risk_Score]]*10000-HRData[[#This Row],[EmployeeNumber]])</f>
        <v/>
      </c>
    </row>
    <row r="656" spans="1:44">
      <c r="A656">
        <v>39</v>
      </c>
      <c r="B656" t="str" cm="1">
        <f t="array" ref="B656">_xlfn.IFS(
HRData[[#This Row],[Age]]&lt;=24,"18-24",
HRData[[#This Row],[Age]]&lt;=34,"25-34",
HRData[[#This Row],[Age]]&lt;=44,"35-44",
HRData[[#This Row],[Age]]&lt;=54,"45-54",
HRData[[#This Row],[Age]]&gt;=55,"55+"
)</f>
        <v>35-44</v>
      </c>
      <c r="C656" t="s">
        <v>43</v>
      </c>
      <c r="D656">
        <f>IF(HRData[[#This Row],[Attrition]]="Yes",1,0)</f>
        <v>0</v>
      </c>
      <c r="E656" t="s">
        <v>36</v>
      </c>
      <c r="F656">
        <v>1383</v>
      </c>
      <c r="G656" t="s">
        <v>61</v>
      </c>
      <c r="H656">
        <v>2</v>
      </c>
      <c r="I656">
        <v>3</v>
      </c>
      <c r="J656" t="s">
        <v>38</v>
      </c>
      <c r="K656">
        <v>1</v>
      </c>
      <c r="L656">
        <v>909</v>
      </c>
      <c r="M656">
        <v>4</v>
      </c>
      <c r="N656" t="str" cm="1">
        <f t="array" ref="N656">_xlfn.IFS(HRData[[#This Row],[EnvironmentSatisfaction]]=1,"Very Dissatisfied",
HRData[[#This Row],[EnvironmentSatisfaction]]=2,"Dissatisfied",
HRData[[#This Row],[EnvironmentSatisfaction]]=3,"Satisfied",
HRData[[#This Row],[EnvironmentSatisfaction]]=4,"Very Satisfied"
)</f>
        <v>Very Satisfied</v>
      </c>
      <c r="O656" t="s">
        <v>39</v>
      </c>
      <c r="P656">
        <v>42</v>
      </c>
      <c r="Q656">
        <v>2</v>
      </c>
      <c r="R656">
        <v>2</v>
      </c>
      <c r="S656" t="s">
        <v>61</v>
      </c>
      <c r="T656">
        <v>4</v>
      </c>
      <c r="U656" t="str" cm="1">
        <f t="array" ref="U656">_xlfn.IFS(
HRData[[#This Row],[JobSatisfaction]]=1,"Very Dissatisfied",
HRData[[#This Row],[JobSatisfaction]]=2,"Dissatisfied",
HRData[[#This Row],[JobSatisfaction]]=3,"Satisfied",
HRData[[#This Row],[JobSatisfaction]]=4,"Very Satisfied"
)</f>
        <v>Very Satisfied</v>
      </c>
      <c r="V656" t="s">
        <v>48</v>
      </c>
      <c r="W656">
        <v>5204</v>
      </c>
      <c r="X656" t="str" cm="1">
        <f t="array" ref="X656">_xlfn.IFS(
HRData[[#This Row],[MonthlyIncome]]&lt;=4000,"Very Low Income",
HRData[[#This Row],[MonthlyIncome]]&lt;=8000,"Low Income",
HRData[[#This Row],[MonthlyIncome]]&lt;=12000,"Moderate Income",
HRData[[#This Row],[MonthlyIncome]]&lt;=16000,"High Income",
HRData[[#This Row],[MonthlyIncome]]&gt;16000,"Very High Income"
)</f>
        <v>Low Income</v>
      </c>
      <c r="Y656">
        <v>7790</v>
      </c>
      <c r="Z656">
        <v>8</v>
      </c>
      <c r="AA656" t="s">
        <v>42</v>
      </c>
      <c r="AB656" t="s">
        <v>43</v>
      </c>
      <c r="AC656">
        <v>11</v>
      </c>
      <c r="AD656" t="str" cm="1">
        <f t="array" ref="AD656">_xlfn.IFS(HRData[[#This Row],[PercentSalaryHike]]&lt;=15,"11-15",HRData[[#This Row],[PercentSalaryHike]]&lt;=20,"16-20",HRData[[#This Row],[PercentSalaryHike]]&gt;=21,"21+")</f>
        <v>11-15</v>
      </c>
      <c r="AE656">
        <v>3</v>
      </c>
      <c r="AF656">
        <v>3</v>
      </c>
      <c r="AG656">
        <v>80</v>
      </c>
      <c r="AH656">
        <v>2</v>
      </c>
      <c r="AI656">
        <v>13</v>
      </c>
      <c r="AJ656">
        <v>2</v>
      </c>
      <c r="AK656">
        <v>3</v>
      </c>
      <c r="AL656">
        <v>5</v>
      </c>
      <c r="AM656">
        <v>4</v>
      </c>
      <c r="AN656">
        <v>0</v>
      </c>
      <c r="AO656">
        <v>4</v>
      </c>
      <c r="AP65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56" t="str">
        <f>IF(HRData[[#This Row],[Attrition]]="Yes","Left", IF(HRData[[#This Row],[Attrition_Risk_Score]]&gt;=6,"High",IF(HRData[[#This Row],[Attrition_Risk_Score]]&gt;=3,"Medium","Low")))</f>
        <v>Low</v>
      </c>
      <c r="AR656" t="str">
        <f>IF(HRData[[#This Row],[Attrition_Risk_Level]]&lt;&gt;"High","",HRData[[#This Row],[Attrition_Risk_Score]]*10000-HRData[[#This Row],[EmployeeNumber]])</f>
        <v/>
      </c>
    </row>
    <row r="657" spans="1:44">
      <c r="A657">
        <v>33</v>
      </c>
      <c r="B657" t="str" cm="1">
        <f t="array" ref="B657">_xlfn.IFS(
HRData[[#This Row],[Age]]&lt;=24,"18-24",
HRData[[#This Row],[Age]]&lt;=34,"25-34",
HRData[[#This Row],[Age]]&lt;=44,"35-44",
HRData[[#This Row],[Age]]&lt;=54,"45-54",
HRData[[#This Row],[Age]]&gt;=55,"55+"
)</f>
        <v>25-34</v>
      </c>
      <c r="C657" t="s">
        <v>43</v>
      </c>
      <c r="D657">
        <f>IF(HRData[[#This Row],[Attrition]]="Yes",1,0)</f>
        <v>0</v>
      </c>
      <c r="E657" t="s">
        <v>36</v>
      </c>
      <c r="F657">
        <v>1075</v>
      </c>
      <c r="G657" t="s">
        <v>61</v>
      </c>
      <c r="H657">
        <v>3</v>
      </c>
      <c r="I657">
        <v>2</v>
      </c>
      <c r="J657" t="s">
        <v>61</v>
      </c>
      <c r="K657">
        <v>1</v>
      </c>
      <c r="L657">
        <v>910</v>
      </c>
      <c r="M657">
        <v>4</v>
      </c>
      <c r="N657" t="str" cm="1">
        <f t="array" ref="N657">_xlfn.IFS(HRData[[#This Row],[EnvironmentSatisfaction]]=1,"Very Dissatisfied",
HRData[[#This Row],[EnvironmentSatisfaction]]=2,"Dissatisfied",
HRData[[#This Row],[EnvironmentSatisfaction]]=3,"Satisfied",
HRData[[#This Row],[EnvironmentSatisfaction]]=4,"Very Satisfied"
)</f>
        <v>Very Satisfied</v>
      </c>
      <c r="O657" t="s">
        <v>46</v>
      </c>
      <c r="P657">
        <v>57</v>
      </c>
      <c r="Q657">
        <v>3</v>
      </c>
      <c r="R657">
        <v>1</v>
      </c>
      <c r="S657" t="s">
        <v>61</v>
      </c>
      <c r="T657">
        <v>2</v>
      </c>
      <c r="U657" t="str" cm="1">
        <f t="array" ref="U657">_xlfn.IFS(
HRData[[#This Row],[JobSatisfaction]]=1,"Very Dissatisfied",
HRData[[#This Row],[JobSatisfaction]]=2,"Dissatisfied",
HRData[[#This Row],[JobSatisfaction]]=3,"Satisfied",
HRData[[#This Row],[JobSatisfaction]]=4,"Very Satisfied"
)</f>
        <v>Dissatisfied</v>
      </c>
      <c r="V657" t="s">
        <v>52</v>
      </c>
      <c r="W657">
        <v>2277</v>
      </c>
      <c r="X657" t="str" cm="1">
        <f t="array" ref="X657">_xlfn.IFS(
HRData[[#This Row],[MonthlyIncome]]&lt;=4000,"Very Low Income",
HRData[[#This Row],[MonthlyIncome]]&lt;=8000,"Low Income",
HRData[[#This Row],[MonthlyIncome]]&lt;=12000,"Moderate Income",
HRData[[#This Row],[MonthlyIncome]]&lt;=16000,"High Income",
HRData[[#This Row],[MonthlyIncome]]&gt;16000,"Very High Income"
)</f>
        <v>Very Low Income</v>
      </c>
      <c r="Y657">
        <v>22650</v>
      </c>
      <c r="Z657">
        <v>3</v>
      </c>
      <c r="AA657" t="s">
        <v>42</v>
      </c>
      <c r="AB657" t="s">
        <v>35</v>
      </c>
      <c r="AC657">
        <v>11</v>
      </c>
      <c r="AD657" t="str" cm="1">
        <f t="array" ref="AD657">_xlfn.IFS(HRData[[#This Row],[PercentSalaryHike]]&lt;=15,"11-15",HRData[[#This Row],[PercentSalaryHike]]&lt;=20,"16-20",HRData[[#This Row],[PercentSalaryHike]]&gt;=21,"21+")</f>
        <v>11-15</v>
      </c>
      <c r="AE657">
        <v>3</v>
      </c>
      <c r="AF657">
        <v>3</v>
      </c>
      <c r="AG657">
        <v>80</v>
      </c>
      <c r="AH657">
        <v>1</v>
      </c>
      <c r="AI657">
        <v>7</v>
      </c>
      <c r="AJ657">
        <v>4</v>
      </c>
      <c r="AK657">
        <v>4</v>
      </c>
      <c r="AL657">
        <v>4</v>
      </c>
      <c r="AM657">
        <v>3</v>
      </c>
      <c r="AN657">
        <v>0</v>
      </c>
      <c r="AO657">
        <v>3</v>
      </c>
      <c r="AP65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657" t="str">
        <f>IF(HRData[[#This Row],[Attrition]]="Yes","Left", IF(HRData[[#This Row],[Attrition_Risk_Score]]&gt;=6,"High",IF(HRData[[#This Row],[Attrition_Risk_Score]]&gt;=3,"Medium","Low")))</f>
        <v>High</v>
      </c>
      <c r="AR657">
        <f>IF(HRData[[#This Row],[Attrition_Risk_Level]]&lt;&gt;"High","",HRData[[#This Row],[Attrition_Risk_Score]]*10000-HRData[[#This Row],[EmployeeNumber]])</f>
        <v>59090</v>
      </c>
    </row>
    <row r="658" spans="1:44">
      <c r="A658">
        <v>32</v>
      </c>
      <c r="B658" t="str" cm="1">
        <f t="array" ref="B658">_xlfn.IFS(
HRData[[#This Row],[Age]]&lt;=24,"18-24",
HRData[[#This Row],[Age]]&lt;=34,"25-34",
HRData[[#This Row],[Age]]&lt;=44,"35-44",
HRData[[#This Row],[Age]]&lt;=54,"45-54",
HRData[[#This Row],[Age]]&gt;=55,"55+"
)</f>
        <v>25-34</v>
      </c>
      <c r="C658" t="s">
        <v>35</v>
      </c>
      <c r="D658">
        <f>IF(HRData[[#This Row],[Attrition]]="Yes",1,0)</f>
        <v>1</v>
      </c>
      <c r="E658" t="s">
        <v>36</v>
      </c>
      <c r="F658">
        <v>374</v>
      </c>
      <c r="G658" t="s">
        <v>45</v>
      </c>
      <c r="H658">
        <v>25</v>
      </c>
      <c r="I658">
        <v>4</v>
      </c>
      <c r="J658" t="s">
        <v>38</v>
      </c>
      <c r="K658">
        <v>1</v>
      </c>
      <c r="L658">
        <v>911</v>
      </c>
      <c r="M658">
        <v>1</v>
      </c>
      <c r="N658" t="str" cm="1">
        <f t="array" ref="N658">_xlfn.IFS(HRData[[#This Row],[EnvironmentSatisfaction]]=1,"Very Dissatisfied",
HRData[[#This Row],[EnvironmentSatisfaction]]=2,"Dissatisfied",
HRData[[#This Row],[EnvironmentSatisfaction]]=3,"Satisfied",
HRData[[#This Row],[EnvironmentSatisfaction]]=4,"Very Satisfied"
)</f>
        <v>Very Dissatisfied</v>
      </c>
      <c r="O658" t="s">
        <v>46</v>
      </c>
      <c r="P658">
        <v>87</v>
      </c>
      <c r="Q658">
        <v>3</v>
      </c>
      <c r="R658">
        <v>1</v>
      </c>
      <c r="S658" t="s">
        <v>50</v>
      </c>
      <c r="T658">
        <v>4</v>
      </c>
      <c r="U658" t="str" cm="1">
        <f t="array" ref="U658">_xlfn.IFS(
HRData[[#This Row],[JobSatisfaction]]=1,"Very Dissatisfied",
HRData[[#This Row],[JobSatisfaction]]=2,"Dissatisfied",
HRData[[#This Row],[JobSatisfaction]]=3,"Satisfied",
HRData[[#This Row],[JobSatisfaction]]=4,"Very Satisfied"
)</f>
        <v>Very Satisfied</v>
      </c>
      <c r="V658" t="s">
        <v>41</v>
      </c>
      <c r="W658">
        <v>2795</v>
      </c>
      <c r="X658" t="str" cm="1">
        <f t="array" ref="X658">_xlfn.IFS(
HRData[[#This Row],[MonthlyIncome]]&lt;=4000,"Very Low Income",
HRData[[#This Row],[MonthlyIncome]]&lt;=8000,"Low Income",
HRData[[#This Row],[MonthlyIncome]]&lt;=12000,"Moderate Income",
HRData[[#This Row],[MonthlyIncome]]&lt;=16000,"High Income",
HRData[[#This Row],[MonthlyIncome]]&gt;16000,"Very High Income"
)</f>
        <v>Very Low Income</v>
      </c>
      <c r="Y658">
        <v>18016</v>
      </c>
      <c r="Z658">
        <v>1</v>
      </c>
      <c r="AA658" t="s">
        <v>42</v>
      </c>
      <c r="AB658" t="s">
        <v>35</v>
      </c>
      <c r="AC658">
        <v>24</v>
      </c>
      <c r="AD658" t="str" cm="1">
        <f t="array" ref="AD658">_xlfn.IFS(HRData[[#This Row],[PercentSalaryHike]]&lt;=15,"11-15",HRData[[#This Row],[PercentSalaryHike]]&lt;=20,"16-20",HRData[[#This Row],[PercentSalaryHike]]&gt;=21,"21+")</f>
        <v>21+</v>
      </c>
      <c r="AE658">
        <v>4</v>
      </c>
      <c r="AF658">
        <v>3</v>
      </c>
      <c r="AG658">
        <v>80</v>
      </c>
      <c r="AH658">
        <v>0</v>
      </c>
      <c r="AI658">
        <v>1</v>
      </c>
      <c r="AJ658">
        <v>2</v>
      </c>
      <c r="AK658">
        <v>1</v>
      </c>
      <c r="AL658">
        <v>1</v>
      </c>
      <c r="AM658">
        <v>0</v>
      </c>
      <c r="AN658">
        <v>0</v>
      </c>
      <c r="AO658">
        <v>1</v>
      </c>
      <c r="AP65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58" t="str">
        <f>IF(HRData[[#This Row],[Attrition]]="Yes","Left", IF(HRData[[#This Row],[Attrition_Risk_Score]]&gt;=6,"High",IF(HRData[[#This Row],[Attrition_Risk_Score]]&gt;=3,"Medium","Low")))</f>
        <v>Left</v>
      </c>
      <c r="AR658" t="str">
        <f>IF(HRData[[#This Row],[Attrition_Risk_Level]]&lt;&gt;"High","",HRData[[#This Row],[Attrition_Risk_Score]]*10000-HRData[[#This Row],[EmployeeNumber]])</f>
        <v/>
      </c>
    </row>
    <row r="659" spans="1:44">
      <c r="A659">
        <v>29</v>
      </c>
      <c r="B659" t="str" cm="1">
        <f t="array" ref="B659">_xlfn.IFS(
HRData[[#This Row],[Age]]&lt;=24,"18-24",
HRData[[#This Row],[Age]]&lt;=34,"25-34",
HRData[[#This Row],[Age]]&lt;=44,"35-44",
HRData[[#This Row],[Age]]&lt;=54,"45-54",
HRData[[#This Row],[Age]]&gt;=55,"55+"
)</f>
        <v>25-34</v>
      </c>
      <c r="C659" t="s">
        <v>43</v>
      </c>
      <c r="D659">
        <f>IF(HRData[[#This Row],[Attrition]]="Yes",1,0)</f>
        <v>0</v>
      </c>
      <c r="E659" t="s">
        <v>36</v>
      </c>
      <c r="F659">
        <v>1086</v>
      </c>
      <c r="G659" t="s">
        <v>45</v>
      </c>
      <c r="H659">
        <v>7</v>
      </c>
      <c r="I659">
        <v>1</v>
      </c>
      <c r="J659" t="s">
        <v>51</v>
      </c>
      <c r="K659">
        <v>1</v>
      </c>
      <c r="L659">
        <v>912</v>
      </c>
      <c r="M659">
        <v>1</v>
      </c>
      <c r="N659" t="str" cm="1">
        <f t="array" ref="N659">_xlfn.IFS(HRData[[#This Row],[EnvironmentSatisfaction]]=1,"Very Dissatisfied",
HRData[[#This Row],[EnvironmentSatisfaction]]=2,"Dissatisfied",
HRData[[#This Row],[EnvironmentSatisfaction]]=3,"Satisfied",
HRData[[#This Row],[EnvironmentSatisfaction]]=4,"Very Satisfied"
)</f>
        <v>Very Dissatisfied</v>
      </c>
      <c r="O659" t="s">
        <v>39</v>
      </c>
      <c r="P659">
        <v>62</v>
      </c>
      <c r="Q659">
        <v>2</v>
      </c>
      <c r="R659">
        <v>1</v>
      </c>
      <c r="S659" t="s">
        <v>50</v>
      </c>
      <c r="T659">
        <v>4</v>
      </c>
      <c r="U659" t="str" cm="1">
        <f t="array" ref="U659">_xlfn.IFS(
HRData[[#This Row],[JobSatisfaction]]=1,"Very Dissatisfied",
HRData[[#This Row],[JobSatisfaction]]=2,"Dissatisfied",
HRData[[#This Row],[JobSatisfaction]]=3,"Satisfied",
HRData[[#This Row],[JobSatisfaction]]=4,"Very Satisfied"
)</f>
        <v>Very Satisfied</v>
      </c>
      <c r="V659" t="s">
        <v>52</v>
      </c>
      <c r="W659">
        <v>2532</v>
      </c>
      <c r="X659" t="str" cm="1">
        <f t="array" ref="X659">_xlfn.IFS(
HRData[[#This Row],[MonthlyIncome]]&lt;=4000,"Very Low Income",
HRData[[#This Row],[MonthlyIncome]]&lt;=8000,"Low Income",
HRData[[#This Row],[MonthlyIncome]]&lt;=12000,"Moderate Income",
HRData[[#This Row],[MonthlyIncome]]&lt;=16000,"High Income",
HRData[[#This Row],[MonthlyIncome]]&gt;16000,"Very High Income"
)</f>
        <v>Very Low Income</v>
      </c>
      <c r="Y659">
        <v>6054</v>
      </c>
      <c r="Z659">
        <v>6</v>
      </c>
      <c r="AA659" t="s">
        <v>42</v>
      </c>
      <c r="AB659" t="s">
        <v>43</v>
      </c>
      <c r="AC659">
        <v>14</v>
      </c>
      <c r="AD659" t="str" cm="1">
        <f t="array" ref="AD659">_xlfn.IFS(HRData[[#This Row],[PercentSalaryHike]]&lt;=15,"11-15",HRData[[#This Row],[PercentSalaryHike]]&lt;=20,"16-20",HRData[[#This Row],[PercentSalaryHike]]&gt;=21,"21+")</f>
        <v>11-15</v>
      </c>
      <c r="AE659">
        <v>3</v>
      </c>
      <c r="AF659">
        <v>3</v>
      </c>
      <c r="AG659">
        <v>80</v>
      </c>
      <c r="AH659">
        <v>3</v>
      </c>
      <c r="AI659">
        <v>8</v>
      </c>
      <c r="AJ659">
        <v>5</v>
      </c>
      <c r="AK659">
        <v>3</v>
      </c>
      <c r="AL659">
        <v>4</v>
      </c>
      <c r="AM659">
        <v>3</v>
      </c>
      <c r="AN659">
        <v>0</v>
      </c>
      <c r="AO659">
        <v>3</v>
      </c>
      <c r="AP65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59" t="str">
        <f>IF(HRData[[#This Row],[Attrition]]="Yes","Left", IF(HRData[[#This Row],[Attrition_Risk_Score]]&gt;=6,"High",IF(HRData[[#This Row],[Attrition_Risk_Score]]&gt;=3,"Medium","Low")))</f>
        <v>Medium</v>
      </c>
      <c r="AR659" t="str">
        <f>IF(HRData[[#This Row],[Attrition_Risk_Level]]&lt;&gt;"High","",HRData[[#This Row],[Attrition_Risk_Score]]*10000-HRData[[#This Row],[EmployeeNumber]])</f>
        <v/>
      </c>
    </row>
    <row r="660" spans="1:44">
      <c r="A660">
        <v>44</v>
      </c>
      <c r="B660" t="str" cm="1">
        <f t="array" ref="B660">_xlfn.IFS(
HRData[[#This Row],[Age]]&lt;=24,"18-24",
HRData[[#This Row],[Age]]&lt;=34,"25-34",
HRData[[#This Row],[Age]]&lt;=44,"35-44",
HRData[[#This Row],[Age]]&lt;=54,"45-54",
HRData[[#This Row],[Age]]&gt;=55,"55+"
)</f>
        <v>35-44</v>
      </c>
      <c r="C660" t="s">
        <v>43</v>
      </c>
      <c r="D660">
        <f>IF(HRData[[#This Row],[Attrition]]="Yes",1,0)</f>
        <v>0</v>
      </c>
      <c r="E660" t="s">
        <v>36</v>
      </c>
      <c r="F660">
        <v>661</v>
      </c>
      <c r="G660" t="s">
        <v>45</v>
      </c>
      <c r="H660">
        <v>9</v>
      </c>
      <c r="I660">
        <v>2</v>
      </c>
      <c r="J660" t="s">
        <v>38</v>
      </c>
      <c r="K660">
        <v>1</v>
      </c>
      <c r="L660">
        <v>913</v>
      </c>
      <c r="M660">
        <v>2</v>
      </c>
      <c r="N660" t="str" cm="1">
        <f t="array" ref="N660">_xlfn.IFS(HRData[[#This Row],[EnvironmentSatisfaction]]=1,"Very Dissatisfied",
HRData[[#This Row],[EnvironmentSatisfaction]]=2,"Dissatisfied",
HRData[[#This Row],[EnvironmentSatisfaction]]=3,"Satisfied",
HRData[[#This Row],[EnvironmentSatisfaction]]=4,"Very Satisfied"
)</f>
        <v>Dissatisfied</v>
      </c>
      <c r="O660" t="s">
        <v>46</v>
      </c>
      <c r="P660">
        <v>61</v>
      </c>
      <c r="Q660">
        <v>3</v>
      </c>
      <c r="R660">
        <v>1</v>
      </c>
      <c r="S660" t="s">
        <v>47</v>
      </c>
      <c r="T660">
        <v>1</v>
      </c>
      <c r="U660" t="str" cm="1">
        <f t="array" ref="U660">_xlfn.IFS(
HRData[[#This Row],[JobSatisfaction]]=1,"Very Dissatisfied",
HRData[[#This Row],[JobSatisfaction]]=2,"Dissatisfied",
HRData[[#This Row],[JobSatisfaction]]=3,"Satisfied",
HRData[[#This Row],[JobSatisfaction]]=4,"Very Satisfied"
)</f>
        <v>Very Dissatisfied</v>
      </c>
      <c r="V660" t="s">
        <v>48</v>
      </c>
      <c r="W660">
        <v>2559</v>
      </c>
      <c r="X660" t="str" cm="1">
        <f t="array" ref="X660">_xlfn.IFS(
HRData[[#This Row],[MonthlyIncome]]&lt;=4000,"Very Low Income",
HRData[[#This Row],[MonthlyIncome]]&lt;=8000,"Low Income",
HRData[[#This Row],[MonthlyIncome]]&lt;=12000,"Moderate Income",
HRData[[#This Row],[MonthlyIncome]]&lt;=16000,"High Income",
HRData[[#This Row],[MonthlyIncome]]&gt;16000,"Very High Income"
)</f>
        <v>Very Low Income</v>
      </c>
      <c r="Y660">
        <v>7508</v>
      </c>
      <c r="Z660">
        <v>1</v>
      </c>
      <c r="AA660" t="s">
        <v>42</v>
      </c>
      <c r="AB660" t="s">
        <v>35</v>
      </c>
      <c r="AC660">
        <v>13</v>
      </c>
      <c r="AD660" t="str" cm="1">
        <f t="array" ref="AD660">_xlfn.IFS(HRData[[#This Row],[PercentSalaryHike]]&lt;=15,"11-15",HRData[[#This Row],[PercentSalaryHike]]&lt;=20,"16-20",HRData[[#This Row],[PercentSalaryHike]]&gt;=21,"21+")</f>
        <v>11-15</v>
      </c>
      <c r="AE660">
        <v>3</v>
      </c>
      <c r="AF660">
        <v>4</v>
      </c>
      <c r="AG660">
        <v>80</v>
      </c>
      <c r="AH660">
        <v>0</v>
      </c>
      <c r="AI660">
        <v>8</v>
      </c>
      <c r="AJ660">
        <v>0</v>
      </c>
      <c r="AK660">
        <v>3</v>
      </c>
      <c r="AL660">
        <v>8</v>
      </c>
      <c r="AM660">
        <v>7</v>
      </c>
      <c r="AN660">
        <v>7</v>
      </c>
      <c r="AO660">
        <v>1</v>
      </c>
      <c r="AP66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660" t="str">
        <f>IF(HRData[[#This Row],[Attrition]]="Yes","Left", IF(HRData[[#This Row],[Attrition_Risk_Score]]&gt;=6,"High",IF(HRData[[#This Row],[Attrition_Risk_Score]]&gt;=3,"Medium","Low")))</f>
        <v>High</v>
      </c>
      <c r="AR660">
        <f>IF(HRData[[#This Row],[Attrition_Risk_Level]]&lt;&gt;"High","",HRData[[#This Row],[Attrition_Risk_Score]]*10000-HRData[[#This Row],[EmployeeNumber]])</f>
        <v>59087</v>
      </c>
    </row>
    <row r="661" spans="1:44">
      <c r="A661">
        <v>28</v>
      </c>
      <c r="B661" t="str" cm="1">
        <f t="array" ref="B661">_xlfn.IFS(
HRData[[#This Row],[Age]]&lt;=24,"18-24",
HRData[[#This Row],[Age]]&lt;=34,"25-34",
HRData[[#This Row],[Age]]&lt;=44,"35-44",
HRData[[#This Row],[Age]]&lt;=54,"45-54",
HRData[[#This Row],[Age]]&gt;=55,"55+"
)</f>
        <v>25-34</v>
      </c>
      <c r="C661" t="s">
        <v>43</v>
      </c>
      <c r="D661">
        <f>IF(HRData[[#This Row],[Attrition]]="Yes",1,0)</f>
        <v>0</v>
      </c>
      <c r="E661" t="s">
        <v>36</v>
      </c>
      <c r="F661">
        <v>821</v>
      </c>
      <c r="G661" t="s">
        <v>37</v>
      </c>
      <c r="H661">
        <v>5</v>
      </c>
      <c r="I661">
        <v>4</v>
      </c>
      <c r="J661" t="s">
        <v>51</v>
      </c>
      <c r="K661">
        <v>1</v>
      </c>
      <c r="L661">
        <v>916</v>
      </c>
      <c r="M661">
        <v>1</v>
      </c>
      <c r="N661" t="str" cm="1">
        <f t="array" ref="N661">_xlfn.IFS(HRData[[#This Row],[EnvironmentSatisfaction]]=1,"Very Dissatisfied",
HRData[[#This Row],[EnvironmentSatisfaction]]=2,"Dissatisfied",
HRData[[#This Row],[EnvironmentSatisfaction]]=3,"Satisfied",
HRData[[#This Row],[EnvironmentSatisfaction]]=4,"Very Satisfied"
)</f>
        <v>Very Dissatisfied</v>
      </c>
      <c r="O661" t="s">
        <v>46</v>
      </c>
      <c r="P661">
        <v>98</v>
      </c>
      <c r="Q661">
        <v>3</v>
      </c>
      <c r="R661">
        <v>2</v>
      </c>
      <c r="S661" t="s">
        <v>40</v>
      </c>
      <c r="T661">
        <v>4</v>
      </c>
      <c r="U661" t="str" cm="1">
        <f t="array" ref="U661">_xlfn.IFS(
HRData[[#This Row],[JobSatisfaction]]=1,"Very Dissatisfied",
HRData[[#This Row],[JobSatisfaction]]=2,"Dissatisfied",
HRData[[#This Row],[JobSatisfaction]]=3,"Satisfied",
HRData[[#This Row],[JobSatisfaction]]=4,"Very Satisfied"
)</f>
        <v>Very Satisfied</v>
      </c>
      <c r="V661" t="s">
        <v>41</v>
      </c>
      <c r="W661">
        <v>4908</v>
      </c>
      <c r="X661" t="str" cm="1">
        <f t="array" ref="X661">_xlfn.IFS(
HRData[[#This Row],[MonthlyIncome]]&lt;=4000,"Very Low Income",
HRData[[#This Row],[MonthlyIncome]]&lt;=8000,"Low Income",
HRData[[#This Row],[MonthlyIncome]]&lt;=12000,"Moderate Income",
HRData[[#This Row],[MonthlyIncome]]&lt;=16000,"High Income",
HRData[[#This Row],[MonthlyIncome]]&gt;16000,"Very High Income"
)</f>
        <v>Low Income</v>
      </c>
      <c r="Y661">
        <v>24252</v>
      </c>
      <c r="Z661">
        <v>1</v>
      </c>
      <c r="AA661" t="s">
        <v>42</v>
      </c>
      <c r="AB661" t="s">
        <v>43</v>
      </c>
      <c r="AC661">
        <v>14</v>
      </c>
      <c r="AD661" t="str" cm="1">
        <f t="array" ref="AD661">_xlfn.IFS(HRData[[#This Row],[PercentSalaryHike]]&lt;=15,"11-15",HRData[[#This Row],[PercentSalaryHike]]&lt;=20,"16-20",HRData[[#This Row],[PercentSalaryHike]]&gt;=21,"21+")</f>
        <v>11-15</v>
      </c>
      <c r="AE661">
        <v>3</v>
      </c>
      <c r="AF661">
        <v>2</v>
      </c>
      <c r="AG661">
        <v>80</v>
      </c>
      <c r="AH661">
        <v>0</v>
      </c>
      <c r="AI661">
        <v>4</v>
      </c>
      <c r="AJ661">
        <v>3</v>
      </c>
      <c r="AK661">
        <v>3</v>
      </c>
      <c r="AL661">
        <v>4</v>
      </c>
      <c r="AM661">
        <v>2</v>
      </c>
      <c r="AN661">
        <v>0</v>
      </c>
      <c r="AO661">
        <v>2</v>
      </c>
      <c r="AP66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61" t="str">
        <f>IF(HRData[[#This Row],[Attrition]]="Yes","Left", IF(HRData[[#This Row],[Attrition_Risk_Score]]&gt;=6,"High",IF(HRData[[#This Row],[Attrition_Risk_Score]]&gt;=3,"Medium","Low")))</f>
        <v>Low</v>
      </c>
      <c r="AR661" t="str">
        <f>IF(HRData[[#This Row],[Attrition_Risk_Level]]&lt;&gt;"High","",HRData[[#This Row],[Attrition_Risk_Score]]*10000-HRData[[#This Row],[EmployeeNumber]])</f>
        <v/>
      </c>
    </row>
    <row r="662" spans="1:44">
      <c r="A662">
        <v>58</v>
      </c>
      <c r="B662" t="str" cm="1">
        <f t="array" ref="B662">_xlfn.IFS(
HRData[[#This Row],[Age]]&lt;=24,"18-24",
HRData[[#This Row],[Age]]&lt;=34,"25-34",
HRData[[#This Row],[Age]]&lt;=44,"35-44",
HRData[[#This Row],[Age]]&lt;=54,"45-54",
HRData[[#This Row],[Age]]&gt;=55,"55+"
)</f>
        <v>55+</v>
      </c>
      <c r="C662" t="s">
        <v>35</v>
      </c>
      <c r="D662">
        <f>IF(HRData[[#This Row],[Attrition]]="Yes",1,0)</f>
        <v>1</v>
      </c>
      <c r="E662" t="s">
        <v>44</v>
      </c>
      <c r="F662">
        <v>781</v>
      </c>
      <c r="G662" t="s">
        <v>45</v>
      </c>
      <c r="H662">
        <v>2</v>
      </c>
      <c r="I662">
        <v>1</v>
      </c>
      <c r="J662" t="s">
        <v>38</v>
      </c>
      <c r="K662">
        <v>1</v>
      </c>
      <c r="L662">
        <v>918</v>
      </c>
      <c r="M662">
        <v>4</v>
      </c>
      <c r="N662" t="str" cm="1">
        <f t="array" ref="N662">_xlfn.IFS(HRData[[#This Row],[EnvironmentSatisfaction]]=1,"Very Dissatisfied",
HRData[[#This Row],[EnvironmentSatisfaction]]=2,"Dissatisfied",
HRData[[#This Row],[EnvironmentSatisfaction]]=3,"Satisfied",
HRData[[#This Row],[EnvironmentSatisfaction]]=4,"Very Satisfied"
)</f>
        <v>Very Satisfied</v>
      </c>
      <c r="O662" t="s">
        <v>46</v>
      </c>
      <c r="P662">
        <v>57</v>
      </c>
      <c r="Q662">
        <v>2</v>
      </c>
      <c r="R662">
        <v>1</v>
      </c>
      <c r="S662" t="s">
        <v>50</v>
      </c>
      <c r="T662">
        <v>4</v>
      </c>
      <c r="U662" t="str" cm="1">
        <f t="array" ref="U662">_xlfn.IFS(
HRData[[#This Row],[JobSatisfaction]]=1,"Very Dissatisfied",
HRData[[#This Row],[JobSatisfaction]]=2,"Dissatisfied",
HRData[[#This Row],[JobSatisfaction]]=3,"Satisfied",
HRData[[#This Row],[JobSatisfaction]]=4,"Very Satisfied"
)</f>
        <v>Very Satisfied</v>
      </c>
      <c r="V662" t="s">
        <v>52</v>
      </c>
      <c r="W662">
        <v>2380</v>
      </c>
      <c r="X662" t="str" cm="1">
        <f t="array" ref="X662">_xlfn.IFS(
HRData[[#This Row],[MonthlyIncome]]&lt;=4000,"Very Low Income",
HRData[[#This Row],[MonthlyIncome]]&lt;=8000,"Low Income",
HRData[[#This Row],[MonthlyIncome]]&lt;=12000,"Moderate Income",
HRData[[#This Row],[MonthlyIncome]]&lt;=16000,"High Income",
HRData[[#This Row],[MonthlyIncome]]&gt;16000,"Very High Income"
)</f>
        <v>Very Low Income</v>
      </c>
      <c r="Y662">
        <v>13384</v>
      </c>
      <c r="Z662">
        <v>9</v>
      </c>
      <c r="AA662" t="s">
        <v>42</v>
      </c>
      <c r="AB662" t="s">
        <v>35</v>
      </c>
      <c r="AC662">
        <v>14</v>
      </c>
      <c r="AD662" t="str" cm="1">
        <f t="array" ref="AD662">_xlfn.IFS(HRData[[#This Row],[PercentSalaryHike]]&lt;=15,"11-15",HRData[[#This Row],[PercentSalaryHike]]&lt;=20,"16-20",HRData[[#This Row],[PercentSalaryHike]]&gt;=21,"21+")</f>
        <v>11-15</v>
      </c>
      <c r="AE662">
        <v>3</v>
      </c>
      <c r="AF662">
        <v>4</v>
      </c>
      <c r="AG662">
        <v>80</v>
      </c>
      <c r="AH662">
        <v>1</v>
      </c>
      <c r="AI662">
        <v>3</v>
      </c>
      <c r="AJ662">
        <v>3</v>
      </c>
      <c r="AK662">
        <v>2</v>
      </c>
      <c r="AL662">
        <v>1</v>
      </c>
      <c r="AM662">
        <v>0</v>
      </c>
      <c r="AN662">
        <v>0</v>
      </c>
      <c r="AO662">
        <v>0</v>
      </c>
      <c r="AP66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62" t="str">
        <f>IF(HRData[[#This Row],[Attrition]]="Yes","Left", IF(HRData[[#This Row],[Attrition_Risk_Score]]&gt;=6,"High",IF(HRData[[#This Row],[Attrition_Risk_Score]]&gt;=3,"Medium","Low")))</f>
        <v>Left</v>
      </c>
      <c r="AR662" t="str">
        <f>IF(HRData[[#This Row],[Attrition_Risk_Level]]&lt;&gt;"High","",HRData[[#This Row],[Attrition_Risk_Score]]*10000-HRData[[#This Row],[EmployeeNumber]])</f>
        <v/>
      </c>
    </row>
    <row r="663" spans="1:44">
      <c r="A663">
        <v>43</v>
      </c>
      <c r="B663" t="str" cm="1">
        <f t="array" ref="B663">_xlfn.IFS(
HRData[[#This Row],[Age]]&lt;=24,"18-24",
HRData[[#This Row],[Age]]&lt;=34,"25-34",
HRData[[#This Row],[Age]]&lt;=44,"35-44",
HRData[[#This Row],[Age]]&lt;=54,"45-54",
HRData[[#This Row],[Age]]&gt;=55,"55+"
)</f>
        <v>35-44</v>
      </c>
      <c r="C663" t="s">
        <v>43</v>
      </c>
      <c r="D663">
        <f>IF(HRData[[#This Row],[Attrition]]="Yes",1,0)</f>
        <v>0</v>
      </c>
      <c r="E663" t="s">
        <v>36</v>
      </c>
      <c r="F663">
        <v>177</v>
      </c>
      <c r="G663" t="s">
        <v>45</v>
      </c>
      <c r="H663">
        <v>8</v>
      </c>
      <c r="I663">
        <v>3</v>
      </c>
      <c r="J663" t="s">
        <v>38</v>
      </c>
      <c r="K663">
        <v>1</v>
      </c>
      <c r="L663">
        <v>920</v>
      </c>
      <c r="M663">
        <v>1</v>
      </c>
      <c r="N663" t="str" cm="1">
        <f t="array" ref="N663">_xlfn.IFS(HRData[[#This Row],[EnvironmentSatisfaction]]=1,"Very Dissatisfied",
HRData[[#This Row],[EnvironmentSatisfaction]]=2,"Dissatisfied",
HRData[[#This Row],[EnvironmentSatisfaction]]=3,"Satisfied",
HRData[[#This Row],[EnvironmentSatisfaction]]=4,"Very Satisfied"
)</f>
        <v>Very Dissatisfied</v>
      </c>
      <c r="O663" t="s">
        <v>39</v>
      </c>
      <c r="P663">
        <v>55</v>
      </c>
      <c r="Q663">
        <v>3</v>
      </c>
      <c r="R663">
        <v>2</v>
      </c>
      <c r="S663" t="s">
        <v>53</v>
      </c>
      <c r="T663">
        <v>2</v>
      </c>
      <c r="U663" t="str" cm="1">
        <f t="array" ref="U663">_xlfn.IFS(
HRData[[#This Row],[JobSatisfaction]]=1,"Very Dissatisfied",
HRData[[#This Row],[JobSatisfaction]]=2,"Dissatisfied",
HRData[[#This Row],[JobSatisfaction]]=3,"Satisfied",
HRData[[#This Row],[JobSatisfaction]]=4,"Very Satisfied"
)</f>
        <v>Dissatisfied</v>
      </c>
      <c r="V663" t="s">
        <v>52</v>
      </c>
      <c r="W663">
        <v>4765</v>
      </c>
      <c r="X663" t="str" cm="1">
        <f t="array" ref="X663">_xlfn.IFS(
HRData[[#This Row],[MonthlyIncome]]&lt;=4000,"Very Low Income",
HRData[[#This Row],[MonthlyIncome]]&lt;=8000,"Low Income",
HRData[[#This Row],[MonthlyIncome]]&lt;=12000,"Moderate Income",
HRData[[#This Row],[MonthlyIncome]]&lt;=16000,"High Income",
HRData[[#This Row],[MonthlyIncome]]&gt;16000,"Very High Income"
)</f>
        <v>Low Income</v>
      </c>
      <c r="Y663">
        <v>23814</v>
      </c>
      <c r="Z663">
        <v>4</v>
      </c>
      <c r="AA663" t="s">
        <v>42</v>
      </c>
      <c r="AB663" t="s">
        <v>43</v>
      </c>
      <c r="AC663">
        <v>21</v>
      </c>
      <c r="AD663" t="str" cm="1">
        <f t="array" ref="AD663">_xlfn.IFS(HRData[[#This Row],[PercentSalaryHike]]&lt;=15,"11-15",HRData[[#This Row],[PercentSalaryHike]]&lt;=20,"16-20",HRData[[#This Row],[PercentSalaryHike]]&gt;=21,"21+")</f>
        <v>21+</v>
      </c>
      <c r="AE663">
        <v>4</v>
      </c>
      <c r="AF663">
        <v>3</v>
      </c>
      <c r="AG663">
        <v>80</v>
      </c>
      <c r="AH663">
        <v>1</v>
      </c>
      <c r="AI663">
        <v>4</v>
      </c>
      <c r="AJ663">
        <v>2</v>
      </c>
      <c r="AK663">
        <v>4</v>
      </c>
      <c r="AL663">
        <v>1</v>
      </c>
      <c r="AM663">
        <v>0</v>
      </c>
      <c r="AN663">
        <v>0</v>
      </c>
      <c r="AO663">
        <v>0</v>
      </c>
      <c r="AP66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663" t="str">
        <f>IF(HRData[[#This Row],[Attrition]]="Yes","Left", IF(HRData[[#This Row],[Attrition_Risk_Score]]&gt;=6,"High",IF(HRData[[#This Row],[Attrition_Risk_Score]]&gt;=3,"Medium","Low")))</f>
        <v>Low</v>
      </c>
      <c r="AR663" t="str">
        <f>IF(HRData[[#This Row],[Attrition_Risk_Level]]&lt;&gt;"High","",HRData[[#This Row],[Attrition_Risk_Score]]*10000-HRData[[#This Row],[EmployeeNumber]])</f>
        <v/>
      </c>
    </row>
    <row r="664" spans="1:44">
      <c r="A664">
        <v>20</v>
      </c>
      <c r="B664" t="str" cm="1">
        <f t="array" ref="B664">_xlfn.IFS(
HRData[[#This Row],[Age]]&lt;=24,"18-24",
HRData[[#This Row],[Age]]&lt;=34,"25-34",
HRData[[#This Row],[Age]]&lt;=44,"35-44",
HRData[[#This Row],[Age]]&lt;=54,"45-54",
HRData[[#This Row],[Age]]&gt;=55,"55+"
)</f>
        <v>18-24</v>
      </c>
      <c r="C664" t="s">
        <v>35</v>
      </c>
      <c r="D664">
        <f>IF(HRData[[#This Row],[Attrition]]="Yes",1,0)</f>
        <v>1</v>
      </c>
      <c r="E664" t="s">
        <v>36</v>
      </c>
      <c r="F664">
        <v>500</v>
      </c>
      <c r="G664" t="s">
        <v>37</v>
      </c>
      <c r="H664">
        <v>2</v>
      </c>
      <c r="I664">
        <v>3</v>
      </c>
      <c r="J664" t="s">
        <v>51</v>
      </c>
      <c r="K664">
        <v>1</v>
      </c>
      <c r="L664">
        <v>922</v>
      </c>
      <c r="M664">
        <v>3</v>
      </c>
      <c r="N664" t="str" cm="1">
        <f t="array" ref="N664">_xlfn.IFS(HRData[[#This Row],[EnvironmentSatisfaction]]=1,"Very Dissatisfied",
HRData[[#This Row],[EnvironmentSatisfaction]]=2,"Dissatisfied",
HRData[[#This Row],[EnvironmentSatisfaction]]=3,"Satisfied",
HRData[[#This Row],[EnvironmentSatisfaction]]=4,"Very Satisfied"
)</f>
        <v>Satisfied</v>
      </c>
      <c r="O664" t="s">
        <v>39</v>
      </c>
      <c r="P664">
        <v>49</v>
      </c>
      <c r="Q664">
        <v>2</v>
      </c>
      <c r="R664">
        <v>1</v>
      </c>
      <c r="S664" t="s">
        <v>57</v>
      </c>
      <c r="T664">
        <v>3</v>
      </c>
      <c r="U664" t="str" cm="1">
        <f t="array" ref="U664">_xlfn.IFS(
HRData[[#This Row],[JobSatisfaction]]=1,"Very Dissatisfied",
HRData[[#This Row],[JobSatisfaction]]=2,"Dissatisfied",
HRData[[#This Row],[JobSatisfaction]]=3,"Satisfied",
HRData[[#This Row],[JobSatisfaction]]=4,"Very Satisfied"
)</f>
        <v>Satisfied</v>
      </c>
      <c r="V664" t="s">
        <v>41</v>
      </c>
      <c r="W664">
        <v>2044</v>
      </c>
      <c r="X664" t="str" cm="1">
        <f t="array" ref="X664">_xlfn.IFS(
HRData[[#This Row],[MonthlyIncome]]&lt;=4000,"Very Low Income",
HRData[[#This Row],[MonthlyIncome]]&lt;=8000,"Low Income",
HRData[[#This Row],[MonthlyIncome]]&lt;=12000,"Moderate Income",
HRData[[#This Row],[MonthlyIncome]]&lt;=16000,"High Income",
HRData[[#This Row],[MonthlyIncome]]&gt;16000,"Very High Income"
)</f>
        <v>Very Low Income</v>
      </c>
      <c r="Y664">
        <v>22052</v>
      </c>
      <c r="Z664">
        <v>1</v>
      </c>
      <c r="AA664" t="s">
        <v>42</v>
      </c>
      <c r="AB664" t="s">
        <v>43</v>
      </c>
      <c r="AC664">
        <v>13</v>
      </c>
      <c r="AD664" t="str" cm="1">
        <f t="array" ref="AD664">_xlfn.IFS(HRData[[#This Row],[PercentSalaryHike]]&lt;=15,"11-15",HRData[[#This Row],[PercentSalaryHike]]&lt;=20,"16-20",HRData[[#This Row],[PercentSalaryHike]]&gt;=21,"21+")</f>
        <v>11-15</v>
      </c>
      <c r="AE664">
        <v>3</v>
      </c>
      <c r="AF664">
        <v>4</v>
      </c>
      <c r="AG664">
        <v>80</v>
      </c>
      <c r="AH664">
        <v>0</v>
      </c>
      <c r="AI664">
        <v>2</v>
      </c>
      <c r="AJ664">
        <v>3</v>
      </c>
      <c r="AK664">
        <v>2</v>
      </c>
      <c r="AL664">
        <v>2</v>
      </c>
      <c r="AM664">
        <v>2</v>
      </c>
      <c r="AN664">
        <v>0</v>
      </c>
      <c r="AO664">
        <v>2</v>
      </c>
      <c r="AP66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64" t="str">
        <f>IF(HRData[[#This Row],[Attrition]]="Yes","Left", IF(HRData[[#This Row],[Attrition_Risk_Score]]&gt;=6,"High",IF(HRData[[#This Row],[Attrition_Risk_Score]]&gt;=3,"Medium","Low")))</f>
        <v>Left</v>
      </c>
      <c r="AR664" t="str">
        <f>IF(HRData[[#This Row],[Attrition_Risk_Level]]&lt;&gt;"High","",HRData[[#This Row],[Attrition_Risk_Score]]*10000-HRData[[#This Row],[EmployeeNumber]])</f>
        <v/>
      </c>
    </row>
    <row r="665" spans="1:44">
      <c r="A665">
        <v>21</v>
      </c>
      <c r="B665" t="str" cm="1">
        <f t="array" ref="B665">_xlfn.IFS(
HRData[[#This Row],[Age]]&lt;=24,"18-24",
HRData[[#This Row],[Age]]&lt;=34,"25-34",
HRData[[#This Row],[Age]]&lt;=44,"35-44",
HRData[[#This Row],[Age]]&lt;=54,"45-54",
HRData[[#This Row],[Age]]&gt;=55,"55+"
)</f>
        <v>18-24</v>
      </c>
      <c r="C665" t="s">
        <v>35</v>
      </c>
      <c r="D665">
        <f>IF(HRData[[#This Row],[Attrition]]="Yes",1,0)</f>
        <v>1</v>
      </c>
      <c r="E665" t="s">
        <v>36</v>
      </c>
      <c r="F665">
        <v>1427</v>
      </c>
      <c r="G665" t="s">
        <v>45</v>
      </c>
      <c r="H665">
        <v>18</v>
      </c>
      <c r="I665">
        <v>1</v>
      </c>
      <c r="J665" t="s">
        <v>49</v>
      </c>
      <c r="K665">
        <v>1</v>
      </c>
      <c r="L665">
        <v>923</v>
      </c>
      <c r="M665">
        <v>4</v>
      </c>
      <c r="N665" t="str" cm="1">
        <f t="array" ref="N665">_xlfn.IFS(HRData[[#This Row],[EnvironmentSatisfaction]]=1,"Very Dissatisfied",
HRData[[#This Row],[EnvironmentSatisfaction]]=2,"Dissatisfied",
HRData[[#This Row],[EnvironmentSatisfaction]]=3,"Satisfied",
HRData[[#This Row],[EnvironmentSatisfaction]]=4,"Very Satisfied"
)</f>
        <v>Very Satisfied</v>
      </c>
      <c r="O665" t="s">
        <v>39</v>
      </c>
      <c r="P665">
        <v>65</v>
      </c>
      <c r="Q665">
        <v>3</v>
      </c>
      <c r="R665">
        <v>1</v>
      </c>
      <c r="S665" t="s">
        <v>47</v>
      </c>
      <c r="T665">
        <v>4</v>
      </c>
      <c r="U665" t="str" cm="1">
        <f t="array" ref="U665">_xlfn.IFS(
HRData[[#This Row],[JobSatisfaction]]=1,"Very Dissatisfied",
HRData[[#This Row],[JobSatisfaction]]=2,"Dissatisfied",
HRData[[#This Row],[JobSatisfaction]]=3,"Satisfied",
HRData[[#This Row],[JobSatisfaction]]=4,"Very Satisfied"
)</f>
        <v>Very Satisfied</v>
      </c>
      <c r="V665" t="s">
        <v>41</v>
      </c>
      <c r="W665">
        <v>2693</v>
      </c>
      <c r="X665" t="str" cm="1">
        <f t="array" ref="X665">_xlfn.IFS(
HRData[[#This Row],[MonthlyIncome]]&lt;=4000,"Very Low Income",
HRData[[#This Row],[MonthlyIncome]]&lt;=8000,"Low Income",
HRData[[#This Row],[MonthlyIncome]]&lt;=12000,"Moderate Income",
HRData[[#This Row],[MonthlyIncome]]&lt;=16000,"High Income",
HRData[[#This Row],[MonthlyIncome]]&gt;16000,"Very High Income"
)</f>
        <v>Very Low Income</v>
      </c>
      <c r="Y665">
        <v>8870</v>
      </c>
      <c r="Z665">
        <v>1</v>
      </c>
      <c r="AA665" t="s">
        <v>42</v>
      </c>
      <c r="AB665" t="s">
        <v>43</v>
      </c>
      <c r="AC665">
        <v>19</v>
      </c>
      <c r="AD665" t="str" cm="1">
        <f t="array" ref="AD665">_xlfn.IFS(HRData[[#This Row],[PercentSalaryHike]]&lt;=15,"11-15",HRData[[#This Row],[PercentSalaryHike]]&lt;=20,"16-20",HRData[[#This Row],[PercentSalaryHike]]&gt;=21,"21+")</f>
        <v>16-20</v>
      </c>
      <c r="AE665">
        <v>3</v>
      </c>
      <c r="AF665">
        <v>1</v>
      </c>
      <c r="AG665">
        <v>80</v>
      </c>
      <c r="AH665">
        <v>0</v>
      </c>
      <c r="AI665">
        <v>1</v>
      </c>
      <c r="AJ665">
        <v>3</v>
      </c>
      <c r="AK665">
        <v>2</v>
      </c>
      <c r="AL665">
        <v>1</v>
      </c>
      <c r="AM665">
        <v>0</v>
      </c>
      <c r="AN665">
        <v>0</v>
      </c>
      <c r="AO665">
        <v>0</v>
      </c>
      <c r="AP66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65" t="str">
        <f>IF(HRData[[#This Row],[Attrition]]="Yes","Left", IF(HRData[[#This Row],[Attrition_Risk_Score]]&gt;=6,"High",IF(HRData[[#This Row],[Attrition_Risk_Score]]&gt;=3,"Medium","Low")))</f>
        <v>Left</v>
      </c>
      <c r="AR665" t="str">
        <f>IF(HRData[[#This Row],[Attrition_Risk_Level]]&lt;&gt;"High","",HRData[[#This Row],[Attrition_Risk_Score]]*10000-HRData[[#This Row],[EmployeeNumber]])</f>
        <v/>
      </c>
    </row>
    <row r="666" spans="1:44">
      <c r="A666">
        <v>36</v>
      </c>
      <c r="B666" t="str" cm="1">
        <f t="array" ref="B666">_xlfn.IFS(
HRData[[#This Row],[Age]]&lt;=24,"18-24",
HRData[[#This Row],[Age]]&lt;=34,"25-34",
HRData[[#This Row],[Age]]&lt;=44,"35-44",
HRData[[#This Row],[Age]]&lt;=54,"45-54",
HRData[[#This Row],[Age]]&gt;=55,"55+"
)</f>
        <v>35-44</v>
      </c>
      <c r="C666" t="s">
        <v>43</v>
      </c>
      <c r="D666">
        <f>IF(HRData[[#This Row],[Attrition]]="Yes",1,0)</f>
        <v>0</v>
      </c>
      <c r="E666" t="s">
        <v>36</v>
      </c>
      <c r="F666">
        <v>1425</v>
      </c>
      <c r="G666" t="s">
        <v>45</v>
      </c>
      <c r="H666">
        <v>14</v>
      </c>
      <c r="I666">
        <v>1</v>
      </c>
      <c r="J666" t="s">
        <v>38</v>
      </c>
      <c r="K666">
        <v>1</v>
      </c>
      <c r="L666">
        <v>924</v>
      </c>
      <c r="M666">
        <v>3</v>
      </c>
      <c r="N666" t="str" cm="1">
        <f t="array" ref="N666">_xlfn.IFS(HRData[[#This Row],[EnvironmentSatisfaction]]=1,"Very Dissatisfied",
HRData[[#This Row],[EnvironmentSatisfaction]]=2,"Dissatisfied",
HRData[[#This Row],[EnvironmentSatisfaction]]=3,"Satisfied",
HRData[[#This Row],[EnvironmentSatisfaction]]=4,"Very Satisfied"
)</f>
        <v>Satisfied</v>
      </c>
      <c r="O666" t="s">
        <v>46</v>
      </c>
      <c r="P666">
        <v>68</v>
      </c>
      <c r="Q666">
        <v>3</v>
      </c>
      <c r="R666">
        <v>2</v>
      </c>
      <c r="S666" t="s">
        <v>54</v>
      </c>
      <c r="T666">
        <v>4</v>
      </c>
      <c r="U666" t="str" cm="1">
        <f t="array" ref="U666">_xlfn.IFS(
HRData[[#This Row],[JobSatisfaction]]=1,"Very Dissatisfied",
HRData[[#This Row],[JobSatisfaction]]=2,"Dissatisfied",
HRData[[#This Row],[JobSatisfaction]]=3,"Satisfied",
HRData[[#This Row],[JobSatisfaction]]=4,"Very Satisfied"
)</f>
        <v>Very Satisfied</v>
      </c>
      <c r="V666" t="s">
        <v>48</v>
      </c>
      <c r="W666">
        <v>6586</v>
      </c>
      <c r="X666" t="str" cm="1">
        <f t="array" ref="X666">_xlfn.IFS(
HRData[[#This Row],[MonthlyIncome]]&lt;=4000,"Very Low Income",
HRData[[#This Row],[MonthlyIncome]]&lt;=8000,"Low Income",
HRData[[#This Row],[MonthlyIncome]]&lt;=12000,"Moderate Income",
HRData[[#This Row],[MonthlyIncome]]&lt;=16000,"High Income",
HRData[[#This Row],[MonthlyIncome]]&gt;16000,"Very High Income"
)</f>
        <v>Low Income</v>
      </c>
      <c r="Y666">
        <v>4821</v>
      </c>
      <c r="Z666">
        <v>0</v>
      </c>
      <c r="AA666" t="s">
        <v>42</v>
      </c>
      <c r="AB666" t="s">
        <v>35</v>
      </c>
      <c r="AC666">
        <v>17</v>
      </c>
      <c r="AD666" t="str" cm="1">
        <f t="array" ref="AD666">_xlfn.IFS(HRData[[#This Row],[PercentSalaryHike]]&lt;=15,"11-15",HRData[[#This Row],[PercentSalaryHike]]&lt;=20,"16-20",HRData[[#This Row],[PercentSalaryHike]]&gt;=21,"21+")</f>
        <v>16-20</v>
      </c>
      <c r="AE666">
        <v>3</v>
      </c>
      <c r="AF666">
        <v>1</v>
      </c>
      <c r="AG666">
        <v>80</v>
      </c>
      <c r="AH666">
        <v>1</v>
      </c>
      <c r="AI666">
        <v>17</v>
      </c>
      <c r="AJ666">
        <v>2</v>
      </c>
      <c r="AK666">
        <v>2</v>
      </c>
      <c r="AL666">
        <v>16</v>
      </c>
      <c r="AM666">
        <v>8</v>
      </c>
      <c r="AN666">
        <v>4</v>
      </c>
      <c r="AO666">
        <v>11</v>
      </c>
      <c r="AP66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66" t="str">
        <f>IF(HRData[[#This Row],[Attrition]]="Yes","Left", IF(HRData[[#This Row],[Attrition_Risk_Score]]&gt;=6,"High",IF(HRData[[#This Row],[Attrition_Risk_Score]]&gt;=3,"Medium","Low")))</f>
        <v>Medium</v>
      </c>
      <c r="AR666" t="str">
        <f>IF(HRData[[#This Row],[Attrition_Risk_Level]]&lt;&gt;"High","",HRData[[#This Row],[Attrition_Risk_Score]]*10000-HRData[[#This Row],[EmployeeNumber]])</f>
        <v/>
      </c>
    </row>
    <row r="667" spans="1:44">
      <c r="A667">
        <v>47</v>
      </c>
      <c r="B667" t="str" cm="1">
        <f t="array" ref="B667">_xlfn.IFS(
HRData[[#This Row],[Age]]&lt;=24,"18-24",
HRData[[#This Row],[Age]]&lt;=34,"25-34",
HRData[[#This Row],[Age]]&lt;=44,"35-44",
HRData[[#This Row],[Age]]&lt;=54,"45-54",
HRData[[#This Row],[Age]]&gt;=55,"55+"
)</f>
        <v>45-54</v>
      </c>
      <c r="C667" t="s">
        <v>43</v>
      </c>
      <c r="D667">
        <f>IF(HRData[[#This Row],[Attrition]]="Yes",1,0)</f>
        <v>0</v>
      </c>
      <c r="E667" t="s">
        <v>36</v>
      </c>
      <c r="F667">
        <v>1454</v>
      </c>
      <c r="G667" t="s">
        <v>37</v>
      </c>
      <c r="H667">
        <v>2</v>
      </c>
      <c r="I667">
        <v>4</v>
      </c>
      <c r="J667" t="s">
        <v>38</v>
      </c>
      <c r="K667">
        <v>1</v>
      </c>
      <c r="L667">
        <v>925</v>
      </c>
      <c r="M667">
        <v>4</v>
      </c>
      <c r="N667" t="str" cm="1">
        <f t="array" ref="N667">_xlfn.IFS(HRData[[#This Row],[EnvironmentSatisfaction]]=1,"Very Dissatisfied",
HRData[[#This Row],[EnvironmentSatisfaction]]=2,"Dissatisfied",
HRData[[#This Row],[EnvironmentSatisfaction]]=3,"Satisfied",
HRData[[#This Row],[EnvironmentSatisfaction]]=4,"Very Satisfied"
)</f>
        <v>Very Satisfied</v>
      </c>
      <c r="O667" t="s">
        <v>39</v>
      </c>
      <c r="P667">
        <v>65</v>
      </c>
      <c r="Q667">
        <v>2</v>
      </c>
      <c r="R667">
        <v>1</v>
      </c>
      <c r="S667" t="s">
        <v>57</v>
      </c>
      <c r="T667">
        <v>4</v>
      </c>
      <c r="U667" t="str" cm="1">
        <f t="array" ref="U667">_xlfn.IFS(
HRData[[#This Row],[JobSatisfaction]]=1,"Very Dissatisfied",
HRData[[#This Row],[JobSatisfaction]]=2,"Dissatisfied",
HRData[[#This Row],[JobSatisfaction]]=3,"Satisfied",
HRData[[#This Row],[JobSatisfaction]]=4,"Very Satisfied"
)</f>
        <v>Very Satisfied</v>
      </c>
      <c r="V667" t="s">
        <v>41</v>
      </c>
      <c r="W667">
        <v>3294</v>
      </c>
      <c r="X667" t="str" cm="1">
        <f t="array" ref="X667">_xlfn.IFS(
HRData[[#This Row],[MonthlyIncome]]&lt;=4000,"Very Low Income",
HRData[[#This Row],[MonthlyIncome]]&lt;=8000,"Low Income",
HRData[[#This Row],[MonthlyIncome]]&lt;=12000,"Moderate Income",
HRData[[#This Row],[MonthlyIncome]]&lt;=16000,"High Income",
HRData[[#This Row],[MonthlyIncome]]&gt;16000,"Very High Income"
)</f>
        <v>Very Low Income</v>
      </c>
      <c r="Y667">
        <v>13137</v>
      </c>
      <c r="Z667">
        <v>1</v>
      </c>
      <c r="AA667" t="s">
        <v>42</v>
      </c>
      <c r="AB667" t="s">
        <v>35</v>
      </c>
      <c r="AC667">
        <v>18</v>
      </c>
      <c r="AD667" t="str" cm="1">
        <f t="array" ref="AD667">_xlfn.IFS(HRData[[#This Row],[PercentSalaryHike]]&lt;=15,"11-15",HRData[[#This Row],[PercentSalaryHike]]&lt;=20,"16-20",HRData[[#This Row],[PercentSalaryHike]]&gt;=21,"21+")</f>
        <v>16-20</v>
      </c>
      <c r="AE667">
        <v>3</v>
      </c>
      <c r="AF667">
        <v>1</v>
      </c>
      <c r="AG667">
        <v>80</v>
      </c>
      <c r="AH667">
        <v>0</v>
      </c>
      <c r="AI667">
        <v>3</v>
      </c>
      <c r="AJ667">
        <v>3</v>
      </c>
      <c r="AK667">
        <v>2</v>
      </c>
      <c r="AL667">
        <v>3</v>
      </c>
      <c r="AM667">
        <v>2</v>
      </c>
      <c r="AN667">
        <v>1</v>
      </c>
      <c r="AO667">
        <v>2</v>
      </c>
      <c r="AP66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667" t="str">
        <f>IF(HRData[[#This Row],[Attrition]]="Yes","Left", IF(HRData[[#This Row],[Attrition_Risk_Score]]&gt;=6,"High",IF(HRData[[#This Row],[Attrition_Risk_Score]]&gt;=3,"Medium","Low")))</f>
        <v>High</v>
      </c>
      <c r="AR667">
        <f>IF(HRData[[#This Row],[Attrition_Risk_Level]]&lt;&gt;"High","",HRData[[#This Row],[Attrition_Risk_Score]]*10000-HRData[[#This Row],[EmployeeNumber]])</f>
        <v>59075</v>
      </c>
    </row>
    <row r="668" spans="1:44">
      <c r="A668">
        <v>22</v>
      </c>
      <c r="B668" t="str" cm="1">
        <f t="array" ref="B668">_xlfn.IFS(
HRData[[#This Row],[Age]]&lt;=24,"18-24",
HRData[[#This Row],[Age]]&lt;=34,"25-34",
HRData[[#This Row],[Age]]&lt;=44,"35-44",
HRData[[#This Row],[Age]]&lt;=54,"45-54",
HRData[[#This Row],[Age]]&gt;=55,"55+"
)</f>
        <v>18-24</v>
      </c>
      <c r="C668" t="s">
        <v>35</v>
      </c>
      <c r="D668">
        <f>IF(HRData[[#This Row],[Attrition]]="Yes",1,0)</f>
        <v>1</v>
      </c>
      <c r="E668" t="s">
        <v>36</v>
      </c>
      <c r="F668">
        <v>617</v>
      </c>
      <c r="G668" t="s">
        <v>45</v>
      </c>
      <c r="H668">
        <v>3</v>
      </c>
      <c r="I668">
        <v>1</v>
      </c>
      <c r="J668" t="s">
        <v>38</v>
      </c>
      <c r="K668">
        <v>1</v>
      </c>
      <c r="L668">
        <v>926</v>
      </c>
      <c r="M668">
        <v>2</v>
      </c>
      <c r="N668" t="str" cm="1">
        <f t="array" ref="N668">_xlfn.IFS(HRData[[#This Row],[EnvironmentSatisfaction]]=1,"Very Dissatisfied",
HRData[[#This Row],[EnvironmentSatisfaction]]=2,"Dissatisfied",
HRData[[#This Row],[EnvironmentSatisfaction]]=3,"Satisfied",
HRData[[#This Row],[EnvironmentSatisfaction]]=4,"Very Satisfied"
)</f>
        <v>Dissatisfied</v>
      </c>
      <c r="O668" t="s">
        <v>39</v>
      </c>
      <c r="P668">
        <v>34</v>
      </c>
      <c r="Q668">
        <v>3</v>
      </c>
      <c r="R668">
        <v>2</v>
      </c>
      <c r="S668" t="s">
        <v>53</v>
      </c>
      <c r="T668">
        <v>3</v>
      </c>
      <c r="U668" t="str" cm="1">
        <f t="array" ref="U668">_xlfn.IFS(
HRData[[#This Row],[JobSatisfaction]]=1,"Very Dissatisfied",
HRData[[#This Row],[JobSatisfaction]]=2,"Dissatisfied",
HRData[[#This Row],[JobSatisfaction]]=3,"Satisfied",
HRData[[#This Row],[JobSatisfaction]]=4,"Very Satisfied"
)</f>
        <v>Satisfied</v>
      </c>
      <c r="V668" t="s">
        <v>48</v>
      </c>
      <c r="W668">
        <v>4171</v>
      </c>
      <c r="X668" t="str" cm="1">
        <f t="array" ref="X668">_xlfn.IFS(
HRData[[#This Row],[MonthlyIncome]]&lt;=4000,"Very Low Income",
HRData[[#This Row],[MonthlyIncome]]&lt;=8000,"Low Income",
HRData[[#This Row],[MonthlyIncome]]&lt;=12000,"Moderate Income",
HRData[[#This Row],[MonthlyIncome]]&lt;=16000,"High Income",
HRData[[#This Row],[MonthlyIncome]]&gt;16000,"Very High Income"
)</f>
        <v>Low Income</v>
      </c>
      <c r="Y668">
        <v>10022</v>
      </c>
      <c r="Z668">
        <v>0</v>
      </c>
      <c r="AA668" t="s">
        <v>42</v>
      </c>
      <c r="AB668" t="s">
        <v>35</v>
      </c>
      <c r="AC668">
        <v>19</v>
      </c>
      <c r="AD668" t="str" cm="1">
        <f t="array" ref="AD668">_xlfn.IFS(HRData[[#This Row],[PercentSalaryHike]]&lt;=15,"11-15",HRData[[#This Row],[PercentSalaryHike]]&lt;=20,"16-20",HRData[[#This Row],[PercentSalaryHike]]&gt;=21,"21+")</f>
        <v>16-20</v>
      </c>
      <c r="AE668">
        <v>3</v>
      </c>
      <c r="AF668">
        <v>1</v>
      </c>
      <c r="AG668">
        <v>80</v>
      </c>
      <c r="AH668">
        <v>1</v>
      </c>
      <c r="AI668">
        <v>4</v>
      </c>
      <c r="AJ668">
        <v>3</v>
      </c>
      <c r="AK668">
        <v>4</v>
      </c>
      <c r="AL668">
        <v>3</v>
      </c>
      <c r="AM668">
        <v>2</v>
      </c>
      <c r="AN668">
        <v>0</v>
      </c>
      <c r="AO668">
        <v>2</v>
      </c>
      <c r="AP66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68" t="str">
        <f>IF(HRData[[#This Row],[Attrition]]="Yes","Left", IF(HRData[[#This Row],[Attrition_Risk_Score]]&gt;=6,"High",IF(HRData[[#This Row],[Attrition_Risk_Score]]&gt;=3,"Medium","Low")))</f>
        <v>Left</v>
      </c>
      <c r="AR668" t="str">
        <f>IF(HRData[[#This Row],[Attrition_Risk_Level]]&lt;&gt;"High","",HRData[[#This Row],[Attrition_Risk_Score]]*10000-HRData[[#This Row],[EmployeeNumber]])</f>
        <v/>
      </c>
    </row>
    <row r="669" spans="1:44">
      <c r="A669">
        <v>41</v>
      </c>
      <c r="B669" t="str" cm="1">
        <f t="array" ref="B669">_xlfn.IFS(
HRData[[#This Row],[Age]]&lt;=24,"18-24",
HRData[[#This Row],[Age]]&lt;=34,"25-34",
HRData[[#This Row],[Age]]&lt;=44,"35-44",
HRData[[#This Row],[Age]]&lt;=54,"45-54",
HRData[[#This Row],[Age]]&gt;=55,"55+"
)</f>
        <v>35-44</v>
      </c>
      <c r="C669" t="s">
        <v>35</v>
      </c>
      <c r="D669">
        <f>IF(HRData[[#This Row],[Attrition]]="Yes",1,0)</f>
        <v>1</v>
      </c>
      <c r="E669" t="s">
        <v>36</v>
      </c>
      <c r="F669">
        <v>1085</v>
      </c>
      <c r="G669" t="s">
        <v>45</v>
      </c>
      <c r="H669">
        <v>2</v>
      </c>
      <c r="I669">
        <v>4</v>
      </c>
      <c r="J669" t="s">
        <v>38</v>
      </c>
      <c r="K669">
        <v>1</v>
      </c>
      <c r="L669">
        <v>927</v>
      </c>
      <c r="M669">
        <v>2</v>
      </c>
      <c r="N669" t="str" cm="1">
        <f t="array" ref="N669">_xlfn.IFS(HRData[[#This Row],[EnvironmentSatisfaction]]=1,"Very Dissatisfied",
HRData[[#This Row],[EnvironmentSatisfaction]]=2,"Dissatisfied",
HRData[[#This Row],[EnvironmentSatisfaction]]=3,"Satisfied",
HRData[[#This Row],[EnvironmentSatisfaction]]=4,"Very Satisfied"
)</f>
        <v>Dissatisfied</v>
      </c>
      <c r="O669" t="s">
        <v>39</v>
      </c>
      <c r="P669">
        <v>57</v>
      </c>
      <c r="Q669">
        <v>1</v>
      </c>
      <c r="R669">
        <v>1</v>
      </c>
      <c r="S669" t="s">
        <v>50</v>
      </c>
      <c r="T669">
        <v>4</v>
      </c>
      <c r="U669" t="str" cm="1">
        <f t="array" ref="U669">_xlfn.IFS(
HRData[[#This Row],[JobSatisfaction]]=1,"Very Dissatisfied",
HRData[[#This Row],[JobSatisfaction]]=2,"Dissatisfied",
HRData[[#This Row],[JobSatisfaction]]=3,"Satisfied",
HRData[[#This Row],[JobSatisfaction]]=4,"Very Satisfied"
)</f>
        <v>Very Satisfied</v>
      </c>
      <c r="V669" t="s">
        <v>52</v>
      </c>
      <c r="W669">
        <v>2778</v>
      </c>
      <c r="X669" t="str" cm="1">
        <f t="array" ref="X669">_xlfn.IFS(
HRData[[#This Row],[MonthlyIncome]]&lt;=4000,"Very Low Income",
HRData[[#This Row],[MonthlyIncome]]&lt;=8000,"Low Income",
HRData[[#This Row],[MonthlyIncome]]&lt;=12000,"Moderate Income",
HRData[[#This Row],[MonthlyIncome]]&lt;=16000,"High Income",
HRData[[#This Row],[MonthlyIncome]]&gt;16000,"Very High Income"
)</f>
        <v>Very Low Income</v>
      </c>
      <c r="Y669">
        <v>17725</v>
      </c>
      <c r="Z669">
        <v>4</v>
      </c>
      <c r="AA669" t="s">
        <v>42</v>
      </c>
      <c r="AB669" t="s">
        <v>35</v>
      </c>
      <c r="AC669">
        <v>13</v>
      </c>
      <c r="AD669" t="str" cm="1">
        <f t="array" ref="AD669">_xlfn.IFS(HRData[[#This Row],[PercentSalaryHike]]&lt;=15,"11-15",HRData[[#This Row],[PercentSalaryHike]]&lt;=20,"16-20",HRData[[#This Row],[PercentSalaryHike]]&gt;=21,"21+")</f>
        <v>11-15</v>
      </c>
      <c r="AE669">
        <v>3</v>
      </c>
      <c r="AF669">
        <v>3</v>
      </c>
      <c r="AG669">
        <v>80</v>
      </c>
      <c r="AH669">
        <v>1</v>
      </c>
      <c r="AI669">
        <v>10</v>
      </c>
      <c r="AJ669">
        <v>1</v>
      </c>
      <c r="AK669">
        <v>2</v>
      </c>
      <c r="AL669">
        <v>7</v>
      </c>
      <c r="AM669">
        <v>7</v>
      </c>
      <c r="AN669">
        <v>1</v>
      </c>
      <c r="AO669">
        <v>0</v>
      </c>
      <c r="AP66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69" t="str">
        <f>IF(HRData[[#This Row],[Attrition]]="Yes","Left", IF(HRData[[#This Row],[Attrition_Risk_Score]]&gt;=6,"High",IF(HRData[[#This Row],[Attrition_Risk_Score]]&gt;=3,"Medium","Low")))</f>
        <v>Left</v>
      </c>
      <c r="AR669" t="str">
        <f>IF(HRData[[#This Row],[Attrition_Risk_Level]]&lt;&gt;"High","",HRData[[#This Row],[Attrition_Risk_Score]]*10000-HRData[[#This Row],[EmployeeNumber]])</f>
        <v/>
      </c>
    </row>
    <row r="670" spans="1:44">
      <c r="A670">
        <v>28</v>
      </c>
      <c r="B670" t="str" cm="1">
        <f t="array" ref="B670">_xlfn.IFS(
HRData[[#This Row],[Age]]&lt;=24,"18-24",
HRData[[#This Row],[Age]]&lt;=34,"25-34",
HRData[[#This Row],[Age]]&lt;=44,"35-44",
HRData[[#This Row],[Age]]&lt;=54,"45-54",
HRData[[#This Row],[Age]]&gt;=55,"55+"
)</f>
        <v>25-34</v>
      </c>
      <c r="C670" t="s">
        <v>43</v>
      </c>
      <c r="D670">
        <f>IF(HRData[[#This Row],[Attrition]]="Yes",1,0)</f>
        <v>0</v>
      </c>
      <c r="E670" t="s">
        <v>36</v>
      </c>
      <c r="F670">
        <v>995</v>
      </c>
      <c r="G670" t="s">
        <v>45</v>
      </c>
      <c r="H670">
        <v>9</v>
      </c>
      <c r="I670">
        <v>3</v>
      </c>
      <c r="J670" t="s">
        <v>51</v>
      </c>
      <c r="K670">
        <v>1</v>
      </c>
      <c r="L670">
        <v>930</v>
      </c>
      <c r="M670">
        <v>3</v>
      </c>
      <c r="N670" t="str" cm="1">
        <f t="array" ref="N670">_xlfn.IFS(HRData[[#This Row],[EnvironmentSatisfaction]]=1,"Very Dissatisfied",
HRData[[#This Row],[EnvironmentSatisfaction]]=2,"Dissatisfied",
HRData[[#This Row],[EnvironmentSatisfaction]]=3,"Satisfied",
HRData[[#This Row],[EnvironmentSatisfaction]]=4,"Very Satisfied"
)</f>
        <v>Satisfied</v>
      </c>
      <c r="O670" t="s">
        <v>39</v>
      </c>
      <c r="P670">
        <v>77</v>
      </c>
      <c r="Q670">
        <v>3</v>
      </c>
      <c r="R670">
        <v>1</v>
      </c>
      <c r="S670" t="s">
        <v>47</v>
      </c>
      <c r="T670">
        <v>3</v>
      </c>
      <c r="U670" t="str" cm="1">
        <f t="array" ref="U670">_xlfn.IFS(
HRData[[#This Row],[JobSatisfaction]]=1,"Very Dissatisfied",
HRData[[#This Row],[JobSatisfaction]]=2,"Dissatisfied",
HRData[[#This Row],[JobSatisfaction]]=3,"Satisfied",
HRData[[#This Row],[JobSatisfaction]]=4,"Very Satisfied"
)</f>
        <v>Satisfied</v>
      </c>
      <c r="V670" t="s">
        <v>52</v>
      </c>
      <c r="W670">
        <v>2377</v>
      </c>
      <c r="X670" t="str" cm="1">
        <f t="array" ref="X670">_xlfn.IFS(
HRData[[#This Row],[MonthlyIncome]]&lt;=4000,"Very Low Income",
HRData[[#This Row],[MonthlyIncome]]&lt;=8000,"Low Income",
HRData[[#This Row],[MonthlyIncome]]&lt;=12000,"Moderate Income",
HRData[[#This Row],[MonthlyIncome]]&lt;=16000,"High Income",
HRData[[#This Row],[MonthlyIncome]]&gt;16000,"Very High Income"
)</f>
        <v>Very Low Income</v>
      </c>
      <c r="Y670">
        <v>9834</v>
      </c>
      <c r="Z670">
        <v>5</v>
      </c>
      <c r="AA670" t="s">
        <v>42</v>
      </c>
      <c r="AB670" t="s">
        <v>43</v>
      </c>
      <c r="AC670">
        <v>18</v>
      </c>
      <c r="AD670" t="str" cm="1">
        <f t="array" ref="AD670">_xlfn.IFS(HRData[[#This Row],[PercentSalaryHike]]&lt;=15,"11-15",HRData[[#This Row],[PercentSalaryHike]]&lt;=20,"16-20",HRData[[#This Row],[PercentSalaryHike]]&gt;=21,"21+")</f>
        <v>16-20</v>
      </c>
      <c r="AE670">
        <v>3</v>
      </c>
      <c r="AF670">
        <v>2</v>
      </c>
      <c r="AG670">
        <v>80</v>
      </c>
      <c r="AH670">
        <v>1</v>
      </c>
      <c r="AI670">
        <v>6</v>
      </c>
      <c r="AJ670">
        <v>2</v>
      </c>
      <c r="AK670">
        <v>3</v>
      </c>
      <c r="AL670">
        <v>2</v>
      </c>
      <c r="AM670">
        <v>2</v>
      </c>
      <c r="AN670">
        <v>2</v>
      </c>
      <c r="AO670">
        <v>2</v>
      </c>
      <c r="AP67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70" t="str">
        <f>IF(HRData[[#This Row],[Attrition]]="Yes","Left", IF(HRData[[#This Row],[Attrition_Risk_Score]]&gt;=6,"High",IF(HRData[[#This Row],[Attrition_Risk_Score]]&gt;=3,"Medium","Low")))</f>
        <v>Medium</v>
      </c>
      <c r="AR670" t="str">
        <f>IF(HRData[[#This Row],[Attrition_Risk_Level]]&lt;&gt;"High","",HRData[[#This Row],[Attrition_Risk_Score]]*10000-HRData[[#This Row],[EmployeeNumber]])</f>
        <v/>
      </c>
    </row>
    <row r="671" spans="1:44">
      <c r="A671">
        <v>39</v>
      </c>
      <c r="B671" t="str" cm="1">
        <f t="array" ref="B671">_xlfn.IFS(
HRData[[#This Row],[Age]]&lt;=24,"18-24",
HRData[[#This Row],[Age]]&lt;=34,"25-34",
HRData[[#This Row],[Age]]&lt;=44,"35-44",
HRData[[#This Row],[Age]]&lt;=54,"45-54",
HRData[[#This Row],[Age]]&gt;=55,"55+"
)</f>
        <v>35-44</v>
      </c>
      <c r="C671" t="s">
        <v>35</v>
      </c>
      <c r="D671">
        <f>IF(HRData[[#This Row],[Attrition]]="Yes",1,0)</f>
        <v>1</v>
      </c>
      <c r="E671" t="s">
        <v>36</v>
      </c>
      <c r="F671">
        <v>1122</v>
      </c>
      <c r="G671" t="s">
        <v>45</v>
      </c>
      <c r="H671">
        <v>6</v>
      </c>
      <c r="I671">
        <v>3</v>
      </c>
      <c r="J671" t="s">
        <v>51</v>
      </c>
      <c r="K671">
        <v>1</v>
      </c>
      <c r="L671">
        <v>932</v>
      </c>
      <c r="M671">
        <v>4</v>
      </c>
      <c r="N671" t="str" cm="1">
        <f t="array" ref="N671">_xlfn.IFS(HRData[[#This Row],[EnvironmentSatisfaction]]=1,"Very Dissatisfied",
HRData[[#This Row],[EnvironmentSatisfaction]]=2,"Dissatisfied",
HRData[[#This Row],[EnvironmentSatisfaction]]=3,"Satisfied",
HRData[[#This Row],[EnvironmentSatisfaction]]=4,"Very Satisfied"
)</f>
        <v>Very Satisfied</v>
      </c>
      <c r="O671" t="s">
        <v>46</v>
      </c>
      <c r="P671">
        <v>70</v>
      </c>
      <c r="Q671">
        <v>3</v>
      </c>
      <c r="R671">
        <v>1</v>
      </c>
      <c r="S671" t="s">
        <v>50</v>
      </c>
      <c r="T671">
        <v>1</v>
      </c>
      <c r="U671" t="str" cm="1">
        <f t="array" ref="U671">_xlfn.IFS(
HRData[[#This Row],[JobSatisfaction]]=1,"Very Dissatisfied",
HRData[[#This Row],[JobSatisfaction]]=2,"Dissatisfied",
HRData[[#This Row],[JobSatisfaction]]=3,"Satisfied",
HRData[[#This Row],[JobSatisfaction]]=4,"Very Satisfied"
)</f>
        <v>Very Dissatisfied</v>
      </c>
      <c r="V671" t="s">
        <v>48</v>
      </c>
      <c r="W671">
        <v>2404</v>
      </c>
      <c r="X671" t="str" cm="1">
        <f t="array" ref="X671">_xlfn.IFS(
HRData[[#This Row],[MonthlyIncome]]&lt;=4000,"Very Low Income",
HRData[[#This Row],[MonthlyIncome]]&lt;=8000,"Low Income",
HRData[[#This Row],[MonthlyIncome]]&lt;=12000,"Moderate Income",
HRData[[#This Row],[MonthlyIncome]]&lt;=16000,"High Income",
HRData[[#This Row],[MonthlyIncome]]&gt;16000,"Very High Income"
)</f>
        <v>Very Low Income</v>
      </c>
      <c r="Y671">
        <v>4303</v>
      </c>
      <c r="Z671">
        <v>7</v>
      </c>
      <c r="AA671" t="s">
        <v>42</v>
      </c>
      <c r="AB671" t="s">
        <v>35</v>
      </c>
      <c r="AC671">
        <v>21</v>
      </c>
      <c r="AD671" t="str" cm="1">
        <f t="array" ref="AD671">_xlfn.IFS(HRData[[#This Row],[PercentSalaryHike]]&lt;=15,"11-15",HRData[[#This Row],[PercentSalaryHike]]&lt;=20,"16-20",HRData[[#This Row],[PercentSalaryHike]]&gt;=21,"21+")</f>
        <v>21+</v>
      </c>
      <c r="AE671">
        <v>4</v>
      </c>
      <c r="AF671">
        <v>4</v>
      </c>
      <c r="AG671">
        <v>80</v>
      </c>
      <c r="AH671">
        <v>0</v>
      </c>
      <c r="AI671">
        <v>8</v>
      </c>
      <c r="AJ671">
        <v>2</v>
      </c>
      <c r="AK671">
        <v>1</v>
      </c>
      <c r="AL671">
        <v>2</v>
      </c>
      <c r="AM671">
        <v>2</v>
      </c>
      <c r="AN671">
        <v>2</v>
      </c>
      <c r="AO671">
        <v>2</v>
      </c>
      <c r="AP67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71" t="str">
        <f>IF(HRData[[#This Row],[Attrition]]="Yes","Left", IF(HRData[[#This Row],[Attrition_Risk_Score]]&gt;=6,"High",IF(HRData[[#This Row],[Attrition_Risk_Score]]&gt;=3,"Medium","Low")))</f>
        <v>Left</v>
      </c>
      <c r="AR671" t="str">
        <f>IF(HRData[[#This Row],[Attrition_Risk_Level]]&lt;&gt;"High","",HRData[[#This Row],[Attrition_Risk_Score]]*10000-HRData[[#This Row],[EmployeeNumber]])</f>
        <v/>
      </c>
    </row>
    <row r="672" spans="1:44">
      <c r="A672">
        <v>27</v>
      </c>
      <c r="B672" t="str" cm="1">
        <f t="array" ref="B672">_xlfn.IFS(
HRData[[#This Row],[Age]]&lt;=24,"18-24",
HRData[[#This Row],[Age]]&lt;=34,"25-34",
HRData[[#This Row],[Age]]&lt;=44,"35-44",
HRData[[#This Row],[Age]]&lt;=54,"45-54",
HRData[[#This Row],[Age]]&gt;=55,"55+"
)</f>
        <v>25-34</v>
      </c>
      <c r="C672" t="s">
        <v>43</v>
      </c>
      <c r="D672">
        <f>IF(HRData[[#This Row],[Attrition]]="Yes",1,0)</f>
        <v>0</v>
      </c>
      <c r="E672" t="s">
        <v>36</v>
      </c>
      <c r="F672">
        <v>618</v>
      </c>
      <c r="G672" t="s">
        <v>45</v>
      </c>
      <c r="H672">
        <v>4</v>
      </c>
      <c r="I672">
        <v>3</v>
      </c>
      <c r="J672" t="s">
        <v>38</v>
      </c>
      <c r="K672">
        <v>1</v>
      </c>
      <c r="L672">
        <v>933</v>
      </c>
      <c r="M672">
        <v>2</v>
      </c>
      <c r="N672" t="str" cm="1">
        <f t="array" ref="N672">_xlfn.IFS(HRData[[#This Row],[EnvironmentSatisfaction]]=1,"Very Dissatisfied",
HRData[[#This Row],[EnvironmentSatisfaction]]=2,"Dissatisfied",
HRData[[#This Row],[EnvironmentSatisfaction]]=3,"Satisfied",
HRData[[#This Row],[EnvironmentSatisfaction]]=4,"Very Satisfied"
)</f>
        <v>Dissatisfied</v>
      </c>
      <c r="O672" t="s">
        <v>39</v>
      </c>
      <c r="P672">
        <v>76</v>
      </c>
      <c r="Q672">
        <v>3</v>
      </c>
      <c r="R672">
        <v>1</v>
      </c>
      <c r="S672" t="s">
        <v>47</v>
      </c>
      <c r="T672">
        <v>3</v>
      </c>
      <c r="U672" t="str" cm="1">
        <f t="array" ref="U672">_xlfn.IFS(
HRData[[#This Row],[JobSatisfaction]]=1,"Very Dissatisfied",
HRData[[#This Row],[JobSatisfaction]]=2,"Dissatisfied",
HRData[[#This Row],[JobSatisfaction]]=3,"Satisfied",
HRData[[#This Row],[JobSatisfaction]]=4,"Very Satisfied"
)</f>
        <v>Satisfied</v>
      </c>
      <c r="V672" t="s">
        <v>41</v>
      </c>
      <c r="W672">
        <v>2318</v>
      </c>
      <c r="X672" t="str" cm="1">
        <f t="array" ref="X672">_xlfn.IFS(
HRData[[#This Row],[MonthlyIncome]]&lt;=4000,"Very Low Income",
HRData[[#This Row],[MonthlyIncome]]&lt;=8000,"Low Income",
HRData[[#This Row],[MonthlyIncome]]&lt;=12000,"Moderate Income",
HRData[[#This Row],[MonthlyIncome]]&lt;=16000,"High Income",
HRData[[#This Row],[MonthlyIncome]]&gt;16000,"Very High Income"
)</f>
        <v>Very Low Income</v>
      </c>
      <c r="Y672">
        <v>17808</v>
      </c>
      <c r="Z672">
        <v>1</v>
      </c>
      <c r="AA672" t="s">
        <v>42</v>
      </c>
      <c r="AB672" t="s">
        <v>43</v>
      </c>
      <c r="AC672">
        <v>19</v>
      </c>
      <c r="AD672" t="str" cm="1">
        <f t="array" ref="AD672">_xlfn.IFS(HRData[[#This Row],[PercentSalaryHike]]&lt;=15,"11-15",HRData[[#This Row],[PercentSalaryHike]]&lt;=20,"16-20",HRData[[#This Row],[PercentSalaryHike]]&gt;=21,"21+")</f>
        <v>16-20</v>
      </c>
      <c r="AE672">
        <v>3</v>
      </c>
      <c r="AF672">
        <v>3</v>
      </c>
      <c r="AG672">
        <v>80</v>
      </c>
      <c r="AH672">
        <v>0</v>
      </c>
      <c r="AI672">
        <v>1</v>
      </c>
      <c r="AJ672">
        <v>2</v>
      </c>
      <c r="AK672">
        <v>3</v>
      </c>
      <c r="AL672">
        <v>1</v>
      </c>
      <c r="AM672">
        <v>1</v>
      </c>
      <c r="AN672">
        <v>0</v>
      </c>
      <c r="AO672">
        <v>0</v>
      </c>
      <c r="AP67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72" t="str">
        <f>IF(HRData[[#This Row],[Attrition]]="Yes","Left", IF(HRData[[#This Row],[Attrition_Risk_Score]]&gt;=6,"High",IF(HRData[[#This Row],[Attrition_Risk_Score]]&gt;=3,"Medium","Low")))</f>
        <v>Medium</v>
      </c>
      <c r="AR672" t="str">
        <f>IF(HRData[[#This Row],[Attrition_Risk_Level]]&lt;&gt;"High","",HRData[[#This Row],[Attrition_Risk_Score]]*10000-HRData[[#This Row],[EmployeeNumber]])</f>
        <v/>
      </c>
    </row>
    <row r="673" spans="1:44">
      <c r="A673">
        <v>34</v>
      </c>
      <c r="B673" t="str" cm="1">
        <f t="array" ref="B673">_xlfn.IFS(
HRData[[#This Row],[Age]]&lt;=24,"18-24",
HRData[[#This Row],[Age]]&lt;=34,"25-34",
HRData[[#This Row],[Age]]&lt;=44,"35-44",
HRData[[#This Row],[Age]]&lt;=54,"45-54",
HRData[[#This Row],[Age]]&gt;=55,"55+"
)</f>
        <v>25-34</v>
      </c>
      <c r="C673" t="s">
        <v>43</v>
      </c>
      <c r="D673">
        <f>IF(HRData[[#This Row],[Attrition]]="Yes",1,0)</f>
        <v>0</v>
      </c>
      <c r="E673" t="s">
        <v>36</v>
      </c>
      <c r="F673">
        <v>546</v>
      </c>
      <c r="G673" t="s">
        <v>45</v>
      </c>
      <c r="H673">
        <v>10</v>
      </c>
      <c r="I673">
        <v>3</v>
      </c>
      <c r="J673" t="s">
        <v>38</v>
      </c>
      <c r="K673">
        <v>1</v>
      </c>
      <c r="L673">
        <v>934</v>
      </c>
      <c r="M673">
        <v>2</v>
      </c>
      <c r="N673" t="str" cm="1">
        <f t="array" ref="N673">_xlfn.IFS(HRData[[#This Row],[EnvironmentSatisfaction]]=1,"Very Dissatisfied",
HRData[[#This Row],[EnvironmentSatisfaction]]=2,"Dissatisfied",
HRData[[#This Row],[EnvironmentSatisfaction]]=3,"Satisfied",
HRData[[#This Row],[EnvironmentSatisfaction]]=4,"Very Satisfied"
)</f>
        <v>Dissatisfied</v>
      </c>
      <c r="O673" t="s">
        <v>46</v>
      </c>
      <c r="P673">
        <v>83</v>
      </c>
      <c r="Q673">
        <v>3</v>
      </c>
      <c r="R673">
        <v>1</v>
      </c>
      <c r="S673" t="s">
        <v>50</v>
      </c>
      <c r="T673">
        <v>2</v>
      </c>
      <c r="U673" t="str" cm="1">
        <f t="array" ref="U673">_xlfn.IFS(
HRData[[#This Row],[JobSatisfaction]]=1,"Very Dissatisfied",
HRData[[#This Row],[JobSatisfaction]]=2,"Dissatisfied",
HRData[[#This Row],[JobSatisfaction]]=3,"Satisfied",
HRData[[#This Row],[JobSatisfaction]]=4,"Very Satisfied"
)</f>
        <v>Dissatisfied</v>
      </c>
      <c r="V673" t="s">
        <v>52</v>
      </c>
      <c r="W673">
        <v>2008</v>
      </c>
      <c r="X673" t="str" cm="1">
        <f t="array" ref="X673">_xlfn.IFS(
HRData[[#This Row],[MonthlyIncome]]&lt;=4000,"Very Low Income",
HRData[[#This Row],[MonthlyIncome]]&lt;=8000,"Low Income",
HRData[[#This Row],[MonthlyIncome]]&lt;=12000,"Moderate Income",
HRData[[#This Row],[MonthlyIncome]]&lt;=16000,"High Income",
HRData[[#This Row],[MonthlyIncome]]&gt;16000,"Very High Income"
)</f>
        <v>Very Low Income</v>
      </c>
      <c r="Y673">
        <v>6896</v>
      </c>
      <c r="Z673">
        <v>1</v>
      </c>
      <c r="AA673" t="s">
        <v>42</v>
      </c>
      <c r="AB673" t="s">
        <v>43</v>
      </c>
      <c r="AC673">
        <v>14</v>
      </c>
      <c r="AD673" t="str" cm="1">
        <f t="array" ref="AD673">_xlfn.IFS(HRData[[#This Row],[PercentSalaryHike]]&lt;=15,"11-15",HRData[[#This Row],[PercentSalaryHike]]&lt;=20,"16-20",HRData[[#This Row],[PercentSalaryHike]]&gt;=21,"21+")</f>
        <v>11-15</v>
      </c>
      <c r="AE673">
        <v>3</v>
      </c>
      <c r="AF673">
        <v>2</v>
      </c>
      <c r="AG673">
        <v>80</v>
      </c>
      <c r="AH673">
        <v>2</v>
      </c>
      <c r="AI673">
        <v>1</v>
      </c>
      <c r="AJ673">
        <v>3</v>
      </c>
      <c r="AK673">
        <v>3</v>
      </c>
      <c r="AL673">
        <v>1</v>
      </c>
      <c r="AM673">
        <v>0</v>
      </c>
      <c r="AN673">
        <v>1</v>
      </c>
      <c r="AO673">
        <v>0</v>
      </c>
      <c r="AP67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73" t="str">
        <f>IF(HRData[[#This Row],[Attrition]]="Yes","Left", IF(HRData[[#This Row],[Attrition_Risk_Score]]&gt;=6,"High",IF(HRData[[#This Row],[Attrition_Risk_Score]]&gt;=3,"Medium","Low")))</f>
        <v>Medium</v>
      </c>
      <c r="AR673" t="str">
        <f>IF(HRData[[#This Row],[Attrition_Risk_Level]]&lt;&gt;"High","",HRData[[#This Row],[Attrition_Risk_Score]]*10000-HRData[[#This Row],[EmployeeNumber]])</f>
        <v/>
      </c>
    </row>
    <row r="674" spans="1:44">
      <c r="A674">
        <v>42</v>
      </c>
      <c r="B674" t="str" cm="1">
        <f t="array" ref="B674">_xlfn.IFS(
HRData[[#This Row],[Age]]&lt;=24,"18-24",
HRData[[#This Row],[Age]]&lt;=34,"25-34",
HRData[[#This Row],[Age]]&lt;=44,"35-44",
HRData[[#This Row],[Age]]&lt;=54,"45-54",
HRData[[#This Row],[Age]]&gt;=55,"55+"
)</f>
        <v>35-44</v>
      </c>
      <c r="C674" t="s">
        <v>43</v>
      </c>
      <c r="D674">
        <f>IF(HRData[[#This Row],[Attrition]]="Yes",1,0)</f>
        <v>0</v>
      </c>
      <c r="E674" t="s">
        <v>36</v>
      </c>
      <c r="F674">
        <v>462</v>
      </c>
      <c r="G674" t="s">
        <v>37</v>
      </c>
      <c r="H674">
        <v>14</v>
      </c>
      <c r="I674">
        <v>2</v>
      </c>
      <c r="J674" t="s">
        <v>51</v>
      </c>
      <c r="K674">
        <v>1</v>
      </c>
      <c r="L674">
        <v>936</v>
      </c>
      <c r="M674">
        <v>3</v>
      </c>
      <c r="N674" t="str" cm="1">
        <f t="array" ref="N674">_xlfn.IFS(HRData[[#This Row],[EnvironmentSatisfaction]]=1,"Very Dissatisfied",
HRData[[#This Row],[EnvironmentSatisfaction]]=2,"Dissatisfied",
HRData[[#This Row],[EnvironmentSatisfaction]]=3,"Satisfied",
HRData[[#This Row],[EnvironmentSatisfaction]]=4,"Very Satisfied"
)</f>
        <v>Satisfied</v>
      </c>
      <c r="O674" t="s">
        <v>39</v>
      </c>
      <c r="P674">
        <v>68</v>
      </c>
      <c r="Q674">
        <v>2</v>
      </c>
      <c r="R674">
        <v>2</v>
      </c>
      <c r="S674" t="s">
        <v>40</v>
      </c>
      <c r="T674">
        <v>3</v>
      </c>
      <c r="U674" t="str" cm="1">
        <f t="array" ref="U674">_xlfn.IFS(
HRData[[#This Row],[JobSatisfaction]]=1,"Very Dissatisfied",
HRData[[#This Row],[JobSatisfaction]]=2,"Dissatisfied",
HRData[[#This Row],[JobSatisfaction]]=3,"Satisfied",
HRData[[#This Row],[JobSatisfaction]]=4,"Very Satisfied"
)</f>
        <v>Satisfied</v>
      </c>
      <c r="V674" t="s">
        <v>41</v>
      </c>
      <c r="W674">
        <v>6244</v>
      </c>
      <c r="X674" t="str" cm="1">
        <f t="array" ref="X674">_xlfn.IFS(
HRData[[#This Row],[MonthlyIncome]]&lt;=4000,"Very Low Income",
HRData[[#This Row],[MonthlyIncome]]&lt;=8000,"Low Income",
HRData[[#This Row],[MonthlyIncome]]&lt;=12000,"Moderate Income",
HRData[[#This Row],[MonthlyIncome]]&lt;=16000,"High Income",
HRData[[#This Row],[MonthlyIncome]]&gt;16000,"Very High Income"
)</f>
        <v>Low Income</v>
      </c>
      <c r="Y674">
        <v>7824</v>
      </c>
      <c r="Z674">
        <v>7</v>
      </c>
      <c r="AA674" t="s">
        <v>42</v>
      </c>
      <c r="AB674" t="s">
        <v>43</v>
      </c>
      <c r="AC674">
        <v>17</v>
      </c>
      <c r="AD674" t="str" cm="1">
        <f t="array" ref="AD674">_xlfn.IFS(HRData[[#This Row],[PercentSalaryHike]]&lt;=15,"11-15",HRData[[#This Row],[PercentSalaryHike]]&lt;=20,"16-20",HRData[[#This Row],[PercentSalaryHike]]&gt;=21,"21+")</f>
        <v>16-20</v>
      </c>
      <c r="AE674">
        <v>3</v>
      </c>
      <c r="AF674">
        <v>1</v>
      </c>
      <c r="AG674">
        <v>80</v>
      </c>
      <c r="AH674">
        <v>0</v>
      </c>
      <c r="AI674">
        <v>10</v>
      </c>
      <c r="AJ674">
        <v>6</v>
      </c>
      <c r="AK674">
        <v>3</v>
      </c>
      <c r="AL674">
        <v>5</v>
      </c>
      <c r="AM674">
        <v>4</v>
      </c>
      <c r="AN674">
        <v>0</v>
      </c>
      <c r="AO674">
        <v>3</v>
      </c>
      <c r="AP67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674" t="str">
        <f>IF(HRData[[#This Row],[Attrition]]="Yes","Left", IF(HRData[[#This Row],[Attrition_Risk_Score]]&gt;=6,"High",IF(HRData[[#This Row],[Attrition_Risk_Score]]&gt;=3,"Medium","Low")))</f>
        <v>Low</v>
      </c>
      <c r="AR674" t="str">
        <f>IF(HRData[[#This Row],[Attrition_Risk_Level]]&lt;&gt;"High","",HRData[[#This Row],[Attrition_Risk_Score]]*10000-HRData[[#This Row],[EmployeeNumber]])</f>
        <v/>
      </c>
    </row>
    <row r="675" spans="1:44">
      <c r="A675">
        <v>33</v>
      </c>
      <c r="B675" t="str" cm="1">
        <f t="array" ref="B675">_xlfn.IFS(
HRData[[#This Row],[Age]]&lt;=24,"18-24",
HRData[[#This Row],[Age]]&lt;=34,"25-34",
HRData[[#This Row],[Age]]&lt;=44,"35-44",
HRData[[#This Row],[Age]]&lt;=54,"45-54",
HRData[[#This Row],[Age]]&gt;=55,"55+"
)</f>
        <v>25-34</v>
      </c>
      <c r="C675" t="s">
        <v>43</v>
      </c>
      <c r="D675">
        <f>IF(HRData[[#This Row],[Attrition]]="Yes",1,0)</f>
        <v>0</v>
      </c>
      <c r="E675" t="s">
        <v>36</v>
      </c>
      <c r="F675">
        <v>1198</v>
      </c>
      <c r="G675" t="s">
        <v>45</v>
      </c>
      <c r="H675">
        <v>1</v>
      </c>
      <c r="I675">
        <v>4</v>
      </c>
      <c r="J675" t="s">
        <v>49</v>
      </c>
      <c r="K675">
        <v>1</v>
      </c>
      <c r="L675">
        <v>939</v>
      </c>
      <c r="M675">
        <v>3</v>
      </c>
      <c r="N675" t="str" cm="1">
        <f t="array" ref="N675">_xlfn.IFS(HRData[[#This Row],[EnvironmentSatisfaction]]=1,"Very Dissatisfied",
HRData[[#This Row],[EnvironmentSatisfaction]]=2,"Dissatisfied",
HRData[[#This Row],[EnvironmentSatisfaction]]=3,"Satisfied",
HRData[[#This Row],[EnvironmentSatisfaction]]=4,"Very Satisfied"
)</f>
        <v>Satisfied</v>
      </c>
      <c r="O675" t="s">
        <v>46</v>
      </c>
      <c r="P675">
        <v>100</v>
      </c>
      <c r="Q675">
        <v>2</v>
      </c>
      <c r="R675">
        <v>1</v>
      </c>
      <c r="S675" t="s">
        <v>47</v>
      </c>
      <c r="T675">
        <v>1</v>
      </c>
      <c r="U675" t="str" cm="1">
        <f t="array" ref="U675">_xlfn.IFS(
HRData[[#This Row],[JobSatisfaction]]=1,"Very Dissatisfied",
HRData[[#This Row],[JobSatisfaction]]=2,"Dissatisfied",
HRData[[#This Row],[JobSatisfaction]]=3,"Satisfied",
HRData[[#This Row],[JobSatisfaction]]=4,"Very Satisfied"
)</f>
        <v>Very Dissatisfied</v>
      </c>
      <c r="V675" t="s">
        <v>41</v>
      </c>
      <c r="W675">
        <v>2799</v>
      </c>
      <c r="X675" t="str" cm="1">
        <f t="array" ref="X675">_xlfn.IFS(
HRData[[#This Row],[MonthlyIncome]]&lt;=4000,"Very Low Income",
HRData[[#This Row],[MonthlyIncome]]&lt;=8000,"Low Income",
HRData[[#This Row],[MonthlyIncome]]&lt;=12000,"Moderate Income",
HRData[[#This Row],[MonthlyIncome]]&lt;=16000,"High Income",
HRData[[#This Row],[MonthlyIncome]]&gt;16000,"Very High Income"
)</f>
        <v>Very Low Income</v>
      </c>
      <c r="Y675">
        <v>3339</v>
      </c>
      <c r="Z675">
        <v>3</v>
      </c>
      <c r="AA675" t="s">
        <v>42</v>
      </c>
      <c r="AB675" t="s">
        <v>35</v>
      </c>
      <c r="AC675">
        <v>11</v>
      </c>
      <c r="AD675" t="str" cm="1">
        <f t="array" ref="AD675">_xlfn.IFS(HRData[[#This Row],[PercentSalaryHike]]&lt;=15,"11-15",HRData[[#This Row],[PercentSalaryHike]]&lt;=20,"16-20",HRData[[#This Row],[PercentSalaryHike]]&gt;=21,"21+")</f>
        <v>11-15</v>
      </c>
      <c r="AE675">
        <v>3</v>
      </c>
      <c r="AF675">
        <v>2</v>
      </c>
      <c r="AG675">
        <v>80</v>
      </c>
      <c r="AH675">
        <v>0</v>
      </c>
      <c r="AI675">
        <v>6</v>
      </c>
      <c r="AJ675">
        <v>1</v>
      </c>
      <c r="AK675">
        <v>3</v>
      </c>
      <c r="AL675">
        <v>3</v>
      </c>
      <c r="AM675">
        <v>2</v>
      </c>
      <c r="AN675">
        <v>0</v>
      </c>
      <c r="AO675">
        <v>2</v>
      </c>
      <c r="AP67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675" t="str">
        <f>IF(HRData[[#This Row],[Attrition]]="Yes","Left", IF(HRData[[#This Row],[Attrition_Risk_Score]]&gt;=6,"High",IF(HRData[[#This Row],[Attrition_Risk_Score]]&gt;=3,"Medium","Low")))</f>
        <v>High</v>
      </c>
      <c r="AR675">
        <f>IF(HRData[[#This Row],[Attrition_Risk_Level]]&lt;&gt;"High","",HRData[[#This Row],[Attrition_Risk_Score]]*10000-HRData[[#This Row],[EmployeeNumber]])</f>
        <v>69061</v>
      </c>
    </row>
    <row r="676" spans="1:44">
      <c r="A676">
        <v>58</v>
      </c>
      <c r="B676" t="str" cm="1">
        <f t="array" ref="B676">_xlfn.IFS(
HRData[[#This Row],[Age]]&lt;=24,"18-24",
HRData[[#This Row],[Age]]&lt;=34,"25-34",
HRData[[#This Row],[Age]]&lt;=44,"35-44",
HRData[[#This Row],[Age]]&lt;=54,"45-54",
HRData[[#This Row],[Age]]&gt;=55,"55+"
)</f>
        <v>55+</v>
      </c>
      <c r="C676" t="s">
        <v>43</v>
      </c>
      <c r="D676">
        <f>IF(HRData[[#This Row],[Attrition]]="Yes",1,0)</f>
        <v>0</v>
      </c>
      <c r="E676" t="s">
        <v>36</v>
      </c>
      <c r="F676">
        <v>1272</v>
      </c>
      <c r="G676" t="s">
        <v>45</v>
      </c>
      <c r="H676">
        <v>5</v>
      </c>
      <c r="I676">
        <v>3</v>
      </c>
      <c r="J676" t="s">
        <v>60</v>
      </c>
      <c r="K676">
        <v>1</v>
      </c>
      <c r="L676">
        <v>940</v>
      </c>
      <c r="M676">
        <v>3</v>
      </c>
      <c r="N676" t="str" cm="1">
        <f t="array" ref="N676">_xlfn.IFS(HRData[[#This Row],[EnvironmentSatisfaction]]=1,"Very Dissatisfied",
HRData[[#This Row],[EnvironmentSatisfaction]]=2,"Dissatisfied",
HRData[[#This Row],[EnvironmentSatisfaction]]=3,"Satisfied",
HRData[[#This Row],[EnvironmentSatisfaction]]=4,"Very Satisfied"
)</f>
        <v>Satisfied</v>
      </c>
      <c r="O676" t="s">
        <v>39</v>
      </c>
      <c r="P676">
        <v>37</v>
      </c>
      <c r="Q676">
        <v>2</v>
      </c>
      <c r="R676">
        <v>3</v>
      </c>
      <c r="S676" t="s">
        <v>54</v>
      </c>
      <c r="T676">
        <v>2</v>
      </c>
      <c r="U676" t="str" cm="1">
        <f t="array" ref="U676">_xlfn.IFS(
HRData[[#This Row],[JobSatisfaction]]=1,"Very Dissatisfied",
HRData[[#This Row],[JobSatisfaction]]=2,"Dissatisfied",
HRData[[#This Row],[JobSatisfaction]]=3,"Satisfied",
HRData[[#This Row],[JobSatisfaction]]=4,"Very Satisfied"
)</f>
        <v>Dissatisfied</v>
      </c>
      <c r="V676" t="s">
        <v>52</v>
      </c>
      <c r="W676">
        <v>10552</v>
      </c>
      <c r="X676" t="str" cm="1">
        <f t="array" ref="X676">_xlfn.IFS(
HRData[[#This Row],[MonthlyIncome]]&lt;=4000,"Very Low Income",
HRData[[#This Row],[MonthlyIncome]]&lt;=8000,"Low Income",
HRData[[#This Row],[MonthlyIncome]]&lt;=12000,"Moderate Income",
HRData[[#This Row],[MonthlyIncome]]&lt;=16000,"High Income",
HRData[[#This Row],[MonthlyIncome]]&gt;16000,"Very High Income"
)</f>
        <v>Moderate Income</v>
      </c>
      <c r="Y676">
        <v>9255</v>
      </c>
      <c r="Z676">
        <v>2</v>
      </c>
      <c r="AA676" t="s">
        <v>42</v>
      </c>
      <c r="AB676" t="s">
        <v>35</v>
      </c>
      <c r="AC676">
        <v>13</v>
      </c>
      <c r="AD676" t="str" cm="1">
        <f t="array" ref="AD676">_xlfn.IFS(HRData[[#This Row],[PercentSalaryHike]]&lt;=15,"11-15",HRData[[#This Row],[PercentSalaryHike]]&lt;=20,"16-20",HRData[[#This Row],[PercentSalaryHike]]&gt;=21,"21+")</f>
        <v>11-15</v>
      </c>
      <c r="AE676">
        <v>3</v>
      </c>
      <c r="AF676">
        <v>4</v>
      </c>
      <c r="AG676">
        <v>80</v>
      </c>
      <c r="AH676">
        <v>1</v>
      </c>
      <c r="AI676">
        <v>24</v>
      </c>
      <c r="AJ676">
        <v>3</v>
      </c>
      <c r="AK676">
        <v>3</v>
      </c>
      <c r="AL676">
        <v>6</v>
      </c>
      <c r="AM676">
        <v>0</v>
      </c>
      <c r="AN676">
        <v>0</v>
      </c>
      <c r="AO676">
        <v>4</v>
      </c>
      <c r="AP67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76" t="str">
        <f>IF(HRData[[#This Row],[Attrition]]="Yes","Left", IF(HRData[[#This Row],[Attrition_Risk_Score]]&gt;=6,"High",IF(HRData[[#This Row],[Attrition_Risk_Score]]&gt;=3,"Medium","Low")))</f>
        <v>Low</v>
      </c>
      <c r="AR676" t="str">
        <f>IF(HRData[[#This Row],[Attrition_Risk_Level]]&lt;&gt;"High","",HRData[[#This Row],[Attrition_Risk_Score]]*10000-HRData[[#This Row],[EmployeeNumber]])</f>
        <v/>
      </c>
    </row>
    <row r="677" spans="1:44">
      <c r="A677">
        <v>31</v>
      </c>
      <c r="B677" t="str" cm="1">
        <f t="array" ref="B677">_xlfn.IFS(
HRData[[#This Row],[Age]]&lt;=24,"18-24",
HRData[[#This Row],[Age]]&lt;=34,"25-34",
HRData[[#This Row],[Age]]&lt;=44,"35-44",
HRData[[#This Row],[Age]]&lt;=54,"45-54",
HRData[[#This Row],[Age]]&gt;=55,"55+"
)</f>
        <v>25-34</v>
      </c>
      <c r="C677" t="s">
        <v>43</v>
      </c>
      <c r="D677">
        <f>IF(HRData[[#This Row],[Attrition]]="Yes",1,0)</f>
        <v>0</v>
      </c>
      <c r="E677" t="s">
        <v>36</v>
      </c>
      <c r="F677">
        <v>154</v>
      </c>
      <c r="G677" t="s">
        <v>37</v>
      </c>
      <c r="H677">
        <v>7</v>
      </c>
      <c r="I677">
        <v>4</v>
      </c>
      <c r="J677" t="s">
        <v>38</v>
      </c>
      <c r="K677">
        <v>1</v>
      </c>
      <c r="L677">
        <v>941</v>
      </c>
      <c r="M677">
        <v>2</v>
      </c>
      <c r="N677" t="str" cm="1">
        <f t="array" ref="N677">_xlfn.IFS(HRData[[#This Row],[EnvironmentSatisfaction]]=1,"Very Dissatisfied",
HRData[[#This Row],[EnvironmentSatisfaction]]=2,"Dissatisfied",
HRData[[#This Row],[EnvironmentSatisfaction]]=3,"Satisfied",
HRData[[#This Row],[EnvironmentSatisfaction]]=4,"Very Satisfied"
)</f>
        <v>Dissatisfied</v>
      </c>
      <c r="O677" t="s">
        <v>46</v>
      </c>
      <c r="P677">
        <v>41</v>
      </c>
      <c r="Q677">
        <v>2</v>
      </c>
      <c r="R677">
        <v>1</v>
      </c>
      <c r="S677" t="s">
        <v>57</v>
      </c>
      <c r="T677">
        <v>3</v>
      </c>
      <c r="U677" t="str" cm="1">
        <f t="array" ref="U677">_xlfn.IFS(
HRData[[#This Row],[JobSatisfaction]]=1,"Very Dissatisfied",
HRData[[#This Row],[JobSatisfaction]]=2,"Dissatisfied",
HRData[[#This Row],[JobSatisfaction]]=3,"Satisfied",
HRData[[#This Row],[JobSatisfaction]]=4,"Very Satisfied"
)</f>
        <v>Satisfied</v>
      </c>
      <c r="V677" t="s">
        <v>48</v>
      </c>
      <c r="W677">
        <v>2329</v>
      </c>
      <c r="X677" t="str" cm="1">
        <f t="array" ref="X677">_xlfn.IFS(
HRData[[#This Row],[MonthlyIncome]]&lt;=4000,"Very Low Income",
HRData[[#This Row],[MonthlyIncome]]&lt;=8000,"Low Income",
HRData[[#This Row],[MonthlyIncome]]&lt;=12000,"Moderate Income",
HRData[[#This Row],[MonthlyIncome]]&lt;=16000,"High Income",
HRData[[#This Row],[MonthlyIncome]]&gt;16000,"Very High Income"
)</f>
        <v>Very Low Income</v>
      </c>
      <c r="Y677">
        <v>11737</v>
      </c>
      <c r="Z677">
        <v>3</v>
      </c>
      <c r="AA677" t="s">
        <v>42</v>
      </c>
      <c r="AB677" t="s">
        <v>43</v>
      </c>
      <c r="AC677">
        <v>15</v>
      </c>
      <c r="AD677" t="str" cm="1">
        <f t="array" ref="AD677">_xlfn.IFS(HRData[[#This Row],[PercentSalaryHike]]&lt;=15,"11-15",HRData[[#This Row],[PercentSalaryHike]]&lt;=20,"16-20",HRData[[#This Row],[PercentSalaryHike]]&gt;=21,"21+")</f>
        <v>11-15</v>
      </c>
      <c r="AE677">
        <v>3</v>
      </c>
      <c r="AF677">
        <v>2</v>
      </c>
      <c r="AG677">
        <v>80</v>
      </c>
      <c r="AH677">
        <v>0</v>
      </c>
      <c r="AI677">
        <v>13</v>
      </c>
      <c r="AJ677">
        <v>2</v>
      </c>
      <c r="AK677">
        <v>4</v>
      </c>
      <c r="AL677">
        <v>7</v>
      </c>
      <c r="AM677">
        <v>7</v>
      </c>
      <c r="AN677">
        <v>5</v>
      </c>
      <c r="AO677">
        <v>2</v>
      </c>
      <c r="AP67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677" t="str">
        <f>IF(HRData[[#This Row],[Attrition]]="Yes","Left", IF(HRData[[#This Row],[Attrition_Risk_Score]]&gt;=6,"High",IF(HRData[[#This Row],[Attrition_Risk_Score]]&gt;=3,"Medium","Low")))</f>
        <v>Medium</v>
      </c>
      <c r="AR677" t="str">
        <f>IF(HRData[[#This Row],[Attrition_Risk_Level]]&lt;&gt;"High","",HRData[[#This Row],[Attrition_Risk_Score]]*10000-HRData[[#This Row],[EmployeeNumber]])</f>
        <v/>
      </c>
    </row>
    <row r="678" spans="1:44">
      <c r="A678">
        <v>35</v>
      </c>
      <c r="B678" t="str" cm="1">
        <f t="array" ref="B678">_xlfn.IFS(
HRData[[#This Row],[Age]]&lt;=24,"18-24",
HRData[[#This Row],[Age]]&lt;=34,"25-34",
HRData[[#This Row],[Age]]&lt;=44,"35-44",
HRData[[#This Row],[Age]]&lt;=54,"45-54",
HRData[[#This Row],[Age]]&gt;=55,"55+"
)</f>
        <v>35-44</v>
      </c>
      <c r="C678" t="s">
        <v>43</v>
      </c>
      <c r="D678">
        <f>IF(HRData[[#This Row],[Attrition]]="Yes",1,0)</f>
        <v>0</v>
      </c>
      <c r="E678" t="s">
        <v>36</v>
      </c>
      <c r="F678">
        <v>1137</v>
      </c>
      <c r="G678" t="s">
        <v>45</v>
      </c>
      <c r="H678">
        <v>21</v>
      </c>
      <c r="I678">
        <v>1</v>
      </c>
      <c r="J678" t="s">
        <v>38</v>
      </c>
      <c r="K678">
        <v>1</v>
      </c>
      <c r="L678">
        <v>942</v>
      </c>
      <c r="M678">
        <v>4</v>
      </c>
      <c r="N678" t="str" cm="1">
        <f t="array" ref="N678">_xlfn.IFS(HRData[[#This Row],[EnvironmentSatisfaction]]=1,"Very Dissatisfied",
HRData[[#This Row],[EnvironmentSatisfaction]]=2,"Dissatisfied",
HRData[[#This Row],[EnvironmentSatisfaction]]=3,"Satisfied",
HRData[[#This Row],[EnvironmentSatisfaction]]=4,"Very Satisfied"
)</f>
        <v>Very Satisfied</v>
      </c>
      <c r="O678" t="s">
        <v>39</v>
      </c>
      <c r="P678">
        <v>51</v>
      </c>
      <c r="Q678">
        <v>3</v>
      </c>
      <c r="R678">
        <v>2</v>
      </c>
      <c r="S678" t="s">
        <v>54</v>
      </c>
      <c r="T678">
        <v>4</v>
      </c>
      <c r="U678" t="str" cm="1">
        <f t="array" ref="U678">_xlfn.IFS(
HRData[[#This Row],[JobSatisfaction]]=1,"Very Dissatisfied",
HRData[[#This Row],[JobSatisfaction]]=2,"Dissatisfied",
HRData[[#This Row],[JobSatisfaction]]=3,"Satisfied",
HRData[[#This Row],[JobSatisfaction]]=4,"Very Satisfied"
)</f>
        <v>Very Satisfied</v>
      </c>
      <c r="V678" t="s">
        <v>48</v>
      </c>
      <c r="W678">
        <v>4014</v>
      </c>
      <c r="X678" t="str" cm="1">
        <f t="array" ref="X678">_xlfn.IFS(
HRData[[#This Row],[MonthlyIncome]]&lt;=4000,"Very Low Income",
HRData[[#This Row],[MonthlyIncome]]&lt;=8000,"Low Income",
HRData[[#This Row],[MonthlyIncome]]&lt;=12000,"Moderate Income",
HRData[[#This Row],[MonthlyIncome]]&lt;=16000,"High Income",
HRData[[#This Row],[MonthlyIncome]]&gt;16000,"Very High Income"
)</f>
        <v>Low Income</v>
      </c>
      <c r="Y678">
        <v>19170</v>
      </c>
      <c r="Z678">
        <v>1</v>
      </c>
      <c r="AA678" t="s">
        <v>42</v>
      </c>
      <c r="AB678" t="s">
        <v>35</v>
      </c>
      <c r="AC678">
        <v>25</v>
      </c>
      <c r="AD678" t="str" cm="1">
        <f t="array" ref="AD678">_xlfn.IFS(HRData[[#This Row],[PercentSalaryHike]]&lt;=15,"11-15",HRData[[#This Row],[PercentSalaryHike]]&lt;=20,"16-20",HRData[[#This Row],[PercentSalaryHike]]&gt;=21,"21+")</f>
        <v>21+</v>
      </c>
      <c r="AE678">
        <v>4</v>
      </c>
      <c r="AF678">
        <v>4</v>
      </c>
      <c r="AG678">
        <v>80</v>
      </c>
      <c r="AH678">
        <v>1</v>
      </c>
      <c r="AI678">
        <v>10</v>
      </c>
      <c r="AJ678">
        <v>2</v>
      </c>
      <c r="AK678">
        <v>1</v>
      </c>
      <c r="AL678">
        <v>10</v>
      </c>
      <c r="AM678">
        <v>6</v>
      </c>
      <c r="AN678">
        <v>0</v>
      </c>
      <c r="AO678">
        <v>7</v>
      </c>
      <c r="AP67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78" t="str">
        <f>IF(HRData[[#This Row],[Attrition]]="Yes","Left", IF(HRData[[#This Row],[Attrition_Risk_Score]]&gt;=6,"High",IF(HRData[[#This Row],[Attrition_Risk_Score]]&gt;=3,"Medium","Low")))</f>
        <v>Medium</v>
      </c>
      <c r="AR678" t="str">
        <f>IF(HRData[[#This Row],[Attrition_Risk_Level]]&lt;&gt;"High","",HRData[[#This Row],[Attrition_Risk_Score]]*10000-HRData[[#This Row],[EmployeeNumber]])</f>
        <v/>
      </c>
    </row>
    <row r="679" spans="1:44">
      <c r="A679">
        <v>49</v>
      </c>
      <c r="B679" t="str" cm="1">
        <f t="array" ref="B679">_xlfn.IFS(
HRData[[#This Row],[Age]]&lt;=24,"18-24",
HRData[[#This Row],[Age]]&lt;=34,"25-34",
HRData[[#This Row],[Age]]&lt;=44,"35-44",
HRData[[#This Row],[Age]]&lt;=54,"45-54",
HRData[[#This Row],[Age]]&gt;=55,"55+"
)</f>
        <v>45-54</v>
      </c>
      <c r="C679" t="s">
        <v>43</v>
      </c>
      <c r="D679">
        <f>IF(HRData[[#This Row],[Attrition]]="Yes",1,0)</f>
        <v>0</v>
      </c>
      <c r="E679" t="s">
        <v>36</v>
      </c>
      <c r="F679">
        <v>527</v>
      </c>
      <c r="G679" t="s">
        <v>45</v>
      </c>
      <c r="H679">
        <v>8</v>
      </c>
      <c r="I679">
        <v>2</v>
      </c>
      <c r="J679" t="s">
        <v>49</v>
      </c>
      <c r="K679">
        <v>1</v>
      </c>
      <c r="L679">
        <v>944</v>
      </c>
      <c r="M679">
        <v>1</v>
      </c>
      <c r="N679" t="str" cm="1">
        <f t="array" ref="N679">_xlfn.IFS(HRData[[#This Row],[EnvironmentSatisfaction]]=1,"Very Dissatisfied",
HRData[[#This Row],[EnvironmentSatisfaction]]=2,"Dissatisfied",
HRData[[#This Row],[EnvironmentSatisfaction]]=3,"Satisfied",
HRData[[#This Row],[EnvironmentSatisfaction]]=4,"Very Satisfied"
)</f>
        <v>Very Dissatisfied</v>
      </c>
      <c r="O679" t="s">
        <v>39</v>
      </c>
      <c r="P679">
        <v>51</v>
      </c>
      <c r="Q679">
        <v>3</v>
      </c>
      <c r="R679">
        <v>3</v>
      </c>
      <c r="S679" t="s">
        <v>50</v>
      </c>
      <c r="T679">
        <v>2</v>
      </c>
      <c r="U679" t="str" cm="1">
        <f t="array" ref="U679">_xlfn.IFS(
HRData[[#This Row],[JobSatisfaction]]=1,"Very Dissatisfied",
HRData[[#This Row],[JobSatisfaction]]=2,"Dissatisfied",
HRData[[#This Row],[JobSatisfaction]]=3,"Satisfied",
HRData[[#This Row],[JobSatisfaction]]=4,"Very Satisfied"
)</f>
        <v>Dissatisfied</v>
      </c>
      <c r="V679" t="s">
        <v>48</v>
      </c>
      <c r="W679">
        <v>7403</v>
      </c>
      <c r="X679" t="str" cm="1">
        <f t="array" ref="X679">_xlfn.IFS(
HRData[[#This Row],[MonthlyIncome]]&lt;=4000,"Very Low Income",
HRData[[#This Row],[MonthlyIncome]]&lt;=8000,"Low Income",
HRData[[#This Row],[MonthlyIncome]]&lt;=12000,"Moderate Income",
HRData[[#This Row],[MonthlyIncome]]&lt;=16000,"High Income",
HRData[[#This Row],[MonthlyIncome]]&gt;16000,"Very High Income"
)</f>
        <v>Low Income</v>
      </c>
      <c r="Y679">
        <v>22477</v>
      </c>
      <c r="Z679">
        <v>4</v>
      </c>
      <c r="AA679" t="s">
        <v>42</v>
      </c>
      <c r="AB679" t="s">
        <v>43</v>
      </c>
      <c r="AC679">
        <v>11</v>
      </c>
      <c r="AD679" t="str" cm="1">
        <f t="array" ref="AD679">_xlfn.IFS(HRData[[#This Row],[PercentSalaryHike]]&lt;=15,"11-15",HRData[[#This Row],[PercentSalaryHike]]&lt;=20,"16-20",HRData[[#This Row],[PercentSalaryHike]]&gt;=21,"21+")</f>
        <v>11-15</v>
      </c>
      <c r="AE679">
        <v>3</v>
      </c>
      <c r="AF679">
        <v>3</v>
      </c>
      <c r="AG679">
        <v>80</v>
      </c>
      <c r="AH679">
        <v>1</v>
      </c>
      <c r="AI679">
        <v>29</v>
      </c>
      <c r="AJ679">
        <v>3</v>
      </c>
      <c r="AK679">
        <v>2</v>
      </c>
      <c r="AL679">
        <v>26</v>
      </c>
      <c r="AM679">
        <v>9</v>
      </c>
      <c r="AN679">
        <v>1</v>
      </c>
      <c r="AO679">
        <v>7</v>
      </c>
      <c r="AP67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79" t="str">
        <f>IF(HRData[[#This Row],[Attrition]]="Yes","Left", IF(HRData[[#This Row],[Attrition_Risk_Score]]&gt;=6,"High",IF(HRData[[#This Row],[Attrition_Risk_Score]]&gt;=3,"Medium","Low")))</f>
        <v>Low</v>
      </c>
      <c r="AR679" t="str">
        <f>IF(HRData[[#This Row],[Attrition_Risk_Level]]&lt;&gt;"High","",HRData[[#This Row],[Attrition_Risk_Score]]*10000-HRData[[#This Row],[EmployeeNumber]])</f>
        <v/>
      </c>
    </row>
    <row r="680" spans="1:44">
      <c r="A680">
        <v>48</v>
      </c>
      <c r="B680" t="str" cm="1">
        <f t="array" ref="B680">_xlfn.IFS(
HRData[[#This Row],[Age]]&lt;=24,"18-24",
HRData[[#This Row],[Age]]&lt;=34,"25-34",
HRData[[#This Row],[Age]]&lt;=44,"35-44",
HRData[[#This Row],[Age]]&lt;=54,"45-54",
HRData[[#This Row],[Age]]&gt;=55,"55+"
)</f>
        <v>45-54</v>
      </c>
      <c r="C680" t="s">
        <v>43</v>
      </c>
      <c r="D680">
        <f>IF(HRData[[#This Row],[Attrition]]="Yes",1,0)</f>
        <v>0</v>
      </c>
      <c r="E680" t="s">
        <v>36</v>
      </c>
      <c r="F680">
        <v>1469</v>
      </c>
      <c r="G680" t="s">
        <v>45</v>
      </c>
      <c r="H680">
        <v>20</v>
      </c>
      <c r="I680">
        <v>4</v>
      </c>
      <c r="J680" t="s">
        <v>51</v>
      </c>
      <c r="K680">
        <v>1</v>
      </c>
      <c r="L680">
        <v>945</v>
      </c>
      <c r="M680">
        <v>4</v>
      </c>
      <c r="N680" t="str" cm="1">
        <f t="array" ref="N680">_xlfn.IFS(HRData[[#This Row],[EnvironmentSatisfaction]]=1,"Very Dissatisfied",
HRData[[#This Row],[EnvironmentSatisfaction]]=2,"Dissatisfied",
HRData[[#This Row],[EnvironmentSatisfaction]]=3,"Satisfied",
HRData[[#This Row],[EnvironmentSatisfaction]]=4,"Very Satisfied"
)</f>
        <v>Very Satisfied</v>
      </c>
      <c r="O680" t="s">
        <v>46</v>
      </c>
      <c r="P680">
        <v>51</v>
      </c>
      <c r="Q680">
        <v>3</v>
      </c>
      <c r="R680">
        <v>1</v>
      </c>
      <c r="S680" t="s">
        <v>47</v>
      </c>
      <c r="T680">
        <v>3</v>
      </c>
      <c r="U680" t="str" cm="1">
        <f t="array" ref="U680">_xlfn.IFS(
HRData[[#This Row],[JobSatisfaction]]=1,"Very Dissatisfied",
HRData[[#This Row],[JobSatisfaction]]=2,"Dissatisfied",
HRData[[#This Row],[JobSatisfaction]]=3,"Satisfied",
HRData[[#This Row],[JobSatisfaction]]=4,"Very Satisfied"
)</f>
        <v>Satisfied</v>
      </c>
      <c r="V680" t="s">
        <v>48</v>
      </c>
      <c r="W680">
        <v>2259</v>
      </c>
      <c r="X680" t="str" cm="1">
        <f t="array" ref="X680">_xlfn.IFS(
HRData[[#This Row],[MonthlyIncome]]&lt;=4000,"Very Low Income",
HRData[[#This Row],[MonthlyIncome]]&lt;=8000,"Low Income",
HRData[[#This Row],[MonthlyIncome]]&lt;=12000,"Moderate Income",
HRData[[#This Row],[MonthlyIncome]]&lt;=16000,"High Income",
HRData[[#This Row],[MonthlyIncome]]&gt;16000,"Very High Income"
)</f>
        <v>Very Low Income</v>
      </c>
      <c r="Y680">
        <v>5543</v>
      </c>
      <c r="Z680">
        <v>4</v>
      </c>
      <c r="AA680" t="s">
        <v>42</v>
      </c>
      <c r="AB680" t="s">
        <v>43</v>
      </c>
      <c r="AC680">
        <v>17</v>
      </c>
      <c r="AD680" t="str" cm="1">
        <f t="array" ref="AD680">_xlfn.IFS(HRData[[#This Row],[PercentSalaryHike]]&lt;=15,"11-15",HRData[[#This Row],[PercentSalaryHike]]&lt;=20,"16-20",HRData[[#This Row],[PercentSalaryHike]]&gt;=21,"21+")</f>
        <v>16-20</v>
      </c>
      <c r="AE680">
        <v>3</v>
      </c>
      <c r="AF680">
        <v>1</v>
      </c>
      <c r="AG680">
        <v>80</v>
      </c>
      <c r="AH680">
        <v>2</v>
      </c>
      <c r="AI680">
        <v>13</v>
      </c>
      <c r="AJ680">
        <v>2</v>
      </c>
      <c r="AK680">
        <v>2</v>
      </c>
      <c r="AL680">
        <v>0</v>
      </c>
      <c r="AM680">
        <v>0</v>
      </c>
      <c r="AN680">
        <v>0</v>
      </c>
      <c r="AO680">
        <v>0</v>
      </c>
      <c r="AP68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80" t="str">
        <f>IF(HRData[[#This Row],[Attrition]]="Yes","Left", IF(HRData[[#This Row],[Attrition_Risk_Score]]&gt;=6,"High",IF(HRData[[#This Row],[Attrition_Risk_Score]]&gt;=3,"Medium","Low")))</f>
        <v>Low</v>
      </c>
      <c r="AR680" t="str">
        <f>IF(HRData[[#This Row],[Attrition_Risk_Level]]&lt;&gt;"High","",HRData[[#This Row],[Attrition_Risk_Score]]*10000-HRData[[#This Row],[EmployeeNumber]])</f>
        <v/>
      </c>
    </row>
    <row r="681" spans="1:44">
      <c r="A681">
        <v>31</v>
      </c>
      <c r="B681" t="str" cm="1">
        <f t="array" ref="B681">_xlfn.IFS(
HRData[[#This Row],[Age]]&lt;=24,"18-24",
HRData[[#This Row],[Age]]&lt;=34,"25-34",
HRData[[#This Row],[Age]]&lt;=44,"35-44",
HRData[[#This Row],[Age]]&lt;=54,"45-54",
HRData[[#This Row],[Age]]&gt;=55,"55+"
)</f>
        <v>25-34</v>
      </c>
      <c r="C681" t="s">
        <v>43</v>
      </c>
      <c r="D681">
        <f>IF(HRData[[#This Row],[Attrition]]="Yes",1,0)</f>
        <v>0</v>
      </c>
      <c r="E681" t="s">
        <v>55</v>
      </c>
      <c r="F681">
        <v>1188</v>
      </c>
      <c r="G681" t="s">
        <v>37</v>
      </c>
      <c r="H681">
        <v>20</v>
      </c>
      <c r="I681">
        <v>2</v>
      </c>
      <c r="J681" t="s">
        <v>59</v>
      </c>
      <c r="K681">
        <v>1</v>
      </c>
      <c r="L681">
        <v>947</v>
      </c>
      <c r="M681">
        <v>4</v>
      </c>
      <c r="N681" t="str" cm="1">
        <f t="array" ref="N681">_xlfn.IFS(HRData[[#This Row],[EnvironmentSatisfaction]]=1,"Very Dissatisfied",
HRData[[#This Row],[EnvironmentSatisfaction]]=2,"Dissatisfied",
HRData[[#This Row],[EnvironmentSatisfaction]]=3,"Satisfied",
HRData[[#This Row],[EnvironmentSatisfaction]]=4,"Very Satisfied"
)</f>
        <v>Very Satisfied</v>
      </c>
      <c r="O681" t="s">
        <v>39</v>
      </c>
      <c r="P681">
        <v>45</v>
      </c>
      <c r="Q681">
        <v>3</v>
      </c>
      <c r="R681">
        <v>2</v>
      </c>
      <c r="S681" t="s">
        <v>40</v>
      </c>
      <c r="T681">
        <v>3</v>
      </c>
      <c r="U681" t="str" cm="1">
        <f t="array" ref="U681">_xlfn.IFS(
HRData[[#This Row],[JobSatisfaction]]=1,"Very Dissatisfied",
HRData[[#This Row],[JobSatisfaction]]=2,"Dissatisfied",
HRData[[#This Row],[JobSatisfaction]]=3,"Satisfied",
HRData[[#This Row],[JobSatisfaction]]=4,"Very Satisfied"
)</f>
        <v>Satisfied</v>
      </c>
      <c r="V681" t="s">
        <v>48</v>
      </c>
      <c r="W681">
        <v>6932</v>
      </c>
      <c r="X681" t="str" cm="1">
        <f t="array" ref="X681">_xlfn.IFS(
HRData[[#This Row],[MonthlyIncome]]&lt;=4000,"Very Low Income",
HRData[[#This Row],[MonthlyIncome]]&lt;=8000,"Low Income",
HRData[[#This Row],[MonthlyIncome]]&lt;=12000,"Moderate Income",
HRData[[#This Row],[MonthlyIncome]]&lt;=16000,"High Income",
HRData[[#This Row],[MonthlyIncome]]&gt;16000,"Very High Income"
)</f>
        <v>Low Income</v>
      </c>
      <c r="Y681">
        <v>24406</v>
      </c>
      <c r="Z681">
        <v>1</v>
      </c>
      <c r="AA681" t="s">
        <v>42</v>
      </c>
      <c r="AB681" t="s">
        <v>43</v>
      </c>
      <c r="AC681">
        <v>13</v>
      </c>
      <c r="AD681" t="str" cm="1">
        <f t="array" ref="AD681">_xlfn.IFS(HRData[[#This Row],[PercentSalaryHike]]&lt;=15,"11-15",HRData[[#This Row],[PercentSalaryHike]]&lt;=20,"16-20",HRData[[#This Row],[PercentSalaryHike]]&gt;=21,"21+")</f>
        <v>11-15</v>
      </c>
      <c r="AE681">
        <v>3</v>
      </c>
      <c r="AF681">
        <v>4</v>
      </c>
      <c r="AG681">
        <v>80</v>
      </c>
      <c r="AH681">
        <v>1</v>
      </c>
      <c r="AI681">
        <v>9</v>
      </c>
      <c r="AJ681">
        <v>2</v>
      </c>
      <c r="AK681">
        <v>2</v>
      </c>
      <c r="AL681">
        <v>9</v>
      </c>
      <c r="AM681">
        <v>8</v>
      </c>
      <c r="AN681">
        <v>0</v>
      </c>
      <c r="AO681">
        <v>0</v>
      </c>
      <c r="AP68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81" t="str">
        <f>IF(HRData[[#This Row],[Attrition]]="Yes","Left", IF(HRData[[#This Row],[Attrition_Risk_Score]]&gt;=6,"High",IF(HRData[[#This Row],[Attrition_Risk_Score]]&gt;=3,"Medium","Low")))</f>
        <v>Low</v>
      </c>
      <c r="AR681" t="str">
        <f>IF(HRData[[#This Row],[Attrition_Risk_Level]]&lt;&gt;"High","",HRData[[#This Row],[Attrition_Risk_Score]]*10000-HRData[[#This Row],[EmployeeNumber]])</f>
        <v/>
      </c>
    </row>
    <row r="682" spans="1:44">
      <c r="A682">
        <v>36</v>
      </c>
      <c r="B682" t="str" cm="1">
        <f t="array" ref="B682">_xlfn.IFS(
HRData[[#This Row],[Age]]&lt;=24,"18-24",
HRData[[#This Row],[Age]]&lt;=34,"25-34",
HRData[[#This Row],[Age]]&lt;=44,"35-44",
HRData[[#This Row],[Age]]&lt;=54,"45-54",
HRData[[#This Row],[Age]]&gt;=55,"55+"
)</f>
        <v>35-44</v>
      </c>
      <c r="C682" t="s">
        <v>43</v>
      </c>
      <c r="D682">
        <f>IF(HRData[[#This Row],[Attrition]]="Yes",1,0)</f>
        <v>0</v>
      </c>
      <c r="E682" t="s">
        <v>36</v>
      </c>
      <c r="F682">
        <v>188</v>
      </c>
      <c r="G682" t="s">
        <v>45</v>
      </c>
      <c r="H682">
        <v>7</v>
      </c>
      <c r="I682">
        <v>4</v>
      </c>
      <c r="J682" t="s">
        <v>49</v>
      </c>
      <c r="K682">
        <v>1</v>
      </c>
      <c r="L682">
        <v>949</v>
      </c>
      <c r="M682">
        <v>2</v>
      </c>
      <c r="N682" t="str" cm="1">
        <f t="array" ref="N682">_xlfn.IFS(HRData[[#This Row],[EnvironmentSatisfaction]]=1,"Very Dissatisfied",
HRData[[#This Row],[EnvironmentSatisfaction]]=2,"Dissatisfied",
HRData[[#This Row],[EnvironmentSatisfaction]]=3,"Satisfied",
HRData[[#This Row],[EnvironmentSatisfaction]]=4,"Very Satisfied"
)</f>
        <v>Dissatisfied</v>
      </c>
      <c r="O682" t="s">
        <v>46</v>
      </c>
      <c r="P682">
        <v>65</v>
      </c>
      <c r="Q682">
        <v>3</v>
      </c>
      <c r="R682">
        <v>1</v>
      </c>
      <c r="S682" t="s">
        <v>47</v>
      </c>
      <c r="T682">
        <v>4</v>
      </c>
      <c r="U682" t="str" cm="1">
        <f t="array" ref="U682">_xlfn.IFS(
HRData[[#This Row],[JobSatisfaction]]=1,"Very Dissatisfied",
HRData[[#This Row],[JobSatisfaction]]=2,"Dissatisfied",
HRData[[#This Row],[JobSatisfaction]]=3,"Satisfied",
HRData[[#This Row],[JobSatisfaction]]=4,"Very Satisfied"
)</f>
        <v>Very Satisfied</v>
      </c>
      <c r="V682" t="s">
        <v>41</v>
      </c>
      <c r="W682">
        <v>4678</v>
      </c>
      <c r="X682" t="str" cm="1">
        <f t="array" ref="X682">_xlfn.IFS(
HRData[[#This Row],[MonthlyIncome]]&lt;=4000,"Very Low Income",
HRData[[#This Row],[MonthlyIncome]]&lt;=8000,"Low Income",
HRData[[#This Row],[MonthlyIncome]]&lt;=12000,"Moderate Income",
HRData[[#This Row],[MonthlyIncome]]&lt;=16000,"High Income",
HRData[[#This Row],[MonthlyIncome]]&gt;16000,"Very High Income"
)</f>
        <v>Low Income</v>
      </c>
      <c r="Y682">
        <v>23293</v>
      </c>
      <c r="Z682">
        <v>2</v>
      </c>
      <c r="AA682" t="s">
        <v>42</v>
      </c>
      <c r="AB682" t="s">
        <v>43</v>
      </c>
      <c r="AC682">
        <v>18</v>
      </c>
      <c r="AD682" t="str" cm="1">
        <f t="array" ref="AD682">_xlfn.IFS(HRData[[#This Row],[PercentSalaryHike]]&lt;=15,"11-15",HRData[[#This Row],[PercentSalaryHike]]&lt;=20,"16-20",HRData[[#This Row],[PercentSalaryHike]]&gt;=21,"21+")</f>
        <v>16-20</v>
      </c>
      <c r="AE682">
        <v>3</v>
      </c>
      <c r="AF682">
        <v>3</v>
      </c>
      <c r="AG682">
        <v>80</v>
      </c>
      <c r="AH682">
        <v>0</v>
      </c>
      <c r="AI682">
        <v>8</v>
      </c>
      <c r="AJ682">
        <v>6</v>
      </c>
      <c r="AK682">
        <v>3</v>
      </c>
      <c r="AL682">
        <v>6</v>
      </c>
      <c r="AM682">
        <v>2</v>
      </c>
      <c r="AN682">
        <v>0</v>
      </c>
      <c r="AO682">
        <v>1</v>
      </c>
      <c r="AP68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682" t="str">
        <f>IF(HRData[[#This Row],[Attrition]]="Yes","Left", IF(HRData[[#This Row],[Attrition_Risk_Score]]&gt;=6,"High",IF(HRData[[#This Row],[Attrition_Risk_Score]]&gt;=3,"Medium","Low")))</f>
        <v>Low</v>
      </c>
      <c r="AR682" t="str">
        <f>IF(HRData[[#This Row],[Attrition_Risk_Level]]&lt;&gt;"High","",HRData[[#This Row],[Attrition_Risk_Score]]*10000-HRData[[#This Row],[EmployeeNumber]])</f>
        <v/>
      </c>
    </row>
    <row r="683" spans="1:44">
      <c r="A683">
        <v>38</v>
      </c>
      <c r="B683" t="str" cm="1">
        <f t="array" ref="B683">_xlfn.IFS(
HRData[[#This Row],[Age]]&lt;=24,"18-24",
HRData[[#This Row],[Age]]&lt;=34,"25-34",
HRData[[#This Row],[Age]]&lt;=44,"35-44",
HRData[[#This Row],[Age]]&lt;=54,"45-54",
HRData[[#This Row],[Age]]&gt;=55,"55+"
)</f>
        <v>35-44</v>
      </c>
      <c r="C683" t="s">
        <v>43</v>
      </c>
      <c r="D683">
        <f>IF(HRData[[#This Row],[Attrition]]="Yes",1,0)</f>
        <v>0</v>
      </c>
      <c r="E683" t="s">
        <v>36</v>
      </c>
      <c r="F683">
        <v>1333</v>
      </c>
      <c r="G683" t="s">
        <v>45</v>
      </c>
      <c r="H683">
        <v>1</v>
      </c>
      <c r="I683">
        <v>3</v>
      </c>
      <c r="J683" t="s">
        <v>60</v>
      </c>
      <c r="K683">
        <v>1</v>
      </c>
      <c r="L683">
        <v>950</v>
      </c>
      <c r="M683">
        <v>4</v>
      </c>
      <c r="N683" t="str" cm="1">
        <f t="array" ref="N683">_xlfn.IFS(HRData[[#This Row],[EnvironmentSatisfaction]]=1,"Very Dissatisfied",
HRData[[#This Row],[EnvironmentSatisfaction]]=2,"Dissatisfied",
HRData[[#This Row],[EnvironmentSatisfaction]]=3,"Satisfied",
HRData[[#This Row],[EnvironmentSatisfaction]]=4,"Very Satisfied"
)</f>
        <v>Very Satisfied</v>
      </c>
      <c r="O683" t="s">
        <v>39</v>
      </c>
      <c r="P683">
        <v>80</v>
      </c>
      <c r="Q683">
        <v>3</v>
      </c>
      <c r="R683">
        <v>3</v>
      </c>
      <c r="S683" t="s">
        <v>58</v>
      </c>
      <c r="T683">
        <v>1</v>
      </c>
      <c r="U683" t="str" cm="1">
        <f t="array" ref="U683">_xlfn.IFS(
HRData[[#This Row],[JobSatisfaction]]=1,"Very Dissatisfied",
HRData[[#This Row],[JobSatisfaction]]=2,"Dissatisfied",
HRData[[#This Row],[JobSatisfaction]]=3,"Satisfied",
HRData[[#This Row],[JobSatisfaction]]=4,"Very Satisfied"
)</f>
        <v>Very Dissatisfied</v>
      </c>
      <c r="V683" t="s">
        <v>48</v>
      </c>
      <c r="W683">
        <v>13582</v>
      </c>
      <c r="X683" t="str" cm="1">
        <f t="array" ref="X683">_xlfn.IFS(
HRData[[#This Row],[MonthlyIncome]]&lt;=4000,"Very Low Income",
HRData[[#This Row],[MonthlyIncome]]&lt;=8000,"Low Income",
HRData[[#This Row],[MonthlyIncome]]&lt;=12000,"Moderate Income",
HRData[[#This Row],[MonthlyIncome]]&lt;=16000,"High Income",
HRData[[#This Row],[MonthlyIncome]]&gt;16000,"Very High Income"
)</f>
        <v>High Income</v>
      </c>
      <c r="Y683">
        <v>16292</v>
      </c>
      <c r="Z683">
        <v>1</v>
      </c>
      <c r="AA683" t="s">
        <v>42</v>
      </c>
      <c r="AB683" t="s">
        <v>43</v>
      </c>
      <c r="AC683">
        <v>13</v>
      </c>
      <c r="AD683" t="str" cm="1">
        <f t="array" ref="AD683">_xlfn.IFS(HRData[[#This Row],[PercentSalaryHike]]&lt;=15,"11-15",HRData[[#This Row],[PercentSalaryHike]]&lt;=20,"16-20",HRData[[#This Row],[PercentSalaryHike]]&gt;=21,"21+")</f>
        <v>11-15</v>
      </c>
      <c r="AE683">
        <v>3</v>
      </c>
      <c r="AF683">
        <v>2</v>
      </c>
      <c r="AG683">
        <v>80</v>
      </c>
      <c r="AH683">
        <v>1</v>
      </c>
      <c r="AI683">
        <v>15</v>
      </c>
      <c r="AJ683">
        <v>3</v>
      </c>
      <c r="AK683">
        <v>3</v>
      </c>
      <c r="AL683">
        <v>15</v>
      </c>
      <c r="AM683">
        <v>12</v>
      </c>
      <c r="AN683">
        <v>5</v>
      </c>
      <c r="AO683">
        <v>11</v>
      </c>
      <c r="AP68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83" t="str">
        <f>IF(HRData[[#This Row],[Attrition]]="Yes","Left", IF(HRData[[#This Row],[Attrition_Risk_Score]]&gt;=6,"High",IF(HRData[[#This Row],[Attrition_Risk_Score]]&gt;=3,"Medium","Low")))</f>
        <v>Low</v>
      </c>
      <c r="AR683" t="str">
        <f>IF(HRData[[#This Row],[Attrition_Risk_Level]]&lt;&gt;"High","",HRData[[#This Row],[Attrition_Risk_Score]]*10000-HRData[[#This Row],[EmployeeNumber]])</f>
        <v/>
      </c>
    </row>
    <row r="684" spans="1:44">
      <c r="A684">
        <v>32</v>
      </c>
      <c r="B684" t="str" cm="1">
        <f t="array" ref="B684">_xlfn.IFS(
HRData[[#This Row],[Age]]&lt;=24,"18-24",
HRData[[#This Row],[Age]]&lt;=34,"25-34",
HRData[[#This Row],[Age]]&lt;=44,"35-44",
HRData[[#This Row],[Age]]&lt;=54,"45-54",
HRData[[#This Row],[Age]]&gt;=55,"55+"
)</f>
        <v>25-34</v>
      </c>
      <c r="C684" t="s">
        <v>43</v>
      </c>
      <c r="D684">
        <f>IF(HRData[[#This Row],[Attrition]]="Yes",1,0)</f>
        <v>0</v>
      </c>
      <c r="E684" t="s">
        <v>55</v>
      </c>
      <c r="F684">
        <v>1184</v>
      </c>
      <c r="G684" t="s">
        <v>45</v>
      </c>
      <c r="H684">
        <v>1</v>
      </c>
      <c r="I684">
        <v>3</v>
      </c>
      <c r="J684" t="s">
        <v>38</v>
      </c>
      <c r="K684">
        <v>1</v>
      </c>
      <c r="L684">
        <v>951</v>
      </c>
      <c r="M684">
        <v>3</v>
      </c>
      <c r="N684" t="str" cm="1">
        <f t="array" ref="N684">_xlfn.IFS(HRData[[#This Row],[EnvironmentSatisfaction]]=1,"Very Dissatisfied",
HRData[[#This Row],[EnvironmentSatisfaction]]=2,"Dissatisfied",
HRData[[#This Row],[EnvironmentSatisfaction]]=3,"Satisfied",
HRData[[#This Row],[EnvironmentSatisfaction]]=4,"Very Satisfied"
)</f>
        <v>Satisfied</v>
      </c>
      <c r="O684" t="s">
        <v>39</v>
      </c>
      <c r="P684">
        <v>70</v>
      </c>
      <c r="Q684">
        <v>2</v>
      </c>
      <c r="R684">
        <v>1</v>
      </c>
      <c r="S684" t="s">
        <v>50</v>
      </c>
      <c r="T684">
        <v>2</v>
      </c>
      <c r="U684" t="str" cm="1">
        <f t="array" ref="U684">_xlfn.IFS(
HRData[[#This Row],[JobSatisfaction]]=1,"Very Dissatisfied",
HRData[[#This Row],[JobSatisfaction]]=2,"Dissatisfied",
HRData[[#This Row],[JobSatisfaction]]=3,"Satisfied",
HRData[[#This Row],[JobSatisfaction]]=4,"Very Satisfied"
)</f>
        <v>Dissatisfied</v>
      </c>
      <c r="V684" t="s">
        <v>48</v>
      </c>
      <c r="W684">
        <v>2332</v>
      </c>
      <c r="X684" t="str" cm="1">
        <f t="array" ref="X684">_xlfn.IFS(
HRData[[#This Row],[MonthlyIncome]]&lt;=4000,"Very Low Income",
HRData[[#This Row],[MonthlyIncome]]&lt;=8000,"Low Income",
HRData[[#This Row],[MonthlyIncome]]&lt;=12000,"Moderate Income",
HRData[[#This Row],[MonthlyIncome]]&lt;=16000,"High Income",
HRData[[#This Row],[MonthlyIncome]]&gt;16000,"Very High Income"
)</f>
        <v>Very Low Income</v>
      </c>
      <c r="Y684">
        <v>3974</v>
      </c>
      <c r="Z684">
        <v>6</v>
      </c>
      <c r="AA684" t="s">
        <v>42</v>
      </c>
      <c r="AB684" t="s">
        <v>43</v>
      </c>
      <c r="AC684">
        <v>20</v>
      </c>
      <c r="AD684" t="str" cm="1">
        <f t="array" ref="AD684">_xlfn.IFS(HRData[[#This Row],[PercentSalaryHike]]&lt;=15,"11-15",HRData[[#This Row],[PercentSalaryHike]]&lt;=20,"16-20",HRData[[#This Row],[PercentSalaryHike]]&gt;=21,"21+")</f>
        <v>16-20</v>
      </c>
      <c r="AE684">
        <v>4</v>
      </c>
      <c r="AF684">
        <v>3</v>
      </c>
      <c r="AG684">
        <v>80</v>
      </c>
      <c r="AH684">
        <v>0</v>
      </c>
      <c r="AI684">
        <v>5</v>
      </c>
      <c r="AJ684">
        <v>3</v>
      </c>
      <c r="AK684">
        <v>3</v>
      </c>
      <c r="AL684">
        <v>3</v>
      </c>
      <c r="AM684">
        <v>0</v>
      </c>
      <c r="AN684">
        <v>0</v>
      </c>
      <c r="AO684">
        <v>2</v>
      </c>
      <c r="AP68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84" t="str">
        <f>IF(HRData[[#This Row],[Attrition]]="Yes","Left", IF(HRData[[#This Row],[Attrition_Risk_Score]]&gt;=6,"High",IF(HRData[[#This Row],[Attrition_Risk_Score]]&gt;=3,"Medium","Low")))</f>
        <v>Medium</v>
      </c>
      <c r="AR684" t="str">
        <f>IF(HRData[[#This Row],[Attrition_Risk_Level]]&lt;&gt;"High","",HRData[[#This Row],[Attrition_Risk_Score]]*10000-HRData[[#This Row],[EmployeeNumber]])</f>
        <v/>
      </c>
    </row>
    <row r="685" spans="1:44">
      <c r="A685">
        <v>25</v>
      </c>
      <c r="B685" t="str" cm="1">
        <f t="array" ref="B685">_xlfn.IFS(
HRData[[#This Row],[Age]]&lt;=24,"18-24",
HRData[[#This Row],[Age]]&lt;=34,"25-34",
HRData[[#This Row],[Age]]&lt;=44,"35-44",
HRData[[#This Row],[Age]]&lt;=54,"45-54",
HRData[[#This Row],[Age]]&gt;=55,"55+"
)</f>
        <v>25-34</v>
      </c>
      <c r="C685" t="s">
        <v>35</v>
      </c>
      <c r="D685">
        <f>IF(HRData[[#This Row],[Attrition]]="Yes",1,0)</f>
        <v>1</v>
      </c>
      <c r="E685" t="s">
        <v>36</v>
      </c>
      <c r="F685">
        <v>867</v>
      </c>
      <c r="G685" t="s">
        <v>37</v>
      </c>
      <c r="H685">
        <v>19</v>
      </c>
      <c r="I685">
        <v>2</v>
      </c>
      <c r="J685" t="s">
        <v>59</v>
      </c>
      <c r="K685">
        <v>1</v>
      </c>
      <c r="L685">
        <v>952</v>
      </c>
      <c r="M685">
        <v>3</v>
      </c>
      <c r="N685" t="str" cm="1">
        <f t="array" ref="N685">_xlfn.IFS(HRData[[#This Row],[EnvironmentSatisfaction]]=1,"Very Dissatisfied",
HRData[[#This Row],[EnvironmentSatisfaction]]=2,"Dissatisfied",
HRData[[#This Row],[EnvironmentSatisfaction]]=3,"Satisfied",
HRData[[#This Row],[EnvironmentSatisfaction]]=4,"Very Satisfied"
)</f>
        <v>Satisfied</v>
      </c>
      <c r="O685" t="s">
        <v>46</v>
      </c>
      <c r="P685">
        <v>36</v>
      </c>
      <c r="Q685">
        <v>2</v>
      </c>
      <c r="R685">
        <v>1</v>
      </c>
      <c r="S685" t="s">
        <v>57</v>
      </c>
      <c r="T685">
        <v>2</v>
      </c>
      <c r="U685" t="str" cm="1">
        <f t="array" ref="U685">_xlfn.IFS(
HRData[[#This Row],[JobSatisfaction]]=1,"Very Dissatisfied",
HRData[[#This Row],[JobSatisfaction]]=2,"Dissatisfied",
HRData[[#This Row],[JobSatisfaction]]=3,"Satisfied",
HRData[[#This Row],[JobSatisfaction]]=4,"Very Satisfied"
)</f>
        <v>Dissatisfied</v>
      </c>
      <c r="V685" t="s">
        <v>48</v>
      </c>
      <c r="W685">
        <v>2413</v>
      </c>
      <c r="X685" t="str" cm="1">
        <f t="array" ref="X685">_xlfn.IFS(
HRData[[#This Row],[MonthlyIncome]]&lt;=4000,"Very Low Income",
HRData[[#This Row],[MonthlyIncome]]&lt;=8000,"Low Income",
HRData[[#This Row],[MonthlyIncome]]&lt;=12000,"Moderate Income",
HRData[[#This Row],[MonthlyIncome]]&lt;=16000,"High Income",
HRData[[#This Row],[MonthlyIncome]]&gt;16000,"Very High Income"
)</f>
        <v>Very Low Income</v>
      </c>
      <c r="Y685">
        <v>18798</v>
      </c>
      <c r="Z685">
        <v>1</v>
      </c>
      <c r="AA685" t="s">
        <v>42</v>
      </c>
      <c r="AB685" t="s">
        <v>35</v>
      </c>
      <c r="AC685">
        <v>18</v>
      </c>
      <c r="AD685" t="str" cm="1">
        <f t="array" ref="AD685">_xlfn.IFS(HRData[[#This Row],[PercentSalaryHike]]&lt;=15,"11-15",HRData[[#This Row],[PercentSalaryHike]]&lt;=20,"16-20",HRData[[#This Row],[PercentSalaryHike]]&gt;=21,"21+")</f>
        <v>16-20</v>
      </c>
      <c r="AE685">
        <v>3</v>
      </c>
      <c r="AF685">
        <v>3</v>
      </c>
      <c r="AG685">
        <v>80</v>
      </c>
      <c r="AH685">
        <v>3</v>
      </c>
      <c r="AI685">
        <v>1</v>
      </c>
      <c r="AJ685">
        <v>2</v>
      </c>
      <c r="AK685">
        <v>3</v>
      </c>
      <c r="AL685">
        <v>1</v>
      </c>
      <c r="AM685">
        <v>0</v>
      </c>
      <c r="AN685">
        <v>0</v>
      </c>
      <c r="AO685">
        <v>0</v>
      </c>
      <c r="AP68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85" t="str">
        <f>IF(HRData[[#This Row],[Attrition]]="Yes","Left", IF(HRData[[#This Row],[Attrition_Risk_Score]]&gt;=6,"High",IF(HRData[[#This Row],[Attrition_Risk_Score]]&gt;=3,"Medium","Low")))</f>
        <v>Left</v>
      </c>
      <c r="AR685" t="str">
        <f>IF(HRData[[#This Row],[Attrition_Risk_Level]]&lt;&gt;"High","",HRData[[#This Row],[Attrition_Risk_Score]]*10000-HRData[[#This Row],[EmployeeNumber]])</f>
        <v/>
      </c>
    </row>
    <row r="686" spans="1:44">
      <c r="A686">
        <v>40</v>
      </c>
      <c r="B686" t="str" cm="1">
        <f t="array" ref="B686">_xlfn.IFS(
HRData[[#This Row],[Age]]&lt;=24,"18-24",
HRData[[#This Row],[Age]]&lt;=34,"25-34",
HRData[[#This Row],[Age]]&lt;=44,"35-44",
HRData[[#This Row],[Age]]&lt;=54,"45-54",
HRData[[#This Row],[Age]]&gt;=55,"55+"
)</f>
        <v>35-44</v>
      </c>
      <c r="C686" t="s">
        <v>43</v>
      </c>
      <c r="D686">
        <f>IF(HRData[[#This Row],[Attrition]]="Yes",1,0)</f>
        <v>0</v>
      </c>
      <c r="E686" t="s">
        <v>36</v>
      </c>
      <c r="F686">
        <v>658</v>
      </c>
      <c r="G686" t="s">
        <v>37</v>
      </c>
      <c r="H686">
        <v>10</v>
      </c>
      <c r="I686">
        <v>4</v>
      </c>
      <c r="J686" t="s">
        <v>59</v>
      </c>
      <c r="K686">
        <v>1</v>
      </c>
      <c r="L686">
        <v>954</v>
      </c>
      <c r="M686">
        <v>1</v>
      </c>
      <c r="N686" t="str" cm="1">
        <f t="array" ref="N686">_xlfn.IFS(HRData[[#This Row],[EnvironmentSatisfaction]]=1,"Very Dissatisfied",
HRData[[#This Row],[EnvironmentSatisfaction]]=2,"Dissatisfied",
HRData[[#This Row],[EnvironmentSatisfaction]]=3,"Satisfied",
HRData[[#This Row],[EnvironmentSatisfaction]]=4,"Very Satisfied"
)</f>
        <v>Very Dissatisfied</v>
      </c>
      <c r="O686" t="s">
        <v>46</v>
      </c>
      <c r="P686">
        <v>67</v>
      </c>
      <c r="Q686">
        <v>2</v>
      </c>
      <c r="R686">
        <v>3</v>
      </c>
      <c r="S686" t="s">
        <v>40</v>
      </c>
      <c r="T686">
        <v>2</v>
      </c>
      <c r="U686" t="str" cm="1">
        <f t="array" ref="U686">_xlfn.IFS(
HRData[[#This Row],[JobSatisfaction]]=1,"Very Dissatisfied",
HRData[[#This Row],[JobSatisfaction]]=2,"Dissatisfied",
HRData[[#This Row],[JobSatisfaction]]=3,"Satisfied",
HRData[[#This Row],[JobSatisfaction]]=4,"Very Satisfied"
)</f>
        <v>Dissatisfied</v>
      </c>
      <c r="V686" t="s">
        <v>52</v>
      </c>
      <c r="W686">
        <v>9705</v>
      </c>
      <c r="X686" t="str" cm="1">
        <f t="array" ref="X686">_xlfn.IFS(
HRData[[#This Row],[MonthlyIncome]]&lt;=4000,"Very Low Income",
HRData[[#This Row],[MonthlyIncome]]&lt;=8000,"Low Income",
HRData[[#This Row],[MonthlyIncome]]&lt;=12000,"Moderate Income",
HRData[[#This Row],[MonthlyIncome]]&lt;=16000,"High Income",
HRData[[#This Row],[MonthlyIncome]]&gt;16000,"Very High Income"
)</f>
        <v>Moderate Income</v>
      </c>
      <c r="Y686">
        <v>20652</v>
      </c>
      <c r="Z686">
        <v>2</v>
      </c>
      <c r="AA686" t="s">
        <v>42</v>
      </c>
      <c r="AB686" t="s">
        <v>43</v>
      </c>
      <c r="AC686">
        <v>12</v>
      </c>
      <c r="AD686" t="str" cm="1">
        <f t="array" ref="AD686">_xlfn.IFS(HRData[[#This Row],[PercentSalaryHike]]&lt;=15,"11-15",HRData[[#This Row],[PercentSalaryHike]]&lt;=20,"16-20",HRData[[#This Row],[PercentSalaryHike]]&gt;=21,"21+")</f>
        <v>11-15</v>
      </c>
      <c r="AE686">
        <v>3</v>
      </c>
      <c r="AF686">
        <v>2</v>
      </c>
      <c r="AG686">
        <v>80</v>
      </c>
      <c r="AH686">
        <v>1</v>
      </c>
      <c r="AI686">
        <v>11</v>
      </c>
      <c r="AJ686">
        <v>2</v>
      </c>
      <c r="AK686">
        <v>2</v>
      </c>
      <c r="AL686">
        <v>1</v>
      </c>
      <c r="AM686">
        <v>0</v>
      </c>
      <c r="AN686">
        <v>0</v>
      </c>
      <c r="AO686">
        <v>0</v>
      </c>
      <c r="AP68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686" t="str">
        <f>IF(HRData[[#This Row],[Attrition]]="Yes","Left", IF(HRData[[#This Row],[Attrition_Risk_Score]]&gt;=6,"High",IF(HRData[[#This Row],[Attrition_Risk_Score]]&gt;=3,"Medium","Low")))</f>
        <v>Low</v>
      </c>
      <c r="AR686" t="str">
        <f>IF(HRData[[#This Row],[Attrition_Risk_Level]]&lt;&gt;"High","",HRData[[#This Row],[Attrition_Risk_Score]]*10000-HRData[[#This Row],[EmployeeNumber]])</f>
        <v/>
      </c>
    </row>
    <row r="687" spans="1:44">
      <c r="A687">
        <v>26</v>
      </c>
      <c r="B687" t="str" cm="1">
        <f t="array" ref="B687">_xlfn.IFS(
HRData[[#This Row],[Age]]&lt;=24,"18-24",
HRData[[#This Row],[Age]]&lt;=34,"25-34",
HRData[[#This Row],[Age]]&lt;=44,"35-44",
HRData[[#This Row],[Age]]&lt;=54,"45-54",
HRData[[#This Row],[Age]]&gt;=55,"55+"
)</f>
        <v>25-34</v>
      </c>
      <c r="C687" t="s">
        <v>43</v>
      </c>
      <c r="D687">
        <f>IF(HRData[[#This Row],[Attrition]]="Yes",1,0)</f>
        <v>0</v>
      </c>
      <c r="E687" t="s">
        <v>44</v>
      </c>
      <c r="F687">
        <v>1283</v>
      </c>
      <c r="G687" t="s">
        <v>37</v>
      </c>
      <c r="H687">
        <v>1</v>
      </c>
      <c r="I687">
        <v>3</v>
      </c>
      <c r="J687" t="s">
        <v>51</v>
      </c>
      <c r="K687">
        <v>1</v>
      </c>
      <c r="L687">
        <v>956</v>
      </c>
      <c r="M687">
        <v>3</v>
      </c>
      <c r="N687" t="str" cm="1">
        <f t="array" ref="N687">_xlfn.IFS(HRData[[#This Row],[EnvironmentSatisfaction]]=1,"Very Dissatisfied",
HRData[[#This Row],[EnvironmentSatisfaction]]=2,"Dissatisfied",
HRData[[#This Row],[EnvironmentSatisfaction]]=3,"Satisfied",
HRData[[#This Row],[EnvironmentSatisfaction]]=4,"Very Satisfied"
)</f>
        <v>Satisfied</v>
      </c>
      <c r="O687" t="s">
        <v>46</v>
      </c>
      <c r="P687">
        <v>52</v>
      </c>
      <c r="Q687">
        <v>2</v>
      </c>
      <c r="R687">
        <v>2</v>
      </c>
      <c r="S687" t="s">
        <v>40</v>
      </c>
      <c r="T687">
        <v>1</v>
      </c>
      <c r="U687" t="str" cm="1">
        <f t="array" ref="U687">_xlfn.IFS(
HRData[[#This Row],[JobSatisfaction]]=1,"Very Dissatisfied",
HRData[[#This Row],[JobSatisfaction]]=2,"Dissatisfied",
HRData[[#This Row],[JobSatisfaction]]=3,"Satisfied",
HRData[[#This Row],[JobSatisfaction]]=4,"Very Satisfied"
)</f>
        <v>Very Dissatisfied</v>
      </c>
      <c r="V687" t="s">
        <v>41</v>
      </c>
      <c r="W687">
        <v>4294</v>
      </c>
      <c r="X687" t="str" cm="1">
        <f t="array" ref="X687">_xlfn.IFS(
HRData[[#This Row],[MonthlyIncome]]&lt;=4000,"Very Low Income",
HRData[[#This Row],[MonthlyIncome]]&lt;=8000,"Low Income",
HRData[[#This Row],[MonthlyIncome]]&lt;=12000,"Moderate Income",
HRData[[#This Row],[MonthlyIncome]]&lt;=16000,"High Income",
HRData[[#This Row],[MonthlyIncome]]&gt;16000,"Very High Income"
)</f>
        <v>Low Income</v>
      </c>
      <c r="Y687">
        <v>11148</v>
      </c>
      <c r="Z687">
        <v>1</v>
      </c>
      <c r="AA687" t="s">
        <v>42</v>
      </c>
      <c r="AB687" t="s">
        <v>43</v>
      </c>
      <c r="AC687">
        <v>12</v>
      </c>
      <c r="AD687" t="str" cm="1">
        <f t="array" ref="AD687">_xlfn.IFS(HRData[[#This Row],[PercentSalaryHike]]&lt;=15,"11-15",HRData[[#This Row],[PercentSalaryHike]]&lt;=20,"16-20",HRData[[#This Row],[PercentSalaryHike]]&gt;=21,"21+")</f>
        <v>11-15</v>
      </c>
      <c r="AE687">
        <v>3</v>
      </c>
      <c r="AF687">
        <v>2</v>
      </c>
      <c r="AG687">
        <v>80</v>
      </c>
      <c r="AH687">
        <v>0</v>
      </c>
      <c r="AI687">
        <v>7</v>
      </c>
      <c r="AJ687">
        <v>2</v>
      </c>
      <c r="AK687">
        <v>3</v>
      </c>
      <c r="AL687">
        <v>7</v>
      </c>
      <c r="AM687">
        <v>7</v>
      </c>
      <c r="AN687">
        <v>0</v>
      </c>
      <c r="AO687">
        <v>7</v>
      </c>
      <c r="AP68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87" t="str">
        <f>IF(HRData[[#This Row],[Attrition]]="Yes","Left", IF(HRData[[#This Row],[Attrition_Risk_Score]]&gt;=6,"High",IF(HRData[[#This Row],[Attrition_Risk_Score]]&gt;=3,"Medium","Low")))</f>
        <v>Medium</v>
      </c>
      <c r="AR687" t="str">
        <f>IF(HRData[[#This Row],[Attrition_Risk_Level]]&lt;&gt;"High","",HRData[[#This Row],[Attrition_Risk_Score]]*10000-HRData[[#This Row],[EmployeeNumber]])</f>
        <v/>
      </c>
    </row>
    <row r="688" spans="1:44">
      <c r="A688">
        <v>41</v>
      </c>
      <c r="B688" t="str" cm="1">
        <f t="array" ref="B688">_xlfn.IFS(
HRData[[#This Row],[Age]]&lt;=24,"18-24",
HRData[[#This Row],[Age]]&lt;=34,"25-34",
HRData[[#This Row],[Age]]&lt;=44,"35-44",
HRData[[#This Row],[Age]]&lt;=54,"45-54",
HRData[[#This Row],[Age]]&gt;=55,"55+"
)</f>
        <v>35-44</v>
      </c>
      <c r="C688" t="s">
        <v>43</v>
      </c>
      <c r="D688">
        <f>IF(HRData[[#This Row],[Attrition]]="Yes",1,0)</f>
        <v>0</v>
      </c>
      <c r="E688" t="s">
        <v>36</v>
      </c>
      <c r="F688">
        <v>263</v>
      </c>
      <c r="G688" t="s">
        <v>45</v>
      </c>
      <c r="H688">
        <v>6</v>
      </c>
      <c r="I688">
        <v>3</v>
      </c>
      <c r="J688" t="s">
        <v>51</v>
      </c>
      <c r="K688">
        <v>1</v>
      </c>
      <c r="L688">
        <v>957</v>
      </c>
      <c r="M688">
        <v>4</v>
      </c>
      <c r="N688" t="str" cm="1">
        <f t="array" ref="N688">_xlfn.IFS(HRData[[#This Row],[EnvironmentSatisfaction]]=1,"Very Dissatisfied",
HRData[[#This Row],[EnvironmentSatisfaction]]=2,"Dissatisfied",
HRData[[#This Row],[EnvironmentSatisfaction]]=3,"Satisfied",
HRData[[#This Row],[EnvironmentSatisfaction]]=4,"Very Satisfied"
)</f>
        <v>Very Satisfied</v>
      </c>
      <c r="O688" t="s">
        <v>46</v>
      </c>
      <c r="P688">
        <v>59</v>
      </c>
      <c r="Q688">
        <v>3</v>
      </c>
      <c r="R688">
        <v>1</v>
      </c>
      <c r="S688" t="s">
        <v>50</v>
      </c>
      <c r="T688">
        <v>1</v>
      </c>
      <c r="U688" t="str" cm="1">
        <f t="array" ref="U688">_xlfn.IFS(
HRData[[#This Row],[JobSatisfaction]]=1,"Very Dissatisfied",
HRData[[#This Row],[JobSatisfaction]]=2,"Dissatisfied",
HRData[[#This Row],[JobSatisfaction]]=3,"Satisfied",
HRData[[#This Row],[JobSatisfaction]]=4,"Very Satisfied"
)</f>
        <v>Very Dissatisfied</v>
      </c>
      <c r="V688" t="s">
        <v>41</v>
      </c>
      <c r="W688">
        <v>4721</v>
      </c>
      <c r="X688" t="str" cm="1">
        <f t="array" ref="X688">_xlfn.IFS(
HRData[[#This Row],[MonthlyIncome]]&lt;=4000,"Very Low Income",
HRData[[#This Row],[MonthlyIncome]]&lt;=8000,"Low Income",
HRData[[#This Row],[MonthlyIncome]]&lt;=12000,"Moderate Income",
HRData[[#This Row],[MonthlyIncome]]&lt;=16000,"High Income",
HRData[[#This Row],[MonthlyIncome]]&gt;16000,"Very High Income"
)</f>
        <v>Low Income</v>
      </c>
      <c r="Y688">
        <v>3119</v>
      </c>
      <c r="Z688">
        <v>2</v>
      </c>
      <c r="AA688" t="s">
        <v>42</v>
      </c>
      <c r="AB688" t="s">
        <v>35</v>
      </c>
      <c r="AC688">
        <v>13</v>
      </c>
      <c r="AD688" t="str" cm="1">
        <f t="array" ref="AD688">_xlfn.IFS(HRData[[#This Row],[PercentSalaryHike]]&lt;=15,"11-15",HRData[[#This Row],[PercentSalaryHike]]&lt;=20,"16-20",HRData[[#This Row],[PercentSalaryHike]]&gt;=21,"21+")</f>
        <v>11-15</v>
      </c>
      <c r="AE688">
        <v>3</v>
      </c>
      <c r="AF688">
        <v>3</v>
      </c>
      <c r="AG688">
        <v>80</v>
      </c>
      <c r="AH688">
        <v>0</v>
      </c>
      <c r="AI688">
        <v>20</v>
      </c>
      <c r="AJ688">
        <v>3</v>
      </c>
      <c r="AK688">
        <v>3</v>
      </c>
      <c r="AL688">
        <v>18</v>
      </c>
      <c r="AM688">
        <v>13</v>
      </c>
      <c r="AN688">
        <v>2</v>
      </c>
      <c r="AO688">
        <v>17</v>
      </c>
      <c r="AP68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688" t="str">
        <f>IF(HRData[[#This Row],[Attrition]]="Yes","Left", IF(HRData[[#This Row],[Attrition_Risk_Score]]&gt;=6,"High",IF(HRData[[#This Row],[Attrition_Risk_Score]]&gt;=3,"Medium","Low")))</f>
        <v>High</v>
      </c>
      <c r="AR688">
        <f>IF(HRData[[#This Row],[Attrition_Risk_Level]]&lt;&gt;"High","",HRData[[#This Row],[Attrition_Risk_Score]]*10000-HRData[[#This Row],[EmployeeNumber]])</f>
        <v>59043</v>
      </c>
    </row>
    <row r="689" spans="1:44">
      <c r="A689">
        <v>36</v>
      </c>
      <c r="B689" t="str" cm="1">
        <f t="array" ref="B689">_xlfn.IFS(
HRData[[#This Row],[Age]]&lt;=24,"18-24",
HRData[[#This Row],[Age]]&lt;=34,"25-34",
HRData[[#This Row],[Age]]&lt;=44,"35-44",
HRData[[#This Row],[Age]]&lt;=54,"45-54",
HRData[[#This Row],[Age]]&gt;=55,"55+"
)</f>
        <v>35-44</v>
      </c>
      <c r="C689" t="s">
        <v>43</v>
      </c>
      <c r="D689">
        <f>IF(HRData[[#This Row],[Attrition]]="Yes",1,0)</f>
        <v>0</v>
      </c>
      <c r="E689" t="s">
        <v>36</v>
      </c>
      <c r="F689">
        <v>938</v>
      </c>
      <c r="G689" t="s">
        <v>45</v>
      </c>
      <c r="H689">
        <v>2</v>
      </c>
      <c r="I689">
        <v>4</v>
      </c>
      <c r="J689" t="s">
        <v>51</v>
      </c>
      <c r="K689">
        <v>1</v>
      </c>
      <c r="L689">
        <v>958</v>
      </c>
      <c r="M689">
        <v>3</v>
      </c>
      <c r="N689" t="str" cm="1">
        <f t="array" ref="N689">_xlfn.IFS(HRData[[#This Row],[EnvironmentSatisfaction]]=1,"Very Dissatisfied",
HRData[[#This Row],[EnvironmentSatisfaction]]=2,"Dissatisfied",
HRData[[#This Row],[EnvironmentSatisfaction]]=3,"Satisfied",
HRData[[#This Row],[EnvironmentSatisfaction]]=4,"Very Satisfied"
)</f>
        <v>Satisfied</v>
      </c>
      <c r="O689" t="s">
        <v>46</v>
      </c>
      <c r="P689">
        <v>79</v>
      </c>
      <c r="Q689">
        <v>3</v>
      </c>
      <c r="R689">
        <v>1</v>
      </c>
      <c r="S689" t="s">
        <v>50</v>
      </c>
      <c r="T689">
        <v>3</v>
      </c>
      <c r="U689" t="str" cm="1">
        <f t="array" ref="U689">_xlfn.IFS(
HRData[[#This Row],[JobSatisfaction]]=1,"Very Dissatisfied",
HRData[[#This Row],[JobSatisfaction]]=2,"Dissatisfied",
HRData[[#This Row],[JobSatisfaction]]=3,"Satisfied",
HRData[[#This Row],[JobSatisfaction]]=4,"Very Satisfied"
)</f>
        <v>Satisfied</v>
      </c>
      <c r="V689" t="s">
        <v>41</v>
      </c>
      <c r="W689">
        <v>2519</v>
      </c>
      <c r="X689" t="str" cm="1">
        <f t="array" ref="X689">_xlfn.IFS(
HRData[[#This Row],[MonthlyIncome]]&lt;=4000,"Very Low Income",
HRData[[#This Row],[MonthlyIncome]]&lt;=8000,"Low Income",
HRData[[#This Row],[MonthlyIncome]]&lt;=12000,"Moderate Income",
HRData[[#This Row],[MonthlyIncome]]&lt;=16000,"High Income",
HRData[[#This Row],[MonthlyIncome]]&gt;16000,"Very High Income"
)</f>
        <v>Very Low Income</v>
      </c>
      <c r="Y689">
        <v>12287</v>
      </c>
      <c r="Z689">
        <v>4</v>
      </c>
      <c r="AA689" t="s">
        <v>42</v>
      </c>
      <c r="AB689" t="s">
        <v>43</v>
      </c>
      <c r="AC689">
        <v>21</v>
      </c>
      <c r="AD689" t="str" cm="1">
        <f t="array" ref="AD689">_xlfn.IFS(HRData[[#This Row],[PercentSalaryHike]]&lt;=15,"11-15",HRData[[#This Row],[PercentSalaryHike]]&lt;=20,"16-20",HRData[[#This Row],[PercentSalaryHike]]&gt;=21,"21+")</f>
        <v>21+</v>
      </c>
      <c r="AE689">
        <v>4</v>
      </c>
      <c r="AF689">
        <v>3</v>
      </c>
      <c r="AG689">
        <v>80</v>
      </c>
      <c r="AH689">
        <v>0</v>
      </c>
      <c r="AI689">
        <v>16</v>
      </c>
      <c r="AJ689">
        <v>6</v>
      </c>
      <c r="AK689">
        <v>3</v>
      </c>
      <c r="AL689">
        <v>11</v>
      </c>
      <c r="AM689">
        <v>8</v>
      </c>
      <c r="AN689">
        <v>3</v>
      </c>
      <c r="AO689">
        <v>9</v>
      </c>
      <c r="AP68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89" t="str">
        <f>IF(HRData[[#This Row],[Attrition]]="Yes","Left", IF(HRData[[#This Row],[Attrition_Risk_Score]]&gt;=6,"High",IF(HRData[[#This Row],[Attrition_Risk_Score]]&gt;=3,"Medium","Low")))</f>
        <v>Medium</v>
      </c>
      <c r="AR689" t="str">
        <f>IF(HRData[[#This Row],[Attrition_Risk_Level]]&lt;&gt;"High","",HRData[[#This Row],[Attrition_Risk_Score]]*10000-HRData[[#This Row],[EmployeeNumber]])</f>
        <v/>
      </c>
    </row>
    <row r="690" spans="1:44">
      <c r="A690">
        <v>19</v>
      </c>
      <c r="B690" t="str" cm="1">
        <f t="array" ref="B690">_xlfn.IFS(
HRData[[#This Row],[Age]]&lt;=24,"18-24",
HRData[[#This Row],[Age]]&lt;=34,"25-34",
HRData[[#This Row],[Age]]&lt;=44,"35-44",
HRData[[#This Row],[Age]]&lt;=54,"45-54",
HRData[[#This Row],[Age]]&gt;=55,"55+"
)</f>
        <v>18-24</v>
      </c>
      <c r="C690" t="s">
        <v>35</v>
      </c>
      <c r="D690">
        <f>IF(HRData[[#This Row],[Attrition]]="Yes",1,0)</f>
        <v>1</v>
      </c>
      <c r="E690" t="s">
        <v>36</v>
      </c>
      <c r="F690">
        <v>419</v>
      </c>
      <c r="G690" t="s">
        <v>37</v>
      </c>
      <c r="H690">
        <v>21</v>
      </c>
      <c r="I690">
        <v>3</v>
      </c>
      <c r="J690" t="s">
        <v>49</v>
      </c>
      <c r="K690">
        <v>1</v>
      </c>
      <c r="L690">
        <v>959</v>
      </c>
      <c r="M690">
        <v>4</v>
      </c>
      <c r="N690" t="str" cm="1">
        <f t="array" ref="N690">_xlfn.IFS(HRData[[#This Row],[EnvironmentSatisfaction]]=1,"Very Dissatisfied",
HRData[[#This Row],[EnvironmentSatisfaction]]=2,"Dissatisfied",
HRData[[#This Row],[EnvironmentSatisfaction]]=3,"Satisfied",
HRData[[#This Row],[EnvironmentSatisfaction]]=4,"Very Satisfied"
)</f>
        <v>Very Satisfied</v>
      </c>
      <c r="O690" t="s">
        <v>46</v>
      </c>
      <c r="P690">
        <v>37</v>
      </c>
      <c r="Q690">
        <v>2</v>
      </c>
      <c r="R690">
        <v>1</v>
      </c>
      <c r="S690" t="s">
        <v>57</v>
      </c>
      <c r="T690">
        <v>2</v>
      </c>
      <c r="U690" t="str" cm="1">
        <f t="array" ref="U690">_xlfn.IFS(
HRData[[#This Row],[JobSatisfaction]]=1,"Very Dissatisfied",
HRData[[#This Row],[JobSatisfaction]]=2,"Dissatisfied",
HRData[[#This Row],[JobSatisfaction]]=3,"Satisfied",
HRData[[#This Row],[JobSatisfaction]]=4,"Very Satisfied"
)</f>
        <v>Dissatisfied</v>
      </c>
      <c r="V690" t="s">
        <v>41</v>
      </c>
      <c r="W690">
        <v>2121</v>
      </c>
      <c r="X690" t="str" cm="1">
        <f t="array" ref="X690">_xlfn.IFS(
HRData[[#This Row],[MonthlyIncome]]&lt;=4000,"Very Low Income",
HRData[[#This Row],[MonthlyIncome]]&lt;=8000,"Low Income",
HRData[[#This Row],[MonthlyIncome]]&lt;=12000,"Moderate Income",
HRData[[#This Row],[MonthlyIncome]]&lt;=16000,"High Income",
HRData[[#This Row],[MonthlyIncome]]&gt;16000,"Very High Income"
)</f>
        <v>Very Low Income</v>
      </c>
      <c r="Y690">
        <v>9947</v>
      </c>
      <c r="Z690">
        <v>1</v>
      </c>
      <c r="AA690" t="s">
        <v>42</v>
      </c>
      <c r="AB690" t="s">
        <v>35</v>
      </c>
      <c r="AC690">
        <v>13</v>
      </c>
      <c r="AD690" t="str" cm="1">
        <f t="array" ref="AD690">_xlfn.IFS(HRData[[#This Row],[PercentSalaryHike]]&lt;=15,"11-15",HRData[[#This Row],[PercentSalaryHike]]&lt;=20,"16-20",HRData[[#This Row],[PercentSalaryHike]]&gt;=21,"21+")</f>
        <v>11-15</v>
      </c>
      <c r="AE690">
        <v>3</v>
      </c>
      <c r="AF690">
        <v>2</v>
      </c>
      <c r="AG690">
        <v>80</v>
      </c>
      <c r="AH690">
        <v>0</v>
      </c>
      <c r="AI690">
        <v>1</v>
      </c>
      <c r="AJ690">
        <v>3</v>
      </c>
      <c r="AK690">
        <v>4</v>
      </c>
      <c r="AL690">
        <v>1</v>
      </c>
      <c r="AM690">
        <v>0</v>
      </c>
      <c r="AN690">
        <v>0</v>
      </c>
      <c r="AO690">
        <v>0</v>
      </c>
      <c r="AP69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90" t="str">
        <f>IF(HRData[[#This Row],[Attrition]]="Yes","Left", IF(HRData[[#This Row],[Attrition_Risk_Score]]&gt;=6,"High",IF(HRData[[#This Row],[Attrition_Risk_Score]]&gt;=3,"Medium","Low")))</f>
        <v>Left</v>
      </c>
      <c r="AR690" t="str">
        <f>IF(HRData[[#This Row],[Attrition_Risk_Level]]&lt;&gt;"High","",HRData[[#This Row],[Attrition_Risk_Score]]*10000-HRData[[#This Row],[EmployeeNumber]])</f>
        <v/>
      </c>
    </row>
    <row r="691" spans="1:44">
      <c r="A691">
        <v>20</v>
      </c>
      <c r="B691" t="str" cm="1">
        <f t="array" ref="B691">_xlfn.IFS(
HRData[[#This Row],[Age]]&lt;=24,"18-24",
HRData[[#This Row],[Age]]&lt;=34,"25-34",
HRData[[#This Row],[Age]]&lt;=44,"35-44",
HRData[[#This Row],[Age]]&lt;=54,"45-54",
HRData[[#This Row],[Age]]&gt;=55,"55+"
)</f>
        <v>18-24</v>
      </c>
      <c r="C691" t="s">
        <v>35</v>
      </c>
      <c r="D691">
        <f>IF(HRData[[#This Row],[Attrition]]="Yes",1,0)</f>
        <v>1</v>
      </c>
      <c r="E691" t="s">
        <v>36</v>
      </c>
      <c r="F691">
        <v>129</v>
      </c>
      <c r="G691" t="s">
        <v>45</v>
      </c>
      <c r="H691">
        <v>4</v>
      </c>
      <c r="I691">
        <v>3</v>
      </c>
      <c r="J691" t="s">
        <v>60</v>
      </c>
      <c r="K691">
        <v>1</v>
      </c>
      <c r="L691">
        <v>960</v>
      </c>
      <c r="M691">
        <v>1</v>
      </c>
      <c r="N691" t="str" cm="1">
        <f t="array" ref="N691">_xlfn.IFS(HRData[[#This Row],[EnvironmentSatisfaction]]=1,"Very Dissatisfied",
HRData[[#This Row],[EnvironmentSatisfaction]]=2,"Dissatisfied",
HRData[[#This Row],[EnvironmentSatisfaction]]=3,"Satisfied",
HRData[[#This Row],[EnvironmentSatisfaction]]=4,"Very Satisfied"
)</f>
        <v>Very Dissatisfied</v>
      </c>
      <c r="O691" t="s">
        <v>46</v>
      </c>
      <c r="P691">
        <v>84</v>
      </c>
      <c r="Q691">
        <v>3</v>
      </c>
      <c r="R691">
        <v>1</v>
      </c>
      <c r="S691" t="s">
        <v>50</v>
      </c>
      <c r="T691">
        <v>1</v>
      </c>
      <c r="U691" t="str" cm="1">
        <f t="array" ref="U691">_xlfn.IFS(
HRData[[#This Row],[JobSatisfaction]]=1,"Very Dissatisfied",
HRData[[#This Row],[JobSatisfaction]]=2,"Dissatisfied",
HRData[[#This Row],[JobSatisfaction]]=3,"Satisfied",
HRData[[#This Row],[JobSatisfaction]]=4,"Very Satisfied"
)</f>
        <v>Very Dissatisfied</v>
      </c>
      <c r="V691" t="s">
        <v>41</v>
      </c>
      <c r="W691">
        <v>2973</v>
      </c>
      <c r="X691" t="str" cm="1">
        <f t="array" ref="X691">_xlfn.IFS(
HRData[[#This Row],[MonthlyIncome]]&lt;=4000,"Very Low Income",
HRData[[#This Row],[MonthlyIncome]]&lt;=8000,"Low Income",
HRData[[#This Row],[MonthlyIncome]]&lt;=12000,"Moderate Income",
HRData[[#This Row],[MonthlyIncome]]&lt;=16000,"High Income",
HRData[[#This Row],[MonthlyIncome]]&gt;16000,"Very High Income"
)</f>
        <v>Very Low Income</v>
      </c>
      <c r="Y691">
        <v>13008</v>
      </c>
      <c r="Z691">
        <v>1</v>
      </c>
      <c r="AA691" t="s">
        <v>42</v>
      </c>
      <c r="AB691" t="s">
        <v>43</v>
      </c>
      <c r="AC691">
        <v>19</v>
      </c>
      <c r="AD691" t="str" cm="1">
        <f t="array" ref="AD691">_xlfn.IFS(HRData[[#This Row],[PercentSalaryHike]]&lt;=15,"11-15",HRData[[#This Row],[PercentSalaryHike]]&lt;=20,"16-20",HRData[[#This Row],[PercentSalaryHike]]&gt;=21,"21+")</f>
        <v>16-20</v>
      </c>
      <c r="AE691">
        <v>3</v>
      </c>
      <c r="AF691">
        <v>2</v>
      </c>
      <c r="AG691">
        <v>80</v>
      </c>
      <c r="AH691">
        <v>0</v>
      </c>
      <c r="AI691">
        <v>1</v>
      </c>
      <c r="AJ691">
        <v>2</v>
      </c>
      <c r="AK691">
        <v>3</v>
      </c>
      <c r="AL691">
        <v>1</v>
      </c>
      <c r="AM691">
        <v>0</v>
      </c>
      <c r="AN691">
        <v>0</v>
      </c>
      <c r="AO691">
        <v>0</v>
      </c>
      <c r="AP69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91" t="str">
        <f>IF(HRData[[#This Row],[Attrition]]="Yes","Left", IF(HRData[[#This Row],[Attrition_Risk_Score]]&gt;=6,"High",IF(HRData[[#This Row],[Attrition_Risk_Score]]&gt;=3,"Medium","Low")))</f>
        <v>Left</v>
      </c>
      <c r="AR691" t="str">
        <f>IF(HRData[[#This Row],[Attrition_Risk_Level]]&lt;&gt;"High","",HRData[[#This Row],[Attrition_Risk_Score]]*10000-HRData[[#This Row],[EmployeeNumber]])</f>
        <v/>
      </c>
    </row>
    <row r="692" spans="1:44">
      <c r="A692">
        <v>31</v>
      </c>
      <c r="B692" t="str" cm="1">
        <f t="array" ref="B692">_xlfn.IFS(
HRData[[#This Row],[Age]]&lt;=24,"18-24",
HRData[[#This Row],[Age]]&lt;=34,"25-34",
HRData[[#This Row],[Age]]&lt;=44,"35-44",
HRData[[#This Row],[Age]]&lt;=54,"45-54",
HRData[[#This Row],[Age]]&gt;=55,"55+"
)</f>
        <v>25-34</v>
      </c>
      <c r="C692" t="s">
        <v>43</v>
      </c>
      <c r="D692">
        <f>IF(HRData[[#This Row],[Attrition]]="Yes",1,0)</f>
        <v>0</v>
      </c>
      <c r="E692" t="s">
        <v>36</v>
      </c>
      <c r="F692">
        <v>616</v>
      </c>
      <c r="G692" t="s">
        <v>45</v>
      </c>
      <c r="H692">
        <v>12</v>
      </c>
      <c r="I692">
        <v>3</v>
      </c>
      <c r="J692" t="s">
        <v>51</v>
      </c>
      <c r="K692">
        <v>1</v>
      </c>
      <c r="L692">
        <v>961</v>
      </c>
      <c r="M692">
        <v>4</v>
      </c>
      <c r="N692" t="str" cm="1">
        <f t="array" ref="N692">_xlfn.IFS(HRData[[#This Row],[EnvironmentSatisfaction]]=1,"Very Dissatisfied",
HRData[[#This Row],[EnvironmentSatisfaction]]=2,"Dissatisfied",
HRData[[#This Row],[EnvironmentSatisfaction]]=3,"Satisfied",
HRData[[#This Row],[EnvironmentSatisfaction]]=4,"Very Satisfied"
)</f>
        <v>Very Satisfied</v>
      </c>
      <c r="O692" t="s">
        <v>39</v>
      </c>
      <c r="P692">
        <v>41</v>
      </c>
      <c r="Q692">
        <v>3</v>
      </c>
      <c r="R692">
        <v>2</v>
      </c>
      <c r="S692" t="s">
        <v>54</v>
      </c>
      <c r="T692">
        <v>4</v>
      </c>
      <c r="U692" t="str" cm="1">
        <f t="array" ref="U692">_xlfn.IFS(
HRData[[#This Row],[JobSatisfaction]]=1,"Very Dissatisfied",
HRData[[#This Row],[JobSatisfaction]]=2,"Dissatisfied",
HRData[[#This Row],[JobSatisfaction]]=3,"Satisfied",
HRData[[#This Row],[JobSatisfaction]]=4,"Very Satisfied"
)</f>
        <v>Very Satisfied</v>
      </c>
      <c r="V692" t="s">
        <v>48</v>
      </c>
      <c r="W692">
        <v>5855</v>
      </c>
      <c r="X692" t="str" cm="1">
        <f t="array" ref="X692">_xlfn.IFS(
HRData[[#This Row],[MonthlyIncome]]&lt;=4000,"Very Low Income",
HRData[[#This Row],[MonthlyIncome]]&lt;=8000,"Low Income",
HRData[[#This Row],[MonthlyIncome]]&lt;=12000,"Moderate Income",
HRData[[#This Row],[MonthlyIncome]]&lt;=16000,"High Income",
HRData[[#This Row],[MonthlyIncome]]&gt;16000,"Very High Income"
)</f>
        <v>Low Income</v>
      </c>
      <c r="Y692">
        <v>17369</v>
      </c>
      <c r="Z692">
        <v>0</v>
      </c>
      <c r="AA692" t="s">
        <v>42</v>
      </c>
      <c r="AB692" t="s">
        <v>35</v>
      </c>
      <c r="AC692">
        <v>11</v>
      </c>
      <c r="AD692" t="str" cm="1">
        <f t="array" ref="AD692">_xlfn.IFS(HRData[[#This Row],[PercentSalaryHike]]&lt;=15,"11-15",HRData[[#This Row],[PercentSalaryHike]]&lt;=20,"16-20",HRData[[#This Row],[PercentSalaryHike]]&gt;=21,"21+")</f>
        <v>11-15</v>
      </c>
      <c r="AE692">
        <v>3</v>
      </c>
      <c r="AF692">
        <v>3</v>
      </c>
      <c r="AG692">
        <v>80</v>
      </c>
      <c r="AH692">
        <v>2</v>
      </c>
      <c r="AI692">
        <v>10</v>
      </c>
      <c r="AJ692">
        <v>2</v>
      </c>
      <c r="AK692">
        <v>1</v>
      </c>
      <c r="AL692">
        <v>9</v>
      </c>
      <c r="AM692">
        <v>7</v>
      </c>
      <c r="AN692">
        <v>8</v>
      </c>
      <c r="AO692">
        <v>5</v>
      </c>
      <c r="AP69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92" t="str">
        <f>IF(HRData[[#This Row],[Attrition]]="Yes","Left", IF(HRData[[#This Row],[Attrition_Risk_Score]]&gt;=6,"High",IF(HRData[[#This Row],[Attrition_Risk_Score]]&gt;=3,"Medium","Low")))</f>
        <v>Medium</v>
      </c>
      <c r="AR692" t="str">
        <f>IF(HRData[[#This Row],[Attrition_Risk_Level]]&lt;&gt;"High","",HRData[[#This Row],[Attrition_Risk_Score]]*10000-HRData[[#This Row],[EmployeeNumber]])</f>
        <v/>
      </c>
    </row>
    <row r="693" spans="1:44">
      <c r="A693">
        <v>40</v>
      </c>
      <c r="B693" t="str" cm="1">
        <f t="array" ref="B693">_xlfn.IFS(
HRData[[#This Row],[Age]]&lt;=24,"18-24",
HRData[[#This Row],[Age]]&lt;=34,"25-34",
HRData[[#This Row],[Age]]&lt;=44,"35-44",
HRData[[#This Row],[Age]]&lt;=54,"45-54",
HRData[[#This Row],[Age]]&gt;=55,"55+"
)</f>
        <v>35-44</v>
      </c>
      <c r="C693" t="s">
        <v>43</v>
      </c>
      <c r="D693">
        <f>IF(HRData[[#This Row],[Attrition]]="Yes",1,0)</f>
        <v>0</v>
      </c>
      <c r="E693" t="s">
        <v>44</v>
      </c>
      <c r="F693">
        <v>1469</v>
      </c>
      <c r="G693" t="s">
        <v>45</v>
      </c>
      <c r="H693">
        <v>9</v>
      </c>
      <c r="I693">
        <v>4</v>
      </c>
      <c r="J693" t="s">
        <v>51</v>
      </c>
      <c r="K693">
        <v>1</v>
      </c>
      <c r="L693">
        <v>964</v>
      </c>
      <c r="M693">
        <v>4</v>
      </c>
      <c r="N693" t="str" cm="1">
        <f t="array" ref="N693">_xlfn.IFS(HRData[[#This Row],[EnvironmentSatisfaction]]=1,"Very Dissatisfied",
HRData[[#This Row],[EnvironmentSatisfaction]]=2,"Dissatisfied",
HRData[[#This Row],[EnvironmentSatisfaction]]=3,"Satisfied",
HRData[[#This Row],[EnvironmentSatisfaction]]=4,"Very Satisfied"
)</f>
        <v>Very Satisfied</v>
      </c>
      <c r="O693" t="s">
        <v>46</v>
      </c>
      <c r="P693">
        <v>35</v>
      </c>
      <c r="Q693">
        <v>3</v>
      </c>
      <c r="R693">
        <v>1</v>
      </c>
      <c r="S693" t="s">
        <v>47</v>
      </c>
      <c r="T693">
        <v>2</v>
      </c>
      <c r="U693" t="str" cm="1">
        <f t="array" ref="U693">_xlfn.IFS(
HRData[[#This Row],[JobSatisfaction]]=1,"Very Dissatisfied",
HRData[[#This Row],[JobSatisfaction]]=2,"Dissatisfied",
HRData[[#This Row],[JobSatisfaction]]=3,"Satisfied",
HRData[[#This Row],[JobSatisfaction]]=4,"Very Satisfied"
)</f>
        <v>Dissatisfied</v>
      </c>
      <c r="V693" t="s">
        <v>52</v>
      </c>
      <c r="W693">
        <v>3617</v>
      </c>
      <c r="X693" t="str" cm="1">
        <f t="array" ref="X693">_xlfn.IFS(
HRData[[#This Row],[MonthlyIncome]]&lt;=4000,"Very Low Income",
HRData[[#This Row],[MonthlyIncome]]&lt;=8000,"Low Income",
HRData[[#This Row],[MonthlyIncome]]&lt;=12000,"Moderate Income",
HRData[[#This Row],[MonthlyIncome]]&lt;=16000,"High Income",
HRData[[#This Row],[MonthlyIncome]]&gt;16000,"Very High Income"
)</f>
        <v>Very Low Income</v>
      </c>
      <c r="Y693">
        <v>25063</v>
      </c>
      <c r="Z693">
        <v>8</v>
      </c>
      <c r="AA693" t="s">
        <v>42</v>
      </c>
      <c r="AB693" t="s">
        <v>35</v>
      </c>
      <c r="AC693">
        <v>14</v>
      </c>
      <c r="AD693" t="str" cm="1">
        <f t="array" ref="AD693">_xlfn.IFS(HRData[[#This Row],[PercentSalaryHike]]&lt;=15,"11-15",HRData[[#This Row],[PercentSalaryHike]]&lt;=20,"16-20",HRData[[#This Row],[PercentSalaryHike]]&gt;=21,"21+")</f>
        <v>11-15</v>
      </c>
      <c r="AE693">
        <v>3</v>
      </c>
      <c r="AF693">
        <v>4</v>
      </c>
      <c r="AG693">
        <v>80</v>
      </c>
      <c r="AH693">
        <v>1</v>
      </c>
      <c r="AI693">
        <v>3</v>
      </c>
      <c r="AJ693">
        <v>2</v>
      </c>
      <c r="AK693">
        <v>3</v>
      </c>
      <c r="AL693">
        <v>1</v>
      </c>
      <c r="AM693">
        <v>1</v>
      </c>
      <c r="AN693">
        <v>0</v>
      </c>
      <c r="AO693">
        <v>0</v>
      </c>
      <c r="AP69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93" t="str">
        <f>IF(HRData[[#This Row],[Attrition]]="Yes","Left", IF(HRData[[#This Row],[Attrition_Risk_Score]]&gt;=6,"High",IF(HRData[[#This Row],[Attrition_Risk_Score]]&gt;=3,"Medium","Low")))</f>
        <v>Medium</v>
      </c>
      <c r="AR693" t="str">
        <f>IF(HRData[[#This Row],[Attrition_Risk_Level]]&lt;&gt;"High","",HRData[[#This Row],[Attrition_Risk_Score]]*10000-HRData[[#This Row],[EmployeeNumber]])</f>
        <v/>
      </c>
    </row>
    <row r="694" spans="1:44">
      <c r="A694">
        <v>32</v>
      </c>
      <c r="B694" t="str" cm="1">
        <f t="array" ref="B694">_xlfn.IFS(
HRData[[#This Row],[Age]]&lt;=24,"18-24",
HRData[[#This Row],[Age]]&lt;=34,"25-34",
HRData[[#This Row],[Age]]&lt;=44,"35-44",
HRData[[#This Row],[Age]]&lt;=54,"45-54",
HRData[[#This Row],[Age]]&gt;=55,"55+"
)</f>
        <v>25-34</v>
      </c>
      <c r="C694" t="s">
        <v>43</v>
      </c>
      <c r="D694">
        <f>IF(HRData[[#This Row],[Attrition]]="Yes",1,0)</f>
        <v>0</v>
      </c>
      <c r="E694" t="s">
        <v>36</v>
      </c>
      <c r="F694">
        <v>498</v>
      </c>
      <c r="G694" t="s">
        <v>45</v>
      </c>
      <c r="H694">
        <v>3</v>
      </c>
      <c r="I694">
        <v>4</v>
      </c>
      <c r="J694" t="s">
        <v>51</v>
      </c>
      <c r="K694">
        <v>1</v>
      </c>
      <c r="L694">
        <v>966</v>
      </c>
      <c r="M694">
        <v>3</v>
      </c>
      <c r="N694" t="str" cm="1">
        <f t="array" ref="N694">_xlfn.IFS(HRData[[#This Row],[EnvironmentSatisfaction]]=1,"Very Dissatisfied",
HRData[[#This Row],[EnvironmentSatisfaction]]=2,"Dissatisfied",
HRData[[#This Row],[EnvironmentSatisfaction]]=3,"Satisfied",
HRData[[#This Row],[EnvironmentSatisfaction]]=4,"Very Satisfied"
)</f>
        <v>Satisfied</v>
      </c>
      <c r="O694" t="s">
        <v>39</v>
      </c>
      <c r="P694">
        <v>93</v>
      </c>
      <c r="Q694">
        <v>3</v>
      </c>
      <c r="R694">
        <v>2</v>
      </c>
      <c r="S694" t="s">
        <v>53</v>
      </c>
      <c r="T694">
        <v>1</v>
      </c>
      <c r="U694" t="str" cm="1">
        <f t="array" ref="U694">_xlfn.IFS(
HRData[[#This Row],[JobSatisfaction]]=1,"Very Dissatisfied",
HRData[[#This Row],[JobSatisfaction]]=2,"Dissatisfied",
HRData[[#This Row],[JobSatisfaction]]=3,"Satisfied",
HRData[[#This Row],[JobSatisfaction]]=4,"Very Satisfied"
)</f>
        <v>Very Dissatisfied</v>
      </c>
      <c r="V694" t="s">
        <v>48</v>
      </c>
      <c r="W694">
        <v>6725</v>
      </c>
      <c r="X694" t="str" cm="1">
        <f t="array" ref="X694">_xlfn.IFS(
HRData[[#This Row],[MonthlyIncome]]&lt;=4000,"Very Low Income",
HRData[[#This Row],[MonthlyIncome]]&lt;=8000,"Low Income",
HRData[[#This Row],[MonthlyIncome]]&lt;=12000,"Moderate Income",
HRData[[#This Row],[MonthlyIncome]]&lt;=16000,"High Income",
HRData[[#This Row],[MonthlyIncome]]&gt;16000,"Very High Income"
)</f>
        <v>Low Income</v>
      </c>
      <c r="Y694">
        <v>13554</v>
      </c>
      <c r="Z694">
        <v>1</v>
      </c>
      <c r="AA694" t="s">
        <v>42</v>
      </c>
      <c r="AB694" t="s">
        <v>43</v>
      </c>
      <c r="AC694">
        <v>12</v>
      </c>
      <c r="AD694" t="str" cm="1">
        <f t="array" ref="AD694">_xlfn.IFS(HRData[[#This Row],[PercentSalaryHike]]&lt;=15,"11-15",HRData[[#This Row],[PercentSalaryHike]]&lt;=20,"16-20",HRData[[#This Row],[PercentSalaryHike]]&gt;=21,"21+")</f>
        <v>11-15</v>
      </c>
      <c r="AE694">
        <v>3</v>
      </c>
      <c r="AF694">
        <v>3</v>
      </c>
      <c r="AG694">
        <v>80</v>
      </c>
      <c r="AH694">
        <v>1</v>
      </c>
      <c r="AI694">
        <v>8</v>
      </c>
      <c r="AJ694">
        <v>2</v>
      </c>
      <c r="AK694">
        <v>4</v>
      </c>
      <c r="AL694">
        <v>8</v>
      </c>
      <c r="AM694">
        <v>7</v>
      </c>
      <c r="AN694">
        <v>6</v>
      </c>
      <c r="AO694">
        <v>3</v>
      </c>
      <c r="AP69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94" t="str">
        <f>IF(HRData[[#This Row],[Attrition]]="Yes","Left", IF(HRData[[#This Row],[Attrition_Risk_Score]]&gt;=6,"High",IF(HRData[[#This Row],[Attrition_Risk_Score]]&gt;=3,"Medium","Low")))</f>
        <v>Medium</v>
      </c>
      <c r="AR694" t="str">
        <f>IF(HRData[[#This Row],[Attrition_Risk_Level]]&lt;&gt;"High","",HRData[[#This Row],[Attrition_Risk_Score]]*10000-HRData[[#This Row],[EmployeeNumber]])</f>
        <v/>
      </c>
    </row>
    <row r="695" spans="1:44">
      <c r="A695">
        <v>36</v>
      </c>
      <c r="B695" t="str" cm="1">
        <f t="array" ref="B695">_xlfn.IFS(
HRData[[#This Row],[Age]]&lt;=24,"18-24",
HRData[[#This Row],[Age]]&lt;=34,"25-34",
HRData[[#This Row],[Age]]&lt;=44,"35-44",
HRData[[#This Row],[Age]]&lt;=54,"45-54",
HRData[[#This Row],[Age]]&gt;=55,"55+"
)</f>
        <v>35-44</v>
      </c>
      <c r="C695" t="s">
        <v>35</v>
      </c>
      <c r="D695">
        <f>IF(HRData[[#This Row],[Attrition]]="Yes",1,0)</f>
        <v>1</v>
      </c>
      <c r="E695" t="s">
        <v>36</v>
      </c>
      <c r="F695">
        <v>530</v>
      </c>
      <c r="G695" t="s">
        <v>37</v>
      </c>
      <c r="H695">
        <v>3</v>
      </c>
      <c r="I695">
        <v>1</v>
      </c>
      <c r="J695" t="s">
        <v>38</v>
      </c>
      <c r="K695">
        <v>1</v>
      </c>
      <c r="L695">
        <v>967</v>
      </c>
      <c r="M695">
        <v>3</v>
      </c>
      <c r="N695" t="str" cm="1">
        <f t="array" ref="N695">_xlfn.IFS(HRData[[#This Row],[EnvironmentSatisfaction]]=1,"Very Dissatisfied",
HRData[[#This Row],[EnvironmentSatisfaction]]=2,"Dissatisfied",
HRData[[#This Row],[EnvironmentSatisfaction]]=3,"Satisfied",
HRData[[#This Row],[EnvironmentSatisfaction]]=4,"Very Satisfied"
)</f>
        <v>Satisfied</v>
      </c>
      <c r="O695" t="s">
        <v>46</v>
      </c>
      <c r="P695">
        <v>51</v>
      </c>
      <c r="Q695">
        <v>2</v>
      </c>
      <c r="R695">
        <v>3</v>
      </c>
      <c r="S695" t="s">
        <v>40</v>
      </c>
      <c r="T695">
        <v>4</v>
      </c>
      <c r="U695" t="str" cm="1">
        <f t="array" ref="U695">_xlfn.IFS(
HRData[[#This Row],[JobSatisfaction]]=1,"Very Dissatisfied",
HRData[[#This Row],[JobSatisfaction]]=2,"Dissatisfied",
HRData[[#This Row],[JobSatisfaction]]=3,"Satisfied",
HRData[[#This Row],[JobSatisfaction]]=4,"Very Satisfied"
)</f>
        <v>Very Satisfied</v>
      </c>
      <c r="V695" t="s">
        <v>48</v>
      </c>
      <c r="W695">
        <v>10325</v>
      </c>
      <c r="X695" t="str" cm="1">
        <f t="array" ref="X695">_xlfn.IFS(
HRData[[#This Row],[MonthlyIncome]]&lt;=4000,"Very Low Income",
HRData[[#This Row],[MonthlyIncome]]&lt;=8000,"Low Income",
HRData[[#This Row],[MonthlyIncome]]&lt;=12000,"Moderate Income",
HRData[[#This Row],[MonthlyIncome]]&lt;=16000,"High Income",
HRData[[#This Row],[MonthlyIncome]]&gt;16000,"Very High Income"
)</f>
        <v>Moderate Income</v>
      </c>
      <c r="Y695">
        <v>5518</v>
      </c>
      <c r="Z695">
        <v>1</v>
      </c>
      <c r="AA695" t="s">
        <v>42</v>
      </c>
      <c r="AB695" t="s">
        <v>35</v>
      </c>
      <c r="AC695">
        <v>11</v>
      </c>
      <c r="AD695" t="str" cm="1">
        <f t="array" ref="AD695">_xlfn.IFS(HRData[[#This Row],[PercentSalaryHike]]&lt;=15,"11-15",HRData[[#This Row],[PercentSalaryHike]]&lt;=20,"16-20",HRData[[#This Row],[PercentSalaryHike]]&gt;=21,"21+")</f>
        <v>11-15</v>
      </c>
      <c r="AE695">
        <v>3</v>
      </c>
      <c r="AF695">
        <v>1</v>
      </c>
      <c r="AG695">
        <v>80</v>
      </c>
      <c r="AH695">
        <v>1</v>
      </c>
      <c r="AI695">
        <v>16</v>
      </c>
      <c r="AJ695">
        <v>6</v>
      </c>
      <c r="AK695">
        <v>3</v>
      </c>
      <c r="AL695">
        <v>16</v>
      </c>
      <c r="AM695">
        <v>7</v>
      </c>
      <c r="AN695">
        <v>3</v>
      </c>
      <c r="AO695">
        <v>7</v>
      </c>
      <c r="AP69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95" t="str">
        <f>IF(HRData[[#This Row],[Attrition]]="Yes","Left", IF(HRData[[#This Row],[Attrition_Risk_Score]]&gt;=6,"High",IF(HRData[[#This Row],[Attrition_Risk_Score]]&gt;=3,"Medium","Low")))</f>
        <v>Left</v>
      </c>
      <c r="AR695" t="str">
        <f>IF(HRData[[#This Row],[Attrition_Risk_Level]]&lt;&gt;"High","",HRData[[#This Row],[Attrition_Risk_Score]]*10000-HRData[[#This Row],[EmployeeNumber]])</f>
        <v/>
      </c>
    </row>
    <row r="696" spans="1:44">
      <c r="A696">
        <v>33</v>
      </c>
      <c r="B696" t="str" cm="1">
        <f t="array" ref="B696">_xlfn.IFS(
HRData[[#This Row],[Age]]&lt;=24,"18-24",
HRData[[#This Row],[Age]]&lt;=34,"25-34",
HRData[[#This Row],[Age]]&lt;=44,"35-44",
HRData[[#This Row],[Age]]&lt;=54,"45-54",
HRData[[#This Row],[Age]]&gt;=55,"55+"
)</f>
        <v>25-34</v>
      </c>
      <c r="C696" t="s">
        <v>43</v>
      </c>
      <c r="D696">
        <f>IF(HRData[[#This Row],[Attrition]]="Yes",1,0)</f>
        <v>0</v>
      </c>
      <c r="E696" t="s">
        <v>36</v>
      </c>
      <c r="F696">
        <v>1069</v>
      </c>
      <c r="G696" t="s">
        <v>45</v>
      </c>
      <c r="H696">
        <v>1</v>
      </c>
      <c r="I696">
        <v>3</v>
      </c>
      <c r="J696" t="s">
        <v>38</v>
      </c>
      <c r="K696">
        <v>1</v>
      </c>
      <c r="L696">
        <v>969</v>
      </c>
      <c r="M696">
        <v>2</v>
      </c>
      <c r="N696" t="str" cm="1">
        <f t="array" ref="N696">_xlfn.IFS(HRData[[#This Row],[EnvironmentSatisfaction]]=1,"Very Dissatisfied",
HRData[[#This Row],[EnvironmentSatisfaction]]=2,"Dissatisfied",
HRData[[#This Row],[EnvironmentSatisfaction]]=3,"Satisfied",
HRData[[#This Row],[EnvironmentSatisfaction]]=4,"Very Satisfied"
)</f>
        <v>Dissatisfied</v>
      </c>
      <c r="O696" t="s">
        <v>39</v>
      </c>
      <c r="P696">
        <v>42</v>
      </c>
      <c r="Q696">
        <v>2</v>
      </c>
      <c r="R696">
        <v>2</v>
      </c>
      <c r="S696" t="s">
        <v>54</v>
      </c>
      <c r="T696">
        <v>4</v>
      </c>
      <c r="U696" t="str" cm="1">
        <f t="array" ref="U696">_xlfn.IFS(
HRData[[#This Row],[JobSatisfaction]]=1,"Very Dissatisfied",
HRData[[#This Row],[JobSatisfaction]]=2,"Dissatisfied",
HRData[[#This Row],[JobSatisfaction]]=3,"Satisfied",
HRData[[#This Row],[JobSatisfaction]]=4,"Very Satisfied"
)</f>
        <v>Very Satisfied</v>
      </c>
      <c r="V696" t="s">
        <v>41</v>
      </c>
      <c r="W696">
        <v>6949</v>
      </c>
      <c r="X696" t="str" cm="1">
        <f t="array" ref="X696">_xlfn.IFS(
HRData[[#This Row],[MonthlyIncome]]&lt;=4000,"Very Low Income",
HRData[[#This Row],[MonthlyIncome]]&lt;=8000,"Low Income",
HRData[[#This Row],[MonthlyIncome]]&lt;=12000,"Moderate Income",
HRData[[#This Row],[MonthlyIncome]]&lt;=16000,"High Income",
HRData[[#This Row],[MonthlyIncome]]&gt;16000,"Very High Income"
)</f>
        <v>Low Income</v>
      </c>
      <c r="Y696">
        <v>12291</v>
      </c>
      <c r="Z696">
        <v>0</v>
      </c>
      <c r="AA696" t="s">
        <v>42</v>
      </c>
      <c r="AB696" t="s">
        <v>43</v>
      </c>
      <c r="AC696">
        <v>14</v>
      </c>
      <c r="AD696" t="str" cm="1">
        <f t="array" ref="AD696">_xlfn.IFS(HRData[[#This Row],[PercentSalaryHike]]&lt;=15,"11-15",HRData[[#This Row],[PercentSalaryHike]]&lt;=20,"16-20",HRData[[#This Row],[PercentSalaryHike]]&gt;=21,"21+")</f>
        <v>11-15</v>
      </c>
      <c r="AE696">
        <v>3</v>
      </c>
      <c r="AF696">
        <v>1</v>
      </c>
      <c r="AG696">
        <v>80</v>
      </c>
      <c r="AH696">
        <v>0</v>
      </c>
      <c r="AI696">
        <v>6</v>
      </c>
      <c r="AJ696">
        <v>3</v>
      </c>
      <c r="AK696">
        <v>3</v>
      </c>
      <c r="AL696">
        <v>5</v>
      </c>
      <c r="AM696">
        <v>0</v>
      </c>
      <c r="AN696">
        <v>1</v>
      </c>
      <c r="AO696">
        <v>4</v>
      </c>
      <c r="AP69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96" t="str">
        <f>IF(HRData[[#This Row],[Attrition]]="Yes","Left", IF(HRData[[#This Row],[Attrition_Risk_Score]]&gt;=6,"High",IF(HRData[[#This Row],[Attrition_Risk_Score]]&gt;=3,"Medium","Low")))</f>
        <v>Low</v>
      </c>
      <c r="AR696" t="str">
        <f>IF(HRData[[#This Row],[Attrition_Risk_Level]]&lt;&gt;"High","",HRData[[#This Row],[Attrition_Risk_Score]]*10000-HRData[[#This Row],[EmployeeNumber]])</f>
        <v/>
      </c>
    </row>
    <row r="697" spans="1:44">
      <c r="A697">
        <v>37</v>
      </c>
      <c r="B697" t="str" cm="1">
        <f t="array" ref="B697">_xlfn.IFS(
HRData[[#This Row],[Age]]&lt;=24,"18-24",
HRData[[#This Row],[Age]]&lt;=34,"25-34",
HRData[[#This Row],[Age]]&lt;=44,"35-44",
HRData[[#This Row],[Age]]&lt;=54,"45-54",
HRData[[#This Row],[Age]]&gt;=55,"55+"
)</f>
        <v>35-44</v>
      </c>
      <c r="C697" t="s">
        <v>35</v>
      </c>
      <c r="D697">
        <f>IF(HRData[[#This Row],[Attrition]]="Yes",1,0)</f>
        <v>1</v>
      </c>
      <c r="E697" t="s">
        <v>36</v>
      </c>
      <c r="F697">
        <v>625</v>
      </c>
      <c r="G697" t="s">
        <v>37</v>
      </c>
      <c r="H697">
        <v>1</v>
      </c>
      <c r="I697">
        <v>4</v>
      </c>
      <c r="J697" t="s">
        <v>38</v>
      </c>
      <c r="K697">
        <v>1</v>
      </c>
      <c r="L697">
        <v>970</v>
      </c>
      <c r="M697">
        <v>1</v>
      </c>
      <c r="N697" t="str" cm="1">
        <f t="array" ref="N697">_xlfn.IFS(HRData[[#This Row],[EnvironmentSatisfaction]]=1,"Very Dissatisfied",
HRData[[#This Row],[EnvironmentSatisfaction]]=2,"Dissatisfied",
HRData[[#This Row],[EnvironmentSatisfaction]]=3,"Satisfied",
HRData[[#This Row],[EnvironmentSatisfaction]]=4,"Very Satisfied"
)</f>
        <v>Very Dissatisfied</v>
      </c>
      <c r="O697" t="s">
        <v>46</v>
      </c>
      <c r="P697">
        <v>46</v>
      </c>
      <c r="Q697">
        <v>2</v>
      </c>
      <c r="R697">
        <v>3</v>
      </c>
      <c r="S697" t="s">
        <v>40</v>
      </c>
      <c r="T697">
        <v>3</v>
      </c>
      <c r="U697" t="str" cm="1">
        <f t="array" ref="U697">_xlfn.IFS(
HRData[[#This Row],[JobSatisfaction]]=1,"Very Dissatisfied",
HRData[[#This Row],[JobSatisfaction]]=2,"Dissatisfied",
HRData[[#This Row],[JobSatisfaction]]=3,"Satisfied",
HRData[[#This Row],[JobSatisfaction]]=4,"Very Satisfied"
)</f>
        <v>Satisfied</v>
      </c>
      <c r="V697" t="s">
        <v>48</v>
      </c>
      <c r="W697">
        <v>10609</v>
      </c>
      <c r="X697" t="str" cm="1">
        <f t="array" ref="X697">_xlfn.IFS(
HRData[[#This Row],[MonthlyIncome]]&lt;=4000,"Very Low Income",
HRData[[#This Row],[MonthlyIncome]]&lt;=8000,"Low Income",
HRData[[#This Row],[MonthlyIncome]]&lt;=12000,"Moderate Income",
HRData[[#This Row],[MonthlyIncome]]&lt;=16000,"High Income",
HRData[[#This Row],[MonthlyIncome]]&gt;16000,"Very High Income"
)</f>
        <v>Moderate Income</v>
      </c>
      <c r="Y697">
        <v>14922</v>
      </c>
      <c r="Z697">
        <v>5</v>
      </c>
      <c r="AA697" t="s">
        <v>42</v>
      </c>
      <c r="AB697" t="s">
        <v>43</v>
      </c>
      <c r="AC697">
        <v>11</v>
      </c>
      <c r="AD697" t="str" cm="1">
        <f t="array" ref="AD697">_xlfn.IFS(HRData[[#This Row],[PercentSalaryHike]]&lt;=15,"11-15",HRData[[#This Row],[PercentSalaryHike]]&lt;=20,"16-20",HRData[[#This Row],[PercentSalaryHike]]&gt;=21,"21+")</f>
        <v>11-15</v>
      </c>
      <c r="AE697">
        <v>3</v>
      </c>
      <c r="AF697">
        <v>3</v>
      </c>
      <c r="AG697">
        <v>80</v>
      </c>
      <c r="AH697">
        <v>0</v>
      </c>
      <c r="AI697">
        <v>17</v>
      </c>
      <c r="AJ697">
        <v>2</v>
      </c>
      <c r="AK697">
        <v>1</v>
      </c>
      <c r="AL697">
        <v>14</v>
      </c>
      <c r="AM697">
        <v>1</v>
      </c>
      <c r="AN697">
        <v>11</v>
      </c>
      <c r="AO697">
        <v>7</v>
      </c>
      <c r="AP69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97" t="str">
        <f>IF(HRData[[#This Row],[Attrition]]="Yes","Left", IF(HRData[[#This Row],[Attrition_Risk_Score]]&gt;=6,"High",IF(HRData[[#This Row],[Attrition_Risk_Score]]&gt;=3,"Medium","Low")))</f>
        <v>Left</v>
      </c>
      <c r="AR697" t="str">
        <f>IF(HRData[[#This Row],[Attrition_Risk_Level]]&lt;&gt;"High","",HRData[[#This Row],[Attrition_Risk_Score]]*10000-HRData[[#This Row],[EmployeeNumber]])</f>
        <v/>
      </c>
    </row>
    <row r="698" spans="1:44">
      <c r="A698">
        <v>45</v>
      </c>
      <c r="B698" t="str" cm="1">
        <f t="array" ref="B698">_xlfn.IFS(
HRData[[#This Row],[Age]]&lt;=24,"18-24",
HRData[[#This Row],[Age]]&lt;=34,"25-34",
HRData[[#This Row],[Age]]&lt;=44,"35-44",
HRData[[#This Row],[Age]]&lt;=54,"45-54",
HRData[[#This Row],[Age]]&gt;=55,"55+"
)</f>
        <v>45-54</v>
      </c>
      <c r="C698" t="s">
        <v>43</v>
      </c>
      <c r="D698">
        <f>IF(HRData[[#This Row],[Attrition]]="Yes",1,0)</f>
        <v>0</v>
      </c>
      <c r="E698" t="s">
        <v>55</v>
      </c>
      <c r="F698">
        <v>805</v>
      </c>
      <c r="G698" t="s">
        <v>45</v>
      </c>
      <c r="H698">
        <v>4</v>
      </c>
      <c r="I698">
        <v>2</v>
      </c>
      <c r="J698" t="s">
        <v>38</v>
      </c>
      <c r="K698">
        <v>1</v>
      </c>
      <c r="L698">
        <v>972</v>
      </c>
      <c r="M698">
        <v>3</v>
      </c>
      <c r="N698" t="str" cm="1">
        <f t="array" ref="N698">_xlfn.IFS(HRData[[#This Row],[EnvironmentSatisfaction]]=1,"Very Dissatisfied",
HRData[[#This Row],[EnvironmentSatisfaction]]=2,"Dissatisfied",
HRData[[#This Row],[EnvironmentSatisfaction]]=3,"Satisfied",
HRData[[#This Row],[EnvironmentSatisfaction]]=4,"Very Satisfied"
)</f>
        <v>Satisfied</v>
      </c>
      <c r="O698" t="s">
        <v>46</v>
      </c>
      <c r="P698">
        <v>57</v>
      </c>
      <c r="Q698">
        <v>3</v>
      </c>
      <c r="R698">
        <v>2</v>
      </c>
      <c r="S698" t="s">
        <v>50</v>
      </c>
      <c r="T698">
        <v>2</v>
      </c>
      <c r="U698" t="str" cm="1">
        <f t="array" ref="U698">_xlfn.IFS(
HRData[[#This Row],[JobSatisfaction]]=1,"Very Dissatisfied",
HRData[[#This Row],[JobSatisfaction]]=2,"Dissatisfied",
HRData[[#This Row],[JobSatisfaction]]=3,"Satisfied",
HRData[[#This Row],[JobSatisfaction]]=4,"Very Satisfied"
)</f>
        <v>Dissatisfied</v>
      </c>
      <c r="V698" t="s">
        <v>48</v>
      </c>
      <c r="W698">
        <v>4447</v>
      </c>
      <c r="X698" t="str" cm="1">
        <f t="array" ref="X698">_xlfn.IFS(
HRData[[#This Row],[MonthlyIncome]]&lt;=4000,"Very Low Income",
HRData[[#This Row],[MonthlyIncome]]&lt;=8000,"Low Income",
HRData[[#This Row],[MonthlyIncome]]&lt;=12000,"Moderate Income",
HRData[[#This Row],[MonthlyIncome]]&lt;=16000,"High Income",
HRData[[#This Row],[MonthlyIncome]]&gt;16000,"Very High Income"
)</f>
        <v>Low Income</v>
      </c>
      <c r="Y698">
        <v>23163</v>
      </c>
      <c r="Z698">
        <v>1</v>
      </c>
      <c r="AA698" t="s">
        <v>42</v>
      </c>
      <c r="AB698" t="s">
        <v>43</v>
      </c>
      <c r="AC698">
        <v>12</v>
      </c>
      <c r="AD698" t="str" cm="1">
        <f t="array" ref="AD698">_xlfn.IFS(HRData[[#This Row],[PercentSalaryHike]]&lt;=15,"11-15",HRData[[#This Row],[PercentSalaryHike]]&lt;=20,"16-20",HRData[[#This Row],[PercentSalaryHike]]&gt;=21,"21+")</f>
        <v>11-15</v>
      </c>
      <c r="AE698">
        <v>3</v>
      </c>
      <c r="AF698">
        <v>2</v>
      </c>
      <c r="AG698">
        <v>80</v>
      </c>
      <c r="AH698">
        <v>0</v>
      </c>
      <c r="AI698">
        <v>9</v>
      </c>
      <c r="AJ698">
        <v>5</v>
      </c>
      <c r="AK698">
        <v>2</v>
      </c>
      <c r="AL698">
        <v>9</v>
      </c>
      <c r="AM698">
        <v>7</v>
      </c>
      <c r="AN698">
        <v>0</v>
      </c>
      <c r="AO698">
        <v>8</v>
      </c>
      <c r="AP69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98" t="str">
        <f>IF(HRData[[#This Row],[Attrition]]="Yes","Left", IF(HRData[[#This Row],[Attrition_Risk_Score]]&gt;=6,"High",IF(HRData[[#This Row],[Attrition_Risk_Score]]&gt;=3,"Medium","Low")))</f>
        <v>Low</v>
      </c>
      <c r="AR698" t="str">
        <f>IF(HRData[[#This Row],[Attrition_Risk_Level]]&lt;&gt;"High","",HRData[[#This Row],[Attrition_Risk_Score]]*10000-HRData[[#This Row],[EmployeeNumber]])</f>
        <v/>
      </c>
    </row>
    <row r="699" spans="1:44">
      <c r="A699">
        <v>29</v>
      </c>
      <c r="B699" t="str" cm="1">
        <f t="array" ref="B699">_xlfn.IFS(
HRData[[#This Row],[Age]]&lt;=24,"18-24",
HRData[[#This Row],[Age]]&lt;=34,"25-34",
HRData[[#This Row],[Age]]&lt;=44,"35-44",
HRData[[#This Row],[Age]]&lt;=54,"45-54",
HRData[[#This Row],[Age]]&gt;=55,"55+"
)</f>
        <v>25-34</v>
      </c>
      <c r="C699" t="s">
        <v>43</v>
      </c>
      <c r="D699">
        <f>IF(HRData[[#This Row],[Attrition]]="Yes",1,0)</f>
        <v>0</v>
      </c>
      <c r="E699" t="s">
        <v>44</v>
      </c>
      <c r="F699">
        <v>1404</v>
      </c>
      <c r="G699" t="s">
        <v>37</v>
      </c>
      <c r="H699">
        <v>20</v>
      </c>
      <c r="I699">
        <v>3</v>
      </c>
      <c r="J699" t="s">
        <v>60</v>
      </c>
      <c r="K699">
        <v>1</v>
      </c>
      <c r="L699">
        <v>974</v>
      </c>
      <c r="M699">
        <v>3</v>
      </c>
      <c r="N699" t="str" cm="1">
        <f t="array" ref="N699">_xlfn.IFS(HRData[[#This Row],[EnvironmentSatisfaction]]=1,"Very Dissatisfied",
HRData[[#This Row],[EnvironmentSatisfaction]]=2,"Dissatisfied",
HRData[[#This Row],[EnvironmentSatisfaction]]=3,"Satisfied",
HRData[[#This Row],[EnvironmentSatisfaction]]=4,"Very Satisfied"
)</f>
        <v>Satisfied</v>
      </c>
      <c r="O699" t="s">
        <v>39</v>
      </c>
      <c r="P699">
        <v>84</v>
      </c>
      <c r="Q699">
        <v>3</v>
      </c>
      <c r="R699">
        <v>1</v>
      </c>
      <c r="S699" t="s">
        <v>57</v>
      </c>
      <c r="T699">
        <v>4</v>
      </c>
      <c r="U699" t="str" cm="1">
        <f t="array" ref="U699">_xlfn.IFS(
HRData[[#This Row],[JobSatisfaction]]=1,"Very Dissatisfied",
HRData[[#This Row],[JobSatisfaction]]=2,"Dissatisfied",
HRData[[#This Row],[JobSatisfaction]]=3,"Satisfied",
HRData[[#This Row],[JobSatisfaction]]=4,"Very Satisfied"
)</f>
        <v>Very Satisfied</v>
      </c>
      <c r="V699" t="s">
        <v>48</v>
      </c>
      <c r="W699">
        <v>2157</v>
      </c>
      <c r="X699" t="str" cm="1">
        <f t="array" ref="X699">_xlfn.IFS(
HRData[[#This Row],[MonthlyIncome]]&lt;=4000,"Very Low Income",
HRData[[#This Row],[MonthlyIncome]]&lt;=8000,"Low Income",
HRData[[#This Row],[MonthlyIncome]]&lt;=12000,"Moderate Income",
HRData[[#This Row],[MonthlyIncome]]&lt;=16000,"High Income",
HRData[[#This Row],[MonthlyIncome]]&gt;16000,"Very High Income"
)</f>
        <v>Very Low Income</v>
      </c>
      <c r="Y699">
        <v>18203</v>
      </c>
      <c r="Z699">
        <v>1</v>
      </c>
      <c r="AA699" t="s">
        <v>42</v>
      </c>
      <c r="AB699" t="s">
        <v>43</v>
      </c>
      <c r="AC699">
        <v>15</v>
      </c>
      <c r="AD699" t="str" cm="1">
        <f t="array" ref="AD699">_xlfn.IFS(HRData[[#This Row],[PercentSalaryHike]]&lt;=15,"11-15",HRData[[#This Row],[PercentSalaryHike]]&lt;=20,"16-20",HRData[[#This Row],[PercentSalaryHike]]&gt;=21,"21+")</f>
        <v>11-15</v>
      </c>
      <c r="AE699">
        <v>3</v>
      </c>
      <c r="AF699">
        <v>2</v>
      </c>
      <c r="AG699">
        <v>80</v>
      </c>
      <c r="AH699">
        <v>1</v>
      </c>
      <c r="AI699">
        <v>3</v>
      </c>
      <c r="AJ699">
        <v>5</v>
      </c>
      <c r="AK699">
        <v>3</v>
      </c>
      <c r="AL699">
        <v>3</v>
      </c>
      <c r="AM699">
        <v>1</v>
      </c>
      <c r="AN699">
        <v>0</v>
      </c>
      <c r="AO699">
        <v>2</v>
      </c>
      <c r="AP69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699" t="str">
        <f>IF(HRData[[#This Row],[Attrition]]="Yes","Left", IF(HRData[[#This Row],[Attrition_Risk_Score]]&gt;=6,"High",IF(HRData[[#This Row],[Attrition_Risk_Score]]&gt;=3,"Medium","Low")))</f>
        <v>Medium</v>
      </c>
      <c r="AR699" t="str">
        <f>IF(HRData[[#This Row],[Attrition_Risk_Level]]&lt;&gt;"High","",HRData[[#This Row],[Attrition_Risk_Score]]*10000-HRData[[#This Row],[EmployeeNumber]])</f>
        <v/>
      </c>
    </row>
    <row r="700" spans="1:44">
      <c r="A700">
        <v>35</v>
      </c>
      <c r="B700" t="str" cm="1">
        <f t="array" ref="B700">_xlfn.IFS(
HRData[[#This Row],[Age]]&lt;=24,"18-24",
HRData[[#This Row],[Age]]&lt;=34,"25-34",
HRData[[#This Row],[Age]]&lt;=44,"35-44",
HRData[[#This Row],[Age]]&lt;=54,"45-54",
HRData[[#This Row],[Age]]&gt;=55,"55+"
)</f>
        <v>35-44</v>
      </c>
      <c r="C700" t="s">
        <v>43</v>
      </c>
      <c r="D700">
        <f>IF(HRData[[#This Row],[Attrition]]="Yes",1,0)</f>
        <v>0</v>
      </c>
      <c r="E700" t="s">
        <v>36</v>
      </c>
      <c r="F700">
        <v>1219</v>
      </c>
      <c r="G700" t="s">
        <v>37</v>
      </c>
      <c r="H700">
        <v>18</v>
      </c>
      <c r="I700">
        <v>3</v>
      </c>
      <c r="J700" t="s">
        <v>51</v>
      </c>
      <c r="K700">
        <v>1</v>
      </c>
      <c r="L700">
        <v>975</v>
      </c>
      <c r="M700">
        <v>3</v>
      </c>
      <c r="N700" t="str" cm="1">
        <f t="array" ref="N700">_xlfn.IFS(HRData[[#This Row],[EnvironmentSatisfaction]]=1,"Very Dissatisfied",
HRData[[#This Row],[EnvironmentSatisfaction]]=2,"Dissatisfied",
HRData[[#This Row],[EnvironmentSatisfaction]]=3,"Satisfied",
HRData[[#This Row],[EnvironmentSatisfaction]]=4,"Very Satisfied"
)</f>
        <v>Satisfied</v>
      </c>
      <c r="O700" t="s">
        <v>39</v>
      </c>
      <c r="P700">
        <v>86</v>
      </c>
      <c r="Q700">
        <v>3</v>
      </c>
      <c r="R700">
        <v>2</v>
      </c>
      <c r="S700" t="s">
        <v>40</v>
      </c>
      <c r="T700">
        <v>3</v>
      </c>
      <c r="U700" t="str" cm="1">
        <f t="array" ref="U700">_xlfn.IFS(
HRData[[#This Row],[JobSatisfaction]]=1,"Very Dissatisfied",
HRData[[#This Row],[JobSatisfaction]]=2,"Dissatisfied",
HRData[[#This Row],[JobSatisfaction]]=3,"Satisfied",
HRData[[#This Row],[JobSatisfaction]]=4,"Very Satisfied"
)</f>
        <v>Satisfied</v>
      </c>
      <c r="V700" t="s">
        <v>48</v>
      </c>
      <c r="W700">
        <v>4601</v>
      </c>
      <c r="X700" t="str" cm="1">
        <f t="array" ref="X700">_xlfn.IFS(
HRData[[#This Row],[MonthlyIncome]]&lt;=4000,"Very Low Income",
HRData[[#This Row],[MonthlyIncome]]&lt;=8000,"Low Income",
HRData[[#This Row],[MonthlyIncome]]&lt;=12000,"Moderate Income",
HRData[[#This Row],[MonthlyIncome]]&lt;=16000,"High Income",
HRData[[#This Row],[MonthlyIncome]]&gt;16000,"Very High Income"
)</f>
        <v>Low Income</v>
      </c>
      <c r="Y700">
        <v>6179</v>
      </c>
      <c r="Z700">
        <v>1</v>
      </c>
      <c r="AA700" t="s">
        <v>42</v>
      </c>
      <c r="AB700" t="s">
        <v>43</v>
      </c>
      <c r="AC700">
        <v>16</v>
      </c>
      <c r="AD700" t="str" cm="1">
        <f t="array" ref="AD700">_xlfn.IFS(HRData[[#This Row],[PercentSalaryHike]]&lt;=15,"11-15",HRData[[#This Row],[PercentSalaryHike]]&lt;=20,"16-20",HRData[[#This Row],[PercentSalaryHike]]&gt;=21,"21+")</f>
        <v>16-20</v>
      </c>
      <c r="AE700">
        <v>3</v>
      </c>
      <c r="AF700">
        <v>2</v>
      </c>
      <c r="AG700">
        <v>80</v>
      </c>
      <c r="AH700">
        <v>0</v>
      </c>
      <c r="AI700">
        <v>5</v>
      </c>
      <c r="AJ700">
        <v>3</v>
      </c>
      <c r="AK700">
        <v>3</v>
      </c>
      <c r="AL700">
        <v>5</v>
      </c>
      <c r="AM700">
        <v>2</v>
      </c>
      <c r="AN700">
        <v>1</v>
      </c>
      <c r="AO700">
        <v>0</v>
      </c>
      <c r="AP70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700" t="str">
        <f>IF(HRData[[#This Row],[Attrition]]="Yes","Left", IF(HRData[[#This Row],[Attrition_Risk_Score]]&gt;=6,"High",IF(HRData[[#This Row],[Attrition_Risk_Score]]&gt;=3,"Medium","Low")))</f>
        <v>Low</v>
      </c>
      <c r="AR700" t="str">
        <f>IF(HRData[[#This Row],[Attrition_Risk_Level]]&lt;&gt;"High","",HRData[[#This Row],[Attrition_Risk_Score]]*10000-HRData[[#This Row],[EmployeeNumber]])</f>
        <v/>
      </c>
    </row>
    <row r="701" spans="1:44">
      <c r="A701">
        <v>52</v>
      </c>
      <c r="B701" t="str" cm="1">
        <f t="array" ref="B701">_xlfn.IFS(
HRData[[#This Row],[Age]]&lt;=24,"18-24",
HRData[[#This Row],[Age]]&lt;=34,"25-34",
HRData[[#This Row],[Age]]&lt;=44,"35-44",
HRData[[#This Row],[Age]]&lt;=54,"45-54",
HRData[[#This Row],[Age]]&gt;=55,"55+"
)</f>
        <v>45-54</v>
      </c>
      <c r="C701" t="s">
        <v>43</v>
      </c>
      <c r="D701">
        <f>IF(HRData[[#This Row],[Attrition]]="Yes",1,0)</f>
        <v>0</v>
      </c>
      <c r="E701" t="s">
        <v>36</v>
      </c>
      <c r="F701">
        <v>1053</v>
      </c>
      <c r="G701" t="s">
        <v>45</v>
      </c>
      <c r="H701">
        <v>1</v>
      </c>
      <c r="I701">
        <v>2</v>
      </c>
      <c r="J701" t="s">
        <v>38</v>
      </c>
      <c r="K701">
        <v>1</v>
      </c>
      <c r="L701">
        <v>976</v>
      </c>
      <c r="M701">
        <v>4</v>
      </c>
      <c r="N701" t="str" cm="1">
        <f t="array" ref="N701">_xlfn.IFS(HRData[[#This Row],[EnvironmentSatisfaction]]=1,"Very Dissatisfied",
HRData[[#This Row],[EnvironmentSatisfaction]]=2,"Dissatisfied",
HRData[[#This Row],[EnvironmentSatisfaction]]=3,"Satisfied",
HRData[[#This Row],[EnvironmentSatisfaction]]=4,"Very Satisfied"
)</f>
        <v>Very Satisfied</v>
      </c>
      <c r="O701" t="s">
        <v>46</v>
      </c>
      <c r="P701">
        <v>70</v>
      </c>
      <c r="Q701">
        <v>3</v>
      </c>
      <c r="R701">
        <v>4</v>
      </c>
      <c r="S701" t="s">
        <v>56</v>
      </c>
      <c r="T701">
        <v>4</v>
      </c>
      <c r="U701" t="str" cm="1">
        <f t="array" ref="U701">_xlfn.IFS(
HRData[[#This Row],[JobSatisfaction]]=1,"Very Dissatisfied",
HRData[[#This Row],[JobSatisfaction]]=2,"Dissatisfied",
HRData[[#This Row],[JobSatisfaction]]=3,"Satisfied",
HRData[[#This Row],[JobSatisfaction]]=4,"Very Satisfied"
)</f>
        <v>Very Satisfied</v>
      </c>
      <c r="V701" t="s">
        <v>48</v>
      </c>
      <c r="W701">
        <v>17099</v>
      </c>
      <c r="X701" t="str" cm="1">
        <f t="array" ref="X701">_xlfn.IFS(
HRData[[#This Row],[MonthlyIncome]]&lt;=4000,"Very Low Income",
HRData[[#This Row],[MonthlyIncome]]&lt;=8000,"Low Income",
HRData[[#This Row],[MonthlyIncome]]&lt;=12000,"Moderate Income",
HRData[[#This Row],[MonthlyIncome]]&lt;=16000,"High Income",
HRData[[#This Row],[MonthlyIncome]]&gt;16000,"Very High Income"
)</f>
        <v>Very High Income</v>
      </c>
      <c r="Y701">
        <v>13829</v>
      </c>
      <c r="Z701">
        <v>2</v>
      </c>
      <c r="AA701" t="s">
        <v>42</v>
      </c>
      <c r="AB701" t="s">
        <v>43</v>
      </c>
      <c r="AC701">
        <v>15</v>
      </c>
      <c r="AD701" t="str" cm="1">
        <f t="array" ref="AD701">_xlfn.IFS(HRData[[#This Row],[PercentSalaryHike]]&lt;=15,"11-15",HRData[[#This Row],[PercentSalaryHike]]&lt;=20,"16-20",HRData[[#This Row],[PercentSalaryHike]]&gt;=21,"21+")</f>
        <v>11-15</v>
      </c>
      <c r="AE701">
        <v>3</v>
      </c>
      <c r="AF701">
        <v>2</v>
      </c>
      <c r="AG701">
        <v>80</v>
      </c>
      <c r="AH701">
        <v>1</v>
      </c>
      <c r="AI701">
        <v>26</v>
      </c>
      <c r="AJ701">
        <v>2</v>
      </c>
      <c r="AK701">
        <v>2</v>
      </c>
      <c r="AL701">
        <v>9</v>
      </c>
      <c r="AM701">
        <v>8</v>
      </c>
      <c r="AN701">
        <v>7</v>
      </c>
      <c r="AO701">
        <v>8</v>
      </c>
      <c r="AP70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01" t="str">
        <f>IF(HRData[[#This Row],[Attrition]]="Yes","Left", IF(HRData[[#This Row],[Attrition_Risk_Score]]&gt;=6,"High",IF(HRData[[#This Row],[Attrition_Risk_Score]]&gt;=3,"Medium","Low")))</f>
        <v>Low</v>
      </c>
      <c r="AR701" t="str">
        <f>IF(HRData[[#This Row],[Attrition_Risk_Level]]&lt;&gt;"High","",HRData[[#This Row],[Attrition_Risk_Score]]*10000-HRData[[#This Row],[EmployeeNumber]])</f>
        <v/>
      </c>
    </row>
    <row r="702" spans="1:44">
      <c r="A702">
        <v>58</v>
      </c>
      <c r="B702" t="str" cm="1">
        <f t="array" ref="B702">_xlfn.IFS(
HRData[[#This Row],[Age]]&lt;=24,"18-24",
HRData[[#This Row],[Age]]&lt;=34,"25-34",
HRData[[#This Row],[Age]]&lt;=44,"35-44",
HRData[[#This Row],[Age]]&lt;=54,"45-54",
HRData[[#This Row],[Age]]&gt;=55,"55+"
)</f>
        <v>55+</v>
      </c>
      <c r="C702" t="s">
        <v>35</v>
      </c>
      <c r="D702">
        <f>IF(HRData[[#This Row],[Attrition]]="Yes",1,0)</f>
        <v>1</v>
      </c>
      <c r="E702" t="s">
        <v>36</v>
      </c>
      <c r="F702">
        <v>289</v>
      </c>
      <c r="G702" t="s">
        <v>45</v>
      </c>
      <c r="H702">
        <v>2</v>
      </c>
      <c r="I702">
        <v>3</v>
      </c>
      <c r="J702" t="s">
        <v>60</v>
      </c>
      <c r="K702">
        <v>1</v>
      </c>
      <c r="L702">
        <v>977</v>
      </c>
      <c r="M702">
        <v>4</v>
      </c>
      <c r="N702" t="str" cm="1">
        <f t="array" ref="N702">_xlfn.IFS(HRData[[#This Row],[EnvironmentSatisfaction]]=1,"Very Dissatisfied",
HRData[[#This Row],[EnvironmentSatisfaction]]=2,"Dissatisfied",
HRData[[#This Row],[EnvironmentSatisfaction]]=3,"Satisfied",
HRData[[#This Row],[EnvironmentSatisfaction]]=4,"Very Satisfied"
)</f>
        <v>Very Satisfied</v>
      </c>
      <c r="O702" t="s">
        <v>46</v>
      </c>
      <c r="P702">
        <v>51</v>
      </c>
      <c r="Q702">
        <v>3</v>
      </c>
      <c r="R702">
        <v>1</v>
      </c>
      <c r="S702" t="s">
        <v>47</v>
      </c>
      <c r="T702">
        <v>3</v>
      </c>
      <c r="U702" t="str" cm="1">
        <f t="array" ref="U702">_xlfn.IFS(
HRData[[#This Row],[JobSatisfaction]]=1,"Very Dissatisfied",
HRData[[#This Row],[JobSatisfaction]]=2,"Dissatisfied",
HRData[[#This Row],[JobSatisfaction]]=3,"Satisfied",
HRData[[#This Row],[JobSatisfaction]]=4,"Very Satisfied"
)</f>
        <v>Satisfied</v>
      </c>
      <c r="V702" t="s">
        <v>41</v>
      </c>
      <c r="W702">
        <v>2479</v>
      </c>
      <c r="X702" t="str" cm="1">
        <f t="array" ref="X702">_xlfn.IFS(
HRData[[#This Row],[MonthlyIncome]]&lt;=4000,"Very Low Income",
HRData[[#This Row],[MonthlyIncome]]&lt;=8000,"Low Income",
HRData[[#This Row],[MonthlyIncome]]&lt;=12000,"Moderate Income",
HRData[[#This Row],[MonthlyIncome]]&lt;=16000,"High Income",
HRData[[#This Row],[MonthlyIncome]]&gt;16000,"Very High Income"
)</f>
        <v>Very Low Income</v>
      </c>
      <c r="Y702">
        <v>26227</v>
      </c>
      <c r="Z702">
        <v>4</v>
      </c>
      <c r="AA702" t="s">
        <v>42</v>
      </c>
      <c r="AB702" t="s">
        <v>43</v>
      </c>
      <c r="AC702">
        <v>24</v>
      </c>
      <c r="AD702" t="str" cm="1">
        <f t="array" ref="AD702">_xlfn.IFS(HRData[[#This Row],[PercentSalaryHike]]&lt;=15,"11-15",HRData[[#This Row],[PercentSalaryHike]]&lt;=20,"16-20",HRData[[#This Row],[PercentSalaryHike]]&gt;=21,"21+")</f>
        <v>21+</v>
      </c>
      <c r="AE702">
        <v>4</v>
      </c>
      <c r="AF702">
        <v>1</v>
      </c>
      <c r="AG702">
        <v>80</v>
      </c>
      <c r="AH702">
        <v>0</v>
      </c>
      <c r="AI702">
        <v>7</v>
      </c>
      <c r="AJ702">
        <v>4</v>
      </c>
      <c r="AK702">
        <v>3</v>
      </c>
      <c r="AL702">
        <v>1</v>
      </c>
      <c r="AM702">
        <v>0</v>
      </c>
      <c r="AN702">
        <v>0</v>
      </c>
      <c r="AO702">
        <v>0</v>
      </c>
      <c r="AP70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02" t="str">
        <f>IF(HRData[[#This Row],[Attrition]]="Yes","Left", IF(HRData[[#This Row],[Attrition_Risk_Score]]&gt;=6,"High",IF(HRData[[#This Row],[Attrition_Risk_Score]]&gt;=3,"Medium","Low")))</f>
        <v>Left</v>
      </c>
      <c r="AR702" t="str">
        <f>IF(HRData[[#This Row],[Attrition_Risk_Level]]&lt;&gt;"High","",HRData[[#This Row],[Attrition_Risk_Score]]*10000-HRData[[#This Row],[EmployeeNumber]])</f>
        <v/>
      </c>
    </row>
    <row r="703" spans="1:44">
      <c r="A703">
        <v>53</v>
      </c>
      <c r="B703" t="str" cm="1">
        <f t="array" ref="B703">_xlfn.IFS(
HRData[[#This Row],[Age]]&lt;=24,"18-24",
HRData[[#This Row],[Age]]&lt;=34,"25-34",
HRData[[#This Row],[Age]]&lt;=44,"35-44",
HRData[[#This Row],[Age]]&lt;=54,"45-54",
HRData[[#This Row],[Age]]&gt;=55,"55+"
)</f>
        <v>45-54</v>
      </c>
      <c r="C703" t="s">
        <v>43</v>
      </c>
      <c r="D703">
        <f>IF(HRData[[#This Row],[Attrition]]="Yes",1,0)</f>
        <v>0</v>
      </c>
      <c r="E703" t="s">
        <v>36</v>
      </c>
      <c r="F703">
        <v>1376</v>
      </c>
      <c r="G703" t="s">
        <v>37</v>
      </c>
      <c r="H703">
        <v>2</v>
      </c>
      <c r="I703">
        <v>2</v>
      </c>
      <c r="J703" t="s">
        <v>51</v>
      </c>
      <c r="K703">
        <v>1</v>
      </c>
      <c r="L703">
        <v>981</v>
      </c>
      <c r="M703">
        <v>3</v>
      </c>
      <c r="N703" t="str" cm="1">
        <f t="array" ref="N703">_xlfn.IFS(HRData[[#This Row],[EnvironmentSatisfaction]]=1,"Very Dissatisfied",
HRData[[#This Row],[EnvironmentSatisfaction]]=2,"Dissatisfied",
HRData[[#This Row],[EnvironmentSatisfaction]]=3,"Satisfied",
HRData[[#This Row],[EnvironmentSatisfaction]]=4,"Very Satisfied"
)</f>
        <v>Satisfied</v>
      </c>
      <c r="O703" t="s">
        <v>46</v>
      </c>
      <c r="P703">
        <v>45</v>
      </c>
      <c r="Q703">
        <v>3</v>
      </c>
      <c r="R703">
        <v>4</v>
      </c>
      <c r="S703" t="s">
        <v>56</v>
      </c>
      <c r="T703">
        <v>3</v>
      </c>
      <c r="U703" t="str" cm="1">
        <f t="array" ref="U703">_xlfn.IFS(
HRData[[#This Row],[JobSatisfaction]]=1,"Very Dissatisfied",
HRData[[#This Row],[JobSatisfaction]]=2,"Dissatisfied",
HRData[[#This Row],[JobSatisfaction]]=3,"Satisfied",
HRData[[#This Row],[JobSatisfaction]]=4,"Very Satisfied"
)</f>
        <v>Satisfied</v>
      </c>
      <c r="V703" t="s">
        <v>52</v>
      </c>
      <c r="W703">
        <v>14852</v>
      </c>
      <c r="X703" t="str" cm="1">
        <f t="array" ref="X703">_xlfn.IFS(
HRData[[#This Row],[MonthlyIncome]]&lt;=4000,"Very Low Income",
HRData[[#This Row],[MonthlyIncome]]&lt;=8000,"Low Income",
HRData[[#This Row],[MonthlyIncome]]&lt;=12000,"Moderate Income",
HRData[[#This Row],[MonthlyIncome]]&lt;=16000,"High Income",
HRData[[#This Row],[MonthlyIncome]]&gt;16000,"Very High Income"
)</f>
        <v>High Income</v>
      </c>
      <c r="Y703">
        <v>13938</v>
      </c>
      <c r="Z703">
        <v>6</v>
      </c>
      <c r="AA703" t="s">
        <v>42</v>
      </c>
      <c r="AB703" t="s">
        <v>43</v>
      </c>
      <c r="AC703">
        <v>13</v>
      </c>
      <c r="AD703" t="str" cm="1">
        <f t="array" ref="AD703">_xlfn.IFS(HRData[[#This Row],[PercentSalaryHike]]&lt;=15,"11-15",HRData[[#This Row],[PercentSalaryHike]]&lt;=20,"16-20",HRData[[#This Row],[PercentSalaryHike]]&gt;=21,"21+")</f>
        <v>11-15</v>
      </c>
      <c r="AE703">
        <v>3</v>
      </c>
      <c r="AF703">
        <v>3</v>
      </c>
      <c r="AG703">
        <v>80</v>
      </c>
      <c r="AH703">
        <v>1</v>
      </c>
      <c r="AI703">
        <v>22</v>
      </c>
      <c r="AJ703">
        <v>3</v>
      </c>
      <c r="AK703">
        <v>4</v>
      </c>
      <c r="AL703">
        <v>17</v>
      </c>
      <c r="AM703">
        <v>13</v>
      </c>
      <c r="AN703">
        <v>15</v>
      </c>
      <c r="AO703">
        <v>2</v>
      </c>
      <c r="AP70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03" t="str">
        <f>IF(HRData[[#This Row],[Attrition]]="Yes","Left", IF(HRData[[#This Row],[Attrition_Risk_Score]]&gt;=6,"High",IF(HRData[[#This Row],[Attrition_Risk_Score]]&gt;=3,"Medium","Low")))</f>
        <v>Low</v>
      </c>
      <c r="AR703" t="str">
        <f>IF(HRData[[#This Row],[Attrition_Risk_Level]]&lt;&gt;"High","",HRData[[#This Row],[Attrition_Risk_Score]]*10000-HRData[[#This Row],[EmployeeNumber]])</f>
        <v/>
      </c>
    </row>
    <row r="704" spans="1:44">
      <c r="A704">
        <v>30</v>
      </c>
      <c r="B704" t="str" cm="1">
        <f t="array" ref="B704">_xlfn.IFS(
HRData[[#This Row],[Age]]&lt;=24,"18-24",
HRData[[#This Row],[Age]]&lt;=34,"25-34",
HRData[[#This Row],[Age]]&lt;=44,"35-44",
HRData[[#This Row],[Age]]&lt;=54,"45-54",
HRData[[#This Row],[Age]]&gt;=55,"55+"
)</f>
        <v>25-34</v>
      </c>
      <c r="C704" t="s">
        <v>43</v>
      </c>
      <c r="D704">
        <f>IF(HRData[[#This Row],[Attrition]]="Yes",1,0)</f>
        <v>0</v>
      </c>
      <c r="E704" t="s">
        <v>36</v>
      </c>
      <c r="F704">
        <v>231</v>
      </c>
      <c r="G704" t="s">
        <v>37</v>
      </c>
      <c r="H704">
        <v>8</v>
      </c>
      <c r="I704">
        <v>2</v>
      </c>
      <c r="J704" t="s">
        <v>49</v>
      </c>
      <c r="K704">
        <v>1</v>
      </c>
      <c r="L704">
        <v>982</v>
      </c>
      <c r="M704">
        <v>3</v>
      </c>
      <c r="N704" t="str" cm="1">
        <f t="array" ref="N704">_xlfn.IFS(HRData[[#This Row],[EnvironmentSatisfaction]]=1,"Very Dissatisfied",
HRData[[#This Row],[EnvironmentSatisfaction]]=2,"Dissatisfied",
HRData[[#This Row],[EnvironmentSatisfaction]]=3,"Satisfied",
HRData[[#This Row],[EnvironmentSatisfaction]]=4,"Very Satisfied"
)</f>
        <v>Satisfied</v>
      </c>
      <c r="O704" t="s">
        <v>46</v>
      </c>
      <c r="P704">
        <v>62</v>
      </c>
      <c r="Q704">
        <v>3</v>
      </c>
      <c r="R704">
        <v>3</v>
      </c>
      <c r="S704" t="s">
        <v>40</v>
      </c>
      <c r="T704">
        <v>3</v>
      </c>
      <c r="U704" t="str" cm="1">
        <f t="array" ref="U704">_xlfn.IFS(
HRData[[#This Row],[JobSatisfaction]]=1,"Very Dissatisfied",
HRData[[#This Row],[JobSatisfaction]]=2,"Dissatisfied",
HRData[[#This Row],[JobSatisfaction]]=3,"Satisfied",
HRData[[#This Row],[JobSatisfaction]]=4,"Very Satisfied"
)</f>
        <v>Satisfied</v>
      </c>
      <c r="V704" t="s">
        <v>52</v>
      </c>
      <c r="W704">
        <v>7264</v>
      </c>
      <c r="X704" t="str" cm="1">
        <f t="array" ref="X704">_xlfn.IFS(
HRData[[#This Row],[MonthlyIncome]]&lt;=4000,"Very Low Income",
HRData[[#This Row],[MonthlyIncome]]&lt;=8000,"Low Income",
HRData[[#This Row],[MonthlyIncome]]&lt;=12000,"Moderate Income",
HRData[[#This Row],[MonthlyIncome]]&lt;=16000,"High Income",
HRData[[#This Row],[MonthlyIncome]]&gt;16000,"Very High Income"
)</f>
        <v>Low Income</v>
      </c>
      <c r="Y704">
        <v>9977</v>
      </c>
      <c r="Z704">
        <v>5</v>
      </c>
      <c r="AA704" t="s">
        <v>42</v>
      </c>
      <c r="AB704" t="s">
        <v>43</v>
      </c>
      <c r="AC704">
        <v>11</v>
      </c>
      <c r="AD704" t="str" cm="1">
        <f t="array" ref="AD704">_xlfn.IFS(HRData[[#This Row],[PercentSalaryHike]]&lt;=15,"11-15",HRData[[#This Row],[PercentSalaryHike]]&lt;=20,"16-20",HRData[[#This Row],[PercentSalaryHike]]&gt;=21,"21+")</f>
        <v>11-15</v>
      </c>
      <c r="AE704">
        <v>3</v>
      </c>
      <c r="AF704">
        <v>1</v>
      </c>
      <c r="AG704">
        <v>80</v>
      </c>
      <c r="AH704">
        <v>1</v>
      </c>
      <c r="AI704">
        <v>10</v>
      </c>
      <c r="AJ704">
        <v>2</v>
      </c>
      <c r="AK704">
        <v>4</v>
      </c>
      <c r="AL704">
        <v>8</v>
      </c>
      <c r="AM704">
        <v>4</v>
      </c>
      <c r="AN704">
        <v>7</v>
      </c>
      <c r="AO704">
        <v>7</v>
      </c>
      <c r="AP70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04" t="str">
        <f>IF(HRData[[#This Row],[Attrition]]="Yes","Left", IF(HRData[[#This Row],[Attrition_Risk_Score]]&gt;=6,"High",IF(HRData[[#This Row],[Attrition_Risk_Score]]&gt;=3,"Medium","Low")))</f>
        <v>Low</v>
      </c>
      <c r="AR704" t="str">
        <f>IF(HRData[[#This Row],[Attrition_Risk_Level]]&lt;&gt;"High","",HRData[[#This Row],[Attrition_Risk_Score]]*10000-HRData[[#This Row],[EmployeeNumber]])</f>
        <v/>
      </c>
    </row>
    <row r="705" spans="1:44">
      <c r="A705">
        <v>38</v>
      </c>
      <c r="B705" t="str" cm="1">
        <f t="array" ref="B705">_xlfn.IFS(
HRData[[#This Row],[Age]]&lt;=24,"18-24",
HRData[[#This Row],[Age]]&lt;=34,"25-34",
HRData[[#This Row],[Age]]&lt;=44,"35-44",
HRData[[#This Row],[Age]]&lt;=54,"45-54",
HRData[[#This Row],[Age]]&gt;=55,"55+"
)</f>
        <v>35-44</v>
      </c>
      <c r="C705" t="s">
        <v>43</v>
      </c>
      <c r="D705">
        <f>IF(HRData[[#This Row],[Attrition]]="Yes",1,0)</f>
        <v>0</v>
      </c>
      <c r="E705" t="s">
        <v>55</v>
      </c>
      <c r="F705">
        <v>152</v>
      </c>
      <c r="G705" t="s">
        <v>37</v>
      </c>
      <c r="H705">
        <v>10</v>
      </c>
      <c r="I705">
        <v>3</v>
      </c>
      <c r="J705" t="s">
        <v>60</v>
      </c>
      <c r="K705">
        <v>1</v>
      </c>
      <c r="L705">
        <v>983</v>
      </c>
      <c r="M705">
        <v>3</v>
      </c>
      <c r="N705" t="str" cm="1">
        <f t="array" ref="N705">_xlfn.IFS(HRData[[#This Row],[EnvironmentSatisfaction]]=1,"Very Dissatisfied",
HRData[[#This Row],[EnvironmentSatisfaction]]=2,"Dissatisfied",
HRData[[#This Row],[EnvironmentSatisfaction]]=3,"Satisfied",
HRData[[#This Row],[EnvironmentSatisfaction]]=4,"Very Satisfied"
)</f>
        <v>Satisfied</v>
      </c>
      <c r="O705" t="s">
        <v>39</v>
      </c>
      <c r="P705">
        <v>85</v>
      </c>
      <c r="Q705">
        <v>3</v>
      </c>
      <c r="R705">
        <v>2</v>
      </c>
      <c r="S705" t="s">
        <v>40</v>
      </c>
      <c r="T705">
        <v>4</v>
      </c>
      <c r="U705" t="str" cm="1">
        <f t="array" ref="U705">_xlfn.IFS(
HRData[[#This Row],[JobSatisfaction]]=1,"Very Dissatisfied",
HRData[[#This Row],[JobSatisfaction]]=2,"Dissatisfied",
HRData[[#This Row],[JobSatisfaction]]=3,"Satisfied",
HRData[[#This Row],[JobSatisfaction]]=4,"Very Satisfied"
)</f>
        <v>Very Satisfied</v>
      </c>
      <c r="V705" t="s">
        <v>41</v>
      </c>
      <c r="W705">
        <v>5666</v>
      </c>
      <c r="X705" t="str" cm="1">
        <f t="array" ref="X705">_xlfn.IFS(
HRData[[#This Row],[MonthlyIncome]]&lt;=4000,"Very Low Income",
HRData[[#This Row],[MonthlyIncome]]&lt;=8000,"Low Income",
HRData[[#This Row],[MonthlyIncome]]&lt;=12000,"Moderate Income",
HRData[[#This Row],[MonthlyIncome]]&lt;=16000,"High Income",
HRData[[#This Row],[MonthlyIncome]]&gt;16000,"Very High Income"
)</f>
        <v>Low Income</v>
      </c>
      <c r="Y705">
        <v>19899</v>
      </c>
      <c r="Z705">
        <v>1</v>
      </c>
      <c r="AA705" t="s">
        <v>42</v>
      </c>
      <c r="AB705" t="s">
        <v>35</v>
      </c>
      <c r="AC705">
        <v>13</v>
      </c>
      <c r="AD705" t="str" cm="1">
        <f t="array" ref="AD705">_xlfn.IFS(HRData[[#This Row],[PercentSalaryHike]]&lt;=15,"11-15",HRData[[#This Row],[PercentSalaryHike]]&lt;=20,"16-20",HRData[[#This Row],[PercentSalaryHike]]&gt;=21,"21+")</f>
        <v>11-15</v>
      </c>
      <c r="AE705">
        <v>3</v>
      </c>
      <c r="AF705">
        <v>2</v>
      </c>
      <c r="AG705">
        <v>80</v>
      </c>
      <c r="AH705">
        <v>0</v>
      </c>
      <c r="AI705">
        <v>6</v>
      </c>
      <c r="AJ705">
        <v>1</v>
      </c>
      <c r="AK705">
        <v>3</v>
      </c>
      <c r="AL705">
        <v>5</v>
      </c>
      <c r="AM705">
        <v>3</v>
      </c>
      <c r="AN705">
        <v>1</v>
      </c>
      <c r="AO705">
        <v>3</v>
      </c>
      <c r="AP70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05" t="str">
        <f>IF(HRData[[#This Row],[Attrition]]="Yes","Left", IF(HRData[[#This Row],[Attrition_Risk_Score]]&gt;=6,"High",IF(HRData[[#This Row],[Attrition_Risk_Score]]&gt;=3,"Medium","Low")))</f>
        <v>Medium</v>
      </c>
      <c r="AR705" t="str">
        <f>IF(HRData[[#This Row],[Attrition_Risk_Level]]&lt;&gt;"High","",HRData[[#This Row],[Attrition_Risk_Score]]*10000-HRData[[#This Row],[EmployeeNumber]])</f>
        <v/>
      </c>
    </row>
    <row r="706" spans="1:44">
      <c r="A706">
        <v>35</v>
      </c>
      <c r="B706" t="str" cm="1">
        <f t="array" ref="B706">_xlfn.IFS(
HRData[[#This Row],[Age]]&lt;=24,"18-24",
HRData[[#This Row],[Age]]&lt;=34,"25-34",
HRData[[#This Row],[Age]]&lt;=44,"35-44",
HRData[[#This Row],[Age]]&lt;=54,"45-54",
HRData[[#This Row],[Age]]&gt;=55,"55+"
)</f>
        <v>35-44</v>
      </c>
      <c r="C706" t="s">
        <v>43</v>
      </c>
      <c r="D706">
        <f>IF(HRData[[#This Row],[Attrition]]="Yes",1,0)</f>
        <v>0</v>
      </c>
      <c r="E706" t="s">
        <v>36</v>
      </c>
      <c r="F706">
        <v>882</v>
      </c>
      <c r="G706" t="s">
        <v>37</v>
      </c>
      <c r="H706">
        <v>3</v>
      </c>
      <c r="I706">
        <v>4</v>
      </c>
      <c r="J706" t="s">
        <v>38</v>
      </c>
      <c r="K706">
        <v>1</v>
      </c>
      <c r="L706">
        <v>984</v>
      </c>
      <c r="M706">
        <v>4</v>
      </c>
      <c r="N706" t="str" cm="1">
        <f t="array" ref="N706">_xlfn.IFS(HRData[[#This Row],[EnvironmentSatisfaction]]=1,"Very Dissatisfied",
HRData[[#This Row],[EnvironmentSatisfaction]]=2,"Dissatisfied",
HRData[[#This Row],[EnvironmentSatisfaction]]=3,"Satisfied",
HRData[[#This Row],[EnvironmentSatisfaction]]=4,"Very Satisfied"
)</f>
        <v>Very Satisfied</v>
      </c>
      <c r="O706" t="s">
        <v>46</v>
      </c>
      <c r="P706">
        <v>92</v>
      </c>
      <c r="Q706">
        <v>3</v>
      </c>
      <c r="R706">
        <v>3</v>
      </c>
      <c r="S706" t="s">
        <v>40</v>
      </c>
      <c r="T706">
        <v>4</v>
      </c>
      <c r="U706" t="str" cm="1">
        <f t="array" ref="U706">_xlfn.IFS(
HRData[[#This Row],[JobSatisfaction]]=1,"Very Dissatisfied",
HRData[[#This Row],[JobSatisfaction]]=2,"Dissatisfied",
HRData[[#This Row],[JobSatisfaction]]=3,"Satisfied",
HRData[[#This Row],[JobSatisfaction]]=4,"Very Satisfied"
)</f>
        <v>Very Satisfied</v>
      </c>
      <c r="V706" t="s">
        <v>52</v>
      </c>
      <c r="W706">
        <v>7823</v>
      </c>
      <c r="X706" t="str" cm="1">
        <f t="array" ref="X706">_xlfn.IFS(
HRData[[#This Row],[MonthlyIncome]]&lt;=4000,"Very Low Income",
HRData[[#This Row],[MonthlyIncome]]&lt;=8000,"Low Income",
HRData[[#This Row],[MonthlyIncome]]&lt;=12000,"Moderate Income",
HRData[[#This Row],[MonthlyIncome]]&lt;=16000,"High Income",
HRData[[#This Row],[MonthlyIncome]]&gt;16000,"Very High Income"
)</f>
        <v>Low Income</v>
      </c>
      <c r="Y706">
        <v>6812</v>
      </c>
      <c r="Z706">
        <v>6</v>
      </c>
      <c r="AA706" t="s">
        <v>42</v>
      </c>
      <c r="AB706" t="s">
        <v>43</v>
      </c>
      <c r="AC706">
        <v>13</v>
      </c>
      <c r="AD706" t="str" cm="1">
        <f t="array" ref="AD706">_xlfn.IFS(HRData[[#This Row],[PercentSalaryHike]]&lt;=15,"11-15",HRData[[#This Row],[PercentSalaryHike]]&lt;=20,"16-20",HRData[[#This Row],[PercentSalaryHike]]&gt;=21,"21+")</f>
        <v>11-15</v>
      </c>
      <c r="AE706">
        <v>3</v>
      </c>
      <c r="AF706">
        <v>2</v>
      </c>
      <c r="AG706">
        <v>80</v>
      </c>
      <c r="AH706">
        <v>1</v>
      </c>
      <c r="AI706">
        <v>12</v>
      </c>
      <c r="AJ706">
        <v>2</v>
      </c>
      <c r="AK706">
        <v>3</v>
      </c>
      <c r="AL706">
        <v>10</v>
      </c>
      <c r="AM706">
        <v>9</v>
      </c>
      <c r="AN706">
        <v>0</v>
      </c>
      <c r="AO706">
        <v>8</v>
      </c>
      <c r="AP70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706" t="str">
        <f>IF(HRData[[#This Row],[Attrition]]="Yes","Left", IF(HRData[[#This Row],[Attrition_Risk_Score]]&gt;=6,"High",IF(HRData[[#This Row],[Attrition_Risk_Score]]&gt;=3,"Medium","Low")))</f>
        <v>Low</v>
      </c>
      <c r="AR706" t="str">
        <f>IF(HRData[[#This Row],[Attrition_Risk_Level]]&lt;&gt;"High","",HRData[[#This Row],[Attrition_Risk_Score]]*10000-HRData[[#This Row],[EmployeeNumber]])</f>
        <v/>
      </c>
    </row>
    <row r="707" spans="1:44">
      <c r="A707">
        <v>39</v>
      </c>
      <c r="B707" t="str" cm="1">
        <f t="array" ref="B707">_xlfn.IFS(
HRData[[#This Row],[Age]]&lt;=24,"18-24",
HRData[[#This Row],[Age]]&lt;=34,"25-34",
HRData[[#This Row],[Age]]&lt;=44,"35-44",
HRData[[#This Row],[Age]]&lt;=54,"45-54",
HRData[[#This Row],[Age]]&gt;=55,"55+"
)</f>
        <v>35-44</v>
      </c>
      <c r="C707" t="s">
        <v>43</v>
      </c>
      <c r="D707">
        <f>IF(HRData[[#This Row],[Attrition]]="Yes",1,0)</f>
        <v>0</v>
      </c>
      <c r="E707" t="s">
        <v>36</v>
      </c>
      <c r="F707">
        <v>903</v>
      </c>
      <c r="G707" t="s">
        <v>37</v>
      </c>
      <c r="H707">
        <v>2</v>
      </c>
      <c r="I707">
        <v>5</v>
      </c>
      <c r="J707" t="s">
        <v>38</v>
      </c>
      <c r="K707">
        <v>1</v>
      </c>
      <c r="L707">
        <v>985</v>
      </c>
      <c r="M707">
        <v>1</v>
      </c>
      <c r="N707" t="str" cm="1">
        <f t="array" ref="N707">_xlfn.IFS(HRData[[#This Row],[EnvironmentSatisfaction]]=1,"Very Dissatisfied",
HRData[[#This Row],[EnvironmentSatisfaction]]=2,"Dissatisfied",
HRData[[#This Row],[EnvironmentSatisfaction]]=3,"Satisfied",
HRData[[#This Row],[EnvironmentSatisfaction]]=4,"Very Satisfied"
)</f>
        <v>Very Dissatisfied</v>
      </c>
      <c r="O707" t="s">
        <v>46</v>
      </c>
      <c r="P707">
        <v>41</v>
      </c>
      <c r="Q707">
        <v>4</v>
      </c>
      <c r="R707">
        <v>3</v>
      </c>
      <c r="S707" t="s">
        <v>40</v>
      </c>
      <c r="T707">
        <v>3</v>
      </c>
      <c r="U707" t="str" cm="1">
        <f t="array" ref="U707">_xlfn.IFS(
HRData[[#This Row],[JobSatisfaction]]=1,"Very Dissatisfied",
HRData[[#This Row],[JobSatisfaction]]=2,"Dissatisfied",
HRData[[#This Row],[JobSatisfaction]]=3,"Satisfied",
HRData[[#This Row],[JobSatisfaction]]=4,"Very Satisfied"
)</f>
        <v>Satisfied</v>
      </c>
      <c r="V707" t="s">
        <v>41</v>
      </c>
      <c r="W707">
        <v>7880</v>
      </c>
      <c r="X707" t="str" cm="1">
        <f t="array" ref="X707">_xlfn.IFS(
HRData[[#This Row],[MonthlyIncome]]&lt;=4000,"Very Low Income",
HRData[[#This Row],[MonthlyIncome]]&lt;=8000,"Low Income",
HRData[[#This Row],[MonthlyIncome]]&lt;=12000,"Moderate Income",
HRData[[#This Row],[MonthlyIncome]]&lt;=16000,"High Income",
HRData[[#This Row],[MonthlyIncome]]&gt;16000,"Very High Income"
)</f>
        <v>Low Income</v>
      </c>
      <c r="Y707">
        <v>2560</v>
      </c>
      <c r="Z707">
        <v>0</v>
      </c>
      <c r="AA707" t="s">
        <v>42</v>
      </c>
      <c r="AB707" t="s">
        <v>43</v>
      </c>
      <c r="AC707">
        <v>18</v>
      </c>
      <c r="AD707" t="str" cm="1">
        <f t="array" ref="AD707">_xlfn.IFS(HRData[[#This Row],[PercentSalaryHike]]&lt;=15,"11-15",HRData[[#This Row],[PercentSalaryHike]]&lt;=20,"16-20",HRData[[#This Row],[PercentSalaryHike]]&gt;=21,"21+")</f>
        <v>16-20</v>
      </c>
      <c r="AE707">
        <v>3</v>
      </c>
      <c r="AF707">
        <v>4</v>
      </c>
      <c r="AG707">
        <v>80</v>
      </c>
      <c r="AH707">
        <v>0</v>
      </c>
      <c r="AI707">
        <v>9</v>
      </c>
      <c r="AJ707">
        <v>3</v>
      </c>
      <c r="AK707">
        <v>3</v>
      </c>
      <c r="AL707">
        <v>8</v>
      </c>
      <c r="AM707">
        <v>7</v>
      </c>
      <c r="AN707">
        <v>0</v>
      </c>
      <c r="AO707">
        <v>7</v>
      </c>
      <c r="AP70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707" t="str">
        <f>IF(HRData[[#This Row],[Attrition]]="Yes","Left", IF(HRData[[#This Row],[Attrition_Risk_Score]]&gt;=6,"High",IF(HRData[[#This Row],[Attrition_Risk_Score]]&gt;=3,"Medium","Low")))</f>
        <v>Low</v>
      </c>
      <c r="AR707" t="str">
        <f>IF(HRData[[#This Row],[Attrition_Risk_Level]]&lt;&gt;"High","",HRData[[#This Row],[Attrition_Risk_Score]]*10000-HRData[[#This Row],[EmployeeNumber]])</f>
        <v/>
      </c>
    </row>
    <row r="708" spans="1:44">
      <c r="A708">
        <v>40</v>
      </c>
      <c r="B708" t="str" cm="1">
        <f t="array" ref="B708">_xlfn.IFS(
HRData[[#This Row],[Age]]&lt;=24,"18-24",
HRData[[#This Row],[Age]]&lt;=34,"25-34",
HRData[[#This Row],[Age]]&lt;=44,"35-44",
HRData[[#This Row],[Age]]&lt;=54,"45-54",
HRData[[#This Row],[Age]]&gt;=55,"55+"
)</f>
        <v>35-44</v>
      </c>
      <c r="C708" t="s">
        <v>35</v>
      </c>
      <c r="D708">
        <f>IF(HRData[[#This Row],[Attrition]]="Yes",1,0)</f>
        <v>1</v>
      </c>
      <c r="E708" t="s">
        <v>55</v>
      </c>
      <c r="F708">
        <v>1479</v>
      </c>
      <c r="G708" t="s">
        <v>37</v>
      </c>
      <c r="H708">
        <v>24</v>
      </c>
      <c r="I708">
        <v>3</v>
      </c>
      <c r="J708" t="s">
        <v>38</v>
      </c>
      <c r="K708">
        <v>1</v>
      </c>
      <c r="L708">
        <v>986</v>
      </c>
      <c r="M708">
        <v>2</v>
      </c>
      <c r="N708" t="str" cm="1">
        <f t="array" ref="N708">_xlfn.IFS(HRData[[#This Row],[EnvironmentSatisfaction]]=1,"Very Dissatisfied",
HRData[[#This Row],[EnvironmentSatisfaction]]=2,"Dissatisfied",
HRData[[#This Row],[EnvironmentSatisfaction]]=3,"Satisfied",
HRData[[#This Row],[EnvironmentSatisfaction]]=4,"Very Satisfied"
)</f>
        <v>Dissatisfied</v>
      </c>
      <c r="O708" t="s">
        <v>39</v>
      </c>
      <c r="P708">
        <v>100</v>
      </c>
      <c r="Q708">
        <v>4</v>
      </c>
      <c r="R708">
        <v>4</v>
      </c>
      <c r="S708" t="s">
        <v>40</v>
      </c>
      <c r="T708">
        <v>2</v>
      </c>
      <c r="U708" t="str" cm="1">
        <f t="array" ref="U708">_xlfn.IFS(
HRData[[#This Row],[JobSatisfaction]]=1,"Very Dissatisfied",
HRData[[#This Row],[JobSatisfaction]]=2,"Dissatisfied",
HRData[[#This Row],[JobSatisfaction]]=3,"Satisfied",
HRData[[#This Row],[JobSatisfaction]]=4,"Very Satisfied"
)</f>
        <v>Dissatisfied</v>
      </c>
      <c r="V708" t="s">
        <v>41</v>
      </c>
      <c r="W708">
        <v>13194</v>
      </c>
      <c r="X708" t="str" cm="1">
        <f t="array" ref="X708">_xlfn.IFS(
HRData[[#This Row],[MonthlyIncome]]&lt;=4000,"Very Low Income",
HRData[[#This Row],[MonthlyIncome]]&lt;=8000,"Low Income",
HRData[[#This Row],[MonthlyIncome]]&lt;=12000,"Moderate Income",
HRData[[#This Row],[MonthlyIncome]]&lt;=16000,"High Income",
HRData[[#This Row],[MonthlyIncome]]&gt;16000,"Very High Income"
)</f>
        <v>High Income</v>
      </c>
      <c r="Y708">
        <v>17071</v>
      </c>
      <c r="Z708">
        <v>4</v>
      </c>
      <c r="AA708" t="s">
        <v>42</v>
      </c>
      <c r="AB708" t="s">
        <v>35</v>
      </c>
      <c r="AC708">
        <v>16</v>
      </c>
      <c r="AD708" t="str" cm="1">
        <f t="array" ref="AD708">_xlfn.IFS(HRData[[#This Row],[PercentSalaryHike]]&lt;=15,"11-15",HRData[[#This Row],[PercentSalaryHike]]&lt;=20,"16-20",HRData[[#This Row],[PercentSalaryHike]]&gt;=21,"21+")</f>
        <v>16-20</v>
      </c>
      <c r="AE708">
        <v>3</v>
      </c>
      <c r="AF708">
        <v>4</v>
      </c>
      <c r="AG708">
        <v>80</v>
      </c>
      <c r="AH708">
        <v>0</v>
      </c>
      <c r="AI708">
        <v>22</v>
      </c>
      <c r="AJ708">
        <v>2</v>
      </c>
      <c r="AK708">
        <v>2</v>
      </c>
      <c r="AL708">
        <v>1</v>
      </c>
      <c r="AM708">
        <v>0</v>
      </c>
      <c r="AN708">
        <v>0</v>
      </c>
      <c r="AO708">
        <v>0</v>
      </c>
      <c r="AP70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08" t="str">
        <f>IF(HRData[[#This Row],[Attrition]]="Yes","Left", IF(HRData[[#This Row],[Attrition_Risk_Score]]&gt;=6,"High",IF(HRData[[#This Row],[Attrition_Risk_Score]]&gt;=3,"Medium","Low")))</f>
        <v>Left</v>
      </c>
      <c r="AR708" t="str">
        <f>IF(HRData[[#This Row],[Attrition_Risk_Level]]&lt;&gt;"High","",HRData[[#This Row],[Attrition_Risk_Score]]*10000-HRData[[#This Row],[EmployeeNumber]])</f>
        <v/>
      </c>
    </row>
    <row r="709" spans="1:44">
      <c r="A709">
        <v>47</v>
      </c>
      <c r="B709" t="str" cm="1">
        <f t="array" ref="B709">_xlfn.IFS(
HRData[[#This Row],[Age]]&lt;=24,"18-24",
HRData[[#This Row],[Age]]&lt;=34,"25-34",
HRData[[#This Row],[Age]]&lt;=44,"35-44",
HRData[[#This Row],[Age]]&lt;=54,"45-54",
HRData[[#This Row],[Age]]&gt;=55,"55+"
)</f>
        <v>45-54</v>
      </c>
      <c r="C709" t="s">
        <v>43</v>
      </c>
      <c r="D709">
        <f>IF(HRData[[#This Row],[Attrition]]="Yes",1,0)</f>
        <v>0</v>
      </c>
      <c r="E709" t="s">
        <v>44</v>
      </c>
      <c r="F709">
        <v>1379</v>
      </c>
      <c r="G709" t="s">
        <v>45</v>
      </c>
      <c r="H709">
        <v>16</v>
      </c>
      <c r="I709">
        <v>4</v>
      </c>
      <c r="J709" t="s">
        <v>51</v>
      </c>
      <c r="K709">
        <v>1</v>
      </c>
      <c r="L709">
        <v>987</v>
      </c>
      <c r="M709">
        <v>3</v>
      </c>
      <c r="N709" t="str" cm="1">
        <f t="array" ref="N709">_xlfn.IFS(HRData[[#This Row],[EnvironmentSatisfaction]]=1,"Very Dissatisfied",
HRData[[#This Row],[EnvironmentSatisfaction]]=2,"Dissatisfied",
HRData[[#This Row],[EnvironmentSatisfaction]]=3,"Satisfied",
HRData[[#This Row],[EnvironmentSatisfaction]]=4,"Very Satisfied"
)</f>
        <v>Satisfied</v>
      </c>
      <c r="O709" t="s">
        <v>46</v>
      </c>
      <c r="P709">
        <v>64</v>
      </c>
      <c r="Q709">
        <v>4</v>
      </c>
      <c r="R709">
        <v>2</v>
      </c>
      <c r="S709" t="s">
        <v>53</v>
      </c>
      <c r="T709">
        <v>3</v>
      </c>
      <c r="U709" t="str" cm="1">
        <f t="array" ref="U709">_xlfn.IFS(
HRData[[#This Row],[JobSatisfaction]]=1,"Very Dissatisfied",
HRData[[#This Row],[JobSatisfaction]]=2,"Dissatisfied",
HRData[[#This Row],[JobSatisfaction]]=3,"Satisfied",
HRData[[#This Row],[JobSatisfaction]]=4,"Very Satisfied"
)</f>
        <v>Satisfied</v>
      </c>
      <c r="V709" t="s">
        <v>52</v>
      </c>
      <c r="W709">
        <v>5067</v>
      </c>
      <c r="X709" t="str" cm="1">
        <f t="array" ref="X709">_xlfn.IFS(
HRData[[#This Row],[MonthlyIncome]]&lt;=4000,"Very Low Income",
HRData[[#This Row],[MonthlyIncome]]&lt;=8000,"Low Income",
HRData[[#This Row],[MonthlyIncome]]&lt;=12000,"Moderate Income",
HRData[[#This Row],[MonthlyIncome]]&lt;=16000,"High Income",
HRData[[#This Row],[MonthlyIncome]]&gt;16000,"Very High Income"
)</f>
        <v>Low Income</v>
      </c>
      <c r="Y709">
        <v>6759</v>
      </c>
      <c r="Z709">
        <v>1</v>
      </c>
      <c r="AA709" t="s">
        <v>42</v>
      </c>
      <c r="AB709" t="s">
        <v>35</v>
      </c>
      <c r="AC709">
        <v>19</v>
      </c>
      <c r="AD709" t="str" cm="1">
        <f t="array" ref="AD709">_xlfn.IFS(HRData[[#This Row],[PercentSalaryHike]]&lt;=15,"11-15",HRData[[#This Row],[PercentSalaryHike]]&lt;=20,"16-20",HRData[[#This Row],[PercentSalaryHike]]&gt;=21,"21+")</f>
        <v>16-20</v>
      </c>
      <c r="AE709">
        <v>3</v>
      </c>
      <c r="AF709">
        <v>3</v>
      </c>
      <c r="AG709">
        <v>80</v>
      </c>
      <c r="AH709">
        <v>0</v>
      </c>
      <c r="AI709">
        <v>20</v>
      </c>
      <c r="AJ709">
        <v>3</v>
      </c>
      <c r="AK709">
        <v>4</v>
      </c>
      <c r="AL709">
        <v>19</v>
      </c>
      <c r="AM709">
        <v>10</v>
      </c>
      <c r="AN709">
        <v>2</v>
      </c>
      <c r="AO709">
        <v>7</v>
      </c>
      <c r="AP70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09" t="str">
        <f>IF(HRData[[#This Row],[Attrition]]="Yes","Left", IF(HRData[[#This Row],[Attrition_Risk_Score]]&gt;=6,"High",IF(HRData[[#This Row],[Attrition_Risk_Score]]&gt;=3,"Medium","Low")))</f>
        <v>Medium</v>
      </c>
      <c r="AR709" t="str">
        <f>IF(HRData[[#This Row],[Attrition_Risk_Level]]&lt;&gt;"High","",HRData[[#This Row],[Attrition_Risk_Score]]*10000-HRData[[#This Row],[EmployeeNumber]])</f>
        <v/>
      </c>
    </row>
    <row r="710" spans="1:44">
      <c r="A710">
        <v>36</v>
      </c>
      <c r="B710" t="str" cm="1">
        <f t="array" ref="B710">_xlfn.IFS(
HRData[[#This Row],[Age]]&lt;=24,"18-24",
HRData[[#This Row],[Age]]&lt;=34,"25-34",
HRData[[#This Row],[Age]]&lt;=44,"35-44",
HRData[[#This Row],[Age]]&lt;=54,"45-54",
HRData[[#This Row],[Age]]&gt;=55,"55+"
)</f>
        <v>35-44</v>
      </c>
      <c r="C710" t="s">
        <v>43</v>
      </c>
      <c r="D710">
        <f>IF(HRData[[#This Row],[Attrition]]="Yes",1,0)</f>
        <v>0</v>
      </c>
      <c r="E710" t="s">
        <v>55</v>
      </c>
      <c r="F710">
        <v>1229</v>
      </c>
      <c r="G710" t="s">
        <v>37</v>
      </c>
      <c r="H710">
        <v>8</v>
      </c>
      <c r="I710">
        <v>4</v>
      </c>
      <c r="J710" t="s">
        <v>60</v>
      </c>
      <c r="K710">
        <v>1</v>
      </c>
      <c r="L710">
        <v>990</v>
      </c>
      <c r="M710">
        <v>1</v>
      </c>
      <c r="N710" t="str" cm="1">
        <f t="array" ref="N710">_xlfn.IFS(HRData[[#This Row],[EnvironmentSatisfaction]]=1,"Very Dissatisfied",
HRData[[#This Row],[EnvironmentSatisfaction]]=2,"Dissatisfied",
HRData[[#This Row],[EnvironmentSatisfaction]]=3,"Satisfied",
HRData[[#This Row],[EnvironmentSatisfaction]]=4,"Very Satisfied"
)</f>
        <v>Very Dissatisfied</v>
      </c>
      <c r="O710" t="s">
        <v>46</v>
      </c>
      <c r="P710">
        <v>84</v>
      </c>
      <c r="Q710">
        <v>3</v>
      </c>
      <c r="R710">
        <v>2</v>
      </c>
      <c r="S710" t="s">
        <v>40</v>
      </c>
      <c r="T710">
        <v>4</v>
      </c>
      <c r="U710" t="str" cm="1">
        <f t="array" ref="U710">_xlfn.IFS(
HRData[[#This Row],[JobSatisfaction]]=1,"Very Dissatisfied",
HRData[[#This Row],[JobSatisfaction]]=2,"Dissatisfied",
HRData[[#This Row],[JobSatisfaction]]=3,"Satisfied",
HRData[[#This Row],[JobSatisfaction]]=4,"Very Satisfied"
)</f>
        <v>Very Satisfied</v>
      </c>
      <c r="V710" t="s">
        <v>52</v>
      </c>
      <c r="W710">
        <v>5079</v>
      </c>
      <c r="X710" t="str" cm="1">
        <f t="array" ref="X710">_xlfn.IFS(
HRData[[#This Row],[MonthlyIncome]]&lt;=4000,"Very Low Income",
HRData[[#This Row],[MonthlyIncome]]&lt;=8000,"Low Income",
HRData[[#This Row],[MonthlyIncome]]&lt;=12000,"Moderate Income",
HRData[[#This Row],[MonthlyIncome]]&lt;=16000,"High Income",
HRData[[#This Row],[MonthlyIncome]]&gt;16000,"Very High Income"
)</f>
        <v>Low Income</v>
      </c>
      <c r="Y710">
        <v>25952</v>
      </c>
      <c r="Z710">
        <v>4</v>
      </c>
      <c r="AA710" t="s">
        <v>42</v>
      </c>
      <c r="AB710" t="s">
        <v>43</v>
      </c>
      <c r="AC710">
        <v>13</v>
      </c>
      <c r="AD710" t="str" cm="1">
        <f t="array" ref="AD710">_xlfn.IFS(HRData[[#This Row],[PercentSalaryHike]]&lt;=15,"11-15",HRData[[#This Row],[PercentSalaryHike]]&lt;=20,"16-20",HRData[[#This Row],[PercentSalaryHike]]&gt;=21,"21+")</f>
        <v>11-15</v>
      </c>
      <c r="AE710">
        <v>3</v>
      </c>
      <c r="AF710">
        <v>4</v>
      </c>
      <c r="AG710">
        <v>80</v>
      </c>
      <c r="AH710">
        <v>2</v>
      </c>
      <c r="AI710">
        <v>12</v>
      </c>
      <c r="AJ710">
        <v>3</v>
      </c>
      <c r="AK710">
        <v>3</v>
      </c>
      <c r="AL710">
        <v>7</v>
      </c>
      <c r="AM710">
        <v>7</v>
      </c>
      <c r="AN710">
        <v>0</v>
      </c>
      <c r="AO710">
        <v>7</v>
      </c>
      <c r="AP71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710" t="str">
        <f>IF(HRData[[#This Row],[Attrition]]="Yes","Left", IF(HRData[[#This Row],[Attrition_Risk_Score]]&gt;=6,"High",IF(HRData[[#This Row],[Attrition_Risk_Score]]&gt;=3,"Medium","Low")))</f>
        <v>Low</v>
      </c>
      <c r="AR710" t="str">
        <f>IF(HRData[[#This Row],[Attrition_Risk_Level]]&lt;&gt;"High","",HRData[[#This Row],[Attrition_Risk_Score]]*10000-HRData[[#This Row],[EmployeeNumber]])</f>
        <v/>
      </c>
    </row>
    <row r="711" spans="1:44">
      <c r="A711">
        <v>31</v>
      </c>
      <c r="B711" t="str" cm="1">
        <f t="array" ref="B711">_xlfn.IFS(
HRData[[#This Row],[Age]]&lt;=24,"18-24",
HRData[[#This Row],[Age]]&lt;=34,"25-34",
HRData[[#This Row],[Age]]&lt;=44,"35-44",
HRData[[#This Row],[Age]]&lt;=54,"45-54",
HRData[[#This Row],[Age]]&gt;=55,"55+"
)</f>
        <v>25-34</v>
      </c>
      <c r="C711" t="s">
        <v>35</v>
      </c>
      <c r="D711">
        <f>IF(HRData[[#This Row],[Attrition]]="Yes",1,0)</f>
        <v>1</v>
      </c>
      <c r="E711" t="s">
        <v>55</v>
      </c>
      <c r="F711">
        <v>335</v>
      </c>
      <c r="G711" t="s">
        <v>45</v>
      </c>
      <c r="H711">
        <v>9</v>
      </c>
      <c r="I711">
        <v>2</v>
      </c>
      <c r="J711" t="s">
        <v>51</v>
      </c>
      <c r="K711">
        <v>1</v>
      </c>
      <c r="L711">
        <v>991</v>
      </c>
      <c r="M711">
        <v>3</v>
      </c>
      <c r="N711" t="str" cm="1">
        <f t="array" ref="N711">_xlfn.IFS(HRData[[#This Row],[EnvironmentSatisfaction]]=1,"Very Dissatisfied",
HRData[[#This Row],[EnvironmentSatisfaction]]=2,"Dissatisfied",
HRData[[#This Row],[EnvironmentSatisfaction]]=3,"Satisfied",
HRData[[#This Row],[EnvironmentSatisfaction]]=4,"Very Satisfied"
)</f>
        <v>Satisfied</v>
      </c>
      <c r="O711" t="s">
        <v>46</v>
      </c>
      <c r="P711">
        <v>46</v>
      </c>
      <c r="Q711">
        <v>2</v>
      </c>
      <c r="R711">
        <v>1</v>
      </c>
      <c r="S711" t="s">
        <v>47</v>
      </c>
      <c r="T711">
        <v>1</v>
      </c>
      <c r="U711" t="str" cm="1">
        <f t="array" ref="U711">_xlfn.IFS(
HRData[[#This Row],[JobSatisfaction]]=1,"Very Dissatisfied",
HRData[[#This Row],[JobSatisfaction]]=2,"Dissatisfied",
HRData[[#This Row],[JobSatisfaction]]=3,"Satisfied",
HRData[[#This Row],[JobSatisfaction]]=4,"Very Satisfied"
)</f>
        <v>Very Dissatisfied</v>
      </c>
      <c r="V711" t="s">
        <v>41</v>
      </c>
      <c r="W711">
        <v>2321</v>
      </c>
      <c r="X711" t="str" cm="1">
        <f t="array" ref="X711">_xlfn.IFS(
HRData[[#This Row],[MonthlyIncome]]&lt;=4000,"Very Low Income",
HRData[[#This Row],[MonthlyIncome]]&lt;=8000,"Low Income",
HRData[[#This Row],[MonthlyIncome]]&lt;=12000,"Moderate Income",
HRData[[#This Row],[MonthlyIncome]]&lt;=16000,"High Income",
HRData[[#This Row],[MonthlyIncome]]&gt;16000,"Very High Income"
)</f>
        <v>Very Low Income</v>
      </c>
      <c r="Y711">
        <v>10322</v>
      </c>
      <c r="Z711">
        <v>0</v>
      </c>
      <c r="AA711" t="s">
        <v>42</v>
      </c>
      <c r="AB711" t="s">
        <v>35</v>
      </c>
      <c r="AC711">
        <v>22</v>
      </c>
      <c r="AD711" t="str" cm="1">
        <f t="array" ref="AD711">_xlfn.IFS(HRData[[#This Row],[PercentSalaryHike]]&lt;=15,"11-15",HRData[[#This Row],[PercentSalaryHike]]&lt;=20,"16-20",HRData[[#This Row],[PercentSalaryHike]]&gt;=21,"21+")</f>
        <v>21+</v>
      </c>
      <c r="AE711">
        <v>4</v>
      </c>
      <c r="AF711">
        <v>1</v>
      </c>
      <c r="AG711">
        <v>80</v>
      </c>
      <c r="AH711">
        <v>0</v>
      </c>
      <c r="AI711">
        <v>4</v>
      </c>
      <c r="AJ711">
        <v>0</v>
      </c>
      <c r="AK711">
        <v>3</v>
      </c>
      <c r="AL711">
        <v>3</v>
      </c>
      <c r="AM711">
        <v>2</v>
      </c>
      <c r="AN711">
        <v>1</v>
      </c>
      <c r="AO711">
        <v>2</v>
      </c>
      <c r="AP71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11" t="str">
        <f>IF(HRData[[#This Row],[Attrition]]="Yes","Left", IF(HRData[[#This Row],[Attrition_Risk_Score]]&gt;=6,"High",IF(HRData[[#This Row],[Attrition_Risk_Score]]&gt;=3,"Medium","Low")))</f>
        <v>Left</v>
      </c>
      <c r="AR711" t="str">
        <f>IF(HRData[[#This Row],[Attrition_Risk_Level]]&lt;&gt;"High","",HRData[[#This Row],[Attrition_Risk_Score]]*10000-HRData[[#This Row],[EmployeeNumber]])</f>
        <v/>
      </c>
    </row>
    <row r="712" spans="1:44">
      <c r="A712">
        <v>33</v>
      </c>
      <c r="B712" t="str" cm="1">
        <f t="array" ref="B712">_xlfn.IFS(
HRData[[#This Row],[Age]]&lt;=24,"18-24",
HRData[[#This Row],[Age]]&lt;=34,"25-34",
HRData[[#This Row],[Age]]&lt;=44,"35-44",
HRData[[#This Row],[Age]]&lt;=54,"45-54",
HRData[[#This Row],[Age]]&gt;=55,"55+"
)</f>
        <v>25-34</v>
      </c>
      <c r="C712" t="s">
        <v>43</v>
      </c>
      <c r="D712">
        <f>IF(HRData[[#This Row],[Attrition]]="Yes",1,0)</f>
        <v>0</v>
      </c>
      <c r="E712" t="s">
        <v>55</v>
      </c>
      <c r="F712">
        <v>722</v>
      </c>
      <c r="G712" t="s">
        <v>37</v>
      </c>
      <c r="H712">
        <v>17</v>
      </c>
      <c r="I712">
        <v>3</v>
      </c>
      <c r="J712" t="s">
        <v>38</v>
      </c>
      <c r="K712">
        <v>1</v>
      </c>
      <c r="L712">
        <v>992</v>
      </c>
      <c r="M712">
        <v>4</v>
      </c>
      <c r="N712" t="str" cm="1">
        <f t="array" ref="N712">_xlfn.IFS(HRData[[#This Row],[EnvironmentSatisfaction]]=1,"Very Dissatisfied",
HRData[[#This Row],[EnvironmentSatisfaction]]=2,"Dissatisfied",
HRData[[#This Row],[EnvironmentSatisfaction]]=3,"Satisfied",
HRData[[#This Row],[EnvironmentSatisfaction]]=4,"Very Satisfied"
)</f>
        <v>Very Satisfied</v>
      </c>
      <c r="O712" t="s">
        <v>46</v>
      </c>
      <c r="P712">
        <v>38</v>
      </c>
      <c r="Q712">
        <v>3</v>
      </c>
      <c r="R712">
        <v>4</v>
      </c>
      <c r="S712" t="s">
        <v>56</v>
      </c>
      <c r="T712">
        <v>3</v>
      </c>
      <c r="U712" t="str" cm="1">
        <f t="array" ref="U712">_xlfn.IFS(
HRData[[#This Row],[JobSatisfaction]]=1,"Very Dissatisfied",
HRData[[#This Row],[JobSatisfaction]]=2,"Dissatisfied",
HRData[[#This Row],[JobSatisfaction]]=3,"Satisfied",
HRData[[#This Row],[JobSatisfaction]]=4,"Very Satisfied"
)</f>
        <v>Satisfied</v>
      </c>
      <c r="V712" t="s">
        <v>41</v>
      </c>
      <c r="W712">
        <v>17444</v>
      </c>
      <c r="X712" t="str" cm="1">
        <f t="array" ref="X712">_xlfn.IFS(
HRData[[#This Row],[MonthlyIncome]]&lt;=4000,"Very Low Income",
HRData[[#This Row],[MonthlyIncome]]&lt;=8000,"Low Income",
HRData[[#This Row],[MonthlyIncome]]&lt;=12000,"Moderate Income",
HRData[[#This Row],[MonthlyIncome]]&lt;=16000,"High Income",
HRData[[#This Row],[MonthlyIncome]]&gt;16000,"Very High Income"
)</f>
        <v>Very High Income</v>
      </c>
      <c r="Y712">
        <v>20489</v>
      </c>
      <c r="Z712">
        <v>1</v>
      </c>
      <c r="AA712" t="s">
        <v>42</v>
      </c>
      <c r="AB712" t="s">
        <v>43</v>
      </c>
      <c r="AC712">
        <v>11</v>
      </c>
      <c r="AD712" t="str" cm="1">
        <f t="array" ref="AD712">_xlfn.IFS(HRData[[#This Row],[PercentSalaryHike]]&lt;=15,"11-15",HRData[[#This Row],[PercentSalaryHike]]&lt;=20,"16-20",HRData[[#This Row],[PercentSalaryHike]]&gt;=21,"21+")</f>
        <v>11-15</v>
      </c>
      <c r="AE712">
        <v>3</v>
      </c>
      <c r="AF712">
        <v>4</v>
      </c>
      <c r="AG712">
        <v>80</v>
      </c>
      <c r="AH712">
        <v>0</v>
      </c>
      <c r="AI712">
        <v>10</v>
      </c>
      <c r="AJ712">
        <v>2</v>
      </c>
      <c r="AK712">
        <v>3</v>
      </c>
      <c r="AL712">
        <v>10</v>
      </c>
      <c r="AM712">
        <v>8</v>
      </c>
      <c r="AN712">
        <v>6</v>
      </c>
      <c r="AO712">
        <v>0</v>
      </c>
      <c r="AP71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712" t="str">
        <f>IF(HRData[[#This Row],[Attrition]]="Yes","Left", IF(HRData[[#This Row],[Attrition_Risk_Score]]&gt;=6,"High",IF(HRData[[#This Row],[Attrition_Risk_Score]]&gt;=3,"Medium","Low")))</f>
        <v>Low</v>
      </c>
      <c r="AR712" t="str">
        <f>IF(HRData[[#This Row],[Attrition_Risk_Level]]&lt;&gt;"High","",HRData[[#This Row],[Attrition_Risk_Score]]*10000-HRData[[#This Row],[EmployeeNumber]])</f>
        <v/>
      </c>
    </row>
    <row r="713" spans="1:44">
      <c r="A713">
        <v>29</v>
      </c>
      <c r="B713" t="str" cm="1">
        <f t="array" ref="B713">_xlfn.IFS(
HRData[[#This Row],[Age]]&lt;=24,"18-24",
HRData[[#This Row],[Age]]&lt;=34,"25-34",
HRData[[#This Row],[Age]]&lt;=44,"35-44",
HRData[[#This Row],[Age]]&lt;=54,"45-54",
HRData[[#This Row],[Age]]&gt;=55,"55+"
)</f>
        <v>25-34</v>
      </c>
      <c r="C713" t="s">
        <v>35</v>
      </c>
      <c r="D713">
        <f>IF(HRData[[#This Row],[Attrition]]="Yes",1,0)</f>
        <v>1</v>
      </c>
      <c r="E713" t="s">
        <v>36</v>
      </c>
      <c r="F713">
        <v>906</v>
      </c>
      <c r="G713" t="s">
        <v>45</v>
      </c>
      <c r="H713">
        <v>10</v>
      </c>
      <c r="I713">
        <v>3</v>
      </c>
      <c r="J713" t="s">
        <v>38</v>
      </c>
      <c r="K713">
        <v>1</v>
      </c>
      <c r="L713">
        <v>994</v>
      </c>
      <c r="M713">
        <v>4</v>
      </c>
      <c r="N713" t="str" cm="1">
        <f t="array" ref="N713">_xlfn.IFS(HRData[[#This Row],[EnvironmentSatisfaction]]=1,"Very Dissatisfied",
HRData[[#This Row],[EnvironmentSatisfaction]]=2,"Dissatisfied",
HRData[[#This Row],[EnvironmentSatisfaction]]=3,"Satisfied",
HRData[[#This Row],[EnvironmentSatisfaction]]=4,"Very Satisfied"
)</f>
        <v>Very Satisfied</v>
      </c>
      <c r="O713" t="s">
        <v>39</v>
      </c>
      <c r="P713">
        <v>92</v>
      </c>
      <c r="Q713">
        <v>2</v>
      </c>
      <c r="R713">
        <v>1</v>
      </c>
      <c r="S713" t="s">
        <v>47</v>
      </c>
      <c r="T713">
        <v>1</v>
      </c>
      <c r="U713" t="str" cm="1">
        <f t="array" ref="U713">_xlfn.IFS(
HRData[[#This Row],[JobSatisfaction]]=1,"Very Dissatisfied",
HRData[[#This Row],[JobSatisfaction]]=2,"Dissatisfied",
HRData[[#This Row],[JobSatisfaction]]=3,"Satisfied",
HRData[[#This Row],[JobSatisfaction]]=4,"Very Satisfied"
)</f>
        <v>Very Dissatisfied</v>
      </c>
      <c r="V713" t="s">
        <v>41</v>
      </c>
      <c r="W713">
        <v>2404</v>
      </c>
      <c r="X713" t="str" cm="1">
        <f t="array" ref="X713">_xlfn.IFS(
HRData[[#This Row],[MonthlyIncome]]&lt;=4000,"Very Low Income",
HRData[[#This Row],[MonthlyIncome]]&lt;=8000,"Low Income",
HRData[[#This Row],[MonthlyIncome]]&lt;=12000,"Moderate Income",
HRData[[#This Row],[MonthlyIncome]]&lt;=16000,"High Income",
HRData[[#This Row],[MonthlyIncome]]&gt;16000,"Very High Income"
)</f>
        <v>Very Low Income</v>
      </c>
      <c r="Y713">
        <v>11479</v>
      </c>
      <c r="Z713">
        <v>6</v>
      </c>
      <c r="AA713" t="s">
        <v>42</v>
      </c>
      <c r="AB713" t="s">
        <v>35</v>
      </c>
      <c r="AC713">
        <v>20</v>
      </c>
      <c r="AD713" t="str" cm="1">
        <f t="array" ref="AD713">_xlfn.IFS(HRData[[#This Row],[PercentSalaryHike]]&lt;=15,"11-15",HRData[[#This Row],[PercentSalaryHike]]&lt;=20,"16-20",HRData[[#This Row],[PercentSalaryHike]]&gt;=21,"21+")</f>
        <v>16-20</v>
      </c>
      <c r="AE713">
        <v>4</v>
      </c>
      <c r="AF713">
        <v>3</v>
      </c>
      <c r="AG713">
        <v>80</v>
      </c>
      <c r="AH713">
        <v>0</v>
      </c>
      <c r="AI713">
        <v>3</v>
      </c>
      <c r="AJ713">
        <v>5</v>
      </c>
      <c r="AK713">
        <v>3</v>
      </c>
      <c r="AL713">
        <v>0</v>
      </c>
      <c r="AM713">
        <v>0</v>
      </c>
      <c r="AN713">
        <v>0</v>
      </c>
      <c r="AO713">
        <v>0</v>
      </c>
      <c r="AP71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13" t="str">
        <f>IF(HRData[[#This Row],[Attrition]]="Yes","Left", IF(HRData[[#This Row],[Attrition_Risk_Score]]&gt;=6,"High",IF(HRData[[#This Row],[Attrition_Risk_Score]]&gt;=3,"Medium","Low")))</f>
        <v>Left</v>
      </c>
      <c r="AR713" t="str">
        <f>IF(HRData[[#This Row],[Attrition_Risk_Level]]&lt;&gt;"High","",HRData[[#This Row],[Attrition_Risk_Score]]*10000-HRData[[#This Row],[EmployeeNumber]])</f>
        <v/>
      </c>
    </row>
    <row r="714" spans="1:44">
      <c r="A714">
        <v>33</v>
      </c>
      <c r="B714" t="str" cm="1">
        <f t="array" ref="B714">_xlfn.IFS(
HRData[[#This Row],[Age]]&lt;=24,"18-24",
HRData[[#This Row],[Age]]&lt;=34,"25-34",
HRData[[#This Row],[Age]]&lt;=44,"35-44",
HRData[[#This Row],[Age]]&lt;=54,"45-54",
HRData[[#This Row],[Age]]&gt;=55,"55+"
)</f>
        <v>25-34</v>
      </c>
      <c r="C714" t="s">
        <v>43</v>
      </c>
      <c r="D714">
        <f>IF(HRData[[#This Row],[Attrition]]="Yes",1,0)</f>
        <v>0</v>
      </c>
      <c r="E714" t="s">
        <v>36</v>
      </c>
      <c r="F714">
        <v>461</v>
      </c>
      <c r="G714" t="s">
        <v>45</v>
      </c>
      <c r="H714">
        <v>13</v>
      </c>
      <c r="I714">
        <v>1</v>
      </c>
      <c r="J714" t="s">
        <v>38</v>
      </c>
      <c r="K714">
        <v>1</v>
      </c>
      <c r="L714">
        <v>995</v>
      </c>
      <c r="M714">
        <v>2</v>
      </c>
      <c r="N714" t="str" cm="1">
        <f t="array" ref="N714">_xlfn.IFS(HRData[[#This Row],[EnvironmentSatisfaction]]=1,"Very Dissatisfied",
HRData[[#This Row],[EnvironmentSatisfaction]]=2,"Dissatisfied",
HRData[[#This Row],[EnvironmentSatisfaction]]=3,"Satisfied",
HRData[[#This Row],[EnvironmentSatisfaction]]=4,"Very Satisfied"
)</f>
        <v>Dissatisfied</v>
      </c>
      <c r="O714" t="s">
        <v>39</v>
      </c>
      <c r="P714">
        <v>53</v>
      </c>
      <c r="Q714">
        <v>3</v>
      </c>
      <c r="R714">
        <v>1</v>
      </c>
      <c r="S714" t="s">
        <v>47</v>
      </c>
      <c r="T714">
        <v>4</v>
      </c>
      <c r="U714" t="str" cm="1">
        <f t="array" ref="U714">_xlfn.IFS(
HRData[[#This Row],[JobSatisfaction]]=1,"Very Dissatisfied",
HRData[[#This Row],[JobSatisfaction]]=2,"Dissatisfied",
HRData[[#This Row],[JobSatisfaction]]=3,"Satisfied",
HRData[[#This Row],[JobSatisfaction]]=4,"Very Satisfied"
)</f>
        <v>Very Satisfied</v>
      </c>
      <c r="V714" t="s">
        <v>41</v>
      </c>
      <c r="W714">
        <v>3452</v>
      </c>
      <c r="X714" t="str" cm="1">
        <f t="array" ref="X714">_xlfn.IFS(
HRData[[#This Row],[MonthlyIncome]]&lt;=4000,"Very Low Income",
HRData[[#This Row],[MonthlyIncome]]&lt;=8000,"Low Income",
HRData[[#This Row],[MonthlyIncome]]&lt;=12000,"Moderate Income",
HRData[[#This Row],[MonthlyIncome]]&lt;=16000,"High Income",
HRData[[#This Row],[MonthlyIncome]]&gt;16000,"Very High Income"
)</f>
        <v>Very Low Income</v>
      </c>
      <c r="Y714">
        <v>17241</v>
      </c>
      <c r="Z714">
        <v>3</v>
      </c>
      <c r="AA714" t="s">
        <v>42</v>
      </c>
      <c r="AB714" t="s">
        <v>43</v>
      </c>
      <c r="AC714">
        <v>18</v>
      </c>
      <c r="AD714" t="str" cm="1">
        <f t="array" ref="AD714">_xlfn.IFS(HRData[[#This Row],[PercentSalaryHike]]&lt;=15,"11-15",HRData[[#This Row],[PercentSalaryHike]]&lt;=20,"16-20",HRData[[#This Row],[PercentSalaryHike]]&gt;=21,"21+")</f>
        <v>16-20</v>
      </c>
      <c r="AE714">
        <v>3</v>
      </c>
      <c r="AF714">
        <v>1</v>
      </c>
      <c r="AG714">
        <v>80</v>
      </c>
      <c r="AH714">
        <v>0</v>
      </c>
      <c r="AI714">
        <v>5</v>
      </c>
      <c r="AJ714">
        <v>4</v>
      </c>
      <c r="AK714">
        <v>3</v>
      </c>
      <c r="AL714">
        <v>3</v>
      </c>
      <c r="AM714">
        <v>2</v>
      </c>
      <c r="AN714">
        <v>0</v>
      </c>
      <c r="AO714">
        <v>2</v>
      </c>
      <c r="AP71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14" t="str">
        <f>IF(HRData[[#This Row],[Attrition]]="Yes","Left", IF(HRData[[#This Row],[Attrition_Risk_Score]]&gt;=6,"High",IF(HRData[[#This Row],[Attrition_Risk_Score]]&gt;=3,"Medium","Low")))</f>
        <v>Medium</v>
      </c>
      <c r="AR714" t="str">
        <f>IF(HRData[[#This Row],[Attrition_Risk_Level]]&lt;&gt;"High","",HRData[[#This Row],[Attrition_Risk_Score]]*10000-HRData[[#This Row],[EmployeeNumber]])</f>
        <v/>
      </c>
    </row>
    <row r="715" spans="1:44">
      <c r="A715">
        <v>45</v>
      </c>
      <c r="B715" t="str" cm="1">
        <f t="array" ref="B715">_xlfn.IFS(
HRData[[#This Row],[Age]]&lt;=24,"18-24",
HRData[[#This Row],[Age]]&lt;=34,"25-34",
HRData[[#This Row],[Age]]&lt;=44,"35-44",
HRData[[#This Row],[Age]]&lt;=54,"45-54",
HRData[[#This Row],[Age]]&gt;=55,"55+"
)</f>
        <v>45-54</v>
      </c>
      <c r="C715" t="s">
        <v>43</v>
      </c>
      <c r="D715">
        <f>IF(HRData[[#This Row],[Attrition]]="Yes",1,0)</f>
        <v>0</v>
      </c>
      <c r="E715" t="s">
        <v>36</v>
      </c>
      <c r="F715">
        <v>974</v>
      </c>
      <c r="G715" t="s">
        <v>45</v>
      </c>
      <c r="H715">
        <v>1</v>
      </c>
      <c r="I715">
        <v>4</v>
      </c>
      <c r="J715" t="s">
        <v>51</v>
      </c>
      <c r="K715">
        <v>1</v>
      </c>
      <c r="L715">
        <v>996</v>
      </c>
      <c r="M715">
        <v>4</v>
      </c>
      <c r="N715" t="str" cm="1">
        <f t="array" ref="N715">_xlfn.IFS(HRData[[#This Row],[EnvironmentSatisfaction]]=1,"Very Dissatisfied",
HRData[[#This Row],[EnvironmentSatisfaction]]=2,"Dissatisfied",
HRData[[#This Row],[EnvironmentSatisfaction]]=3,"Satisfied",
HRData[[#This Row],[EnvironmentSatisfaction]]=4,"Very Satisfied"
)</f>
        <v>Very Satisfied</v>
      </c>
      <c r="O715" t="s">
        <v>39</v>
      </c>
      <c r="P715">
        <v>91</v>
      </c>
      <c r="Q715">
        <v>3</v>
      </c>
      <c r="R715">
        <v>1</v>
      </c>
      <c r="S715" t="s">
        <v>50</v>
      </c>
      <c r="T715">
        <v>4</v>
      </c>
      <c r="U715" t="str" cm="1">
        <f t="array" ref="U715">_xlfn.IFS(
HRData[[#This Row],[JobSatisfaction]]=1,"Very Dissatisfied",
HRData[[#This Row],[JobSatisfaction]]=2,"Dissatisfied",
HRData[[#This Row],[JobSatisfaction]]=3,"Satisfied",
HRData[[#This Row],[JobSatisfaction]]=4,"Very Satisfied"
)</f>
        <v>Very Satisfied</v>
      </c>
      <c r="V715" t="s">
        <v>52</v>
      </c>
      <c r="W715">
        <v>2270</v>
      </c>
      <c r="X715" t="str" cm="1">
        <f t="array" ref="X715">_xlfn.IFS(
HRData[[#This Row],[MonthlyIncome]]&lt;=4000,"Very Low Income",
HRData[[#This Row],[MonthlyIncome]]&lt;=8000,"Low Income",
HRData[[#This Row],[MonthlyIncome]]&lt;=12000,"Moderate Income",
HRData[[#This Row],[MonthlyIncome]]&lt;=16000,"High Income",
HRData[[#This Row],[MonthlyIncome]]&gt;16000,"Very High Income"
)</f>
        <v>Very Low Income</v>
      </c>
      <c r="Y715">
        <v>11005</v>
      </c>
      <c r="Z715">
        <v>3</v>
      </c>
      <c r="AA715" t="s">
        <v>42</v>
      </c>
      <c r="AB715" t="s">
        <v>43</v>
      </c>
      <c r="AC715">
        <v>14</v>
      </c>
      <c r="AD715" t="str" cm="1">
        <f t="array" ref="AD715">_xlfn.IFS(HRData[[#This Row],[PercentSalaryHike]]&lt;=15,"11-15",HRData[[#This Row],[PercentSalaryHike]]&lt;=20,"16-20",HRData[[#This Row],[PercentSalaryHike]]&gt;=21,"21+")</f>
        <v>11-15</v>
      </c>
      <c r="AE715">
        <v>3</v>
      </c>
      <c r="AF715">
        <v>4</v>
      </c>
      <c r="AG715">
        <v>80</v>
      </c>
      <c r="AH715">
        <v>2</v>
      </c>
      <c r="AI715">
        <v>8</v>
      </c>
      <c r="AJ715">
        <v>2</v>
      </c>
      <c r="AK715">
        <v>3</v>
      </c>
      <c r="AL715">
        <v>5</v>
      </c>
      <c r="AM715">
        <v>3</v>
      </c>
      <c r="AN715">
        <v>0</v>
      </c>
      <c r="AO715">
        <v>2</v>
      </c>
      <c r="AP71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15" t="str">
        <f>IF(HRData[[#This Row],[Attrition]]="Yes","Left", IF(HRData[[#This Row],[Attrition_Risk_Score]]&gt;=6,"High",IF(HRData[[#This Row],[Attrition_Risk_Score]]&gt;=3,"Medium","Low")))</f>
        <v>Medium</v>
      </c>
      <c r="AR715" t="str">
        <f>IF(HRData[[#This Row],[Attrition_Risk_Level]]&lt;&gt;"High","",HRData[[#This Row],[Attrition_Risk_Score]]*10000-HRData[[#This Row],[EmployeeNumber]])</f>
        <v/>
      </c>
    </row>
    <row r="716" spans="1:44">
      <c r="A716">
        <v>50</v>
      </c>
      <c r="B716" t="str" cm="1">
        <f t="array" ref="B716">_xlfn.IFS(
HRData[[#This Row],[Age]]&lt;=24,"18-24",
HRData[[#This Row],[Age]]&lt;=34,"25-34",
HRData[[#This Row],[Age]]&lt;=44,"35-44",
HRData[[#This Row],[Age]]&lt;=54,"45-54",
HRData[[#This Row],[Age]]&gt;=55,"55+"
)</f>
        <v>45-54</v>
      </c>
      <c r="C716" t="s">
        <v>43</v>
      </c>
      <c r="D716">
        <f>IF(HRData[[#This Row],[Attrition]]="Yes",1,0)</f>
        <v>0</v>
      </c>
      <c r="E716" t="s">
        <v>36</v>
      </c>
      <c r="F716">
        <v>1126</v>
      </c>
      <c r="G716" t="s">
        <v>45</v>
      </c>
      <c r="H716">
        <v>1</v>
      </c>
      <c r="I716">
        <v>2</v>
      </c>
      <c r="J716" t="s">
        <v>51</v>
      </c>
      <c r="K716">
        <v>1</v>
      </c>
      <c r="L716">
        <v>997</v>
      </c>
      <c r="M716">
        <v>4</v>
      </c>
      <c r="N716" t="str" cm="1">
        <f t="array" ref="N716">_xlfn.IFS(HRData[[#This Row],[EnvironmentSatisfaction]]=1,"Very Dissatisfied",
HRData[[#This Row],[EnvironmentSatisfaction]]=2,"Dissatisfied",
HRData[[#This Row],[EnvironmentSatisfaction]]=3,"Satisfied",
HRData[[#This Row],[EnvironmentSatisfaction]]=4,"Very Satisfied"
)</f>
        <v>Very Satisfied</v>
      </c>
      <c r="O716" t="s">
        <v>46</v>
      </c>
      <c r="P716">
        <v>66</v>
      </c>
      <c r="Q716">
        <v>3</v>
      </c>
      <c r="R716">
        <v>4</v>
      </c>
      <c r="S716" t="s">
        <v>58</v>
      </c>
      <c r="T716">
        <v>4</v>
      </c>
      <c r="U716" t="str" cm="1">
        <f t="array" ref="U716">_xlfn.IFS(
HRData[[#This Row],[JobSatisfaction]]=1,"Very Dissatisfied",
HRData[[#This Row],[JobSatisfaction]]=2,"Dissatisfied",
HRData[[#This Row],[JobSatisfaction]]=3,"Satisfied",
HRData[[#This Row],[JobSatisfaction]]=4,"Very Satisfied"
)</f>
        <v>Very Satisfied</v>
      </c>
      <c r="V716" t="s">
        <v>52</v>
      </c>
      <c r="W716">
        <v>17399</v>
      </c>
      <c r="X716" t="str" cm="1">
        <f t="array" ref="X716">_xlfn.IFS(
HRData[[#This Row],[MonthlyIncome]]&lt;=4000,"Very Low Income",
HRData[[#This Row],[MonthlyIncome]]&lt;=8000,"Low Income",
HRData[[#This Row],[MonthlyIncome]]&lt;=12000,"Moderate Income",
HRData[[#This Row],[MonthlyIncome]]&lt;=16000,"High Income",
HRData[[#This Row],[MonthlyIncome]]&gt;16000,"Very High Income"
)</f>
        <v>Very High Income</v>
      </c>
      <c r="Y716">
        <v>6615</v>
      </c>
      <c r="Z716">
        <v>9</v>
      </c>
      <c r="AA716" t="s">
        <v>42</v>
      </c>
      <c r="AB716" t="s">
        <v>43</v>
      </c>
      <c r="AC716">
        <v>22</v>
      </c>
      <c r="AD716" t="str" cm="1">
        <f t="array" ref="AD716">_xlfn.IFS(HRData[[#This Row],[PercentSalaryHike]]&lt;=15,"11-15",HRData[[#This Row],[PercentSalaryHike]]&lt;=20,"16-20",HRData[[#This Row],[PercentSalaryHike]]&gt;=21,"21+")</f>
        <v>21+</v>
      </c>
      <c r="AE716">
        <v>4</v>
      </c>
      <c r="AF716">
        <v>3</v>
      </c>
      <c r="AG716">
        <v>80</v>
      </c>
      <c r="AH716">
        <v>1</v>
      </c>
      <c r="AI716">
        <v>32</v>
      </c>
      <c r="AJ716">
        <v>1</v>
      </c>
      <c r="AK716">
        <v>2</v>
      </c>
      <c r="AL716">
        <v>5</v>
      </c>
      <c r="AM716">
        <v>4</v>
      </c>
      <c r="AN716">
        <v>1</v>
      </c>
      <c r="AO716">
        <v>3</v>
      </c>
      <c r="AP71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16" t="str">
        <f>IF(HRData[[#This Row],[Attrition]]="Yes","Left", IF(HRData[[#This Row],[Attrition_Risk_Score]]&gt;=6,"High",IF(HRData[[#This Row],[Attrition_Risk_Score]]&gt;=3,"Medium","Low")))</f>
        <v>Low</v>
      </c>
      <c r="AR716" t="str">
        <f>IF(HRData[[#This Row],[Attrition_Risk_Level]]&lt;&gt;"High","",HRData[[#This Row],[Attrition_Risk_Score]]*10000-HRData[[#This Row],[EmployeeNumber]])</f>
        <v/>
      </c>
    </row>
    <row r="717" spans="1:44">
      <c r="A717">
        <v>33</v>
      </c>
      <c r="B717" t="str" cm="1">
        <f t="array" ref="B717">_xlfn.IFS(
HRData[[#This Row],[Age]]&lt;=24,"18-24",
HRData[[#This Row],[Age]]&lt;=34,"25-34",
HRData[[#This Row],[Age]]&lt;=44,"35-44",
HRData[[#This Row],[Age]]&lt;=54,"45-54",
HRData[[#This Row],[Age]]&gt;=55,"55+"
)</f>
        <v>25-34</v>
      </c>
      <c r="C717" t="s">
        <v>43</v>
      </c>
      <c r="D717">
        <f>IF(HRData[[#This Row],[Attrition]]="Yes",1,0)</f>
        <v>0</v>
      </c>
      <c r="E717" t="s">
        <v>44</v>
      </c>
      <c r="F717">
        <v>827</v>
      </c>
      <c r="G717" t="s">
        <v>45</v>
      </c>
      <c r="H717">
        <v>1</v>
      </c>
      <c r="I717">
        <v>4</v>
      </c>
      <c r="J717" t="s">
        <v>49</v>
      </c>
      <c r="K717">
        <v>1</v>
      </c>
      <c r="L717">
        <v>998</v>
      </c>
      <c r="M717">
        <v>3</v>
      </c>
      <c r="N717" t="str" cm="1">
        <f t="array" ref="N717">_xlfn.IFS(HRData[[#This Row],[EnvironmentSatisfaction]]=1,"Very Dissatisfied",
HRData[[#This Row],[EnvironmentSatisfaction]]=2,"Dissatisfied",
HRData[[#This Row],[EnvironmentSatisfaction]]=3,"Satisfied",
HRData[[#This Row],[EnvironmentSatisfaction]]=4,"Very Satisfied"
)</f>
        <v>Satisfied</v>
      </c>
      <c r="O717" t="s">
        <v>39</v>
      </c>
      <c r="P717">
        <v>84</v>
      </c>
      <c r="Q717">
        <v>4</v>
      </c>
      <c r="R717">
        <v>2</v>
      </c>
      <c r="S717" t="s">
        <v>54</v>
      </c>
      <c r="T717">
        <v>2</v>
      </c>
      <c r="U717" t="str" cm="1">
        <f t="array" ref="U717">_xlfn.IFS(
HRData[[#This Row],[JobSatisfaction]]=1,"Very Dissatisfied",
HRData[[#This Row],[JobSatisfaction]]=2,"Dissatisfied",
HRData[[#This Row],[JobSatisfaction]]=3,"Satisfied",
HRData[[#This Row],[JobSatisfaction]]=4,"Very Satisfied"
)</f>
        <v>Dissatisfied</v>
      </c>
      <c r="V717" t="s">
        <v>48</v>
      </c>
      <c r="W717">
        <v>5488</v>
      </c>
      <c r="X717" t="str" cm="1">
        <f t="array" ref="X717">_xlfn.IFS(
HRData[[#This Row],[MonthlyIncome]]&lt;=4000,"Very Low Income",
HRData[[#This Row],[MonthlyIncome]]&lt;=8000,"Low Income",
HRData[[#This Row],[MonthlyIncome]]&lt;=12000,"Moderate Income",
HRData[[#This Row],[MonthlyIncome]]&lt;=16000,"High Income",
HRData[[#This Row],[MonthlyIncome]]&gt;16000,"Very High Income"
)</f>
        <v>Low Income</v>
      </c>
      <c r="Y717">
        <v>20161</v>
      </c>
      <c r="Z717">
        <v>1</v>
      </c>
      <c r="AA717" t="s">
        <v>42</v>
      </c>
      <c r="AB717" t="s">
        <v>35</v>
      </c>
      <c r="AC717">
        <v>13</v>
      </c>
      <c r="AD717" t="str" cm="1">
        <f t="array" ref="AD717">_xlfn.IFS(HRData[[#This Row],[PercentSalaryHike]]&lt;=15,"11-15",HRData[[#This Row],[PercentSalaryHike]]&lt;=20,"16-20",HRData[[#This Row],[PercentSalaryHike]]&gt;=21,"21+")</f>
        <v>11-15</v>
      </c>
      <c r="AE717">
        <v>3</v>
      </c>
      <c r="AF717">
        <v>1</v>
      </c>
      <c r="AG717">
        <v>80</v>
      </c>
      <c r="AH717">
        <v>1</v>
      </c>
      <c r="AI717">
        <v>6</v>
      </c>
      <c r="AJ717">
        <v>2</v>
      </c>
      <c r="AK717">
        <v>3</v>
      </c>
      <c r="AL717">
        <v>6</v>
      </c>
      <c r="AM717">
        <v>5</v>
      </c>
      <c r="AN717">
        <v>1</v>
      </c>
      <c r="AO717">
        <v>2</v>
      </c>
      <c r="AP71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717" t="str">
        <f>IF(HRData[[#This Row],[Attrition]]="Yes","Left", IF(HRData[[#This Row],[Attrition_Risk_Score]]&gt;=6,"High",IF(HRData[[#This Row],[Attrition_Risk_Score]]&gt;=3,"Medium","Low")))</f>
        <v>Medium</v>
      </c>
      <c r="AR717" t="str">
        <f>IF(HRData[[#This Row],[Attrition_Risk_Level]]&lt;&gt;"High","",HRData[[#This Row],[Attrition_Risk_Score]]*10000-HRData[[#This Row],[EmployeeNumber]])</f>
        <v/>
      </c>
    </row>
    <row r="718" spans="1:44">
      <c r="A718">
        <v>41</v>
      </c>
      <c r="B718" t="str" cm="1">
        <f t="array" ref="B718">_xlfn.IFS(
HRData[[#This Row],[Age]]&lt;=24,"18-24",
HRData[[#This Row],[Age]]&lt;=34,"25-34",
HRData[[#This Row],[Age]]&lt;=44,"35-44",
HRData[[#This Row],[Age]]&lt;=54,"45-54",
HRData[[#This Row],[Age]]&gt;=55,"55+"
)</f>
        <v>35-44</v>
      </c>
      <c r="C718" t="s">
        <v>43</v>
      </c>
      <c r="D718">
        <f>IF(HRData[[#This Row],[Attrition]]="Yes",1,0)</f>
        <v>0</v>
      </c>
      <c r="E718" t="s">
        <v>44</v>
      </c>
      <c r="F718">
        <v>840</v>
      </c>
      <c r="G718" t="s">
        <v>45</v>
      </c>
      <c r="H718">
        <v>9</v>
      </c>
      <c r="I718">
        <v>3</v>
      </c>
      <c r="J718" t="s">
        <v>51</v>
      </c>
      <c r="K718">
        <v>1</v>
      </c>
      <c r="L718">
        <v>999</v>
      </c>
      <c r="M718">
        <v>1</v>
      </c>
      <c r="N718" t="str" cm="1">
        <f t="array" ref="N718">_xlfn.IFS(HRData[[#This Row],[EnvironmentSatisfaction]]=1,"Very Dissatisfied",
HRData[[#This Row],[EnvironmentSatisfaction]]=2,"Dissatisfied",
HRData[[#This Row],[EnvironmentSatisfaction]]=3,"Satisfied",
HRData[[#This Row],[EnvironmentSatisfaction]]=4,"Very Satisfied"
)</f>
        <v>Very Dissatisfied</v>
      </c>
      <c r="O718" t="s">
        <v>46</v>
      </c>
      <c r="P718">
        <v>64</v>
      </c>
      <c r="Q718">
        <v>3</v>
      </c>
      <c r="R718">
        <v>5</v>
      </c>
      <c r="S718" t="s">
        <v>58</v>
      </c>
      <c r="T718">
        <v>3</v>
      </c>
      <c r="U718" t="str" cm="1">
        <f t="array" ref="U718">_xlfn.IFS(
HRData[[#This Row],[JobSatisfaction]]=1,"Very Dissatisfied",
HRData[[#This Row],[JobSatisfaction]]=2,"Dissatisfied",
HRData[[#This Row],[JobSatisfaction]]=3,"Satisfied",
HRData[[#This Row],[JobSatisfaction]]=4,"Very Satisfied"
)</f>
        <v>Satisfied</v>
      </c>
      <c r="V718" t="s">
        <v>52</v>
      </c>
      <c r="W718">
        <v>19419</v>
      </c>
      <c r="X718" t="str" cm="1">
        <f t="array" ref="X718">_xlfn.IFS(
HRData[[#This Row],[MonthlyIncome]]&lt;=4000,"Very Low Income",
HRData[[#This Row],[MonthlyIncome]]&lt;=8000,"Low Income",
HRData[[#This Row],[MonthlyIncome]]&lt;=12000,"Moderate Income",
HRData[[#This Row],[MonthlyIncome]]&lt;=16000,"High Income",
HRData[[#This Row],[MonthlyIncome]]&gt;16000,"Very High Income"
)</f>
        <v>Very High Income</v>
      </c>
      <c r="Y718">
        <v>3735</v>
      </c>
      <c r="Z718">
        <v>2</v>
      </c>
      <c r="AA718" t="s">
        <v>42</v>
      </c>
      <c r="AB718" t="s">
        <v>43</v>
      </c>
      <c r="AC718">
        <v>17</v>
      </c>
      <c r="AD718" t="str" cm="1">
        <f t="array" ref="AD718">_xlfn.IFS(HRData[[#This Row],[PercentSalaryHike]]&lt;=15,"11-15",HRData[[#This Row],[PercentSalaryHike]]&lt;=20,"16-20",HRData[[#This Row],[PercentSalaryHike]]&gt;=21,"21+")</f>
        <v>16-20</v>
      </c>
      <c r="AE718">
        <v>3</v>
      </c>
      <c r="AF718">
        <v>2</v>
      </c>
      <c r="AG718">
        <v>80</v>
      </c>
      <c r="AH718">
        <v>1</v>
      </c>
      <c r="AI718">
        <v>21</v>
      </c>
      <c r="AJ718">
        <v>2</v>
      </c>
      <c r="AK718">
        <v>4</v>
      </c>
      <c r="AL718">
        <v>18</v>
      </c>
      <c r="AM718">
        <v>16</v>
      </c>
      <c r="AN718">
        <v>0</v>
      </c>
      <c r="AO718">
        <v>11</v>
      </c>
      <c r="AP71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18" t="str">
        <f>IF(HRData[[#This Row],[Attrition]]="Yes","Left", IF(HRData[[#This Row],[Attrition_Risk_Score]]&gt;=6,"High",IF(HRData[[#This Row],[Attrition_Risk_Score]]&gt;=3,"Medium","Low")))</f>
        <v>Low</v>
      </c>
      <c r="AR718" t="str">
        <f>IF(HRData[[#This Row],[Attrition_Risk_Level]]&lt;&gt;"High","",HRData[[#This Row],[Attrition_Risk_Score]]*10000-HRData[[#This Row],[EmployeeNumber]])</f>
        <v/>
      </c>
    </row>
    <row r="719" spans="1:44">
      <c r="A719">
        <v>27</v>
      </c>
      <c r="B719" t="str" cm="1">
        <f t="array" ref="B719">_xlfn.IFS(
HRData[[#This Row],[Age]]&lt;=24,"18-24",
HRData[[#This Row],[Age]]&lt;=34,"25-34",
HRData[[#This Row],[Age]]&lt;=44,"35-44",
HRData[[#This Row],[Age]]&lt;=54,"45-54",
HRData[[#This Row],[Age]]&gt;=55,"55+"
)</f>
        <v>25-34</v>
      </c>
      <c r="C719" t="s">
        <v>43</v>
      </c>
      <c r="D719">
        <f>IF(HRData[[#This Row],[Attrition]]="Yes",1,0)</f>
        <v>0</v>
      </c>
      <c r="E719" t="s">
        <v>36</v>
      </c>
      <c r="F719">
        <v>1134</v>
      </c>
      <c r="G719" t="s">
        <v>45</v>
      </c>
      <c r="H719">
        <v>16</v>
      </c>
      <c r="I719">
        <v>4</v>
      </c>
      <c r="J719" t="s">
        <v>60</v>
      </c>
      <c r="K719">
        <v>1</v>
      </c>
      <c r="L719">
        <v>1001</v>
      </c>
      <c r="M719">
        <v>3</v>
      </c>
      <c r="N719" t="str" cm="1">
        <f t="array" ref="N719">_xlfn.IFS(HRData[[#This Row],[EnvironmentSatisfaction]]=1,"Very Dissatisfied",
HRData[[#This Row],[EnvironmentSatisfaction]]=2,"Dissatisfied",
HRData[[#This Row],[EnvironmentSatisfaction]]=3,"Satisfied",
HRData[[#This Row],[EnvironmentSatisfaction]]=4,"Very Satisfied"
)</f>
        <v>Satisfied</v>
      </c>
      <c r="O719" t="s">
        <v>39</v>
      </c>
      <c r="P719">
        <v>37</v>
      </c>
      <c r="Q719">
        <v>3</v>
      </c>
      <c r="R719">
        <v>1</v>
      </c>
      <c r="S719" t="s">
        <v>50</v>
      </c>
      <c r="T719">
        <v>2</v>
      </c>
      <c r="U719" t="str" cm="1">
        <f t="array" ref="U719">_xlfn.IFS(
HRData[[#This Row],[JobSatisfaction]]=1,"Very Dissatisfied",
HRData[[#This Row],[JobSatisfaction]]=2,"Dissatisfied",
HRData[[#This Row],[JobSatisfaction]]=3,"Satisfied",
HRData[[#This Row],[JobSatisfaction]]=4,"Very Satisfied"
)</f>
        <v>Dissatisfied</v>
      </c>
      <c r="V719" t="s">
        <v>48</v>
      </c>
      <c r="W719">
        <v>2811</v>
      </c>
      <c r="X719" t="str" cm="1">
        <f t="array" ref="X719">_xlfn.IFS(
HRData[[#This Row],[MonthlyIncome]]&lt;=4000,"Very Low Income",
HRData[[#This Row],[MonthlyIncome]]&lt;=8000,"Low Income",
HRData[[#This Row],[MonthlyIncome]]&lt;=12000,"Moderate Income",
HRData[[#This Row],[MonthlyIncome]]&lt;=16000,"High Income",
HRData[[#This Row],[MonthlyIncome]]&gt;16000,"Very High Income"
)</f>
        <v>Very Low Income</v>
      </c>
      <c r="Y719">
        <v>12086</v>
      </c>
      <c r="Z719">
        <v>9</v>
      </c>
      <c r="AA719" t="s">
        <v>42</v>
      </c>
      <c r="AB719" t="s">
        <v>43</v>
      </c>
      <c r="AC719">
        <v>14</v>
      </c>
      <c r="AD719" t="str" cm="1">
        <f t="array" ref="AD719">_xlfn.IFS(HRData[[#This Row],[PercentSalaryHike]]&lt;=15,"11-15",HRData[[#This Row],[PercentSalaryHike]]&lt;=20,"16-20",HRData[[#This Row],[PercentSalaryHike]]&gt;=21,"21+")</f>
        <v>11-15</v>
      </c>
      <c r="AE719">
        <v>3</v>
      </c>
      <c r="AF719">
        <v>2</v>
      </c>
      <c r="AG719">
        <v>80</v>
      </c>
      <c r="AH719">
        <v>1</v>
      </c>
      <c r="AI719">
        <v>4</v>
      </c>
      <c r="AJ719">
        <v>2</v>
      </c>
      <c r="AK719">
        <v>3</v>
      </c>
      <c r="AL719">
        <v>2</v>
      </c>
      <c r="AM719">
        <v>2</v>
      </c>
      <c r="AN719">
        <v>2</v>
      </c>
      <c r="AO719">
        <v>2</v>
      </c>
      <c r="AP71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719" t="str">
        <f>IF(HRData[[#This Row],[Attrition]]="Yes","Left", IF(HRData[[#This Row],[Attrition_Risk_Score]]&gt;=6,"High",IF(HRData[[#This Row],[Attrition_Risk_Score]]&gt;=3,"Medium","Low")))</f>
        <v>Medium</v>
      </c>
      <c r="AR719" t="str">
        <f>IF(HRData[[#This Row],[Attrition_Risk_Level]]&lt;&gt;"High","",HRData[[#This Row],[Attrition_Risk_Score]]*10000-HRData[[#This Row],[EmployeeNumber]])</f>
        <v/>
      </c>
    </row>
    <row r="720" spans="1:44">
      <c r="A720">
        <v>45</v>
      </c>
      <c r="B720" t="str" cm="1">
        <f t="array" ref="B720">_xlfn.IFS(
HRData[[#This Row],[Age]]&lt;=24,"18-24",
HRData[[#This Row],[Age]]&lt;=34,"25-34",
HRData[[#This Row],[Age]]&lt;=44,"35-44",
HRData[[#This Row],[Age]]&lt;=54,"45-54",
HRData[[#This Row],[Age]]&gt;=55,"55+"
)</f>
        <v>45-54</v>
      </c>
      <c r="C720" t="s">
        <v>43</v>
      </c>
      <c r="D720">
        <f>IF(HRData[[#This Row],[Attrition]]="Yes",1,0)</f>
        <v>0</v>
      </c>
      <c r="E720" t="s">
        <v>55</v>
      </c>
      <c r="F720">
        <v>248</v>
      </c>
      <c r="G720" t="s">
        <v>45</v>
      </c>
      <c r="H720">
        <v>23</v>
      </c>
      <c r="I720">
        <v>2</v>
      </c>
      <c r="J720" t="s">
        <v>38</v>
      </c>
      <c r="K720">
        <v>1</v>
      </c>
      <c r="L720">
        <v>1002</v>
      </c>
      <c r="M720">
        <v>4</v>
      </c>
      <c r="N720" t="str" cm="1">
        <f t="array" ref="N720">_xlfn.IFS(HRData[[#This Row],[EnvironmentSatisfaction]]=1,"Very Dissatisfied",
HRData[[#This Row],[EnvironmentSatisfaction]]=2,"Dissatisfied",
HRData[[#This Row],[EnvironmentSatisfaction]]=3,"Satisfied",
HRData[[#This Row],[EnvironmentSatisfaction]]=4,"Very Satisfied"
)</f>
        <v>Very Satisfied</v>
      </c>
      <c r="O720" t="s">
        <v>46</v>
      </c>
      <c r="P720">
        <v>42</v>
      </c>
      <c r="Q720">
        <v>3</v>
      </c>
      <c r="R720">
        <v>2</v>
      </c>
      <c r="S720" t="s">
        <v>50</v>
      </c>
      <c r="T720">
        <v>1</v>
      </c>
      <c r="U720" t="str" cm="1">
        <f t="array" ref="U720">_xlfn.IFS(
HRData[[#This Row],[JobSatisfaction]]=1,"Very Dissatisfied",
HRData[[#This Row],[JobSatisfaction]]=2,"Dissatisfied",
HRData[[#This Row],[JobSatisfaction]]=3,"Satisfied",
HRData[[#This Row],[JobSatisfaction]]=4,"Very Satisfied"
)</f>
        <v>Very Dissatisfied</v>
      </c>
      <c r="V720" t="s">
        <v>48</v>
      </c>
      <c r="W720">
        <v>3633</v>
      </c>
      <c r="X720" t="str" cm="1">
        <f t="array" ref="X720">_xlfn.IFS(
HRData[[#This Row],[MonthlyIncome]]&lt;=4000,"Very Low Income",
HRData[[#This Row],[MonthlyIncome]]&lt;=8000,"Low Income",
HRData[[#This Row],[MonthlyIncome]]&lt;=12000,"Moderate Income",
HRData[[#This Row],[MonthlyIncome]]&lt;=16000,"High Income",
HRData[[#This Row],[MonthlyIncome]]&gt;16000,"Very High Income"
)</f>
        <v>Very Low Income</v>
      </c>
      <c r="Y720">
        <v>14039</v>
      </c>
      <c r="Z720">
        <v>1</v>
      </c>
      <c r="AA720" t="s">
        <v>42</v>
      </c>
      <c r="AB720" t="s">
        <v>35</v>
      </c>
      <c r="AC720">
        <v>15</v>
      </c>
      <c r="AD720" t="str" cm="1">
        <f t="array" ref="AD720">_xlfn.IFS(HRData[[#This Row],[PercentSalaryHike]]&lt;=15,"11-15",HRData[[#This Row],[PercentSalaryHike]]&lt;=20,"16-20",HRData[[#This Row],[PercentSalaryHike]]&gt;=21,"21+")</f>
        <v>11-15</v>
      </c>
      <c r="AE720">
        <v>3</v>
      </c>
      <c r="AF720">
        <v>3</v>
      </c>
      <c r="AG720">
        <v>80</v>
      </c>
      <c r="AH720">
        <v>1</v>
      </c>
      <c r="AI720">
        <v>9</v>
      </c>
      <c r="AJ720">
        <v>2</v>
      </c>
      <c r="AK720">
        <v>3</v>
      </c>
      <c r="AL720">
        <v>9</v>
      </c>
      <c r="AM720">
        <v>8</v>
      </c>
      <c r="AN720">
        <v>0</v>
      </c>
      <c r="AO720">
        <v>8</v>
      </c>
      <c r="AP72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720" t="str">
        <f>IF(HRData[[#This Row],[Attrition]]="Yes","Left", IF(HRData[[#This Row],[Attrition_Risk_Score]]&gt;=6,"High",IF(HRData[[#This Row],[Attrition_Risk_Score]]&gt;=3,"Medium","Low")))</f>
        <v>High</v>
      </c>
      <c r="AR720">
        <f>IF(HRData[[#This Row],[Attrition_Risk_Level]]&lt;&gt;"High","",HRData[[#This Row],[Attrition_Risk_Score]]*10000-HRData[[#This Row],[EmployeeNumber]])</f>
        <v>68998</v>
      </c>
    </row>
    <row r="721" spans="1:44">
      <c r="A721">
        <v>47</v>
      </c>
      <c r="B721" t="str" cm="1">
        <f t="array" ref="B721">_xlfn.IFS(
HRData[[#This Row],[Age]]&lt;=24,"18-24",
HRData[[#This Row],[Age]]&lt;=34,"25-34",
HRData[[#This Row],[Age]]&lt;=44,"35-44",
HRData[[#This Row],[Age]]&lt;=54,"45-54",
HRData[[#This Row],[Age]]&gt;=55,"55+"
)</f>
        <v>45-54</v>
      </c>
      <c r="C721" t="s">
        <v>43</v>
      </c>
      <c r="D721">
        <f>IF(HRData[[#This Row],[Attrition]]="Yes",1,0)</f>
        <v>0</v>
      </c>
      <c r="E721" t="s">
        <v>36</v>
      </c>
      <c r="F721">
        <v>955</v>
      </c>
      <c r="G721" t="s">
        <v>37</v>
      </c>
      <c r="H721">
        <v>4</v>
      </c>
      <c r="I721">
        <v>2</v>
      </c>
      <c r="J721" t="s">
        <v>38</v>
      </c>
      <c r="K721">
        <v>1</v>
      </c>
      <c r="L721">
        <v>1003</v>
      </c>
      <c r="M721">
        <v>4</v>
      </c>
      <c r="N721" t="str" cm="1">
        <f t="array" ref="N721">_xlfn.IFS(HRData[[#This Row],[EnvironmentSatisfaction]]=1,"Very Dissatisfied",
HRData[[#This Row],[EnvironmentSatisfaction]]=2,"Dissatisfied",
HRData[[#This Row],[EnvironmentSatisfaction]]=3,"Satisfied",
HRData[[#This Row],[EnvironmentSatisfaction]]=4,"Very Satisfied"
)</f>
        <v>Very Satisfied</v>
      </c>
      <c r="O721" t="s">
        <v>39</v>
      </c>
      <c r="P721">
        <v>83</v>
      </c>
      <c r="Q721">
        <v>3</v>
      </c>
      <c r="R721">
        <v>2</v>
      </c>
      <c r="S721" t="s">
        <v>40</v>
      </c>
      <c r="T721">
        <v>4</v>
      </c>
      <c r="U721" t="str" cm="1">
        <f t="array" ref="U721">_xlfn.IFS(
HRData[[#This Row],[JobSatisfaction]]=1,"Very Dissatisfied",
HRData[[#This Row],[JobSatisfaction]]=2,"Dissatisfied",
HRData[[#This Row],[JobSatisfaction]]=3,"Satisfied",
HRData[[#This Row],[JobSatisfaction]]=4,"Very Satisfied"
)</f>
        <v>Very Satisfied</v>
      </c>
      <c r="V721" t="s">
        <v>41</v>
      </c>
      <c r="W721">
        <v>4163</v>
      </c>
      <c r="X721" t="str" cm="1">
        <f t="array" ref="X721">_xlfn.IFS(
HRData[[#This Row],[MonthlyIncome]]&lt;=4000,"Very Low Income",
HRData[[#This Row],[MonthlyIncome]]&lt;=8000,"Low Income",
HRData[[#This Row],[MonthlyIncome]]&lt;=12000,"Moderate Income",
HRData[[#This Row],[MonthlyIncome]]&lt;=16000,"High Income",
HRData[[#This Row],[MonthlyIncome]]&gt;16000,"Very High Income"
)</f>
        <v>Low Income</v>
      </c>
      <c r="Y721">
        <v>8571</v>
      </c>
      <c r="Z721">
        <v>1</v>
      </c>
      <c r="AA721" t="s">
        <v>42</v>
      </c>
      <c r="AB721" t="s">
        <v>35</v>
      </c>
      <c r="AC721">
        <v>17</v>
      </c>
      <c r="AD721" t="str" cm="1">
        <f t="array" ref="AD721">_xlfn.IFS(HRData[[#This Row],[PercentSalaryHike]]&lt;=15,"11-15",HRData[[#This Row],[PercentSalaryHike]]&lt;=20,"16-20",HRData[[#This Row],[PercentSalaryHike]]&gt;=21,"21+")</f>
        <v>16-20</v>
      </c>
      <c r="AE721">
        <v>3</v>
      </c>
      <c r="AF721">
        <v>3</v>
      </c>
      <c r="AG721">
        <v>80</v>
      </c>
      <c r="AH721">
        <v>0</v>
      </c>
      <c r="AI721">
        <v>9</v>
      </c>
      <c r="AJ721">
        <v>0</v>
      </c>
      <c r="AK721">
        <v>3</v>
      </c>
      <c r="AL721">
        <v>9</v>
      </c>
      <c r="AM721">
        <v>0</v>
      </c>
      <c r="AN721">
        <v>0</v>
      </c>
      <c r="AO721">
        <v>7</v>
      </c>
      <c r="AP72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21" t="str">
        <f>IF(HRData[[#This Row],[Attrition]]="Yes","Left", IF(HRData[[#This Row],[Attrition_Risk_Score]]&gt;=6,"High",IF(HRData[[#This Row],[Attrition_Risk_Score]]&gt;=3,"Medium","Low")))</f>
        <v>Medium</v>
      </c>
      <c r="AR721" t="str">
        <f>IF(HRData[[#This Row],[Attrition_Risk_Level]]&lt;&gt;"High","",HRData[[#This Row],[Attrition_Risk_Score]]*10000-HRData[[#This Row],[EmployeeNumber]])</f>
        <v/>
      </c>
    </row>
    <row r="722" spans="1:44">
      <c r="A722">
        <v>30</v>
      </c>
      <c r="B722" t="str" cm="1">
        <f t="array" ref="B722">_xlfn.IFS(
HRData[[#This Row],[Age]]&lt;=24,"18-24",
HRData[[#This Row],[Age]]&lt;=34,"25-34",
HRData[[#This Row],[Age]]&lt;=44,"35-44",
HRData[[#This Row],[Age]]&lt;=54,"45-54",
HRData[[#This Row],[Age]]&gt;=55,"55+"
)</f>
        <v>25-34</v>
      </c>
      <c r="C722" t="s">
        <v>35</v>
      </c>
      <c r="D722">
        <f>IF(HRData[[#This Row],[Attrition]]="Yes",1,0)</f>
        <v>1</v>
      </c>
      <c r="E722" t="s">
        <v>36</v>
      </c>
      <c r="F722">
        <v>138</v>
      </c>
      <c r="G722" t="s">
        <v>45</v>
      </c>
      <c r="H722">
        <v>22</v>
      </c>
      <c r="I722">
        <v>3</v>
      </c>
      <c r="J722" t="s">
        <v>38</v>
      </c>
      <c r="K722">
        <v>1</v>
      </c>
      <c r="L722">
        <v>1004</v>
      </c>
      <c r="M722">
        <v>1</v>
      </c>
      <c r="N722" t="str" cm="1">
        <f t="array" ref="N722">_xlfn.IFS(HRData[[#This Row],[EnvironmentSatisfaction]]=1,"Very Dissatisfied",
HRData[[#This Row],[EnvironmentSatisfaction]]=2,"Dissatisfied",
HRData[[#This Row],[EnvironmentSatisfaction]]=3,"Satisfied",
HRData[[#This Row],[EnvironmentSatisfaction]]=4,"Very Satisfied"
)</f>
        <v>Very Dissatisfied</v>
      </c>
      <c r="O722" t="s">
        <v>39</v>
      </c>
      <c r="P722">
        <v>48</v>
      </c>
      <c r="Q722">
        <v>3</v>
      </c>
      <c r="R722">
        <v>1</v>
      </c>
      <c r="S722" t="s">
        <v>47</v>
      </c>
      <c r="T722">
        <v>3</v>
      </c>
      <c r="U722" t="str" cm="1">
        <f t="array" ref="U722">_xlfn.IFS(
HRData[[#This Row],[JobSatisfaction]]=1,"Very Dissatisfied",
HRData[[#This Row],[JobSatisfaction]]=2,"Dissatisfied",
HRData[[#This Row],[JobSatisfaction]]=3,"Satisfied",
HRData[[#This Row],[JobSatisfaction]]=4,"Very Satisfied"
)</f>
        <v>Satisfied</v>
      </c>
      <c r="V722" t="s">
        <v>48</v>
      </c>
      <c r="W722">
        <v>2132</v>
      </c>
      <c r="X722" t="str" cm="1">
        <f t="array" ref="X722">_xlfn.IFS(
HRData[[#This Row],[MonthlyIncome]]&lt;=4000,"Very Low Income",
HRData[[#This Row],[MonthlyIncome]]&lt;=8000,"Low Income",
HRData[[#This Row],[MonthlyIncome]]&lt;=12000,"Moderate Income",
HRData[[#This Row],[MonthlyIncome]]&lt;=16000,"High Income",
HRData[[#This Row],[MonthlyIncome]]&gt;16000,"Very High Income"
)</f>
        <v>Very Low Income</v>
      </c>
      <c r="Y722">
        <v>11539</v>
      </c>
      <c r="Z722">
        <v>4</v>
      </c>
      <c r="AA722" t="s">
        <v>42</v>
      </c>
      <c r="AB722" t="s">
        <v>35</v>
      </c>
      <c r="AC722">
        <v>11</v>
      </c>
      <c r="AD722" t="str" cm="1">
        <f t="array" ref="AD722">_xlfn.IFS(HRData[[#This Row],[PercentSalaryHike]]&lt;=15,"11-15",HRData[[#This Row],[PercentSalaryHike]]&lt;=20,"16-20",HRData[[#This Row],[PercentSalaryHike]]&gt;=21,"21+")</f>
        <v>11-15</v>
      </c>
      <c r="AE722">
        <v>3</v>
      </c>
      <c r="AF722">
        <v>2</v>
      </c>
      <c r="AG722">
        <v>80</v>
      </c>
      <c r="AH722">
        <v>0</v>
      </c>
      <c r="AI722">
        <v>7</v>
      </c>
      <c r="AJ722">
        <v>2</v>
      </c>
      <c r="AK722">
        <v>3</v>
      </c>
      <c r="AL722">
        <v>5</v>
      </c>
      <c r="AM722">
        <v>2</v>
      </c>
      <c r="AN722">
        <v>0</v>
      </c>
      <c r="AO722">
        <v>1</v>
      </c>
      <c r="AP72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22" t="str">
        <f>IF(HRData[[#This Row],[Attrition]]="Yes","Left", IF(HRData[[#This Row],[Attrition_Risk_Score]]&gt;=6,"High",IF(HRData[[#This Row],[Attrition_Risk_Score]]&gt;=3,"Medium","Low")))</f>
        <v>Left</v>
      </c>
      <c r="AR722" t="str">
        <f>IF(HRData[[#This Row],[Attrition_Risk_Level]]&lt;&gt;"High","",HRData[[#This Row],[Attrition_Risk_Score]]*10000-HRData[[#This Row],[EmployeeNumber]])</f>
        <v/>
      </c>
    </row>
    <row r="723" spans="1:44">
      <c r="A723">
        <v>50</v>
      </c>
      <c r="B723" t="str" cm="1">
        <f t="array" ref="B723">_xlfn.IFS(
HRData[[#This Row],[Age]]&lt;=24,"18-24",
HRData[[#This Row],[Age]]&lt;=34,"25-34",
HRData[[#This Row],[Age]]&lt;=44,"35-44",
HRData[[#This Row],[Age]]&lt;=54,"45-54",
HRData[[#This Row],[Age]]&gt;=55,"55+"
)</f>
        <v>45-54</v>
      </c>
      <c r="C723" t="s">
        <v>43</v>
      </c>
      <c r="D723">
        <f>IF(HRData[[#This Row],[Attrition]]="Yes",1,0)</f>
        <v>0</v>
      </c>
      <c r="E723" t="s">
        <v>36</v>
      </c>
      <c r="F723">
        <v>939</v>
      </c>
      <c r="G723" t="s">
        <v>45</v>
      </c>
      <c r="H723">
        <v>24</v>
      </c>
      <c r="I723">
        <v>3</v>
      </c>
      <c r="J723" t="s">
        <v>38</v>
      </c>
      <c r="K723">
        <v>1</v>
      </c>
      <c r="L723">
        <v>1005</v>
      </c>
      <c r="M723">
        <v>4</v>
      </c>
      <c r="N723" t="str" cm="1">
        <f t="array" ref="N723">_xlfn.IFS(HRData[[#This Row],[EnvironmentSatisfaction]]=1,"Very Dissatisfied",
HRData[[#This Row],[EnvironmentSatisfaction]]=2,"Dissatisfied",
HRData[[#This Row],[EnvironmentSatisfaction]]=3,"Satisfied",
HRData[[#This Row],[EnvironmentSatisfaction]]=4,"Very Satisfied"
)</f>
        <v>Very Satisfied</v>
      </c>
      <c r="O723" t="s">
        <v>46</v>
      </c>
      <c r="P723">
        <v>95</v>
      </c>
      <c r="Q723">
        <v>3</v>
      </c>
      <c r="R723">
        <v>4</v>
      </c>
      <c r="S723" t="s">
        <v>53</v>
      </c>
      <c r="T723">
        <v>3</v>
      </c>
      <c r="U723" t="str" cm="1">
        <f t="array" ref="U723">_xlfn.IFS(
HRData[[#This Row],[JobSatisfaction]]=1,"Very Dissatisfied",
HRData[[#This Row],[JobSatisfaction]]=2,"Dissatisfied",
HRData[[#This Row],[JobSatisfaction]]=3,"Satisfied",
HRData[[#This Row],[JobSatisfaction]]=4,"Very Satisfied"
)</f>
        <v>Satisfied</v>
      </c>
      <c r="V723" t="s">
        <v>48</v>
      </c>
      <c r="W723">
        <v>13973</v>
      </c>
      <c r="X723" t="str" cm="1">
        <f t="array" ref="X723">_xlfn.IFS(
HRData[[#This Row],[MonthlyIncome]]&lt;=4000,"Very Low Income",
HRData[[#This Row],[MonthlyIncome]]&lt;=8000,"Low Income",
HRData[[#This Row],[MonthlyIncome]]&lt;=12000,"Moderate Income",
HRData[[#This Row],[MonthlyIncome]]&lt;=16000,"High Income",
HRData[[#This Row],[MonthlyIncome]]&gt;16000,"Very High Income"
)</f>
        <v>High Income</v>
      </c>
      <c r="Y723">
        <v>4161</v>
      </c>
      <c r="Z723">
        <v>3</v>
      </c>
      <c r="AA723" t="s">
        <v>42</v>
      </c>
      <c r="AB723" t="s">
        <v>35</v>
      </c>
      <c r="AC723">
        <v>18</v>
      </c>
      <c r="AD723" t="str" cm="1">
        <f t="array" ref="AD723">_xlfn.IFS(HRData[[#This Row],[PercentSalaryHike]]&lt;=15,"11-15",HRData[[#This Row],[PercentSalaryHike]]&lt;=20,"16-20",HRData[[#This Row],[PercentSalaryHike]]&gt;=21,"21+")</f>
        <v>16-20</v>
      </c>
      <c r="AE723">
        <v>3</v>
      </c>
      <c r="AF723">
        <v>4</v>
      </c>
      <c r="AG723">
        <v>80</v>
      </c>
      <c r="AH723">
        <v>1</v>
      </c>
      <c r="AI723">
        <v>22</v>
      </c>
      <c r="AJ723">
        <v>2</v>
      </c>
      <c r="AK723">
        <v>3</v>
      </c>
      <c r="AL723">
        <v>12</v>
      </c>
      <c r="AM723">
        <v>11</v>
      </c>
      <c r="AN723">
        <v>1</v>
      </c>
      <c r="AO723">
        <v>5</v>
      </c>
      <c r="AP72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23" t="str">
        <f>IF(HRData[[#This Row],[Attrition]]="Yes","Left", IF(HRData[[#This Row],[Attrition_Risk_Score]]&gt;=6,"High",IF(HRData[[#This Row],[Attrition_Risk_Score]]&gt;=3,"Medium","Low")))</f>
        <v>Low</v>
      </c>
      <c r="AR723" t="str">
        <f>IF(HRData[[#This Row],[Attrition_Risk_Level]]&lt;&gt;"High","",HRData[[#This Row],[Attrition_Risk_Score]]*10000-HRData[[#This Row],[EmployeeNumber]])</f>
        <v/>
      </c>
    </row>
    <row r="724" spans="1:44">
      <c r="A724">
        <v>38</v>
      </c>
      <c r="B724" t="str" cm="1">
        <f t="array" ref="B724">_xlfn.IFS(
HRData[[#This Row],[Age]]&lt;=24,"18-24",
HRData[[#This Row],[Age]]&lt;=34,"25-34",
HRData[[#This Row],[Age]]&lt;=44,"35-44",
HRData[[#This Row],[Age]]&lt;=54,"45-54",
HRData[[#This Row],[Age]]&gt;=55,"55+"
)</f>
        <v>35-44</v>
      </c>
      <c r="C724" t="s">
        <v>43</v>
      </c>
      <c r="D724">
        <f>IF(HRData[[#This Row],[Attrition]]="Yes",1,0)</f>
        <v>0</v>
      </c>
      <c r="E724" t="s">
        <v>44</v>
      </c>
      <c r="F724">
        <v>1391</v>
      </c>
      <c r="G724" t="s">
        <v>45</v>
      </c>
      <c r="H724">
        <v>10</v>
      </c>
      <c r="I724">
        <v>1</v>
      </c>
      <c r="J724" t="s">
        <v>51</v>
      </c>
      <c r="K724">
        <v>1</v>
      </c>
      <c r="L724">
        <v>1006</v>
      </c>
      <c r="M724">
        <v>3</v>
      </c>
      <c r="N724" t="str" cm="1">
        <f t="array" ref="N724">_xlfn.IFS(HRData[[#This Row],[EnvironmentSatisfaction]]=1,"Very Dissatisfied",
HRData[[#This Row],[EnvironmentSatisfaction]]=2,"Dissatisfied",
HRData[[#This Row],[EnvironmentSatisfaction]]=3,"Satisfied",
HRData[[#This Row],[EnvironmentSatisfaction]]=4,"Very Satisfied"
)</f>
        <v>Satisfied</v>
      </c>
      <c r="O724" t="s">
        <v>46</v>
      </c>
      <c r="P724">
        <v>66</v>
      </c>
      <c r="Q724">
        <v>3</v>
      </c>
      <c r="R724">
        <v>1</v>
      </c>
      <c r="S724" t="s">
        <v>47</v>
      </c>
      <c r="T724">
        <v>3</v>
      </c>
      <c r="U724" t="str" cm="1">
        <f t="array" ref="U724">_xlfn.IFS(
HRData[[#This Row],[JobSatisfaction]]=1,"Very Dissatisfied",
HRData[[#This Row],[JobSatisfaction]]=2,"Dissatisfied",
HRData[[#This Row],[JobSatisfaction]]=3,"Satisfied",
HRData[[#This Row],[JobSatisfaction]]=4,"Very Satisfied"
)</f>
        <v>Satisfied</v>
      </c>
      <c r="V724" t="s">
        <v>48</v>
      </c>
      <c r="W724">
        <v>2684</v>
      </c>
      <c r="X724" t="str" cm="1">
        <f t="array" ref="X724">_xlfn.IFS(
HRData[[#This Row],[MonthlyIncome]]&lt;=4000,"Very Low Income",
HRData[[#This Row],[MonthlyIncome]]&lt;=8000,"Low Income",
HRData[[#This Row],[MonthlyIncome]]&lt;=12000,"Moderate Income",
HRData[[#This Row],[MonthlyIncome]]&lt;=16000,"High Income",
HRData[[#This Row],[MonthlyIncome]]&gt;16000,"Very High Income"
)</f>
        <v>Very Low Income</v>
      </c>
      <c r="Y724">
        <v>12127</v>
      </c>
      <c r="Z724">
        <v>0</v>
      </c>
      <c r="AA724" t="s">
        <v>42</v>
      </c>
      <c r="AB724" t="s">
        <v>43</v>
      </c>
      <c r="AC724">
        <v>17</v>
      </c>
      <c r="AD724" t="str" cm="1">
        <f t="array" ref="AD724">_xlfn.IFS(HRData[[#This Row],[PercentSalaryHike]]&lt;=15,"11-15",HRData[[#This Row],[PercentSalaryHike]]&lt;=20,"16-20",HRData[[#This Row],[PercentSalaryHike]]&gt;=21,"21+")</f>
        <v>16-20</v>
      </c>
      <c r="AE724">
        <v>3</v>
      </c>
      <c r="AF724">
        <v>2</v>
      </c>
      <c r="AG724">
        <v>80</v>
      </c>
      <c r="AH724">
        <v>1</v>
      </c>
      <c r="AI724">
        <v>3</v>
      </c>
      <c r="AJ724">
        <v>0</v>
      </c>
      <c r="AK724">
        <v>2</v>
      </c>
      <c r="AL724">
        <v>2</v>
      </c>
      <c r="AM724">
        <v>1</v>
      </c>
      <c r="AN724">
        <v>0</v>
      </c>
      <c r="AO724">
        <v>2</v>
      </c>
      <c r="AP72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24" t="str">
        <f>IF(HRData[[#This Row],[Attrition]]="Yes","Left", IF(HRData[[#This Row],[Attrition_Risk_Score]]&gt;=6,"High",IF(HRData[[#This Row],[Attrition_Risk_Score]]&gt;=3,"Medium","Low")))</f>
        <v>Low</v>
      </c>
      <c r="AR724" t="str">
        <f>IF(HRData[[#This Row],[Attrition_Risk_Level]]&lt;&gt;"High","",HRData[[#This Row],[Attrition_Risk_Score]]*10000-HRData[[#This Row],[EmployeeNumber]])</f>
        <v/>
      </c>
    </row>
    <row r="725" spans="1:44">
      <c r="A725">
        <v>46</v>
      </c>
      <c r="B725" t="str" cm="1">
        <f t="array" ref="B725">_xlfn.IFS(
HRData[[#This Row],[Age]]&lt;=24,"18-24",
HRData[[#This Row],[Age]]&lt;=34,"25-34",
HRData[[#This Row],[Age]]&lt;=44,"35-44",
HRData[[#This Row],[Age]]&lt;=54,"45-54",
HRData[[#This Row],[Age]]&gt;=55,"55+"
)</f>
        <v>45-54</v>
      </c>
      <c r="C725" t="s">
        <v>43</v>
      </c>
      <c r="D725">
        <f>IF(HRData[[#This Row],[Attrition]]="Yes",1,0)</f>
        <v>0</v>
      </c>
      <c r="E725" t="s">
        <v>36</v>
      </c>
      <c r="F725">
        <v>566</v>
      </c>
      <c r="G725" t="s">
        <v>45</v>
      </c>
      <c r="H725">
        <v>7</v>
      </c>
      <c r="I725">
        <v>2</v>
      </c>
      <c r="J725" t="s">
        <v>51</v>
      </c>
      <c r="K725">
        <v>1</v>
      </c>
      <c r="L725">
        <v>1007</v>
      </c>
      <c r="M725">
        <v>4</v>
      </c>
      <c r="N725" t="str" cm="1">
        <f t="array" ref="N725">_xlfn.IFS(HRData[[#This Row],[EnvironmentSatisfaction]]=1,"Very Dissatisfied",
HRData[[#This Row],[EnvironmentSatisfaction]]=2,"Dissatisfied",
HRData[[#This Row],[EnvironmentSatisfaction]]=3,"Satisfied",
HRData[[#This Row],[EnvironmentSatisfaction]]=4,"Very Satisfied"
)</f>
        <v>Very Satisfied</v>
      </c>
      <c r="O725" t="s">
        <v>46</v>
      </c>
      <c r="P725">
        <v>75</v>
      </c>
      <c r="Q725">
        <v>3</v>
      </c>
      <c r="R725">
        <v>3</v>
      </c>
      <c r="S725" t="s">
        <v>53</v>
      </c>
      <c r="T725">
        <v>3</v>
      </c>
      <c r="U725" t="str" cm="1">
        <f t="array" ref="U725">_xlfn.IFS(
HRData[[#This Row],[JobSatisfaction]]=1,"Very Dissatisfied",
HRData[[#This Row],[JobSatisfaction]]=2,"Dissatisfied",
HRData[[#This Row],[JobSatisfaction]]=3,"Satisfied",
HRData[[#This Row],[JobSatisfaction]]=4,"Very Satisfied"
)</f>
        <v>Satisfied</v>
      </c>
      <c r="V725" t="s">
        <v>52</v>
      </c>
      <c r="W725">
        <v>10845</v>
      </c>
      <c r="X725" t="str" cm="1">
        <f t="array" ref="X725">_xlfn.IFS(
HRData[[#This Row],[MonthlyIncome]]&lt;=4000,"Very Low Income",
HRData[[#This Row],[MonthlyIncome]]&lt;=8000,"Low Income",
HRData[[#This Row],[MonthlyIncome]]&lt;=12000,"Moderate Income",
HRData[[#This Row],[MonthlyIncome]]&lt;=16000,"High Income",
HRData[[#This Row],[MonthlyIncome]]&gt;16000,"Very High Income"
)</f>
        <v>Moderate Income</v>
      </c>
      <c r="Y725">
        <v>24208</v>
      </c>
      <c r="Z725">
        <v>6</v>
      </c>
      <c r="AA725" t="s">
        <v>42</v>
      </c>
      <c r="AB725" t="s">
        <v>43</v>
      </c>
      <c r="AC725">
        <v>13</v>
      </c>
      <c r="AD725" t="str" cm="1">
        <f t="array" ref="AD725">_xlfn.IFS(HRData[[#This Row],[PercentSalaryHike]]&lt;=15,"11-15",HRData[[#This Row],[PercentSalaryHike]]&lt;=20,"16-20",HRData[[#This Row],[PercentSalaryHike]]&gt;=21,"21+")</f>
        <v>11-15</v>
      </c>
      <c r="AE725">
        <v>3</v>
      </c>
      <c r="AF725">
        <v>2</v>
      </c>
      <c r="AG725">
        <v>80</v>
      </c>
      <c r="AH725">
        <v>1</v>
      </c>
      <c r="AI725">
        <v>13</v>
      </c>
      <c r="AJ725">
        <v>3</v>
      </c>
      <c r="AK725">
        <v>3</v>
      </c>
      <c r="AL725">
        <v>8</v>
      </c>
      <c r="AM725">
        <v>7</v>
      </c>
      <c r="AN725">
        <v>0</v>
      </c>
      <c r="AO725">
        <v>7</v>
      </c>
      <c r="AP72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25" t="str">
        <f>IF(HRData[[#This Row],[Attrition]]="Yes","Left", IF(HRData[[#This Row],[Attrition_Risk_Score]]&gt;=6,"High",IF(HRData[[#This Row],[Attrition_Risk_Score]]&gt;=3,"Medium","Low")))</f>
        <v>Low</v>
      </c>
      <c r="AR725" t="str">
        <f>IF(HRData[[#This Row],[Attrition_Risk_Level]]&lt;&gt;"High","",HRData[[#This Row],[Attrition_Risk_Score]]*10000-HRData[[#This Row],[EmployeeNumber]])</f>
        <v/>
      </c>
    </row>
    <row r="726" spans="1:44">
      <c r="A726">
        <v>24</v>
      </c>
      <c r="B726" t="str" cm="1">
        <f t="array" ref="B726">_xlfn.IFS(
HRData[[#This Row],[Age]]&lt;=24,"18-24",
HRData[[#This Row],[Age]]&lt;=34,"25-34",
HRData[[#This Row],[Age]]&lt;=44,"35-44",
HRData[[#This Row],[Age]]&lt;=54,"45-54",
HRData[[#This Row],[Age]]&gt;=55,"55+"
)</f>
        <v>18-24</v>
      </c>
      <c r="C726" t="s">
        <v>43</v>
      </c>
      <c r="D726">
        <f>IF(HRData[[#This Row],[Attrition]]="Yes",1,0)</f>
        <v>0</v>
      </c>
      <c r="E726" t="s">
        <v>36</v>
      </c>
      <c r="F726">
        <v>1206</v>
      </c>
      <c r="G726" t="s">
        <v>45</v>
      </c>
      <c r="H726">
        <v>17</v>
      </c>
      <c r="I726">
        <v>1</v>
      </c>
      <c r="J726" t="s">
        <v>51</v>
      </c>
      <c r="K726">
        <v>1</v>
      </c>
      <c r="L726">
        <v>1009</v>
      </c>
      <c r="M726">
        <v>4</v>
      </c>
      <c r="N726" t="str" cm="1">
        <f t="array" ref="N726">_xlfn.IFS(HRData[[#This Row],[EnvironmentSatisfaction]]=1,"Very Dissatisfied",
HRData[[#This Row],[EnvironmentSatisfaction]]=2,"Dissatisfied",
HRData[[#This Row],[EnvironmentSatisfaction]]=3,"Satisfied",
HRData[[#This Row],[EnvironmentSatisfaction]]=4,"Very Satisfied"
)</f>
        <v>Very Satisfied</v>
      </c>
      <c r="O726" t="s">
        <v>39</v>
      </c>
      <c r="P726">
        <v>41</v>
      </c>
      <c r="Q726">
        <v>2</v>
      </c>
      <c r="R726">
        <v>2</v>
      </c>
      <c r="S726" t="s">
        <v>53</v>
      </c>
      <c r="T726">
        <v>3</v>
      </c>
      <c r="U726" t="str" cm="1">
        <f t="array" ref="U726">_xlfn.IFS(
HRData[[#This Row],[JobSatisfaction]]=1,"Very Dissatisfied",
HRData[[#This Row],[JobSatisfaction]]=2,"Dissatisfied",
HRData[[#This Row],[JobSatisfaction]]=3,"Satisfied",
HRData[[#This Row],[JobSatisfaction]]=4,"Very Satisfied"
)</f>
        <v>Satisfied</v>
      </c>
      <c r="V726" t="s">
        <v>52</v>
      </c>
      <c r="W726">
        <v>4377</v>
      </c>
      <c r="X726" t="str" cm="1">
        <f t="array" ref="X726">_xlfn.IFS(
HRData[[#This Row],[MonthlyIncome]]&lt;=4000,"Very Low Income",
HRData[[#This Row],[MonthlyIncome]]&lt;=8000,"Low Income",
HRData[[#This Row],[MonthlyIncome]]&lt;=12000,"Moderate Income",
HRData[[#This Row],[MonthlyIncome]]&lt;=16000,"High Income",
HRData[[#This Row],[MonthlyIncome]]&gt;16000,"Very High Income"
)</f>
        <v>Low Income</v>
      </c>
      <c r="Y726">
        <v>24117</v>
      </c>
      <c r="Z726">
        <v>1</v>
      </c>
      <c r="AA726" t="s">
        <v>42</v>
      </c>
      <c r="AB726" t="s">
        <v>43</v>
      </c>
      <c r="AC726">
        <v>15</v>
      </c>
      <c r="AD726" t="str" cm="1">
        <f t="array" ref="AD726">_xlfn.IFS(HRData[[#This Row],[PercentSalaryHike]]&lt;=15,"11-15",HRData[[#This Row],[PercentSalaryHike]]&lt;=20,"16-20",HRData[[#This Row],[PercentSalaryHike]]&gt;=21,"21+")</f>
        <v>11-15</v>
      </c>
      <c r="AE726">
        <v>3</v>
      </c>
      <c r="AF726">
        <v>2</v>
      </c>
      <c r="AG726">
        <v>80</v>
      </c>
      <c r="AH726">
        <v>2</v>
      </c>
      <c r="AI726">
        <v>5</v>
      </c>
      <c r="AJ726">
        <v>6</v>
      </c>
      <c r="AK726">
        <v>3</v>
      </c>
      <c r="AL726">
        <v>4</v>
      </c>
      <c r="AM726">
        <v>2</v>
      </c>
      <c r="AN726">
        <v>3</v>
      </c>
      <c r="AO726">
        <v>2</v>
      </c>
      <c r="AP72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26" t="str">
        <f>IF(HRData[[#This Row],[Attrition]]="Yes","Left", IF(HRData[[#This Row],[Attrition_Risk_Score]]&gt;=6,"High",IF(HRData[[#This Row],[Attrition_Risk_Score]]&gt;=3,"Medium","Low")))</f>
        <v>Medium</v>
      </c>
      <c r="AR726" t="str">
        <f>IF(HRData[[#This Row],[Attrition_Risk_Level]]&lt;&gt;"High","",HRData[[#This Row],[Attrition_Risk_Score]]*10000-HRData[[#This Row],[EmployeeNumber]])</f>
        <v/>
      </c>
    </row>
    <row r="727" spans="1:44">
      <c r="A727">
        <v>35</v>
      </c>
      <c r="B727" t="str" cm="1">
        <f t="array" ref="B727">_xlfn.IFS(
HRData[[#This Row],[Age]]&lt;=24,"18-24",
HRData[[#This Row],[Age]]&lt;=34,"25-34",
HRData[[#This Row],[Age]]&lt;=44,"35-44",
HRData[[#This Row],[Age]]&lt;=54,"45-54",
HRData[[#This Row],[Age]]&gt;=55,"55+"
)</f>
        <v>35-44</v>
      </c>
      <c r="C727" t="s">
        <v>35</v>
      </c>
      <c r="D727">
        <f>IF(HRData[[#This Row],[Attrition]]="Yes",1,0)</f>
        <v>1</v>
      </c>
      <c r="E727" t="s">
        <v>36</v>
      </c>
      <c r="F727">
        <v>622</v>
      </c>
      <c r="G727" t="s">
        <v>45</v>
      </c>
      <c r="H727">
        <v>14</v>
      </c>
      <c r="I727">
        <v>4</v>
      </c>
      <c r="J727" t="s">
        <v>49</v>
      </c>
      <c r="K727">
        <v>1</v>
      </c>
      <c r="L727">
        <v>1010</v>
      </c>
      <c r="M727">
        <v>3</v>
      </c>
      <c r="N727" t="str" cm="1">
        <f t="array" ref="N727">_xlfn.IFS(HRData[[#This Row],[EnvironmentSatisfaction]]=1,"Very Dissatisfied",
HRData[[#This Row],[EnvironmentSatisfaction]]=2,"Dissatisfied",
HRData[[#This Row],[EnvironmentSatisfaction]]=3,"Satisfied",
HRData[[#This Row],[EnvironmentSatisfaction]]=4,"Very Satisfied"
)</f>
        <v>Satisfied</v>
      </c>
      <c r="O727" t="s">
        <v>46</v>
      </c>
      <c r="P727">
        <v>39</v>
      </c>
      <c r="Q727">
        <v>2</v>
      </c>
      <c r="R727">
        <v>1</v>
      </c>
      <c r="S727" t="s">
        <v>50</v>
      </c>
      <c r="T727">
        <v>2</v>
      </c>
      <c r="U727" t="str" cm="1">
        <f t="array" ref="U727">_xlfn.IFS(
HRData[[#This Row],[JobSatisfaction]]=1,"Very Dissatisfied",
HRData[[#This Row],[JobSatisfaction]]=2,"Dissatisfied",
HRData[[#This Row],[JobSatisfaction]]=3,"Satisfied",
HRData[[#This Row],[JobSatisfaction]]=4,"Very Satisfied"
)</f>
        <v>Dissatisfied</v>
      </c>
      <c r="V727" t="s">
        <v>52</v>
      </c>
      <c r="W727">
        <v>3743</v>
      </c>
      <c r="X727" t="str" cm="1">
        <f t="array" ref="X727">_xlfn.IFS(
HRData[[#This Row],[MonthlyIncome]]&lt;=4000,"Very Low Income",
HRData[[#This Row],[MonthlyIncome]]&lt;=8000,"Low Income",
HRData[[#This Row],[MonthlyIncome]]&lt;=12000,"Moderate Income",
HRData[[#This Row],[MonthlyIncome]]&lt;=16000,"High Income",
HRData[[#This Row],[MonthlyIncome]]&gt;16000,"Very High Income"
)</f>
        <v>Very Low Income</v>
      </c>
      <c r="Y727">
        <v>10074</v>
      </c>
      <c r="Z727">
        <v>1</v>
      </c>
      <c r="AA727" t="s">
        <v>42</v>
      </c>
      <c r="AB727" t="s">
        <v>35</v>
      </c>
      <c r="AC727">
        <v>24</v>
      </c>
      <c r="AD727" t="str" cm="1">
        <f t="array" ref="AD727">_xlfn.IFS(HRData[[#This Row],[PercentSalaryHike]]&lt;=15,"11-15",HRData[[#This Row],[PercentSalaryHike]]&lt;=20,"16-20",HRData[[#This Row],[PercentSalaryHike]]&gt;=21,"21+")</f>
        <v>21+</v>
      </c>
      <c r="AE727">
        <v>4</v>
      </c>
      <c r="AF727">
        <v>4</v>
      </c>
      <c r="AG727">
        <v>80</v>
      </c>
      <c r="AH727">
        <v>1</v>
      </c>
      <c r="AI727">
        <v>5</v>
      </c>
      <c r="AJ727">
        <v>2</v>
      </c>
      <c r="AK727">
        <v>1</v>
      </c>
      <c r="AL727">
        <v>4</v>
      </c>
      <c r="AM727">
        <v>2</v>
      </c>
      <c r="AN727">
        <v>0</v>
      </c>
      <c r="AO727">
        <v>2</v>
      </c>
      <c r="AP72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27" t="str">
        <f>IF(HRData[[#This Row],[Attrition]]="Yes","Left", IF(HRData[[#This Row],[Attrition_Risk_Score]]&gt;=6,"High",IF(HRData[[#This Row],[Attrition_Risk_Score]]&gt;=3,"Medium","Low")))</f>
        <v>Left</v>
      </c>
      <c r="AR727" t="str">
        <f>IF(HRData[[#This Row],[Attrition_Risk_Level]]&lt;&gt;"High","",HRData[[#This Row],[Attrition_Risk_Score]]*10000-HRData[[#This Row],[EmployeeNumber]])</f>
        <v/>
      </c>
    </row>
    <row r="728" spans="1:44">
      <c r="A728">
        <v>31</v>
      </c>
      <c r="B728" t="str" cm="1">
        <f t="array" ref="B728">_xlfn.IFS(
HRData[[#This Row],[Age]]&lt;=24,"18-24",
HRData[[#This Row],[Age]]&lt;=34,"25-34",
HRData[[#This Row],[Age]]&lt;=44,"35-44",
HRData[[#This Row],[Age]]&lt;=54,"45-54",
HRData[[#This Row],[Age]]&gt;=55,"55+"
)</f>
        <v>25-34</v>
      </c>
      <c r="C728" t="s">
        <v>43</v>
      </c>
      <c r="D728">
        <f>IF(HRData[[#This Row],[Attrition]]="Yes",1,0)</f>
        <v>0</v>
      </c>
      <c r="E728" t="s">
        <v>44</v>
      </c>
      <c r="F728">
        <v>853</v>
      </c>
      <c r="G728" t="s">
        <v>45</v>
      </c>
      <c r="H728">
        <v>1</v>
      </c>
      <c r="I728">
        <v>1</v>
      </c>
      <c r="J728" t="s">
        <v>38</v>
      </c>
      <c r="K728">
        <v>1</v>
      </c>
      <c r="L728">
        <v>1011</v>
      </c>
      <c r="M728">
        <v>3</v>
      </c>
      <c r="N728" t="str" cm="1">
        <f t="array" ref="N728">_xlfn.IFS(HRData[[#This Row],[EnvironmentSatisfaction]]=1,"Very Dissatisfied",
HRData[[#This Row],[EnvironmentSatisfaction]]=2,"Dissatisfied",
HRData[[#This Row],[EnvironmentSatisfaction]]=3,"Satisfied",
HRData[[#This Row],[EnvironmentSatisfaction]]=4,"Very Satisfied"
)</f>
        <v>Satisfied</v>
      </c>
      <c r="O728" t="s">
        <v>39</v>
      </c>
      <c r="P728">
        <v>96</v>
      </c>
      <c r="Q728">
        <v>3</v>
      </c>
      <c r="R728">
        <v>2</v>
      </c>
      <c r="S728" t="s">
        <v>53</v>
      </c>
      <c r="T728">
        <v>1</v>
      </c>
      <c r="U728" t="str" cm="1">
        <f t="array" ref="U728">_xlfn.IFS(
HRData[[#This Row],[JobSatisfaction]]=1,"Very Dissatisfied",
HRData[[#This Row],[JobSatisfaction]]=2,"Dissatisfied",
HRData[[#This Row],[JobSatisfaction]]=3,"Satisfied",
HRData[[#This Row],[JobSatisfaction]]=4,"Very Satisfied"
)</f>
        <v>Very Dissatisfied</v>
      </c>
      <c r="V728" t="s">
        <v>48</v>
      </c>
      <c r="W728">
        <v>4148</v>
      </c>
      <c r="X728" t="str" cm="1">
        <f t="array" ref="X728">_xlfn.IFS(
HRData[[#This Row],[MonthlyIncome]]&lt;=4000,"Very Low Income",
HRData[[#This Row],[MonthlyIncome]]&lt;=8000,"Low Income",
HRData[[#This Row],[MonthlyIncome]]&lt;=12000,"Moderate Income",
HRData[[#This Row],[MonthlyIncome]]&lt;=16000,"High Income",
HRData[[#This Row],[MonthlyIncome]]&gt;16000,"Very High Income"
)</f>
        <v>Low Income</v>
      </c>
      <c r="Y728">
        <v>11275</v>
      </c>
      <c r="Z728">
        <v>1</v>
      </c>
      <c r="AA728" t="s">
        <v>42</v>
      </c>
      <c r="AB728" t="s">
        <v>43</v>
      </c>
      <c r="AC728">
        <v>12</v>
      </c>
      <c r="AD728" t="str" cm="1">
        <f t="array" ref="AD728">_xlfn.IFS(HRData[[#This Row],[PercentSalaryHike]]&lt;=15,"11-15",HRData[[#This Row],[PercentSalaryHike]]&lt;=20,"16-20",HRData[[#This Row],[PercentSalaryHike]]&gt;=21,"21+")</f>
        <v>11-15</v>
      </c>
      <c r="AE728">
        <v>3</v>
      </c>
      <c r="AF728">
        <v>3</v>
      </c>
      <c r="AG728">
        <v>80</v>
      </c>
      <c r="AH728">
        <v>1</v>
      </c>
      <c r="AI728">
        <v>4</v>
      </c>
      <c r="AJ728">
        <v>1</v>
      </c>
      <c r="AK728">
        <v>3</v>
      </c>
      <c r="AL728">
        <v>4</v>
      </c>
      <c r="AM728">
        <v>3</v>
      </c>
      <c r="AN728">
        <v>0</v>
      </c>
      <c r="AO728">
        <v>3</v>
      </c>
      <c r="AP72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728" t="str">
        <f>IF(HRData[[#This Row],[Attrition]]="Yes","Left", IF(HRData[[#This Row],[Attrition_Risk_Score]]&gt;=6,"High",IF(HRData[[#This Row],[Attrition_Risk_Score]]&gt;=3,"Medium","Low")))</f>
        <v>Medium</v>
      </c>
      <c r="AR728" t="str">
        <f>IF(HRData[[#This Row],[Attrition_Risk_Level]]&lt;&gt;"High","",HRData[[#This Row],[Attrition_Risk_Score]]*10000-HRData[[#This Row],[EmployeeNumber]])</f>
        <v/>
      </c>
    </row>
    <row r="729" spans="1:44">
      <c r="A729">
        <v>18</v>
      </c>
      <c r="B729" t="str" cm="1">
        <f t="array" ref="B729">_xlfn.IFS(
HRData[[#This Row],[Age]]&lt;=24,"18-24",
HRData[[#This Row],[Age]]&lt;=34,"25-34",
HRData[[#This Row],[Age]]&lt;=44,"35-44",
HRData[[#This Row],[Age]]&lt;=54,"45-54",
HRData[[#This Row],[Age]]&gt;=55,"55+"
)</f>
        <v>18-24</v>
      </c>
      <c r="C729" t="s">
        <v>43</v>
      </c>
      <c r="D729">
        <f>IF(HRData[[#This Row],[Attrition]]="Yes",1,0)</f>
        <v>0</v>
      </c>
      <c r="E729" t="s">
        <v>55</v>
      </c>
      <c r="F729">
        <v>287</v>
      </c>
      <c r="G729" t="s">
        <v>45</v>
      </c>
      <c r="H729">
        <v>5</v>
      </c>
      <c r="I729">
        <v>2</v>
      </c>
      <c r="J729" t="s">
        <v>38</v>
      </c>
      <c r="K729">
        <v>1</v>
      </c>
      <c r="L729">
        <v>1012</v>
      </c>
      <c r="M729">
        <v>2</v>
      </c>
      <c r="N729" t="str" cm="1">
        <f t="array" ref="N729">_xlfn.IFS(HRData[[#This Row],[EnvironmentSatisfaction]]=1,"Very Dissatisfied",
HRData[[#This Row],[EnvironmentSatisfaction]]=2,"Dissatisfied",
HRData[[#This Row],[EnvironmentSatisfaction]]=3,"Satisfied",
HRData[[#This Row],[EnvironmentSatisfaction]]=4,"Very Satisfied"
)</f>
        <v>Dissatisfied</v>
      </c>
      <c r="O729" t="s">
        <v>46</v>
      </c>
      <c r="P729">
        <v>73</v>
      </c>
      <c r="Q729">
        <v>3</v>
      </c>
      <c r="R729">
        <v>1</v>
      </c>
      <c r="S729" t="s">
        <v>47</v>
      </c>
      <c r="T729">
        <v>4</v>
      </c>
      <c r="U729" t="str" cm="1">
        <f t="array" ref="U729">_xlfn.IFS(
HRData[[#This Row],[JobSatisfaction]]=1,"Very Dissatisfied",
HRData[[#This Row],[JobSatisfaction]]=2,"Dissatisfied",
HRData[[#This Row],[JobSatisfaction]]=3,"Satisfied",
HRData[[#This Row],[JobSatisfaction]]=4,"Very Satisfied"
)</f>
        <v>Very Satisfied</v>
      </c>
      <c r="V729" t="s">
        <v>41</v>
      </c>
      <c r="W729">
        <v>1051</v>
      </c>
      <c r="X729" t="str" cm="1">
        <f t="array" ref="X729">_xlfn.IFS(
HRData[[#This Row],[MonthlyIncome]]&lt;=4000,"Very Low Income",
HRData[[#This Row],[MonthlyIncome]]&lt;=8000,"Low Income",
HRData[[#This Row],[MonthlyIncome]]&lt;=12000,"Moderate Income",
HRData[[#This Row],[MonthlyIncome]]&lt;=16000,"High Income",
HRData[[#This Row],[MonthlyIncome]]&gt;16000,"Very High Income"
)</f>
        <v>Very Low Income</v>
      </c>
      <c r="Y729">
        <v>13493</v>
      </c>
      <c r="Z729">
        <v>1</v>
      </c>
      <c r="AA729" t="s">
        <v>42</v>
      </c>
      <c r="AB729" t="s">
        <v>43</v>
      </c>
      <c r="AC729">
        <v>15</v>
      </c>
      <c r="AD729" t="str" cm="1">
        <f t="array" ref="AD729">_xlfn.IFS(HRData[[#This Row],[PercentSalaryHike]]&lt;=15,"11-15",HRData[[#This Row],[PercentSalaryHike]]&lt;=20,"16-20",HRData[[#This Row],[PercentSalaryHike]]&gt;=21,"21+")</f>
        <v>11-15</v>
      </c>
      <c r="AE729">
        <v>3</v>
      </c>
      <c r="AF729">
        <v>4</v>
      </c>
      <c r="AG729">
        <v>80</v>
      </c>
      <c r="AH729">
        <v>0</v>
      </c>
      <c r="AI729">
        <v>0</v>
      </c>
      <c r="AJ729">
        <v>2</v>
      </c>
      <c r="AK729">
        <v>3</v>
      </c>
      <c r="AL729">
        <v>0</v>
      </c>
      <c r="AM729">
        <v>0</v>
      </c>
      <c r="AN729">
        <v>0</v>
      </c>
      <c r="AO729">
        <v>0</v>
      </c>
      <c r="AP72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729" t="str">
        <f>IF(HRData[[#This Row],[Attrition]]="Yes","Left", IF(HRData[[#This Row],[Attrition_Risk_Score]]&gt;=6,"High",IF(HRData[[#This Row],[Attrition_Risk_Score]]&gt;=3,"Medium","Low")))</f>
        <v>Medium</v>
      </c>
      <c r="AR729" t="str">
        <f>IF(HRData[[#This Row],[Attrition_Risk_Level]]&lt;&gt;"High","",HRData[[#This Row],[Attrition_Risk_Score]]*10000-HRData[[#This Row],[EmployeeNumber]])</f>
        <v/>
      </c>
    </row>
    <row r="730" spans="1:44">
      <c r="A730">
        <v>54</v>
      </c>
      <c r="B730" t="str" cm="1">
        <f t="array" ref="B730">_xlfn.IFS(
HRData[[#This Row],[Age]]&lt;=24,"18-24",
HRData[[#This Row],[Age]]&lt;=34,"25-34",
HRData[[#This Row],[Age]]&lt;=44,"35-44",
HRData[[#This Row],[Age]]&lt;=54,"45-54",
HRData[[#This Row],[Age]]&gt;=55,"55+"
)</f>
        <v>45-54</v>
      </c>
      <c r="C730" t="s">
        <v>43</v>
      </c>
      <c r="D730">
        <f>IF(HRData[[#This Row],[Attrition]]="Yes",1,0)</f>
        <v>0</v>
      </c>
      <c r="E730" t="s">
        <v>36</v>
      </c>
      <c r="F730">
        <v>1441</v>
      </c>
      <c r="G730" t="s">
        <v>45</v>
      </c>
      <c r="H730">
        <v>17</v>
      </c>
      <c r="I730">
        <v>3</v>
      </c>
      <c r="J730" t="s">
        <v>60</v>
      </c>
      <c r="K730">
        <v>1</v>
      </c>
      <c r="L730">
        <v>1013</v>
      </c>
      <c r="M730">
        <v>3</v>
      </c>
      <c r="N730" t="str" cm="1">
        <f t="array" ref="N730">_xlfn.IFS(HRData[[#This Row],[EnvironmentSatisfaction]]=1,"Very Dissatisfied",
HRData[[#This Row],[EnvironmentSatisfaction]]=2,"Dissatisfied",
HRData[[#This Row],[EnvironmentSatisfaction]]=3,"Satisfied",
HRData[[#This Row],[EnvironmentSatisfaction]]=4,"Very Satisfied"
)</f>
        <v>Satisfied</v>
      </c>
      <c r="O730" t="s">
        <v>39</v>
      </c>
      <c r="P730">
        <v>56</v>
      </c>
      <c r="Q730">
        <v>3</v>
      </c>
      <c r="R730">
        <v>3</v>
      </c>
      <c r="S730" t="s">
        <v>53</v>
      </c>
      <c r="T730">
        <v>3</v>
      </c>
      <c r="U730" t="str" cm="1">
        <f t="array" ref="U730">_xlfn.IFS(
HRData[[#This Row],[JobSatisfaction]]=1,"Very Dissatisfied",
HRData[[#This Row],[JobSatisfaction]]=2,"Dissatisfied",
HRData[[#This Row],[JobSatisfaction]]=3,"Satisfied",
HRData[[#This Row],[JobSatisfaction]]=4,"Very Satisfied"
)</f>
        <v>Satisfied</v>
      </c>
      <c r="V730" t="s">
        <v>48</v>
      </c>
      <c r="W730">
        <v>10739</v>
      </c>
      <c r="X730" t="str" cm="1">
        <f t="array" ref="X730">_xlfn.IFS(
HRData[[#This Row],[MonthlyIncome]]&lt;=4000,"Very Low Income",
HRData[[#This Row],[MonthlyIncome]]&lt;=8000,"Low Income",
HRData[[#This Row],[MonthlyIncome]]&lt;=12000,"Moderate Income",
HRData[[#This Row],[MonthlyIncome]]&lt;=16000,"High Income",
HRData[[#This Row],[MonthlyIncome]]&gt;16000,"Very High Income"
)</f>
        <v>Moderate Income</v>
      </c>
      <c r="Y730">
        <v>13943</v>
      </c>
      <c r="Z730">
        <v>8</v>
      </c>
      <c r="AA730" t="s">
        <v>42</v>
      </c>
      <c r="AB730" t="s">
        <v>43</v>
      </c>
      <c r="AC730">
        <v>11</v>
      </c>
      <c r="AD730" t="str" cm="1">
        <f t="array" ref="AD730">_xlfn.IFS(HRData[[#This Row],[PercentSalaryHike]]&lt;=15,"11-15",HRData[[#This Row],[PercentSalaryHike]]&lt;=20,"16-20",HRData[[#This Row],[PercentSalaryHike]]&gt;=21,"21+")</f>
        <v>11-15</v>
      </c>
      <c r="AE730">
        <v>3</v>
      </c>
      <c r="AF730">
        <v>3</v>
      </c>
      <c r="AG730">
        <v>80</v>
      </c>
      <c r="AH730">
        <v>1</v>
      </c>
      <c r="AI730">
        <v>22</v>
      </c>
      <c r="AJ730">
        <v>2</v>
      </c>
      <c r="AK730">
        <v>3</v>
      </c>
      <c r="AL730">
        <v>10</v>
      </c>
      <c r="AM730">
        <v>7</v>
      </c>
      <c r="AN730">
        <v>0</v>
      </c>
      <c r="AO730">
        <v>8</v>
      </c>
      <c r="AP73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30" t="str">
        <f>IF(HRData[[#This Row],[Attrition]]="Yes","Left", IF(HRData[[#This Row],[Attrition_Risk_Score]]&gt;=6,"High",IF(HRData[[#This Row],[Attrition_Risk_Score]]&gt;=3,"Medium","Low")))</f>
        <v>Low</v>
      </c>
      <c r="AR730" t="str">
        <f>IF(HRData[[#This Row],[Attrition_Risk_Level]]&lt;&gt;"High","",HRData[[#This Row],[Attrition_Risk_Score]]*10000-HRData[[#This Row],[EmployeeNumber]])</f>
        <v/>
      </c>
    </row>
    <row r="731" spans="1:44">
      <c r="A731">
        <v>35</v>
      </c>
      <c r="B731" t="str" cm="1">
        <f t="array" ref="B731">_xlfn.IFS(
HRData[[#This Row],[Age]]&lt;=24,"18-24",
HRData[[#This Row],[Age]]&lt;=34,"25-34",
HRData[[#This Row],[Age]]&lt;=44,"35-44",
HRData[[#This Row],[Age]]&lt;=54,"45-54",
HRData[[#This Row],[Age]]&gt;=55,"55+"
)</f>
        <v>35-44</v>
      </c>
      <c r="C731" t="s">
        <v>43</v>
      </c>
      <c r="D731">
        <f>IF(HRData[[#This Row],[Attrition]]="Yes",1,0)</f>
        <v>0</v>
      </c>
      <c r="E731" t="s">
        <v>36</v>
      </c>
      <c r="F731">
        <v>583</v>
      </c>
      <c r="G731" t="s">
        <v>45</v>
      </c>
      <c r="H731">
        <v>25</v>
      </c>
      <c r="I731">
        <v>4</v>
      </c>
      <c r="J731" t="s">
        <v>51</v>
      </c>
      <c r="K731">
        <v>1</v>
      </c>
      <c r="L731">
        <v>1014</v>
      </c>
      <c r="M731">
        <v>3</v>
      </c>
      <c r="N731" t="str" cm="1">
        <f t="array" ref="N731">_xlfn.IFS(HRData[[#This Row],[EnvironmentSatisfaction]]=1,"Very Dissatisfied",
HRData[[#This Row],[EnvironmentSatisfaction]]=2,"Dissatisfied",
HRData[[#This Row],[EnvironmentSatisfaction]]=3,"Satisfied",
HRData[[#This Row],[EnvironmentSatisfaction]]=4,"Very Satisfied"
)</f>
        <v>Satisfied</v>
      </c>
      <c r="O731" t="s">
        <v>39</v>
      </c>
      <c r="P731">
        <v>57</v>
      </c>
      <c r="Q731">
        <v>3</v>
      </c>
      <c r="R731">
        <v>3</v>
      </c>
      <c r="S731" t="s">
        <v>54</v>
      </c>
      <c r="T731">
        <v>3</v>
      </c>
      <c r="U731" t="str" cm="1">
        <f t="array" ref="U731">_xlfn.IFS(
HRData[[#This Row],[JobSatisfaction]]=1,"Very Dissatisfied",
HRData[[#This Row],[JobSatisfaction]]=2,"Dissatisfied",
HRData[[#This Row],[JobSatisfaction]]=3,"Satisfied",
HRData[[#This Row],[JobSatisfaction]]=4,"Very Satisfied"
)</f>
        <v>Satisfied</v>
      </c>
      <c r="V731" t="s">
        <v>52</v>
      </c>
      <c r="W731">
        <v>10388</v>
      </c>
      <c r="X731" t="str" cm="1">
        <f t="array" ref="X731">_xlfn.IFS(
HRData[[#This Row],[MonthlyIncome]]&lt;=4000,"Very Low Income",
HRData[[#This Row],[MonthlyIncome]]&lt;=8000,"Low Income",
HRData[[#This Row],[MonthlyIncome]]&lt;=12000,"Moderate Income",
HRData[[#This Row],[MonthlyIncome]]&lt;=16000,"High Income",
HRData[[#This Row],[MonthlyIncome]]&gt;16000,"Very High Income"
)</f>
        <v>Moderate Income</v>
      </c>
      <c r="Y731">
        <v>6975</v>
      </c>
      <c r="Z731">
        <v>1</v>
      </c>
      <c r="AA731" t="s">
        <v>42</v>
      </c>
      <c r="AB731" t="s">
        <v>35</v>
      </c>
      <c r="AC731">
        <v>11</v>
      </c>
      <c r="AD731" t="str" cm="1">
        <f t="array" ref="AD731">_xlfn.IFS(HRData[[#This Row],[PercentSalaryHike]]&lt;=15,"11-15",HRData[[#This Row],[PercentSalaryHike]]&lt;=20,"16-20",HRData[[#This Row],[PercentSalaryHike]]&gt;=21,"21+")</f>
        <v>11-15</v>
      </c>
      <c r="AE731">
        <v>3</v>
      </c>
      <c r="AF731">
        <v>3</v>
      </c>
      <c r="AG731">
        <v>80</v>
      </c>
      <c r="AH731">
        <v>1</v>
      </c>
      <c r="AI731">
        <v>16</v>
      </c>
      <c r="AJ731">
        <v>3</v>
      </c>
      <c r="AK731">
        <v>2</v>
      </c>
      <c r="AL731">
        <v>16</v>
      </c>
      <c r="AM731">
        <v>10</v>
      </c>
      <c r="AN731">
        <v>10</v>
      </c>
      <c r="AO731">
        <v>1</v>
      </c>
      <c r="AP73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31" t="str">
        <f>IF(HRData[[#This Row],[Attrition]]="Yes","Left", IF(HRData[[#This Row],[Attrition_Risk_Score]]&gt;=6,"High",IF(HRData[[#This Row],[Attrition_Risk_Score]]&gt;=3,"Medium","Low")))</f>
        <v>Low</v>
      </c>
      <c r="AR731" t="str">
        <f>IF(HRData[[#This Row],[Attrition_Risk_Level]]&lt;&gt;"High","",HRData[[#This Row],[Attrition_Risk_Score]]*10000-HRData[[#This Row],[EmployeeNumber]])</f>
        <v/>
      </c>
    </row>
    <row r="732" spans="1:44">
      <c r="A732">
        <v>30</v>
      </c>
      <c r="B732" t="str" cm="1">
        <f t="array" ref="B732">_xlfn.IFS(
HRData[[#This Row],[Age]]&lt;=24,"18-24",
HRData[[#This Row],[Age]]&lt;=34,"25-34",
HRData[[#This Row],[Age]]&lt;=44,"35-44",
HRData[[#This Row],[Age]]&lt;=54,"45-54",
HRData[[#This Row],[Age]]&gt;=55,"55+"
)</f>
        <v>25-34</v>
      </c>
      <c r="C732" t="s">
        <v>43</v>
      </c>
      <c r="D732">
        <f>IF(HRData[[#This Row],[Attrition]]="Yes",1,0)</f>
        <v>0</v>
      </c>
      <c r="E732" t="s">
        <v>36</v>
      </c>
      <c r="F732">
        <v>153</v>
      </c>
      <c r="G732" t="s">
        <v>45</v>
      </c>
      <c r="H732">
        <v>8</v>
      </c>
      <c r="I732">
        <v>2</v>
      </c>
      <c r="J732" t="s">
        <v>38</v>
      </c>
      <c r="K732">
        <v>1</v>
      </c>
      <c r="L732">
        <v>1015</v>
      </c>
      <c r="M732">
        <v>2</v>
      </c>
      <c r="N732" t="str" cm="1">
        <f t="array" ref="N732">_xlfn.IFS(HRData[[#This Row],[EnvironmentSatisfaction]]=1,"Very Dissatisfied",
HRData[[#This Row],[EnvironmentSatisfaction]]=2,"Dissatisfied",
HRData[[#This Row],[EnvironmentSatisfaction]]=3,"Satisfied",
HRData[[#This Row],[EnvironmentSatisfaction]]=4,"Very Satisfied"
)</f>
        <v>Dissatisfied</v>
      </c>
      <c r="O732" t="s">
        <v>39</v>
      </c>
      <c r="P732">
        <v>73</v>
      </c>
      <c r="Q732">
        <v>4</v>
      </c>
      <c r="R732">
        <v>3</v>
      </c>
      <c r="S732" t="s">
        <v>58</v>
      </c>
      <c r="T732">
        <v>1</v>
      </c>
      <c r="U732" t="str" cm="1">
        <f t="array" ref="U732">_xlfn.IFS(
HRData[[#This Row],[JobSatisfaction]]=1,"Very Dissatisfied",
HRData[[#This Row],[JobSatisfaction]]=2,"Dissatisfied",
HRData[[#This Row],[JobSatisfaction]]=3,"Satisfied",
HRData[[#This Row],[JobSatisfaction]]=4,"Very Satisfied"
)</f>
        <v>Very Dissatisfied</v>
      </c>
      <c r="V732" t="s">
        <v>48</v>
      </c>
      <c r="W732">
        <v>11416</v>
      </c>
      <c r="X732" t="str" cm="1">
        <f t="array" ref="X732">_xlfn.IFS(
HRData[[#This Row],[MonthlyIncome]]&lt;=4000,"Very Low Income",
HRData[[#This Row],[MonthlyIncome]]&lt;=8000,"Low Income",
HRData[[#This Row],[MonthlyIncome]]&lt;=12000,"Moderate Income",
HRData[[#This Row],[MonthlyIncome]]&lt;=16000,"High Income",
HRData[[#This Row],[MonthlyIncome]]&gt;16000,"Very High Income"
)</f>
        <v>Moderate Income</v>
      </c>
      <c r="Y732">
        <v>17802</v>
      </c>
      <c r="Z732">
        <v>0</v>
      </c>
      <c r="AA732" t="s">
        <v>42</v>
      </c>
      <c r="AB732" t="s">
        <v>35</v>
      </c>
      <c r="AC732">
        <v>12</v>
      </c>
      <c r="AD732" t="str" cm="1">
        <f t="array" ref="AD732">_xlfn.IFS(HRData[[#This Row],[PercentSalaryHike]]&lt;=15,"11-15",HRData[[#This Row],[PercentSalaryHike]]&lt;=20,"16-20",HRData[[#This Row],[PercentSalaryHike]]&gt;=21,"21+")</f>
        <v>11-15</v>
      </c>
      <c r="AE732">
        <v>3</v>
      </c>
      <c r="AF732">
        <v>3</v>
      </c>
      <c r="AG732">
        <v>80</v>
      </c>
      <c r="AH732">
        <v>3</v>
      </c>
      <c r="AI732">
        <v>9</v>
      </c>
      <c r="AJ732">
        <v>4</v>
      </c>
      <c r="AK732">
        <v>2</v>
      </c>
      <c r="AL732">
        <v>8</v>
      </c>
      <c r="AM732">
        <v>7</v>
      </c>
      <c r="AN732">
        <v>1</v>
      </c>
      <c r="AO732">
        <v>7</v>
      </c>
      <c r="AP73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732" t="str">
        <f>IF(HRData[[#This Row],[Attrition]]="Yes","Left", IF(HRData[[#This Row],[Attrition_Risk_Score]]&gt;=6,"High",IF(HRData[[#This Row],[Attrition_Risk_Score]]&gt;=3,"Medium","Low")))</f>
        <v>Medium</v>
      </c>
      <c r="AR732" t="str">
        <f>IF(HRData[[#This Row],[Attrition_Risk_Level]]&lt;&gt;"High","",HRData[[#This Row],[Attrition_Risk_Score]]*10000-HRData[[#This Row],[EmployeeNumber]])</f>
        <v/>
      </c>
    </row>
    <row r="733" spans="1:44">
      <c r="A733">
        <v>20</v>
      </c>
      <c r="B733" t="str" cm="1">
        <f t="array" ref="B733">_xlfn.IFS(
HRData[[#This Row],[Age]]&lt;=24,"18-24",
HRData[[#This Row],[Age]]&lt;=34,"25-34",
HRData[[#This Row],[Age]]&lt;=44,"35-44",
HRData[[#This Row],[Age]]&lt;=54,"45-54",
HRData[[#This Row],[Age]]&gt;=55,"55+"
)</f>
        <v>18-24</v>
      </c>
      <c r="C733" t="s">
        <v>35</v>
      </c>
      <c r="D733">
        <f>IF(HRData[[#This Row],[Attrition]]="Yes",1,0)</f>
        <v>1</v>
      </c>
      <c r="E733" t="s">
        <v>36</v>
      </c>
      <c r="F733">
        <v>1097</v>
      </c>
      <c r="G733" t="s">
        <v>45</v>
      </c>
      <c r="H733">
        <v>11</v>
      </c>
      <c r="I733">
        <v>3</v>
      </c>
      <c r="J733" t="s">
        <v>51</v>
      </c>
      <c r="K733">
        <v>1</v>
      </c>
      <c r="L733">
        <v>1016</v>
      </c>
      <c r="M733">
        <v>4</v>
      </c>
      <c r="N733" t="str" cm="1">
        <f t="array" ref="N733">_xlfn.IFS(HRData[[#This Row],[EnvironmentSatisfaction]]=1,"Very Dissatisfied",
HRData[[#This Row],[EnvironmentSatisfaction]]=2,"Dissatisfied",
HRData[[#This Row],[EnvironmentSatisfaction]]=3,"Satisfied",
HRData[[#This Row],[EnvironmentSatisfaction]]=4,"Very Satisfied"
)</f>
        <v>Very Satisfied</v>
      </c>
      <c r="O733" t="s">
        <v>39</v>
      </c>
      <c r="P733">
        <v>98</v>
      </c>
      <c r="Q733">
        <v>2</v>
      </c>
      <c r="R733">
        <v>1</v>
      </c>
      <c r="S733" t="s">
        <v>47</v>
      </c>
      <c r="T733">
        <v>1</v>
      </c>
      <c r="U733" t="str" cm="1">
        <f t="array" ref="U733">_xlfn.IFS(
HRData[[#This Row],[JobSatisfaction]]=1,"Very Dissatisfied",
HRData[[#This Row],[JobSatisfaction]]=2,"Dissatisfied",
HRData[[#This Row],[JobSatisfaction]]=3,"Satisfied",
HRData[[#This Row],[JobSatisfaction]]=4,"Very Satisfied"
)</f>
        <v>Very Dissatisfied</v>
      </c>
      <c r="V733" t="s">
        <v>41</v>
      </c>
      <c r="W733">
        <v>2600</v>
      </c>
      <c r="X733" t="str" cm="1">
        <f t="array" ref="X733">_xlfn.IFS(
HRData[[#This Row],[MonthlyIncome]]&lt;=4000,"Very Low Income",
HRData[[#This Row],[MonthlyIncome]]&lt;=8000,"Low Income",
HRData[[#This Row],[MonthlyIncome]]&lt;=12000,"Moderate Income",
HRData[[#This Row],[MonthlyIncome]]&lt;=16000,"High Income",
HRData[[#This Row],[MonthlyIncome]]&gt;16000,"Very High Income"
)</f>
        <v>Very Low Income</v>
      </c>
      <c r="Y733">
        <v>18275</v>
      </c>
      <c r="Z733">
        <v>1</v>
      </c>
      <c r="AA733" t="s">
        <v>42</v>
      </c>
      <c r="AB733" t="s">
        <v>35</v>
      </c>
      <c r="AC733">
        <v>15</v>
      </c>
      <c r="AD733" t="str" cm="1">
        <f t="array" ref="AD733">_xlfn.IFS(HRData[[#This Row],[PercentSalaryHike]]&lt;=15,"11-15",HRData[[#This Row],[PercentSalaryHike]]&lt;=20,"16-20",HRData[[#This Row],[PercentSalaryHike]]&gt;=21,"21+")</f>
        <v>11-15</v>
      </c>
      <c r="AE733">
        <v>3</v>
      </c>
      <c r="AF733">
        <v>1</v>
      </c>
      <c r="AG733">
        <v>80</v>
      </c>
      <c r="AH733">
        <v>0</v>
      </c>
      <c r="AI733">
        <v>1</v>
      </c>
      <c r="AJ733">
        <v>2</v>
      </c>
      <c r="AK733">
        <v>3</v>
      </c>
      <c r="AL733">
        <v>1</v>
      </c>
      <c r="AM733">
        <v>0</v>
      </c>
      <c r="AN733">
        <v>0</v>
      </c>
      <c r="AO733">
        <v>0</v>
      </c>
      <c r="AP73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33" t="str">
        <f>IF(HRData[[#This Row],[Attrition]]="Yes","Left", IF(HRData[[#This Row],[Attrition_Risk_Score]]&gt;=6,"High",IF(HRData[[#This Row],[Attrition_Risk_Score]]&gt;=3,"Medium","Low")))</f>
        <v>Left</v>
      </c>
      <c r="AR733" t="str">
        <f>IF(HRData[[#This Row],[Attrition_Risk_Level]]&lt;&gt;"High","",HRData[[#This Row],[Attrition_Risk_Score]]*10000-HRData[[#This Row],[EmployeeNumber]])</f>
        <v/>
      </c>
    </row>
    <row r="734" spans="1:44">
      <c r="A734">
        <v>30</v>
      </c>
      <c r="B734" t="str" cm="1">
        <f t="array" ref="B734">_xlfn.IFS(
HRData[[#This Row],[Age]]&lt;=24,"18-24",
HRData[[#This Row],[Age]]&lt;=34,"25-34",
HRData[[#This Row],[Age]]&lt;=44,"35-44",
HRData[[#This Row],[Age]]&lt;=54,"45-54",
HRData[[#This Row],[Age]]&gt;=55,"55+"
)</f>
        <v>25-34</v>
      </c>
      <c r="C734" t="s">
        <v>35</v>
      </c>
      <c r="D734">
        <f>IF(HRData[[#This Row],[Attrition]]="Yes",1,0)</f>
        <v>1</v>
      </c>
      <c r="E734" t="s">
        <v>44</v>
      </c>
      <c r="F734">
        <v>109</v>
      </c>
      <c r="G734" t="s">
        <v>45</v>
      </c>
      <c r="H734">
        <v>5</v>
      </c>
      <c r="I734">
        <v>3</v>
      </c>
      <c r="J734" t="s">
        <v>51</v>
      </c>
      <c r="K734">
        <v>1</v>
      </c>
      <c r="L734">
        <v>1017</v>
      </c>
      <c r="M734">
        <v>2</v>
      </c>
      <c r="N734" t="str" cm="1">
        <f t="array" ref="N734">_xlfn.IFS(HRData[[#This Row],[EnvironmentSatisfaction]]=1,"Very Dissatisfied",
HRData[[#This Row],[EnvironmentSatisfaction]]=2,"Dissatisfied",
HRData[[#This Row],[EnvironmentSatisfaction]]=3,"Satisfied",
HRData[[#This Row],[EnvironmentSatisfaction]]=4,"Very Satisfied"
)</f>
        <v>Dissatisfied</v>
      </c>
      <c r="O734" t="s">
        <v>39</v>
      </c>
      <c r="P734">
        <v>60</v>
      </c>
      <c r="Q734">
        <v>3</v>
      </c>
      <c r="R734">
        <v>1</v>
      </c>
      <c r="S734" t="s">
        <v>50</v>
      </c>
      <c r="T734">
        <v>2</v>
      </c>
      <c r="U734" t="str" cm="1">
        <f t="array" ref="U734">_xlfn.IFS(
HRData[[#This Row],[JobSatisfaction]]=1,"Very Dissatisfied",
HRData[[#This Row],[JobSatisfaction]]=2,"Dissatisfied",
HRData[[#This Row],[JobSatisfaction]]=3,"Satisfied",
HRData[[#This Row],[JobSatisfaction]]=4,"Very Satisfied"
)</f>
        <v>Dissatisfied</v>
      </c>
      <c r="V734" t="s">
        <v>41</v>
      </c>
      <c r="W734">
        <v>2422</v>
      </c>
      <c r="X734" t="str" cm="1">
        <f t="array" ref="X734">_xlfn.IFS(
HRData[[#This Row],[MonthlyIncome]]&lt;=4000,"Very Low Income",
HRData[[#This Row],[MonthlyIncome]]&lt;=8000,"Low Income",
HRData[[#This Row],[MonthlyIncome]]&lt;=12000,"Moderate Income",
HRData[[#This Row],[MonthlyIncome]]&lt;=16000,"High Income",
HRData[[#This Row],[MonthlyIncome]]&gt;16000,"Very High Income"
)</f>
        <v>Very Low Income</v>
      </c>
      <c r="Y734">
        <v>25725</v>
      </c>
      <c r="Z734">
        <v>0</v>
      </c>
      <c r="AA734" t="s">
        <v>42</v>
      </c>
      <c r="AB734" t="s">
        <v>43</v>
      </c>
      <c r="AC734">
        <v>17</v>
      </c>
      <c r="AD734" t="str" cm="1">
        <f t="array" ref="AD734">_xlfn.IFS(HRData[[#This Row],[PercentSalaryHike]]&lt;=15,"11-15",HRData[[#This Row],[PercentSalaryHike]]&lt;=20,"16-20",HRData[[#This Row],[PercentSalaryHike]]&gt;=21,"21+")</f>
        <v>16-20</v>
      </c>
      <c r="AE734">
        <v>3</v>
      </c>
      <c r="AF734">
        <v>1</v>
      </c>
      <c r="AG734">
        <v>80</v>
      </c>
      <c r="AH734">
        <v>0</v>
      </c>
      <c r="AI734">
        <v>4</v>
      </c>
      <c r="AJ734">
        <v>3</v>
      </c>
      <c r="AK734">
        <v>3</v>
      </c>
      <c r="AL734">
        <v>3</v>
      </c>
      <c r="AM734">
        <v>2</v>
      </c>
      <c r="AN734">
        <v>1</v>
      </c>
      <c r="AO734">
        <v>2</v>
      </c>
      <c r="AP73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34" t="str">
        <f>IF(HRData[[#This Row],[Attrition]]="Yes","Left", IF(HRData[[#This Row],[Attrition_Risk_Score]]&gt;=6,"High",IF(HRData[[#This Row],[Attrition_Risk_Score]]&gt;=3,"Medium","Low")))</f>
        <v>Left</v>
      </c>
      <c r="AR734" t="str">
        <f>IF(HRData[[#This Row],[Attrition_Risk_Level]]&lt;&gt;"High","",HRData[[#This Row],[Attrition_Risk_Score]]*10000-HRData[[#This Row],[EmployeeNumber]])</f>
        <v/>
      </c>
    </row>
    <row r="735" spans="1:44">
      <c r="A735">
        <v>26</v>
      </c>
      <c r="B735" t="str" cm="1">
        <f t="array" ref="B735">_xlfn.IFS(
HRData[[#This Row],[Age]]&lt;=24,"18-24",
HRData[[#This Row],[Age]]&lt;=34,"25-34",
HRData[[#This Row],[Age]]&lt;=44,"35-44",
HRData[[#This Row],[Age]]&lt;=54,"45-54",
HRData[[#This Row],[Age]]&gt;=55,"55+"
)</f>
        <v>25-34</v>
      </c>
      <c r="C735" t="s">
        <v>43</v>
      </c>
      <c r="D735">
        <f>IF(HRData[[#This Row],[Attrition]]="Yes",1,0)</f>
        <v>0</v>
      </c>
      <c r="E735" t="s">
        <v>36</v>
      </c>
      <c r="F735">
        <v>1066</v>
      </c>
      <c r="G735" t="s">
        <v>45</v>
      </c>
      <c r="H735">
        <v>2</v>
      </c>
      <c r="I735">
        <v>2</v>
      </c>
      <c r="J735" t="s">
        <v>51</v>
      </c>
      <c r="K735">
        <v>1</v>
      </c>
      <c r="L735">
        <v>1018</v>
      </c>
      <c r="M735">
        <v>4</v>
      </c>
      <c r="N735" t="str" cm="1">
        <f t="array" ref="N735">_xlfn.IFS(HRData[[#This Row],[EnvironmentSatisfaction]]=1,"Very Dissatisfied",
HRData[[#This Row],[EnvironmentSatisfaction]]=2,"Dissatisfied",
HRData[[#This Row],[EnvironmentSatisfaction]]=3,"Satisfied",
HRData[[#This Row],[EnvironmentSatisfaction]]=4,"Very Satisfied"
)</f>
        <v>Very Satisfied</v>
      </c>
      <c r="O735" t="s">
        <v>46</v>
      </c>
      <c r="P735">
        <v>32</v>
      </c>
      <c r="Q735">
        <v>4</v>
      </c>
      <c r="R735">
        <v>2</v>
      </c>
      <c r="S735" t="s">
        <v>53</v>
      </c>
      <c r="T735">
        <v>4</v>
      </c>
      <c r="U735" t="str" cm="1">
        <f t="array" ref="U735">_xlfn.IFS(
HRData[[#This Row],[JobSatisfaction]]=1,"Very Dissatisfied",
HRData[[#This Row],[JobSatisfaction]]=2,"Dissatisfied",
HRData[[#This Row],[JobSatisfaction]]=3,"Satisfied",
HRData[[#This Row],[JobSatisfaction]]=4,"Very Satisfied"
)</f>
        <v>Very Satisfied</v>
      </c>
      <c r="V735" t="s">
        <v>48</v>
      </c>
      <c r="W735">
        <v>5472</v>
      </c>
      <c r="X735" t="str" cm="1">
        <f t="array" ref="X735">_xlfn.IFS(
HRData[[#This Row],[MonthlyIncome]]&lt;=4000,"Very Low Income",
HRData[[#This Row],[MonthlyIncome]]&lt;=8000,"Low Income",
HRData[[#This Row],[MonthlyIncome]]&lt;=12000,"Moderate Income",
HRData[[#This Row],[MonthlyIncome]]&lt;=16000,"High Income",
HRData[[#This Row],[MonthlyIncome]]&gt;16000,"Very High Income"
)</f>
        <v>Low Income</v>
      </c>
      <c r="Y735">
        <v>3334</v>
      </c>
      <c r="Z735">
        <v>1</v>
      </c>
      <c r="AA735" t="s">
        <v>42</v>
      </c>
      <c r="AB735" t="s">
        <v>43</v>
      </c>
      <c r="AC735">
        <v>12</v>
      </c>
      <c r="AD735" t="str" cm="1">
        <f t="array" ref="AD735">_xlfn.IFS(HRData[[#This Row],[PercentSalaryHike]]&lt;=15,"11-15",HRData[[#This Row],[PercentSalaryHike]]&lt;=20,"16-20",HRData[[#This Row],[PercentSalaryHike]]&gt;=21,"21+")</f>
        <v>11-15</v>
      </c>
      <c r="AE735">
        <v>3</v>
      </c>
      <c r="AF735">
        <v>2</v>
      </c>
      <c r="AG735">
        <v>80</v>
      </c>
      <c r="AH735">
        <v>0</v>
      </c>
      <c r="AI735">
        <v>8</v>
      </c>
      <c r="AJ735">
        <v>2</v>
      </c>
      <c r="AK735">
        <v>3</v>
      </c>
      <c r="AL735">
        <v>8</v>
      </c>
      <c r="AM735">
        <v>7</v>
      </c>
      <c r="AN735">
        <v>1</v>
      </c>
      <c r="AO735">
        <v>3</v>
      </c>
      <c r="AP73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35" t="str">
        <f>IF(HRData[[#This Row],[Attrition]]="Yes","Left", IF(HRData[[#This Row],[Attrition_Risk_Score]]&gt;=6,"High",IF(HRData[[#This Row],[Attrition_Risk_Score]]&gt;=3,"Medium","Low")))</f>
        <v>Low</v>
      </c>
      <c r="AR735" t="str">
        <f>IF(HRData[[#This Row],[Attrition_Risk_Level]]&lt;&gt;"High","",HRData[[#This Row],[Attrition_Risk_Score]]*10000-HRData[[#This Row],[EmployeeNumber]])</f>
        <v/>
      </c>
    </row>
    <row r="736" spans="1:44">
      <c r="A736">
        <v>22</v>
      </c>
      <c r="B736" t="str" cm="1">
        <f t="array" ref="B736">_xlfn.IFS(
HRData[[#This Row],[Age]]&lt;=24,"18-24",
HRData[[#This Row],[Age]]&lt;=34,"25-34",
HRData[[#This Row],[Age]]&lt;=44,"35-44",
HRData[[#This Row],[Age]]&lt;=54,"45-54",
HRData[[#This Row],[Age]]&gt;=55,"55+"
)</f>
        <v>18-24</v>
      </c>
      <c r="C736" t="s">
        <v>43</v>
      </c>
      <c r="D736">
        <f>IF(HRData[[#This Row],[Attrition]]="Yes",1,0)</f>
        <v>0</v>
      </c>
      <c r="E736" t="s">
        <v>36</v>
      </c>
      <c r="F736">
        <v>217</v>
      </c>
      <c r="G736" t="s">
        <v>45</v>
      </c>
      <c r="H736">
        <v>8</v>
      </c>
      <c r="I736">
        <v>1</v>
      </c>
      <c r="J736" t="s">
        <v>38</v>
      </c>
      <c r="K736">
        <v>1</v>
      </c>
      <c r="L736">
        <v>1019</v>
      </c>
      <c r="M736">
        <v>2</v>
      </c>
      <c r="N736" t="str" cm="1">
        <f t="array" ref="N736">_xlfn.IFS(HRData[[#This Row],[EnvironmentSatisfaction]]=1,"Very Dissatisfied",
HRData[[#This Row],[EnvironmentSatisfaction]]=2,"Dissatisfied",
HRData[[#This Row],[EnvironmentSatisfaction]]=3,"Satisfied",
HRData[[#This Row],[EnvironmentSatisfaction]]=4,"Very Satisfied"
)</f>
        <v>Dissatisfied</v>
      </c>
      <c r="O736" t="s">
        <v>46</v>
      </c>
      <c r="P736">
        <v>94</v>
      </c>
      <c r="Q736">
        <v>1</v>
      </c>
      <c r="R736">
        <v>1</v>
      </c>
      <c r="S736" t="s">
        <v>50</v>
      </c>
      <c r="T736">
        <v>1</v>
      </c>
      <c r="U736" t="str" cm="1">
        <f t="array" ref="U736">_xlfn.IFS(
HRData[[#This Row],[JobSatisfaction]]=1,"Very Dissatisfied",
HRData[[#This Row],[JobSatisfaction]]=2,"Dissatisfied",
HRData[[#This Row],[JobSatisfaction]]=3,"Satisfied",
HRData[[#This Row],[JobSatisfaction]]=4,"Very Satisfied"
)</f>
        <v>Very Dissatisfied</v>
      </c>
      <c r="V736" t="s">
        <v>48</v>
      </c>
      <c r="W736">
        <v>2451</v>
      </c>
      <c r="X736" t="str" cm="1">
        <f t="array" ref="X736">_xlfn.IFS(
HRData[[#This Row],[MonthlyIncome]]&lt;=4000,"Very Low Income",
HRData[[#This Row],[MonthlyIncome]]&lt;=8000,"Low Income",
HRData[[#This Row],[MonthlyIncome]]&lt;=12000,"Moderate Income",
HRData[[#This Row],[MonthlyIncome]]&lt;=16000,"High Income",
HRData[[#This Row],[MonthlyIncome]]&gt;16000,"Very High Income"
)</f>
        <v>Very Low Income</v>
      </c>
      <c r="Y736">
        <v>6881</v>
      </c>
      <c r="Z736">
        <v>1</v>
      </c>
      <c r="AA736" t="s">
        <v>42</v>
      </c>
      <c r="AB736" t="s">
        <v>43</v>
      </c>
      <c r="AC736">
        <v>15</v>
      </c>
      <c r="AD736" t="str" cm="1">
        <f t="array" ref="AD736">_xlfn.IFS(HRData[[#This Row],[PercentSalaryHike]]&lt;=15,"11-15",HRData[[#This Row],[PercentSalaryHike]]&lt;=20,"16-20",HRData[[#This Row],[PercentSalaryHike]]&gt;=21,"21+")</f>
        <v>11-15</v>
      </c>
      <c r="AE736">
        <v>3</v>
      </c>
      <c r="AF736">
        <v>1</v>
      </c>
      <c r="AG736">
        <v>80</v>
      </c>
      <c r="AH736">
        <v>1</v>
      </c>
      <c r="AI736">
        <v>4</v>
      </c>
      <c r="AJ736">
        <v>3</v>
      </c>
      <c r="AK736">
        <v>2</v>
      </c>
      <c r="AL736">
        <v>4</v>
      </c>
      <c r="AM736">
        <v>3</v>
      </c>
      <c r="AN736">
        <v>1</v>
      </c>
      <c r="AO736">
        <v>1</v>
      </c>
      <c r="AP73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736" t="str">
        <f>IF(HRData[[#This Row],[Attrition]]="Yes","Left", IF(HRData[[#This Row],[Attrition_Risk_Score]]&gt;=6,"High",IF(HRData[[#This Row],[Attrition_Risk_Score]]&gt;=3,"Medium","Low")))</f>
        <v>High</v>
      </c>
      <c r="AR736">
        <f>IF(HRData[[#This Row],[Attrition_Risk_Level]]&lt;&gt;"High","",HRData[[#This Row],[Attrition_Risk_Score]]*10000-HRData[[#This Row],[EmployeeNumber]])</f>
        <v>68981</v>
      </c>
    </row>
    <row r="737" spans="1:44">
      <c r="A737">
        <v>48</v>
      </c>
      <c r="B737" t="str" cm="1">
        <f t="array" ref="B737">_xlfn.IFS(
HRData[[#This Row],[Age]]&lt;=24,"18-24",
HRData[[#This Row],[Age]]&lt;=34,"25-34",
HRData[[#This Row],[Age]]&lt;=44,"35-44",
HRData[[#This Row],[Age]]&lt;=54,"45-54",
HRData[[#This Row],[Age]]&gt;=55,"55+"
)</f>
        <v>45-54</v>
      </c>
      <c r="C737" t="s">
        <v>43</v>
      </c>
      <c r="D737">
        <f>IF(HRData[[#This Row],[Attrition]]="Yes",1,0)</f>
        <v>0</v>
      </c>
      <c r="E737" t="s">
        <v>36</v>
      </c>
      <c r="F737">
        <v>277</v>
      </c>
      <c r="G737" t="s">
        <v>45</v>
      </c>
      <c r="H737">
        <v>6</v>
      </c>
      <c r="I737">
        <v>3</v>
      </c>
      <c r="J737" t="s">
        <v>38</v>
      </c>
      <c r="K737">
        <v>1</v>
      </c>
      <c r="L737">
        <v>1022</v>
      </c>
      <c r="M737">
        <v>1</v>
      </c>
      <c r="N737" t="str" cm="1">
        <f t="array" ref="N737">_xlfn.IFS(HRData[[#This Row],[EnvironmentSatisfaction]]=1,"Very Dissatisfied",
HRData[[#This Row],[EnvironmentSatisfaction]]=2,"Dissatisfied",
HRData[[#This Row],[EnvironmentSatisfaction]]=3,"Satisfied",
HRData[[#This Row],[EnvironmentSatisfaction]]=4,"Very Satisfied"
)</f>
        <v>Very Dissatisfied</v>
      </c>
      <c r="O737" t="s">
        <v>46</v>
      </c>
      <c r="P737">
        <v>97</v>
      </c>
      <c r="Q737">
        <v>2</v>
      </c>
      <c r="R737">
        <v>2</v>
      </c>
      <c r="S737" t="s">
        <v>54</v>
      </c>
      <c r="T737">
        <v>3</v>
      </c>
      <c r="U737" t="str" cm="1">
        <f t="array" ref="U737">_xlfn.IFS(
HRData[[#This Row],[JobSatisfaction]]=1,"Very Dissatisfied",
HRData[[#This Row],[JobSatisfaction]]=2,"Dissatisfied",
HRData[[#This Row],[JobSatisfaction]]=3,"Satisfied",
HRData[[#This Row],[JobSatisfaction]]=4,"Very Satisfied"
)</f>
        <v>Satisfied</v>
      </c>
      <c r="V737" t="s">
        <v>41</v>
      </c>
      <c r="W737">
        <v>4240</v>
      </c>
      <c r="X737" t="str" cm="1">
        <f t="array" ref="X737">_xlfn.IFS(
HRData[[#This Row],[MonthlyIncome]]&lt;=4000,"Very Low Income",
HRData[[#This Row],[MonthlyIncome]]&lt;=8000,"Low Income",
HRData[[#This Row],[MonthlyIncome]]&lt;=12000,"Moderate Income",
HRData[[#This Row],[MonthlyIncome]]&lt;=16000,"High Income",
HRData[[#This Row],[MonthlyIncome]]&gt;16000,"Very High Income"
)</f>
        <v>Low Income</v>
      </c>
      <c r="Y737">
        <v>13119</v>
      </c>
      <c r="Z737">
        <v>2</v>
      </c>
      <c r="AA737" t="s">
        <v>42</v>
      </c>
      <c r="AB737" t="s">
        <v>43</v>
      </c>
      <c r="AC737">
        <v>13</v>
      </c>
      <c r="AD737" t="str" cm="1">
        <f t="array" ref="AD737">_xlfn.IFS(HRData[[#This Row],[PercentSalaryHike]]&lt;=15,"11-15",HRData[[#This Row],[PercentSalaryHike]]&lt;=20,"16-20",HRData[[#This Row],[PercentSalaryHike]]&gt;=21,"21+")</f>
        <v>11-15</v>
      </c>
      <c r="AE737">
        <v>3</v>
      </c>
      <c r="AF737">
        <v>4</v>
      </c>
      <c r="AG737">
        <v>80</v>
      </c>
      <c r="AH737">
        <v>0</v>
      </c>
      <c r="AI737">
        <v>19</v>
      </c>
      <c r="AJ737">
        <v>0</v>
      </c>
      <c r="AK737">
        <v>3</v>
      </c>
      <c r="AL737">
        <v>2</v>
      </c>
      <c r="AM737">
        <v>2</v>
      </c>
      <c r="AN737">
        <v>2</v>
      </c>
      <c r="AO737">
        <v>2</v>
      </c>
      <c r="AP73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737" t="str">
        <f>IF(HRData[[#This Row],[Attrition]]="Yes","Left", IF(HRData[[#This Row],[Attrition_Risk_Score]]&gt;=6,"High",IF(HRData[[#This Row],[Attrition_Risk_Score]]&gt;=3,"Medium","Low")))</f>
        <v>Low</v>
      </c>
      <c r="AR737" t="str">
        <f>IF(HRData[[#This Row],[Attrition_Risk_Level]]&lt;&gt;"High","",HRData[[#This Row],[Attrition_Risk_Score]]*10000-HRData[[#This Row],[EmployeeNumber]])</f>
        <v/>
      </c>
    </row>
    <row r="738" spans="1:44">
      <c r="A738">
        <v>48</v>
      </c>
      <c r="B738" t="str" cm="1">
        <f t="array" ref="B738">_xlfn.IFS(
HRData[[#This Row],[Age]]&lt;=24,"18-24",
HRData[[#This Row],[Age]]&lt;=34,"25-34",
HRData[[#This Row],[Age]]&lt;=44,"35-44",
HRData[[#This Row],[Age]]&lt;=54,"45-54",
HRData[[#This Row],[Age]]&gt;=55,"55+"
)</f>
        <v>45-54</v>
      </c>
      <c r="C738" t="s">
        <v>43</v>
      </c>
      <c r="D738">
        <f>IF(HRData[[#This Row],[Attrition]]="Yes",1,0)</f>
        <v>0</v>
      </c>
      <c r="E738" t="s">
        <v>36</v>
      </c>
      <c r="F738">
        <v>1355</v>
      </c>
      <c r="G738" t="s">
        <v>45</v>
      </c>
      <c r="H738">
        <v>4</v>
      </c>
      <c r="I738">
        <v>4</v>
      </c>
      <c r="J738" t="s">
        <v>38</v>
      </c>
      <c r="K738">
        <v>1</v>
      </c>
      <c r="L738">
        <v>1024</v>
      </c>
      <c r="M738">
        <v>3</v>
      </c>
      <c r="N738" t="str" cm="1">
        <f t="array" ref="N738">_xlfn.IFS(HRData[[#This Row],[EnvironmentSatisfaction]]=1,"Very Dissatisfied",
HRData[[#This Row],[EnvironmentSatisfaction]]=2,"Dissatisfied",
HRData[[#This Row],[EnvironmentSatisfaction]]=3,"Satisfied",
HRData[[#This Row],[EnvironmentSatisfaction]]=4,"Very Satisfied"
)</f>
        <v>Satisfied</v>
      </c>
      <c r="O738" t="s">
        <v>46</v>
      </c>
      <c r="P738">
        <v>78</v>
      </c>
      <c r="Q738">
        <v>2</v>
      </c>
      <c r="R738">
        <v>3</v>
      </c>
      <c r="S738" t="s">
        <v>54</v>
      </c>
      <c r="T738">
        <v>3</v>
      </c>
      <c r="U738" t="str" cm="1">
        <f t="array" ref="U738">_xlfn.IFS(
HRData[[#This Row],[JobSatisfaction]]=1,"Very Dissatisfied",
HRData[[#This Row],[JobSatisfaction]]=2,"Dissatisfied",
HRData[[#This Row],[JobSatisfaction]]=3,"Satisfied",
HRData[[#This Row],[JobSatisfaction]]=4,"Very Satisfied"
)</f>
        <v>Satisfied</v>
      </c>
      <c r="V738" t="s">
        <v>41</v>
      </c>
      <c r="W738">
        <v>10999</v>
      </c>
      <c r="X738" t="str" cm="1">
        <f t="array" ref="X738">_xlfn.IFS(
HRData[[#This Row],[MonthlyIncome]]&lt;=4000,"Very Low Income",
HRData[[#This Row],[MonthlyIncome]]&lt;=8000,"Low Income",
HRData[[#This Row],[MonthlyIncome]]&lt;=12000,"Moderate Income",
HRData[[#This Row],[MonthlyIncome]]&lt;=16000,"High Income",
HRData[[#This Row],[MonthlyIncome]]&gt;16000,"Very High Income"
)</f>
        <v>Moderate Income</v>
      </c>
      <c r="Y738">
        <v>22245</v>
      </c>
      <c r="Z738">
        <v>7</v>
      </c>
      <c r="AA738" t="s">
        <v>42</v>
      </c>
      <c r="AB738" t="s">
        <v>43</v>
      </c>
      <c r="AC738">
        <v>14</v>
      </c>
      <c r="AD738" t="str" cm="1">
        <f t="array" ref="AD738">_xlfn.IFS(HRData[[#This Row],[PercentSalaryHike]]&lt;=15,"11-15",HRData[[#This Row],[PercentSalaryHike]]&lt;=20,"16-20",HRData[[#This Row],[PercentSalaryHike]]&gt;=21,"21+")</f>
        <v>11-15</v>
      </c>
      <c r="AE738">
        <v>3</v>
      </c>
      <c r="AF738">
        <v>2</v>
      </c>
      <c r="AG738">
        <v>80</v>
      </c>
      <c r="AH738">
        <v>0</v>
      </c>
      <c r="AI738">
        <v>27</v>
      </c>
      <c r="AJ738">
        <v>3</v>
      </c>
      <c r="AK738">
        <v>3</v>
      </c>
      <c r="AL738">
        <v>15</v>
      </c>
      <c r="AM738">
        <v>11</v>
      </c>
      <c r="AN738">
        <v>4</v>
      </c>
      <c r="AO738">
        <v>8</v>
      </c>
      <c r="AP73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38" t="str">
        <f>IF(HRData[[#This Row],[Attrition]]="Yes","Left", IF(HRData[[#This Row],[Attrition_Risk_Score]]&gt;=6,"High",IF(HRData[[#This Row],[Attrition_Risk_Score]]&gt;=3,"Medium","Low")))</f>
        <v>Low</v>
      </c>
      <c r="AR738" t="str">
        <f>IF(HRData[[#This Row],[Attrition_Risk_Level]]&lt;&gt;"High","",HRData[[#This Row],[Attrition_Risk_Score]]*10000-HRData[[#This Row],[EmployeeNumber]])</f>
        <v/>
      </c>
    </row>
    <row r="739" spans="1:44">
      <c r="A739">
        <v>41</v>
      </c>
      <c r="B739" t="str" cm="1">
        <f t="array" ref="B739">_xlfn.IFS(
HRData[[#This Row],[Age]]&lt;=24,"18-24",
HRData[[#This Row],[Age]]&lt;=34,"25-34",
HRData[[#This Row],[Age]]&lt;=44,"35-44",
HRData[[#This Row],[Age]]&lt;=54,"45-54",
HRData[[#This Row],[Age]]&gt;=55,"55+"
)</f>
        <v>35-44</v>
      </c>
      <c r="C739" t="s">
        <v>43</v>
      </c>
      <c r="D739">
        <f>IF(HRData[[#This Row],[Attrition]]="Yes",1,0)</f>
        <v>0</v>
      </c>
      <c r="E739" t="s">
        <v>36</v>
      </c>
      <c r="F739">
        <v>549</v>
      </c>
      <c r="G739" t="s">
        <v>45</v>
      </c>
      <c r="H739">
        <v>7</v>
      </c>
      <c r="I739">
        <v>2</v>
      </c>
      <c r="J739" t="s">
        <v>51</v>
      </c>
      <c r="K739">
        <v>1</v>
      </c>
      <c r="L739">
        <v>1025</v>
      </c>
      <c r="M739">
        <v>4</v>
      </c>
      <c r="N739" t="str" cm="1">
        <f t="array" ref="N739">_xlfn.IFS(HRData[[#This Row],[EnvironmentSatisfaction]]=1,"Very Dissatisfied",
HRData[[#This Row],[EnvironmentSatisfaction]]=2,"Dissatisfied",
HRData[[#This Row],[EnvironmentSatisfaction]]=3,"Satisfied",
HRData[[#This Row],[EnvironmentSatisfaction]]=4,"Very Satisfied"
)</f>
        <v>Very Satisfied</v>
      </c>
      <c r="O739" t="s">
        <v>39</v>
      </c>
      <c r="P739">
        <v>42</v>
      </c>
      <c r="Q739">
        <v>3</v>
      </c>
      <c r="R739">
        <v>2</v>
      </c>
      <c r="S739" t="s">
        <v>53</v>
      </c>
      <c r="T739">
        <v>3</v>
      </c>
      <c r="U739" t="str" cm="1">
        <f t="array" ref="U739">_xlfn.IFS(
HRData[[#This Row],[JobSatisfaction]]=1,"Very Dissatisfied",
HRData[[#This Row],[JobSatisfaction]]=2,"Dissatisfied",
HRData[[#This Row],[JobSatisfaction]]=3,"Satisfied",
HRData[[#This Row],[JobSatisfaction]]=4,"Very Satisfied"
)</f>
        <v>Satisfied</v>
      </c>
      <c r="V739" t="s">
        <v>41</v>
      </c>
      <c r="W739">
        <v>5003</v>
      </c>
      <c r="X739" t="str" cm="1">
        <f t="array" ref="X739">_xlfn.IFS(
HRData[[#This Row],[MonthlyIncome]]&lt;=4000,"Very Low Income",
HRData[[#This Row],[MonthlyIncome]]&lt;=8000,"Low Income",
HRData[[#This Row],[MonthlyIncome]]&lt;=12000,"Moderate Income",
HRData[[#This Row],[MonthlyIncome]]&lt;=16000,"High Income",
HRData[[#This Row],[MonthlyIncome]]&gt;16000,"Very High Income"
)</f>
        <v>Low Income</v>
      </c>
      <c r="Y739">
        <v>23371</v>
      </c>
      <c r="Z739">
        <v>6</v>
      </c>
      <c r="AA739" t="s">
        <v>42</v>
      </c>
      <c r="AB739" t="s">
        <v>43</v>
      </c>
      <c r="AC739">
        <v>14</v>
      </c>
      <c r="AD739" t="str" cm="1">
        <f t="array" ref="AD739">_xlfn.IFS(HRData[[#This Row],[PercentSalaryHike]]&lt;=15,"11-15",HRData[[#This Row],[PercentSalaryHike]]&lt;=20,"16-20",HRData[[#This Row],[PercentSalaryHike]]&gt;=21,"21+")</f>
        <v>11-15</v>
      </c>
      <c r="AE739">
        <v>3</v>
      </c>
      <c r="AF739">
        <v>2</v>
      </c>
      <c r="AG739">
        <v>80</v>
      </c>
      <c r="AH739">
        <v>0</v>
      </c>
      <c r="AI739">
        <v>8</v>
      </c>
      <c r="AJ739">
        <v>6</v>
      </c>
      <c r="AK739">
        <v>3</v>
      </c>
      <c r="AL739">
        <v>2</v>
      </c>
      <c r="AM739">
        <v>2</v>
      </c>
      <c r="AN739">
        <v>2</v>
      </c>
      <c r="AO739">
        <v>1</v>
      </c>
      <c r="AP73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739" t="str">
        <f>IF(HRData[[#This Row],[Attrition]]="Yes","Left", IF(HRData[[#This Row],[Attrition_Risk_Score]]&gt;=6,"High",IF(HRData[[#This Row],[Attrition_Risk_Score]]&gt;=3,"Medium","Low")))</f>
        <v>Low</v>
      </c>
      <c r="AR739" t="str">
        <f>IF(HRData[[#This Row],[Attrition_Risk_Level]]&lt;&gt;"High","",HRData[[#This Row],[Attrition_Risk_Score]]*10000-HRData[[#This Row],[EmployeeNumber]])</f>
        <v/>
      </c>
    </row>
    <row r="740" spans="1:44">
      <c r="A740">
        <v>39</v>
      </c>
      <c r="B740" t="str" cm="1">
        <f t="array" ref="B740">_xlfn.IFS(
HRData[[#This Row],[Age]]&lt;=24,"18-24",
HRData[[#This Row],[Age]]&lt;=34,"25-34",
HRData[[#This Row],[Age]]&lt;=44,"35-44",
HRData[[#This Row],[Age]]&lt;=54,"45-54",
HRData[[#This Row],[Age]]&gt;=55,"55+"
)</f>
        <v>35-44</v>
      </c>
      <c r="C740" t="s">
        <v>43</v>
      </c>
      <c r="D740">
        <f>IF(HRData[[#This Row],[Attrition]]="Yes",1,0)</f>
        <v>0</v>
      </c>
      <c r="E740" t="s">
        <v>36</v>
      </c>
      <c r="F740">
        <v>466</v>
      </c>
      <c r="G740" t="s">
        <v>45</v>
      </c>
      <c r="H740">
        <v>1</v>
      </c>
      <c r="I740">
        <v>1</v>
      </c>
      <c r="J740" t="s">
        <v>38</v>
      </c>
      <c r="K740">
        <v>1</v>
      </c>
      <c r="L740">
        <v>1026</v>
      </c>
      <c r="M740">
        <v>4</v>
      </c>
      <c r="N740" t="str" cm="1">
        <f t="array" ref="N740">_xlfn.IFS(HRData[[#This Row],[EnvironmentSatisfaction]]=1,"Very Dissatisfied",
HRData[[#This Row],[EnvironmentSatisfaction]]=2,"Dissatisfied",
HRData[[#This Row],[EnvironmentSatisfaction]]=3,"Satisfied",
HRData[[#This Row],[EnvironmentSatisfaction]]=4,"Very Satisfied"
)</f>
        <v>Very Satisfied</v>
      </c>
      <c r="O740" t="s">
        <v>39</v>
      </c>
      <c r="P740">
        <v>65</v>
      </c>
      <c r="Q740">
        <v>2</v>
      </c>
      <c r="R740">
        <v>4</v>
      </c>
      <c r="S740" t="s">
        <v>53</v>
      </c>
      <c r="T740">
        <v>4</v>
      </c>
      <c r="U740" t="str" cm="1">
        <f t="array" ref="U740">_xlfn.IFS(
HRData[[#This Row],[JobSatisfaction]]=1,"Very Dissatisfied",
HRData[[#This Row],[JobSatisfaction]]=2,"Dissatisfied",
HRData[[#This Row],[JobSatisfaction]]=3,"Satisfied",
HRData[[#This Row],[JobSatisfaction]]=4,"Very Satisfied"
)</f>
        <v>Very Satisfied</v>
      </c>
      <c r="V740" t="s">
        <v>48</v>
      </c>
      <c r="W740">
        <v>12742</v>
      </c>
      <c r="X740" t="str" cm="1">
        <f t="array" ref="X740">_xlfn.IFS(
HRData[[#This Row],[MonthlyIncome]]&lt;=4000,"Very Low Income",
HRData[[#This Row],[MonthlyIncome]]&lt;=8000,"Low Income",
HRData[[#This Row],[MonthlyIncome]]&lt;=12000,"Moderate Income",
HRData[[#This Row],[MonthlyIncome]]&lt;=16000,"High Income",
HRData[[#This Row],[MonthlyIncome]]&gt;16000,"Very High Income"
)</f>
        <v>High Income</v>
      </c>
      <c r="Y740">
        <v>7060</v>
      </c>
      <c r="Z740">
        <v>1</v>
      </c>
      <c r="AA740" t="s">
        <v>42</v>
      </c>
      <c r="AB740" t="s">
        <v>43</v>
      </c>
      <c r="AC740">
        <v>16</v>
      </c>
      <c r="AD740" t="str" cm="1">
        <f t="array" ref="AD740">_xlfn.IFS(HRData[[#This Row],[PercentSalaryHike]]&lt;=15,"11-15",HRData[[#This Row],[PercentSalaryHike]]&lt;=20,"16-20",HRData[[#This Row],[PercentSalaryHike]]&gt;=21,"21+")</f>
        <v>16-20</v>
      </c>
      <c r="AE740">
        <v>3</v>
      </c>
      <c r="AF740">
        <v>3</v>
      </c>
      <c r="AG740">
        <v>80</v>
      </c>
      <c r="AH740">
        <v>1</v>
      </c>
      <c r="AI740">
        <v>21</v>
      </c>
      <c r="AJ740">
        <v>3</v>
      </c>
      <c r="AK740">
        <v>3</v>
      </c>
      <c r="AL740">
        <v>21</v>
      </c>
      <c r="AM740">
        <v>6</v>
      </c>
      <c r="AN740">
        <v>11</v>
      </c>
      <c r="AO740">
        <v>8</v>
      </c>
      <c r="AP74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40" t="str">
        <f>IF(HRData[[#This Row],[Attrition]]="Yes","Left", IF(HRData[[#This Row],[Attrition_Risk_Score]]&gt;=6,"High",IF(HRData[[#This Row],[Attrition_Risk_Score]]&gt;=3,"Medium","Low")))</f>
        <v>Low</v>
      </c>
      <c r="AR740" t="str">
        <f>IF(HRData[[#This Row],[Attrition_Risk_Level]]&lt;&gt;"High","",HRData[[#This Row],[Attrition_Risk_Score]]*10000-HRData[[#This Row],[EmployeeNumber]])</f>
        <v/>
      </c>
    </row>
    <row r="741" spans="1:44">
      <c r="A741">
        <v>27</v>
      </c>
      <c r="B741" t="str" cm="1">
        <f t="array" ref="B741">_xlfn.IFS(
HRData[[#This Row],[Age]]&lt;=24,"18-24",
HRData[[#This Row],[Age]]&lt;=34,"25-34",
HRData[[#This Row],[Age]]&lt;=44,"35-44",
HRData[[#This Row],[Age]]&lt;=54,"45-54",
HRData[[#This Row],[Age]]&gt;=55,"55+"
)</f>
        <v>25-34</v>
      </c>
      <c r="C741" t="s">
        <v>43</v>
      </c>
      <c r="D741">
        <f>IF(HRData[[#This Row],[Attrition]]="Yes",1,0)</f>
        <v>0</v>
      </c>
      <c r="E741" t="s">
        <v>36</v>
      </c>
      <c r="F741">
        <v>1055</v>
      </c>
      <c r="G741" t="s">
        <v>45</v>
      </c>
      <c r="H741">
        <v>2</v>
      </c>
      <c r="I741">
        <v>4</v>
      </c>
      <c r="J741" t="s">
        <v>38</v>
      </c>
      <c r="K741">
        <v>1</v>
      </c>
      <c r="L741">
        <v>1027</v>
      </c>
      <c r="M741">
        <v>1</v>
      </c>
      <c r="N741" t="str" cm="1">
        <f t="array" ref="N741">_xlfn.IFS(HRData[[#This Row],[EnvironmentSatisfaction]]=1,"Very Dissatisfied",
HRData[[#This Row],[EnvironmentSatisfaction]]=2,"Dissatisfied",
HRData[[#This Row],[EnvironmentSatisfaction]]=3,"Satisfied",
HRData[[#This Row],[EnvironmentSatisfaction]]=4,"Very Satisfied"
)</f>
        <v>Very Dissatisfied</v>
      </c>
      <c r="O741" t="s">
        <v>39</v>
      </c>
      <c r="P741">
        <v>47</v>
      </c>
      <c r="Q741">
        <v>3</v>
      </c>
      <c r="R741">
        <v>2</v>
      </c>
      <c r="S741" t="s">
        <v>53</v>
      </c>
      <c r="T741">
        <v>4</v>
      </c>
      <c r="U741" t="str" cm="1">
        <f t="array" ref="U741">_xlfn.IFS(
HRData[[#This Row],[JobSatisfaction]]=1,"Very Dissatisfied",
HRData[[#This Row],[JobSatisfaction]]=2,"Dissatisfied",
HRData[[#This Row],[JobSatisfaction]]=3,"Satisfied",
HRData[[#This Row],[JobSatisfaction]]=4,"Very Satisfied"
)</f>
        <v>Very Satisfied</v>
      </c>
      <c r="V741" t="s">
        <v>48</v>
      </c>
      <c r="W741">
        <v>4227</v>
      </c>
      <c r="X741" t="str" cm="1">
        <f t="array" ref="X741">_xlfn.IFS(
HRData[[#This Row],[MonthlyIncome]]&lt;=4000,"Very Low Income",
HRData[[#This Row],[MonthlyIncome]]&lt;=8000,"Low Income",
HRData[[#This Row],[MonthlyIncome]]&lt;=12000,"Moderate Income",
HRData[[#This Row],[MonthlyIncome]]&lt;=16000,"High Income",
HRData[[#This Row],[MonthlyIncome]]&gt;16000,"Very High Income"
)</f>
        <v>Low Income</v>
      </c>
      <c r="Y741">
        <v>4658</v>
      </c>
      <c r="Z741">
        <v>0</v>
      </c>
      <c r="AA741" t="s">
        <v>42</v>
      </c>
      <c r="AB741" t="s">
        <v>43</v>
      </c>
      <c r="AC741">
        <v>18</v>
      </c>
      <c r="AD741" t="str" cm="1">
        <f t="array" ref="AD741">_xlfn.IFS(HRData[[#This Row],[PercentSalaryHike]]&lt;=15,"11-15",HRData[[#This Row],[PercentSalaryHike]]&lt;=20,"16-20",HRData[[#This Row],[PercentSalaryHike]]&gt;=21,"21+")</f>
        <v>16-20</v>
      </c>
      <c r="AE741">
        <v>3</v>
      </c>
      <c r="AF741">
        <v>2</v>
      </c>
      <c r="AG741">
        <v>80</v>
      </c>
      <c r="AH741">
        <v>1</v>
      </c>
      <c r="AI741">
        <v>4</v>
      </c>
      <c r="AJ741">
        <v>2</v>
      </c>
      <c r="AK741">
        <v>3</v>
      </c>
      <c r="AL741">
        <v>3</v>
      </c>
      <c r="AM741">
        <v>2</v>
      </c>
      <c r="AN741">
        <v>2</v>
      </c>
      <c r="AO741">
        <v>2</v>
      </c>
      <c r="AP74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41" t="str">
        <f>IF(HRData[[#This Row],[Attrition]]="Yes","Left", IF(HRData[[#This Row],[Attrition_Risk_Score]]&gt;=6,"High",IF(HRData[[#This Row],[Attrition_Risk_Score]]&gt;=3,"Medium","Low")))</f>
        <v>Low</v>
      </c>
      <c r="AR741" t="str">
        <f>IF(HRData[[#This Row],[Attrition_Risk_Level]]&lt;&gt;"High","",HRData[[#This Row],[Attrition_Risk_Score]]*10000-HRData[[#This Row],[EmployeeNumber]])</f>
        <v/>
      </c>
    </row>
    <row r="742" spans="1:44">
      <c r="A742">
        <v>35</v>
      </c>
      <c r="B742" t="str" cm="1">
        <f t="array" ref="B742">_xlfn.IFS(
HRData[[#This Row],[Age]]&lt;=24,"18-24",
HRData[[#This Row],[Age]]&lt;=34,"25-34",
HRData[[#This Row],[Age]]&lt;=44,"35-44",
HRData[[#This Row],[Age]]&lt;=54,"45-54",
HRData[[#This Row],[Age]]&gt;=55,"55+"
)</f>
        <v>35-44</v>
      </c>
      <c r="C742" t="s">
        <v>43</v>
      </c>
      <c r="D742">
        <f>IF(HRData[[#This Row],[Attrition]]="Yes",1,0)</f>
        <v>0</v>
      </c>
      <c r="E742" t="s">
        <v>36</v>
      </c>
      <c r="F742">
        <v>802</v>
      </c>
      <c r="G742" t="s">
        <v>45</v>
      </c>
      <c r="H742">
        <v>10</v>
      </c>
      <c r="I742">
        <v>3</v>
      </c>
      <c r="J742" t="s">
        <v>49</v>
      </c>
      <c r="K742">
        <v>1</v>
      </c>
      <c r="L742">
        <v>1028</v>
      </c>
      <c r="M742">
        <v>2</v>
      </c>
      <c r="N742" t="str" cm="1">
        <f t="array" ref="N742">_xlfn.IFS(HRData[[#This Row],[EnvironmentSatisfaction]]=1,"Very Dissatisfied",
HRData[[#This Row],[EnvironmentSatisfaction]]=2,"Dissatisfied",
HRData[[#This Row],[EnvironmentSatisfaction]]=3,"Satisfied",
HRData[[#This Row],[EnvironmentSatisfaction]]=4,"Very Satisfied"
)</f>
        <v>Dissatisfied</v>
      </c>
      <c r="O742" t="s">
        <v>46</v>
      </c>
      <c r="P742">
        <v>45</v>
      </c>
      <c r="Q742">
        <v>3</v>
      </c>
      <c r="R742">
        <v>1</v>
      </c>
      <c r="S742" t="s">
        <v>50</v>
      </c>
      <c r="T742">
        <v>4</v>
      </c>
      <c r="U742" t="str" cm="1">
        <f t="array" ref="U742">_xlfn.IFS(
HRData[[#This Row],[JobSatisfaction]]=1,"Very Dissatisfied",
HRData[[#This Row],[JobSatisfaction]]=2,"Dissatisfied",
HRData[[#This Row],[JobSatisfaction]]=3,"Satisfied",
HRData[[#This Row],[JobSatisfaction]]=4,"Very Satisfied"
)</f>
        <v>Very Satisfied</v>
      </c>
      <c r="V742" t="s">
        <v>52</v>
      </c>
      <c r="W742">
        <v>3917</v>
      </c>
      <c r="X742" t="str" cm="1">
        <f t="array" ref="X742">_xlfn.IFS(
HRData[[#This Row],[MonthlyIncome]]&lt;=4000,"Very Low Income",
HRData[[#This Row],[MonthlyIncome]]&lt;=8000,"Low Income",
HRData[[#This Row],[MonthlyIncome]]&lt;=12000,"Moderate Income",
HRData[[#This Row],[MonthlyIncome]]&lt;=16000,"High Income",
HRData[[#This Row],[MonthlyIncome]]&gt;16000,"Very High Income"
)</f>
        <v>Very Low Income</v>
      </c>
      <c r="Y742">
        <v>9541</v>
      </c>
      <c r="Z742">
        <v>1</v>
      </c>
      <c r="AA742" t="s">
        <v>42</v>
      </c>
      <c r="AB742" t="s">
        <v>43</v>
      </c>
      <c r="AC742">
        <v>20</v>
      </c>
      <c r="AD742" t="str" cm="1">
        <f t="array" ref="AD742">_xlfn.IFS(HRData[[#This Row],[PercentSalaryHike]]&lt;=15,"11-15",HRData[[#This Row],[PercentSalaryHike]]&lt;=20,"16-20",HRData[[#This Row],[PercentSalaryHike]]&gt;=21,"21+")</f>
        <v>16-20</v>
      </c>
      <c r="AE742">
        <v>4</v>
      </c>
      <c r="AF742">
        <v>1</v>
      </c>
      <c r="AG742">
        <v>80</v>
      </c>
      <c r="AH742">
        <v>1</v>
      </c>
      <c r="AI742">
        <v>3</v>
      </c>
      <c r="AJ742">
        <v>4</v>
      </c>
      <c r="AK742">
        <v>2</v>
      </c>
      <c r="AL742">
        <v>3</v>
      </c>
      <c r="AM742">
        <v>2</v>
      </c>
      <c r="AN742">
        <v>1</v>
      </c>
      <c r="AO742">
        <v>2</v>
      </c>
      <c r="AP74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42" t="str">
        <f>IF(HRData[[#This Row],[Attrition]]="Yes","Left", IF(HRData[[#This Row],[Attrition_Risk_Score]]&gt;=6,"High",IF(HRData[[#This Row],[Attrition_Risk_Score]]&gt;=3,"Medium","Low")))</f>
        <v>Medium</v>
      </c>
      <c r="AR742" t="str">
        <f>IF(HRData[[#This Row],[Attrition_Risk_Level]]&lt;&gt;"High","",HRData[[#This Row],[Attrition_Risk_Score]]*10000-HRData[[#This Row],[EmployeeNumber]])</f>
        <v/>
      </c>
    </row>
    <row r="743" spans="1:44">
      <c r="A743">
        <v>42</v>
      </c>
      <c r="B743" t="str" cm="1">
        <f t="array" ref="B743">_xlfn.IFS(
HRData[[#This Row],[Age]]&lt;=24,"18-24",
HRData[[#This Row],[Age]]&lt;=34,"25-34",
HRData[[#This Row],[Age]]&lt;=44,"35-44",
HRData[[#This Row],[Age]]&lt;=54,"45-54",
HRData[[#This Row],[Age]]&gt;=55,"55+"
)</f>
        <v>35-44</v>
      </c>
      <c r="C743" t="s">
        <v>43</v>
      </c>
      <c r="D743">
        <f>IF(HRData[[#This Row],[Attrition]]="Yes",1,0)</f>
        <v>0</v>
      </c>
      <c r="E743" t="s">
        <v>36</v>
      </c>
      <c r="F743">
        <v>265</v>
      </c>
      <c r="G743" t="s">
        <v>37</v>
      </c>
      <c r="H743">
        <v>5</v>
      </c>
      <c r="I743">
        <v>2</v>
      </c>
      <c r="J743" t="s">
        <v>59</v>
      </c>
      <c r="K743">
        <v>1</v>
      </c>
      <c r="L743">
        <v>1029</v>
      </c>
      <c r="M743">
        <v>4</v>
      </c>
      <c r="N743" t="str" cm="1">
        <f t="array" ref="N743">_xlfn.IFS(HRData[[#This Row],[EnvironmentSatisfaction]]=1,"Very Dissatisfied",
HRData[[#This Row],[EnvironmentSatisfaction]]=2,"Dissatisfied",
HRData[[#This Row],[EnvironmentSatisfaction]]=3,"Satisfied",
HRData[[#This Row],[EnvironmentSatisfaction]]=4,"Very Satisfied"
)</f>
        <v>Very Satisfied</v>
      </c>
      <c r="O743" t="s">
        <v>46</v>
      </c>
      <c r="P743">
        <v>90</v>
      </c>
      <c r="Q743">
        <v>3</v>
      </c>
      <c r="R743">
        <v>5</v>
      </c>
      <c r="S743" t="s">
        <v>56</v>
      </c>
      <c r="T743">
        <v>3</v>
      </c>
      <c r="U743" t="str" cm="1">
        <f t="array" ref="U743">_xlfn.IFS(
HRData[[#This Row],[JobSatisfaction]]=1,"Very Dissatisfied",
HRData[[#This Row],[JobSatisfaction]]=2,"Dissatisfied",
HRData[[#This Row],[JobSatisfaction]]=3,"Satisfied",
HRData[[#This Row],[JobSatisfaction]]=4,"Very Satisfied"
)</f>
        <v>Satisfied</v>
      </c>
      <c r="V743" t="s">
        <v>48</v>
      </c>
      <c r="W743">
        <v>18303</v>
      </c>
      <c r="X743" t="str" cm="1">
        <f t="array" ref="X743">_xlfn.IFS(
HRData[[#This Row],[MonthlyIncome]]&lt;=4000,"Very Low Income",
HRData[[#This Row],[MonthlyIncome]]&lt;=8000,"Low Income",
HRData[[#This Row],[MonthlyIncome]]&lt;=12000,"Moderate Income",
HRData[[#This Row],[MonthlyIncome]]&lt;=16000,"High Income",
HRData[[#This Row],[MonthlyIncome]]&gt;16000,"Very High Income"
)</f>
        <v>Very High Income</v>
      </c>
      <c r="Y743">
        <v>7770</v>
      </c>
      <c r="Z743">
        <v>6</v>
      </c>
      <c r="AA743" t="s">
        <v>42</v>
      </c>
      <c r="AB743" t="s">
        <v>43</v>
      </c>
      <c r="AC743">
        <v>13</v>
      </c>
      <c r="AD743" t="str" cm="1">
        <f t="array" ref="AD743">_xlfn.IFS(HRData[[#This Row],[PercentSalaryHike]]&lt;=15,"11-15",HRData[[#This Row],[PercentSalaryHike]]&lt;=20,"16-20",HRData[[#This Row],[PercentSalaryHike]]&gt;=21,"21+")</f>
        <v>11-15</v>
      </c>
      <c r="AE743">
        <v>3</v>
      </c>
      <c r="AF743">
        <v>2</v>
      </c>
      <c r="AG743">
        <v>80</v>
      </c>
      <c r="AH743">
        <v>0</v>
      </c>
      <c r="AI743">
        <v>21</v>
      </c>
      <c r="AJ743">
        <v>3</v>
      </c>
      <c r="AK743">
        <v>4</v>
      </c>
      <c r="AL743">
        <v>1</v>
      </c>
      <c r="AM743">
        <v>0</v>
      </c>
      <c r="AN743">
        <v>0</v>
      </c>
      <c r="AO743">
        <v>0</v>
      </c>
      <c r="AP74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43" t="str">
        <f>IF(HRData[[#This Row],[Attrition]]="Yes","Left", IF(HRData[[#This Row],[Attrition_Risk_Score]]&gt;=6,"High",IF(HRData[[#This Row],[Attrition_Risk_Score]]&gt;=3,"Medium","Low")))</f>
        <v>Low</v>
      </c>
      <c r="AR743" t="str">
        <f>IF(HRData[[#This Row],[Attrition_Risk_Level]]&lt;&gt;"High","",HRData[[#This Row],[Attrition_Risk_Score]]*10000-HRData[[#This Row],[EmployeeNumber]])</f>
        <v/>
      </c>
    </row>
    <row r="744" spans="1:44">
      <c r="A744">
        <v>50</v>
      </c>
      <c r="B744" t="str" cm="1">
        <f t="array" ref="B744">_xlfn.IFS(
HRData[[#This Row],[Age]]&lt;=24,"18-24",
HRData[[#This Row],[Age]]&lt;=34,"25-34",
HRData[[#This Row],[Age]]&lt;=44,"35-44",
HRData[[#This Row],[Age]]&lt;=54,"45-54",
HRData[[#This Row],[Age]]&gt;=55,"55+"
)</f>
        <v>45-54</v>
      </c>
      <c r="C744" t="s">
        <v>43</v>
      </c>
      <c r="D744">
        <f>IF(HRData[[#This Row],[Attrition]]="Yes",1,0)</f>
        <v>0</v>
      </c>
      <c r="E744" t="s">
        <v>36</v>
      </c>
      <c r="F744">
        <v>804</v>
      </c>
      <c r="G744" t="s">
        <v>45</v>
      </c>
      <c r="H744">
        <v>9</v>
      </c>
      <c r="I744">
        <v>3</v>
      </c>
      <c r="J744" t="s">
        <v>38</v>
      </c>
      <c r="K744">
        <v>1</v>
      </c>
      <c r="L744">
        <v>1030</v>
      </c>
      <c r="M744">
        <v>1</v>
      </c>
      <c r="N744" t="str" cm="1">
        <f t="array" ref="N744">_xlfn.IFS(HRData[[#This Row],[EnvironmentSatisfaction]]=1,"Very Dissatisfied",
HRData[[#This Row],[EnvironmentSatisfaction]]=2,"Dissatisfied",
HRData[[#This Row],[EnvironmentSatisfaction]]=3,"Satisfied",
HRData[[#This Row],[EnvironmentSatisfaction]]=4,"Very Satisfied"
)</f>
        <v>Very Dissatisfied</v>
      </c>
      <c r="O744" t="s">
        <v>46</v>
      </c>
      <c r="P744">
        <v>64</v>
      </c>
      <c r="Q744">
        <v>3</v>
      </c>
      <c r="R744">
        <v>1</v>
      </c>
      <c r="S744" t="s">
        <v>50</v>
      </c>
      <c r="T744">
        <v>4</v>
      </c>
      <c r="U744" t="str" cm="1">
        <f t="array" ref="U744">_xlfn.IFS(
HRData[[#This Row],[JobSatisfaction]]=1,"Very Dissatisfied",
HRData[[#This Row],[JobSatisfaction]]=2,"Dissatisfied",
HRData[[#This Row],[JobSatisfaction]]=3,"Satisfied",
HRData[[#This Row],[JobSatisfaction]]=4,"Very Satisfied"
)</f>
        <v>Very Satisfied</v>
      </c>
      <c r="V744" t="s">
        <v>48</v>
      </c>
      <c r="W744">
        <v>2380</v>
      </c>
      <c r="X744" t="str" cm="1">
        <f t="array" ref="X744">_xlfn.IFS(
HRData[[#This Row],[MonthlyIncome]]&lt;=4000,"Very Low Income",
HRData[[#This Row],[MonthlyIncome]]&lt;=8000,"Low Income",
HRData[[#This Row],[MonthlyIncome]]&lt;=12000,"Moderate Income",
HRData[[#This Row],[MonthlyIncome]]&lt;=16000,"High Income",
HRData[[#This Row],[MonthlyIncome]]&gt;16000,"Very High Income"
)</f>
        <v>Very Low Income</v>
      </c>
      <c r="Y744">
        <v>20165</v>
      </c>
      <c r="Z744">
        <v>4</v>
      </c>
      <c r="AA744" t="s">
        <v>42</v>
      </c>
      <c r="AB744" t="s">
        <v>43</v>
      </c>
      <c r="AC744">
        <v>18</v>
      </c>
      <c r="AD744" t="str" cm="1">
        <f t="array" ref="AD744">_xlfn.IFS(HRData[[#This Row],[PercentSalaryHike]]&lt;=15,"11-15",HRData[[#This Row],[PercentSalaryHike]]&lt;=20,"16-20",HRData[[#This Row],[PercentSalaryHike]]&gt;=21,"21+")</f>
        <v>16-20</v>
      </c>
      <c r="AE744">
        <v>3</v>
      </c>
      <c r="AF744">
        <v>2</v>
      </c>
      <c r="AG744">
        <v>80</v>
      </c>
      <c r="AH744">
        <v>0</v>
      </c>
      <c r="AI744">
        <v>8</v>
      </c>
      <c r="AJ744">
        <v>5</v>
      </c>
      <c r="AK744">
        <v>3</v>
      </c>
      <c r="AL744">
        <v>1</v>
      </c>
      <c r="AM744">
        <v>0</v>
      </c>
      <c r="AN744">
        <v>0</v>
      </c>
      <c r="AO744">
        <v>0</v>
      </c>
      <c r="AP74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44" t="str">
        <f>IF(HRData[[#This Row],[Attrition]]="Yes","Left", IF(HRData[[#This Row],[Attrition_Risk_Score]]&gt;=6,"High",IF(HRData[[#This Row],[Attrition_Risk_Score]]&gt;=3,"Medium","Low")))</f>
        <v>Medium</v>
      </c>
      <c r="AR744" t="str">
        <f>IF(HRData[[#This Row],[Attrition_Risk_Level]]&lt;&gt;"High","",HRData[[#This Row],[Attrition_Risk_Score]]*10000-HRData[[#This Row],[EmployeeNumber]])</f>
        <v/>
      </c>
    </row>
    <row r="745" spans="1:44">
      <c r="A745">
        <v>59</v>
      </c>
      <c r="B745" t="str" cm="1">
        <f t="array" ref="B745">_xlfn.IFS(
HRData[[#This Row],[Age]]&lt;=24,"18-24",
HRData[[#This Row],[Age]]&lt;=34,"25-34",
HRData[[#This Row],[Age]]&lt;=44,"35-44",
HRData[[#This Row],[Age]]&lt;=54,"45-54",
HRData[[#This Row],[Age]]&gt;=55,"55+"
)</f>
        <v>55+</v>
      </c>
      <c r="C745" t="s">
        <v>43</v>
      </c>
      <c r="D745">
        <f>IF(HRData[[#This Row],[Attrition]]="Yes",1,0)</f>
        <v>0</v>
      </c>
      <c r="E745" t="s">
        <v>36</v>
      </c>
      <c r="F745">
        <v>715</v>
      </c>
      <c r="G745" t="s">
        <v>45</v>
      </c>
      <c r="H745">
        <v>2</v>
      </c>
      <c r="I745">
        <v>3</v>
      </c>
      <c r="J745" t="s">
        <v>38</v>
      </c>
      <c r="K745">
        <v>1</v>
      </c>
      <c r="L745">
        <v>1032</v>
      </c>
      <c r="M745">
        <v>3</v>
      </c>
      <c r="N745" t="str" cm="1">
        <f t="array" ref="N745">_xlfn.IFS(HRData[[#This Row],[EnvironmentSatisfaction]]=1,"Very Dissatisfied",
HRData[[#This Row],[EnvironmentSatisfaction]]=2,"Dissatisfied",
HRData[[#This Row],[EnvironmentSatisfaction]]=3,"Satisfied",
HRData[[#This Row],[EnvironmentSatisfaction]]=4,"Very Satisfied"
)</f>
        <v>Satisfied</v>
      </c>
      <c r="O745" t="s">
        <v>39</v>
      </c>
      <c r="P745">
        <v>69</v>
      </c>
      <c r="Q745">
        <v>2</v>
      </c>
      <c r="R745">
        <v>4</v>
      </c>
      <c r="S745" t="s">
        <v>53</v>
      </c>
      <c r="T745">
        <v>4</v>
      </c>
      <c r="U745" t="str" cm="1">
        <f t="array" ref="U745">_xlfn.IFS(
HRData[[#This Row],[JobSatisfaction]]=1,"Very Dissatisfied",
HRData[[#This Row],[JobSatisfaction]]=2,"Dissatisfied",
HRData[[#This Row],[JobSatisfaction]]=3,"Satisfied",
HRData[[#This Row],[JobSatisfaction]]=4,"Very Satisfied"
)</f>
        <v>Very Satisfied</v>
      </c>
      <c r="V745" t="s">
        <v>41</v>
      </c>
      <c r="W745">
        <v>13726</v>
      </c>
      <c r="X745" t="str" cm="1">
        <f t="array" ref="X745">_xlfn.IFS(
HRData[[#This Row],[MonthlyIncome]]&lt;=4000,"Very Low Income",
HRData[[#This Row],[MonthlyIncome]]&lt;=8000,"Low Income",
HRData[[#This Row],[MonthlyIncome]]&lt;=12000,"Moderate Income",
HRData[[#This Row],[MonthlyIncome]]&lt;=16000,"High Income",
HRData[[#This Row],[MonthlyIncome]]&gt;16000,"Very High Income"
)</f>
        <v>High Income</v>
      </c>
      <c r="Y745">
        <v>21829</v>
      </c>
      <c r="Z745">
        <v>3</v>
      </c>
      <c r="AA745" t="s">
        <v>42</v>
      </c>
      <c r="AB745" t="s">
        <v>35</v>
      </c>
      <c r="AC745">
        <v>13</v>
      </c>
      <c r="AD745" t="str" cm="1">
        <f t="array" ref="AD745">_xlfn.IFS(HRData[[#This Row],[PercentSalaryHike]]&lt;=15,"11-15",HRData[[#This Row],[PercentSalaryHike]]&lt;=20,"16-20",HRData[[#This Row],[PercentSalaryHike]]&gt;=21,"21+")</f>
        <v>11-15</v>
      </c>
      <c r="AE745">
        <v>3</v>
      </c>
      <c r="AF745">
        <v>1</v>
      </c>
      <c r="AG745">
        <v>80</v>
      </c>
      <c r="AH745">
        <v>0</v>
      </c>
      <c r="AI745">
        <v>30</v>
      </c>
      <c r="AJ745">
        <v>4</v>
      </c>
      <c r="AK745">
        <v>3</v>
      </c>
      <c r="AL745">
        <v>5</v>
      </c>
      <c r="AM745">
        <v>3</v>
      </c>
      <c r="AN745">
        <v>4</v>
      </c>
      <c r="AO745">
        <v>3</v>
      </c>
      <c r="AP74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45" t="str">
        <f>IF(HRData[[#This Row],[Attrition]]="Yes","Left", IF(HRData[[#This Row],[Attrition_Risk_Score]]&gt;=6,"High",IF(HRData[[#This Row],[Attrition_Risk_Score]]&gt;=3,"Medium","Low")))</f>
        <v>Low</v>
      </c>
      <c r="AR745" t="str">
        <f>IF(HRData[[#This Row],[Attrition_Risk_Level]]&lt;&gt;"High","",HRData[[#This Row],[Attrition_Risk_Score]]*10000-HRData[[#This Row],[EmployeeNumber]])</f>
        <v/>
      </c>
    </row>
    <row r="746" spans="1:44">
      <c r="A746">
        <v>37</v>
      </c>
      <c r="B746" t="str" cm="1">
        <f t="array" ref="B746">_xlfn.IFS(
HRData[[#This Row],[Age]]&lt;=24,"18-24",
HRData[[#This Row],[Age]]&lt;=34,"25-34",
HRData[[#This Row],[Age]]&lt;=44,"35-44",
HRData[[#This Row],[Age]]&lt;=54,"45-54",
HRData[[#This Row],[Age]]&gt;=55,"55+"
)</f>
        <v>35-44</v>
      </c>
      <c r="C746" t="s">
        <v>35</v>
      </c>
      <c r="D746">
        <f>IF(HRData[[#This Row],[Attrition]]="Yes",1,0)</f>
        <v>1</v>
      </c>
      <c r="E746" t="s">
        <v>36</v>
      </c>
      <c r="F746">
        <v>1141</v>
      </c>
      <c r="G746" t="s">
        <v>45</v>
      </c>
      <c r="H746">
        <v>11</v>
      </c>
      <c r="I746">
        <v>2</v>
      </c>
      <c r="J746" t="s">
        <v>51</v>
      </c>
      <c r="K746">
        <v>1</v>
      </c>
      <c r="L746">
        <v>1033</v>
      </c>
      <c r="M746">
        <v>1</v>
      </c>
      <c r="N746" t="str" cm="1">
        <f t="array" ref="N746">_xlfn.IFS(HRData[[#This Row],[EnvironmentSatisfaction]]=1,"Very Dissatisfied",
HRData[[#This Row],[EnvironmentSatisfaction]]=2,"Dissatisfied",
HRData[[#This Row],[EnvironmentSatisfaction]]=3,"Satisfied",
HRData[[#This Row],[EnvironmentSatisfaction]]=4,"Very Satisfied"
)</f>
        <v>Very Dissatisfied</v>
      </c>
      <c r="O746" t="s">
        <v>39</v>
      </c>
      <c r="P746">
        <v>61</v>
      </c>
      <c r="Q746">
        <v>1</v>
      </c>
      <c r="R746">
        <v>2</v>
      </c>
      <c r="S746" t="s">
        <v>54</v>
      </c>
      <c r="T746">
        <v>2</v>
      </c>
      <c r="U746" t="str" cm="1">
        <f t="array" ref="U746">_xlfn.IFS(
HRData[[#This Row],[JobSatisfaction]]=1,"Very Dissatisfied",
HRData[[#This Row],[JobSatisfaction]]=2,"Dissatisfied",
HRData[[#This Row],[JobSatisfaction]]=3,"Satisfied",
HRData[[#This Row],[JobSatisfaction]]=4,"Very Satisfied"
)</f>
        <v>Dissatisfied</v>
      </c>
      <c r="V746" t="s">
        <v>48</v>
      </c>
      <c r="W746">
        <v>4777</v>
      </c>
      <c r="X746" t="str" cm="1">
        <f t="array" ref="X746">_xlfn.IFS(
HRData[[#This Row],[MonthlyIncome]]&lt;=4000,"Very Low Income",
HRData[[#This Row],[MonthlyIncome]]&lt;=8000,"Low Income",
HRData[[#This Row],[MonthlyIncome]]&lt;=12000,"Moderate Income",
HRData[[#This Row],[MonthlyIncome]]&lt;=16000,"High Income",
HRData[[#This Row],[MonthlyIncome]]&gt;16000,"Very High Income"
)</f>
        <v>Low Income</v>
      </c>
      <c r="Y746">
        <v>14382</v>
      </c>
      <c r="Z746">
        <v>5</v>
      </c>
      <c r="AA746" t="s">
        <v>42</v>
      </c>
      <c r="AB746" t="s">
        <v>43</v>
      </c>
      <c r="AC746">
        <v>15</v>
      </c>
      <c r="AD746" t="str" cm="1">
        <f t="array" ref="AD746">_xlfn.IFS(HRData[[#This Row],[PercentSalaryHike]]&lt;=15,"11-15",HRData[[#This Row],[PercentSalaryHike]]&lt;=20,"16-20",HRData[[#This Row],[PercentSalaryHike]]&gt;=21,"21+")</f>
        <v>11-15</v>
      </c>
      <c r="AE746">
        <v>3</v>
      </c>
      <c r="AF746">
        <v>1</v>
      </c>
      <c r="AG746">
        <v>80</v>
      </c>
      <c r="AH746">
        <v>0</v>
      </c>
      <c r="AI746">
        <v>15</v>
      </c>
      <c r="AJ746">
        <v>2</v>
      </c>
      <c r="AK746">
        <v>1</v>
      </c>
      <c r="AL746">
        <v>1</v>
      </c>
      <c r="AM746">
        <v>0</v>
      </c>
      <c r="AN746">
        <v>0</v>
      </c>
      <c r="AO746">
        <v>0</v>
      </c>
      <c r="AP74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46" t="str">
        <f>IF(HRData[[#This Row],[Attrition]]="Yes","Left", IF(HRData[[#This Row],[Attrition_Risk_Score]]&gt;=6,"High",IF(HRData[[#This Row],[Attrition_Risk_Score]]&gt;=3,"Medium","Low")))</f>
        <v>Left</v>
      </c>
      <c r="AR746" t="str">
        <f>IF(HRData[[#This Row],[Attrition_Risk_Level]]&lt;&gt;"High","",HRData[[#This Row],[Attrition_Risk_Score]]*10000-HRData[[#This Row],[EmployeeNumber]])</f>
        <v/>
      </c>
    </row>
    <row r="747" spans="1:44">
      <c r="A747">
        <v>55</v>
      </c>
      <c r="B747" t="str" cm="1">
        <f t="array" ref="B747">_xlfn.IFS(
HRData[[#This Row],[Age]]&lt;=24,"18-24",
HRData[[#This Row],[Age]]&lt;=34,"25-34",
HRData[[#This Row],[Age]]&lt;=44,"35-44",
HRData[[#This Row],[Age]]&lt;=54,"45-54",
HRData[[#This Row],[Age]]&gt;=55,"55+"
)</f>
        <v>55+</v>
      </c>
      <c r="C747" t="s">
        <v>43</v>
      </c>
      <c r="D747">
        <f>IF(HRData[[#This Row],[Attrition]]="Yes",1,0)</f>
        <v>0</v>
      </c>
      <c r="E747" t="s">
        <v>44</v>
      </c>
      <c r="F747">
        <v>135</v>
      </c>
      <c r="G747" t="s">
        <v>45</v>
      </c>
      <c r="H747">
        <v>18</v>
      </c>
      <c r="I747">
        <v>4</v>
      </c>
      <c r="J747" t="s">
        <v>51</v>
      </c>
      <c r="K747">
        <v>1</v>
      </c>
      <c r="L747">
        <v>1034</v>
      </c>
      <c r="M747">
        <v>3</v>
      </c>
      <c r="N747" t="str" cm="1">
        <f t="array" ref="N747">_xlfn.IFS(HRData[[#This Row],[EnvironmentSatisfaction]]=1,"Very Dissatisfied",
HRData[[#This Row],[EnvironmentSatisfaction]]=2,"Dissatisfied",
HRData[[#This Row],[EnvironmentSatisfaction]]=3,"Satisfied",
HRData[[#This Row],[EnvironmentSatisfaction]]=4,"Very Satisfied"
)</f>
        <v>Satisfied</v>
      </c>
      <c r="O747" t="s">
        <v>46</v>
      </c>
      <c r="P747">
        <v>62</v>
      </c>
      <c r="Q747">
        <v>3</v>
      </c>
      <c r="R747">
        <v>2</v>
      </c>
      <c r="S747" t="s">
        <v>54</v>
      </c>
      <c r="T747">
        <v>2</v>
      </c>
      <c r="U747" t="str" cm="1">
        <f t="array" ref="U747">_xlfn.IFS(
HRData[[#This Row],[JobSatisfaction]]=1,"Very Dissatisfied",
HRData[[#This Row],[JobSatisfaction]]=2,"Dissatisfied",
HRData[[#This Row],[JobSatisfaction]]=3,"Satisfied",
HRData[[#This Row],[JobSatisfaction]]=4,"Very Satisfied"
)</f>
        <v>Dissatisfied</v>
      </c>
      <c r="V747" t="s">
        <v>48</v>
      </c>
      <c r="W747">
        <v>6385</v>
      </c>
      <c r="X747" t="str" cm="1">
        <f t="array" ref="X747">_xlfn.IFS(
HRData[[#This Row],[MonthlyIncome]]&lt;=4000,"Very Low Income",
HRData[[#This Row],[MonthlyIncome]]&lt;=8000,"Low Income",
HRData[[#This Row],[MonthlyIncome]]&lt;=12000,"Moderate Income",
HRData[[#This Row],[MonthlyIncome]]&lt;=16000,"High Income",
HRData[[#This Row],[MonthlyIncome]]&gt;16000,"Very High Income"
)</f>
        <v>Low Income</v>
      </c>
      <c r="Y747">
        <v>12992</v>
      </c>
      <c r="Z747">
        <v>3</v>
      </c>
      <c r="AA747" t="s">
        <v>42</v>
      </c>
      <c r="AB747" t="s">
        <v>35</v>
      </c>
      <c r="AC747">
        <v>14</v>
      </c>
      <c r="AD747" t="str" cm="1">
        <f t="array" ref="AD747">_xlfn.IFS(HRData[[#This Row],[PercentSalaryHike]]&lt;=15,"11-15",HRData[[#This Row],[PercentSalaryHike]]&lt;=20,"16-20",HRData[[#This Row],[PercentSalaryHike]]&gt;=21,"21+")</f>
        <v>11-15</v>
      </c>
      <c r="AE747">
        <v>3</v>
      </c>
      <c r="AF747">
        <v>4</v>
      </c>
      <c r="AG747">
        <v>80</v>
      </c>
      <c r="AH747">
        <v>2</v>
      </c>
      <c r="AI747">
        <v>17</v>
      </c>
      <c r="AJ747">
        <v>3</v>
      </c>
      <c r="AK747">
        <v>3</v>
      </c>
      <c r="AL747">
        <v>8</v>
      </c>
      <c r="AM747">
        <v>7</v>
      </c>
      <c r="AN747">
        <v>6</v>
      </c>
      <c r="AO747">
        <v>7</v>
      </c>
      <c r="AP74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47" t="str">
        <f>IF(HRData[[#This Row],[Attrition]]="Yes","Left", IF(HRData[[#This Row],[Attrition_Risk_Score]]&gt;=6,"High",IF(HRData[[#This Row],[Attrition_Risk_Score]]&gt;=3,"Medium","Low")))</f>
        <v>Medium</v>
      </c>
      <c r="AR747" t="str">
        <f>IF(HRData[[#This Row],[Attrition_Risk_Level]]&lt;&gt;"High","",HRData[[#This Row],[Attrition_Risk_Score]]*10000-HRData[[#This Row],[EmployeeNumber]])</f>
        <v/>
      </c>
    </row>
    <row r="748" spans="1:44">
      <c r="A748">
        <v>41</v>
      </c>
      <c r="B748" t="str" cm="1">
        <f t="array" ref="B748">_xlfn.IFS(
HRData[[#This Row],[Age]]&lt;=24,"18-24",
HRData[[#This Row],[Age]]&lt;=34,"25-34",
HRData[[#This Row],[Age]]&lt;=44,"35-44",
HRData[[#This Row],[Age]]&lt;=54,"45-54",
HRData[[#This Row],[Age]]&gt;=55,"55+"
)</f>
        <v>35-44</v>
      </c>
      <c r="C748" t="s">
        <v>43</v>
      </c>
      <c r="D748">
        <f>IF(HRData[[#This Row],[Attrition]]="Yes",1,0)</f>
        <v>0</v>
      </c>
      <c r="E748" t="s">
        <v>55</v>
      </c>
      <c r="F748">
        <v>247</v>
      </c>
      <c r="G748" t="s">
        <v>45</v>
      </c>
      <c r="H748">
        <v>7</v>
      </c>
      <c r="I748">
        <v>1</v>
      </c>
      <c r="J748" t="s">
        <v>38</v>
      </c>
      <c r="K748">
        <v>1</v>
      </c>
      <c r="L748">
        <v>1035</v>
      </c>
      <c r="M748">
        <v>2</v>
      </c>
      <c r="N748" t="str" cm="1">
        <f t="array" ref="N748">_xlfn.IFS(HRData[[#This Row],[EnvironmentSatisfaction]]=1,"Very Dissatisfied",
HRData[[#This Row],[EnvironmentSatisfaction]]=2,"Dissatisfied",
HRData[[#This Row],[EnvironmentSatisfaction]]=3,"Satisfied",
HRData[[#This Row],[EnvironmentSatisfaction]]=4,"Very Satisfied"
)</f>
        <v>Dissatisfied</v>
      </c>
      <c r="O748" t="s">
        <v>39</v>
      </c>
      <c r="P748">
        <v>55</v>
      </c>
      <c r="Q748">
        <v>1</v>
      </c>
      <c r="R748">
        <v>5</v>
      </c>
      <c r="S748" t="s">
        <v>58</v>
      </c>
      <c r="T748">
        <v>3</v>
      </c>
      <c r="U748" t="str" cm="1">
        <f t="array" ref="U748">_xlfn.IFS(
HRData[[#This Row],[JobSatisfaction]]=1,"Very Dissatisfied",
HRData[[#This Row],[JobSatisfaction]]=2,"Dissatisfied",
HRData[[#This Row],[JobSatisfaction]]=3,"Satisfied",
HRData[[#This Row],[JobSatisfaction]]=4,"Very Satisfied"
)</f>
        <v>Satisfied</v>
      </c>
      <c r="V748" t="s">
        <v>52</v>
      </c>
      <c r="W748">
        <v>19973</v>
      </c>
      <c r="X748" t="str" cm="1">
        <f t="array" ref="X748">_xlfn.IFS(
HRData[[#This Row],[MonthlyIncome]]&lt;=4000,"Very Low Income",
HRData[[#This Row],[MonthlyIncome]]&lt;=8000,"Low Income",
HRData[[#This Row],[MonthlyIncome]]&lt;=12000,"Moderate Income",
HRData[[#This Row],[MonthlyIncome]]&lt;=16000,"High Income",
HRData[[#This Row],[MonthlyIncome]]&gt;16000,"Very High Income"
)</f>
        <v>Very High Income</v>
      </c>
      <c r="Y748">
        <v>20284</v>
      </c>
      <c r="Z748">
        <v>1</v>
      </c>
      <c r="AA748" t="s">
        <v>42</v>
      </c>
      <c r="AB748" t="s">
        <v>43</v>
      </c>
      <c r="AC748">
        <v>22</v>
      </c>
      <c r="AD748" t="str" cm="1">
        <f t="array" ref="AD748">_xlfn.IFS(HRData[[#This Row],[PercentSalaryHike]]&lt;=15,"11-15",HRData[[#This Row],[PercentSalaryHike]]&lt;=20,"16-20",HRData[[#This Row],[PercentSalaryHike]]&gt;=21,"21+")</f>
        <v>21+</v>
      </c>
      <c r="AE748">
        <v>4</v>
      </c>
      <c r="AF748">
        <v>2</v>
      </c>
      <c r="AG748">
        <v>80</v>
      </c>
      <c r="AH748">
        <v>2</v>
      </c>
      <c r="AI748">
        <v>21</v>
      </c>
      <c r="AJ748">
        <v>3</v>
      </c>
      <c r="AK748">
        <v>3</v>
      </c>
      <c r="AL748">
        <v>21</v>
      </c>
      <c r="AM748">
        <v>16</v>
      </c>
      <c r="AN748">
        <v>5</v>
      </c>
      <c r="AO748">
        <v>10</v>
      </c>
      <c r="AP74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48" t="str">
        <f>IF(HRData[[#This Row],[Attrition]]="Yes","Left", IF(HRData[[#This Row],[Attrition_Risk_Score]]&gt;=6,"High",IF(HRData[[#This Row],[Attrition_Risk_Score]]&gt;=3,"Medium","Low")))</f>
        <v>Low</v>
      </c>
      <c r="AR748" t="str">
        <f>IF(HRData[[#This Row],[Attrition_Risk_Level]]&lt;&gt;"High","",HRData[[#This Row],[Attrition_Risk_Score]]*10000-HRData[[#This Row],[EmployeeNumber]])</f>
        <v/>
      </c>
    </row>
    <row r="749" spans="1:44">
      <c r="A749">
        <v>38</v>
      </c>
      <c r="B749" t="str" cm="1">
        <f t="array" ref="B749">_xlfn.IFS(
HRData[[#This Row],[Age]]&lt;=24,"18-24",
HRData[[#This Row],[Age]]&lt;=34,"25-34",
HRData[[#This Row],[Age]]&lt;=44,"35-44",
HRData[[#This Row],[Age]]&lt;=54,"45-54",
HRData[[#This Row],[Age]]&gt;=55,"55+"
)</f>
        <v>35-44</v>
      </c>
      <c r="C749" t="s">
        <v>43</v>
      </c>
      <c r="D749">
        <f>IF(HRData[[#This Row],[Attrition]]="Yes",1,0)</f>
        <v>0</v>
      </c>
      <c r="E749" t="s">
        <v>36</v>
      </c>
      <c r="F749">
        <v>1035</v>
      </c>
      <c r="G749" t="s">
        <v>37</v>
      </c>
      <c r="H749">
        <v>3</v>
      </c>
      <c r="I749">
        <v>4</v>
      </c>
      <c r="J749" t="s">
        <v>38</v>
      </c>
      <c r="K749">
        <v>1</v>
      </c>
      <c r="L749">
        <v>1036</v>
      </c>
      <c r="M749">
        <v>2</v>
      </c>
      <c r="N749" t="str" cm="1">
        <f t="array" ref="N749">_xlfn.IFS(HRData[[#This Row],[EnvironmentSatisfaction]]=1,"Very Dissatisfied",
HRData[[#This Row],[EnvironmentSatisfaction]]=2,"Dissatisfied",
HRData[[#This Row],[EnvironmentSatisfaction]]=3,"Satisfied",
HRData[[#This Row],[EnvironmentSatisfaction]]=4,"Very Satisfied"
)</f>
        <v>Dissatisfied</v>
      </c>
      <c r="O749" t="s">
        <v>46</v>
      </c>
      <c r="P749">
        <v>42</v>
      </c>
      <c r="Q749">
        <v>3</v>
      </c>
      <c r="R749">
        <v>2</v>
      </c>
      <c r="S749" t="s">
        <v>40</v>
      </c>
      <c r="T749">
        <v>4</v>
      </c>
      <c r="U749" t="str" cm="1">
        <f t="array" ref="U749">_xlfn.IFS(
HRData[[#This Row],[JobSatisfaction]]=1,"Very Dissatisfied",
HRData[[#This Row],[JobSatisfaction]]=2,"Dissatisfied",
HRData[[#This Row],[JobSatisfaction]]=3,"Satisfied",
HRData[[#This Row],[JobSatisfaction]]=4,"Very Satisfied"
)</f>
        <v>Very Satisfied</v>
      </c>
      <c r="V749" t="s">
        <v>41</v>
      </c>
      <c r="W749">
        <v>6861</v>
      </c>
      <c r="X749" t="str" cm="1">
        <f t="array" ref="X749">_xlfn.IFS(
HRData[[#This Row],[MonthlyIncome]]&lt;=4000,"Very Low Income",
HRData[[#This Row],[MonthlyIncome]]&lt;=8000,"Low Income",
HRData[[#This Row],[MonthlyIncome]]&lt;=12000,"Moderate Income",
HRData[[#This Row],[MonthlyIncome]]&lt;=16000,"High Income",
HRData[[#This Row],[MonthlyIncome]]&gt;16000,"Very High Income"
)</f>
        <v>Low Income</v>
      </c>
      <c r="Y749">
        <v>4981</v>
      </c>
      <c r="Z749">
        <v>8</v>
      </c>
      <c r="AA749" t="s">
        <v>42</v>
      </c>
      <c r="AB749" t="s">
        <v>35</v>
      </c>
      <c r="AC749">
        <v>12</v>
      </c>
      <c r="AD749" t="str" cm="1">
        <f t="array" ref="AD749">_xlfn.IFS(HRData[[#This Row],[PercentSalaryHike]]&lt;=15,"11-15",HRData[[#This Row],[PercentSalaryHike]]&lt;=20,"16-20",HRData[[#This Row],[PercentSalaryHike]]&gt;=21,"21+")</f>
        <v>11-15</v>
      </c>
      <c r="AE749">
        <v>3</v>
      </c>
      <c r="AF749">
        <v>3</v>
      </c>
      <c r="AG749">
        <v>80</v>
      </c>
      <c r="AH749">
        <v>0</v>
      </c>
      <c r="AI749">
        <v>19</v>
      </c>
      <c r="AJ749">
        <v>1</v>
      </c>
      <c r="AK749">
        <v>3</v>
      </c>
      <c r="AL749">
        <v>1</v>
      </c>
      <c r="AM749">
        <v>0</v>
      </c>
      <c r="AN749">
        <v>0</v>
      </c>
      <c r="AO749">
        <v>0</v>
      </c>
      <c r="AP74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49" t="str">
        <f>IF(HRData[[#This Row],[Attrition]]="Yes","Left", IF(HRData[[#This Row],[Attrition_Risk_Score]]&gt;=6,"High",IF(HRData[[#This Row],[Attrition_Risk_Score]]&gt;=3,"Medium","Low")))</f>
        <v>Medium</v>
      </c>
      <c r="AR749" t="str">
        <f>IF(HRData[[#This Row],[Attrition_Risk_Level]]&lt;&gt;"High","",HRData[[#This Row],[Attrition_Risk_Score]]*10000-HRData[[#This Row],[EmployeeNumber]])</f>
        <v/>
      </c>
    </row>
    <row r="750" spans="1:44">
      <c r="A750">
        <v>26</v>
      </c>
      <c r="B750" t="str" cm="1">
        <f t="array" ref="B750">_xlfn.IFS(
HRData[[#This Row],[Age]]&lt;=24,"18-24",
HRData[[#This Row],[Age]]&lt;=34,"25-34",
HRData[[#This Row],[Age]]&lt;=44,"35-44",
HRData[[#This Row],[Age]]&lt;=54,"45-54",
HRData[[#This Row],[Age]]&gt;=55,"55+"
)</f>
        <v>25-34</v>
      </c>
      <c r="C750" t="s">
        <v>35</v>
      </c>
      <c r="D750">
        <f>IF(HRData[[#This Row],[Attrition]]="Yes",1,0)</f>
        <v>1</v>
      </c>
      <c r="E750" t="s">
        <v>55</v>
      </c>
      <c r="F750">
        <v>265</v>
      </c>
      <c r="G750" t="s">
        <v>37</v>
      </c>
      <c r="H750">
        <v>29</v>
      </c>
      <c r="I750">
        <v>2</v>
      </c>
      <c r="J750" t="s">
        <v>51</v>
      </c>
      <c r="K750">
        <v>1</v>
      </c>
      <c r="L750">
        <v>1037</v>
      </c>
      <c r="M750">
        <v>2</v>
      </c>
      <c r="N750" t="str" cm="1">
        <f t="array" ref="N750">_xlfn.IFS(HRData[[#This Row],[EnvironmentSatisfaction]]=1,"Very Dissatisfied",
HRData[[#This Row],[EnvironmentSatisfaction]]=2,"Dissatisfied",
HRData[[#This Row],[EnvironmentSatisfaction]]=3,"Satisfied",
HRData[[#This Row],[EnvironmentSatisfaction]]=4,"Very Satisfied"
)</f>
        <v>Dissatisfied</v>
      </c>
      <c r="O750" t="s">
        <v>46</v>
      </c>
      <c r="P750">
        <v>79</v>
      </c>
      <c r="Q750">
        <v>1</v>
      </c>
      <c r="R750">
        <v>2</v>
      </c>
      <c r="S750" t="s">
        <v>40</v>
      </c>
      <c r="T750">
        <v>1</v>
      </c>
      <c r="U750" t="str" cm="1">
        <f t="array" ref="U750">_xlfn.IFS(
HRData[[#This Row],[JobSatisfaction]]=1,"Very Dissatisfied",
HRData[[#This Row],[JobSatisfaction]]=2,"Dissatisfied",
HRData[[#This Row],[JobSatisfaction]]=3,"Satisfied",
HRData[[#This Row],[JobSatisfaction]]=4,"Very Satisfied"
)</f>
        <v>Very Dissatisfied</v>
      </c>
      <c r="V750" t="s">
        <v>41</v>
      </c>
      <c r="W750">
        <v>4969</v>
      </c>
      <c r="X750" t="str" cm="1">
        <f t="array" ref="X750">_xlfn.IFS(
HRData[[#This Row],[MonthlyIncome]]&lt;=4000,"Very Low Income",
HRData[[#This Row],[MonthlyIncome]]&lt;=8000,"Low Income",
HRData[[#This Row],[MonthlyIncome]]&lt;=12000,"Moderate Income",
HRData[[#This Row],[MonthlyIncome]]&lt;=16000,"High Income",
HRData[[#This Row],[MonthlyIncome]]&gt;16000,"Very High Income"
)</f>
        <v>Low Income</v>
      </c>
      <c r="Y750">
        <v>21813</v>
      </c>
      <c r="Z750">
        <v>8</v>
      </c>
      <c r="AA750" t="s">
        <v>42</v>
      </c>
      <c r="AB750" t="s">
        <v>43</v>
      </c>
      <c r="AC750">
        <v>18</v>
      </c>
      <c r="AD750" t="str" cm="1">
        <f t="array" ref="AD750">_xlfn.IFS(HRData[[#This Row],[PercentSalaryHike]]&lt;=15,"11-15",HRData[[#This Row],[PercentSalaryHike]]&lt;=20,"16-20",HRData[[#This Row],[PercentSalaryHike]]&gt;=21,"21+")</f>
        <v>16-20</v>
      </c>
      <c r="AE750">
        <v>3</v>
      </c>
      <c r="AF750">
        <v>4</v>
      </c>
      <c r="AG750">
        <v>80</v>
      </c>
      <c r="AH750">
        <v>0</v>
      </c>
      <c r="AI750">
        <v>7</v>
      </c>
      <c r="AJ750">
        <v>6</v>
      </c>
      <c r="AK750">
        <v>3</v>
      </c>
      <c r="AL750">
        <v>2</v>
      </c>
      <c r="AM750">
        <v>2</v>
      </c>
      <c r="AN750">
        <v>2</v>
      </c>
      <c r="AO750">
        <v>2</v>
      </c>
      <c r="AP75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50" t="str">
        <f>IF(HRData[[#This Row],[Attrition]]="Yes","Left", IF(HRData[[#This Row],[Attrition_Risk_Score]]&gt;=6,"High",IF(HRData[[#This Row],[Attrition_Risk_Score]]&gt;=3,"Medium","Low")))</f>
        <v>Left</v>
      </c>
      <c r="AR750" t="str">
        <f>IF(HRData[[#This Row],[Attrition_Risk_Level]]&lt;&gt;"High","",HRData[[#This Row],[Attrition_Risk_Score]]*10000-HRData[[#This Row],[EmployeeNumber]])</f>
        <v/>
      </c>
    </row>
    <row r="751" spans="1:44">
      <c r="A751">
        <v>52</v>
      </c>
      <c r="B751" t="str" cm="1">
        <f t="array" ref="B751">_xlfn.IFS(
HRData[[#This Row],[Age]]&lt;=24,"18-24",
HRData[[#This Row],[Age]]&lt;=34,"25-34",
HRData[[#This Row],[Age]]&lt;=44,"35-44",
HRData[[#This Row],[Age]]&lt;=54,"45-54",
HRData[[#This Row],[Age]]&gt;=55,"55+"
)</f>
        <v>45-54</v>
      </c>
      <c r="C751" t="s">
        <v>35</v>
      </c>
      <c r="D751">
        <f>IF(HRData[[#This Row],[Attrition]]="Yes",1,0)</f>
        <v>1</v>
      </c>
      <c r="E751" t="s">
        <v>36</v>
      </c>
      <c r="F751">
        <v>266</v>
      </c>
      <c r="G751" t="s">
        <v>37</v>
      </c>
      <c r="H751">
        <v>2</v>
      </c>
      <c r="I751">
        <v>1</v>
      </c>
      <c r="J751" t="s">
        <v>59</v>
      </c>
      <c r="K751">
        <v>1</v>
      </c>
      <c r="L751">
        <v>1038</v>
      </c>
      <c r="M751">
        <v>1</v>
      </c>
      <c r="N751" t="str" cm="1">
        <f t="array" ref="N751">_xlfn.IFS(HRData[[#This Row],[EnvironmentSatisfaction]]=1,"Very Dissatisfied",
HRData[[#This Row],[EnvironmentSatisfaction]]=2,"Dissatisfied",
HRData[[#This Row],[EnvironmentSatisfaction]]=3,"Satisfied",
HRData[[#This Row],[EnvironmentSatisfaction]]=4,"Very Satisfied"
)</f>
        <v>Very Dissatisfied</v>
      </c>
      <c r="O751" t="s">
        <v>39</v>
      </c>
      <c r="P751">
        <v>57</v>
      </c>
      <c r="Q751">
        <v>1</v>
      </c>
      <c r="R751">
        <v>5</v>
      </c>
      <c r="S751" t="s">
        <v>56</v>
      </c>
      <c r="T751">
        <v>4</v>
      </c>
      <c r="U751" t="str" cm="1">
        <f t="array" ref="U751">_xlfn.IFS(
HRData[[#This Row],[JobSatisfaction]]=1,"Very Dissatisfied",
HRData[[#This Row],[JobSatisfaction]]=2,"Dissatisfied",
HRData[[#This Row],[JobSatisfaction]]=3,"Satisfied",
HRData[[#This Row],[JobSatisfaction]]=4,"Very Satisfied"
)</f>
        <v>Very Satisfied</v>
      </c>
      <c r="V751" t="s">
        <v>48</v>
      </c>
      <c r="W751">
        <v>19845</v>
      </c>
      <c r="X751" t="str" cm="1">
        <f t="array" ref="X751">_xlfn.IFS(
HRData[[#This Row],[MonthlyIncome]]&lt;=4000,"Very Low Income",
HRData[[#This Row],[MonthlyIncome]]&lt;=8000,"Low Income",
HRData[[#This Row],[MonthlyIncome]]&lt;=12000,"Moderate Income",
HRData[[#This Row],[MonthlyIncome]]&lt;=16000,"High Income",
HRData[[#This Row],[MonthlyIncome]]&gt;16000,"Very High Income"
)</f>
        <v>Very High Income</v>
      </c>
      <c r="Y751">
        <v>25846</v>
      </c>
      <c r="Z751">
        <v>1</v>
      </c>
      <c r="AA751" t="s">
        <v>42</v>
      </c>
      <c r="AB751" t="s">
        <v>43</v>
      </c>
      <c r="AC751">
        <v>15</v>
      </c>
      <c r="AD751" t="str" cm="1">
        <f t="array" ref="AD751">_xlfn.IFS(HRData[[#This Row],[PercentSalaryHike]]&lt;=15,"11-15",HRData[[#This Row],[PercentSalaryHike]]&lt;=20,"16-20",HRData[[#This Row],[PercentSalaryHike]]&gt;=21,"21+")</f>
        <v>11-15</v>
      </c>
      <c r="AE751">
        <v>3</v>
      </c>
      <c r="AF751">
        <v>4</v>
      </c>
      <c r="AG751">
        <v>80</v>
      </c>
      <c r="AH751">
        <v>1</v>
      </c>
      <c r="AI751">
        <v>33</v>
      </c>
      <c r="AJ751">
        <v>3</v>
      </c>
      <c r="AK751">
        <v>3</v>
      </c>
      <c r="AL751">
        <v>32</v>
      </c>
      <c r="AM751">
        <v>14</v>
      </c>
      <c r="AN751">
        <v>6</v>
      </c>
      <c r="AO751">
        <v>9</v>
      </c>
      <c r="AP75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51" t="str">
        <f>IF(HRData[[#This Row],[Attrition]]="Yes","Left", IF(HRData[[#This Row],[Attrition_Risk_Score]]&gt;=6,"High",IF(HRData[[#This Row],[Attrition_Risk_Score]]&gt;=3,"Medium","Low")))</f>
        <v>Left</v>
      </c>
      <c r="AR751" t="str">
        <f>IF(HRData[[#This Row],[Attrition_Risk_Level]]&lt;&gt;"High","",HRData[[#This Row],[Attrition_Risk_Score]]*10000-HRData[[#This Row],[EmployeeNumber]])</f>
        <v/>
      </c>
    </row>
    <row r="752" spans="1:44">
      <c r="A752">
        <v>44</v>
      </c>
      <c r="B752" t="str" cm="1">
        <f t="array" ref="B752">_xlfn.IFS(
HRData[[#This Row],[Age]]&lt;=24,"18-24",
HRData[[#This Row],[Age]]&lt;=34,"25-34",
HRData[[#This Row],[Age]]&lt;=44,"35-44",
HRData[[#This Row],[Age]]&lt;=54,"45-54",
HRData[[#This Row],[Age]]&gt;=55,"55+"
)</f>
        <v>35-44</v>
      </c>
      <c r="C752" t="s">
        <v>43</v>
      </c>
      <c r="D752">
        <f>IF(HRData[[#This Row],[Attrition]]="Yes",1,0)</f>
        <v>0</v>
      </c>
      <c r="E752" t="s">
        <v>36</v>
      </c>
      <c r="F752">
        <v>1448</v>
      </c>
      <c r="G752" t="s">
        <v>37</v>
      </c>
      <c r="H752">
        <v>28</v>
      </c>
      <c r="I752">
        <v>3</v>
      </c>
      <c r="J752" t="s">
        <v>51</v>
      </c>
      <c r="K752">
        <v>1</v>
      </c>
      <c r="L752">
        <v>1039</v>
      </c>
      <c r="M752">
        <v>4</v>
      </c>
      <c r="N752" t="str" cm="1">
        <f t="array" ref="N752">_xlfn.IFS(HRData[[#This Row],[EnvironmentSatisfaction]]=1,"Very Dissatisfied",
HRData[[#This Row],[EnvironmentSatisfaction]]=2,"Dissatisfied",
HRData[[#This Row],[EnvironmentSatisfaction]]=3,"Satisfied",
HRData[[#This Row],[EnvironmentSatisfaction]]=4,"Very Satisfied"
)</f>
        <v>Very Satisfied</v>
      </c>
      <c r="O752" t="s">
        <v>39</v>
      </c>
      <c r="P752">
        <v>53</v>
      </c>
      <c r="Q752">
        <v>4</v>
      </c>
      <c r="R752">
        <v>4</v>
      </c>
      <c r="S752" t="s">
        <v>40</v>
      </c>
      <c r="T752">
        <v>4</v>
      </c>
      <c r="U752" t="str" cm="1">
        <f t="array" ref="U752">_xlfn.IFS(
HRData[[#This Row],[JobSatisfaction]]=1,"Very Dissatisfied",
HRData[[#This Row],[JobSatisfaction]]=2,"Dissatisfied",
HRData[[#This Row],[JobSatisfaction]]=3,"Satisfied",
HRData[[#This Row],[JobSatisfaction]]=4,"Very Satisfied"
)</f>
        <v>Very Satisfied</v>
      </c>
      <c r="V752" t="s">
        <v>48</v>
      </c>
      <c r="W752">
        <v>13320</v>
      </c>
      <c r="X752" t="str" cm="1">
        <f t="array" ref="X752">_xlfn.IFS(
HRData[[#This Row],[MonthlyIncome]]&lt;=4000,"Very Low Income",
HRData[[#This Row],[MonthlyIncome]]&lt;=8000,"Low Income",
HRData[[#This Row],[MonthlyIncome]]&lt;=12000,"Moderate Income",
HRData[[#This Row],[MonthlyIncome]]&lt;=16000,"High Income",
HRData[[#This Row],[MonthlyIncome]]&gt;16000,"Very High Income"
)</f>
        <v>High Income</v>
      </c>
      <c r="Y752">
        <v>11737</v>
      </c>
      <c r="Z752">
        <v>3</v>
      </c>
      <c r="AA752" t="s">
        <v>42</v>
      </c>
      <c r="AB752" t="s">
        <v>35</v>
      </c>
      <c r="AC752">
        <v>18</v>
      </c>
      <c r="AD752" t="str" cm="1">
        <f t="array" ref="AD752">_xlfn.IFS(HRData[[#This Row],[PercentSalaryHike]]&lt;=15,"11-15",HRData[[#This Row],[PercentSalaryHike]]&lt;=20,"16-20",HRData[[#This Row],[PercentSalaryHike]]&gt;=21,"21+")</f>
        <v>16-20</v>
      </c>
      <c r="AE752">
        <v>3</v>
      </c>
      <c r="AF752">
        <v>3</v>
      </c>
      <c r="AG752">
        <v>80</v>
      </c>
      <c r="AH752">
        <v>1</v>
      </c>
      <c r="AI752">
        <v>23</v>
      </c>
      <c r="AJ752">
        <v>2</v>
      </c>
      <c r="AK752">
        <v>3</v>
      </c>
      <c r="AL752">
        <v>12</v>
      </c>
      <c r="AM752">
        <v>11</v>
      </c>
      <c r="AN752">
        <v>11</v>
      </c>
      <c r="AO752">
        <v>11</v>
      </c>
      <c r="AP75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52" t="str">
        <f>IF(HRData[[#This Row],[Attrition]]="Yes","Left", IF(HRData[[#This Row],[Attrition_Risk_Score]]&gt;=6,"High",IF(HRData[[#This Row],[Attrition_Risk_Score]]&gt;=3,"Medium","Low")))</f>
        <v>Low</v>
      </c>
      <c r="AR752" t="str">
        <f>IF(HRData[[#This Row],[Attrition_Risk_Level]]&lt;&gt;"High","",HRData[[#This Row],[Attrition_Risk_Score]]*10000-HRData[[#This Row],[EmployeeNumber]])</f>
        <v/>
      </c>
    </row>
    <row r="753" spans="1:44">
      <c r="A753">
        <v>50</v>
      </c>
      <c r="B753" t="str" cm="1">
        <f t="array" ref="B753">_xlfn.IFS(
HRData[[#This Row],[Age]]&lt;=24,"18-24",
HRData[[#This Row],[Age]]&lt;=34,"25-34",
HRData[[#This Row],[Age]]&lt;=44,"35-44",
HRData[[#This Row],[Age]]&lt;=54,"45-54",
HRData[[#This Row],[Age]]&gt;=55,"55+"
)</f>
        <v>45-54</v>
      </c>
      <c r="C753" t="s">
        <v>43</v>
      </c>
      <c r="D753">
        <f>IF(HRData[[#This Row],[Attrition]]="Yes",1,0)</f>
        <v>0</v>
      </c>
      <c r="E753" t="s">
        <v>55</v>
      </c>
      <c r="F753">
        <v>145</v>
      </c>
      <c r="G753" t="s">
        <v>37</v>
      </c>
      <c r="H753">
        <v>1</v>
      </c>
      <c r="I753">
        <v>3</v>
      </c>
      <c r="J753" t="s">
        <v>38</v>
      </c>
      <c r="K753">
        <v>1</v>
      </c>
      <c r="L753">
        <v>1040</v>
      </c>
      <c r="M753">
        <v>4</v>
      </c>
      <c r="N753" t="str" cm="1">
        <f t="array" ref="N753">_xlfn.IFS(HRData[[#This Row],[EnvironmentSatisfaction]]=1,"Very Dissatisfied",
HRData[[#This Row],[EnvironmentSatisfaction]]=2,"Dissatisfied",
HRData[[#This Row],[EnvironmentSatisfaction]]=3,"Satisfied",
HRData[[#This Row],[EnvironmentSatisfaction]]=4,"Very Satisfied"
)</f>
        <v>Very Satisfied</v>
      </c>
      <c r="O753" t="s">
        <v>39</v>
      </c>
      <c r="P753">
        <v>95</v>
      </c>
      <c r="Q753">
        <v>3</v>
      </c>
      <c r="R753">
        <v>2</v>
      </c>
      <c r="S753" t="s">
        <v>40</v>
      </c>
      <c r="T753">
        <v>3</v>
      </c>
      <c r="U753" t="str" cm="1">
        <f t="array" ref="U753">_xlfn.IFS(
HRData[[#This Row],[JobSatisfaction]]=1,"Very Dissatisfied",
HRData[[#This Row],[JobSatisfaction]]=2,"Dissatisfied",
HRData[[#This Row],[JobSatisfaction]]=3,"Satisfied",
HRData[[#This Row],[JobSatisfaction]]=4,"Very Satisfied"
)</f>
        <v>Satisfied</v>
      </c>
      <c r="V753" t="s">
        <v>48</v>
      </c>
      <c r="W753">
        <v>6347</v>
      </c>
      <c r="X753" t="str" cm="1">
        <f t="array" ref="X753">_xlfn.IFS(
HRData[[#This Row],[MonthlyIncome]]&lt;=4000,"Very Low Income",
HRData[[#This Row],[MonthlyIncome]]&lt;=8000,"Low Income",
HRData[[#This Row],[MonthlyIncome]]&lt;=12000,"Moderate Income",
HRData[[#This Row],[MonthlyIncome]]&lt;=16000,"High Income",
HRData[[#This Row],[MonthlyIncome]]&gt;16000,"Very High Income"
)</f>
        <v>Low Income</v>
      </c>
      <c r="Y753">
        <v>24920</v>
      </c>
      <c r="Z753">
        <v>0</v>
      </c>
      <c r="AA753" t="s">
        <v>42</v>
      </c>
      <c r="AB753" t="s">
        <v>43</v>
      </c>
      <c r="AC753">
        <v>12</v>
      </c>
      <c r="AD753" t="str" cm="1">
        <f t="array" ref="AD753">_xlfn.IFS(HRData[[#This Row],[PercentSalaryHike]]&lt;=15,"11-15",HRData[[#This Row],[PercentSalaryHike]]&lt;=20,"16-20",HRData[[#This Row],[PercentSalaryHike]]&gt;=21,"21+")</f>
        <v>11-15</v>
      </c>
      <c r="AE753">
        <v>3</v>
      </c>
      <c r="AF753">
        <v>1</v>
      </c>
      <c r="AG753">
        <v>80</v>
      </c>
      <c r="AH753">
        <v>1</v>
      </c>
      <c r="AI753">
        <v>19</v>
      </c>
      <c r="AJ753">
        <v>3</v>
      </c>
      <c r="AK753">
        <v>3</v>
      </c>
      <c r="AL753">
        <v>18</v>
      </c>
      <c r="AM753">
        <v>7</v>
      </c>
      <c r="AN753">
        <v>0</v>
      </c>
      <c r="AO753">
        <v>13</v>
      </c>
      <c r="AP75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753" t="str">
        <f>IF(HRData[[#This Row],[Attrition]]="Yes","Left", IF(HRData[[#This Row],[Attrition_Risk_Score]]&gt;=6,"High",IF(HRData[[#This Row],[Attrition_Risk_Score]]&gt;=3,"Medium","Low")))</f>
        <v>Low</v>
      </c>
      <c r="AR753" t="str">
        <f>IF(HRData[[#This Row],[Attrition_Risk_Level]]&lt;&gt;"High","",HRData[[#This Row],[Attrition_Risk_Score]]*10000-HRData[[#This Row],[EmployeeNumber]])</f>
        <v/>
      </c>
    </row>
    <row r="754" spans="1:44">
      <c r="A754">
        <v>36</v>
      </c>
      <c r="B754" t="str" cm="1">
        <f t="array" ref="B754">_xlfn.IFS(
HRData[[#This Row],[Age]]&lt;=24,"18-24",
HRData[[#This Row],[Age]]&lt;=34,"25-34",
HRData[[#This Row],[Age]]&lt;=44,"35-44",
HRData[[#This Row],[Age]]&lt;=54,"45-54",
HRData[[#This Row],[Age]]&gt;=55,"55+"
)</f>
        <v>35-44</v>
      </c>
      <c r="C754" t="s">
        <v>35</v>
      </c>
      <c r="D754">
        <f>IF(HRData[[#This Row],[Attrition]]="Yes",1,0)</f>
        <v>1</v>
      </c>
      <c r="E754" t="s">
        <v>36</v>
      </c>
      <c r="F754">
        <v>885</v>
      </c>
      <c r="G754" t="s">
        <v>45</v>
      </c>
      <c r="H754">
        <v>16</v>
      </c>
      <c r="I754">
        <v>4</v>
      </c>
      <c r="J754" t="s">
        <v>38</v>
      </c>
      <c r="K754">
        <v>1</v>
      </c>
      <c r="L754">
        <v>1042</v>
      </c>
      <c r="M754">
        <v>3</v>
      </c>
      <c r="N754" t="str" cm="1">
        <f t="array" ref="N754">_xlfn.IFS(HRData[[#This Row],[EnvironmentSatisfaction]]=1,"Very Dissatisfied",
HRData[[#This Row],[EnvironmentSatisfaction]]=2,"Dissatisfied",
HRData[[#This Row],[EnvironmentSatisfaction]]=3,"Satisfied",
HRData[[#This Row],[EnvironmentSatisfaction]]=4,"Very Satisfied"
)</f>
        <v>Satisfied</v>
      </c>
      <c r="O754" t="s">
        <v>39</v>
      </c>
      <c r="P754">
        <v>43</v>
      </c>
      <c r="Q754">
        <v>4</v>
      </c>
      <c r="R754">
        <v>1</v>
      </c>
      <c r="S754" t="s">
        <v>50</v>
      </c>
      <c r="T754">
        <v>1</v>
      </c>
      <c r="U754" t="str" cm="1">
        <f t="array" ref="U754">_xlfn.IFS(
HRData[[#This Row],[JobSatisfaction]]=1,"Very Dissatisfied",
HRData[[#This Row],[JobSatisfaction]]=2,"Dissatisfied",
HRData[[#This Row],[JobSatisfaction]]=3,"Satisfied",
HRData[[#This Row],[JobSatisfaction]]=4,"Very Satisfied"
)</f>
        <v>Very Dissatisfied</v>
      </c>
      <c r="V754" t="s">
        <v>41</v>
      </c>
      <c r="W754">
        <v>2743</v>
      </c>
      <c r="X754" t="str" cm="1">
        <f t="array" ref="X754">_xlfn.IFS(
HRData[[#This Row],[MonthlyIncome]]&lt;=4000,"Very Low Income",
HRData[[#This Row],[MonthlyIncome]]&lt;=8000,"Low Income",
HRData[[#This Row],[MonthlyIncome]]&lt;=12000,"Moderate Income",
HRData[[#This Row],[MonthlyIncome]]&lt;=16000,"High Income",
HRData[[#This Row],[MonthlyIncome]]&gt;16000,"Very High Income"
)</f>
        <v>Very Low Income</v>
      </c>
      <c r="Y754">
        <v>8269</v>
      </c>
      <c r="Z754">
        <v>1</v>
      </c>
      <c r="AA754" t="s">
        <v>42</v>
      </c>
      <c r="AB754" t="s">
        <v>43</v>
      </c>
      <c r="AC754">
        <v>16</v>
      </c>
      <c r="AD754" t="str" cm="1">
        <f t="array" ref="AD754">_xlfn.IFS(HRData[[#This Row],[PercentSalaryHike]]&lt;=15,"11-15",HRData[[#This Row],[PercentSalaryHike]]&lt;=20,"16-20",HRData[[#This Row],[PercentSalaryHike]]&gt;=21,"21+")</f>
        <v>16-20</v>
      </c>
      <c r="AE754">
        <v>3</v>
      </c>
      <c r="AF754">
        <v>3</v>
      </c>
      <c r="AG754">
        <v>80</v>
      </c>
      <c r="AH754">
        <v>0</v>
      </c>
      <c r="AI754">
        <v>18</v>
      </c>
      <c r="AJ754">
        <v>1</v>
      </c>
      <c r="AK754">
        <v>3</v>
      </c>
      <c r="AL754">
        <v>17</v>
      </c>
      <c r="AM754">
        <v>13</v>
      </c>
      <c r="AN754">
        <v>15</v>
      </c>
      <c r="AO754">
        <v>14</v>
      </c>
      <c r="AP75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54" t="str">
        <f>IF(HRData[[#This Row],[Attrition]]="Yes","Left", IF(HRData[[#This Row],[Attrition_Risk_Score]]&gt;=6,"High",IF(HRData[[#This Row],[Attrition_Risk_Score]]&gt;=3,"Medium","Low")))</f>
        <v>Left</v>
      </c>
      <c r="AR754" t="str">
        <f>IF(HRData[[#This Row],[Attrition_Risk_Level]]&lt;&gt;"High","",HRData[[#This Row],[Attrition_Risk_Score]]*10000-HRData[[#This Row],[EmployeeNumber]])</f>
        <v/>
      </c>
    </row>
    <row r="755" spans="1:44">
      <c r="A755">
        <v>39</v>
      </c>
      <c r="B755" t="str" cm="1">
        <f t="array" ref="B755">_xlfn.IFS(
HRData[[#This Row],[Age]]&lt;=24,"18-24",
HRData[[#This Row],[Age]]&lt;=34,"25-34",
HRData[[#This Row],[Age]]&lt;=44,"35-44",
HRData[[#This Row],[Age]]&lt;=54,"45-54",
HRData[[#This Row],[Age]]&gt;=55,"55+"
)</f>
        <v>35-44</v>
      </c>
      <c r="C755" t="s">
        <v>43</v>
      </c>
      <c r="D755">
        <f>IF(HRData[[#This Row],[Attrition]]="Yes",1,0)</f>
        <v>0</v>
      </c>
      <c r="E755" t="s">
        <v>44</v>
      </c>
      <c r="F755">
        <v>945</v>
      </c>
      <c r="G755" t="s">
        <v>45</v>
      </c>
      <c r="H755">
        <v>22</v>
      </c>
      <c r="I755">
        <v>3</v>
      </c>
      <c r="J755" t="s">
        <v>51</v>
      </c>
      <c r="K755">
        <v>1</v>
      </c>
      <c r="L755">
        <v>1043</v>
      </c>
      <c r="M755">
        <v>4</v>
      </c>
      <c r="N755" t="str" cm="1">
        <f t="array" ref="N755">_xlfn.IFS(HRData[[#This Row],[EnvironmentSatisfaction]]=1,"Very Dissatisfied",
HRData[[#This Row],[EnvironmentSatisfaction]]=2,"Dissatisfied",
HRData[[#This Row],[EnvironmentSatisfaction]]=3,"Satisfied",
HRData[[#This Row],[EnvironmentSatisfaction]]=4,"Very Satisfied"
)</f>
        <v>Very Satisfied</v>
      </c>
      <c r="O755" t="s">
        <v>39</v>
      </c>
      <c r="P755">
        <v>82</v>
      </c>
      <c r="Q755">
        <v>3</v>
      </c>
      <c r="R755">
        <v>3</v>
      </c>
      <c r="S755" t="s">
        <v>53</v>
      </c>
      <c r="T755">
        <v>1</v>
      </c>
      <c r="U755" t="str" cm="1">
        <f t="array" ref="U755">_xlfn.IFS(
HRData[[#This Row],[JobSatisfaction]]=1,"Very Dissatisfied",
HRData[[#This Row],[JobSatisfaction]]=2,"Dissatisfied",
HRData[[#This Row],[JobSatisfaction]]=3,"Satisfied",
HRData[[#This Row],[JobSatisfaction]]=4,"Very Satisfied"
)</f>
        <v>Very Dissatisfied</v>
      </c>
      <c r="V755" t="s">
        <v>41</v>
      </c>
      <c r="W755">
        <v>10880</v>
      </c>
      <c r="X755" t="str" cm="1">
        <f t="array" ref="X755">_xlfn.IFS(
HRData[[#This Row],[MonthlyIncome]]&lt;=4000,"Very Low Income",
HRData[[#This Row],[MonthlyIncome]]&lt;=8000,"Low Income",
HRData[[#This Row],[MonthlyIncome]]&lt;=12000,"Moderate Income",
HRData[[#This Row],[MonthlyIncome]]&lt;=16000,"High Income",
HRData[[#This Row],[MonthlyIncome]]&gt;16000,"Very High Income"
)</f>
        <v>Moderate Income</v>
      </c>
      <c r="Y755">
        <v>5083</v>
      </c>
      <c r="Z755">
        <v>1</v>
      </c>
      <c r="AA755" t="s">
        <v>42</v>
      </c>
      <c r="AB755" t="s">
        <v>35</v>
      </c>
      <c r="AC755">
        <v>13</v>
      </c>
      <c r="AD755" t="str" cm="1">
        <f t="array" ref="AD755">_xlfn.IFS(HRData[[#This Row],[PercentSalaryHike]]&lt;=15,"11-15",HRData[[#This Row],[PercentSalaryHike]]&lt;=20,"16-20",HRData[[#This Row],[PercentSalaryHike]]&gt;=21,"21+")</f>
        <v>11-15</v>
      </c>
      <c r="AE755">
        <v>3</v>
      </c>
      <c r="AF755">
        <v>3</v>
      </c>
      <c r="AG755">
        <v>80</v>
      </c>
      <c r="AH755">
        <v>0</v>
      </c>
      <c r="AI755">
        <v>21</v>
      </c>
      <c r="AJ755">
        <v>2</v>
      </c>
      <c r="AK755">
        <v>3</v>
      </c>
      <c r="AL755">
        <v>21</v>
      </c>
      <c r="AM755">
        <v>6</v>
      </c>
      <c r="AN755">
        <v>2</v>
      </c>
      <c r="AO755">
        <v>8</v>
      </c>
      <c r="AP75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755" t="str">
        <f>IF(HRData[[#This Row],[Attrition]]="Yes","Left", IF(HRData[[#This Row],[Attrition_Risk_Score]]&gt;=6,"High",IF(HRData[[#This Row],[Attrition_Risk_Score]]&gt;=3,"Medium","Low")))</f>
        <v>Medium</v>
      </c>
      <c r="AR755" t="str">
        <f>IF(HRData[[#This Row],[Attrition_Risk_Level]]&lt;&gt;"High","",HRData[[#This Row],[Attrition_Risk_Score]]*10000-HRData[[#This Row],[EmployeeNumber]])</f>
        <v/>
      </c>
    </row>
    <row r="756" spans="1:44">
      <c r="A756">
        <v>33</v>
      </c>
      <c r="B756" t="str" cm="1">
        <f t="array" ref="B756">_xlfn.IFS(
HRData[[#This Row],[Age]]&lt;=24,"18-24",
HRData[[#This Row],[Age]]&lt;=34,"25-34",
HRData[[#This Row],[Age]]&lt;=44,"35-44",
HRData[[#This Row],[Age]]&lt;=54,"45-54",
HRData[[#This Row],[Age]]&gt;=55,"55+"
)</f>
        <v>25-34</v>
      </c>
      <c r="C756" t="s">
        <v>43</v>
      </c>
      <c r="D756">
        <f>IF(HRData[[#This Row],[Attrition]]="Yes",1,0)</f>
        <v>0</v>
      </c>
      <c r="E756" t="s">
        <v>55</v>
      </c>
      <c r="F756">
        <v>1038</v>
      </c>
      <c r="G756" t="s">
        <v>37</v>
      </c>
      <c r="H756">
        <v>8</v>
      </c>
      <c r="I756">
        <v>1</v>
      </c>
      <c r="J756" t="s">
        <v>38</v>
      </c>
      <c r="K756">
        <v>1</v>
      </c>
      <c r="L756">
        <v>1044</v>
      </c>
      <c r="M756">
        <v>2</v>
      </c>
      <c r="N756" t="str" cm="1">
        <f t="array" ref="N756">_xlfn.IFS(HRData[[#This Row],[EnvironmentSatisfaction]]=1,"Very Dissatisfied",
HRData[[#This Row],[EnvironmentSatisfaction]]=2,"Dissatisfied",
HRData[[#This Row],[EnvironmentSatisfaction]]=3,"Satisfied",
HRData[[#This Row],[EnvironmentSatisfaction]]=4,"Very Satisfied"
)</f>
        <v>Dissatisfied</v>
      </c>
      <c r="O756" t="s">
        <v>39</v>
      </c>
      <c r="P756">
        <v>88</v>
      </c>
      <c r="Q756">
        <v>2</v>
      </c>
      <c r="R756">
        <v>1</v>
      </c>
      <c r="S756" t="s">
        <v>57</v>
      </c>
      <c r="T756">
        <v>4</v>
      </c>
      <c r="U756" t="str" cm="1">
        <f t="array" ref="U756">_xlfn.IFS(
HRData[[#This Row],[JobSatisfaction]]=1,"Very Dissatisfied",
HRData[[#This Row],[JobSatisfaction]]=2,"Dissatisfied",
HRData[[#This Row],[JobSatisfaction]]=3,"Satisfied",
HRData[[#This Row],[JobSatisfaction]]=4,"Very Satisfied"
)</f>
        <v>Very Satisfied</v>
      </c>
      <c r="V756" t="s">
        <v>41</v>
      </c>
      <c r="W756">
        <v>2342</v>
      </c>
      <c r="X756" t="str" cm="1">
        <f t="array" ref="X756">_xlfn.IFS(
HRData[[#This Row],[MonthlyIncome]]&lt;=4000,"Very Low Income",
HRData[[#This Row],[MonthlyIncome]]&lt;=8000,"Low Income",
HRData[[#This Row],[MonthlyIncome]]&lt;=12000,"Moderate Income",
HRData[[#This Row],[MonthlyIncome]]&lt;=16000,"High Income",
HRData[[#This Row],[MonthlyIncome]]&gt;16000,"Very High Income"
)</f>
        <v>Very Low Income</v>
      </c>
      <c r="Y756">
        <v>21437</v>
      </c>
      <c r="Z756">
        <v>0</v>
      </c>
      <c r="AA756" t="s">
        <v>42</v>
      </c>
      <c r="AB756" t="s">
        <v>43</v>
      </c>
      <c r="AC756">
        <v>19</v>
      </c>
      <c r="AD756" t="str" cm="1">
        <f t="array" ref="AD756">_xlfn.IFS(HRData[[#This Row],[PercentSalaryHike]]&lt;=15,"11-15",HRData[[#This Row],[PercentSalaryHike]]&lt;=20,"16-20",HRData[[#This Row],[PercentSalaryHike]]&gt;=21,"21+")</f>
        <v>16-20</v>
      </c>
      <c r="AE756">
        <v>3</v>
      </c>
      <c r="AF756">
        <v>4</v>
      </c>
      <c r="AG756">
        <v>80</v>
      </c>
      <c r="AH756">
        <v>0</v>
      </c>
      <c r="AI756">
        <v>3</v>
      </c>
      <c r="AJ756">
        <v>2</v>
      </c>
      <c r="AK756">
        <v>2</v>
      </c>
      <c r="AL756">
        <v>2</v>
      </c>
      <c r="AM756">
        <v>2</v>
      </c>
      <c r="AN756">
        <v>2</v>
      </c>
      <c r="AO756">
        <v>2</v>
      </c>
      <c r="AP75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756" t="str">
        <f>IF(HRData[[#This Row],[Attrition]]="Yes","Left", IF(HRData[[#This Row],[Attrition_Risk_Score]]&gt;=6,"High",IF(HRData[[#This Row],[Attrition_Risk_Score]]&gt;=3,"Medium","Low")))</f>
        <v>Medium</v>
      </c>
      <c r="AR756" t="str">
        <f>IF(HRData[[#This Row],[Attrition_Risk_Level]]&lt;&gt;"High","",HRData[[#This Row],[Attrition_Risk_Score]]*10000-HRData[[#This Row],[EmployeeNumber]])</f>
        <v/>
      </c>
    </row>
    <row r="757" spans="1:44">
      <c r="A757">
        <v>45</v>
      </c>
      <c r="B757" t="str" cm="1">
        <f t="array" ref="B757">_xlfn.IFS(
HRData[[#This Row],[Age]]&lt;=24,"18-24",
HRData[[#This Row],[Age]]&lt;=34,"25-34",
HRData[[#This Row],[Age]]&lt;=44,"35-44",
HRData[[#This Row],[Age]]&lt;=54,"45-54",
HRData[[#This Row],[Age]]&gt;=55,"55+"
)</f>
        <v>45-54</v>
      </c>
      <c r="C757" t="s">
        <v>43</v>
      </c>
      <c r="D757">
        <f>IF(HRData[[#This Row],[Attrition]]="Yes",1,0)</f>
        <v>0</v>
      </c>
      <c r="E757" t="s">
        <v>36</v>
      </c>
      <c r="F757">
        <v>1234</v>
      </c>
      <c r="G757" t="s">
        <v>37</v>
      </c>
      <c r="H757">
        <v>11</v>
      </c>
      <c r="I757">
        <v>2</v>
      </c>
      <c r="J757" t="s">
        <v>38</v>
      </c>
      <c r="K757">
        <v>1</v>
      </c>
      <c r="L757">
        <v>1045</v>
      </c>
      <c r="M757">
        <v>4</v>
      </c>
      <c r="N757" t="str" cm="1">
        <f t="array" ref="N757">_xlfn.IFS(HRData[[#This Row],[EnvironmentSatisfaction]]=1,"Very Dissatisfied",
HRData[[#This Row],[EnvironmentSatisfaction]]=2,"Dissatisfied",
HRData[[#This Row],[EnvironmentSatisfaction]]=3,"Satisfied",
HRData[[#This Row],[EnvironmentSatisfaction]]=4,"Very Satisfied"
)</f>
        <v>Very Satisfied</v>
      </c>
      <c r="O757" t="s">
        <v>39</v>
      </c>
      <c r="P757">
        <v>90</v>
      </c>
      <c r="Q757">
        <v>3</v>
      </c>
      <c r="R757">
        <v>4</v>
      </c>
      <c r="S757" t="s">
        <v>56</v>
      </c>
      <c r="T757">
        <v>4</v>
      </c>
      <c r="U757" t="str" cm="1">
        <f t="array" ref="U757">_xlfn.IFS(
HRData[[#This Row],[JobSatisfaction]]=1,"Very Dissatisfied",
HRData[[#This Row],[JobSatisfaction]]=2,"Dissatisfied",
HRData[[#This Row],[JobSatisfaction]]=3,"Satisfied",
HRData[[#This Row],[JobSatisfaction]]=4,"Very Satisfied"
)</f>
        <v>Very Satisfied</v>
      </c>
      <c r="V757" t="s">
        <v>48</v>
      </c>
      <c r="W757">
        <v>17650</v>
      </c>
      <c r="X757" t="str" cm="1">
        <f t="array" ref="X757">_xlfn.IFS(
HRData[[#This Row],[MonthlyIncome]]&lt;=4000,"Very Low Income",
HRData[[#This Row],[MonthlyIncome]]&lt;=8000,"Low Income",
HRData[[#This Row],[MonthlyIncome]]&lt;=12000,"Moderate Income",
HRData[[#This Row],[MonthlyIncome]]&lt;=16000,"High Income",
HRData[[#This Row],[MonthlyIncome]]&gt;16000,"Very High Income"
)</f>
        <v>Very High Income</v>
      </c>
      <c r="Y757">
        <v>5404</v>
      </c>
      <c r="Z757">
        <v>3</v>
      </c>
      <c r="AA757" t="s">
        <v>42</v>
      </c>
      <c r="AB757" t="s">
        <v>43</v>
      </c>
      <c r="AC757">
        <v>13</v>
      </c>
      <c r="AD757" t="str" cm="1">
        <f t="array" ref="AD757">_xlfn.IFS(HRData[[#This Row],[PercentSalaryHike]]&lt;=15,"11-15",HRData[[#This Row],[PercentSalaryHike]]&lt;=20,"16-20",HRData[[#This Row],[PercentSalaryHike]]&gt;=21,"21+")</f>
        <v>11-15</v>
      </c>
      <c r="AE757">
        <v>3</v>
      </c>
      <c r="AF757">
        <v>2</v>
      </c>
      <c r="AG757">
        <v>80</v>
      </c>
      <c r="AH757">
        <v>1</v>
      </c>
      <c r="AI757">
        <v>26</v>
      </c>
      <c r="AJ757">
        <v>4</v>
      </c>
      <c r="AK757">
        <v>4</v>
      </c>
      <c r="AL757">
        <v>9</v>
      </c>
      <c r="AM757">
        <v>3</v>
      </c>
      <c r="AN757">
        <v>1</v>
      </c>
      <c r="AO757">
        <v>1</v>
      </c>
      <c r="AP75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57" t="str">
        <f>IF(HRData[[#This Row],[Attrition]]="Yes","Left", IF(HRData[[#This Row],[Attrition_Risk_Score]]&gt;=6,"High",IF(HRData[[#This Row],[Attrition_Risk_Score]]&gt;=3,"Medium","Low")))</f>
        <v>Low</v>
      </c>
      <c r="AR757" t="str">
        <f>IF(HRData[[#This Row],[Attrition_Risk_Level]]&lt;&gt;"High","",HRData[[#This Row],[Attrition_Risk_Score]]*10000-HRData[[#This Row],[EmployeeNumber]])</f>
        <v/>
      </c>
    </row>
    <row r="758" spans="1:44">
      <c r="A758">
        <v>32</v>
      </c>
      <c r="B758" t="str" cm="1">
        <f t="array" ref="B758">_xlfn.IFS(
HRData[[#This Row],[Age]]&lt;=24,"18-24",
HRData[[#This Row],[Age]]&lt;=34,"25-34",
HRData[[#This Row],[Age]]&lt;=44,"35-44",
HRData[[#This Row],[Age]]&lt;=54,"45-54",
HRData[[#This Row],[Age]]&gt;=55,"55+"
)</f>
        <v>25-34</v>
      </c>
      <c r="C758" t="s">
        <v>43</v>
      </c>
      <c r="D758">
        <f>IF(HRData[[#This Row],[Attrition]]="Yes",1,0)</f>
        <v>0</v>
      </c>
      <c r="E758" t="s">
        <v>55</v>
      </c>
      <c r="F758">
        <v>1109</v>
      </c>
      <c r="G758" t="s">
        <v>45</v>
      </c>
      <c r="H758">
        <v>29</v>
      </c>
      <c r="I758">
        <v>4</v>
      </c>
      <c r="J758" t="s">
        <v>51</v>
      </c>
      <c r="K758">
        <v>1</v>
      </c>
      <c r="L758">
        <v>1046</v>
      </c>
      <c r="M758">
        <v>4</v>
      </c>
      <c r="N758" t="str" cm="1">
        <f t="array" ref="N758">_xlfn.IFS(HRData[[#This Row],[EnvironmentSatisfaction]]=1,"Very Dissatisfied",
HRData[[#This Row],[EnvironmentSatisfaction]]=2,"Dissatisfied",
HRData[[#This Row],[EnvironmentSatisfaction]]=3,"Satisfied",
HRData[[#This Row],[EnvironmentSatisfaction]]=4,"Very Satisfied"
)</f>
        <v>Very Satisfied</v>
      </c>
      <c r="O758" t="s">
        <v>39</v>
      </c>
      <c r="P758">
        <v>69</v>
      </c>
      <c r="Q758">
        <v>3</v>
      </c>
      <c r="R758">
        <v>1</v>
      </c>
      <c r="S758" t="s">
        <v>50</v>
      </c>
      <c r="T758">
        <v>3</v>
      </c>
      <c r="U758" t="str" cm="1">
        <f t="array" ref="U758">_xlfn.IFS(
HRData[[#This Row],[JobSatisfaction]]=1,"Very Dissatisfied",
HRData[[#This Row],[JobSatisfaction]]=2,"Dissatisfied",
HRData[[#This Row],[JobSatisfaction]]=3,"Satisfied",
HRData[[#This Row],[JobSatisfaction]]=4,"Very Satisfied"
)</f>
        <v>Satisfied</v>
      </c>
      <c r="V758" t="s">
        <v>41</v>
      </c>
      <c r="W758">
        <v>4025</v>
      </c>
      <c r="X758" t="str" cm="1">
        <f t="array" ref="X758">_xlfn.IFS(
HRData[[#This Row],[MonthlyIncome]]&lt;=4000,"Very Low Income",
HRData[[#This Row],[MonthlyIncome]]&lt;=8000,"Low Income",
HRData[[#This Row],[MonthlyIncome]]&lt;=12000,"Moderate Income",
HRData[[#This Row],[MonthlyIncome]]&lt;=16000,"High Income",
HRData[[#This Row],[MonthlyIncome]]&gt;16000,"Very High Income"
)</f>
        <v>Low Income</v>
      </c>
      <c r="Y758">
        <v>11135</v>
      </c>
      <c r="Z758">
        <v>9</v>
      </c>
      <c r="AA758" t="s">
        <v>42</v>
      </c>
      <c r="AB758" t="s">
        <v>43</v>
      </c>
      <c r="AC758">
        <v>12</v>
      </c>
      <c r="AD758" t="str" cm="1">
        <f t="array" ref="AD758">_xlfn.IFS(HRData[[#This Row],[PercentSalaryHike]]&lt;=15,"11-15",HRData[[#This Row],[PercentSalaryHike]]&lt;=20,"16-20",HRData[[#This Row],[PercentSalaryHike]]&gt;=21,"21+")</f>
        <v>11-15</v>
      </c>
      <c r="AE758">
        <v>3</v>
      </c>
      <c r="AF758">
        <v>2</v>
      </c>
      <c r="AG758">
        <v>80</v>
      </c>
      <c r="AH758">
        <v>0</v>
      </c>
      <c r="AI758">
        <v>10</v>
      </c>
      <c r="AJ758">
        <v>2</v>
      </c>
      <c r="AK758">
        <v>3</v>
      </c>
      <c r="AL758">
        <v>8</v>
      </c>
      <c r="AM758">
        <v>7</v>
      </c>
      <c r="AN758">
        <v>7</v>
      </c>
      <c r="AO758">
        <v>7</v>
      </c>
      <c r="AP75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58" t="str">
        <f>IF(HRData[[#This Row],[Attrition]]="Yes","Left", IF(HRData[[#This Row],[Attrition_Risk_Score]]&gt;=6,"High",IF(HRData[[#This Row],[Attrition_Risk_Score]]&gt;=3,"Medium","Low")))</f>
        <v>Medium</v>
      </c>
      <c r="AR758" t="str">
        <f>IF(HRData[[#This Row],[Attrition_Risk_Level]]&lt;&gt;"High","",HRData[[#This Row],[Attrition_Risk_Score]]*10000-HRData[[#This Row],[EmployeeNumber]])</f>
        <v/>
      </c>
    </row>
    <row r="759" spans="1:44">
      <c r="A759">
        <v>34</v>
      </c>
      <c r="B759" t="str" cm="1">
        <f t="array" ref="B759">_xlfn.IFS(
HRData[[#This Row],[Age]]&lt;=24,"18-24",
HRData[[#This Row],[Age]]&lt;=34,"25-34",
HRData[[#This Row],[Age]]&lt;=44,"35-44",
HRData[[#This Row],[Age]]&lt;=54,"45-54",
HRData[[#This Row],[Age]]&gt;=55,"55+"
)</f>
        <v>25-34</v>
      </c>
      <c r="C759" t="s">
        <v>43</v>
      </c>
      <c r="D759">
        <f>IF(HRData[[#This Row],[Attrition]]="Yes",1,0)</f>
        <v>0</v>
      </c>
      <c r="E759" t="s">
        <v>36</v>
      </c>
      <c r="F759">
        <v>216</v>
      </c>
      <c r="G759" t="s">
        <v>37</v>
      </c>
      <c r="H759">
        <v>1</v>
      </c>
      <c r="I759">
        <v>4</v>
      </c>
      <c r="J759" t="s">
        <v>59</v>
      </c>
      <c r="K759">
        <v>1</v>
      </c>
      <c r="L759">
        <v>1047</v>
      </c>
      <c r="M759">
        <v>2</v>
      </c>
      <c r="N759" t="str" cm="1">
        <f t="array" ref="N759">_xlfn.IFS(HRData[[#This Row],[EnvironmentSatisfaction]]=1,"Very Dissatisfied",
HRData[[#This Row],[EnvironmentSatisfaction]]=2,"Dissatisfied",
HRData[[#This Row],[EnvironmentSatisfaction]]=3,"Satisfied",
HRData[[#This Row],[EnvironmentSatisfaction]]=4,"Very Satisfied"
)</f>
        <v>Dissatisfied</v>
      </c>
      <c r="O759" t="s">
        <v>46</v>
      </c>
      <c r="P759">
        <v>75</v>
      </c>
      <c r="Q759">
        <v>4</v>
      </c>
      <c r="R759">
        <v>2</v>
      </c>
      <c r="S759" t="s">
        <v>40</v>
      </c>
      <c r="T759">
        <v>4</v>
      </c>
      <c r="U759" t="str" cm="1">
        <f t="array" ref="U759">_xlfn.IFS(
HRData[[#This Row],[JobSatisfaction]]=1,"Very Dissatisfied",
HRData[[#This Row],[JobSatisfaction]]=2,"Dissatisfied",
HRData[[#This Row],[JobSatisfaction]]=3,"Satisfied",
HRData[[#This Row],[JobSatisfaction]]=4,"Very Satisfied"
)</f>
        <v>Very Satisfied</v>
      </c>
      <c r="V759" t="s">
        <v>52</v>
      </c>
      <c r="W759">
        <v>9725</v>
      </c>
      <c r="X759" t="str" cm="1">
        <f t="array" ref="X759">_xlfn.IFS(
HRData[[#This Row],[MonthlyIncome]]&lt;=4000,"Very Low Income",
HRData[[#This Row],[MonthlyIncome]]&lt;=8000,"Low Income",
HRData[[#This Row],[MonthlyIncome]]&lt;=12000,"Moderate Income",
HRData[[#This Row],[MonthlyIncome]]&lt;=16000,"High Income",
HRData[[#This Row],[MonthlyIncome]]&gt;16000,"Very High Income"
)</f>
        <v>Moderate Income</v>
      </c>
      <c r="Y759">
        <v>12278</v>
      </c>
      <c r="Z759">
        <v>0</v>
      </c>
      <c r="AA759" t="s">
        <v>42</v>
      </c>
      <c r="AB759" t="s">
        <v>43</v>
      </c>
      <c r="AC759">
        <v>11</v>
      </c>
      <c r="AD759" t="str" cm="1">
        <f t="array" ref="AD759">_xlfn.IFS(HRData[[#This Row],[PercentSalaryHike]]&lt;=15,"11-15",HRData[[#This Row],[PercentSalaryHike]]&lt;=20,"16-20",HRData[[#This Row],[PercentSalaryHike]]&gt;=21,"21+")</f>
        <v>11-15</v>
      </c>
      <c r="AE759">
        <v>3</v>
      </c>
      <c r="AF759">
        <v>4</v>
      </c>
      <c r="AG759">
        <v>80</v>
      </c>
      <c r="AH759">
        <v>1</v>
      </c>
      <c r="AI759">
        <v>16</v>
      </c>
      <c r="AJ759">
        <v>2</v>
      </c>
      <c r="AK759">
        <v>2</v>
      </c>
      <c r="AL759">
        <v>15</v>
      </c>
      <c r="AM759">
        <v>1</v>
      </c>
      <c r="AN759">
        <v>0</v>
      </c>
      <c r="AO759">
        <v>9</v>
      </c>
      <c r="AP75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759" t="str">
        <f>IF(HRData[[#This Row],[Attrition]]="Yes","Left", IF(HRData[[#This Row],[Attrition_Risk_Score]]&gt;=6,"High",IF(HRData[[#This Row],[Attrition_Risk_Score]]&gt;=3,"Medium","Low")))</f>
        <v>Low</v>
      </c>
      <c r="AR759" t="str">
        <f>IF(HRData[[#This Row],[Attrition_Risk_Level]]&lt;&gt;"High","",HRData[[#This Row],[Attrition_Risk_Score]]*10000-HRData[[#This Row],[EmployeeNumber]])</f>
        <v/>
      </c>
    </row>
    <row r="760" spans="1:44">
      <c r="A760">
        <v>59</v>
      </c>
      <c r="B760" t="str" cm="1">
        <f t="array" ref="B760">_xlfn.IFS(
HRData[[#This Row],[Age]]&lt;=24,"18-24",
HRData[[#This Row],[Age]]&lt;=34,"25-34",
HRData[[#This Row],[Age]]&lt;=44,"35-44",
HRData[[#This Row],[Age]]&lt;=54,"45-54",
HRData[[#This Row],[Age]]&gt;=55,"55+"
)</f>
        <v>55+</v>
      </c>
      <c r="C760" t="s">
        <v>43</v>
      </c>
      <c r="D760">
        <f>IF(HRData[[#This Row],[Attrition]]="Yes",1,0)</f>
        <v>0</v>
      </c>
      <c r="E760" t="s">
        <v>36</v>
      </c>
      <c r="F760">
        <v>1089</v>
      </c>
      <c r="G760" t="s">
        <v>37</v>
      </c>
      <c r="H760">
        <v>1</v>
      </c>
      <c r="I760">
        <v>2</v>
      </c>
      <c r="J760" t="s">
        <v>60</v>
      </c>
      <c r="K760">
        <v>1</v>
      </c>
      <c r="L760">
        <v>1048</v>
      </c>
      <c r="M760">
        <v>2</v>
      </c>
      <c r="N760" t="str" cm="1">
        <f t="array" ref="N760">_xlfn.IFS(HRData[[#This Row],[EnvironmentSatisfaction]]=1,"Very Dissatisfied",
HRData[[#This Row],[EnvironmentSatisfaction]]=2,"Dissatisfied",
HRData[[#This Row],[EnvironmentSatisfaction]]=3,"Satisfied",
HRData[[#This Row],[EnvironmentSatisfaction]]=4,"Very Satisfied"
)</f>
        <v>Dissatisfied</v>
      </c>
      <c r="O760" t="s">
        <v>46</v>
      </c>
      <c r="P760">
        <v>66</v>
      </c>
      <c r="Q760">
        <v>3</v>
      </c>
      <c r="R760">
        <v>3</v>
      </c>
      <c r="S760" t="s">
        <v>56</v>
      </c>
      <c r="T760">
        <v>4</v>
      </c>
      <c r="U760" t="str" cm="1">
        <f t="array" ref="U760">_xlfn.IFS(
HRData[[#This Row],[JobSatisfaction]]=1,"Very Dissatisfied",
HRData[[#This Row],[JobSatisfaction]]=2,"Dissatisfied",
HRData[[#This Row],[JobSatisfaction]]=3,"Satisfied",
HRData[[#This Row],[JobSatisfaction]]=4,"Very Satisfied"
)</f>
        <v>Very Satisfied</v>
      </c>
      <c r="V760" t="s">
        <v>48</v>
      </c>
      <c r="W760">
        <v>11904</v>
      </c>
      <c r="X760" t="str" cm="1">
        <f t="array" ref="X760">_xlfn.IFS(
HRData[[#This Row],[MonthlyIncome]]&lt;=4000,"Very Low Income",
HRData[[#This Row],[MonthlyIncome]]&lt;=8000,"Low Income",
HRData[[#This Row],[MonthlyIncome]]&lt;=12000,"Moderate Income",
HRData[[#This Row],[MonthlyIncome]]&lt;=16000,"High Income",
HRData[[#This Row],[MonthlyIncome]]&gt;16000,"Very High Income"
)</f>
        <v>Moderate Income</v>
      </c>
      <c r="Y760">
        <v>11038</v>
      </c>
      <c r="Z760">
        <v>3</v>
      </c>
      <c r="AA760" t="s">
        <v>42</v>
      </c>
      <c r="AB760" t="s">
        <v>35</v>
      </c>
      <c r="AC760">
        <v>14</v>
      </c>
      <c r="AD760" t="str" cm="1">
        <f t="array" ref="AD760">_xlfn.IFS(HRData[[#This Row],[PercentSalaryHike]]&lt;=15,"11-15",HRData[[#This Row],[PercentSalaryHike]]&lt;=20,"16-20",HRData[[#This Row],[PercentSalaryHike]]&gt;=21,"21+")</f>
        <v>11-15</v>
      </c>
      <c r="AE760">
        <v>3</v>
      </c>
      <c r="AF760">
        <v>3</v>
      </c>
      <c r="AG760">
        <v>80</v>
      </c>
      <c r="AH760">
        <v>1</v>
      </c>
      <c r="AI760">
        <v>14</v>
      </c>
      <c r="AJ760">
        <v>1</v>
      </c>
      <c r="AK760">
        <v>1</v>
      </c>
      <c r="AL760">
        <v>6</v>
      </c>
      <c r="AM760">
        <v>4</v>
      </c>
      <c r="AN760">
        <v>0</v>
      </c>
      <c r="AO760">
        <v>4</v>
      </c>
      <c r="AP76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60" t="str">
        <f>IF(HRData[[#This Row],[Attrition]]="Yes","Left", IF(HRData[[#This Row],[Attrition_Risk_Score]]&gt;=6,"High",IF(HRData[[#This Row],[Attrition_Risk_Score]]&gt;=3,"Medium","Low")))</f>
        <v>Low</v>
      </c>
      <c r="AR760" t="str">
        <f>IF(HRData[[#This Row],[Attrition_Risk_Level]]&lt;&gt;"High","",HRData[[#This Row],[Attrition_Risk_Score]]*10000-HRData[[#This Row],[EmployeeNumber]])</f>
        <v/>
      </c>
    </row>
    <row r="761" spans="1:44">
      <c r="A761">
        <v>45</v>
      </c>
      <c r="B761" t="str" cm="1">
        <f t="array" ref="B761">_xlfn.IFS(
HRData[[#This Row],[Age]]&lt;=24,"18-24",
HRData[[#This Row],[Age]]&lt;=34,"25-34",
HRData[[#This Row],[Age]]&lt;=44,"35-44",
HRData[[#This Row],[Age]]&lt;=54,"45-54",
HRData[[#This Row],[Age]]&gt;=55,"55+"
)</f>
        <v>45-54</v>
      </c>
      <c r="C761" t="s">
        <v>43</v>
      </c>
      <c r="D761">
        <f>IF(HRData[[#This Row],[Attrition]]="Yes",1,0)</f>
        <v>0</v>
      </c>
      <c r="E761" t="s">
        <v>36</v>
      </c>
      <c r="F761">
        <v>788</v>
      </c>
      <c r="G761" t="s">
        <v>61</v>
      </c>
      <c r="H761">
        <v>24</v>
      </c>
      <c r="I761">
        <v>4</v>
      </c>
      <c r="J761" t="s">
        <v>51</v>
      </c>
      <c r="K761">
        <v>1</v>
      </c>
      <c r="L761">
        <v>1049</v>
      </c>
      <c r="M761">
        <v>2</v>
      </c>
      <c r="N761" t="str" cm="1">
        <f t="array" ref="N761">_xlfn.IFS(HRData[[#This Row],[EnvironmentSatisfaction]]=1,"Very Dissatisfied",
HRData[[#This Row],[EnvironmentSatisfaction]]=2,"Dissatisfied",
HRData[[#This Row],[EnvironmentSatisfaction]]=3,"Satisfied",
HRData[[#This Row],[EnvironmentSatisfaction]]=4,"Very Satisfied"
)</f>
        <v>Dissatisfied</v>
      </c>
      <c r="O761" t="s">
        <v>46</v>
      </c>
      <c r="P761">
        <v>36</v>
      </c>
      <c r="Q761">
        <v>3</v>
      </c>
      <c r="R761">
        <v>1</v>
      </c>
      <c r="S761" t="s">
        <v>61</v>
      </c>
      <c r="T761">
        <v>2</v>
      </c>
      <c r="U761" t="str" cm="1">
        <f t="array" ref="U761">_xlfn.IFS(
HRData[[#This Row],[JobSatisfaction]]=1,"Very Dissatisfied",
HRData[[#This Row],[JobSatisfaction]]=2,"Dissatisfied",
HRData[[#This Row],[JobSatisfaction]]=3,"Satisfied",
HRData[[#This Row],[JobSatisfaction]]=4,"Very Satisfied"
)</f>
        <v>Dissatisfied</v>
      </c>
      <c r="V761" t="s">
        <v>41</v>
      </c>
      <c r="W761">
        <v>2177</v>
      </c>
      <c r="X761" t="str" cm="1">
        <f t="array" ref="X761">_xlfn.IFS(
HRData[[#This Row],[MonthlyIncome]]&lt;=4000,"Very Low Income",
HRData[[#This Row],[MonthlyIncome]]&lt;=8000,"Low Income",
HRData[[#This Row],[MonthlyIncome]]&lt;=12000,"Moderate Income",
HRData[[#This Row],[MonthlyIncome]]&lt;=16000,"High Income",
HRData[[#This Row],[MonthlyIncome]]&gt;16000,"Very High Income"
)</f>
        <v>Very Low Income</v>
      </c>
      <c r="Y761">
        <v>8318</v>
      </c>
      <c r="Z761">
        <v>1</v>
      </c>
      <c r="AA761" t="s">
        <v>42</v>
      </c>
      <c r="AB761" t="s">
        <v>43</v>
      </c>
      <c r="AC761">
        <v>16</v>
      </c>
      <c r="AD761" t="str" cm="1">
        <f t="array" ref="AD761">_xlfn.IFS(HRData[[#This Row],[PercentSalaryHike]]&lt;=15,"11-15",HRData[[#This Row],[PercentSalaryHike]]&lt;=20,"16-20",HRData[[#This Row],[PercentSalaryHike]]&gt;=21,"21+")</f>
        <v>16-20</v>
      </c>
      <c r="AE761">
        <v>3</v>
      </c>
      <c r="AF761">
        <v>1</v>
      </c>
      <c r="AG761">
        <v>80</v>
      </c>
      <c r="AH761">
        <v>0</v>
      </c>
      <c r="AI761">
        <v>6</v>
      </c>
      <c r="AJ761">
        <v>3</v>
      </c>
      <c r="AK761">
        <v>3</v>
      </c>
      <c r="AL761">
        <v>6</v>
      </c>
      <c r="AM761">
        <v>3</v>
      </c>
      <c r="AN761">
        <v>0</v>
      </c>
      <c r="AO761">
        <v>4</v>
      </c>
      <c r="AP76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61" t="str">
        <f>IF(HRData[[#This Row],[Attrition]]="Yes","Left", IF(HRData[[#This Row],[Attrition_Risk_Score]]&gt;=6,"High",IF(HRData[[#This Row],[Attrition_Risk_Score]]&gt;=3,"Medium","Low")))</f>
        <v>Medium</v>
      </c>
      <c r="AR761" t="str">
        <f>IF(HRData[[#This Row],[Attrition_Risk_Level]]&lt;&gt;"High","",HRData[[#This Row],[Attrition_Risk_Score]]*10000-HRData[[#This Row],[EmployeeNumber]])</f>
        <v/>
      </c>
    </row>
    <row r="762" spans="1:44">
      <c r="A762">
        <v>53</v>
      </c>
      <c r="B762" t="str" cm="1">
        <f t="array" ref="B762">_xlfn.IFS(
HRData[[#This Row],[Age]]&lt;=24,"18-24",
HRData[[#This Row],[Age]]&lt;=34,"25-34",
HRData[[#This Row],[Age]]&lt;=44,"35-44",
HRData[[#This Row],[Age]]&lt;=54,"45-54",
HRData[[#This Row],[Age]]&gt;=55,"55+"
)</f>
        <v>45-54</v>
      </c>
      <c r="C762" t="s">
        <v>43</v>
      </c>
      <c r="D762">
        <f>IF(HRData[[#This Row],[Attrition]]="Yes",1,0)</f>
        <v>0</v>
      </c>
      <c r="E762" t="s">
        <v>44</v>
      </c>
      <c r="F762">
        <v>124</v>
      </c>
      <c r="G762" t="s">
        <v>37</v>
      </c>
      <c r="H762">
        <v>2</v>
      </c>
      <c r="I762">
        <v>3</v>
      </c>
      <c r="J762" t="s">
        <v>59</v>
      </c>
      <c r="K762">
        <v>1</v>
      </c>
      <c r="L762">
        <v>1050</v>
      </c>
      <c r="M762">
        <v>3</v>
      </c>
      <c r="N762" t="str" cm="1">
        <f t="array" ref="N762">_xlfn.IFS(HRData[[#This Row],[EnvironmentSatisfaction]]=1,"Very Dissatisfied",
HRData[[#This Row],[EnvironmentSatisfaction]]=2,"Dissatisfied",
HRData[[#This Row],[EnvironmentSatisfaction]]=3,"Satisfied",
HRData[[#This Row],[EnvironmentSatisfaction]]=4,"Very Satisfied"
)</f>
        <v>Satisfied</v>
      </c>
      <c r="O762" t="s">
        <v>39</v>
      </c>
      <c r="P762">
        <v>38</v>
      </c>
      <c r="Q762">
        <v>2</v>
      </c>
      <c r="R762">
        <v>3</v>
      </c>
      <c r="S762" t="s">
        <v>40</v>
      </c>
      <c r="T762">
        <v>2</v>
      </c>
      <c r="U762" t="str" cm="1">
        <f t="array" ref="U762">_xlfn.IFS(
HRData[[#This Row],[JobSatisfaction]]=1,"Very Dissatisfied",
HRData[[#This Row],[JobSatisfaction]]=2,"Dissatisfied",
HRData[[#This Row],[JobSatisfaction]]=3,"Satisfied",
HRData[[#This Row],[JobSatisfaction]]=4,"Very Satisfied"
)</f>
        <v>Dissatisfied</v>
      </c>
      <c r="V762" t="s">
        <v>48</v>
      </c>
      <c r="W762">
        <v>7525</v>
      </c>
      <c r="X762" t="str" cm="1">
        <f t="array" ref="X762">_xlfn.IFS(
HRData[[#This Row],[MonthlyIncome]]&lt;=4000,"Very Low Income",
HRData[[#This Row],[MonthlyIncome]]&lt;=8000,"Low Income",
HRData[[#This Row],[MonthlyIncome]]&lt;=12000,"Moderate Income",
HRData[[#This Row],[MonthlyIncome]]&lt;=16000,"High Income",
HRData[[#This Row],[MonthlyIncome]]&gt;16000,"Very High Income"
)</f>
        <v>Low Income</v>
      </c>
      <c r="Y762">
        <v>23537</v>
      </c>
      <c r="Z762">
        <v>2</v>
      </c>
      <c r="AA762" t="s">
        <v>42</v>
      </c>
      <c r="AB762" t="s">
        <v>43</v>
      </c>
      <c r="AC762">
        <v>12</v>
      </c>
      <c r="AD762" t="str" cm="1">
        <f t="array" ref="AD762">_xlfn.IFS(HRData[[#This Row],[PercentSalaryHike]]&lt;=15,"11-15",HRData[[#This Row],[PercentSalaryHike]]&lt;=20,"16-20",HRData[[#This Row],[PercentSalaryHike]]&gt;=21,"21+")</f>
        <v>11-15</v>
      </c>
      <c r="AE762">
        <v>3</v>
      </c>
      <c r="AF762">
        <v>1</v>
      </c>
      <c r="AG762">
        <v>80</v>
      </c>
      <c r="AH762">
        <v>1</v>
      </c>
      <c r="AI762">
        <v>30</v>
      </c>
      <c r="AJ762">
        <v>2</v>
      </c>
      <c r="AK762">
        <v>3</v>
      </c>
      <c r="AL762">
        <v>15</v>
      </c>
      <c r="AM762">
        <v>7</v>
      </c>
      <c r="AN762">
        <v>6</v>
      </c>
      <c r="AO762">
        <v>12</v>
      </c>
      <c r="AP76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762" t="str">
        <f>IF(HRData[[#This Row],[Attrition]]="Yes","Left", IF(HRData[[#This Row],[Attrition_Risk_Score]]&gt;=6,"High",IF(HRData[[#This Row],[Attrition_Risk_Score]]&gt;=3,"Medium","Low")))</f>
        <v>Low</v>
      </c>
      <c r="AR762" t="str">
        <f>IF(HRData[[#This Row],[Attrition_Risk_Level]]&lt;&gt;"High","",HRData[[#This Row],[Attrition_Risk_Score]]*10000-HRData[[#This Row],[EmployeeNumber]])</f>
        <v/>
      </c>
    </row>
    <row r="763" spans="1:44">
      <c r="A763">
        <v>36</v>
      </c>
      <c r="B763" t="str" cm="1">
        <f t="array" ref="B763">_xlfn.IFS(
HRData[[#This Row],[Age]]&lt;=24,"18-24",
HRData[[#This Row],[Age]]&lt;=34,"25-34",
HRData[[#This Row],[Age]]&lt;=44,"35-44",
HRData[[#This Row],[Age]]&lt;=54,"45-54",
HRData[[#This Row],[Age]]&gt;=55,"55+"
)</f>
        <v>35-44</v>
      </c>
      <c r="C763" t="s">
        <v>35</v>
      </c>
      <c r="D763">
        <f>IF(HRData[[#This Row],[Attrition]]="Yes",1,0)</f>
        <v>1</v>
      </c>
      <c r="E763" t="s">
        <v>36</v>
      </c>
      <c r="F763">
        <v>660</v>
      </c>
      <c r="G763" t="s">
        <v>45</v>
      </c>
      <c r="H763">
        <v>15</v>
      </c>
      <c r="I763">
        <v>3</v>
      </c>
      <c r="J763" t="s">
        <v>49</v>
      </c>
      <c r="K763">
        <v>1</v>
      </c>
      <c r="L763">
        <v>1052</v>
      </c>
      <c r="M763">
        <v>1</v>
      </c>
      <c r="N763" t="str" cm="1">
        <f t="array" ref="N763">_xlfn.IFS(HRData[[#This Row],[EnvironmentSatisfaction]]=1,"Very Dissatisfied",
HRData[[#This Row],[EnvironmentSatisfaction]]=2,"Dissatisfied",
HRData[[#This Row],[EnvironmentSatisfaction]]=3,"Satisfied",
HRData[[#This Row],[EnvironmentSatisfaction]]=4,"Very Satisfied"
)</f>
        <v>Very Dissatisfied</v>
      </c>
      <c r="O763" t="s">
        <v>46</v>
      </c>
      <c r="P763">
        <v>81</v>
      </c>
      <c r="Q763">
        <v>3</v>
      </c>
      <c r="R763">
        <v>2</v>
      </c>
      <c r="S763" t="s">
        <v>50</v>
      </c>
      <c r="T763">
        <v>3</v>
      </c>
      <c r="U763" t="str" cm="1">
        <f t="array" ref="U763">_xlfn.IFS(
HRData[[#This Row],[JobSatisfaction]]=1,"Very Dissatisfied",
HRData[[#This Row],[JobSatisfaction]]=2,"Dissatisfied",
HRData[[#This Row],[JobSatisfaction]]=3,"Satisfied",
HRData[[#This Row],[JobSatisfaction]]=4,"Very Satisfied"
)</f>
        <v>Satisfied</v>
      </c>
      <c r="V763" t="s">
        <v>52</v>
      </c>
      <c r="W763">
        <v>4834</v>
      </c>
      <c r="X763" t="str" cm="1">
        <f t="array" ref="X763">_xlfn.IFS(
HRData[[#This Row],[MonthlyIncome]]&lt;=4000,"Very Low Income",
HRData[[#This Row],[MonthlyIncome]]&lt;=8000,"Low Income",
HRData[[#This Row],[MonthlyIncome]]&lt;=12000,"Moderate Income",
HRData[[#This Row],[MonthlyIncome]]&lt;=16000,"High Income",
HRData[[#This Row],[MonthlyIncome]]&gt;16000,"Very High Income"
)</f>
        <v>Low Income</v>
      </c>
      <c r="Y763">
        <v>7858</v>
      </c>
      <c r="Z763">
        <v>7</v>
      </c>
      <c r="AA763" t="s">
        <v>42</v>
      </c>
      <c r="AB763" t="s">
        <v>43</v>
      </c>
      <c r="AC763">
        <v>14</v>
      </c>
      <c r="AD763" t="str" cm="1">
        <f t="array" ref="AD763">_xlfn.IFS(HRData[[#This Row],[PercentSalaryHike]]&lt;=15,"11-15",HRData[[#This Row],[PercentSalaryHike]]&lt;=20,"16-20",HRData[[#This Row],[PercentSalaryHike]]&gt;=21,"21+")</f>
        <v>11-15</v>
      </c>
      <c r="AE763">
        <v>3</v>
      </c>
      <c r="AF763">
        <v>2</v>
      </c>
      <c r="AG763">
        <v>80</v>
      </c>
      <c r="AH763">
        <v>1</v>
      </c>
      <c r="AI763">
        <v>9</v>
      </c>
      <c r="AJ763">
        <v>3</v>
      </c>
      <c r="AK763">
        <v>2</v>
      </c>
      <c r="AL763">
        <v>1</v>
      </c>
      <c r="AM763">
        <v>0</v>
      </c>
      <c r="AN763">
        <v>0</v>
      </c>
      <c r="AO763">
        <v>0</v>
      </c>
      <c r="AP76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63" t="str">
        <f>IF(HRData[[#This Row],[Attrition]]="Yes","Left", IF(HRData[[#This Row],[Attrition_Risk_Score]]&gt;=6,"High",IF(HRData[[#This Row],[Attrition_Risk_Score]]&gt;=3,"Medium","Low")))</f>
        <v>Left</v>
      </c>
      <c r="AR763" t="str">
        <f>IF(HRData[[#This Row],[Attrition_Risk_Level]]&lt;&gt;"High","",HRData[[#This Row],[Attrition_Risk_Score]]*10000-HRData[[#This Row],[EmployeeNumber]])</f>
        <v/>
      </c>
    </row>
    <row r="764" spans="1:44">
      <c r="A764">
        <v>26</v>
      </c>
      <c r="B764" t="str" cm="1">
        <f t="array" ref="B764">_xlfn.IFS(
HRData[[#This Row],[Age]]&lt;=24,"18-24",
HRData[[#This Row],[Age]]&lt;=34,"25-34",
HRData[[#This Row],[Age]]&lt;=44,"35-44",
HRData[[#This Row],[Age]]&lt;=54,"45-54",
HRData[[#This Row],[Age]]&gt;=55,"55+"
)</f>
        <v>25-34</v>
      </c>
      <c r="C764" t="s">
        <v>35</v>
      </c>
      <c r="D764">
        <f>IF(HRData[[#This Row],[Attrition]]="Yes",1,0)</f>
        <v>1</v>
      </c>
      <c r="E764" t="s">
        <v>44</v>
      </c>
      <c r="F764">
        <v>342</v>
      </c>
      <c r="G764" t="s">
        <v>45</v>
      </c>
      <c r="H764">
        <v>2</v>
      </c>
      <c r="I764">
        <v>3</v>
      </c>
      <c r="J764" t="s">
        <v>38</v>
      </c>
      <c r="K764">
        <v>1</v>
      </c>
      <c r="L764">
        <v>1053</v>
      </c>
      <c r="M764">
        <v>1</v>
      </c>
      <c r="N764" t="str" cm="1">
        <f t="array" ref="N764">_xlfn.IFS(HRData[[#This Row],[EnvironmentSatisfaction]]=1,"Very Dissatisfied",
HRData[[#This Row],[EnvironmentSatisfaction]]=2,"Dissatisfied",
HRData[[#This Row],[EnvironmentSatisfaction]]=3,"Satisfied",
HRData[[#This Row],[EnvironmentSatisfaction]]=4,"Very Satisfied"
)</f>
        <v>Very Dissatisfied</v>
      </c>
      <c r="O764" t="s">
        <v>46</v>
      </c>
      <c r="P764">
        <v>57</v>
      </c>
      <c r="Q764">
        <v>3</v>
      </c>
      <c r="R764">
        <v>1</v>
      </c>
      <c r="S764" t="s">
        <v>47</v>
      </c>
      <c r="T764">
        <v>1</v>
      </c>
      <c r="U764" t="str" cm="1">
        <f t="array" ref="U764">_xlfn.IFS(
HRData[[#This Row],[JobSatisfaction]]=1,"Very Dissatisfied",
HRData[[#This Row],[JobSatisfaction]]=2,"Dissatisfied",
HRData[[#This Row],[JobSatisfaction]]=3,"Satisfied",
HRData[[#This Row],[JobSatisfaction]]=4,"Very Satisfied"
)</f>
        <v>Very Dissatisfied</v>
      </c>
      <c r="V764" t="s">
        <v>48</v>
      </c>
      <c r="W764">
        <v>2042</v>
      </c>
      <c r="X764" t="str" cm="1">
        <f t="array" ref="X764">_xlfn.IFS(
HRData[[#This Row],[MonthlyIncome]]&lt;=4000,"Very Low Income",
HRData[[#This Row],[MonthlyIncome]]&lt;=8000,"Low Income",
HRData[[#This Row],[MonthlyIncome]]&lt;=12000,"Moderate Income",
HRData[[#This Row],[MonthlyIncome]]&lt;=16000,"High Income",
HRData[[#This Row],[MonthlyIncome]]&gt;16000,"Very High Income"
)</f>
        <v>Very Low Income</v>
      </c>
      <c r="Y764">
        <v>15346</v>
      </c>
      <c r="Z764">
        <v>6</v>
      </c>
      <c r="AA764" t="s">
        <v>42</v>
      </c>
      <c r="AB764" t="s">
        <v>35</v>
      </c>
      <c r="AC764">
        <v>14</v>
      </c>
      <c r="AD764" t="str" cm="1">
        <f t="array" ref="AD764">_xlfn.IFS(HRData[[#This Row],[PercentSalaryHike]]&lt;=15,"11-15",HRData[[#This Row],[PercentSalaryHike]]&lt;=20,"16-20",HRData[[#This Row],[PercentSalaryHike]]&gt;=21,"21+")</f>
        <v>11-15</v>
      </c>
      <c r="AE764">
        <v>3</v>
      </c>
      <c r="AF764">
        <v>2</v>
      </c>
      <c r="AG764">
        <v>80</v>
      </c>
      <c r="AH764">
        <v>1</v>
      </c>
      <c r="AI764">
        <v>6</v>
      </c>
      <c r="AJ764">
        <v>2</v>
      </c>
      <c r="AK764">
        <v>3</v>
      </c>
      <c r="AL764">
        <v>3</v>
      </c>
      <c r="AM764">
        <v>2</v>
      </c>
      <c r="AN764">
        <v>1</v>
      </c>
      <c r="AO764">
        <v>2</v>
      </c>
      <c r="AP76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64" t="str">
        <f>IF(HRData[[#This Row],[Attrition]]="Yes","Left", IF(HRData[[#This Row],[Attrition_Risk_Score]]&gt;=6,"High",IF(HRData[[#This Row],[Attrition_Risk_Score]]&gt;=3,"Medium","Low")))</f>
        <v>Left</v>
      </c>
      <c r="AR764" t="str">
        <f>IF(HRData[[#This Row],[Attrition_Risk_Level]]&lt;&gt;"High","",HRData[[#This Row],[Attrition_Risk_Score]]*10000-HRData[[#This Row],[EmployeeNumber]])</f>
        <v/>
      </c>
    </row>
    <row r="765" spans="1:44">
      <c r="A765">
        <v>34</v>
      </c>
      <c r="B765" t="str" cm="1">
        <f t="array" ref="B765">_xlfn.IFS(
HRData[[#This Row],[Age]]&lt;=24,"18-24",
HRData[[#This Row],[Age]]&lt;=34,"25-34",
HRData[[#This Row],[Age]]&lt;=44,"35-44",
HRData[[#This Row],[Age]]&lt;=54,"45-54",
HRData[[#This Row],[Age]]&gt;=55,"55+"
)</f>
        <v>25-34</v>
      </c>
      <c r="C765" t="s">
        <v>43</v>
      </c>
      <c r="D765">
        <f>IF(HRData[[#This Row],[Attrition]]="Yes",1,0)</f>
        <v>0</v>
      </c>
      <c r="E765" t="s">
        <v>36</v>
      </c>
      <c r="F765">
        <v>1333</v>
      </c>
      <c r="G765" t="s">
        <v>37</v>
      </c>
      <c r="H765">
        <v>10</v>
      </c>
      <c r="I765">
        <v>4</v>
      </c>
      <c r="J765" t="s">
        <v>38</v>
      </c>
      <c r="K765">
        <v>1</v>
      </c>
      <c r="L765">
        <v>1055</v>
      </c>
      <c r="M765">
        <v>3</v>
      </c>
      <c r="N765" t="str" cm="1">
        <f t="array" ref="N765">_xlfn.IFS(HRData[[#This Row],[EnvironmentSatisfaction]]=1,"Very Dissatisfied",
HRData[[#This Row],[EnvironmentSatisfaction]]=2,"Dissatisfied",
HRData[[#This Row],[EnvironmentSatisfaction]]=3,"Satisfied",
HRData[[#This Row],[EnvironmentSatisfaction]]=4,"Very Satisfied"
)</f>
        <v>Satisfied</v>
      </c>
      <c r="O765" t="s">
        <v>39</v>
      </c>
      <c r="P765">
        <v>87</v>
      </c>
      <c r="Q765">
        <v>3</v>
      </c>
      <c r="R765">
        <v>1</v>
      </c>
      <c r="S765" t="s">
        <v>57</v>
      </c>
      <c r="T765">
        <v>3</v>
      </c>
      <c r="U765" t="str" cm="1">
        <f t="array" ref="U765">_xlfn.IFS(
HRData[[#This Row],[JobSatisfaction]]=1,"Very Dissatisfied",
HRData[[#This Row],[JobSatisfaction]]=2,"Dissatisfied",
HRData[[#This Row],[JobSatisfaction]]=3,"Satisfied",
HRData[[#This Row],[JobSatisfaction]]=4,"Very Satisfied"
)</f>
        <v>Satisfied</v>
      </c>
      <c r="V765" t="s">
        <v>48</v>
      </c>
      <c r="W765">
        <v>2220</v>
      </c>
      <c r="X765" t="str" cm="1">
        <f t="array" ref="X765">_xlfn.IFS(
HRData[[#This Row],[MonthlyIncome]]&lt;=4000,"Very Low Income",
HRData[[#This Row],[MonthlyIncome]]&lt;=8000,"Low Income",
HRData[[#This Row],[MonthlyIncome]]&lt;=12000,"Moderate Income",
HRData[[#This Row],[MonthlyIncome]]&lt;=16000,"High Income",
HRData[[#This Row],[MonthlyIncome]]&gt;16000,"Very High Income"
)</f>
        <v>Very Low Income</v>
      </c>
      <c r="Y765">
        <v>18410</v>
      </c>
      <c r="Z765">
        <v>1</v>
      </c>
      <c r="AA765" t="s">
        <v>42</v>
      </c>
      <c r="AB765" t="s">
        <v>35</v>
      </c>
      <c r="AC765">
        <v>19</v>
      </c>
      <c r="AD765" t="str" cm="1">
        <f t="array" ref="AD765">_xlfn.IFS(HRData[[#This Row],[PercentSalaryHike]]&lt;=15,"11-15",HRData[[#This Row],[PercentSalaryHike]]&lt;=20,"16-20",HRData[[#This Row],[PercentSalaryHike]]&gt;=21,"21+")</f>
        <v>16-20</v>
      </c>
      <c r="AE765">
        <v>3</v>
      </c>
      <c r="AF765">
        <v>4</v>
      </c>
      <c r="AG765">
        <v>80</v>
      </c>
      <c r="AH765">
        <v>1</v>
      </c>
      <c r="AI765">
        <v>1</v>
      </c>
      <c r="AJ765">
        <v>2</v>
      </c>
      <c r="AK765">
        <v>3</v>
      </c>
      <c r="AL765">
        <v>1</v>
      </c>
      <c r="AM765">
        <v>1</v>
      </c>
      <c r="AN765">
        <v>0</v>
      </c>
      <c r="AO765">
        <v>0</v>
      </c>
      <c r="AP76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765" t="str">
        <f>IF(HRData[[#This Row],[Attrition]]="Yes","Left", IF(HRData[[#This Row],[Attrition_Risk_Score]]&gt;=6,"High",IF(HRData[[#This Row],[Attrition_Risk_Score]]&gt;=3,"Medium","Low")))</f>
        <v>High</v>
      </c>
      <c r="AR765">
        <f>IF(HRData[[#This Row],[Attrition_Risk_Level]]&lt;&gt;"High","",HRData[[#This Row],[Attrition_Risk_Score]]*10000-HRData[[#This Row],[EmployeeNumber]])</f>
        <v>68945</v>
      </c>
    </row>
    <row r="766" spans="1:44">
      <c r="A766">
        <v>28</v>
      </c>
      <c r="B766" t="str" cm="1">
        <f t="array" ref="B766">_xlfn.IFS(
HRData[[#This Row],[Age]]&lt;=24,"18-24",
HRData[[#This Row],[Age]]&lt;=34,"25-34",
HRData[[#This Row],[Age]]&lt;=44,"35-44",
HRData[[#This Row],[Age]]&lt;=54,"45-54",
HRData[[#This Row],[Age]]&gt;=55,"55+"
)</f>
        <v>25-34</v>
      </c>
      <c r="C766" t="s">
        <v>43</v>
      </c>
      <c r="D766">
        <f>IF(HRData[[#This Row],[Attrition]]="Yes",1,0)</f>
        <v>0</v>
      </c>
      <c r="E766" t="s">
        <v>36</v>
      </c>
      <c r="F766">
        <v>1144</v>
      </c>
      <c r="G766" t="s">
        <v>37</v>
      </c>
      <c r="H766">
        <v>10</v>
      </c>
      <c r="I766">
        <v>1</v>
      </c>
      <c r="J766" t="s">
        <v>51</v>
      </c>
      <c r="K766">
        <v>1</v>
      </c>
      <c r="L766">
        <v>1056</v>
      </c>
      <c r="M766">
        <v>4</v>
      </c>
      <c r="N766" t="str" cm="1">
        <f t="array" ref="N766">_xlfn.IFS(HRData[[#This Row],[EnvironmentSatisfaction]]=1,"Very Dissatisfied",
HRData[[#This Row],[EnvironmentSatisfaction]]=2,"Dissatisfied",
HRData[[#This Row],[EnvironmentSatisfaction]]=3,"Satisfied",
HRData[[#This Row],[EnvironmentSatisfaction]]=4,"Very Satisfied"
)</f>
        <v>Very Satisfied</v>
      </c>
      <c r="O766" t="s">
        <v>46</v>
      </c>
      <c r="P766">
        <v>74</v>
      </c>
      <c r="Q766">
        <v>3</v>
      </c>
      <c r="R766">
        <v>1</v>
      </c>
      <c r="S766" t="s">
        <v>57</v>
      </c>
      <c r="T766">
        <v>2</v>
      </c>
      <c r="U766" t="str" cm="1">
        <f t="array" ref="U766">_xlfn.IFS(
HRData[[#This Row],[JobSatisfaction]]=1,"Very Dissatisfied",
HRData[[#This Row],[JobSatisfaction]]=2,"Dissatisfied",
HRData[[#This Row],[JobSatisfaction]]=3,"Satisfied",
HRData[[#This Row],[JobSatisfaction]]=4,"Very Satisfied"
)</f>
        <v>Dissatisfied</v>
      </c>
      <c r="V766" t="s">
        <v>48</v>
      </c>
      <c r="W766">
        <v>1052</v>
      </c>
      <c r="X766" t="str" cm="1">
        <f t="array" ref="X766">_xlfn.IFS(
HRData[[#This Row],[MonthlyIncome]]&lt;=4000,"Very Low Income",
HRData[[#This Row],[MonthlyIncome]]&lt;=8000,"Low Income",
HRData[[#This Row],[MonthlyIncome]]&lt;=12000,"Moderate Income",
HRData[[#This Row],[MonthlyIncome]]&lt;=16000,"High Income",
HRData[[#This Row],[MonthlyIncome]]&gt;16000,"Very High Income"
)</f>
        <v>Very Low Income</v>
      </c>
      <c r="Y766">
        <v>23384</v>
      </c>
      <c r="Z766">
        <v>1</v>
      </c>
      <c r="AA766" t="s">
        <v>42</v>
      </c>
      <c r="AB766" t="s">
        <v>43</v>
      </c>
      <c r="AC766">
        <v>22</v>
      </c>
      <c r="AD766" t="str" cm="1">
        <f t="array" ref="AD766">_xlfn.IFS(HRData[[#This Row],[PercentSalaryHike]]&lt;=15,"11-15",HRData[[#This Row],[PercentSalaryHike]]&lt;=20,"16-20",HRData[[#This Row],[PercentSalaryHike]]&gt;=21,"21+")</f>
        <v>21+</v>
      </c>
      <c r="AE766">
        <v>4</v>
      </c>
      <c r="AF766">
        <v>2</v>
      </c>
      <c r="AG766">
        <v>80</v>
      </c>
      <c r="AH766">
        <v>0</v>
      </c>
      <c r="AI766">
        <v>1</v>
      </c>
      <c r="AJ766">
        <v>5</v>
      </c>
      <c r="AK766">
        <v>3</v>
      </c>
      <c r="AL766">
        <v>1</v>
      </c>
      <c r="AM766">
        <v>0</v>
      </c>
      <c r="AN766">
        <v>0</v>
      </c>
      <c r="AO766">
        <v>0</v>
      </c>
      <c r="AP76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766" t="str">
        <f>IF(HRData[[#This Row],[Attrition]]="Yes","Left", IF(HRData[[#This Row],[Attrition_Risk_Score]]&gt;=6,"High",IF(HRData[[#This Row],[Attrition_Risk_Score]]&gt;=3,"Medium","Low")))</f>
        <v>Medium</v>
      </c>
      <c r="AR766" t="str">
        <f>IF(HRData[[#This Row],[Attrition_Risk_Level]]&lt;&gt;"High","",HRData[[#This Row],[Attrition_Risk_Score]]*10000-HRData[[#This Row],[EmployeeNumber]])</f>
        <v/>
      </c>
    </row>
    <row r="767" spans="1:44">
      <c r="A767">
        <v>38</v>
      </c>
      <c r="B767" t="str" cm="1">
        <f t="array" ref="B767">_xlfn.IFS(
HRData[[#This Row],[Age]]&lt;=24,"18-24",
HRData[[#This Row],[Age]]&lt;=34,"25-34",
HRData[[#This Row],[Age]]&lt;=44,"35-44",
HRData[[#This Row],[Age]]&lt;=54,"45-54",
HRData[[#This Row],[Age]]&gt;=55,"55+"
)</f>
        <v>35-44</v>
      </c>
      <c r="C767" t="s">
        <v>43</v>
      </c>
      <c r="D767">
        <f>IF(HRData[[#This Row],[Attrition]]="Yes",1,0)</f>
        <v>0</v>
      </c>
      <c r="E767" t="s">
        <v>44</v>
      </c>
      <c r="F767">
        <v>1186</v>
      </c>
      <c r="G767" t="s">
        <v>45</v>
      </c>
      <c r="H767">
        <v>3</v>
      </c>
      <c r="I767">
        <v>4</v>
      </c>
      <c r="J767" t="s">
        <v>49</v>
      </c>
      <c r="K767">
        <v>1</v>
      </c>
      <c r="L767">
        <v>1060</v>
      </c>
      <c r="M767">
        <v>3</v>
      </c>
      <c r="N767" t="str" cm="1">
        <f t="array" ref="N767">_xlfn.IFS(HRData[[#This Row],[EnvironmentSatisfaction]]=1,"Very Dissatisfied",
HRData[[#This Row],[EnvironmentSatisfaction]]=2,"Dissatisfied",
HRData[[#This Row],[EnvironmentSatisfaction]]=3,"Satisfied",
HRData[[#This Row],[EnvironmentSatisfaction]]=4,"Very Satisfied"
)</f>
        <v>Satisfied</v>
      </c>
      <c r="O767" t="s">
        <v>46</v>
      </c>
      <c r="P767">
        <v>44</v>
      </c>
      <c r="Q767">
        <v>3</v>
      </c>
      <c r="R767">
        <v>1</v>
      </c>
      <c r="S767" t="s">
        <v>47</v>
      </c>
      <c r="T767">
        <v>3</v>
      </c>
      <c r="U767" t="str" cm="1">
        <f t="array" ref="U767">_xlfn.IFS(
HRData[[#This Row],[JobSatisfaction]]=1,"Very Dissatisfied",
HRData[[#This Row],[JobSatisfaction]]=2,"Dissatisfied",
HRData[[#This Row],[JobSatisfaction]]=3,"Satisfied",
HRData[[#This Row],[JobSatisfaction]]=4,"Very Satisfied"
)</f>
        <v>Satisfied</v>
      </c>
      <c r="V767" t="s">
        <v>48</v>
      </c>
      <c r="W767">
        <v>2821</v>
      </c>
      <c r="X767" t="str" cm="1">
        <f t="array" ref="X767">_xlfn.IFS(
HRData[[#This Row],[MonthlyIncome]]&lt;=4000,"Very Low Income",
HRData[[#This Row],[MonthlyIncome]]&lt;=8000,"Low Income",
HRData[[#This Row],[MonthlyIncome]]&lt;=12000,"Moderate Income",
HRData[[#This Row],[MonthlyIncome]]&lt;=16000,"High Income",
HRData[[#This Row],[MonthlyIncome]]&gt;16000,"Very High Income"
)</f>
        <v>Very Low Income</v>
      </c>
      <c r="Y767">
        <v>2997</v>
      </c>
      <c r="Z767">
        <v>3</v>
      </c>
      <c r="AA767" t="s">
        <v>42</v>
      </c>
      <c r="AB767" t="s">
        <v>43</v>
      </c>
      <c r="AC767">
        <v>16</v>
      </c>
      <c r="AD767" t="str" cm="1">
        <f t="array" ref="AD767">_xlfn.IFS(HRData[[#This Row],[PercentSalaryHike]]&lt;=15,"11-15",HRData[[#This Row],[PercentSalaryHike]]&lt;=20,"16-20",HRData[[#This Row],[PercentSalaryHike]]&gt;=21,"21+")</f>
        <v>16-20</v>
      </c>
      <c r="AE767">
        <v>3</v>
      </c>
      <c r="AF767">
        <v>1</v>
      </c>
      <c r="AG767">
        <v>80</v>
      </c>
      <c r="AH767">
        <v>1</v>
      </c>
      <c r="AI767">
        <v>8</v>
      </c>
      <c r="AJ767">
        <v>2</v>
      </c>
      <c r="AK767">
        <v>3</v>
      </c>
      <c r="AL767">
        <v>2</v>
      </c>
      <c r="AM767">
        <v>2</v>
      </c>
      <c r="AN767">
        <v>2</v>
      </c>
      <c r="AO767">
        <v>2</v>
      </c>
      <c r="AP76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67" t="str">
        <f>IF(HRData[[#This Row],[Attrition]]="Yes","Left", IF(HRData[[#This Row],[Attrition_Risk_Score]]&gt;=6,"High",IF(HRData[[#This Row],[Attrition_Risk_Score]]&gt;=3,"Medium","Low")))</f>
        <v>Low</v>
      </c>
      <c r="AR767" t="str">
        <f>IF(HRData[[#This Row],[Attrition_Risk_Level]]&lt;&gt;"High","",HRData[[#This Row],[Attrition_Risk_Score]]*10000-HRData[[#This Row],[EmployeeNumber]])</f>
        <v/>
      </c>
    </row>
    <row r="768" spans="1:44">
      <c r="A768">
        <v>50</v>
      </c>
      <c r="B768" t="str" cm="1">
        <f t="array" ref="B768">_xlfn.IFS(
HRData[[#This Row],[Age]]&lt;=24,"18-24",
HRData[[#This Row],[Age]]&lt;=34,"25-34",
HRData[[#This Row],[Age]]&lt;=44,"35-44",
HRData[[#This Row],[Age]]&lt;=54,"45-54",
HRData[[#This Row],[Age]]&gt;=55,"55+"
)</f>
        <v>45-54</v>
      </c>
      <c r="C768" t="s">
        <v>43</v>
      </c>
      <c r="D768">
        <f>IF(HRData[[#This Row],[Attrition]]="Yes",1,0)</f>
        <v>0</v>
      </c>
      <c r="E768" t="s">
        <v>36</v>
      </c>
      <c r="F768">
        <v>1464</v>
      </c>
      <c r="G768" t="s">
        <v>45</v>
      </c>
      <c r="H768">
        <v>2</v>
      </c>
      <c r="I768">
        <v>4</v>
      </c>
      <c r="J768" t="s">
        <v>51</v>
      </c>
      <c r="K768">
        <v>1</v>
      </c>
      <c r="L768">
        <v>1061</v>
      </c>
      <c r="M768">
        <v>2</v>
      </c>
      <c r="N768" t="str" cm="1">
        <f t="array" ref="N768">_xlfn.IFS(HRData[[#This Row],[EnvironmentSatisfaction]]=1,"Very Dissatisfied",
HRData[[#This Row],[EnvironmentSatisfaction]]=2,"Dissatisfied",
HRData[[#This Row],[EnvironmentSatisfaction]]=3,"Satisfied",
HRData[[#This Row],[EnvironmentSatisfaction]]=4,"Very Satisfied"
)</f>
        <v>Dissatisfied</v>
      </c>
      <c r="O768" t="s">
        <v>46</v>
      </c>
      <c r="P768">
        <v>62</v>
      </c>
      <c r="Q768">
        <v>3</v>
      </c>
      <c r="R768">
        <v>5</v>
      </c>
      <c r="S768" t="s">
        <v>58</v>
      </c>
      <c r="T768">
        <v>3</v>
      </c>
      <c r="U768" t="str" cm="1">
        <f t="array" ref="U768">_xlfn.IFS(
HRData[[#This Row],[JobSatisfaction]]=1,"Very Dissatisfied",
HRData[[#This Row],[JobSatisfaction]]=2,"Dissatisfied",
HRData[[#This Row],[JobSatisfaction]]=3,"Satisfied",
HRData[[#This Row],[JobSatisfaction]]=4,"Very Satisfied"
)</f>
        <v>Satisfied</v>
      </c>
      <c r="V768" t="s">
        <v>48</v>
      </c>
      <c r="W768">
        <v>19237</v>
      </c>
      <c r="X768" t="str" cm="1">
        <f t="array" ref="X768">_xlfn.IFS(
HRData[[#This Row],[MonthlyIncome]]&lt;=4000,"Very Low Income",
HRData[[#This Row],[MonthlyIncome]]&lt;=8000,"Low Income",
HRData[[#This Row],[MonthlyIncome]]&lt;=12000,"Moderate Income",
HRData[[#This Row],[MonthlyIncome]]&lt;=16000,"High Income",
HRData[[#This Row],[MonthlyIncome]]&gt;16000,"Very High Income"
)</f>
        <v>Very High Income</v>
      </c>
      <c r="Y768">
        <v>12853</v>
      </c>
      <c r="Z768">
        <v>2</v>
      </c>
      <c r="AA768" t="s">
        <v>42</v>
      </c>
      <c r="AB768" t="s">
        <v>35</v>
      </c>
      <c r="AC768">
        <v>11</v>
      </c>
      <c r="AD768" t="str" cm="1">
        <f t="array" ref="AD768">_xlfn.IFS(HRData[[#This Row],[PercentSalaryHike]]&lt;=15,"11-15",HRData[[#This Row],[PercentSalaryHike]]&lt;=20,"16-20",HRData[[#This Row],[PercentSalaryHike]]&gt;=21,"21+")</f>
        <v>11-15</v>
      </c>
      <c r="AE768">
        <v>3</v>
      </c>
      <c r="AF768">
        <v>4</v>
      </c>
      <c r="AG768">
        <v>80</v>
      </c>
      <c r="AH768">
        <v>1</v>
      </c>
      <c r="AI768">
        <v>29</v>
      </c>
      <c r="AJ768">
        <v>2</v>
      </c>
      <c r="AK768">
        <v>2</v>
      </c>
      <c r="AL768">
        <v>8</v>
      </c>
      <c r="AM768">
        <v>1</v>
      </c>
      <c r="AN768">
        <v>7</v>
      </c>
      <c r="AO768">
        <v>7</v>
      </c>
      <c r="AP76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68" t="str">
        <f>IF(HRData[[#This Row],[Attrition]]="Yes","Left", IF(HRData[[#This Row],[Attrition_Risk_Score]]&gt;=6,"High",IF(HRData[[#This Row],[Attrition_Risk_Score]]&gt;=3,"Medium","Low")))</f>
        <v>Low</v>
      </c>
      <c r="AR768" t="str">
        <f>IF(HRData[[#This Row],[Attrition_Risk_Level]]&lt;&gt;"High","",HRData[[#This Row],[Attrition_Risk_Score]]*10000-HRData[[#This Row],[EmployeeNumber]])</f>
        <v/>
      </c>
    </row>
    <row r="769" spans="1:44">
      <c r="A769">
        <v>37</v>
      </c>
      <c r="B769" t="str" cm="1">
        <f t="array" ref="B769">_xlfn.IFS(
HRData[[#This Row],[Age]]&lt;=24,"18-24",
HRData[[#This Row],[Age]]&lt;=34,"25-34",
HRData[[#This Row],[Age]]&lt;=44,"35-44",
HRData[[#This Row],[Age]]&lt;=54,"45-54",
HRData[[#This Row],[Age]]&gt;=55,"55+"
)</f>
        <v>35-44</v>
      </c>
      <c r="C769" t="s">
        <v>43</v>
      </c>
      <c r="D769">
        <f>IF(HRData[[#This Row],[Attrition]]="Yes",1,0)</f>
        <v>0</v>
      </c>
      <c r="E769" t="s">
        <v>36</v>
      </c>
      <c r="F769">
        <v>124</v>
      </c>
      <c r="G769" t="s">
        <v>45</v>
      </c>
      <c r="H769">
        <v>3</v>
      </c>
      <c r="I769">
        <v>3</v>
      </c>
      <c r="J769" t="s">
        <v>49</v>
      </c>
      <c r="K769">
        <v>1</v>
      </c>
      <c r="L769">
        <v>1062</v>
      </c>
      <c r="M769">
        <v>4</v>
      </c>
      <c r="N769" t="str" cm="1">
        <f t="array" ref="N769">_xlfn.IFS(HRData[[#This Row],[EnvironmentSatisfaction]]=1,"Very Dissatisfied",
HRData[[#This Row],[EnvironmentSatisfaction]]=2,"Dissatisfied",
HRData[[#This Row],[EnvironmentSatisfaction]]=3,"Satisfied",
HRData[[#This Row],[EnvironmentSatisfaction]]=4,"Very Satisfied"
)</f>
        <v>Very Satisfied</v>
      </c>
      <c r="O769" t="s">
        <v>39</v>
      </c>
      <c r="P769">
        <v>35</v>
      </c>
      <c r="Q769">
        <v>3</v>
      </c>
      <c r="R769">
        <v>2</v>
      </c>
      <c r="S769" t="s">
        <v>54</v>
      </c>
      <c r="T769">
        <v>2</v>
      </c>
      <c r="U769" t="str" cm="1">
        <f t="array" ref="U769">_xlfn.IFS(
HRData[[#This Row],[JobSatisfaction]]=1,"Very Dissatisfied",
HRData[[#This Row],[JobSatisfaction]]=2,"Dissatisfied",
HRData[[#This Row],[JobSatisfaction]]=3,"Satisfied",
HRData[[#This Row],[JobSatisfaction]]=4,"Very Satisfied"
)</f>
        <v>Dissatisfied</v>
      </c>
      <c r="V769" t="s">
        <v>41</v>
      </c>
      <c r="W769">
        <v>4107</v>
      </c>
      <c r="X769" t="str" cm="1">
        <f t="array" ref="X769">_xlfn.IFS(
HRData[[#This Row],[MonthlyIncome]]&lt;=4000,"Very Low Income",
HRData[[#This Row],[MonthlyIncome]]&lt;=8000,"Low Income",
HRData[[#This Row],[MonthlyIncome]]&lt;=12000,"Moderate Income",
HRData[[#This Row],[MonthlyIncome]]&lt;=16000,"High Income",
HRData[[#This Row],[MonthlyIncome]]&gt;16000,"Very High Income"
)</f>
        <v>Low Income</v>
      </c>
      <c r="Y769">
        <v>13848</v>
      </c>
      <c r="Z769">
        <v>3</v>
      </c>
      <c r="AA769" t="s">
        <v>42</v>
      </c>
      <c r="AB769" t="s">
        <v>43</v>
      </c>
      <c r="AC769">
        <v>15</v>
      </c>
      <c r="AD769" t="str" cm="1">
        <f t="array" ref="AD769">_xlfn.IFS(HRData[[#This Row],[PercentSalaryHike]]&lt;=15,"11-15",HRData[[#This Row],[PercentSalaryHike]]&lt;=20,"16-20",HRData[[#This Row],[PercentSalaryHike]]&gt;=21,"21+")</f>
        <v>11-15</v>
      </c>
      <c r="AE769">
        <v>3</v>
      </c>
      <c r="AF769">
        <v>1</v>
      </c>
      <c r="AG769">
        <v>80</v>
      </c>
      <c r="AH769">
        <v>0</v>
      </c>
      <c r="AI769">
        <v>8</v>
      </c>
      <c r="AJ769">
        <v>3</v>
      </c>
      <c r="AK769">
        <v>2</v>
      </c>
      <c r="AL769">
        <v>4</v>
      </c>
      <c r="AM769">
        <v>3</v>
      </c>
      <c r="AN769">
        <v>0</v>
      </c>
      <c r="AO769">
        <v>1</v>
      </c>
      <c r="AP76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769" t="str">
        <f>IF(HRData[[#This Row],[Attrition]]="Yes","Left", IF(HRData[[#This Row],[Attrition_Risk_Score]]&gt;=6,"High",IF(HRData[[#This Row],[Attrition_Risk_Score]]&gt;=3,"Medium","Low")))</f>
        <v>Low</v>
      </c>
      <c r="AR769" t="str">
        <f>IF(HRData[[#This Row],[Attrition_Risk_Level]]&lt;&gt;"High","",HRData[[#This Row],[Attrition_Risk_Score]]*10000-HRData[[#This Row],[EmployeeNumber]])</f>
        <v/>
      </c>
    </row>
    <row r="770" spans="1:44">
      <c r="A770">
        <v>40</v>
      </c>
      <c r="B770" t="str" cm="1">
        <f t="array" ref="B770">_xlfn.IFS(
HRData[[#This Row],[Age]]&lt;=24,"18-24",
HRData[[#This Row],[Age]]&lt;=34,"25-34",
HRData[[#This Row],[Age]]&lt;=44,"35-44",
HRData[[#This Row],[Age]]&lt;=54,"45-54",
HRData[[#This Row],[Age]]&gt;=55,"55+"
)</f>
        <v>35-44</v>
      </c>
      <c r="C770" t="s">
        <v>43</v>
      </c>
      <c r="D770">
        <f>IF(HRData[[#This Row],[Attrition]]="Yes",1,0)</f>
        <v>0</v>
      </c>
      <c r="E770" t="s">
        <v>36</v>
      </c>
      <c r="F770">
        <v>300</v>
      </c>
      <c r="G770" t="s">
        <v>37</v>
      </c>
      <c r="H770">
        <v>26</v>
      </c>
      <c r="I770">
        <v>3</v>
      </c>
      <c r="J770" t="s">
        <v>59</v>
      </c>
      <c r="K770">
        <v>1</v>
      </c>
      <c r="L770">
        <v>1066</v>
      </c>
      <c r="M770">
        <v>3</v>
      </c>
      <c r="N770" t="str" cm="1">
        <f t="array" ref="N770">_xlfn.IFS(HRData[[#This Row],[EnvironmentSatisfaction]]=1,"Very Dissatisfied",
HRData[[#This Row],[EnvironmentSatisfaction]]=2,"Dissatisfied",
HRData[[#This Row],[EnvironmentSatisfaction]]=3,"Satisfied",
HRData[[#This Row],[EnvironmentSatisfaction]]=4,"Very Satisfied"
)</f>
        <v>Satisfied</v>
      </c>
      <c r="O770" t="s">
        <v>46</v>
      </c>
      <c r="P770">
        <v>74</v>
      </c>
      <c r="Q770">
        <v>3</v>
      </c>
      <c r="R770">
        <v>2</v>
      </c>
      <c r="S770" t="s">
        <v>40</v>
      </c>
      <c r="T770">
        <v>1</v>
      </c>
      <c r="U770" t="str" cm="1">
        <f t="array" ref="U770">_xlfn.IFS(
HRData[[#This Row],[JobSatisfaction]]=1,"Very Dissatisfied",
HRData[[#This Row],[JobSatisfaction]]=2,"Dissatisfied",
HRData[[#This Row],[JobSatisfaction]]=3,"Satisfied",
HRData[[#This Row],[JobSatisfaction]]=4,"Very Satisfied"
)</f>
        <v>Very Dissatisfied</v>
      </c>
      <c r="V770" t="s">
        <v>48</v>
      </c>
      <c r="W770">
        <v>8396</v>
      </c>
      <c r="X770" t="str" cm="1">
        <f t="array" ref="X770">_xlfn.IFS(
HRData[[#This Row],[MonthlyIncome]]&lt;=4000,"Very Low Income",
HRData[[#This Row],[MonthlyIncome]]&lt;=8000,"Low Income",
HRData[[#This Row],[MonthlyIncome]]&lt;=12000,"Moderate Income",
HRData[[#This Row],[MonthlyIncome]]&lt;=16000,"High Income",
HRData[[#This Row],[MonthlyIncome]]&gt;16000,"Very High Income"
)</f>
        <v>Moderate Income</v>
      </c>
      <c r="Y770">
        <v>22217</v>
      </c>
      <c r="Z770">
        <v>1</v>
      </c>
      <c r="AA770" t="s">
        <v>42</v>
      </c>
      <c r="AB770" t="s">
        <v>43</v>
      </c>
      <c r="AC770">
        <v>14</v>
      </c>
      <c r="AD770" t="str" cm="1">
        <f t="array" ref="AD770">_xlfn.IFS(HRData[[#This Row],[PercentSalaryHike]]&lt;=15,"11-15",HRData[[#This Row],[PercentSalaryHike]]&lt;=20,"16-20",HRData[[#This Row],[PercentSalaryHike]]&gt;=21,"21+")</f>
        <v>11-15</v>
      </c>
      <c r="AE770">
        <v>3</v>
      </c>
      <c r="AF770">
        <v>2</v>
      </c>
      <c r="AG770">
        <v>80</v>
      </c>
      <c r="AH770">
        <v>1</v>
      </c>
      <c r="AI770">
        <v>8</v>
      </c>
      <c r="AJ770">
        <v>3</v>
      </c>
      <c r="AK770">
        <v>2</v>
      </c>
      <c r="AL770">
        <v>7</v>
      </c>
      <c r="AM770">
        <v>7</v>
      </c>
      <c r="AN770">
        <v>7</v>
      </c>
      <c r="AO770">
        <v>5</v>
      </c>
      <c r="AP77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70" t="str">
        <f>IF(HRData[[#This Row],[Attrition]]="Yes","Left", IF(HRData[[#This Row],[Attrition_Risk_Score]]&gt;=6,"High",IF(HRData[[#This Row],[Attrition_Risk_Score]]&gt;=3,"Medium","Low")))</f>
        <v>Low</v>
      </c>
      <c r="AR770" t="str">
        <f>IF(HRData[[#This Row],[Attrition_Risk_Level]]&lt;&gt;"High","",HRData[[#This Row],[Attrition_Risk_Score]]*10000-HRData[[#This Row],[EmployeeNumber]])</f>
        <v/>
      </c>
    </row>
    <row r="771" spans="1:44">
      <c r="A771">
        <v>26</v>
      </c>
      <c r="B771" t="str" cm="1">
        <f t="array" ref="B771">_xlfn.IFS(
HRData[[#This Row],[Age]]&lt;=24,"18-24",
HRData[[#This Row],[Age]]&lt;=34,"25-34",
HRData[[#This Row],[Age]]&lt;=44,"35-44",
HRData[[#This Row],[Age]]&lt;=54,"45-54",
HRData[[#This Row],[Age]]&gt;=55,"55+"
)</f>
        <v>25-34</v>
      </c>
      <c r="C771" t="s">
        <v>43</v>
      </c>
      <c r="D771">
        <f>IF(HRData[[#This Row],[Attrition]]="Yes",1,0)</f>
        <v>0</v>
      </c>
      <c r="E771" t="s">
        <v>44</v>
      </c>
      <c r="F771">
        <v>921</v>
      </c>
      <c r="G771" t="s">
        <v>45</v>
      </c>
      <c r="H771">
        <v>1</v>
      </c>
      <c r="I771">
        <v>1</v>
      </c>
      <c r="J771" t="s">
        <v>51</v>
      </c>
      <c r="K771">
        <v>1</v>
      </c>
      <c r="L771">
        <v>1068</v>
      </c>
      <c r="M771">
        <v>1</v>
      </c>
      <c r="N771" t="str" cm="1">
        <f t="array" ref="N771">_xlfn.IFS(HRData[[#This Row],[EnvironmentSatisfaction]]=1,"Very Dissatisfied",
HRData[[#This Row],[EnvironmentSatisfaction]]=2,"Dissatisfied",
HRData[[#This Row],[EnvironmentSatisfaction]]=3,"Satisfied",
HRData[[#This Row],[EnvironmentSatisfaction]]=4,"Very Satisfied"
)</f>
        <v>Very Dissatisfied</v>
      </c>
      <c r="O771" t="s">
        <v>39</v>
      </c>
      <c r="P771">
        <v>66</v>
      </c>
      <c r="Q771">
        <v>2</v>
      </c>
      <c r="R771">
        <v>1</v>
      </c>
      <c r="S771" t="s">
        <v>47</v>
      </c>
      <c r="T771">
        <v>3</v>
      </c>
      <c r="U771" t="str" cm="1">
        <f t="array" ref="U771">_xlfn.IFS(
HRData[[#This Row],[JobSatisfaction]]=1,"Very Dissatisfied",
HRData[[#This Row],[JobSatisfaction]]=2,"Dissatisfied",
HRData[[#This Row],[JobSatisfaction]]=3,"Satisfied",
HRData[[#This Row],[JobSatisfaction]]=4,"Very Satisfied"
)</f>
        <v>Satisfied</v>
      </c>
      <c r="V771" t="s">
        <v>52</v>
      </c>
      <c r="W771">
        <v>2007</v>
      </c>
      <c r="X771" t="str" cm="1">
        <f t="array" ref="X771">_xlfn.IFS(
HRData[[#This Row],[MonthlyIncome]]&lt;=4000,"Very Low Income",
HRData[[#This Row],[MonthlyIncome]]&lt;=8000,"Low Income",
HRData[[#This Row],[MonthlyIncome]]&lt;=12000,"Moderate Income",
HRData[[#This Row],[MonthlyIncome]]&lt;=16000,"High Income",
HRData[[#This Row],[MonthlyIncome]]&gt;16000,"Very High Income"
)</f>
        <v>Very Low Income</v>
      </c>
      <c r="Y771">
        <v>25265</v>
      </c>
      <c r="Z771">
        <v>1</v>
      </c>
      <c r="AA771" t="s">
        <v>42</v>
      </c>
      <c r="AB771" t="s">
        <v>43</v>
      </c>
      <c r="AC771">
        <v>13</v>
      </c>
      <c r="AD771" t="str" cm="1">
        <f t="array" ref="AD771">_xlfn.IFS(HRData[[#This Row],[PercentSalaryHike]]&lt;=15,"11-15",HRData[[#This Row],[PercentSalaryHike]]&lt;=20,"16-20",HRData[[#This Row],[PercentSalaryHike]]&gt;=21,"21+")</f>
        <v>11-15</v>
      </c>
      <c r="AE771">
        <v>3</v>
      </c>
      <c r="AF771">
        <v>3</v>
      </c>
      <c r="AG771">
        <v>80</v>
      </c>
      <c r="AH771">
        <v>2</v>
      </c>
      <c r="AI771">
        <v>5</v>
      </c>
      <c r="AJ771">
        <v>5</v>
      </c>
      <c r="AK771">
        <v>3</v>
      </c>
      <c r="AL771">
        <v>5</v>
      </c>
      <c r="AM771">
        <v>3</v>
      </c>
      <c r="AN771">
        <v>1</v>
      </c>
      <c r="AO771">
        <v>3</v>
      </c>
      <c r="AP77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71" t="str">
        <f>IF(HRData[[#This Row],[Attrition]]="Yes","Left", IF(HRData[[#This Row],[Attrition_Risk_Score]]&gt;=6,"High",IF(HRData[[#This Row],[Attrition_Risk_Score]]&gt;=3,"Medium","Low")))</f>
        <v>Medium</v>
      </c>
      <c r="AR771" t="str">
        <f>IF(HRData[[#This Row],[Attrition_Risk_Level]]&lt;&gt;"High","",HRData[[#This Row],[Attrition_Risk_Score]]*10000-HRData[[#This Row],[EmployeeNumber]])</f>
        <v/>
      </c>
    </row>
    <row r="772" spans="1:44">
      <c r="A772">
        <v>46</v>
      </c>
      <c r="B772" t="str" cm="1">
        <f t="array" ref="B772">_xlfn.IFS(
HRData[[#This Row],[Age]]&lt;=24,"18-24",
HRData[[#This Row],[Age]]&lt;=34,"25-34",
HRData[[#This Row],[Age]]&lt;=44,"35-44",
HRData[[#This Row],[Age]]&lt;=54,"45-54",
HRData[[#This Row],[Age]]&gt;=55,"55+"
)</f>
        <v>45-54</v>
      </c>
      <c r="C772" t="s">
        <v>43</v>
      </c>
      <c r="D772">
        <f>IF(HRData[[#This Row],[Attrition]]="Yes",1,0)</f>
        <v>0</v>
      </c>
      <c r="E772" t="s">
        <v>36</v>
      </c>
      <c r="F772">
        <v>430</v>
      </c>
      <c r="G772" t="s">
        <v>45</v>
      </c>
      <c r="H772">
        <v>1</v>
      </c>
      <c r="I772">
        <v>4</v>
      </c>
      <c r="J772" t="s">
        <v>51</v>
      </c>
      <c r="K772">
        <v>1</v>
      </c>
      <c r="L772">
        <v>1069</v>
      </c>
      <c r="M772">
        <v>4</v>
      </c>
      <c r="N772" t="str" cm="1">
        <f t="array" ref="N772">_xlfn.IFS(HRData[[#This Row],[EnvironmentSatisfaction]]=1,"Very Dissatisfied",
HRData[[#This Row],[EnvironmentSatisfaction]]=2,"Dissatisfied",
HRData[[#This Row],[EnvironmentSatisfaction]]=3,"Satisfied",
HRData[[#This Row],[EnvironmentSatisfaction]]=4,"Very Satisfied"
)</f>
        <v>Very Satisfied</v>
      </c>
      <c r="O772" t="s">
        <v>46</v>
      </c>
      <c r="P772">
        <v>40</v>
      </c>
      <c r="Q772">
        <v>3</v>
      </c>
      <c r="R772">
        <v>5</v>
      </c>
      <c r="S772" t="s">
        <v>58</v>
      </c>
      <c r="T772">
        <v>4</v>
      </c>
      <c r="U772" t="str" cm="1">
        <f t="array" ref="U772">_xlfn.IFS(
HRData[[#This Row],[JobSatisfaction]]=1,"Very Dissatisfied",
HRData[[#This Row],[JobSatisfaction]]=2,"Dissatisfied",
HRData[[#This Row],[JobSatisfaction]]=3,"Satisfied",
HRData[[#This Row],[JobSatisfaction]]=4,"Very Satisfied"
)</f>
        <v>Very Satisfied</v>
      </c>
      <c r="V772" t="s">
        <v>52</v>
      </c>
      <c r="W772">
        <v>19627</v>
      </c>
      <c r="X772" t="str" cm="1">
        <f t="array" ref="X772">_xlfn.IFS(
HRData[[#This Row],[MonthlyIncome]]&lt;=4000,"Very Low Income",
HRData[[#This Row],[MonthlyIncome]]&lt;=8000,"Low Income",
HRData[[#This Row],[MonthlyIncome]]&lt;=12000,"Moderate Income",
HRData[[#This Row],[MonthlyIncome]]&lt;=16000,"High Income",
HRData[[#This Row],[MonthlyIncome]]&gt;16000,"Very High Income"
)</f>
        <v>Very High Income</v>
      </c>
      <c r="Y772">
        <v>21445</v>
      </c>
      <c r="Z772">
        <v>9</v>
      </c>
      <c r="AA772" t="s">
        <v>42</v>
      </c>
      <c r="AB772" t="s">
        <v>43</v>
      </c>
      <c r="AC772">
        <v>17</v>
      </c>
      <c r="AD772" t="str" cm="1">
        <f t="array" ref="AD772">_xlfn.IFS(HRData[[#This Row],[PercentSalaryHike]]&lt;=15,"11-15",HRData[[#This Row],[PercentSalaryHike]]&lt;=20,"16-20",HRData[[#This Row],[PercentSalaryHike]]&gt;=21,"21+")</f>
        <v>16-20</v>
      </c>
      <c r="AE772">
        <v>3</v>
      </c>
      <c r="AF772">
        <v>4</v>
      </c>
      <c r="AG772">
        <v>80</v>
      </c>
      <c r="AH772">
        <v>2</v>
      </c>
      <c r="AI772">
        <v>23</v>
      </c>
      <c r="AJ772">
        <v>0</v>
      </c>
      <c r="AK772">
        <v>3</v>
      </c>
      <c r="AL772">
        <v>2</v>
      </c>
      <c r="AM772">
        <v>2</v>
      </c>
      <c r="AN772">
        <v>2</v>
      </c>
      <c r="AO772">
        <v>2</v>
      </c>
      <c r="AP77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72" t="str">
        <f>IF(HRData[[#This Row],[Attrition]]="Yes","Left", IF(HRData[[#This Row],[Attrition_Risk_Score]]&gt;=6,"High",IF(HRData[[#This Row],[Attrition_Risk_Score]]&gt;=3,"Medium","Low")))</f>
        <v>Low</v>
      </c>
      <c r="AR772" t="str">
        <f>IF(HRData[[#This Row],[Attrition_Risk_Level]]&lt;&gt;"High","",HRData[[#This Row],[Attrition_Risk_Score]]*10000-HRData[[#This Row],[EmployeeNumber]])</f>
        <v/>
      </c>
    </row>
    <row r="773" spans="1:44">
      <c r="A773">
        <v>54</v>
      </c>
      <c r="B773" t="str" cm="1">
        <f t="array" ref="B773">_xlfn.IFS(
HRData[[#This Row],[Age]]&lt;=24,"18-24",
HRData[[#This Row],[Age]]&lt;=34,"25-34",
HRData[[#This Row],[Age]]&lt;=44,"35-44",
HRData[[#This Row],[Age]]&lt;=54,"45-54",
HRData[[#This Row],[Age]]&gt;=55,"55+"
)</f>
        <v>45-54</v>
      </c>
      <c r="C773" t="s">
        <v>43</v>
      </c>
      <c r="D773">
        <f>IF(HRData[[#This Row],[Attrition]]="Yes",1,0)</f>
        <v>0</v>
      </c>
      <c r="E773" t="s">
        <v>36</v>
      </c>
      <c r="F773">
        <v>1082</v>
      </c>
      <c r="G773" t="s">
        <v>37</v>
      </c>
      <c r="H773">
        <v>2</v>
      </c>
      <c r="I773">
        <v>4</v>
      </c>
      <c r="J773" t="s">
        <v>38</v>
      </c>
      <c r="K773">
        <v>1</v>
      </c>
      <c r="L773">
        <v>1070</v>
      </c>
      <c r="M773">
        <v>3</v>
      </c>
      <c r="N773" t="str" cm="1">
        <f t="array" ref="N773">_xlfn.IFS(HRData[[#This Row],[EnvironmentSatisfaction]]=1,"Very Dissatisfied",
HRData[[#This Row],[EnvironmentSatisfaction]]=2,"Dissatisfied",
HRData[[#This Row],[EnvironmentSatisfaction]]=3,"Satisfied",
HRData[[#This Row],[EnvironmentSatisfaction]]=4,"Very Satisfied"
)</f>
        <v>Satisfied</v>
      </c>
      <c r="O773" t="s">
        <v>39</v>
      </c>
      <c r="P773">
        <v>41</v>
      </c>
      <c r="Q773">
        <v>2</v>
      </c>
      <c r="R773">
        <v>3</v>
      </c>
      <c r="S773" t="s">
        <v>40</v>
      </c>
      <c r="T773">
        <v>3</v>
      </c>
      <c r="U773" t="str" cm="1">
        <f t="array" ref="U773">_xlfn.IFS(
HRData[[#This Row],[JobSatisfaction]]=1,"Very Dissatisfied",
HRData[[#This Row],[JobSatisfaction]]=2,"Dissatisfied",
HRData[[#This Row],[JobSatisfaction]]=3,"Satisfied",
HRData[[#This Row],[JobSatisfaction]]=4,"Very Satisfied"
)</f>
        <v>Satisfied</v>
      </c>
      <c r="V773" t="s">
        <v>48</v>
      </c>
      <c r="W773">
        <v>10686</v>
      </c>
      <c r="X773" t="str" cm="1">
        <f t="array" ref="X773">_xlfn.IFS(
HRData[[#This Row],[MonthlyIncome]]&lt;=4000,"Very Low Income",
HRData[[#This Row],[MonthlyIncome]]&lt;=8000,"Low Income",
HRData[[#This Row],[MonthlyIncome]]&lt;=12000,"Moderate Income",
HRData[[#This Row],[MonthlyIncome]]&lt;=16000,"High Income",
HRData[[#This Row],[MonthlyIncome]]&gt;16000,"Very High Income"
)</f>
        <v>Moderate Income</v>
      </c>
      <c r="Y773">
        <v>8392</v>
      </c>
      <c r="Z773">
        <v>6</v>
      </c>
      <c r="AA773" t="s">
        <v>42</v>
      </c>
      <c r="AB773" t="s">
        <v>43</v>
      </c>
      <c r="AC773">
        <v>11</v>
      </c>
      <c r="AD773" t="str" cm="1">
        <f t="array" ref="AD773">_xlfn.IFS(HRData[[#This Row],[PercentSalaryHike]]&lt;=15,"11-15",HRData[[#This Row],[PercentSalaryHike]]&lt;=20,"16-20",HRData[[#This Row],[PercentSalaryHike]]&gt;=21,"21+")</f>
        <v>11-15</v>
      </c>
      <c r="AE773">
        <v>3</v>
      </c>
      <c r="AF773">
        <v>2</v>
      </c>
      <c r="AG773">
        <v>80</v>
      </c>
      <c r="AH773">
        <v>1</v>
      </c>
      <c r="AI773">
        <v>13</v>
      </c>
      <c r="AJ773">
        <v>4</v>
      </c>
      <c r="AK773">
        <v>3</v>
      </c>
      <c r="AL773">
        <v>9</v>
      </c>
      <c r="AM773">
        <v>4</v>
      </c>
      <c r="AN773">
        <v>7</v>
      </c>
      <c r="AO773">
        <v>0</v>
      </c>
      <c r="AP77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73" t="str">
        <f>IF(HRData[[#This Row],[Attrition]]="Yes","Left", IF(HRData[[#This Row],[Attrition_Risk_Score]]&gt;=6,"High",IF(HRData[[#This Row],[Attrition_Risk_Score]]&gt;=3,"Medium","Low")))</f>
        <v>Low</v>
      </c>
      <c r="AR773" t="str">
        <f>IF(HRData[[#This Row],[Attrition_Risk_Level]]&lt;&gt;"High","",HRData[[#This Row],[Attrition_Risk_Score]]*10000-HRData[[#This Row],[EmployeeNumber]])</f>
        <v/>
      </c>
    </row>
    <row r="774" spans="1:44">
      <c r="A774">
        <v>56</v>
      </c>
      <c r="B774" t="str" cm="1">
        <f t="array" ref="B774">_xlfn.IFS(
HRData[[#This Row],[Age]]&lt;=24,"18-24",
HRData[[#This Row],[Age]]&lt;=34,"25-34",
HRData[[#This Row],[Age]]&lt;=44,"35-44",
HRData[[#This Row],[Age]]&lt;=54,"45-54",
HRData[[#This Row],[Age]]&gt;=55,"55+"
)</f>
        <v>55+</v>
      </c>
      <c r="C774" t="s">
        <v>43</v>
      </c>
      <c r="D774">
        <f>IF(HRData[[#This Row],[Attrition]]="Yes",1,0)</f>
        <v>0</v>
      </c>
      <c r="E774" t="s">
        <v>44</v>
      </c>
      <c r="F774">
        <v>1240</v>
      </c>
      <c r="G774" t="s">
        <v>45</v>
      </c>
      <c r="H774">
        <v>9</v>
      </c>
      <c r="I774">
        <v>3</v>
      </c>
      <c r="J774" t="s">
        <v>51</v>
      </c>
      <c r="K774">
        <v>1</v>
      </c>
      <c r="L774">
        <v>1071</v>
      </c>
      <c r="M774">
        <v>1</v>
      </c>
      <c r="N774" t="str" cm="1">
        <f t="array" ref="N774">_xlfn.IFS(HRData[[#This Row],[EnvironmentSatisfaction]]=1,"Very Dissatisfied",
HRData[[#This Row],[EnvironmentSatisfaction]]=2,"Dissatisfied",
HRData[[#This Row],[EnvironmentSatisfaction]]=3,"Satisfied",
HRData[[#This Row],[EnvironmentSatisfaction]]=4,"Very Satisfied"
)</f>
        <v>Very Dissatisfied</v>
      </c>
      <c r="O774" t="s">
        <v>39</v>
      </c>
      <c r="P774">
        <v>63</v>
      </c>
      <c r="Q774">
        <v>3</v>
      </c>
      <c r="R774">
        <v>1</v>
      </c>
      <c r="S774" t="s">
        <v>47</v>
      </c>
      <c r="T774">
        <v>3</v>
      </c>
      <c r="U774" t="str" cm="1">
        <f t="array" ref="U774">_xlfn.IFS(
HRData[[#This Row],[JobSatisfaction]]=1,"Very Dissatisfied",
HRData[[#This Row],[JobSatisfaction]]=2,"Dissatisfied",
HRData[[#This Row],[JobSatisfaction]]=3,"Satisfied",
HRData[[#This Row],[JobSatisfaction]]=4,"Very Satisfied"
)</f>
        <v>Satisfied</v>
      </c>
      <c r="V774" t="s">
        <v>48</v>
      </c>
      <c r="W774">
        <v>2942</v>
      </c>
      <c r="X774" t="str" cm="1">
        <f t="array" ref="X774">_xlfn.IFS(
HRData[[#This Row],[MonthlyIncome]]&lt;=4000,"Very Low Income",
HRData[[#This Row],[MonthlyIncome]]&lt;=8000,"Low Income",
HRData[[#This Row],[MonthlyIncome]]&lt;=12000,"Moderate Income",
HRData[[#This Row],[MonthlyIncome]]&lt;=16000,"High Income",
HRData[[#This Row],[MonthlyIncome]]&gt;16000,"Very High Income"
)</f>
        <v>Very Low Income</v>
      </c>
      <c r="Y774">
        <v>12154</v>
      </c>
      <c r="Z774">
        <v>2</v>
      </c>
      <c r="AA774" t="s">
        <v>42</v>
      </c>
      <c r="AB774" t="s">
        <v>43</v>
      </c>
      <c r="AC774">
        <v>19</v>
      </c>
      <c r="AD774" t="str" cm="1">
        <f t="array" ref="AD774">_xlfn.IFS(HRData[[#This Row],[PercentSalaryHike]]&lt;=15,"11-15",HRData[[#This Row],[PercentSalaryHike]]&lt;=20,"16-20",HRData[[#This Row],[PercentSalaryHike]]&gt;=21,"21+")</f>
        <v>16-20</v>
      </c>
      <c r="AE774">
        <v>3</v>
      </c>
      <c r="AF774">
        <v>2</v>
      </c>
      <c r="AG774">
        <v>80</v>
      </c>
      <c r="AH774">
        <v>1</v>
      </c>
      <c r="AI774">
        <v>18</v>
      </c>
      <c r="AJ774">
        <v>4</v>
      </c>
      <c r="AK774">
        <v>3</v>
      </c>
      <c r="AL774">
        <v>5</v>
      </c>
      <c r="AM774">
        <v>4</v>
      </c>
      <c r="AN774">
        <v>0</v>
      </c>
      <c r="AO774">
        <v>3</v>
      </c>
      <c r="AP77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74" t="str">
        <f>IF(HRData[[#This Row],[Attrition]]="Yes","Left", IF(HRData[[#This Row],[Attrition_Risk_Score]]&gt;=6,"High",IF(HRData[[#This Row],[Attrition_Risk_Score]]&gt;=3,"Medium","Low")))</f>
        <v>Low</v>
      </c>
      <c r="AR774" t="str">
        <f>IF(HRData[[#This Row],[Attrition_Risk_Level]]&lt;&gt;"High","",HRData[[#This Row],[Attrition_Risk_Score]]*10000-HRData[[#This Row],[EmployeeNumber]])</f>
        <v/>
      </c>
    </row>
    <row r="775" spans="1:44">
      <c r="A775">
        <v>36</v>
      </c>
      <c r="B775" t="str" cm="1">
        <f t="array" ref="B775">_xlfn.IFS(
HRData[[#This Row],[Age]]&lt;=24,"18-24",
HRData[[#This Row],[Age]]&lt;=34,"25-34",
HRData[[#This Row],[Age]]&lt;=44,"35-44",
HRData[[#This Row],[Age]]&lt;=54,"45-54",
HRData[[#This Row],[Age]]&gt;=55,"55+"
)</f>
        <v>35-44</v>
      </c>
      <c r="C775" t="s">
        <v>43</v>
      </c>
      <c r="D775">
        <f>IF(HRData[[#This Row],[Attrition]]="Yes",1,0)</f>
        <v>0</v>
      </c>
      <c r="E775" t="s">
        <v>36</v>
      </c>
      <c r="F775">
        <v>796</v>
      </c>
      <c r="G775" t="s">
        <v>45</v>
      </c>
      <c r="H775">
        <v>12</v>
      </c>
      <c r="I775">
        <v>5</v>
      </c>
      <c r="J775" t="s">
        <v>51</v>
      </c>
      <c r="K775">
        <v>1</v>
      </c>
      <c r="L775">
        <v>1073</v>
      </c>
      <c r="M775">
        <v>4</v>
      </c>
      <c r="N775" t="str" cm="1">
        <f t="array" ref="N775">_xlfn.IFS(HRData[[#This Row],[EnvironmentSatisfaction]]=1,"Very Dissatisfied",
HRData[[#This Row],[EnvironmentSatisfaction]]=2,"Dissatisfied",
HRData[[#This Row],[EnvironmentSatisfaction]]=3,"Satisfied",
HRData[[#This Row],[EnvironmentSatisfaction]]=4,"Very Satisfied"
)</f>
        <v>Very Satisfied</v>
      </c>
      <c r="O775" t="s">
        <v>39</v>
      </c>
      <c r="P775">
        <v>51</v>
      </c>
      <c r="Q775">
        <v>2</v>
      </c>
      <c r="R775">
        <v>3</v>
      </c>
      <c r="S775" t="s">
        <v>53</v>
      </c>
      <c r="T775">
        <v>4</v>
      </c>
      <c r="U775" t="str" cm="1">
        <f t="array" ref="U775">_xlfn.IFS(
HRData[[#This Row],[JobSatisfaction]]=1,"Very Dissatisfied",
HRData[[#This Row],[JobSatisfaction]]=2,"Dissatisfied",
HRData[[#This Row],[JobSatisfaction]]=3,"Satisfied",
HRData[[#This Row],[JobSatisfaction]]=4,"Very Satisfied"
)</f>
        <v>Very Satisfied</v>
      </c>
      <c r="V775" t="s">
        <v>41</v>
      </c>
      <c r="W775">
        <v>8858</v>
      </c>
      <c r="X775" t="str" cm="1">
        <f t="array" ref="X775">_xlfn.IFS(
HRData[[#This Row],[MonthlyIncome]]&lt;=4000,"Very Low Income",
HRData[[#This Row],[MonthlyIncome]]&lt;=8000,"Low Income",
HRData[[#This Row],[MonthlyIncome]]&lt;=12000,"Moderate Income",
HRData[[#This Row],[MonthlyIncome]]&lt;=16000,"High Income",
HRData[[#This Row],[MonthlyIncome]]&gt;16000,"Very High Income"
)</f>
        <v>Moderate Income</v>
      </c>
      <c r="Y775">
        <v>15669</v>
      </c>
      <c r="Z775">
        <v>0</v>
      </c>
      <c r="AA775" t="s">
        <v>42</v>
      </c>
      <c r="AB775" t="s">
        <v>43</v>
      </c>
      <c r="AC775">
        <v>11</v>
      </c>
      <c r="AD775" t="str" cm="1">
        <f t="array" ref="AD775">_xlfn.IFS(HRData[[#This Row],[PercentSalaryHike]]&lt;=15,"11-15",HRData[[#This Row],[PercentSalaryHike]]&lt;=20,"16-20",HRData[[#This Row],[PercentSalaryHike]]&gt;=21,"21+")</f>
        <v>11-15</v>
      </c>
      <c r="AE775">
        <v>3</v>
      </c>
      <c r="AF775">
        <v>2</v>
      </c>
      <c r="AG775">
        <v>80</v>
      </c>
      <c r="AH775">
        <v>0</v>
      </c>
      <c r="AI775">
        <v>15</v>
      </c>
      <c r="AJ775">
        <v>2</v>
      </c>
      <c r="AK775">
        <v>2</v>
      </c>
      <c r="AL775">
        <v>14</v>
      </c>
      <c r="AM775">
        <v>8</v>
      </c>
      <c r="AN775">
        <v>7</v>
      </c>
      <c r="AO775">
        <v>8</v>
      </c>
      <c r="AP77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75" t="str">
        <f>IF(HRData[[#This Row],[Attrition]]="Yes","Left", IF(HRData[[#This Row],[Attrition_Risk_Score]]&gt;=6,"High",IF(HRData[[#This Row],[Attrition_Risk_Score]]&gt;=3,"Medium","Low")))</f>
        <v>Low</v>
      </c>
      <c r="AR775" t="str">
        <f>IF(HRData[[#This Row],[Attrition_Risk_Level]]&lt;&gt;"High","",HRData[[#This Row],[Attrition_Risk_Score]]*10000-HRData[[#This Row],[EmployeeNumber]])</f>
        <v/>
      </c>
    </row>
    <row r="776" spans="1:44">
      <c r="A776">
        <v>55</v>
      </c>
      <c r="B776" t="str" cm="1">
        <f t="array" ref="B776">_xlfn.IFS(
HRData[[#This Row],[Age]]&lt;=24,"18-24",
HRData[[#This Row],[Age]]&lt;=34,"25-34",
HRData[[#This Row],[Age]]&lt;=44,"35-44",
HRData[[#This Row],[Age]]&lt;=54,"45-54",
HRData[[#This Row],[Age]]&gt;=55,"55+"
)</f>
        <v>55+</v>
      </c>
      <c r="C776" t="s">
        <v>43</v>
      </c>
      <c r="D776">
        <f>IF(HRData[[#This Row],[Attrition]]="Yes",1,0)</f>
        <v>0</v>
      </c>
      <c r="E776" t="s">
        <v>55</v>
      </c>
      <c r="F776">
        <v>444</v>
      </c>
      <c r="G776" t="s">
        <v>45</v>
      </c>
      <c r="H776">
        <v>2</v>
      </c>
      <c r="I776">
        <v>1</v>
      </c>
      <c r="J776" t="s">
        <v>51</v>
      </c>
      <c r="K776">
        <v>1</v>
      </c>
      <c r="L776">
        <v>1074</v>
      </c>
      <c r="M776">
        <v>3</v>
      </c>
      <c r="N776" t="str" cm="1">
        <f t="array" ref="N776">_xlfn.IFS(HRData[[#This Row],[EnvironmentSatisfaction]]=1,"Very Dissatisfied",
HRData[[#This Row],[EnvironmentSatisfaction]]=2,"Dissatisfied",
HRData[[#This Row],[EnvironmentSatisfaction]]=3,"Satisfied",
HRData[[#This Row],[EnvironmentSatisfaction]]=4,"Very Satisfied"
)</f>
        <v>Satisfied</v>
      </c>
      <c r="O776" t="s">
        <v>46</v>
      </c>
      <c r="P776">
        <v>40</v>
      </c>
      <c r="Q776">
        <v>2</v>
      </c>
      <c r="R776">
        <v>4</v>
      </c>
      <c r="S776" t="s">
        <v>56</v>
      </c>
      <c r="T776">
        <v>1</v>
      </c>
      <c r="U776" t="str" cm="1">
        <f t="array" ref="U776">_xlfn.IFS(
HRData[[#This Row],[JobSatisfaction]]=1,"Very Dissatisfied",
HRData[[#This Row],[JobSatisfaction]]=2,"Dissatisfied",
HRData[[#This Row],[JobSatisfaction]]=3,"Satisfied",
HRData[[#This Row],[JobSatisfaction]]=4,"Very Satisfied"
)</f>
        <v>Very Dissatisfied</v>
      </c>
      <c r="V776" t="s">
        <v>41</v>
      </c>
      <c r="W776">
        <v>16756</v>
      </c>
      <c r="X776" t="str" cm="1">
        <f t="array" ref="X776">_xlfn.IFS(
HRData[[#This Row],[MonthlyIncome]]&lt;=4000,"Very Low Income",
HRData[[#This Row],[MonthlyIncome]]&lt;=8000,"Low Income",
HRData[[#This Row],[MonthlyIncome]]&lt;=12000,"Moderate Income",
HRData[[#This Row],[MonthlyIncome]]&lt;=16000,"High Income",
HRData[[#This Row],[MonthlyIncome]]&gt;16000,"Very High Income"
)</f>
        <v>Very High Income</v>
      </c>
      <c r="Y776">
        <v>17323</v>
      </c>
      <c r="Z776">
        <v>7</v>
      </c>
      <c r="AA776" t="s">
        <v>42</v>
      </c>
      <c r="AB776" t="s">
        <v>43</v>
      </c>
      <c r="AC776">
        <v>15</v>
      </c>
      <c r="AD776" t="str" cm="1">
        <f t="array" ref="AD776">_xlfn.IFS(HRData[[#This Row],[PercentSalaryHike]]&lt;=15,"11-15",HRData[[#This Row],[PercentSalaryHike]]&lt;=20,"16-20",HRData[[#This Row],[PercentSalaryHike]]&gt;=21,"21+")</f>
        <v>11-15</v>
      </c>
      <c r="AE776">
        <v>3</v>
      </c>
      <c r="AF776">
        <v>2</v>
      </c>
      <c r="AG776">
        <v>80</v>
      </c>
      <c r="AH776">
        <v>0</v>
      </c>
      <c r="AI776">
        <v>31</v>
      </c>
      <c r="AJ776">
        <v>3</v>
      </c>
      <c r="AK776">
        <v>4</v>
      </c>
      <c r="AL776">
        <v>9</v>
      </c>
      <c r="AM776">
        <v>7</v>
      </c>
      <c r="AN776">
        <v>6</v>
      </c>
      <c r="AO776">
        <v>2</v>
      </c>
      <c r="AP77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76" t="str">
        <f>IF(HRData[[#This Row],[Attrition]]="Yes","Left", IF(HRData[[#This Row],[Attrition_Risk_Score]]&gt;=6,"High",IF(HRData[[#This Row],[Attrition_Risk_Score]]&gt;=3,"Medium","Low")))</f>
        <v>Low</v>
      </c>
      <c r="AR776" t="str">
        <f>IF(HRData[[#This Row],[Attrition_Risk_Level]]&lt;&gt;"High","",HRData[[#This Row],[Attrition_Risk_Score]]*10000-HRData[[#This Row],[EmployeeNumber]])</f>
        <v/>
      </c>
    </row>
    <row r="777" spans="1:44">
      <c r="A777">
        <v>43</v>
      </c>
      <c r="B777" t="str" cm="1">
        <f t="array" ref="B777">_xlfn.IFS(
HRData[[#This Row],[Age]]&lt;=24,"18-24",
HRData[[#This Row],[Age]]&lt;=34,"25-34",
HRData[[#This Row],[Age]]&lt;=44,"35-44",
HRData[[#This Row],[Age]]&lt;=54,"45-54",
HRData[[#This Row],[Age]]&gt;=55,"55+"
)</f>
        <v>35-44</v>
      </c>
      <c r="C777" t="s">
        <v>43</v>
      </c>
      <c r="D777">
        <f>IF(HRData[[#This Row],[Attrition]]="Yes",1,0)</f>
        <v>0</v>
      </c>
      <c r="E777" t="s">
        <v>36</v>
      </c>
      <c r="F777">
        <v>415</v>
      </c>
      <c r="G777" t="s">
        <v>37</v>
      </c>
      <c r="H777">
        <v>25</v>
      </c>
      <c r="I777">
        <v>3</v>
      </c>
      <c r="J777" t="s">
        <v>51</v>
      </c>
      <c r="K777">
        <v>1</v>
      </c>
      <c r="L777">
        <v>1076</v>
      </c>
      <c r="M777">
        <v>3</v>
      </c>
      <c r="N777" t="str" cm="1">
        <f t="array" ref="N777">_xlfn.IFS(HRData[[#This Row],[EnvironmentSatisfaction]]=1,"Very Dissatisfied",
HRData[[#This Row],[EnvironmentSatisfaction]]=2,"Dissatisfied",
HRData[[#This Row],[EnvironmentSatisfaction]]=3,"Satisfied",
HRData[[#This Row],[EnvironmentSatisfaction]]=4,"Very Satisfied"
)</f>
        <v>Satisfied</v>
      </c>
      <c r="O777" t="s">
        <v>46</v>
      </c>
      <c r="P777">
        <v>79</v>
      </c>
      <c r="Q777">
        <v>2</v>
      </c>
      <c r="R777">
        <v>3</v>
      </c>
      <c r="S777" t="s">
        <v>40</v>
      </c>
      <c r="T777">
        <v>4</v>
      </c>
      <c r="U777" t="str" cm="1">
        <f t="array" ref="U777">_xlfn.IFS(
HRData[[#This Row],[JobSatisfaction]]=1,"Very Dissatisfied",
HRData[[#This Row],[JobSatisfaction]]=2,"Dissatisfied",
HRData[[#This Row],[JobSatisfaction]]=3,"Satisfied",
HRData[[#This Row],[JobSatisfaction]]=4,"Very Satisfied"
)</f>
        <v>Very Satisfied</v>
      </c>
      <c r="V777" t="s">
        <v>52</v>
      </c>
      <c r="W777">
        <v>10798</v>
      </c>
      <c r="X777" t="str" cm="1">
        <f t="array" ref="X777">_xlfn.IFS(
HRData[[#This Row],[MonthlyIncome]]&lt;=4000,"Very Low Income",
HRData[[#This Row],[MonthlyIncome]]&lt;=8000,"Low Income",
HRData[[#This Row],[MonthlyIncome]]&lt;=12000,"Moderate Income",
HRData[[#This Row],[MonthlyIncome]]&lt;=16000,"High Income",
HRData[[#This Row],[MonthlyIncome]]&gt;16000,"Very High Income"
)</f>
        <v>Moderate Income</v>
      </c>
      <c r="Y777">
        <v>5268</v>
      </c>
      <c r="Z777">
        <v>5</v>
      </c>
      <c r="AA777" t="s">
        <v>42</v>
      </c>
      <c r="AB777" t="s">
        <v>43</v>
      </c>
      <c r="AC777">
        <v>13</v>
      </c>
      <c r="AD777" t="str" cm="1">
        <f t="array" ref="AD777">_xlfn.IFS(HRData[[#This Row],[PercentSalaryHike]]&lt;=15,"11-15",HRData[[#This Row],[PercentSalaryHike]]&lt;=20,"16-20",HRData[[#This Row],[PercentSalaryHike]]&gt;=21,"21+")</f>
        <v>11-15</v>
      </c>
      <c r="AE777">
        <v>3</v>
      </c>
      <c r="AF777">
        <v>3</v>
      </c>
      <c r="AG777">
        <v>80</v>
      </c>
      <c r="AH777">
        <v>1</v>
      </c>
      <c r="AI777">
        <v>18</v>
      </c>
      <c r="AJ777">
        <v>5</v>
      </c>
      <c r="AK777">
        <v>3</v>
      </c>
      <c r="AL777">
        <v>1</v>
      </c>
      <c r="AM777">
        <v>0</v>
      </c>
      <c r="AN777">
        <v>0</v>
      </c>
      <c r="AO777">
        <v>0</v>
      </c>
      <c r="AP77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77" t="str">
        <f>IF(HRData[[#This Row],[Attrition]]="Yes","Left", IF(HRData[[#This Row],[Attrition_Risk_Score]]&gt;=6,"High",IF(HRData[[#This Row],[Attrition_Risk_Score]]&gt;=3,"Medium","Low")))</f>
        <v>Low</v>
      </c>
      <c r="AR777" t="str">
        <f>IF(HRData[[#This Row],[Attrition_Risk_Level]]&lt;&gt;"High","",HRData[[#This Row],[Attrition_Risk_Score]]*10000-HRData[[#This Row],[EmployeeNumber]])</f>
        <v/>
      </c>
    </row>
    <row r="778" spans="1:44">
      <c r="A778">
        <v>20</v>
      </c>
      <c r="B778" t="str" cm="1">
        <f t="array" ref="B778">_xlfn.IFS(
HRData[[#This Row],[Age]]&lt;=24,"18-24",
HRData[[#This Row],[Age]]&lt;=34,"25-34",
HRData[[#This Row],[Age]]&lt;=44,"35-44",
HRData[[#This Row],[Age]]&lt;=54,"45-54",
HRData[[#This Row],[Age]]&gt;=55,"55+"
)</f>
        <v>18-24</v>
      </c>
      <c r="C778" t="s">
        <v>35</v>
      </c>
      <c r="D778">
        <f>IF(HRData[[#This Row],[Attrition]]="Yes",1,0)</f>
        <v>1</v>
      </c>
      <c r="E778" t="s">
        <v>44</v>
      </c>
      <c r="F778">
        <v>769</v>
      </c>
      <c r="G778" t="s">
        <v>37</v>
      </c>
      <c r="H778">
        <v>9</v>
      </c>
      <c r="I778">
        <v>3</v>
      </c>
      <c r="J778" t="s">
        <v>59</v>
      </c>
      <c r="K778">
        <v>1</v>
      </c>
      <c r="L778">
        <v>1077</v>
      </c>
      <c r="M778">
        <v>4</v>
      </c>
      <c r="N778" t="str" cm="1">
        <f t="array" ref="N778">_xlfn.IFS(HRData[[#This Row],[EnvironmentSatisfaction]]=1,"Very Dissatisfied",
HRData[[#This Row],[EnvironmentSatisfaction]]=2,"Dissatisfied",
HRData[[#This Row],[EnvironmentSatisfaction]]=3,"Satisfied",
HRData[[#This Row],[EnvironmentSatisfaction]]=4,"Very Satisfied"
)</f>
        <v>Very Satisfied</v>
      </c>
      <c r="O778" t="s">
        <v>39</v>
      </c>
      <c r="P778">
        <v>54</v>
      </c>
      <c r="Q778">
        <v>3</v>
      </c>
      <c r="R778">
        <v>1</v>
      </c>
      <c r="S778" t="s">
        <v>57</v>
      </c>
      <c r="T778">
        <v>4</v>
      </c>
      <c r="U778" t="str" cm="1">
        <f t="array" ref="U778">_xlfn.IFS(
HRData[[#This Row],[JobSatisfaction]]=1,"Very Dissatisfied",
HRData[[#This Row],[JobSatisfaction]]=2,"Dissatisfied",
HRData[[#This Row],[JobSatisfaction]]=3,"Satisfied",
HRData[[#This Row],[JobSatisfaction]]=4,"Very Satisfied"
)</f>
        <v>Very Satisfied</v>
      </c>
      <c r="V778" t="s">
        <v>41</v>
      </c>
      <c r="W778">
        <v>2323</v>
      </c>
      <c r="X778" t="str" cm="1">
        <f t="array" ref="X778">_xlfn.IFS(
HRData[[#This Row],[MonthlyIncome]]&lt;=4000,"Very Low Income",
HRData[[#This Row],[MonthlyIncome]]&lt;=8000,"Low Income",
HRData[[#This Row],[MonthlyIncome]]&lt;=12000,"Moderate Income",
HRData[[#This Row],[MonthlyIncome]]&lt;=16000,"High Income",
HRData[[#This Row],[MonthlyIncome]]&gt;16000,"Very High Income"
)</f>
        <v>Very Low Income</v>
      </c>
      <c r="Y778">
        <v>17205</v>
      </c>
      <c r="Z778">
        <v>1</v>
      </c>
      <c r="AA778" t="s">
        <v>42</v>
      </c>
      <c r="AB778" t="s">
        <v>35</v>
      </c>
      <c r="AC778">
        <v>14</v>
      </c>
      <c r="AD778" t="str" cm="1">
        <f t="array" ref="AD778">_xlfn.IFS(HRData[[#This Row],[PercentSalaryHike]]&lt;=15,"11-15",HRData[[#This Row],[PercentSalaryHike]]&lt;=20,"16-20",HRData[[#This Row],[PercentSalaryHike]]&gt;=21,"21+")</f>
        <v>11-15</v>
      </c>
      <c r="AE778">
        <v>3</v>
      </c>
      <c r="AF778">
        <v>2</v>
      </c>
      <c r="AG778">
        <v>80</v>
      </c>
      <c r="AH778">
        <v>0</v>
      </c>
      <c r="AI778">
        <v>2</v>
      </c>
      <c r="AJ778">
        <v>3</v>
      </c>
      <c r="AK778">
        <v>3</v>
      </c>
      <c r="AL778">
        <v>2</v>
      </c>
      <c r="AM778">
        <v>2</v>
      </c>
      <c r="AN778">
        <v>0</v>
      </c>
      <c r="AO778">
        <v>2</v>
      </c>
      <c r="AP77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78" t="str">
        <f>IF(HRData[[#This Row],[Attrition]]="Yes","Left", IF(HRData[[#This Row],[Attrition_Risk_Score]]&gt;=6,"High",IF(HRData[[#This Row],[Attrition_Risk_Score]]&gt;=3,"Medium","Low")))</f>
        <v>Left</v>
      </c>
      <c r="AR778" t="str">
        <f>IF(HRData[[#This Row],[Attrition_Risk_Level]]&lt;&gt;"High","",HRData[[#This Row],[Attrition_Risk_Score]]*10000-HRData[[#This Row],[EmployeeNumber]])</f>
        <v/>
      </c>
    </row>
    <row r="779" spans="1:44">
      <c r="A779">
        <v>21</v>
      </c>
      <c r="B779" t="str" cm="1">
        <f t="array" ref="B779">_xlfn.IFS(
HRData[[#This Row],[Age]]&lt;=24,"18-24",
HRData[[#This Row],[Age]]&lt;=34,"25-34",
HRData[[#This Row],[Age]]&lt;=44,"35-44",
HRData[[#This Row],[Age]]&lt;=54,"45-54",
HRData[[#This Row],[Age]]&gt;=55,"55+"
)</f>
        <v>18-24</v>
      </c>
      <c r="C779" t="s">
        <v>35</v>
      </c>
      <c r="D779">
        <f>IF(HRData[[#This Row],[Attrition]]="Yes",1,0)</f>
        <v>1</v>
      </c>
      <c r="E779" t="s">
        <v>36</v>
      </c>
      <c r="F779">
        <v>1334</v>
      </c>
      <c r="G779" t="s">
        <v>45</v>
      </c>
      <c r="H779">
        <v>10</v>
      </c>
      <c r="I779">
        <v>3</v>
      </c>
      <c r="J779" t="s">
        <v>38</v>
      </c>
      <c r="K779">
        <v>1</v>
      </c>
      <c r="L779">
        <v>1079</v>
      </c>
      <c r="M779">
        <v>3</v>
      </c>
      <c r="N779" t="str" cm="1">
        <f t="array" ref="N779">_xlfn.IFS(HRData[[#This Row],[EnvironmentSatisfaction]]=1,"Very Dissatisfied",
HRData[[#This Row],[EnvironmentSatisfaction]]=2,"Dissatisfied",
HRData[[#This Row],[EnvironmentSatisfaction]]=3,"Satisfied",
HRData[[#This Row],[EnvironmentSatisfaction]]=4,"Very Satisfied"
)</f>
        <v>Satisfied</v>
      </c>
      <c r="O779" t="s">
        <v>39</v>
      </c>
      <c r="P779">
        <v>36</v>
      </c>
      <c r="Q779">
        <v>2</v>
      </c>
      <c r="R779">
        <v>1</v>
      </c>
      <c r="S779" t="s">
        <v>50</v>
      </c>
      <c r="T779">
        <v>1</v>
      </c>
      <c r="U779" t="str" cm="1">
        <f t="array" ref="U779">_xlfn.IFS(
HRData[[#This Row],[JobSatisfaction]]=1,"Very Dissatisfied",
HRData[[#This Row],[JobSatisfaction]]=2,"Dissatisfied",
HRData[[#This Row],[JobSatisfaction]]=3,"Satisfied",
HRData[[#This Row],[JobSatisfaction]]=4,"Very Satisfied"
)</f>
        <v>Very Dissatisfied</v>
      </c>
      <c r="V779" t="s">
        <v>41</v>
      </c>
      <c r="W779">
        <v>1416</v>
      </c>
      <c r="X779" t="str" cm="1">
        <f t="array" ref="X779">_xlfn.IFS(
HRData[[#This Row],[MonthlyIncome]]&lt;=4000,"Very Low Income",
HRData[[#This Row],[MonthlyIncome]]&lt;=8000,"Low Income",
HRData[[#This Row],[MonthlyIncome]]&lt;=12000,"Moderate Income",
HRData[[#This Row],[MonthlyIncome]]&lt;=16000,"High Income",
HRData[[#This Row],[MonthlyIncome]]&gt;16000,"Very High Income"
)</f>
        <v>Very Low Income</v>
      </c>
      <c r="Y779">
        <v>17258</v>
      </c>
      <c r="Z779">
        <v>1</v>
      </c>
      <c r="AA779" t="s">
        <v>42</v>
      </c>
      <c r="AB779" t="s">
        <v>43</v>
      </c>
      <c r="AC779">
        <v>13</v>
      </c>
      <c r="AD779" t="str" cm="1">
        <f t="array" ref="AD779">_xlfn.IFS(HRData[[#This Row],[PercentSalaryHike]]&lt;=15,"11-15",HRData[[#This Row],[PercentSalaryHike]]&lt;=20,"16-20",HRData[[#This Row],[PercentSalaryHike]]&gt;=21,"21+")</f>
        <v>11-15</v>
      </c>
      <c r="AE779">
        <v>3</v>
      </c>
      <c r="AF779">
        <v>1</v>
      </c>
      <c r="AG779">
        <v>80</v>
      </c>
      <c r="AH779">
        <v>0</v>
      </c>
      <c r="AI779">
        <v>1</v>
      </c>
      <c r="AJ779">
        <v>6</v>
      </c>
      <c r="AK779">
        <v>2</v>
      </c>
      <c r="AL779">
        <v>1</v>
      </c>
      <c r="AM779">
        <v>0</v>
      </c>
      <c r="AN779">
        <v>1</v>
      </c>
      <c r="AO779">
        <v>0</v>
      </c>
      <c r="AP77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79" t="str">
        <f>IF(HRData[[#This Row],[Attrition]]="Yes","Left", IF(HRData[[#This Row],[Attrition_Risk_Score]]&gt;=6,"High",IF(HRData[[#This Row],[Attrition_Risk_Score]]&gt;=3,"Medium","Low")))</f>
        <v>Left</v>
      </c>
      <c r="AR779" t="str">
        <f>IF(HRData[[#This Row],[Attrition_Risk_Level]]&lt;&gt;"High","",HRData[[#This Row],[Attrition_Risk_Score]]*10000-HRData[[#This Row],[EmployeeNumber]])</f>
        <v/>
      </c>
    </row>
    <row r="780" spans="1:44">
      <c r="A780">
        <v>46</v>
      </c>
      <c r="B780" t="str" cm="1">
        <f t="array" ref="B780">_xlfn.IFS(
HRData[[#This Row],[Age]]&lt;=24,"18-24",
HRData[[#This Row],[Age]]&lt;=34,"25-34",
HRData[[#This Row],[Age]]&lt;=44,"35-44",
HRData[[#This Row],[Age]]&lt;=54,"45-54",
HRData[[#This Row],[Age]]&gt;=55,"55+"
)</f>
        <v>45-54</v>
      </c>
      <c r="C780" t="s">
        <v>43</v>
      </c>
      <c r="D780">
        <f>IF(HRData[[#This Row],[Attrition]]="Yes",1,0)</f>
        <v>0</v>
      </c>
      <c r="E780" t="s">
        <v>36</v>
      </c>
      <c r="F780">
        <v>1003</v>
      </c>
      <c r="G780" t="s">
        <v>45</v>
      </c>
      <c r="H780">
        <v>8</v>
      </c>
      <c r="I780">
        <v>4</v>
      </c>
      <c r="J780" t="s">
        <v>38</v>
      </c>
      <c r="K780">
        <v>1</v>
      </c>
      <c r="L780">
        <v>1080</v>
      </c>
      <c r="M780">
        <v>4</v>
      </c>
      <c r="N780" t="str" cm="1">
        <f t="array" ref="N780">_xlfn.IFS(HRData[[#This Row],[EnvironmentSatisfaction]]=1,"Very Dissatisfied",
HRData[[#This Row],[EnvironmentSatisfaction]]=2,"Dissatisfied",
HRData[[#This Row],[EnvironmentSatisfaction]]=3,"Satisfied",
HRData[[#This Row],[EnvironmentSatisfaction]]=4,"Very Satisfied"
)</f>
        <v>Very Satisfied</v>
      </c>
      <c r="O780" t="s">
        <v>39</v>
      </c>
      <c r="P780">
        <v>74</v>
      </c>
      <c r="Q780">
        <v>2</v>
      </c>
      <c r="R780">
        <v>2</v>
      </c>
      <c r="S780" t="s">
        <v>47</v>
      </c>
      <c r="T780">
        <v>1</v>
      </c>
      <c r="U780" t="str" cm="1">
        <f t="array" ref="U780">_xlfn.IFS(
HRData[[#This Row],[JobSatisfaction]]=1,"Very Dissatisfied",
HRData[[#This Row],[JobSatisfaction]]=2,"Dissatisfied",
HRData[[#This Row],[JobSatisfaction]]=3,"Satisfied",
HRData[[#This Row],[JobSatisfaction]]=4,"Very Satisfied"
)</f>
        <v>Very Dissatisfied</v>
      </c>
      <c r="V780" t="s">
        <v>52</v>
      </c>
      <c r="W780">
        <v>4615</v>
      </c>
      <c r="X780" t="str" cm="1">
        <f t="array" ref="X780">_xlfn.IFS(
HRData[[#This Row],[MonthlyIncome]]&lt;=4000,"Very Low Income",
HRData[[#This Row],[MonthlyIncome]]&lt;=8000,"Low Income",
HRData[[#This Row],[MonthlyIncome]]&lt;=12000,"Moderate Income",
HRData[[#This Row],[MonthlyIncome]]&lt;=16000,"High Income",
HRData[[#This Row],[MonthlyIncome]]&gt;16000,"Very High Income"
)</f>
        <v>Low Income</v>
      </c>
      <c r="Y780">
        <v>21029</v>
      </c>
      <c r="Z780">
        <v>8</v>
      </c>
      <c r="AA780" t="s">
        <v>42</v>
      </c>
      <c r="AB780" t="s">
        <v>35</v>
      </c>
      <c r="AC780">
        <v>23</v>
      </c>
      <c r="AD780" t="str" cm="1">
        <f t="array" ref="AD780">_xlfn.IFS(HRData[[#This Row],[PercentSalaryHike]]&lt;=15,"11-15",HRData[[#This Row],[PercentSalaryHike]]&lt;=20,"16-20",HRData[[#This Row],[PercentSalaryHike]]&gt;=21,"21+")</f>
        <v>21+</v>
      </c>
      <c r="AE780">
        <v>4</v>
      </c>
      <c r="AF780">
        <v>1</v>
      </c>
      <c r="AG780">
        <v>80</v>
      </c>
      <c r="AH780">
        <v>3</v>
      </c>
      <c r="AI780">
        <v>19</v>
      </c>
      <c r="AJ780">
        <v>2</v>
      </c>
      <c r="AK780">
        <v>3</v>
      </c>
      <c r="AL780">
        <v>16</v>
      </c>
      <c r="AM780">
        <v>13</v>
      </c>
      <c r="AN780">
        <v>1</v>
      </c>
      <c r="AO780">
        <v>7</v>
      </c>
      <c r="AP78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780" t="str">
        <f>IF(HRData[[#This Row],[Attrition]]="Yes","Left", IF(HRData[[#This Row],[Attrition_Risk_Score]]&gt;=6,"High",IF(HRData[[#This Row],[Attrition_Risk_Score]]&gt;=3,"Medium","Low")))</f>
        <v>Medium</v>
      </c>
      <c r="AR780" t="str">
        <f>IF(HRData[[#This Row],[Attrition_Risk_Level]]&lt;&gt;"High","",HRData[[#This Row],[Attrition_Risk_Score]]*10000-HRData[[#This Row],[EmployeeNumber]])</f>
        <v/>
      </c>
    </row>
    <row r="781" spans="1:44">
      <c r="A781">
        <v>51</v>
      </c>
      <c r="B781" t="str" cm="1">
        <f t="array" ref="B781">_xlfn.IFS(
HRData[[#This Row],[Age]]&lt;=24,"18-24",
HRData[[#This Row],[Age]]&lt;=34,"25-34",
HRData[[#This Row],[Age]]&lt;=44,"35-44",
HRData[[#This Row],[Age]]&lt;=54,"45-54",
HRData[[#This Row],[Age]]&gt;=55,"55+"
)</f>
        <v>45-54</v>
      </c>
      <c r="C781" t="s">
        <v>35</v>
      </c>
      <c r="D781">
        <f>IF(HRData[[#This Row],[Attrition]]="Yes",1,0)</f>
        <v>1</v>
      </c>
      <c r="E781" t="s">
        <v>36</v>
      </c>
      <c r="F781">
        <v>1323</v>
      </c>
      <c r="G781" t="s">
        <v>45</v>
      </c>
      <c r="H781">
        <v>4</v>
      </c>
      <c r="I781">
        <v>4</v>
      </c>
      <c r="J781" t="s">
        <v>38</v>
      </c>
      <c r="K781">
        <v>1</v>
      </c>
      <c r="L781">
        <v>1081</v>
      </c>
      <c r="M781">
        <v>1</v>
      </c>
      <c r="N781" t="str" cm="1">
        <f t="array" ref="N781">_xlfn.IFS(HRData[[#This Row],[EnvironmentSatisfaction]]=1,"Very Dissatisfied",
HRData[[#This Row],[EnvironmentSatisfaction]]=2,"Dissatisfied",
HRData[[#This Row],[EnvironmentSatisfaction]]=3,"Satisfied",
HRData[[#This Row],[EnvironmentSatisfaction]]=4,"Very Satisfied"
)</f>
        <v>Very Dissatisfied</v>
      </c>
      <c r="O781" t="s">
        <v>46</v>
      </c>
      <c r="P781">
        <v>34</v>
      </c>
      <c r="Q781">
        <v>3</v>
      </c>
      <c r="R781">
        <v>1</v>
      </c>
      <c r="S781" t="s">
        <v>47</v>
      </c>
      <c r="T781">
        <v>3</v>
      </c>
      <c r="U781" t="str" cm="1">
        <f t="array" ref="U781">_xlfn.IFS(
HRData[[#This Row],[JobSatisfaction]]=1,"Very Dissatisfied",
HRData[[#This Row],[JobSatisfaction]]=2,"Dissatisfied",
HRData[[#This Row],[JobSatisfaction]]=3,"Satisfied",
HRData[[#This Row],[JobSatisfaction]]=4,"Very Satisfied"
)</f>
        <v>Satisfied</v>
      </c>
      <c r="V781" t="s">
        <v>48</v>
      </c>
      <c r="W781">
        <v>2461</v>
      </c>
      <c r="X781" t="str" cm="1">
        <f t="array" ref="X781">_xlfn.IFS(
HRData[[#This Row],[MonthlyIncome]]&lt;=4000,"Very Low Income",
HRData[[#This Row],[MonthlyIncome]]&lt;=8000,"Low Income",
HRData[[#This Row],[MonthlyIncome]]&lt;=12000,"Moderate Income",
HRData[[#This Row],[MonthlyIncome]]&lt;=16000,"High Income",
HRData[[#This Row],[MonthlyIncome]]&gt;16000,"Very High Income"
)</f>
        <v>Very Low Income</v>
      </c>
      <c r="Y781">
        <v>10332</v>
      </c>
      <c r="Z781">
        <v>9</v>
      </c>
      <c r="AA781" t="s">
        <v>42</v>
      </c>
      <c r="AB781" t="s">
        <v>35</v>
      </c>
      <c r="AC781">
        <v>12</v>
      </c>
      <c r="AD781" t="str" cm="1">
        <f t="array" ref="AD781">_xlfn.IFS(HRData[[#This Row],[PercentSalaryHike]]&lt;=15,"11-15",HRData[[#This Row],[PercentSalaryHike]]&lt;=20,"16-20",HRData[[#This Row],[PercentSalaryHike]]&gt;=21,"21+")</f>
        <v>11-15</v>
      </c>
      <c r="AE781">
        <v>3</v>
      </c>
      <c r="AF781">
        <v>3</v>
      </c>
      <c r="AG781">
        <v>80</v>
      </c>
      <c r="AH781">
        <v>3</v>
      </c>
      <c r="AI781">
        <v>18</v>
      </c>
      <c r="AJ781">
        <v>2</v>
      </c>
      <c r="AK781">
        <v>4</v>
      </c>
      <c r="AL781">
        <v>10</v>
      </c>
      <c r="AM781">
        <v>0</v>
      </c>
      <c r="AN781">
        <v>2</v>
      </c>
      <c r="AO781">
        <v>7</v>
      </c>
      <c r="AP78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81" t="str">
        <f>IF(HRData[[#This Row],[Attrition]]="Yes","Left", IF(HRData[[#This Row],[Attrition_Risk_Score]]&gt;=6,"High",IF(HRData[[#This Row],[Attrition_Risk_Score]]&gt;=3,"Medium","Low")))</f>
        <v>Left</v>
      </c>
      <c r="AR781" t="str">
        <f>IF(HRData[[#This Row],[Attrition_Risk_Level]]&lt;&gt;"High","",HRData[[#This Row],[Attrition_Risk_Score]]*10000-HRData[[#This Row],[EmployeeNumber]])</f>
        <v/>
      </c>
    </row>
    <row r="782" spans="1:44">
      <c r="A782">
        <v>28</v>
      </c>
      <c r="B782" t="str" cm="1">
        <f t="array" ref="B782">_xlfn.IFS(
HRData[[#This Row],[Age]]&lt;=24,"18-24",
HRData[[#This Row],[Age]]&lt;=34,"25-34",
HRData[[#This Row],[Age]]&lt;=44,"35-44",
HRData[[#This Row],[Age]]&lt;=54,"45-54",
HRData[[#This Row],[Age]]&gt;=55,"55+"
)</f>
        <v>25-34</v>
      </c>
      <c r="C782" t="s">
        <v>35</v>
      </c>
      <c r="D782">
        <f>IF(HRData[[#This Row],[Attrition]]="Yes",1,0)</f>
        <v>1</v>
      </c>
      <c r="E782" t="s">
        <v>55</v>
      </c>
      <c r="F782">
        <v>1366</v>
      </c>
      <c r="G782" t="s">
        <v>45</v>
      </c>
      <c r="H782">
        <v>24</v>
      </c>
      <c r="I782">
        <v>2</v>
      </c>
      <c r="J782" t="s">
        <v>60</v>
      </c>
      <c r="K782">
        <v>1</v>
      </c>
      <c r="L782">
        <v>1082</v>
      </c>
      <c r="M782">
        <v>2</v>
      </c>
      <c r="N782" t="str" cm="1">
        <f t="array" ref="N782">_xlfn.IFS(HRData[[#This Row],[EnvironmentSatisfaction]]=1,"Very Dissatisfied",
HRData[[#This Row],[EnvironmentSatisfaction]]=2,"Dissatisfied",
HRData[[#This Row],[EnvironmentSatisfaction]]=3,"Satisfied",
HRData[[#This Row],[EnvironmentSatisfaction]]=4,"Very Satisfied"
)</f>
        <v>Dissatisfied</v>
      </c>
      <c r="O782" t="s">
        <v>46</v>
      </c>
      <c r="P782">
        <v>72</v>
      </c>
      <c r="Q782">
        <v>2</v>
      </c>
      <c r="R782">
        <v>3</v>
      </c>
      <c r="S782" t="s">
        <v>54</v>
      </c>
      <c r="T782">
        <v>1</v>
      </c>
      <c r="U782" t="str" cm="1">
        <f t="array" ref="U782">_xlfn.IFS(
HRData[[#This Row],[JobSatisfaction]]=1,"Very Dissatisfied",
HRData[[#This Row],[JobSatisfaction]]=2,"Dissatisfied",
HRData[[#This Row],[JobSatisfaction]]=3,"Satisfied",
HRData[[#This Row],[JobSatisfaction]]=4,"Very Satisfied"
)</f>
        <v>Very Dissatisfied</v>
      </c>
      <c r="V782" t="s">
        <v>41</v>
      </c>
      <c r="W782">
        <v>8722</v>
      </c>
      <c r="X782" t="str" cm="1">
        <f t="array" ref="X782">_xlfn.IFS(
HRData[[#This Row],[MonthlyIncome]]&lt;=4000,"Very Low Income",
HRData[[#This Row],[MonthlyIncome]]&lt;=8000,"Low Income",
HRData[[#This Row],[MonthlyIncome]]&lt;=12000,"Moderate Income",
HRData[[#This Row],[MonthlyIncome]]&lt;=16000,"High Income",
HRData[[#This Row],[MonthlyIncome]]&gt;16000,"Very High Income"
)</f>
        <v>Moderate Income</v>
      </c>
      <c r="Y782">
        <v>12355</v>
      </c>
      <c r="Z782">
        <v>1</v>
      </c>
      <c r="AA782" t="s">
        <v>42</v>
      </c>
      <c r="AB782" t="s">
        <v>43</v>
      </c>
      <c r="AC782">
        <v>12</v>
      </c>
      <c r="AD782" t="str" cm="1">
        <f t="array" ref="AD782">_xlfn.IFS(HRData[[#This Row],[PercentSalaryHike]]&lt;=15,"11-15",HRData[[#This Row],[PercentSalaryHike]]&lt;=20,"16-20",HRData[[#This Row],[PercentSalaryHike]]&gt;=21,"21+")</f>
        <v>11-15</v>
      </c>
      <c r="AE782">
        <v>3</v>
      </c>
      <c r="AF782">
        <v>1</v>
      </c>
      <c r="AG782">
        <v>80</v>
      </c>
      <c r="AH782">
        <v>0</v>
      </c>
      <c r="AI782">
        <v>10</v>
      </c>
      <c r="AJ782">
        <v>2</v>
      </c>
      <c r="AK782">
        <v>2</v>
      </c>
      <c r="AL782">
        <v>10</v>
      </c>
      <c r="AM782">
        <v>7</v>
      </c>
      <c r="AN782">
        <v>1</v>
      </c>
      <c r="AO782">
        <v>9</v>
      </c>
      <c r="AP78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82" t="str">
        <f>IF(HRData[[#This Row],[Attrition]]="Yes","Left", IF(HRData[[#This Row],[Attrition_Risk_Score]]&gt;=6,"High",IF(HRData[[#This Row],[Attrition_Risk_Score]]&gt;=3,"Medium","Low")))</f>
        <v>Left</v>
      </c>
      <c r="AR782" t="str">
        <f>IF(HRData[[#This Row],[Attrition_Risk_Level]]&lt;&gt;"High","",HRData[[#This Row],[Attrition_Risk_Score]]*10000-HRData[[#This Row],[EmployeeNumber]])</f>
        <v/>
      </c>
    </row>
    <row r="783" spans="1:44">
      <c r="A783">
        <v>26</v>
      </c>
      <c r="B783" t="str" cm="1">
        <f t="array" ref="B783">_xlfn.IFS(
HRData[[#This Row],[Age]]&lt;=24,"18-24",
HRData[[#This Row],[Age]]&lt;=34,"25-34",
HRData[[#This Row],[Age]]&lt;=44,"35-44",
HRData[[#This Row],[Age]]&lt;=54,"45-54",
HRData[[#This Row],[Age]]&gt;=55,"55+"
)</f>
        <v>25-34</v>
      </c>
      <c r="C783" t="s">
        <v>43</v>
      </c>
      <c r="D783">
        <f>IF(HRData[[#This Row],[Attrition]]="Yes",1,0)</f>
        <v>0</v>
      </c>
      <c r="E783" t="s">
        <v>36</v>
      </c>
      <c r="F783">
        <v>192</v>
      </c>
      <c r="G783" t="s">
        <v>45</v>
      </c>
      <c r="H783">
        <v>1</v>
      </c>
      <c r="I783">
        <v>2</v>
      </c>
      <c r="J783" t="s">
        <v>51</v>
      </c>
      <c r="K783">
        <v>1</v>
      </c>
      <c r="L783">
        <v>1083</v>
      </c>
      <c r="M783">
        <v>1</v>
      </c>
      <c r="N783" t="str" cm="1">
        <f t="array" ref="N783">_xlfn.IFS(HRData[[#This Row],[EnvironmentSatisfaction]]=1,"Very Dissatisfied",
HRData[[#This Row],[EnvironmentSatisfaction]]=2,"Dissatisfied",
HRData[[#This Row],[EnvironmentSatisfaction]]=3,"Satisfied",
HRData[[#This Row],[EnvironmentSatisfaction]]=4,"Very Satisfied"
)</f>
        <v>Very Dissatisfied</v>
      </c>
      <c r="O783" t="s">
        <v>46</v>
      </c>
      <c r="P783">
        <v>59</v>
      </c>
      <c r="Q783">
        <v>2</v>
      </c>
      <c r="R783">
        <v>1</v>
      </c>
      <c r="S783" t="s">
        <v>50</v>
      </c>
      <c r="T783">
        <v>1</v>
      </c>
      <c r="U783" t="str" cm="1">
        <f t="array" ref="U783">_xlfn.IFS(
HRData[[#This Row],[JobSatisfaction]]=1,"Very Dissatisfied",
HRData[[#This Row],[JobSatisfaction]]=2,"Dissatisfied",
HRData[[#This Row],[JobSatisfaction]]=3,"Satisfied",
HRData[[#This Row],[JobSatisfaction]]=4,"Very Satisfied"
)</f>
        <v>Very Dissatisfied</v>
      </c>
      <c r="V783" t="s">
        <v>48</v>
      </c>
      <c r="W783">
        <v>3955</v>
      </c>
      <c r="X783" t="str" cm="1">
        <f t="array" ref="X783">_xlfn.IFS(
HRData[[#This Row],[MonthlyIncome]]&lt;=4000,"Very Low Income",
HRData[[#This Row],[MonthlyIncome]]&lt;=8000,"Low Income",
HRData[[#This Row],[MonthlyIncome]]&lt;=12000,"Moderate Income",
HRData[[#This Row],[MonthlyIncome]]&lt;=16000,"High Income",
HRData[[#This Row],[MonthlyIncome]]&gt;16000,"Very High Income"
)</f>
        <v>Very Low Income</v>
      </c>
      <c r="Y783">
        <v>11141</v>
      </c>
      <c r="Z783">
        <v>1</v>
      </c>
      <c r="AA783" t="s">
        <v>42</v>
      </c>
      <c r="AB783" t="s">
        <v>43</v>
      </c>
      <c r="AC783">
        <v>16</v>
      </c>
      <c r="AD783" t="str" cm="1">
        <f t="array" ref="AD783">_xlfn.IFS(HRData[[#This Row],[PercentSalaryHike]]&lt;=15,"11-15",HRData[[#This Row],[PercentSalaryHike]]&lt;=20,"16-20",HRData[[#This Row],[PercentSalaryHike]]&gt;=21,"21+")</f>
        <v>16-20</v>
      </c>
      <c r="AE783">
        <v>3</v>
      </c>
      <c r="AF783">
        <v>1</v>
      </c>
      <c r="AG783">
        <v>80</v>
      </c>
      <c r="AH783">
        <v>2</v>
      </c>
      <c r="AI783">
        <v>6</v>
      </c>
      <c r="AJ783">
        <v>2</v>
      </c>
      <c r="AK783">
        <v>3</v>
      </c>
      <c r="AL783">
        <v>5</v>
      </c>
      <c r="AM783">
        <v>3</v>
      </c>
      <c r="AN783">
        <v>1</v>
      </c>
      <c r="AO783">
        <v>3</v>
      </c>
      <c r="AP78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783" t="str">
        <f>IF(HRData[[#This Row],[Attrition]]="Yes","Left", IF(HRData[[#This Row],[Attrition_Risk_Score]]&gt;=6,"High",IF(HRData[[#This Row],[Attrition_Risk_Score]]&gt;=3,"Medium","Low")))</f>
        <v>High</v>
      </c>
      <c r="AR783">
        <f>IF(HRData[[#This Row],[Attrition_Risk_Level]]&lt;&gt;"High","",HRData[[#This Row],[Attrition_Risk_Score]]*10000-HRData[[#This Row],[EmployeeNumber]])</f>
        <v>58917</v>
      </c>
    </row>
    <row r="784" spans="1:44">
      <c r="A784">
        <v>30</v>
      </c>
      <c r="B784" t="str" cm="1">
        <f t="array" ref="B784">_xlfn.IFS(
HRData[[#This Row],[Age]]&lt;=24,"18-24",
HRData[[#This Row],[Age]]&lt;=34,"25-34",
HRData[[#This Row],[Age]]&lt;=44,"35-44",
HRData[[#This Row],[Age]]&lt;=54,"45-54",
HRData[[#This Row],[Age]]&gt;=55,"55+"
)</f>
        <v>25-34</v>
      </c>
      <c r="C784" t="s">
        <v>43</v>
      </c>
      <c r="D784">
        <f>IF(HRData[[#This Row],[Attrition]]="Yes",1,0)</f>
        <v>0</v>
      </c>
      <c r="E784" t="s">
        <v>36</v>
      </c>
      <c r="F784">
        <v>1176</v>
      </c>
      <c r="G784" t="s">
        <v>45</v>
      </c>
      <c r="H784">
        <v>20</v>
      </c>
      <c r="I784">
        <v>3</v>
      </c>
      <c r="J784" t="s">
        <v>49</v>
      </c>
      <c r="K784">
        <v>1</v>
      </c>
      <c r="L784">
        <v>1084</v>
      </c>
      <c r="M784">
        <v>3</v>
      </c>
      <c r="N784" t="str" cm="1">
        <f t="array" ref="N784">_xlfn.IFS(HRData[[#This Row],[EnvironmentSatisfaction]]=1,"Very Dissatisfied",
HRData[[#This Row],[EnvironmentSatisfaction]]=2,"Dissatisfied",
HRData[[#This Row],[EnvironmentSatisfaction]]=3,"Satisfied",
HRData[[#This Row],[EnvironmentSatisfaction]]=4,"Very Satisfied"
)</f>
        <v>Satisfied</v>
      </c>
      <c r="O784" t="s">
        <v>46</v>
      </c>
      <c r="P784">
        <v>85</v>
      </c>
      <c r="Q784">
        <v>3</v>
      </c>
      <c r="R784">
        <v>2</v>
      </c>
      <c r="S784" t="s">
        <v>53</v>
      </c>
      <c r="T784">
        <v>1</v>
      </c>
      <c r="U784" t="str" cm="1">
        <f t="array" ref="U784">_xlfn.IFS(
HRData[[#This Row],[JobSatisfaction]]=1,"Very Dissatisfied",
HRData[[#This Row],[JobSatisfaction]]=2,"Dissatisfied",
HRData[[#This Row],[JobSatisfaction]]=3,"Satisfied",
HRData[[#This Row],[JobSatisfaction]]=4,"Very Satisfied"
)</f>
        <v>Very Dissatisfied</v>
      </c>
      <c r="V784" t="s">
        <v>48</v>
      </c>
      <c r="W784">
        <v>9957</v>
      </c>
      <c r="X784" t="str" cm="1">
        <f t="array" ref="X784">_xlfn.IFS(
HRData[[#This Row],[MonthlyIncome]]&lt;=4000,"Very Low Income",
HRData[[#This Row],[MonthlyIncome]]&lt;=8000,"Low Income",
HRData[[#This Row],[MonthlyIncome]]&lt;=12000,"Moderate Income",
HRData[[#This Row],[MonthlyIncome]]&lt;=16000,"High Income",
HRData[[#This Row],[MonthlyIncome]]&gt;16000,"Very High Income"
)</f>
        <v>Moderate Income</v>
      </c>
      <c r="Y784">
        <v>9096</v>
      </c>
      <c r="Z784">
        <v>0</v>
      </c>
      <c r="AA784" t="s">
        <v>42</v>
      </c>
      <c r="AB784" t="s">
        <v>43</v>
      </c>
      <c r="AC784">
        <v>15</v>
      </c>
      <c r="AD784" t="str" cm="1">
        <f t="array" ref="AD784">_xlfn.IFS(HRData[[#This Row],[PercentSalaryHike]]&lt;=15,"11-15",HRData[[#This Row],[PercentSalaryHike]]&lt;=20,"16-20",HRData[[#This Row],[PercentSalaryHike]]&gt;=21,"21+")</f>
        <v>11-15</v>
      </c>
      <c r="AE784">
        <v>3</v>
      </c>
      <c r="AF784">
        <v>3</v>
      </c>
      <c r="AG784">
        <v>80</v>
      </c>
      <c r="AH784">
        <v>1</v>
      </c>
      <c r="AI784">
        <v>7</v>
      </c>
      <c r="AJ784">
        <v>1</v>
      </c>
      <c r="AK784">
        <v>2</v>
      </c>
      <c r="AL784">
        <v>6</v>
      </c>
      <c r="AM784">
        <v>2</v>
      </c>
      <c r="AN784">
        <v>0</v>
      </c>
      <c r="AO784">
        <v>2</v>
      </c>
      <c r="AP78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84" t="str">
        <f>IF(HRData[[#This Row],[Attrition]]="Yes","Left", IF(HRData[[#This Row],[Attrition_Risk_Score]]&gt;=6,"High",IF(HRData[[#This Row],[Attrition_Risk_Score]]&gt;=3,"Medium","Low")))</f>
        <v>Medium</v>
      </c>
      <c r="AR784" t="str">
        <f>IF(HRData[[#This Row],[Attrition_Risk_Level]]&lt;&gt;"High","",HRData[[#This Row],[Attrition_Risk_Score]]*10000-HRData[[#This Row],[EmployeeNumber]])</f>
        <v/>
      </c>
    </row>
    <row r="785" spans="1:44">
      <c r="A785">
        <v>41</v>
      </c>
      <c r="B785" t="str" cm="1">
        <f t="array" ref="B785">_xlfn.IFS(
HRData[[#This Row],[Age]]&lt;=24,"18-24",
HRData[[#This Row],[Age]]&lt;=34,"25-34",
HRData[[#This Row],[Age]]&lt;=44,"35-44",
HRData[[#This Row],[Age]]&lt;=54,"45-54",
HRData[[#This Row],[Age]]&gt;=55,"55+"
)</f>
        <v>35-44</v>
      </c>
      <c r="C785" t="s">
        <v>43</v>
      </c>
      <c r="D785">
        <f>IF(HRData[[#This Row],[Attrition]]="Yes",1,0)</f>
        <v>0</v>
      </c>
      <c r="E785" t="s">
        <v>36</v>
      </c>
      <c r="F785">
        <v>509</v>
      </c>
      <c r="G785" t="s">
        <v>45</v>
      </c>
      <c r="H785">
        <v>7</v>
      </c>
      <c r="I785">
        <v>2</v>
      </c>
      <c r="J785" t="s">
        <v>60</v>
      </c>
      <c r="K785">
        <v>1</v>
      </c>
      <c r="L785">
        <v>1085</v>
      </c>
      <c r="M785">
        <v>2</v>
      </c>
      <c r="N785" t="str" cm="1">
        <f t="array" ref="N785">_xlfn.IFS(HRData[[#This Row],[EnvironmentSatisfaction]]=1,"Very Dissatisfied",
HRData[[#This Row],[EnvironmentSatisfaction]]=2,"Dissatisfied",
HRData[[#This Row],[EnvironmentSatisfaction]]=3,"Satisfied",
HRData[[#This Row],[EnvironmentSatisfaction]]=4,"Very Satisfied"
)</f>
        <v>Dissatisfied</v>
      </c>
      <c r="O785" t="s">
        <v>39</v>
      </c>
      <c r="P785">
        <v>43</v>
      </c>
      <c r="Q785">
        <v>4</v>
      </c>
      <c r="R785">
        <v>1</v>
      </c>
      <c r="S785" t="s">
        <v>47</v>
      </c>
      <c r="T785">
        <v>3</v>
      </c>
      <c r="U785" t="str" cm="1">
        <f t="array" ref="U785">_xlfn.IFS(
HRData[[#This Row],[JobSatisfaction]]=1,"Very Dissatisfied",
HRData[[#This Row],[JobSatisfaction]]=2,"Dissatisfied",
HRData[[#This Row],[JobSatisfaction]]=3,"Satisfied",
HRData[[#This Row],[JobSatisfaction]]=4,"Very Satisfied"
)</f>
        <v>Satisfied</v>
      </c>
      <c r="V785" t="s">
        <v>48</v>
      </c>
      <c r="W785">
        <v>3376</v>
      </c>
      <c r="X785" t="str" cm="1">
        <f t="array" ref="X785">_xlfn.IFS(
HRData[[#This Row],[MonthlyIncome]]&lt;=4000,"Very Low Income",
HRData[[#This Row],[MonthlyIncome]]&lt;=8000,"Low Income",
HRData[[#This Row],[MonthlyIncome]]&lt;=12000,"Moderate Income",
HRData[[#This Row],[MonthlyIncome]]&lt;=16000,"High Income",
HRData[[#This Row],[MonthlyIncome]]&gt;16000,"Very High Income"
)</f>
        <v>Very Low Income</v>
      </c>
      <c r="Y785">
        <v>18863</v>
      </c>
      <c r="Z785">
        <v>1</v>
      </c>
      <c r="AA785" t="s">
        <v>42</v>
      </c>
      <c r="AB785" t="s">
        <v>43</v>
      </c>
      <c r="AC785">
        <v>13</v>
      </c>
      <c r="AD785" t="str" cm="1">
        <f t="array" ref="AD785">_xlfn.IFS(HRData[[#This Row],[PercentSalaryHike]]&lt;=15,"11-15",HRData[[#This Row],[PercentSalaryHike]]&lt;=20,"16-20",HRData[[#This Row],[PercentSalaryHike]]&gt;=21,"21+")</f>
        <v>11-15</v>
      </c>
      <c r="AE785">
        <v>3</v>
      </c>
      <c r="AF785">
        <v>3</v>
      </c>
      <c r="AG785">
        <v>80</v>
      </c>
      <c r="AH785">
        <v>0</v>
      </c>
      <c r="AI785">
        <v>10</v>
      </c>
      <c r="AJ785">
        <v>3</v>
      </c>
      <c r="AK785">
        <v>3</v>
      </c>
      <c r="AL785">
        <v>10</v>
      </c>
      <c r="AM785">
        <v>6</v>
      </c>
      <c r="AN785">
        <v>0</v>
      </c>
      <c r="AO785">
        <v>8</v>
      </c>
      <c r="AP78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85" t="str">
        <f>IF(HRData[[#This Row],[Attrition]]="Yes","Left", IF(HRData[[#This Row],[Attrition_Risk_Score]]&gt;=6,"High",IF(HRData[[#This Row],[Attrition_Risk_Score]]&gt;=3,"Medium","Low")))</f>
        <v>Low</v>
      </c>
      <c r="AR785" t="str">
        <f>IF(HRData[[#This Row],[Attrition_Risk_Level]]&lt;&gt;"High","",HRData[[#This Row],[Attrition_Risk_Score]]*10000-HRData[[#This Row],[EmployeeNumber]])</f>
        <v/>
      </c>
    </row>
    <row r="786" spans="1:44">
      <c r="A786">
        <v>38</v>
      </c>
      <c r="B786" t="str" cm="1">
        <f t="array" ref="B786">_xlfn.IFS(
HRData[[#This Row],[Age]]&lt;=24,"18-24",
HRData[[#This Row],[Age]]&lt;=34,"25-34",
HRData[[#This Row],[Age]]&lt;=44,"35-44",
HRData[[#This Row],[Age]]&lt;=54,"45-54",
HRData[[#This Row],[Age]]&gt;=55,"55+"
)</f>
        <v>35-44</v>
      </c>
      <c r="C786" t="s">
        <v>43</v>
      </c>
      <c r="D786">
        <f>IF(HRData[[#This Row],[Attrition]]="Yes",1,0)</f>
        <v>0</v>
      </c>
      <c r="E786" t="s">
        <v>36</v>
      </c>
      <c r="F786">
        <v>330</v>
      </c>
      <c r="G786" t="s">
        <v>45</v>
      </c>
      <c r="H786">
        <v>17</v>
      </c>
      <c r="I786">
        <v>1</v>
      </c>
      <c r="J786" t="s">
        <v>38</v>
      </c>
      <c r="K786">
        <v>1</v>
      </c>
      <c r="L786">
        <v>1088</v>
      </c>
      <c r="M786">
        <v>3</v>
      </c>
      <c r="N786" t="str" cm="1">
        <f t="array" ref="N786">_xlfn.IFS(HRData[[#This Row],[EnvironmentSatisfaction]]=1,"Very Dissatisfied",
HRData[[#This Row],[EnvironmentSatisfaction]]=2,"Dissatisfied",
HRData[[#This Row],[EnvironmentSatisfaction]]=3,"Satisfied",
HRData[[#This Row],[EnvironmentSatisfaction]]=4,"Very Satisfied"
)</f>
        <v>Satisfied</v>
      </c>
      <c r="O786" t="s">
        <v>39</v>
      </c>
      <c r="P786">
        <v>65</v>
      </c>
      <c r="Q786">
        <v>2</v>
      </c>
      <c r="R786">
        <v>3</v>
      </c>
      <c r="S786" t="s">
        <v>54</v>
      </c>
      <c r="T786">
        <v>3</v>
      </c>
      <c r="U786" t="str" cm="1">
        <f t="array" ref="U786">_xlfn.IFS(
HRData[[#This Row],[JobSatisfaction]]=1,"Very Dissatisfied",
HRData[[#This Row],[JobSatisfaction]]=2,"Dissatisfied",
HRData[[#This Row],[JobSatisfaction]]=3,"Satisfied",
HRData[[#This Row],[JobSatisfaction]]=4,"Very Satisfied"
)</f>
        <v>Satisfied</v>
      </c>
      <c r="V786" t="s">
        <v>48</v>
      </c>
      <c r="W786">
        <v>8823</v>
      </c>
      <c r="X786" t="str" cm="1">
        <f t="array" ref="X786">_xlfn.IFS(
HRData[[#This Row],[MonthlyIncome]]&lt;=4000,"Very Low Income",
HRData[[#This Row],[MonthlyIncome]]&lt;=8000,"Low Income",
HRData[[#This Row],[MonthlyIncome]]&lt;=12000,"Moderate Income",
HRData[[#This Row],[MonthlyIncome]]&lt;=16000,"High Income",
HRData[[#This Row],[MonthlyIncome]]&gt;16000,"Very High Income"
)</f>
        <v>Moderate Income</v>
      </c>
      <c r="Y786">
        <v>24608</v>
      </c>
      <c r="Z786">
        <v>0</v>
      </c>
      <c r="AA786" t="s">
        <v>42</v>
      </c>
      <c r="AB786" t="s">
        <v>43</v>
      </c>
      <c r="AC786">
        <v>18</v>
      </c>
      <c r="AD786" t="str" cm="1">
        <f t="array" ref="AD786">_xlfn.IFS(HRData[[#This Row],[PercentSalaryHike]]&lt;=15,"11-15",HRData[[#This Row],[PercentSalaryHike]]&lt;=20,"16-20",HRData[[#This Row],[PercentSalaryHike]]&gt;=21,"21+")</f>
        <v>16-20</v>
      </c>
      <c r="AE786">
        <v>3</v>
      </c>
      <c r="AF786">
        <v>1</v>
      </c>
      <c r="AG786">
        <v>80</v>
      </c>
      <c r="AH786">
        <v>1</v>
      </c>
      <c r="AI786">
        <v>20</v>
      </c>
      <c r="AJ786">
        <v>4</v>
      </c>
      <c r="AK786">
        <v>2</v>
      </c>
      <c r="AL786">
        <v>19</v>
      </c>
      <c r="AM786">
        <v>9</v>
      </c>
      <c r="AN786">
        <v>1</v>
      </c>
      <c r="AO786">
        <v>9</v>
      </c>
      <c r="AP78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86" t="str">
        <f>IF(HRData[[#This Row],[Attrition]]="Yes","Left", IF(HRData[[#This Row],[Attrition_Risk_Score]]&gt;=6,"High",IF(HRData[[#This Row],[Attrition_Risk_Score]]&gt;=3,"Medium","Low")))</f>
        <v>Low</v>
      </c>
      <c r="AR786" t="str">
        <f>IF(HRData[[#This Row],[Attrition_Risk_Level]]&lt;&gt;"High","",HRData[[#This Row],[Attrition_Risk_Score]]*10000-HRData[[#This Row],[EmployeeNumber]])</f>
        <v/>
      </c>
    </row>
    <row r="787" spans="1:44">
      <c r="A787">
        <v>40</v>
      </c>
      <c r="B787" t="str" cm="1">
        <f t="array" ref="B787">_xlfn.IFS(
HRData[[#This Row],[Age]]&lt;=24,"18-24",
HRData[[#This Row],[Age]]&lt;=34,"25-34",
HRData[[#This Row],[Age]]&lt;=44,"35-44",
HRData[[#This Row],[Age]]&lt;=54,"45-54",
HRData[[#This Row],[Age]]&gt;=55,"55+"
)</f>
        <v>35-44</v>
      </c>
      <c r="C787" t="s">
        <v>43</v>
      </c>
      <c r="D787">
        <f>IF(HRData[[#This Row],[Attrition]]="Yes",1,0)</f>
        <v>0</v>
      </c>
      <c r="E787" t="s">
        <v>36</v>
      </c>
      <c r="F787">
        <v>1492</v>
      </c>
      <c r="G787" t="s">
        <v>45</v>
      </c>
      <c r="H787">
        <v>20</v>
      </c>
      <c r="I787">
        <v>4</v>
      </c>
      <c r="J787" t="s">
        <v>60</v>
      </c>
      <c r="K787">
        <v>1</v>
      </c>
      <c r="L787">
        <v>1092</v>
      </c>
      <c r="M787">
        <v>1</v>
      </c>
      <c r="N787" t="str" cm="1">
        <f t="array" ref="N787">_xlfn.IFS(HRData[[#This Row],[EnvironmentSatisfaction]]=1,"Very Dissatisfied",
HRData[[#This Row],[EnvironmentSatisfaction]]=2,"Dissatisfied",
HRData[[#This Row],[EnvironmentSatisfaction]]=3,"Satisfied",
HRData[[#This Row],[EnvironmentSatisfaction]]=4,"Very Satisfied"
)</f>
        <v>Very Dissatisfied</v>
      </c>
      <c r="O787" t="s">
        <v>46</v>
      </c>
      <c r="P787">
        <v>61</v>
      </c>
      <c r="Q787">
        <v>3</v>
      </c>
      <c r="R787">
        <v>3</v>
      </c>
      <c r="S787" t="s">
        <v>54</v>
      </c>
      <c r="T787">
        <v>4</v>
      </c>
      <c r="U787" t="str" cm="1">
        <f t="array" ref="U787">_xlfn.IFS(
HRData[[#This Row],[JobSatisfaction]]=1,"Very Dissatisfied",
HRData[[#This Row],[JobSatisfaction]]=2,"Dissatisfied",
HRData[[#This Row],[JobSatisfaction]]=3,"Satisfied",
HRData[[#This Row],[JobSatisfaction]]=4,"Very Satisfied"
)</f>
        <v>Very Satisfied</v>
      </c>
      <c r="V787" t="s">
        <v>48</v>
      </c>
      <c r="W787">
        <v>10322</v>
      </c>
      <c r="X787" t="str" cm="1">
        <f t="array" ref="X787">_xlfn.IFS(
HRData[[#This Row],[MonthlyIncome]]&lt;=4000,"Very Low Income",
HRData[[#This Row],[MonthlyIncome]]&lt;=8000,"Low Income",
HRData[[#This Row],[MonthlyIncome]]&lt;=12000,"Moderate Income",
HRData[[#This Row],[MonthlyIncome]]&lt;=16000,"High Income",
HRData[[#This Row],[MonthlyIncome]]&gt;16000,"Very High Income"
)</f>
        <v>Moderate Income</v>
      </c>
      <c r="Y787">
        <v>26542</v>
      </c>
      <c r="Z787">
        <v>4</v>
      </c>
      <c r="AA787" t="s">
        <v>42</v>
      </c>
      <c r="AB787" t="s">
        <v>43</v>
      </c>
      <c r="AC787">
        <v>20</v>
      </c>
      <c r="AD787" t="str" cm="1">
        <f t="array" ref="AD787">_xlfn.IFS(HRData[[#This Row],[PercentSalaryHike]]&lt;=15,"11-15",HRData[[#This Row],[PercentSalaryHike]]&lt;=20,"16-20",HRData[[#This Row],[PercentSalaryHike]]&gt;=21,"21+")</f>
        <v>16-20</v>
      </c>
      <c r="AE787">
        <v>4</v>
      </c>
      <c r="AF787">
        <v>4</v>
      </c>
      <c r="AG787">
        <v>80</v>
      </c>
      <c r="AH787">
        <v>1</v>
      </c>
      <c r="AI787">
        <v>14</v>
      </c>
      <c r="AJ787">
        <v>6</v>
      </c>
      <c r="AK787">
        <v>3</v>
      </c>
      <c r="AL787">
        <v>11</v>
      </c>
      <c r="AM787">
        <v>10</v>
      </c>
      <c r="AN787">
        <v>11</v>
      </c>
      <c r="AO787">
        <v>1</v>
      </c>
      <c r="AP78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87" t="str">
        <f>IF(HRData[[#This Row],[Attrition]]="Yes","Left", IF(HRData[[#This Row],[Attrition_Risk_Score]]&gt;=6,"High",IF(HRData[[#This Row],[Attrition_Risk_Score]]&gt;=3,"Medium","Low")))</f>
        <v>Low</v>
      </c>
      <c r="AR787" t="str">
        <f>IF(HRData[[#This Row],[Attrition_Risk_Level]]&lt;&gt;"High","",HRData[[#This Row],[Attrition_Risk_Score]]*10000-HRData[[#This Row],[EmployeeNumber]])</f>
        <v/>
      </c>
    </row>
    <row r="788" spans="1:44">
      <c r="A788">
        <v>27</v>
      </c>
      <c r="B788" t="str" cm="1">
        <f t="array" ref="B788">_xlfn.IFS(
HRData[[#This Row],[Age]]&lt;=24,"18-24",
HRData[[#This Row],[Age]]&lt;=34,"25-34",
HRData[[#This Row],[Age]]&lt;=44,"35-44",
HRData[[#This Row],[Age]]&lt;=54,"45-54",
HRData[[#This Row],[Age]]&gt;=55,"55+"
)</f>
        <v>25-34</v>
      </c>
      <c r="C788" t="s">
        <v>43</v>
      </c>
      <c r="D788">
        <f>IF(HRData[[#This Row],[Attrition]]="Yes",1,0)</f>
        <v>0</v>
      </c>
      <c r="E788" t="s">
        <v>55</v>
      </c>
      <c r="F788">
        <v>1277</v>
      </c>
      <c r="G788" t="s">
        <v>45</v>
      </c>
      <c r="H788">
        <v>8</v>
      </c>
      <c r="I788">
        <v>5</v>
      </c>
      <c r="J788" t="s">
        <v>38</v>
      </c>
      <c r="K788">
        <v>1</v>
      </c>
      <c r="L788">
        <v>1094</v>
      </c>
      <c r="M788">
        <v>1</v>
      </c>
      <c r="N788" t="str" cm="1">
        <f t="array" ref="N788">_xlfn.IFS(HRData[[#This Row],[EnvironmentSatisfaction]]=1,"Very Dissatisfied",
HRData[[#This Row],[EnvironmentSatisfaction]]=2,"Dissatisfied",
HRData[[#This Row],[EnvironmentSatisfaction]]=3,"Satisfied",
HRData[[#This Row],[EnvironmentSatisfaction]]=4,"Very Satisfied"
)</f>
        <v>Very Dissatisfied</v>
      </c>
      <c r="O788" t="s">
        <v>46</v>
      </c>
      <c r="P788">
        <v>87</v>
      </c>
      <c r="Q788">
        <v>1</v>
      </c>
      <c r="R788">
        <v>1</v>
      </c>
      <c r="S788" t="s">
        <v>50</v>
      </c>
      <c r="T788">
        <v>3</v>
      </c>
      <c r="U788" t="str" cm="1">
        <f t="array" ref="U788">_xlfn.IFS(
HRData[[#This Row],[JobSatisfaction]]=1,"Very Dissatisfied",
HRData[[#This Row],[JobSatisfaction]]=2,"Dissatisfied",
HRData[[#This Row],[JobSatisfaction]]=3,"Satisfied",
HRData[[#This Row],[JobSatisfaction]]=4,"Very Satisfied"
)</f>
        <v>Satisfied</v>
      </c>
      <c r="V788" t="s">
        <v>48</v>
      </c>
      <c r="W788">
        <v>4621</v>
      </c>
      <c r="X788" t="str" cm="1">
        <f t="array" ref="X788">_xlfn.IFS(
HRData[[#This Row],[MonthlyIncome]]&lt;=4000,"Very Low Income",
HRData[[#This Row],[MonthlyIncome]]&lt;=8000,"Low Income",
HRData[[#This Row],[MonthlyIncome]]&lt;=12000,"Moderate Income",
HRData[[#This Row],[MonthlyIncome]]&lt;=16000,"High Income",
HRData[[#This Row],[MonthlyIncome]]&gt;16000,"Very High Income"
)</f>
        <v>Low Income</v>
      </c>
      <c r="Y788">
        <v>5869</v>
      </c>
      <c r="Z788">
        <v>1</v>
      </c>
      <c r="AA788" t="s">
        <v>42</v>
      </c>
      <c r="AB788" t="s">
        <v>43</v>
      </c>
      <c r="AC788">
        <v>19</v>
      </c>
      <c r="AD788" t="str" cm="1">
        <f t="array" ref="AD788">_xlfn.IFS(HRData[[#This Row],[PercentSalaryHike]]&lt;=15,"11-15",HRData[[#This Row],[PercentSalaryHike]]&lt;=20,"16-20",HRData[[#This Row],[PercentSalaryHike]]&gt;=21,"21+")</f>
        <v>16-20</v>
      </c>
      <c r="AE788">
        <v>3</v>
      </c>
      <c r="AF788">
        <v>4</v>
      </c>
      <c r="AG788">
        <v>80</v>
      </c>
      <c r="AH788">
        <v>3</v>
      </c>
      <c r="AI788">
        <v>3</v>
      </c>
      <c r="AJ788">
        <v>4</v>
      </c>
      <c r="AK788">
        <v>3</v>
      </c>
      <c r="AL788">
        <v>3</v>
      </c>
      <c r="AM788">
        <v>2</v>
      </c>
      <c r="AN788">
        <v>1</v>
      </c>
      <c r="AO788">
        <v>2</v>
      </c>
      <c r="AP78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88" t="str">
        <f>IF(HRData[[#This Row],[Attrition]]="Yes","Left", IF(HRData[[#This Row],[Attrition_Risk_Score]]&gt;=6,"High",IF(HRData[[#This Row],[Attrition_Risk_Score]]&gt;=3,"Medium","Low")))</f>
        <v>Medium</v>
      </c>
      <c r="AR788" t="str">
        <f>IF(HRData[[#This Row],[Attrition_Risk_Level]]&lt;&gt;"High","",HRData[[#This Row],[Attrition_Risk_Score]]*10000-HRData[[#This Row],[EmployeeNumber]])</f>
        <v/>
      </c>
    </row>
    <row r="789" spans="1:44">
      <c r="A789">
        <v>55</v>
      </c>
      <c r="B789" t="str" cm="1">
        <f t="array" ref="B789">_xlfn.IFS(
HRData[[#This Row],[Age]]&lt;=24,"18-24",
HRData[[#This Row],[Age]]&lt;=34,"25-34",
HRData[[#This Row],[Age]]&lt;=44,"35-44",
HRData[[#This Row],[Age]]&lt;=54,"45-54",
HRData[[#This Row],[Age]]&gt;=55,"55+"
)</f>
        <v>55+</v>
      </c>
      <c r="C789" t="s">
        <v>43</v>
      </c>
      <c r="D789">
        <f>IF(HRData[[#This Row],[Attrition]]="Yes",1,0)</f>
        <v>0</v>
      </c>
      <c r="E789" t="s">
        <v>44</v>
      </c>
      <c r="F789">
        <v>1091</v>
      </c>
      <c r="G789" t="s">
        <v>45</v>
      </c>
      <c r="H789">
        <v>2</v>
      </c>
      <c r="I789">
        <v>1</v>
      </c>
      <c r="J789" t="s">
        <v>38</v>
      </c>
      <c r="K789">
        <v>1</v>
      </c>
      <c r="L789">
        <v>1096</v>
      </c>
      <c r="M789">
        <v>4</v>
      </c>
      <c r="N789" t="str" cm="1">
        <f t="array" ref="N789">_xlfn.IFS(HRData[[#This Row],[EnvironmentSatisfaction]]=1,"Very Dissatisfied",
HRData[[#This Row],[EnvironmentSatisfaction]]=2,"Dissatisfied",
HRData[[#This Row],[EnvironmentSatisfaction]]=3,"Satisfied",
HRData[[#This Row],[EnvironmentSatisfaction]]=4,"Very Satisfied"
)</f>
        <v>Very Satisfied</v>
      </c>
      <c r="O789" t="s">
        <v>46</v>
      </c>
      <c r="P789">
        <v>65</v>
      </c>
      <c r="Q789">
        <v>3</v>
      </c>
      <c r="R789">
        <v>3</v>
      </c>
      <c r="S789" t="s">
        <v>53</v>
      </c>
      <c r="T789">
        <v>2</v>
      </c>
      <c r="U789" t="str" cm="1">
        <f t="array" ref="U789">_xlfn.IFS(
HRData[[#This Row],[JobSatisfaction]]=1,"Very Dissatisfied",
HRData[[#This Row],[JobSatisfaction]]=2,"Dissatisfied",
HRData[[#This Row],[JobSatisfaction]]=3,"Satisfied",
HRData[[#This Row],[JobSatisfaction]]=4,"Very Satisfied"
)</f>
        <v>Dissatisfied</v>
      </c>
      <c r="V789" t="s">
        <v>48</v>
      </c>
      <c r="W789">
        <v>10976</v>
      </c>
      <c r="X789" t="str" cm="1">
        <f t="array" ref="X789">_xlfn.IFS(
HRData[[#This Row],[MonthlyIncome]]&lt;=4000,"Very Low Income",
HRData[[#This Row],[MonthlyIncome]]&lt;=8000,"Low Income",
HRData[[#This Row],[MonthlyIncome]]&lt;=12000,"Moderate Income",
HRData[[#This Row],[MonthlyIncome]]&lt;=16000,"High Income",
HRData[[#This Row],[MonthlyIncome]]&gt;16000,"Very High Income"
)</f>
        <v>Moderate Income</v>
      </c>
      <c r="Y789">
        <v>15813</v>
      </c>
      <c r="Z789">
        <v>3</v>
      </c>
      <c r="AA789" t="s">
        <v>42</v>
      </c>
      <c r="AB789" t="s">
        <v>43</v>
      </c>
      <c r="AC789">
        <v>18</v>
      </c>
      <c r="AD789" t="str" cm="1">
        <f t="array" ref="AD789">_xlfn.IFS(HRData[[#This Row],[PercentSalaryHike]]&lt;=15,"11-15",HRData[[#This Row],[PercentSalaryHike]]&lt;=20,"16-20",HRData[[#This Row],[PercentSalaryHike]]&gt;=21,"21+")</f>
        <v>16-20</v>
      </c>
      <c r="AE789">
        <v>3</v>
      </c>
      <c r="AF789">
        <v>2</v>
      </c>
      <c r="AG789">
        <v>80</v>
      </c>
      <c r="AH789">
        <v>1</v>
      </c>
      <c r="AI789">
        <v>23</v>
      </c>
      <c r="AJ789">
        <v>4</v>
      </c>
      <c r="AK789">
        <v>3</v>
      </c>
      <c r="AL789">
        <v>3</v>
      </c>
      <c r="AM789">
        <v>2</v>
      </c>
      <c r="AN789">
        <v>1</v>
      </c>
      <c r="AO789">
        <v>2</v>
      </c>
      <c r="AP78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89" t="str">
        <f>IF(HRData[[#This Row],[Attrition]]="Yes","Left", IF(HRData[[#This Row],[Attrition_Risk_Score]]&gt;=6,"High",IF(HRData[[#This Row],[Attrition_Risk_Score]]&gt;=3,"Medium","Low")))</f>
        <v>Low</v>
      </c>
      <c r="AR789" t="str">
        <f>IF(HRData[[#This Row],[Attrition_Risk_Level]]&lt;&gt;"High","",HRData[[#This Row],[Attrition_Risk_Score]]*10000-HRData[[#This Row],[EmployeeNumber]])</f>
        <v/>
      </c>
    </row>
    <row r="790" spans="1:44">
      <c r="A790">
        <v>28</v>
      </c>
      <c r="B790" t="str" cm="1">
        <f t="array" ref="B790">_xlfn.IFS(
HRData[[#This Row],[Age]]&lt;=24,"18-24",
HRData[[#This Row],[Age]]&lt;=34,"25-34",
HRData[[#This Row],[Age]]&lt;=44,"35-44",
HRData[[#This Row],[Age]]&lt;=54,"45-54",
HRData[[#This Row],[Age]]&gt;=55,"55+"
)</f>
        <v>25-34</v>
      </c>
      <c r="C790" t="s">
        <v>43</v>
      </c>
      <c r="D790">
        <f>IF(HRData[[#This Row],[Attrition]]="Yes",1,0)</f>
        <v>0</v>
      </c>
      <c r="E790" t="s">
        <v>36</v>
      </c>
      <c r="F790">
        <v>857</v>
      </c>
      <c r="G790" t="s">
        <v>45</v>
      </c>
      <c r="H790">
        <v>10</v>
      </c>
      <c r="I790">
        <v>3</v>
      </c>
      <c r="J790" t="s">
        <v>49</v>
      </c>
      <c r="K790">
        <v>1</v>
      </c>
      <c r="L790">
        <v>1097</v>
      </c>
      <c r="M790">
        <v>3</v>
      </c>
      <c r="N790" t="str" cm="1">
        <f t="array" ref="N790">_xlfn.IFS(HRData[[#This Row],[EnvironmentSatisfaction]]=1,"Very Dissatisfied",
HRData[[#This Row],[EnvironmentSatisfaction]]=2,"Dissatisfied",
HRData[[#This Row],[EnvironmentSatisfaction]]=3,"Satisfied",
HRData[[#This Row],[EnvironmentSatisfaction]]=4,"Very Satisfied"
)</f>
        <v>Satisfied</v>
      </c>
      <c r="O790" t="s">
        <v>39</v>
      </c>
      <c r="P790">
        <v>59</v>
      </c>
      <c r="Q790">
        <v>3</v>
      </c>
      <c r="R790">
        <v>2</v>
      </c>
      <c r="S790" t="s">
        <v>47</v>
      </c>
      <c r="T790">
        <v>3</v>
      </c>
      <c r="U790" t="str" cm="1">
        <f t="array" ref="U790">_xlfn.IFS(
HRData[[#This Row],[JobSatisfaction]]=1,"Very Dissatisfied",
HRData[[#This Row],[JobSatisfaction]]=2,"Dissatisfied",
HRData[[#This Row],[JobSatisfaction]]=3,"Satisfied",
HRData[[#This Row],[JobSatisfaction]]=4,"Very Satisfied"
)</f>
        <v>Satisfied</v>
      </c>
      <c r="V790" t="s">
        <v>41</v>
      </c>
      <c r="W790">
        <v>3660</v>
      </c>
      <c r="X790" t="str" cm="1">
        <f t="array" ref="X790">_xlfn.IFS(
HRData[[#This Row],[MonthlyIncome]]&lt;=4000,"Very Low Income",
HRData[[#This Row],[MonthlyIncome]]&lt;=8000,"Low Income",
HRData[[#This Row],[MonthlyIncome]]&lt;=12000,"Moderate Income",
HRData[[#This Row],[MonthlyIncome]]&lt;=16000,"High Income",
HRData[[#This Row],[MonthlyIncome]]&gt;16000,"Very High Income"
)</f>
        <v>Very Low Income</v>
      </c>
      <c r="Y790">
        <v>7909</v>
      </c>
      <c r="Z790">
        <v>3</v>
      </c>
      <c r="AA790" t="s">
        <v>42</v>
      </c>
      <c r="AB790" t="s">
        <v>43</v>
      </c>
      <c r="AC790">
        <v>13</v>
      </c>
      <c r="AD790" t="str" cm="1">
        <f t="array" ref="AD790">_xlfn.IFS(HRData[[#This Row],[PercentSalaryHike]]&lt;=15,"11-15",HRData[[#This Row],[PercentSalaryHike]]&lt;=20,"16-20",HRData[[#This Row],[PercentSalaryHike]]&gt;=21,"21+")</f>
        <v>11-15</v>
      </c>
      <c r="AE790">
        <v>3</v>
      </c>
      <c r="AF790">
        <v>4</v>
      </c>
      <c r="AG790">
        <v>80</v>
      </c>
      <c r="AH790">
        <v>0</v>
      </c>
      <c r="AI790">
        <v>10</v>
      </c>
      <c r="AJ790">
        <v>4</v>
      </c>
      <c r="AK790">
        <v>4</v>
      </c>
      <c r="AL790">
        <v>8</v>
      </c>
      <c r="AM790">
        <v>7</v>
      </c>
      <c r="AN790">
        <v>1</v>
      </c>
      <c r="AO790">
        <v>7</v>
      </c>
      <c r="AP79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90" t="str">
        <f>IF(HRData[[#This Row],[Attrition]]="Yes","Left", IF(HRData[[#This Row],[Attrition_Risk_Score]]&gt;=6,"High",IF(HRData[[#This Row],[Attrition_Risk_Score]]&gt;=3,"Medium","Low")))</f>
        <v>Medium</v>
      </c>
      <c r="AR790" t="str">
        <f>IF(HRData[[#This Row],[Attrition_Risk_Level]]&lt;&gt;"High","",HRData[[#This Row],[Attrition_Risk_Score]]*10000-HRData[[#This Row],[EmployeeNumber]])</f>
        <v/>
      </c>
    </row>
    <row r="791" spans="1:44">
      <c r="A791">
        <v>44</v>
      </c>
      <c r="B791" t="str" cm="1">
        <f t="array" ref="B791">_xlfn.IFS(
HRData[[#This Row],[Age]]&lt;=24,"18-24",
HRData[[#This Row],[Age]]&lt;=34,"25-34",
HRData[[#This Row],[Age]]&lt;=44,"35-44",
HRData[[#This Row],[Age]]&lt;=54,"45-54",
HRData[[#This Row],[Age]]&gt;=55,"55+"
)</f>
        <v>35-44</v>
      </c>
      <c r="C791" t="s">
        <v>35</v>
      </c>
      <c r="D791">
        <f>IF(HRData[[#This Row],[Attrition]]="Yes",1,0)</f>
        <v>1</v>
      </c>
      <c r="E791" t="s">
        <v>36</v>
      </c>
      <c r="F791">
        <v>1376</v>
      </c>
      <c r="G791" t="s">
        <v>61</v>
      </c>
      <c r="H791">
        <v>1</v>
      </c>
      <c r="I791">
        <v>2</v>
      </c>
      <c r="J791" t="s">
        <v>51</v>
      </c>
      <c r="K791">
        <v>1</v>
      </c>
      <c r="L791">
        <v>1098</v>
      </c>
      <c r="M791">
        <v>2</v>
      </c>
      <c r="N791" t="str" cm="1">
        <f t="array" ref="N791">_xlfn.IFS(HRData[[#This Row],[EnvironmentSatisfaction]]=1,"Very Dissatisfied",
HRData[[#This Row],[EnvironmentSatisfaction]]=2,"Dissatisfied",
HRData[[#This Row],[EnvironmentSatisfaction]]=3,"Satisfied",
HRData[[#This Row],[EnvironmentSatisfaction]]=4,"Very Satisfied"
)</f>
        <v>Dissatisfied</v>
      </c>
      <c r="O791" t="s">
        <v>46</v>
      </c>
      <c r="P791">
        <v>91</v>
      </c>
      <c r="Q791">
        <v>2</v>
      </c>
      <c r="R791">
        <v>3</v>
      </c>
      <c r="S791" t="s">
        <v>61</v>
      </c>
      <c r="T791">
        <v>1</v>
      </c>
      <c r="U791" t="str" cm="1">
        <f t="array" ref="U791">_xlfn.IFS(
HRData[[#This Row],[JobSatisfaction]]=1,"Very Dissatisfied",
HRData[[#This Row],[JobSatisfaction]]=2,"Dissatisfied",
HRData[[#This Row],[JobSatisfaction]]=3,"Satisfied",
HRData[[#This Row],[JobSatisfaction]]=4,"Very Satisfied"
)</f>
        <v>Very Dissatisfied</v>
      </c>
      <c r="V791" t="s">
        <v>48</v>
      </c>
      <c r="W791">
        <v>10482</v>
      </c>
      <c r="X791" t="str" cm="1">
        <f t="array" ref="X791">_xlfn.IFS(
HRData[[#This Row],[MonthlyIncome]]&lt;=4000,"Very Low Income",
HRData[[#This Row],[MonthlyIncome]]&lt;=8000,"Low Income",
HRData[[#This Row],[MonthlyIncome]]&lt;=12000,"Moderate Income",
HRData[[#This Row],[MonthlyIncome]]&lt;=16000,"High Income",
HRData[[#This Row],[MonthlyIncome]]&gt;16000,"Very High Income"
)</f>
        <v>Moderate Income</v>
      </c>
      <c r="Y791">
        <v>2326</v>
      </c>
      <c r="Z791">
        <v>9</v>
      </c>
      <c r="AA791" t="s">
        <v>42</v>
      </c>
      <c r="AB791" t="s">
        <v>43</v>
      </c>
      <c r="AC791">
        <v>14</v>
      </c>
      <c r="AD791" t="str" cm="1">
        <f t="array" ref="AD791">_xlfn.IFS(HRData[[#This Row],[PercentSalaryHike]]&lt;=15,"11-15",HRData[[#This Row],[PercentSalaryHike]]&lt;=20,"16-20",HRData[[#This Row],[PercentSalaryHike]]&gt;=21,"21+")</f>
        <v>11-15</v>
      </c>
      <c r="AE791">
        <v>3</v>
      </c>
      <c r="AF791">
        <v>4</v>
      </c>
      <c r="AG791">
        <v>80</v>
      </c>
      <c r="AH791">
        <v>1</v>
      </c>
      <c r="AI791">
        <v>24</v>
      </c>
      <c r="AJ791">
        <v>1</v>
      </c>
      <c r="AK791">
        <v>3</v>
      </c>
      <c r="AL791">
        <v>20</v>
      </c>
      <c r="AM791">
        <v>6</v>
      </c>
      <c r="AN791">
        <v>3</v>
      </c>
      <c r="AO791">
        <v>6</v>
      </c>
      <c r="AP79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91" t="str">
        <f>IF(HRData[[#This Row],[Attrition]]="Yes","Left", IF(HRData[[#This Row],[Attrition_Risk_Score]]&gt;=6,"High",IF(HRData[[#This Row],[Attrition_Risk_Score]]&gt;=3,"Medium","Low")))</f>
        <v>Left</v>
      </c>
      <c r="AR791" t="str">
        <f>IF(HRData[[#This Row],[Attrition_Risk_Level]]&lt;&gt;"High","",HRData[[#This Row],[Attrition_Risk_Score]]*10000-HRData[[#This Row],[EmployeeNumber]])</f>
        <v/>
      </c>
    </row>
    <row r="792" spans="1:44">
      <c r="A792">
        <v>33</v>
      </c>
      <c r="B792" t="str" cm="1">
        <f t="array" ref="B792">_xlfn.IFS(
HRData[[#This Row],[Age]]&lt;=24,"18-24",
HRData[[#This Row],[Age]]&lt;=34,"25-34",
HRData[[#This Row],[Age]]&lt;=44,"35-44",
HRData[[#This Row],[Age]]&lt;=54,"45-54",
HRData[[#This Row],[Age]]&gt;=55,"55+"
)</f>
        <v>25-34</v>
      </c>
      <c r="C792" t="s">
        <v>43</v>
      </c>
      <c r="D792">
        <f>IF(HRData[[#This Row],[Attrition]]="Yes",1,0)</f>
        <v>0</v>
      </c>
      <c r="E792" t="s">
        <v>36</v>
      </c>
      <c r="F792">
        <v>654</v>
      </c>
      <c r="G792" t="s">
        <v>45</v>
      </c>
      <c r="H792">
        <v>5</v>
      </c>
      <c r="I792">
        <v>3</v>
      </c>
      <c r="J792" t="s">
        <v>38</v>
      </c>
      <c r="K792">
        <v>1</v>
      </c>
      <c r="L792">
        <v>1099</v>
      </c>
      <c r="M792">
        <v>4</v>
      </c>
      <c r="N792" t="str" cm="1">
        <f t="array" ref="N792">_xlfn.IFS(HRData[[#This Row],[EnvironmentSatisfaction]]=1,"Very Dissatisfied",
HRData[[#This Row],[EnvironmentSatisfaction]]=2,"Dissatisfied",
HRData[[#This Row],[EnvironmentSatisfaction]]=3,"Satisfied",
HRData[[#This Row],[EnvironmentSatisfaction]]=4,"Very Satisfied"
)</f>
        <v>Very Satisfied</v>
      </c>
      <c r="O792" t="s">
        <v>46</v>
      </c>
      <c r="P792">
        <v>34</v>
      </c>
      <c r="Q792">
        <v>2</v>
      </c>
      <c r="R792">
        <v>3</v>
      </c>
      <c r="S792" t="s">
        <v>54</v>
      </c>
      <c r="T792">
        <v>4</v>
      </c>
      <c r="U792" t="str" cm="1">
        <f t="array" ref="U792">_xlfn.IFS(
HRData[[#This Row],[JobSatisfaction]]=1,"Very Dissatisfied",
HRData[[#This Row],[JobSatisfaction]]=2,"Dissatisfied",
HRData[[#This Row],[JobSatisfaction]]=3,"Satisfied",
HRData[[#This Row],[JobSatisfaction]]=4,"Very Satisfied"
)</f>
        <v>Very Satisfied</v>
      </c>
      <c r="V792" t="s">
        <v>52</v>
      </c>
      <c r="W792">
        <v>7119</v>
      </c>
      <c r="X792" t="str" cm="1">
        <f t="array" ref="X792">_xlfn.IFS(
HRData[[#This Row],[MonthlyIncome]]&lt;=4000,"Very Low Income",
HRData[[#This Row],[MonthlyIncome]]&lt;=8000,"Low Income",
HRData[[#This Row],[MonthlyIncome]]&lt;=12000,"Moderate Income",
HRData[[#This Row],[MonthlyIncome]]&lt;=16000,"High Income",
HRData[[#This Row],[MonthlyIncome]]&gt;16000,"Very High Income"
)</f>
        <v>Low Income</v>
      </c>
      <c r="Y792">
        <v>21214</v>
      </c>
      <c r="Z792">
        <v>4</v>
      </c>
      <c r="AA792" t="s">
        <v>42</v>
      </c>
      <c r="AB792" t="s">
        <v>43</v>
      </c>
      <c r="AC792">
        <v>15</v>
      </c>
      <c r="AD792" t="str" cm="1">
        <f t="array" ref="AD792">_xlfn.IFS(HRData[[#This Row],[PercentSalaryHike]]&lt;=15,"11-15",HRData[[#This Row],[PercentSalaryHike]]&lt;=20,"16-20",HRData[[#This Row],[PercentSalaryHike]]&gt;=21,"21+")</f>
        <v>11-15</v>
      </c>
      <c r="AE792">
        <v>3</v>
      </c>
      <c r="AF792">
        <v>3</v>
      </c>
      <c r="AG792">
        <v>80</v>
      </c>
      <c r="AH792">
        <v>1</v>
      </c>
      <c r="AI792">
        <v>9</v>
      </c>
      <c r="AJ792">
        <v>2</v>
      </c>
      <c r="AK792">
        <v>3</v>
      </c>
      <c r="AL792">
        <v>3</v>
      </c>
      <c r="AM792">
        <v>2</v>
      </c>
      <c r="AN792">
        <v>1</v>
      </c>
      <c r="AO792">
        <v>2</v>
      </c>
      <c r="AP79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92" t="str">
        <f>IF(HRData[[#This Row],[Attrition]]="Yes","Left", IF(HRData[[#This Row],[Attrition_Risk_Score]]&gt;=6,"High",IF(HRData[[#This Row],[Attrition_Risk_Score]]&gt;=3,"Medium","Low")))</f>
        <v>Low</v>
      </c>
      <c r="AR792" t="str">
        <f>IF(HRData[[#This Row],[Attrition_Risk_Level]]&lt;&gt;"High","",HRData[[#This Row],[Attrition_Risk_Score]]*10000-HRData[[#This Row],[EmployeeNumber]])</f>
        <v/>
      </c>
    </row>
    <row r="793" spans="1:44">
      <c r="A793">
        <v>35</v>
      </c>
      <c r="B793" t="str" cm="1">
        <f t="array" ref="B793">_xlfn.IFS(
HRData[[#This Row],[Age]]&lt;=24,"18-24",
HRData[[#This Row],[Age]]&lt;=34,"25-34",
HRData[[#This Row],[Age]]&lt;=44,"35-44",
HRData[[#This Row],[Age]]&lt;=54,"45-54",
HRData[[#This Row],[Age]]&gt;=55,"55+"
)</f>
        <v>35-44</v>
      </c>
      <c r="C793" t="s">
        <v>35</v>
      </c>
      <c r="D793">
        <f>IF(HRData[[#This Row],[Attrition]]="Yes",1,0)</f>
        <v>1</v>
      </c>
      <c r="E793" t="s">
        <v>36</v>
      </c>
      <c r="F793">
        <v>1204</v>
      </c>
      <c r="G793" t="s">
        <v>37</v>
      </c>
      <c r="H793">
        <v>4</v>
      </c>
      <c r="I793">
        <v>3</v>
      </c>
      <c r="J793" t="s">
        <v>60</v>
      </c>
      <c r="K793">
        <v>1</v>
      </c>
      <c r="L793">
        <v>1100</v>
      </c>
      <c r="M793">
        <v>4</v>
      </c>
      <c r="N793" t="str" cm="1">
        <f t="array" ref="N793">_xlfn.IFS(HRData[[#This Row],[EnvironmentSatisfaction]]=1,"Very Dissatisfied",
HRData[[#This Row],[EnvironmentSatisfaction]]=2,"Dissatisfied",
HRData[[#This Row],[EnvironmentSatisfaction]]=3,"Satisfied",
HRData[[#This Row],[EnvironmentSatisfaction]]=4,"Very Satisfied"
)</f>
        <v>Very Satisfied</v>
      </c>
      <c r="O793" t="s">
        <v>46</v>
      </c>
      <c r="P793">
        <v>86</v>
      </c>
      <c r="Q793">
        <v>3</v>
      </c>
      <c r="R793">
        <v>3</v>
      </c>
      <c r="S793" t="s">
        <v>40</v>
      </c>
      <c r="T793">
        <v>1</v>
      </c>
      <c r="U793" t="str" cm="1">
        <f t="array" ref="U793">_xlfn.IFS(
HRData[[#This Row],[JobSatisfaction]]=1,"Very Dissatisfied",
HRData[[#This Row],[JobSatisfaction]]=2,"Dissatisfied",
HRData[[#This Row],[JobSatisfaction]]=3,"Satisfied",
HRData[[#This Row],[JobSatisfaction]]=4,"Very Satisfied"
)</f>
        <v>Very Dissatisfied</v>
      </c>
      <c r="V793" t="s">
        <v>41</v>
      </c>
      <c r="W793">
        <v>9582</v>
      </c>
      <c r="X793" t="str" cm="1">
        <f t="array" ref="X793">_xlfn.IFS(
HRData[[#This Row],[MonthlyIncome]]&lt;=4000,"Very Low Income",
HRData[[#This Row],[MonthlyIncome]]&lt;=8000,"Low Income",
HRData[[#This Row],[MonthlyIncome]]&lt;=12000,"Moderate Income",
HRData[[#This Row],[MonthlyIncome]]&lt;=16000,"High Income",
HRData[[#This Row],[MonthlyIncome]]&gt;16000,"Very High Income"
)</f>
        <v>Moderate Income</v>
      </c>
      <c r="Y793">
        <v>10333</v>
      </c>
      <c r="Z793">
        <v>0</v>
      </c>
      <c r="AA793" t="s">
        <v>42</v>
      </c>
      <c r="AB793" t="s">
        <v>35</v>
      </c>
      <c r="AC793">
        <v>22</v>
      </c>
      <c r="AD793" t="str" cm="1">
        <f t="array" ref="AD793">_xlfn.IFS(HRData[[#This Row],[PercentSalaryHike]]&lt;=15,"11-15",HRData[[#This Row],[PercentSalaryHike]]&lt;=20,"16-20",HRData[[#This Row],[PercentSalaryHike]]&gt;=21,"21+")</f>
        <v>21+</v>
      </c>
      <c r="AE793">
        <v>4</v>
      </c>
      <c r="AF793">
        <v>1</v>
      </c>
      <c r="AG793">
        <v>80</v>
      </c>
      <c r="AH793">
        <v>0</v>
      </c>
      <c r="AI793">
        <v>9</v>
      </c>
      <c r="AJ793">
        <v>2</v>
      </c>
      <c r="AK793">
        <v>3</v>
      </c>
      <c r="AL793">
        <v>8</v>
      </c>
      <c r="AM793">
        <v>7</v>
      </c>
      <c r="AN793">
        <v>4</v>
      </c>
      <c r="AO793">
        <v>7</v>
      </c>
      <c r="AP79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93" t="str">
        <f>IF(HRData[[#This Row],[Attrition]]="Yes","Left", IF(HRData[[#This Row],[Attrition_Risk_Score]]&gt;=6,"High",IF(HRData[[#This Row],[Attrition_Risk_Score]]&gt;=3,"Medium","Low")))</f>
        <v>Left</v>
      </c>
      <c r="AR793" t="str">
        <f>IF(HRData[[#This Row],[Attrition_Risk_Level]]&lt;&gt;"High","",HRData[[#This Row],[Attrition_Risk_Score]]*10000-HRData[[#This Row],[EmployeeNumber]])</f>
        <v/>
      </c>
    </row>
    <row r="794" spans="1:44">
      <c r="A794">
        <v>33</v>
      </c>
      <c r="B794" t="str" cm="1">
        <f t="array" ref="B794">_xlfn.IFS(
HRData[[#This Row],[Age]]&lt;=24,"18-24",
HRData[[#This Row],[Age]]&lt;=34,"25-34",
HRData[[#This Row],[Age]]&lt;=44,"35-44",
HRData[[#This Row],[Age]]&lt;=54,"45-54",
HRData[[#This Row],[Age]]&gt;=55,"55+"
)</f>
        <v>25-34</v>
      </c>
      <c r="C794" t="s">
        <v>35</v>
      </c>
      <c r="D794">
        <f>IF(HRData[[#This Row],[Attrition]]="Yes",1,0)</f>
        <v>1</v>
      </c>
      <c r="E794" t="s">
        <v>44</v>
      </c>
      <c r="F794">
        <v>827</v>
      </c>
      <c r="G794" t="s">
        <v>45</v>
      </c>
      <c r="H794">
        <v>29</v>
      </c>
      <c r="I794">
        <v>4</v>
      </c>
      <c r="J794" t="s">
        <v>51</v>
      </c>
      <c r="K794">
        <v>1</v>
      </c>
      <c r="L794">
        <v>1101</v>
      </c>
      <c r="M794">
        <v>1</v>
      </c>
      <c r="N794" t="str" cm="1">
        <f t="array" ref="N794">_xlfn.IFS(HRData[[#This Row],[EnvironmentSatisfaction]]=1,"Very Dissatisfied",
HRData[[#This Row],[EnvironmentSatisfaction]]=2,"Dissatisfied",
HRData[[#This Row],[EnvironmentSatisfaction]]=3,"Satisfied",
HRData[[#This Row],[EnvironmentSatisfaction]]=4,"Very Satisfied"
)</f>
        <v>Very Dissatisfied</v>
      </c>
      <c r="O794" t="s">
        <v>39</v>
      </c>
      <c r="P794">
        <v>54</v>
      </c>
      <c r="Q794">
        <v>2</v>
      </c>
      <c r="R794">
        <v>2</v>
      </c>
      <c r="S794" t="s">
        <v>47</v>
      </c>
      <c r="T794">
        <v>3</v>
      </c>
      <c r="U794" t="str" cm="1">
        <f t="array" ref="U794">_xlfn.IFS(
HRData[[#This Row],[JobSatisfaction]]=1,"Very Dissatisfied",
HRData[[#This Row],[JobSatisfaction]]=2,"Dissatisfied",
HRData[[#This Row],[JobSatisfaction]]=3,"Satisfied",
HRData[[#This Row],[JobSatisfaction]]=4,"Very Satisfied"
)</f>
        <v>Satisfied</v>
      </c>
      <c r="V794" t="s">
        <v>41</v>
      </c>
      <c r="W794">
        <v>4508</v>
      </c>
      <c r="X794" t="str" cm="1">
        <f t="array" ref="X794">_xlfn.IFS(
HRData[[#This Row],[MonthlyIncome]]&lt;=4000,"Very Low Income",
HRData[[#This Row],[MonthlyIncome]]&lt;=8000,"Low Income",
HRData[[#This Row],[MonthlyIncome]]&lt;=12000,"Moderate Income",
HRData[[#This Row],[MonthlyIncome]]&lt;=16000,"High Income",
HRData[[#This Row],[MonthlyIncome]]&gt;16000,"Very High Income"
)</f>
        <v>Low Income</v>
      </c>
      <c r="Y794">
        <v>3129</v>
      </c>
      <c r="Z794">
        <v>1</v>
      </c>
      <c r="AA794" t="s">
        <v>42</v>
      </c>
      <c r="AB794" t="s">
        <v>43</v>
      </c>
      <c r="AC794">
        <v>22</v>
      </c>
      <c r="AD794" t="str" cm="1">
        <f t="array" ref="AD794">_xlfn.IFS(HRData[[#This Row],[PercentSalaryHike]]&lt;=15,"11-15",HRData[[#This Row],[PercentSalaryHike]]&lt;=20,"16-20",HRData[[#This Row],[PercentSalaryHike]]&gt;=21,"21+")</f>
        <v>21+</v>
      </c>
      <c r="AE794">
        <v>4</v>
      </c>
      <c r="AF794">
        <v>2</v>
      </c>
      <c r="AG794">
        <v>80</v>
      </c>
      <c r="AH794">
        <v>0</v>
      </c>
      <c r="AI794">
        <v>14</v>
      </c>
      <c r="AJ794">
        <v>4</v>
      </c>
      <c r="AK794">
        <v>3</v>
      </c>
      <c r="AL794">
        <v>13</v>
      </c>
      <c r="AM794">
        <v>7</v>
      </c>
      <c r="AN794">
        <v>3</v>
      </c>
      <c r="AO794">
        <v>8</v>
      </c>
      <c r="AP79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94" t="str">
        <f>IF(HRData[[#This Row],[Attrition]]="Yes","Left", IF(HRData[[#This Row],[Attrition_Risk_Score]]&gt;=6,"High",IF(HRData[[#This Row],[Attrition_Risk_Score]]&gt;=3,"Medium","Low")))</f>
        <v>Left</v>
      </c>
      <c r="AR794" t="str">
        <f>IF(HRData[[#This Row],[Attrition_Risk_Level]]&lt;&gt;"High","",HRData[[#This Row],[Attrition_Risk_Score]]*10000-HRData[[#This Row],[EmployeeNumber]])</f>
        <v/>
      </c>
    </row>
    <row r="795" spans="1:44">
      <c r="A795">
        <v>28</v>
      </c>
      <c r="B795" t="str" cm="1">
        <f t="array" ref="B795">_xlfn.IFS(
HRData[[#This Row],[Age]]&lt;=24,"18-24",
HRData[[#This Row],[Age]]&lt;=34,"25-34",
HRData[[#This Row],[Age]]&lt;=44,"35-44",
HRData[[#This Row],[Age]]&lt;=54,"45-54",
HRData[[#This Row],[Age]]&gt;=55,"55+"
)</f>
        <v>25-34</v>
      </c>
      <c r="C795" t="s">
        <v>43</v>
      </c>
      <c r="D795">
        <f>IF(HRData[[#This Row],[Attrition]]="Yes",1,0)</f>
        <v>0</v>
      </c>
      <c r="E795" t="s">
        <v>36</v>
      </c>
      <c r="F795">
        <v>895</v>
      </c>
      <c r="G795" t="s">
        <v>45</v>
      </c>
      <c r="H795">
        <v>15</v>
      </c>
      <c r="I795">
        <v>2</v>
      </c>
      <c r="J795" t="s">
        <v>38</v>
      </c>
      <c r="K795">
        <v>1</v>
      </c>
      <c r="L795">
        <v>1102</v>
      </c>
      <c r="M795">
        <v>1</v>
      </c>
      <c r="N795" t="str" cm="1">
        <f t="array" ref="N795">_xlfn.IFS(HRData[[#This Row],[EnvironmentSatisfaction]]=1,"Very Dissatisfied",
HRData[[#This Row],[EnvironmentSatisfaction]]=2,"Dissatisfied",
HRData[[#This Row],[EnvironmentSatisfaction]]=3,"Satisfied",
HRData[[#This Row],[EnvironmentSatisfaction]]=4,"Very Satisfied"
)</f>
        <v>Very Dissatisfied</v>
      </c>
      <c r="O795" t="s">
        <v>46</v>
      </c>
      <c r="P795">
        <v>50</v>
      </c>
      <c r="Q795">
        <v>3</v>
      </c>
      <c r="R795">
        <v>1</v>
      </c>
      <c r="S795" t="s">
        <v>50</v>
      </c>
      <c r="T795">
        <v>3</v>
      </c>
      <c r="U795" t="str" cm="1">
        <f t="array" ref="U795">_xlfn.IFS(
HRData[[#This Row],[JobSatisfaction]]=1,"Very Dissatisfied",
HRData[[#This Row],[JobSatisfaction]]=2,"Dissatisfied",
HRData[[#This Row],[JobSatisfaction]]=3,"Satisfied",
HRData[[#This Row],[JobSatisfaction]]=4,"Very Satisfied"
)</f>
        <v>Satisfied</v>
      </c>
      <c r="V795" t="s">
        <v>52</v>
      </c>
      <c r="W795">
        <v>2207</v>
      </c>
      <c r="X795" t="str" cm="1">
        <f t="array" ref="X795">_xlfn.IFS(
HRData[[#This Row],[MonthlyIncome]]&lt;=4000,"Very Low Income",
HRData[[#This Row],[MonthlyIncome]]&lt;=8000,"Low Income",
HRData[[#This Row],[MonthlyIncome]]&lt;=12000,"Moderate Income",
HRData[[#This Row],[MonthlyIncome]]&lt;=16000,"High Income",
HRData[[#This Row],[MonthlyIncome]]&gt;16000,"Very High Income"
)</f>
        <v>Very Low Income</v>
      </c>
      <c r="Y795">
        <v>22482</v>
      </c>
      <c r="Z795">
        <v>1</v>
      </c>
      <c r="AA795" t="s">
        <v>42</v>
      </c>
      <c r="AB795" t="s">
        <v>43</v>
      </c>
      <c r="AC795">
        <v>16</v>
      </c>
      <c r="AD795" t="str" cm="1">
        <f t="array" ref="AD795">_xlfn.IFS(HRData[[#This Row],[PercentSalaryHike]]&lt;=15,"11-15",HRData[[#This Row],[PercentSalaryHike]]&lt;=20,"16-20",HRData[[#This Row],[PercentSalaryHike]]&gt;=21,"21+")</f>
        <v>16-20</v>
      </c>
      <c r="AE795">
        <v>3</v>
      </c>
      <c r="AF795">
        <v>4</v>
      </c>
      <c r="AG795">
        <v>80</v>
      </c>
      <c r="AH795">
        <v>1</v>
      </c>
      <c r="AI795">
        <v>4</v>
      </c>
      <c r="AJ795">
        <v>5</v>
      </c>
      <c r="AK795">
        <v>2</v>
      </c>
      <c r="AL795">
        <v>4</v>
      </c>
      <c r="AM795">
        <v>2</v>
      </c>
      <c r="AN795">
        <v>2</v>
      </c>
      <c r="AO795">
        <v>2</v>
      </c>
      <c r="AP79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795" t="str">
        <f>IF(HRData[[#This Row],[Attrition]]="Yes","Left", IF(HRData[[#This Row],[Attrition_Risk_Score]]&gt;=6,"High",IF(HRData[[#This Row],[Attrition_Risk_Score]]&gt;=3,"Medium","Low")))</f>
        <v>Medium</v>
      </c>
      <c r="AR795" t="str">
        <f>IF(HRData[[#This Row],[Attrition_Risk_Level]]&lt;&gt;"High","",HRData[[#This Row],[Attrition_Risk_Score]]*10000-HRData[[#This Row],[EmployeeNumber]])</f>
        <v/>
      </c>
    </row>
    <row r="796" spans="1:44">
      <c r="A796">
        <v>34</v>
      </c>
      <c r="B796" t="str" cm="1">
        <f t="array" ref="B796">_xlfn.IFS(
HRData[[#This Row],[Age]]&lt;=24,"18-24",
HRData[[#This Row],[Age]]&lt;=34,"25-34",
HRData[[#This Row],[Age]]&lt;=44,"35-44",
HRData[[#This Row],[Age]]&lt;=54,"45-54",
HRData[[#This Row],[Age]]&gt;=55,"55+"
)</f>
        <v>25-34</v>
      </c>
      <c r="C796" t="s">
        <v>43</v>
      </c>
      <c r="D796">
        <f>IF(HRData[[#This Row],[Attrition]]="Yes",1,0)</f>
        <v>0</v>
      </c>
      <c r="E796" t="s">
        <v>44</v>
      </c>
      <c r="F796">
        <v>618</v>
      </c>
      <c r="G796" t="s">
        <v>45</v>
      </c>
      <c r="H796">
        <v>3</v>
      </c>
      <c r="I796">
        <v>1</v>
      </c>
      <c r="J796" t="s">
        <v>38</v>
      </c>
      <c r="K796">
        <v>1</v>
      </c>
      <c r="L796">
        <v>1103</v>
      </c>
      <c r="M796">
        <v>1</v>
      </c>
      <c r="N796" t="str" cm="1">
        <f t="array" ref="N796">_xlfn.IFS(HRData[[#This Row],[EnvironmentSatisfaction]]=1,"Very Dissatisfied",
HRData[[#This Row],[EnvironmentSatisfaction]]=2,"Dissatisfied",
HRData[[#This Row],[EnvironmentSatisfaction]]=3,"Satisfied",
HRData[[#This Row],[EnvironmentSatisfaction]]=4,"Very Satisfied"
)</f>
        <v>Very Dissatisfied</v>
      </c>
      <c r="O796" t="s">
        <v>46</v>
      </c>
      <c r="P796">
        <v>45</v>
      </c>
      <c r="Q796">
        <v>3</v>
      </c>
      <c r="R796">
        <v>2</v>
      </c>
      <c r="S796" t="s">
        <v>54</v>
      </c>
      <c r="T796">
        <v>4</v>
      </c>
      <c r="U796" t="str" cm="1">
        <f t="array" ref="U796">_xlfn.IFS(
HRData[[#This Row],[JobSatisfaction]]=1,"Very Dissatisfied",
HRData[[#This Row],[JobSatisfaction]]=2,"Dissatisfied",
HRData[[#This Row],[JobSatisfaction]]=3,"Satisfied",
HRData[[#This Row],[JobSatisfaction]]=4,"Very Satisfied"
)</f>
        <v>Very Satisfied</v>
      </c>
      <c r="V796" t="s">
        <v>41</v>
      </c>
      <c r="W796">
        <v>7756</v>
      </c>
      <c r="X796" t="str" cm="1">
        <f t="array" ref="X796">_xlfn.IFS(
HRData[[#This Row],[MonthlyIncome]]&lt;=4000,"Very Low Income",
HRData[[#This Row],[MonthlyIncome]]&lt;=8000,"Low Income",
HRData[[#This Row],[MonthlyIncome]]&lt;=12000,"Moderate Income",
HRData[[#This Row],[MonthlyIncome]]&lt;=16000,"High Income",
HRData[[#This Row],[MonthlyIncome]]&gt;16000,"Very High Income"
)</f>
        <v>Low Income</v>
      </c>
      <c r="Y796">
        <v>22266</v>
      </c>
      <c r="Z796">
        <v>0</v>
      </c>
      <c r="AA796" t="s">
        <v>42</v>
      </c>
      <c r="AB796" t="s">
        <v>43</v>
      </c>
      <c r="AC796">
        <v>17</v>
      </c>
      <c r="AD796" t="str" cm="1">
        <f t="array" ref="AD796">_xlfn.IFS(HRData[[#This Row],[PercentSalaryHike]]&lt;=15,"11-15",HRData[[#This Row],[PercentSalaryHike]]&lt;=20,"16-20",HRData[[#This Row],[PercentSalaryHike]]&gt;=21,"21+")</f>
        <v>16-20</v>
      </c>
      <c r="AE796">
        <v>3</v>
      </c>
      <c r="AF796">
        <v>3</v>
      </c>
      <c r="AG796">
        <v>80</v>
      </c>
      <c r="AH796">
        <v>0</v>
      </c>
      <c r="AI796">
        <v>7</v>
      </c>
      <c r="AJ796">
        <v>1</v>
      </c>
      <c r="AK796">
        <v>2</v>
      </c>
      <c r="AL796">
        <v>6</v>
      </c>
      <c r="AM796">
        <v>2</v>
      </c>
      <c r="AN796">
        <v>0</v>
      </c>
      <c r="AO796">
        <v>4</v>
      </c>
      <c r="AP79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96" t="str">
        <f>IF(HRData[[#This Row],[Attrition]]="Yes","Left", IF(HRData[[#This Row],[Attrition_Risk_Score]]&gt;=6,"High",IF(HRData[[#This Row],[Attrition_Risk_Score]]&gt;=3,"Medium","Low")))</f>
        <v>Low</v>
      </c>
      <c r="AR796" t="str">
        <f>IF(HRData[[#This Row],[Attrition_Risk_Level]]&lt;&gt;"High","",HRData[[#This Row],[Attrition_Risk_Score]]*10000-HRData[[#This Row],[EmployeeNumber]])</f>
        <v/>
      </c>
    </row>
    <row r="797" spans="1:44">
      <c r="A797">
        <v>37</v>
      </c>
      <c r="B797" t="str" cm="1">
        <f t="array" ref="B797">_xlfn.IFS(
HRData[[#This Row],[Age]]&lt;=24,"18-24",
HRData[[#This Row],[Age]]&lt;=34,"25-34",
HRData[[#This Row],[Age]]&lt;=44,"35-44",
HRData[[#This Row],[Age]]&lt;=54,"45-54",
HRData[[#This Row],[Age]]&gt;=55,"55+"
)</f>
        <v>35-44</v>
      </c>
      <c r="C797" t="s">
        <v>43</v>
      </c>
      <c r="D797">
        <f>IF(HRData[[#This Row],[Attrition]]="Yes",1,0)</f>
        <v>0</v>
      </c>
      <c r="E797" t="s">
        <v>36</v>
      </c>
      <c r="F797">
        <v>309</v>
      </c>
      <c r="G797" t="s">
        <v>37</v>
      </c>
      <c r="H797">
        <v>10</v>
      </c>
      <c r="I797">
        <v>4</v>
      </c>
      <c r="J797" t="s">
        <v>38</v>
      </c>
      <c r="K797">
        <v>1</v>
      </c>
      <c r="L797">
        <v>1105</v>
      </c>
      <c r="M797">
        <v>4</v>
      </c>
      <c r="N797" t="str" cm="1">
        <f t="array" ref="N797">_xlfn.IFS(HRData[[#This Row],[EnvironmentSatisfaction]]=1,"Very Dissatisfied",
HRData[[#This Row],[EnvironmentSatisfaction]]=2,"Dissatisfied",
HRData[[#This Row],[EnvironmentSatisfaction]]=3,"Satisfied",
HRData[[#This Row],[EnvironmentSatisfaction]]=4,"Very Satisfied"
)</f>
        <v>Very Satisfied</v>
      </c>
      <c r="O797" t="s">
        <v>39</v>
      </c>
      <c r="P797">
        <v>88</v>
      </c>
      <c r="Q797">
        <v>2</v>
      </c>
      <c r="R797">
        <v>2</v>
      </c>
      <c r="S797" t="s">
        <v>40</v>
      </c>
      <c r="T797">
        <v>4</v>
      </c>
      <c r="U797" t="str" cm="1">
        <f t="array" ref="U797">_xlfn.IFS(
HRData[[#This Row],[JobSatisfaction]]=1,"Very Dissatisfied",
HRData[[#This Row],[JobSatisfaction]]=2,"Dissatisfied",
HRData[[#This Row],[JobSatisfaction]]=3,"Satisfied",
HRData[[#This Row],[JobSatisfaction]]=4,"Very Satisfied"
)</f>
        <v>Very Satisfied</v>
      </c>
      <c r="V797" t="s">
        <v>52</v>
      </c>
      <c r="W797">
        <v>6694</v>
      </c>
      <c r="X797" t="str" cm="1">
        <f t="array" ref="X797">_xlfn.IFS(
HRData[[#This Row],[MonthlyIncome]]&lt;=4000,"Very Low Income",
HRData[[#This Row],[MonthlyIncome]]&lt;=8000,"Low Income",
HRData[[#This Row],[MonthlyIncome]]&lt;=12000,"Moderate Income",
HRData[[#This Row],[MonthlyIncome]]&lt;=16000,"High Income",
HRData[[#This Row],[MonthlyIncome]]&gt;16000,"Very High Income"
)</f>
        <v>Low Income</v>
      </c>
      <c r="Y797">
        <v>24223</v>
      </c>
      <c r="Z797">
        <v>2</v>
      </c>
      <c r="AA797" t="s">
        <v>42</v>
      </c>
      <c r="AB797" t="s">
        <v>35</v>
      </c>
      <c r="AC797">
        <v>14</v>
      </c>
      <c r="AD797" t="str" cm="1">
        <f t="array" ref="AD797">_xlfn.IFS(HRData[[#This Row],[PercentSalaryHike]]&lt;=15,"11-15",HRData[[#This Row],[PercentSalaryHike]]&lt;=20,"16-20",HRData[[#This Row],[PercentSalaryHike]]&gt;=21,"21+")</f>
        <v>11-15</v>
      </c>
      <c r="AE797">
        <v>3</v>
      </c>
      <c r="AF797">
        <v>3</v>
      </c>
      <c r="AG797">
        <v>80</v>
      </c>
      <c r="AH797">
        <v>3</v>
      </c>
      <c r="AI797">
        <v>8</v>
      </c>
      <c r="AJ797">
        <v>5</v>
      </c>
      <c r="AK797">
        <v>3</v>
      </c>
      <c r="AL797">
        <v>1</v>
      </c>
      <c r="AM797">
        <v>0</v>
      </c>
      <c r="AN797">
        <v>0</v>
      </c>
      <c r="AO797">
        <v>0</v>
      </c>
      <c r="AP79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97" t="str">
        <f>IF(HRData[[#This Row],[Attrition]]="Yes","Left", IF(HRData[[#This Row],[Attrition_Risk_Score]]&gt;=6,"High",IF(HRData[[#This Row],[Attrition_Risk_Score]]&gt;=3,"Medium","Low")))</f>
        <v>Medium</v>
      </c>
      <c r="AR797" t="str">
        <f>IF(HRData[[#This Row],[Attrition_Risk_Level]]&lt;&gt;"High","",HRData[[#This Row],[Attrition_Risk_Score]]*10000-HRData[[#This Row],[EmployeeNumber]])</f>
        <v/>
      </c>
    </row>
    <row r="798" spans="1:44">
      <c r="A798">
        <v>25</v>
      </c>
      <c r="B798" t="str" cm="1">
        <f t="array" ref="B798">_xlfn.IFS(
HRData[[#This Row],[Age]]&lt;=24,"18-24",
HRData[[#This Row],[Age]]&lt;=34,"25-34",
HRData[[#This Row],[Age]]&lt;=44,"35-44",
HRData[[#This Row],[Age]]&lt;=54,"45-54",
HRData[[#This Row],[Age]]&gt;=55,"55+"
)</f>
        <v>25-34</v>
      </c>
      <c r="C798" t="s">
        <v>35</v>
      </c>
      <c r="D798">
        <f>IF(HRData[[#This Row],[Attrition]]="Yes",1,0)</f>
        <v>1</v>
      </c>
      <c r="E798" t="s">
        <v>36</v>
      </c>
      <c r="F798">
        <v>1219</v>
      </c>
      <c r="G798" t="s">
        <v>45</v>
      </c>
      <c r="H798">
        <v>4</v>
      </c>
      <c r="I798">
        <v>1</v>
      </c>
      <c r="J798" t="s">
        <v>60</v>
      </c>
      <c r="K798">
        <v>1</v>
      </c>
      <c r="L798">
        <v>1106</v>
      </c>
      <c r="M798">
        <v>4</v>
      </c>
      <c r="N798" t="str" cm="1">
        <f t="array" ref="N798">_xlfn.IFS(HRData[[#This Row],[EnvironmentSatisfaction]]=1,"Very Dissatisfied",
HRData[[#This Row],[EnvironmentSatisfaction]]=2,"Dissatisfied",
HRData[[#This Row],[EnvironmentSatisfaction]]=3,"Satisfied",
HRData[[#This Row],[EnvironmentSatisfaction]]=4,"Very Satisfied"
)</f>
        <v>Very Satisfied</v>
      </c>
      <c r="O798" t="s">
        <v>46</v>
      </c>
      <c r="P798">
        <v>32</v>
      </c>
      <c r="Q798">
        <v>3</v>
      </c>
      <c r="R798">
        <v>1</v>
      </c>
      <c r="S798" t="s">
        <v>50</v>
      </c>
      <c r="T798">
        <v>4</v>
      </c>
      <c r="U798" t="str" cm="1">
        <f t="array" ref="U798">_xlfn.IFS(
HRData[[#This Row],[JobSatisfaction]]=1,"Very Dissatisfied",
HRData[[#This Row],[JobSatisfaction]]=2,"Dissatisfied",
HRData[[#This Row],[JobSatisfaction]]=3,"Satisfied",
HRData[[#This Row],[JobSatisfaction]]=4,"Very Satisfied"
)</f>
        <v>Very Satisfied</v>
      </c>
      <c r="V798" t="s">
        <v>48</v>
      </c>
      <c r="W798">
        <v>3691</v>
      </c>
      <c r="X798" t="str" cm="1">
        <f t="array" ref="X798">_xlfn.IFS(
HRData[[#This Row],[MonthlyIncome]]&lt;=4000,"Very Low Income",
HRData[[#This Row],[MonthlyIncome]]&lt;=8000,"Low Income",
HRData[[#This Row],[MonthlyIncome]]&lt;=12000,"Moderate Income",
HRData[[#This Row],[MonthlyIncome]]&lt;=16000,"High Income",
HRData[[#This Row],[MonthlyIncome]]&gt;16000,"Very High Income"
)</f>
        <v>Very Low Income</v>
      </c>
      <c r="Y798">
        <v>4605</v>
      </c>
      <c r="Z798">
        <v>1</v>
      </c>
      <c r="AA798" t="s">
        <v>42</v>
      </c>
      <c r="AB798" t="s">
        <v>35</v>
      </c>
      <c r="AC798">
        <v>15</v>
      </c>
      <c r="AD798" t="str" cm="1">
        <f t="array" ref="AD798">_xlfn.IFS(HRData[[#This Row],[PercentSalaryHike]]&lt;=15,"11-15",HRData[[#This Row],[PercentSalaryHike]]&lt;=20,"16-20",HRData[[#This Row],[PercentSalaryHike]]&gt;=21,"21+")</f>
        <v>11-15</v>
      </c>
      <c r="AE798">
        <v>3</v>
      </c>
      <c r="AF798">
        <v>2</v>
      </c>
      <c r="AG798">
        <v>80</v>
      </c>
      <c r="AH798">
        <v>1</v>
      </c>
      <c r="AI798">
        <v>7</v>
      </c>
      <c r="AJ798">
        <v>3</v>
      </c>
      <c r="AK798">
        <v>4</v>
      </c>
      <c r="AL798">
        <v>7</v>
      </c>
      <c r="AM798">
        <v>7</v>
      </c>
      <c r="AN798">
        <v>5</v>
      </c>
      <c r="AO798">
        <v>6</v>
      </c>
      <c r="AP79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98" t="str">
        <f>IF(HRData[[#This Row],[Attrition]]="Yes","Left", IF(HRData[[#This Row],[Attrition_Risk_Score]]&gt;=6,"High",IF(HRData[[#This Row],[Attrition_Risk_Score]]&gt;=3,"Medium","Low")))</f>
        <v>Left</v>
      </c>
      <c r="AR798" t="str">
        <f>IF(HRData[[#This Row],[Attrition_Risk_Level]]&lt;&gt;"High","",HRData[[#This Row],[Attrition_Risk_Score]]*10000-HRData[[#This Row],[EmployeeNumber]])</f>
        <v/>
      </c>
    </row>
    <row r="799" spans="1:44">
      <c r="A799">
        <v>26</v>
      </c>
      <c r="B799" t="str" cm="1">
        <f t="array" ref="B799">_xlfn.IFS(
HRData[[#This Row],[Age]]&lt;=24,"18-24",
HRData[[#This Row],[Age]]&lt;=34,"25-34",
HRData[[#This Row],[Age]]&lt;=44,"35-44",
HRData[[#This Row],[Age]]&lt;=54,"45-54",
HRData[[#This Row],[Age]]&gt;=55,"55+"
)</f>
        <v>25-34</v>
      </c>
      <c r="C799" t="s">
        <v>35</v>
      </c>
      <c r="D799">
        <f>IF(HRData[[#This Row],[Attrition]]="Yes",1,0)</f>
        <v>1</v>
      </c>
      <c r="E799" t="s">
        <v>36</v>
      </c>
      <c r="F799">
        <v>1330</v>
      </c>
      <c r="G799" t="s">
        <v>45</v>
      </c>
      <c r="H799">
        <v>21</v>
      </c>
      <c r="I799">
        <v>3</v>
      </c>
      <c r="J799" t="s">
        <v>51</v>
      </c>
      <c r="K799">
        <v>1</v>
      </c>
      <c r="L799">
        <v>1107</v>
      </c>
      <c r="M799">
        <v>1</v>
      </c>
      <c r="N799" t="str" cm="1">
        <f t="array" ref="N799">_xlfn.IFS(HRData[[#This Row],[EnvironmentSatisfaction]]=1,"Very Dissatisfied",
HRData[[#This Row],[EnvironmentSatisfaction]]=2,"Dissatisfied",
HRData[[#This Row],[EnvironmentSatisfaction]]=3,"Satisfied",
HRData[[#This Row],[EnvironmentSatisfaction]]=4,"Very Satisfied"
)</f>
        <v>Very Dissatisfied</v>
      </c>
      <c r="O799" t="s">
        <v>46</v>
      </c>
      <c r="P799">
        <v>37</v>
      </c>
      <c r="Q799">
        <v>3</v>
      </c>
      <c r="R799">
        <v>1</v>
      </c>
      <c r="S799" t="s">
        <v>50</v>
      </c>
      <c r="T799">
        <v>3</v>
      </c>
      <c r="U799" t="str" cm="1">
        <f t="array" ref="U799">_xlfn.IFS(
HRData[[#This Row],[JobSatisfaction]]=1,"Very Dissatisfied",
HRData[[#This Row],[JobSatisfaction]]=2,"Dissatisfied",
HRData[[#This Row],[JobSatisfaction]]=3,"Satisfied",
HRData[[#This Row],[JobSatisfaction]]=4,"Very Satisfied"
)</f>
        <v>Satisfied</v>
      </c>
      <c r="V799" t="s">
        <v>52</v>
      </c>
      <c r="W799">
        <v>2377</v>
      </c>
      <c r="X799" t="str" cm="1">
        <f t="array" ref="X799">_xlfn.IFS(
HRData[[#This Row],[MonthlyIncome]]&lt;=4000,"Very Low Income",
HRData[[#This Row],[MonthlyIncome]]&lt;=8000,"Low Income",
HRData[[#This Row],[MonthlyIncome]]&lt;=12000,"Moderate Income",
HRData[[#This Row],[MonthlyIncome]]&lt;=16000,"High Income",
HRData[[#This Row],[MonthlyIncome]]&gt;16000,"Very High Income"
)</f>
        <v>Very Low Income</v>
      </c>
      <c r="Y799">
        <v>19373</v>
      </c>
      <c r="Z799">
        <v>1</v>
      </c>
      <c r="AA799" t="s">
        <v>42</v>
      </c>
      <c r="AB799" t="s">
        <v>43</v>
      </c>
      <c r="AC799">
        <v>20</v>
      </c>
      <c r="AD799" t="str" cm="1">
        <f t="array" ref="AD799">_xlfn.IFS(HRData[[#This Row],[PercentSalaryHike]]&lt;=15,"11-15",HRData[[#This Row],[PercentSalaryHike]]&lt;=20,"16-20",HRData[[#This Row],[PercentSalaryHike]]&gt;=21,"21+")</f>
        <v>16-20</v>
      </c>
      <c r="AE799">
        <v>4</v>
      </c>
      <c r="AF799">
        <v>3</v>
      </c>
      <c r="AG799">
        <v>80</v>
      </c>
      <c r="AH799">
        <v>1</v>
      </c>
      <c r="AI799">
        <v>1</v>
      </c>
      <c r="AJ799">
        <v>0</v>
      </c>
      <c r="AK799">
        <v>2</v>
      </c>
      <c r="AL799">
        <v>1</v>
      </c>
      <c r="AM799">
        <v>1</v>
      </c>
      <c r="AN799">
        <v>0</v>
      </c>
      <c r="AO799">
        <v>0</v>
      </c>
      <c r="AP79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99" t="str">
        <f>IF(HRData[[#This Row],[Attrition]]="Yes","Left", IF(HRData[[#This Row],[Attrition_Risk_Score]]&gt;=6,"High",IF(HRData[[#This Row],[Attrition_Risk_Score]]&gt;=3,"Medium","Low")))</f>
        <v>Left</v>
      </c>
      <c r="AR799" t="str">
        <f>IF(HRData[[#This Row],[Attrition_Risk_Level]]&lt;&gt;"High","",HRData[[#This Row],[Attrition_Risk_Score]]*10000-HRData[[#This Row],[EmployeeNumber]])</f>
        <v/>
      </c>
    </row>
    <row r="800" spans="1:44">
      <c r="A800">
        <v>33</v>
      </c>
      <c r="B800" t="str" cm="1">
        <f t="array" ref="B800">_xlfn.IFS(
HRData[[#This Row],[Age]]&lt;=24,"18-24",
HRData[[#This Row],[Age]]&lt;=34,"25-34",
HRData[[#This Row],[Age]]&lt;=44,"35-44",
HRData[[#This Row],[Age]]&lt;=54,"45-54",
HRData[[#This Row],[Age]]&gt;=55,"55+"
)</f>
        <v>25-34</v>
      </c>
      <c r="C800" t="s">
        <v>35</v>
      </c>
      <c r="D800">
        <f>IF(HRData[[#This Row],[Attrition]]="Yes",1,0)</f>
        <v>1</v>
      </c>
      <c r="E800" t="s">
        <v>36</v>
      </c>
      <c r="F800">
        <v>1017</v>
      </c>
      <c r="G800" t="s">
        <v>45</v>
      </c>
      <c r="H800">
        <v>25</v>
      </c>
      <c r="I800">
        <v>3</v>
      </c>
      <c r="J800" t="s">
        <v>51</v>
      </c>
      <c r="K800">
        <v>1</v>
      </c>
      <c r="L800">
        <v>1108</v>
      </c>
      <c r="M800">
        <v>1</v>
      </c>
      <c r="N800" t="str" cm="1">
        <f t="array" ref="N800">_xlfn.IFS(HRData[[#This Row],[EnvironmentSatisfaction]]=1,"Very Dissatisfied",
HRData[[#This Row],[EnvironmentSatisfaction]]=2,"Dissatisfied",
HRData[[#This Row],[EnvironmentSatisfaction]]=3,"Satisfied",
HRData[[#This Row],[EnvironmentSatisfaction]]=4,"Very Satisfied"
)</f>
        <v>Very Dissatisfied</v>
      </c>
      <c r="O800" t="s">
        <v>46</v>
      </c>
      <c r="P800">
        <v>55</v>
      </c>
      <c r="Q800">
        <v>2</v>
      </c>
      <c r="R800">
        <v>1</v>
      </c>
      <c r="S800" t="s">
        <v>47</v>
      </c>
      <c r="T800">
        <v>2</v>
      </c>
      <c r="U800" t="str" cm="1">
        <f t="array" ref="U800">_xlfn.IFS(
HRData[[#This Row],[JobSatisfaction]]=1,"Very Dissatisfied",
HRData[[#This Row],[JobSatisfaction]]=2,"Dissatisfied",
HRData[[#This Row],[JobSatisfaction]]=3,"Satisfied",
HRData[[#This Row],[JobSatisfaction]]=4,"Very Satisfied"
)</f>
        <v>Dissatisfied</v>
      </c>
      <c r="V800" t="s">
        <v>41</v>
      </c>
      <c r="W800">
        <v>2313</v>
      </c>
      <c r="X800" t="str" cm="1">
        <f t="array" ref="X800">_xlfn.IFS(
HRData[[#This Row],[MonthlyIncome]]&lt;=4000,"Very Low Income",
HRData[[#This Row],[MonthlyIncome]]&lt;=8000,"Low Income",
HRData[[#This Row],[MonthlyIncome]]&lt;=12000,"Moderate Income",
HRData[[#This Row],[MonthlyIncome]]&lt;=16000,"High Income",
HRData[[#This Row],[MonthlyIncome]]&gt;16000,"Very High Income"
)</f>
        <v>Very Low Income</v>
      </c>
      <c r="Y800">
        <v>2993</v>
      </c>
      <c r="Z800">
        <v>4</v>
      </c>
      <c r="AA800" t="s">
        <v>42</v>
      </c>
      <c r="AB800" t="s">
        <v>35</v>
      </c>
      <c r="AC800">
        <v>20</v>
      </c>
      <c r="AD800" t="str" cm="1">
        <f t="array" ref="AD800">_xlfn.IFS(HRData[[#This Row],[PercentSalaryHike]]&lt;=15,"11-15",HRData[[#This Row],[PercentSalaryHike]]&lt;=20,"16-20",HRData[[#This Row],[PercentSalaryHike]]&gt;=21,"21+")</f>
        <v>16-20</v>
      </c>
      <c r="AE800">
        <v>4</v>
      </c>
      <c r="AF800">
        <v>2</v>
      </c>
      <c r="AG800">
        <v>80</v>
      </c>
      <c r="AH800">
        <v>0</v>
      </c>
      <c r="AI800">
        <v>5</v>
      </c>
      <c r="AJ800">
        <v>0</v>
      </c>
      <c r="AK800">
        <v>3</v>
      </c>
      <c r="AL800">
        <v>2</v>
      </c>
      <c r="AM800">
        <v>2</v>
      </c>
      <c r="AN800">
        <v>2</v>
      </c>
      <c r="AO800">
        <v>2</v>
      </c>
      <c r="AP80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00" t="str">
        <f>IF(HRData[[#This Row],[Attrition]]="Yes","Left", IF(HRData[[#This Row],[Attrition_Risk_Score]]&gt;=6,"High",IF(HRData[[#This Row],[Attrition_Risk_Score]]&gt;=3,"Medium","Low")))</f>
        <v>Left</v>
      </c>
      <c r="AR800" t="str">
        <f>IF(HRData[[#This Row],[Attrition_Risk_Level]]&lt;&gt;"High","",HRData[[#This Row],[Attrition_Risk_Score]]*10000-HRData[[#This Row],[EmployeeNumber]])</f>
        <v/>
      </c>
    </row>
    <row r="801" spans="1:44">
      <c r="A801">
        <v>42</v>
      </c>
      <c r="B801" t="str" cm="1">
        <f t="array" ref="B801">_xlfn.IFS(
HRData[[#This Row],[Age]]&lt;=24,"18-24",
HRData[[#This Row],[Age]]&lt;=34,"25-34",
HRData[[#This Row],[Age]]&lt;=44,"35-44",
HRData[[#This Row],[Age]]&lt;=54,"45-54",
HRData[[#This Row],[Age]]&gt;=55,"55+"
)</f>
        <v>35-44</v>
      </c>
      <c r="C801" t="s">
        <v>43</v>
      </c>
      <c r="D801">
        <f>IF(HRData[[#This Row],[Attrition]]="Yes",1,0)</f>
        <v>0</v>
      </c>
      <c r="E801" t="s">
        <v>36</v>
      </c>
      <c r="F801">
        <v>469</v>
      </c>
      <c r="G801" t="s">
        <v>45</v>
      </c>
      <c r="H801">
        <v>2</v>
      </c>
      <c r="I801">
        <v>2</v>
      </c>
      <c r="J801" t="s">
        <v>51</v>
      </c>
      <c r="K801">
        <v>1</v>
      </c>
      <c r="L801">
        <v>1109</v>
      </c>
      <c r="M801">
        <v>4</v>
      </c>
      <c r="N801" t="str" cm="1">
        <f t="array" ref="N801">_xlfn.IFS(HRData[[#This Row],[EnvironmentSatisfaction]]=1,"Very Dissatisfied",
HRData[[#This Row],[EnvironmentSatisfaction]]=2,"Dissatisfied",
HRData[[#This Row],[EnvironmentSatisfaction]]=3,"Satisfied",
HRData[[#This Row],[EnvironmentSatisfaction]]=4,"Very Satisfied"
)</f>
        <v>Very Satisfied</v>
      </c>
      <c r="O801" t="s">
        <v>46</v>
      </c>
      <c r="P801">
        <v>35</v>
      </c>
      <c r="Q801">
        <v>3</v>
      </c>
      <c r="R801">
        <v>4</v>
      </c>
      <c r="S801" t="s">
        <v>56</v>
      </c>
      <c r="T801">
        <v>1</v>
      </c>
      <c r="U801" t="str" cm="1">
        <f t="array" ref="U801">_xlfn.IFS(
HRData[[#This Row],[JobSatisfaction]]=1,"Very Dissatisfied",
HRData[[#This Row],[JobSatisfaction]]=2,"Dissatisfied",
HRData[[#This Row],[JobSatisfaction]]=3,"Satisfied",
HRData[[#This Row],[JobSatisfaction]]=4,"Very Satisfied"
)</f>
        <v>Very Dissatisfied</v>
      </c>
      <c r="V801" t="s">
        <v>48</v>
      </c>
      <c r="W801">
        <v>17665</v>
      </c>
      <c r="X801" t="str" cm="1">
        <f t="array" ref="X801">_xlfn.IFS(
HRData[[#This Row],[MonthlyIncome]]&lt;=4000,"Very Low Income",
HRData[[#This Row],[MonthlyIncome]]&lt;=8000,"Low Income",
HRData[[#This Row],[MonthlyIncome]]&lt;=12000,"Moderate Income",
HRData[[#This Row],[MonthlyIncome]]&lt;=16000,"High Income",
HRData[[#This Row],[MonthlyIncome]]&gt;16000,"Very High Income"
)</f>
        <v>Very High Income</v>
      </c>
      <c r="Y801">
        <v>14399</v>
      </c>
      <c r="Z801">
        <v>0</v>
      </c>
      <c r="AA801" t="s">
        <v>42</v>
      </c>
      <c r="AB801" t="s">
        <v>43</v>
      </c>
      <c r="AC801">
        <v>17</v>
      </c>
      <c r="AD801" t="str" cm="1">
        <f t="array" ref="AD801">_xlfn.IFS(HRData[[#This Row],[PercentSalaryHike]]&lt;=15,"11-15",HRData[[#This Row],[PercentSalaryHike]]&lt;=20,"16-20",HRData[[#This Row],[PercentSalaryHike]]&gt;=21,"21+")</f>
        <v>16-20</v>
      </c>
      <c r="AE801">
        <v>3</v>
      </c>
      <c r="AF801">
        <v>4</v>
      </c>
      <c r="AG801">
        <v>80</v>
      </c>
      <c r="AH801">
        <v>1</v>
      </c>
      <c r="AI801">
        <v>23</v>
      </c>
      <c r="AJ801">
        <v>3</v>
      </c>
      <c r="AK801">
        <v>3</v>
      </c>
      <c r="AL801">
        <v>22</v>
      </c>
      <c r="AM801">
        <v>6</v>
      </c>
      <c r="AN801">
        <v>13</v>
      </c>
      <c r="AO801">
        <v>7</v>
      </c>
      <c r="AP80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01" t="str">
        <f>IF(HRData[[#This Row],[Attrition]]="Yes","Left", IF(HRData[[#This Row],[Attrition_Risk_Score]]&gt;=6,"High",IF(HRData[[#This Row],[Attrition_Risk_Score]]&gt;=3,"Medium","Low")))</f>
        <v>Low</v>
      </c>
      <c r="AR801" t="str">
        <f>IF(HRData[[#This Row],[Attrition_Risk_Level]]&lt;&gt;"High","",HRData[[#This Row],[Attrition_Risk_Score]]*10000-HRData[[#This Row],[EmployeeNumber]])</f>
        <v/>
      </c>
    </row>
    <row r="802" spans="1:44">
      <c r="A802">
        <v>28</v>
      </c>
      <c r="B802" t="str" cm="1">
        <f t="array" ref="B802">_xlfn.IFS(
HRData[[#This Row],[Age]]&lt;=24,"18-24",
HRData[[#This Row],[Age]]&lt;=34,"25-34",
HRData[[#This Row],[Age]]&lt;=44,"35-44",
HRData[[#This Row],[Age]]&lt;=54,"45-54",
HRData[[#This Row],[Age]]&gt;=55,"55+"
)</f>
        <v>25-34</v>
      </c>
      <c r="C802" t="s">
        <v>35</v>
      </c>
      <c r="D802">
        <f>IF(HRData[[#This Row],[Attrition]]="Yes",1,0)</f>
        <v>1</v>
      </c>
      <c r="E802" t="s">
        <v>44</v>
      </c>
      <c r="F802">
        <v>1009</v>
      </c>
      <c r="G802" t="s">
        <v>45</v>
      </c>
      <c r="H802">
        <v>1</v>
      </c>
      <c r="I802">
        <v>3</v>
      </c>
      <c r="J802" t="s">
        <v>51</v>
      </c>
      <c r="K802">
        <v>1</v>
      </c>
      <c r="L802">
        <v>1111</v>
      </c>
      <c r="M802">
        <v>1</v>
      </c>
      <c r="N802" t="str" cm="1">
        <f t="array" ref="N802">_xlfn.IFS(HRData[[#This Row],[EnvironmentSatisfaction]]=1,"Very Dissatisfied",
HRData[[#This Row],[EnvironmentSatisfaction]]=2,"Dissatisfied",
HRData[[#This Row],[EnvironmentSatisfaction]]=3,"Satisfied",
HRData[[#This Row],[EnvironmentSatisfaction]]=4,"Very Satisfied"
)</f>
        <v>Very Dissatisfied</v>
      </c>
      <c r="O802" t="s">
        <v>46</v>
      </c>
      <c r="P802">
        <v>45</v>
      </c>
      <c r="Q802">
        <v>2</v>
      </c>
      <c r="R802">
        <v>1</v>
      </c>
      <c r="S802" t="s">
        <v>50</v>
      </c>
      <c r="T802">
        <v>2</v>
      </c>
      <c r="U802" t="str" cm="1">
        <f t="array" ref="U802">_xlfn.IFS(
HRData[[#This Row],[JobSatisfaction]]=1,"Very Dissatisfied",
HRData[[#This Row],[JobSatisfaction]]=2,"Dissatisfied",
HRData[[#This Row],[JobSatisfaction]]=3,"Satisfied",
HRData[[#This Row],[JobSatisfaction]]=4,"Very Satisfied"
)</f>
        <v>Dissatisfied</v>
      </c>
      <c r="V802" t="s">
        <v>52</v>
      </c>
      <c r="W802">
        <v>2596</v>
      </c>
      <c r="X802" t="str" cm="1">
        <f t="array" ref="X802">_xlfn.IFS(
HRData[[#This Row],[MonthlyIncome]]&lt;=4000,"Very Low Income",
HRData[[#This Row],[MonthlyIncome]]&lt;=8000,"Low Income",
HRData[[#This Row],[MonthlyIncome]]&lt;=12000,"Moderate Income",
HRData[[#This Row],[MonthlyIncome]]&lt;=16000,"High Income",
HRData[[#This Row],[MonthlyIncome]]&gt;16000,"Very High Income"
)</f>
        <v>Very Low Income</v>
      </c>
      <c r="Y802">
        <v>7160</v>
      </c>
      <c r="Z802">
        <v>1</v>
      </c>
      <c r="AA802" t="s">
        <v>42</v>
      </c>
      <c r="AB802" t="s">
        <v>43</v>
      </c>
      <c r="AC802">
        <v>15</v>
      </c>
      <c r="AD802" t="str" cm="1">
        <f t="array" ref="AD802">_xlfn.IFS(HRData[[#This Row],[PercentSalaryHike]]&lt;=15,"11-15",HRData[[#This Row],[PercentSalaryHike]]&lt;=20,"16-20",HRData[[#This Row],[PercentSalaryHike]]&gt;=21,"21+")</f>
        <v>11-15</v>
      </c>
      <c r="AE802">
        <v>3</v>
      </c>
      <c r="AF802">
        <v>1</v>
      </c>
      <c r="AG802">
        <v>80</v>
      </c>
      <c r="AH802">
        <v>2</v>
      </c>
      <c r="AI802">
        <v>1</v>
      </c>
      <c r="AJ802">
        <v>2</v>
      </c>
      <c r="AK802">
        <v>3</v>
      </c>
      <c r="AL802">
        <v>1</v>
      </c>
      <c r="AM802">
        <v>0</v>
      </c>
      <c r="AN802">
        <v>0</v>
      </c>
      <c r="AO802">
        <v>0</v>
      </c>
      <c r="AP80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02" t="str">
        <f>IF(HRData[[#This Row],[Attrition]]="Yes","Left", IF(HRData[[#This Row],[Attrition_Risk_Score]]&gt;=6,"High",IF(HRData[[#This Row],[Attrition_Risk_Score]]&gt;=3,"Medium","Low")))</f>
        <v>Left</v>
      </c>
      <c r="AR802" t="str">
        <f>IF(HRData[[#This Row],[Attrition_Risk_Level]]&lt;&gt;"High","",HRData[[#This Row],[Attrition_Risk_Score]]*10000-HRData[[#This Row],[EmployeeNumber]])</f>
        <v/>
      </c>
    </row>
    <row r="803" spans="1:44">
      <c r="A803">
        <v>50</v>
      </c>
      <c r="B803" t="str" cm="1">
        <f t="array" ref="B803">_xlfn.IFS(
HRData[[#This Row],[Age]]&lt;=24,"18-24",
HRData[[#This Row],[Age]]&lt;=34,"25-34",
HRData[[#This Row],[Age]]&lt;=44,"35-44",
HRData[[#This Row],[Age]]&lt;=54,"45-54",
HRData[[#This Row],[Age]]&gt;=55,"55+"
)</f>
        <v>45-54</v>
      </c>
      <c r="C803" t="s">
        <v>35</v>
      </c>
      <c r="D803">
        <f>IF(HRData[[#This Row],[Attrition]]="Yes",1,0)</f>
        <v>1</v>
      </c>
      <c r="E803" t="s">
        <v>44</v>
      </c>
      <c r="F803">
        <v>959</v>
      </c>
      <c r="G803" t="s">
        <v>37</v>
      </c>
      <c r="H803">
        <v>1</v>
      </c>
      <c r="I803">
        <v>4</v>
      </c>
      <c r="J803" t="s">
        <v>49</v>
      </c>
      <c r="K803">
        <v>1</v>
      </c>
      <c r="L803">
        <v>1113</v>
      </c>
      <c r="M803">
        <v>4</v>
      </c>
      <c r="N803" t="str" cm="1">
        <f t="array" ref="N803">_xlfn.IFS(HRData[[#This Row],[EnvironmentSatisfaction]]=1,"Very Dissatisfied",
HRData[[#This Row],[EnvironmentSatisfaction]]=2,"Dissatisfied",
HRData[[#This Row],[EnvironmentSatisfaction]]=3,"Satisfied",
HRData[[#This Row],[EnvironmentSatisfaction]]=4,"Very Satisfied"
)</f>
        <v>Very Satisfied</v>
      </c>
      <c r="O803" t="s">
        <v>46</v>
      </c>
      <c r="P803">
        <v>81</v>
      </c>
      <c r="Q803">
        <v>3</v>
      </c>
      <c r="R803">
        <v>2</v>
      </c>
      <c r="S803" t="s">
        <v>40</v>
      </c>
      <c r="T803">
        <v>3</v>
      </c>
      <c r="U803" t="str" cm="1">
        <f t="array" ref="U803">_xlfn.IFS(
HRData[[#This Row],[JobSatisfaction]]=1,"Very Dissatisfied",
HRData[[#This Row],[JobSatisfaction]]=2,"Dissatisfied",
HRData[[#This Row],[JobSatisfaction]]=3,"Satisfied",
HRData[[#This Row],[JobSatisfaction]]=4,"Very Satisfied"
)</f>
        <v>Satisfied</v>
      </c>
      <c r="V803" t="s">
        <v>41</v>
      </c>
      <c r="W803">
        <v>4728</v>
      </c>
      <c r="X803" t="str" cm="1">
        <f t="array" ref="X803">_xlfn.IFS(
HRData[[#This Row],[MonthlyIncome]]&lt;=4000,"Very Low Income",
HRData[[#This Row],[MonthlyIncome]]&lt;=8000,"Low Income",
HRData[[#This Row],[MonthlyIncome]]&lt;=12000,"Moderate Income",
HRData[[#This Row],[MonthlyIncome]]&lt;=16000,"High Income",
HRData[[#This Row],[MonthlyIncome]]&gt;16000,"Very High Income"
)</f>
        <v>Low Income</v>
      </c>
      <c r="Y803">
        <v>17251</v>
      </c>
      <c r="Z803">
        <v>3</v>
      </c>
      <c r="AA803" t="s">
        <v>42</v>
      </c>
      <c r="AB803" t="s">
        <v>35</v>
      </c>
      <c r="AC803">
        <v>14</v>
      </c>
      <c r="AD803" t="str" cm="1">
        <f t="array" ref="AD803">_xlfn.IFS(HRData[[#This Row],[PercentSalaryHike]]&lt;=15,"11-15",HRData[[#This Row],[PercentSalaryHike]]&lt;=20,"16-20",HRData[[#This Row],[PercentSalaryHike]]&gt;=21,"21+")</f>
        <v>11-15</v>
      </c>
      <c r="AE803">
        <v>3</v>
      </c>
      <c r="AF803">
        <v>4</v>
      </c>
      <c r="AG803">
        <v>80</v>
      </c>
      <c r="AH803">
        <v>0</v>
      </c>
      <c r="AI803">
        <v>5</v>
      </c>
      <c r="AJ803">
        <v>4</v>
      </c>
      <c r="AK803">
        <v>3</v>
      </c>
      <c r="AL803">
        <v>0</v>
      </c>
      <c r="AM803">
        <v>0</v>
      </c>
      <c r="AN803">
        <v>0</v>
      </c>
      <c r="AO803">
        <v>0</v>
      </c>
      <c r="AP80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03" t="str">
        <f>IF(HRData[[#This Row],[Attrition]]="Yes","Left", IF(HRData[[#This Row],[Attrition_Risk_Score]]&gt;=6,"High",IF(HRData[[#This Row],[Attrition_Risk_Score]]&gt;=3,"Medium","Low")))</f>
        <v>Left</v>
      </c>
      <c r="AR803" t="str">
        <f>IF(HRData[[#This Row],[Attrition_Risk_Level]]&lt;&gt;"High","",HRData[[#This Row],[Attrition_Risk_Score]]*10000-HRData[[#This Row],[EmployeeNumber]])</f>
        <v/>
      </c>
    </row>
    <row r="804" spans="1:44">
      <c r="A804">
        <v>33</v>
      </c>
      <c r="B804" t="str" cm="1">
        <f t="array" ref="B804">_xlfn.IFS(
HRData[[#This Row],[Age]]&lt;=24,"18-24",
HRData[[#This Row],[Age]]&lt;=34,"25-34",
HRData[[#This Row],[Age]]&lt;=44,"35-44",
HRData[[#This Row],[Age]]&lt;=54,"45-54",
HRData[[#This Row],[Age]]&gt;=55,"55+"
)</f>
        <v>25-34</v>
      </c>
      <c r="C804" t="s">
        <v>43</v>
      </c>
      <c r="D804">
        <f>IF(HRData[[#This Row],[Attrition]]="Yes",1,0)</f>
        <v>0</v>
      </c>
      <c r="E804" t="s">
        <v>44</v>
      </c>
      <c r="F804">
        <v>970</v>
      </c>
      <c r="G804" t="s">
        <v>37</v>
      </c>
      <c r="H804">
        <v>7</v>
      </c>
      <c r="I804">
        <v>3</v>
      </c>
      <c r="J804" t="s">
        <v>38</v>
      </c>
      <c r="K804">
        <v>1</v>
      </c>
      <c r="L804">
        <v>1114</v>
      </c>
      <c r="M804">
        <v>4</v>
      </c>
      <c r="N804" t="str" cm="1">
        <f t="array" ref="N804">_xlfn.IFS(HRData[[#This Row],[EnvironmentSatisfaction]]=1,"Very Dissatisfied",
HRData[[#This Row],[EnvironmentSatisfaction]]=2,"Dissatisfied",
HRData[[#This Row],[EnvironmentSatisfaction]]=3,"Satisfied",
HRData[[#This Row],[EnvironmentSatisfaction]]=4,"Very Satisfied"
)</f>
        <v>Very Satisfied</v>
      </c>
      <c r="O804" t="s">
        <v>39</v>
      </c>
      <c r="P804">
        <v>30</v>
      </c>
      <c r="Q804">
        <v>3</v>
      </c>
      <c r="R804">
        <v>2</v>
      </c>
      <c r="S804" t="s">
        <v>40</v>
      </c>
      <c r="T804">
        <v>2</v>
      </c>
      <c r="U804" t="str" cm="1">
        <f t="array" ref="U804">_xlfn.IFS(
HRData[[#This Row],[JobSatisfaction]]=1,"Very Dissatisfied",
HRData[[#This Row],[JobSatisfaction]]=2,"Dissatisfied",
HRData[[#This Row],[JobSatisfaction]]=3,"Satisfied",
HRData[[#This Row],[JobSatisfaction]]=4,"Very Satisfied"
)</f>
        <v>Dissatisfied</v>
      </c>
      <c r="V804" t="s">
        <v>48</v>
      </c>
      <c r="W804">
        <v>4302</v>
      </c>
      <c r="X804" t="str" cm="1">
        <f t="array" ref="X804">_xlfn.IFS(
HRData[[#This Row],[MonthlyIncome]]&lt;=4000,"Very Low Income",
HRData[[#This Row],[MonthlyIncome]]&lt;=8000,"Low Income",
HRData[[#This Row],[MonthlyIncome]]&lt;=12000,"Moderate Income",
HRData[[#This Row],[MonthlyIncome]]&lt;=16000,"High Income",
HRData[[#This Row],[MonthlyIncome]]&gt;16000,"Very High Income"
)</f>
        <v>Low Income</v>
      </c>
      <c r="Y804">
        <v>13401</v>
      </c>
      <c r="Z804">
        <v>0</v>
      </c>
      <c r="AA804" t="s">
        <v>42</v>
      </c>
      <c r="AB804" t="s">
        <v>43</v>
      </c>
      <c r="AC804">
        <v>17</v>
      </c>
      <c r="AD804" t="str" cm="1">
        <f t="array" ref="AD804">_xlfn.IFS(HRData[[#This Row],[PercentSalaryHike]]&lt;=15,"11-15",HRData[[#This Row],[PercentSalaryHike]]&lt;=20,"16-20",HRData[[#This Row],[PercentSalaryHike]]&gt;=21,"21+")</f>
        <v>16-20</v>
      </c>
      <c r="AE804">
        <v>3</v>
      </c>
      <c r="AF804">
        <v>3</v>
      </c>
      <c r="AG804">
        <v>80</v>
      </c>
      <c r="AH804">
        <v>1</v>
      </c>
      <c r="AI804">
        <v>4</v>
      </c>
      <c r="AJ804">
        <v>3</v>
      </c>
      <c r="AK804">
        <v>3</v>
      </c>
      <c r="AL804">
        <v>3</v>
      </c>
      <c r="AM804">
        <v>2</v>
      </c>
      <c r="AN804">
        <v>0</v>
      </c>
      <c r="AO804">
        <v>2</v>
      </c>
      <c r="AP80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04" t="str">
        <f>IF(HRData[[#This Row],[Attrition]]="Yes","Left", IF(HRData[[#This Row],[Attrition_Risk_Score]]&gt;=6,"High",IF(HRData[[#This Row],[Attrition_Risk_Score]]&gt;=3,"Medium","Low")))</f>
        <v>Low</v>
      </c>
      <c r="AR804" t="str">
        <f>IF(HRData[[#This Row],[Attrition_Risk_Level]]&lt;&gt;"High","",HRData[[#This Row],[Attrition_Risk_Score]]*10000-HRData[[#This Row],[EmployeeNumber]])</f>
        <v/>
      </c>
    </row>
    <row r="805" spans="1:44">
      <c r="A805">
        <v>34</v>
      </c>
      <c r="B805" t="str" cm="1">
        <f t="array" ref="B805">_xlfn.IFS(
HRData[[#This Row],[Age]]&lt;=24,"18-24",
HRData[[#This Row],[Age]]&lt;=34,"25-34",
HRData[[#This Row],[Age]]&lt;=44,"35-44",
HRData[[#This Row],[Age]]&lt;=54,"45-54",
HRData[[#This Row],[Age]]&gt;=55,"55+"
)</f>
        <v>25-34</v>
      </c>
      <c r="C805" t="s">
        <v>43</v>
      </c>
      <c r="D805">
        <f>IF(HRData[[#This Row],[Attrition]]="Yes",1,0)</f>
        <v>0</v>
      </c>
      <c r="E805" t="s">
        <v>55</v>
      </c>
      <c r="F805">
        <v>697</v>
      </c>
      <c r="G805" t="s">
        <v>45</v>
      </c>
      <c r="H805">
        <v>3</v>
      </c>
      <c r="I805">
        <v>4</v>
      </c>
      <c r="J805" t="s">
        <v>38</v>
      </c>
      <c r="K805">
        <v>1</v>
      </c>
      <c r="L805">
        <v>1115</v>
      </c>
      <c r="M805">
        <v>3</v>
      </c>
      <c r="N805" t="str" cm="1">
        <f t="array" ref="N805">_xlfn.IFS(HRData[[#This Row],[EnvironmentSatisfaction]]=1,"Very Dissatisfied",
HRData[[#This Row],[EnvironmentSatisfaction]]=2,"Dissatisfied",
HRData[[#This Row],[EnvironmentSatisfaction]]=3,"Satisfied",
HRData[[#This Row],[EnvironmentSatisfaction]]=4,"Very Satisfied"
)</f>
        <v>Satisfied</v>
      </c>
      <c r="O805" t="s">
        <v>46</v>
      </c>
      <c r="P805">
        <v>40</v>
      </c>
      <c r="Q805">
        <v>2</v>
      </c>
      <c r="R805">
        <v>1</v>
      </c>
      <c r="S805" t="s">
        <v>47</v>
      </c>
      <c r="T805">
        <v>4</v>
      </c>
      <c r="U805" t="str" cm="1">
        <f t="array" ref="U805">_xlfn.IFS(
HRData[[#This Row],[JobSatisfaction]]=1,"Very Dissatisfied",
HRData[[#This Row],[JobSatisfaction]]=2,"Dissatisfied",
HRData[[#This Row],[JobSatisfaction]]=3,"Satisfied",
HRData[[#This Row],[JobSatisfaction]]=4,"Very Satisfied"
)</f>
        <v>Very Satisfied</v>
      </c>
      <c r="V805" t="s">
        <v>48</v>
      </c>
      <c r="W805">
        <v>2979</v>
      </c>
      <c r="X805" t="str" cm="1">
        <f t="array" ref="X805">_xlfn.IFS(
HRData[[#This Row],[MonthlyIncome]]&lt;=4000,"Very Low Income",
HRData[[#This Row],[MonthlyIncome]]&lt;=8000,"Low Income",
HRData[[#This Row],[MonthlyIncome]]&lt;=12000,"Moderate Income",
HRData[[#This Row],[MonthlyIncome]]&lt;=16000,"High Income",
HRData[[#This Row],[MonthlyIncome]]&gt;16000,"Very High Income"
)</f>
        <v>Very Low Income</v>
      </c>
      <c r="Y805">
        <v>22478</v>
      </c>
      <c r="Z805">
        <v>3</v>
      </c>
      <c r="AA805" t="s">
        <v>42</v>
      </c>
      <c r="AB805" t="s">
        <v>43</v>
      </c>
      <c r="AC805">
        <v>17</v>
      </c>
      <c r="AD805" t="str" cm="1">
        <f t="array" ref="AD805">_xlfn.IFS(HRData[[#This Row],[PercentSalaryHike]]&lt;=15,"11-15",HRData[[#This Row],[PercentSalaryHike]]&lt;=20,"16-20",HRData[[#This Row],[PercentSalaryHike]]&gt;=21,"21+")</f>
        <v>16-20</v>
      </c>
      <c r="AE805">
        <v>3</v>
      </c>
      <c r="AF805">
        <v>4</v>
      </c>
      <c r="AG805">
        <v>80</v>
      </c>
      <c r="AH805">
        <v>3</v>
      </c>
      <c r="AI805">
        <v>6</v>
      </c>
      <c r="AJ805">
        <v>2</v>
      </c>
      <c r="AK805">
        <v>3</v>
      </c>
      <c r="AL805">
        <v>0</v>
      </c>
      <c r="AM805">
        <v>0</v>
      </c>
      <c r="AN805">
        <v>0</v>
      </c>
      <c r="AO805">
        <v>0</v>
      </c>
      <c r="AP80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05" t="str">
        <f>IF(HRData[[#This Row],[Attrition]]="Yes","Left", IF(HRData[[#This Row],[Attrition_Risk_Score]]&gt;=6,"High",IF(HRData[[#This Row],[Attrition_Risk_Score]]&gt;=3,"Medium","Low")))</f>
        <v>Medium</v>
      </c>
      <c r="AR805" t="str">
        <f>IF(HRData[[#This Row],[Attrition_Risk_Level]]&lt;&gt;"High","",HRData[[#This Row],[Attrition_Risk_Score]]*10000-HRData[[#This Row],[EmployeeNumber]])</f>
        <v/>
      </c>
    </row>
    <row r="806" spans="1:44">
      <c r="A806">
        <v>48</v>
      </c>
      <c r="B806" t="str" cm="1">
        <f t="array" ref="B806">_xlfn.IFS(
HRData[[#This Row],[Age]]&lt;=24,"18-24",
HRData[[#This Row],[Age]]&lt;=34,"25-34",
HRData[[#This Row],[Age]]&lt;=44,"35-44",
HRData[[#This Row],[Age]]&lt;=54,"45-54",
HRData[[#This Row],[Age]]&gt;=55,"55+"
)</f>
        <v>45-54</v>
      </c>
      <c r="C806" t="s">
        <v>43</v>
      </c>
      <c r="D806">
        <f>IF(HRData[[#This Row],[Attrition]]="Yes",1,0)</f>
        <v>0</v>
      </c>
      <c r="E806" t="s">
        <v>55</v>
      </c>
      <c r="F806">
        <v>1262</v>
      </c>
      <c r="G806" t="s">
        <v>45</v>
      </c>
      <c r="H806">
        <v>1</v>
      </c>
      <c r="I806">
        <v>4</v>
      </c>
      <c r="J806" t="s">
        <v>51</v>
      </c>
      <c r="K806">
        <v>1</v>
      </c>
      <c r="L806">
        <v>1116</v>
      </c>
      <c r="M806">
        <v>1</v>
      </c>
      <c r="N806" t="str" cm="1">
        <f t="array" ref="N806">_xlfn.IFS(HRData[[#This Row],[EnvironmentSatisfaction]]=1,"Very Dissatisfied",
HRData[[#This Row],[EnvironmentSatisfaction]]=2,"Dissatisfied",
HRData[[#This Row],[EnvironmentSatisfaction]]=3,"Satisfied",
HRData[[#This Row],[EnvironmentSatisfaction]]=4,"Very Satisfied"
)</f>
        <v>Very Dissatisfied</v>
      </c>
      <c r="O806" t="s">
        <v>46</v>
      </c>
      <c r="P806">
        <v>35</v>
      </c>
      <c r="Q806">
        <v>4</v>
      </c>
      <c r="R806">
        <v>4</v>
      </c>
      <c r="S806" t="s">
        <v>56</v>
      </c>
      <c r="T806">
        <v>4</v>
      </c>
      <c r="U806" t="str" cm="1">
        <f t="array" ref="U806">_xlfn.IFS(
HRData[[#This Row],[JobSatisfaction]]=1,"Very Dissatisfied",
HRData[[#This Row],[JobSatisfaction]]=2,"Dissatisfied",
HRData[[#This Row],[JobSatisfaction]]=3,"Satisfied",
HRData[[#This Row],[JobSatisfaction]]=4,"Very Satisfied"
)</f>
        <v>Very Satisfied</v>
      </c>
      <c r="V806" t="s">
        <v>41</v>
      </c>
      <c r="W806">
        <v>16885</v>
      </c>
      <c r="X806" t="str" cm="1">
        <f t="array" ref="X806">_xlfn.IFS(
HRData[[#This Row],[MonthlyIncome]]&lt;=4000,"Very Low Income",
HRData[[#This Row],[MonthlyIncome]]&lt;=8000,"Low Income",
HRData[[#This Row],[MonthlyIncome]]&lt;=12000,"Moderate Income",
HRData[[#This Row],[MonthlyIncome]]&lt;=16000,"High Income",
HRData[[#This Row],[MonthlyIncome]]&gt;16000,"Very High Income"
)</f>
        <v>Very High Income</v>
      </c>
      <c r="Y806">
        <v>16154</v>
      </c>
      <c r="Z806">
        <v>2</v>
      </c>
      <c r="AA806" t="s">
        <v>42</v>
      </c>
      <c r="AB806" t="s">
        <v>43</v>
      </c>
      <c r="AC806">
        <v>22</v>
      </c>
      <c r="AD806" t="str" cm="1">
        <f t="array" ref="AD806">_xlfn.IFS(HRData[[#This Row],[PercentSalaryHike]]&lt;=15,"11-15",HRData[[#This Row],[PercentSalaryHike]]&lt;=20,"16-20",HRData[[#This Row],[PercentSalaryHike]]&gt;=21,"21+")</f>
        <v>21+</v>
      </c>
      <c r="AE806">
        <v>4</v>
      </c>
      <c r="AF806">
        <v>3</v>
      </c>
      <c r="AG806">
        <v>80</v>
      </c>
      <c r="AH806">
        <v>0</v>
      </c>
      <c r="AI806">
        <v>27</v>
      </c>
      <c r="AJ806">
        <v>3</v>
      </c>
      <c r="AK806">
        <v>2</v>
      </c>
      <c r="AL806">
        <v>5</v>
      </c>
      <c r="AM806">
        <v>4</v>
      </c>
      <c r="AN806">
        <v>2</v>
      </c>
      <c r="AO806">
        <v>1</v>
      </c>
      <c r="AP80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806" t="str">
        <f>IF(HRData[[#This Row],[Attrition]]="Yes","Left", IF(HRData[[#This Row],[Attrition_Risk_Score]]&gt;=6,"High",IF(HRData[[#This Row],[Attrition_Risk_Score]]&gt;=3,"Medium","Low")))</f>
        <v>Low</v>
      </c>
      <c r="AR806" t="str">
        <f>IF(HRData[[#This Row],[Attrition_Risk_Level]]&lt;&gt;"High","",HRData[[#This Row],[Attrition_Risk_Score]]*10000-HRData[[#This Row],[EmployeeNumber]])</f>
        <v/>
      </c>
    </row>
    <row r="807" spans="1:44">
      <c r="A807">
        <v>45</v>
      </c>
      <c r="B807" t="str" cm="1">
        <f t="array" ref="B807">_xlfn.IFS(
HRData[[#This Row],[Age]]&lt;=24,"18-24",
HRData[[#This Row],[Age]]&lt;=34,"25-34",
HRData[[#This Row],[Age]]&lt;=44,"35-44",
HRData[[#This Row],[Age]]&lt;=54,"45-54",
HRData[[#This Row],[Age]]&gt;=55,"55+"
)</f>
        <v>45-54</v>
      </c>
      <c r="C807" t="s">
        <v>43</v>
      </c>
      <c r="D807">
        <f>IF(HRData[[#This Row],[Attrition]]="Yes",1,0)</f>
        <v>0</v>
      </c>
      <c r="E807" t="s">
        <v>55</v>
      </c>
      <c r="F807">
        <v>1050</v>
      </c>
      <c r="G807" t="s">
        <v>37</v>
      </c>
      <c r="H807">
        <v>9</v>
      </c>
      <c r="I807">
        <v>4</v>
      </c>
      <c r="J807" t="s">
        <v>38</v>
      </c>
      <c r="K807">
        <v>1</v>
      </c>
      <c r="L807">
        <v>1117</v>
      </c>
      <c r="M807">
        <v>2</v>
      </c>
      <c r="N807" t="str" cm="1">
        <f t="array" ref="N807">_xlfn.IFS(HRData[[#This Row],[EnvironmentSatisfaction]]=1,"Very Dissatisfied",
HRData[[#This Row],[EnvironmentSatisfaction]]=2,"Dissatisfied",
HRData[[#This Row],[EnvironmentSatisfaction]]=3,"Satisfied",
HRData[[#This Row],[EnvironmentSatisfaction]]=4,"Very Satisfied"
)</f>
        <v>Dissatisfied</v>
      </c>
      <c r="O807" t="s">
        <v>39</v>
      </c>
      <c r="P807">
        <v>65</v>
      </c>
      <c r="Q807">
        <v>2</v>
      </c>
      <c r="R807">
        <v>2</v>
      </c>
      <c r="S807" t="s">
        <v>40</v>
      </c>
      <c r="T807">
        <v>3</v>
      </c>
      <c r="U807" t="str" cm="1">
        <f t="array" ref="U807">_xlfn.IFS(
HRData[[#This Row],[JobSatisfaction]]=1,"Very Dissatisfied",
HRData[[#This Row],[JobSatisfaction]]=2,"Dissatisfied",
HRData[[#This Row],[JobSatisfaction]]=3,"Satisfied",
HRData[[#This Row],[JobSatisfaction]]=4,"Very Satisfied"
)</f>
        <v>Satisfied</v>
      </c>
      <c r="V807" t="s">
        <v>48</v>
      </c>
      <c r="W807">
        <v>5593</v>
      </c>
      <c r="X807" t="str" cm="1">
        <f t="array" ref="X807">_xlfn.IFS(
HRData[[#This Row],[MonthlyIncome]]&lt;=4000,"Very Low Income",
HRData[[#This Row],[MonthlyIncome]]&lt;=8000,"Low Income",
HRData[[#This Row],[MonthlyIncome]]&lt;=12000,"Moderate Income",
HRData[[#This Row],[MonthlyIncome]]&lt;=16000,"High Income",
HRData[[#This Row],[MonthlyIncome]]&gt;16000,"Very High Income"
)</f>
        <v>Low Income</v>
      </c>
      <c r="Y807">
        <v>17970</v>
      </c>
      <c r="Z807">
        <v>1</v>
      </c>
      <c r="AA807" t="s">
        <v>42</v>
      </c>
      <c r="AB807" t="s">
        <v>43</v>
      </c>
      <c r="AC807">
        <v>13</v>
      </c>
      <c r="AD807" t="str" cm="1">
        <f t="array" ref="AD807">_xlfn.IFS(HRData[[#This Row],[PercentSalaryHike]]&lt;=15,"11-15",HRData[[#This Row],[PercentSalaryHike]]&lt;=20,"16-20",HRData[[#This Row],[PercentSalaryHike]]&gt;=21,"21+")</f>
        <v>11-15</v>
      </c>
      <c r="AE807">
        <v>3</v>
      </c>
      <c r="AF807">
        <v>4</v>
      </c>
      <c r="AG807">
        <v>80</v>
      </c>
      <c r="AH807">
        <v>1</v>
      </c>
      <c r="AI807">
        <v>15</v>
      </c>
      <c r="AJ807">
        <v>2</v>
      </c>
      <c r="AK807">
        <v>3</v>
      </c>
      <c r="AL807">
        <v>15</v>
      </c>
      <c r="AM807">
        <v>10</v>
      </c>
      <c r="AN807">
        <v>4</v>
      </c>
      <c r="AO807">
        <v>12</v>
      </c>
      <c r="AP80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807" t="str">
        <f>IF(HRData[[#This Row],[Attrition]]="Yes","Left", IF(HRData[[#This Row],[Attrition_Risk_Score]]&gt;=6,"High",IF(HRData[[#This Row],[Attrition_Risk_Score]]&gt;=3,"Medium","Low")))</f>
        <v>Low</v>
      </c>
      <c r="AR807" t="str">
        <f>IF(HRData[[#This Row],[Attrition_Risk_Level]]&lt;&gt;"High","",HRData[[#This Row],[Attrition_Risk_Score]]*10000-HRData[[#This Row],[EmployeeNumber]])</f>
        <v/>
      </c>
    </row>
    <row r="808" spans="1:44">
      <c r="A808">
        <v>52</v>
      </c>
      <c r="B808" t="str" cm="1">
        <f t="array" ref="B808">_xlfn.IFS(
HRData[[#This Row],[Age]]&lt;=24,"18-24",
HRData[[#This Row],[Age]]&lt;=34,"25-34",
HRData[[#This Row],[Age]]&lt;=44,"35-44",
HRData[[#This Row],[Age]]&lt;=54,"45-54",
HRData[[#This Row],[Age]]&gt;=55,"55+"
)</f>
        <v>45-54</v>
      </c>
      <c r="C808" t="s">
        <v>43</v>
      </c>
      <c r="D808">
        <f>IF(HRData[[#This Row],[Attrition]]="Yes",1,0)</f>
        <v>0</v>
      </c>
      <c r="E808" t="s">
        <v>36</v>
      </c>
      <c r="F808">
        <v>994</v>
      </c>
      <c r="G808" t="s">
        <v>45</v>
      </c>
      <c r="H808">
        <v>7</v>
      </c>
      <c r="I808">
        <v>4</v>
      </c>
      <c r="J808" t="s">
        <v>38</v>
      </c>
      <c r="K808">
        <v>1</v>
      </c>
      <c r="L808">
        <v>1118</v>
      </c>
      <c r="M808">
        <v>2</v>
      </c>
      <c r="N808" t="str" cm="1">
        <f t="array" ref="N808">_xlfn.IFS(HRData[[#This Row],[EnvironmentSatisfaction]]=1,"Very Dissatisfied",
HRData[[#This Row],[EnvironmentSatisfaction]]=2,"Dissatisfied",
HRData[[#This Row],[EnvironmentSatisfaction]]=3,"Satisfied",
HRData[[#This Row],[EnvironmentSatisfaction]]=4,"Very Satisfied"
)</f>
        <v>Dissatisfied</v>
      </c>
      <c r="O808" t="s">
        <v>46</v>
      </c>
      <c r="P808">
        <v>87</v>
      </c>
      <c r="Q808">
        <v>3</v>
      </c>
      <c r="R808">
        <v>3</v>
      </c>
      <c r="S808" t="s">
        <v>54</v>
      </c>
      <c r="T808">
        <v>2</v>
      </c>
      <c r="U808" t="str" cm="1">
        <f t="array" ref="U808">_xlfn.IFS(
HRData[[#This Row],[JobSatisfaction]]=1,"Very Dissatisfied",
HRData[[#This Row],[JobSatisfaction]]=2,"Dissatisfied",
HRData[[#This Row],[JobSatisfaction]]=3,"Satisfied",
HRData[[#This Row],[JobSatisfaction]]=4,"Very Satisfied"
)</f>
        <v>Dissatisfied</v>
      </c>
      <c r="V808" t="s">
        <v>41</v>
      </c>
      <c r="W808">
        <v>10445</v>
      </c>
      <c r="X808" t="str" cm="1">
        <f t="array" ref="X808">_xlfn.IFS(
HRData[[#This Row],[MonthlyIncome]]&lt;=4000,"Very Low Income",
HRData[[#This Row],[MonthlyIncome]]&lt;=8000,"Low Income",
HRData[[#This Row],[MonthlyIncome]]&lt;=12000,"Moderate Income",
HRData[[#This Row],[MonthlyIncome]]&lt;=16000,"High Income",
HRData[[#This Row],[MonthlyIncome]]&gt;16000,"Very High Income"
)</f>
        <v>Moderate Income</v>
      </c>
      <c r="Y808">
        <v>15322</v>
      </c>
      <c r="Z808">
        <v>7</v>
      </c>
      <c r="AA808" t="s">
        <v>42</v>
      </c>
      <c r="AB808" t="s">
        <v>43</v>
      </c>
      <c r="AC808">
        <v>19</v>
      </c>
      <c r="AD808" t="str" cm="1">
        <f t="array" ref="AD808">_xlfn.IFS(HRData[[#This Row],[PercentSalaryHike]]&lt;=15,"11-15",HRData[[#This Row],[PercentSalaryHike]]&lt;=20,"16-20",HRData[[#This Row],[PercentSalaryHike]]&gt;=21,"21+")</f>
        <v>16-20</v>
      </c>
      <c r="AE808">
        <v>3</v>
      </c>
      <c r="AF808">
        <v>4</v>
      </c>
      <c r="AG808">
        <v>80</v>
      </c>
      <c r="AH808">
        <v>0</v>
      </c>
      <c r="AI808">
        <v>18</v>
      </c>
      <c r="AJ808">
        <v>4</v>
      </c>
      <c r="AK808">
        <v>3</v>
      </c>
      <c r="AL808">
        <v>8</v>
      </c>
      <c r="AM808">
        <v>6</v>
      </c>
      <c r="AN808">
        <v>4</v>
      </c>
      <c r="AO808">
        <v>0</v>
      </c>
      <c r="AP80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808" t="str">
        <f>IF(HRData[[#This Row],[Attrition]]="Yes","Left", IF(HRData[[#This Row],[Attrition_Risk_Score]]&gt;=6,"High",IF(HRData[[#This Row],[Attrition_Risk_Score]]&gt;=3,"Medium","Low")))</f>
        <v>Low</v>
      </c>
      <c r="AR808" t="str">
        <f>IF(HRData[[#This Row],[Attrition_Risk_Level]]&lt;&gt;"High","",HRData[[#This Row],[Attrition_Risk_Score]]*10000-HRData[[#This Row],[EmployeeNumber]])</f>
        <v/>
      </c>
    </row>
    <row r="809" spans="1:44">
      <c r="A809">
        <v>38</v>
      </c>
      <c r="B809" t="str" cm="1">
        <f t="array" ref="B809">_xlfn.IFS(
HRData[[#This Row],[Age]]&lt;=24,"18-24",
HRData[[#This Row],[Age]]&lt;=34,"25-34",
HRData[[#This Row],[Age]]&lt;=44,"35-44",
HRData[[#This Row],[Age]]&lt;=54,"45-54",
HRData[[#This Row],[Age]]&gt;=55,"55+"
)</f>
        <v>35-44</v>
      </c>
      <c r="C809" t="s">
        <v>43</v>
      </c>
      <c r="D809">
        <f>IF(HRData[[#This Row],[Attrition]]="Yes",1,0)</f>
        <v>0</v>
      </c>
      <c r="E809" t="s">
        <v>36</v>
      </c>
      <c r="F809">
        <v>770</v>
      </c>
      <c r="G809" t="s">
        <v>37</v>
      </c>
      <c r="H809">
        <v>10</v>
      </c>
      <c r="I809">
        <v>4</v>
      </c>
      <c r="J809" t="s">
        <v>59</v>
      </c>
      <c r="K809">
        <v>1</v>
      </c>
      <c r="L809">
        <v>1119</v>
      </c>
      <c r="M809">
        <v>3</v>
      </c>
      <c r="N809" t="str" cm="1">
        <f t="array" ref="N809">_xlfn.IFS(HRData[[#This Row],[EnvironmentSatisfaction]]=1,"Very Dissatisfied",
HRData[[#This Row],[EnvironmentSatisfaction]]=2,"Dissatisfied",
HRData[[#This Row],[EnvironmentSatisfaction]]=3,"Satisfied",
HRData[[#This Row],[EnvironmentSatisfaction]]=4,"Very Satisfied"
)</f>
        <v>Satisfied</v>
      </c>
      <c r="O809" t="s">
        <v>46</v>
      </c>
      <c r="P809">
        <v>73</v>
      </c>
      <c r="Q809">
        <v>2</v>
      </c>
      <c r="R809">
        <v>3</v>
      </c>
      <c r="S809" t="s">
        <v>40</v>
      </c>
      <c r="T809">
        <v>3</v>
      </c>
      <c r="U809" t="str" cm="1">
        <f t="array" ref="U809">_xlfn.IFS(
HRData[[#This Row],[JobSatisfaction]]=1,"Very Dissatisfied",
HRData[[#This Row],[JobSatisfaction]]=2,"Dissatisfied",
HRData[[#This Row],[JobSatisfaction]]=3,"Satisfied",
HRData[[#This Row],[JobSatisfaction]]=4,"Very Satisfied"
)</f>
        <v>Satisfied</v>
      </c>
      <c r="V809" t="s">
        <v>52</v>
      </c>
      <c r="W809">
        <v>8740</v>
      </c>
      <c r="X809" t="str" cm="1">
        <f t="array" ref="X809">_xlfn.IFS(
HRData[[#This Row],[MonthlyIncome]]&lt;=4000,"Very Low Income",
HRData[[#This Row],[MonthlyIncome]]&lt;=8000,"Low Income",
HRData[[#This Row],[MonthlyIncome]]&lt;=12000,"Moderate Income",
HRData[[#This Row],[MonthlyIncome]]&lt;=16000,"High Income",
HRData[[#This Row],[MonthlyIncome]]&gt;16000,"Very High Income"
)</f>
        <v>Moderate Income</v>
      </c>
      <c r="Y809">
        <v>5569</v>
      </c>
      <c r="Z809">
        <v>0</v>
      </c>
      <c r="AA809" t="s">
        <v>42</v>
      </c>
      <c r="AB809" t="s">
        <v>35</v>
      </c>
      <c r="AC809">
        <v>14</v>
      </c>
      <c r="AD809" t="str" cm="1">
        <f t="array" ref="AD809">_xlfn.IFS(HRData[[#This Row],[PercentSalaryHike]]&lt;=15,"11-15",HRData[[#This Row],[PercentSalaryHike]]&lt;=20,"16-20",HRData[[#This Row],[PercentSalaryHike]]&gt;=21,"21+")</f>
        <v>11-15</v>
      </c>
      <c r="AE809">
        <v>3</v>
      </c>
      <c r="AF809">
        <v>2</v>
      </c>
      <c r="AG809">
        <v>80</v>
      </c>
      <c r="AH809">
        <v>2</v>
      </c>
      <c r="AI809">
        <v>9</v>
      </c>
      <c r="AJ809">
        <v>2</v>
      </c>
      <c r="AK809">
        <v>3</v>
      </c>
      <c r="AL809">
        <v>8</v>
      </c>
      <c r="AM809">
        <v>7</v>
      </c>
      <c r="AN809">
        <v>2</v>
      </c>
      <c r="AO809">
        <v>7</v>
      </c>
      <c r="AP80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09" t="str">
        <f>IF(HRData[[#This Row],[Attrition]]="Yes","Left", IF(HRData[[#This Row],[Attrition_Risk_Score]]&gt;=6,"High",IF(HRData[[#This Row],[Attrition_Risk_Score]]&gt;=3,"Medium","Low")))</f>
        <v>Low</v>
      </c>
      <c r="AR809" t="str">
        <f>IF(HRData[[#This Row],[Attrition_Risk_Level]]&lt;&gt;"High","",HRData[[#This Row],[Attrition_Risk_Score]]*10000-HRData[[#This Row],[EmployeeNumber]])</f>
        <v/>
      </c>
    </row>
    <row r="810" spans="1:44">
      <c r="A810">
        <v>29</v>
      </c>
      <c r="B810" t="str" cm="1">
        <f t="array" ref="B810">_xlfn.IFS(
HRData[[#This Row],[Age]]&lt;=24,"18-24",
HRData[[#This Row],[Age]]&lt;=34,"25-34",
HRData[[#This Row],[Age]]&lt;=44,"35-44",
HRData[[#This Row],[Age]]&lt;=54,"45-54",
HRData[[#This Row],[Age]]&gt;=55,"55+"
)</f>
        <v>25-34</v>
      </c>
      <c r="C810" t="s">
        <v>43</v>
      </c>
      <c r="D810">
        <f>IF(HRData[[#This Row],[Attrition]]="Yes",1,0)</f>
        <v>0</v>
      </c>
      <c r="E810" t="s">
        <v>36</v>
      </c>
      <c r="F810">
        <v>1107</v>
      </c>
      <c r="G810" t="s">
        <v>45</v>
      </c>
      <c r="H810">
        <v>28</v>
      </c>
      <c r="I810">
        <v>4</v>
      </c>
      <c r="J810" t="s">
        <v>38</v>
      </c>
      <c r="K810">
        <v>1</v>
      </c>
      <c r="L810">
        <v>1120</v>
      </c>
      <c r="M810">
        <v>3</v>
      </c>
      <c r="N810" t="str" cm="1">
        <f t="array" ref="N810">_xlfn.IFS(HRData[[#This Row],[EnvironmentSatisfaction]]=1,"Very Dissatisfied",
HRData[[#This Row],[EnvironmentSatisfaction]]=2,"Dissatisfied",
HRData[[#This Row],[EnvironmentSatisfaction]]=3,"Satisfied",
HRData[[#This Row],[EnvironmentSatisfaction]]=4,"Very Satisfied"
)</f>
        <v>Satisfied</v>
      </c>
      <c r="O810" t="s">
        <v>39</v>
      </c>
      <c r="P810">
        <v>93</v>
      </c>
      <c r="Q810">
        <v>3</v>
      </c>
      <c r="R810">
        <v>1</v>
      </c>
      <c r="S810" t="s">
        <v>47</v>
      </c>
      <c r="T810">
        <v>4</v>
      </c>
      <c r="U810" t="str" cm="1">
        <f t="array" ref="U810">_xlfn.IFS(
HRData[[#This Row],[JobSatisfaction]]=1,"Very Dissatisfied",
HRData[[#This Row],[JobSatisfaction]]=2,"Dissatisfied",
HRData[[#This Row],[JobSatisfaction]]=3,"Satisfied",
HRData[[#This Row],[JobSatisfaction]]=4,"Very Satisfied"
)</f>
        <v>Very Satisfied</v>
      </c>
      <c r="V810" t="s">
        <v>52</v>
      </c>
      <c r="W810">
        <v>2514</v>
      </c>
      <c r="X810" t="str" cm="1">
        <f t="array" ref="X810">_xlfn.IFS(
HRData[[#This Row],[MonthlyIncome]]&lt;=4000,"Very Low Income",
HRData[[#This Row],[MonthlyIncome]]&lt;=8000,"Low Income",
HRData[[#This Row],[MonthlyIncome]]&lt;=12000,"Moderate Income",
HRData[[#This Row],[MonthlyIncome]]&lt;=16000,"High Income",
HRData[[#This Row],[MonthlyIncome]]&gt;16000,"Very High Income"
)</f>
        <v>Very Low Income</v>
      </c>
      <c r="Y810">
        <v>26968</v>
      </c>
      <c r="Z810">
        <v>4</v>
      </c>
      <c r="AA810" t="s">
        <v>42</v>
      </c>
      <c r="AB810" t="s">
        <v>43</v>
      </c>
      <c r="AC810">
        <v>22</v>
      </c>
      <c r="AD810" t="str" cm="1">
        <f t="array" ref="AD810">_xlfn.IFS(HRData[[#This Row],[PercentSalaryHike]]&lt;=15,"11-15",HRData[[#This Row],[PercentSalaryHike]]&lt;=20,"16-20",HRData[[#This Row],[PercentSalaryHike]]&gt;=21,"21+")</f>
        <v>21+</v>
      </c>
      <c r="AE810">
        <v>4</v>
      </c>
      <c r="AF810">
        <v>1</v>
      </c>
      <c r="AG810">
        <v>80</v>
      </c>
      <c r="AH810">
        <v>1</v>
      </c>
      <c r="AI810">
        <v>11</v>
      </c>
      <c r="AJ810">
        <v>1</v>
      </c>
      <c r="AK810">
        <v>3</v>
      </c>
      <c r="AL810">
        <v>7</v>
      </c>
      <c r="AM810">
        <v>5</v>
      </c>
      <c r="AN810">
        <v>1</v>
      </c>
      <c r="AO810">
        <v>7</v>
      </c>
      <c r="AP81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10" t="str">
        <f>IF(HRData[[#This Row],[Attrition]]="Yes","Left", IF(HRData[[#This Row],[Attrition_Risk_Score]]&gt;=6,"High",IF(HRData[[#This Row],[Attrition_Risk_Score]]&gt;=3,"Medium","Low")))</f>
        <v>Medium</v>
      </c>
      <c r="AR810" t="str">
        <f>IF(HRData[[#This Row],[Attrition_Risk_Level]]&lt;&gt;"High","",HRData[[#This Row],[Attrition_Risk_Score]]*10000-HRData[[#This Row],[EmployeeNumber]])</f>
        <v/>
      </c>
    </row>
    <row r="811" spans="1:44">
      <c r="A811">
        <v>28</v>
      </c>
      <c r="B811" t="str" cm="1">
        <f t="array" ref="B811">_xlfn.IFS(
HRData[[#This Row],[Age]]&lt;=24,"18-24",
HRData[[#This Row],[Age]]&lt;=34,"25-34",
HRData[[#This Row],[Age]]&lt;=44,"35-44",
HRData[[#This Row],[Age]]&lt;=54,"45-54",
HRData[[#This Row],[Age]]&gt;=55,"55+"
)</f>
        <v>25-34</v>
      </c>
      <c r="C811" t="s">
        <v>43</v>
      </c>
      <c r="D811">
        <f>IF(HRData[[#This Row],[Attrition]]="Yes",1,0)</f>
        <v>0</v>
      </c>
      <c r="E811" t="s">
        <v>36</v>
      </c>
      <c r="F811">
        <v>950</v>
      </c>
      <c r="G811" t="s">
        <v>45</v>
      </c>
      <c r="H811">
        <v>3</v>
      </c>
      <c r="I811">
        <v>3</v>
      </c>
      <c r="J811" t="s">
        <v>51</v>
      </c>
      <c r="K811">
        <v>1</v>
      </c>
      <c r="L811">
        <v>1121</v>
      </c>
      <c r="M811">
        <v>4</v>
      </c>
      <c r="N811" t="str" cm="1">
        <f t="array" ref="N811">_xlfn.IFS(HRData[[#This Row],[EnvironmentSatisfaction]]=1,"Very Dissatisfied",
HRData[[#This Row],[EnvironmentSatisfaction]]=2,"Dissatisfied",
HRData[[#This Row],[EnvironmentSatisfaction]]=3,"Satisfied",
HRData[[#This Row],[EnvironmentSatisfaction]]=4,"Very Satisfied"
)</f>
        <v>Very Satisfied</v>
      </c>
      <c r="O811" t="s">
        <v>39</v>
      </c>
      <c r="P811">
        <v>93</v>
      </c>
      <c r="Q811">
        <v>3</v>
      </c>
      <c r="R811">
        <v>3</v>
      </c>
      <c r="S811" t="s">
        <v>53</v>
      </c>
      <c r="T811">
        <v>2</v>
      </c>
      <c r="U811" t="str" cm="1">
        <f t="array" ref="U811">_xlfn.IFS(
HRData[[#This Row],[JobSatisfaction]]=1,"Very Dissatisfied",
HRData[[#This Row],[JobSatisfaction]]=2,"Dissatisfied",
HRData[[#This Row],[JobSatisfaction]]=3,"Satisfied",
HRData[[#This Row],[JobSatisfaction]]=4,"Very Satisfied"
)</f>
        <v>Dissatisfied</v>
      </c>
      <c r="V811" t="s">
        <v>52</v>
      </c>
      <c r="W811">
        <v>7655</v>
      </c>
      <c r="X811" t="str" cm="1">
        <f t="array" ref="X811">_xlfn.IFS(
HRData[[#This Row],[MonthlyIncome]]&lt;=4000,"Very Low Income",
HRData[[#This Row],[MonthlyIncome]]&lt;=8000,"Low Income",
HRData[[#This Row],[MonthlyIncome]]&lt;=12000,"Moderate Income",
HRData[[#This Row],[MonthlyIncome]]&lt;=16000,"High Income",
HRData[[#This Row],[MonthlyIncome]]&gt;16000,"Very High Income"
)</f>
        <v>Low Income</v>
      </c>
      <c r="Y811">
        <v>8039</v>
      </c>
      <c r="Z811">
        <v>0</v>
      </c>
      <c r="AA811" t="s">
        <v>42</v>
      </c>
      <c r="AB811" t="s">
        <v>43</v>
      </c>
      <c r="AC811">
        <v>17</v>
      </c>
      <c r="AD811" t="str" cm="1">
        <f t="array" ref="AD811">_xlfn.IFS(HRData[[#This Row],[PercentSalaryHike]]&lt;=15,"11-15",HRData[[#This Row],[PercentSalaryHike]]&lt;=20,"16-20",HRData[[#This Row],[PercentSalaryHike]]&gt;=21,"21+")</f>
        <v>16-20</v>
      </c>
      <c r="AE811">
        <v>3</v>
      </c>
      <c r="AF811">
        <v>2</v>
      </c>
      <c r="AG811">
        <v>80</v>
      </c>
      <c r="AH811">
        <v>3</v>
      </c>
      <c r="AI811">
        <v>10</v>
      </c>
      <c r="AJ811">
        <v>3</v>
      </c>
      <c r="AK811">
        <v>2</v>
      </c>
      <c r="AL811">
        <v>9</v>
      </c>
      <c r="AM811">
        <v>7</v>
      </c>
      <c r="AN811">
        <v>1</v>
      </c>
      <c r="AO811">
        <v>7</v>
      </c>
      <c r="AP81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11" t="str">
        <f>IF(HRData[[#This Row],[Attrition]]="Yes","Left", IF(HRData[[#This Row],[Attrition_Risk_Score]]&gt;=6,"High",IF(HRData[[#This Row],[Attrition_Risk_Score]]&gt;=3,"Medium","Low")))</f>
        <v>Low</v>
      </c>
      <c r="AR811" t="str">
        <f>IF(HRData[[#This Row],[Attrition_Risk_Level]]&lt;&gt;"High","",HRData[[#This Row],[Attrition_Risk_Score]]*10000-HRData[[#This Row],[EmployeeNumber]])</f>
        <v/>
      </c>
    </row>
    <row r="812" spans="1:44">
      <c r="A812">
        <v>46</v>
      </c>
      <c r="B812" t="str" cm="1">
        <f t="array" ref="B812">_xlfn.IFS(
HRData[[#This Row],[Age]]&lt;=24,"18-24",
HRData[[#This Row],[Age]]&lt;=34,"25-34",
HRData[[#This Row],[Age]]&lt;=44,"35-44",
HRData[[#This Row],[Age]]&lt;=54,"45-54",
HRData[[#This Row],[Age]]&gt;=55,"55+"
)</f>
        <v>45-54</v>
      </c>
      <c r="C812" t="s">
        <v>43</v>
      </c>
      <c r="D812">
        <f>IF(HRData[[#This Row],[Attrition]]="Yes",1,0)</f>
        <v>0</v>
      </c>
      <c r="E812" t="s">
        <v>36</v>
      </c>
      <c r="F812">
        <v>406</v>
      </c>
      <c r="G812" t="s">
        <v>37</v>
      </c>
      <c r="H812">
        <v>3</v>
      </c>
      <c r="I812">
        <v>1</v>
      </c>
      <c r="J812" t="s">
        <v>59</v>
      </c>
      <c r="K812">
        <v>1</v>
      </c>
      <c r="L812">
        <v>1124</v>
      </c>
      <c r="M812">
        <v>1</v>
      </c>
      <c r="N812" t="str" cm="1">
        <f t="array" ref="N812">_xlfn.IFS(HRData[[#This Row],[EnvironmentSatisfaction]]=1,"Very Dissatisfied",
HRData[[#This Row],[EnvironmentSatisfaction]]=2,"Dissatisfied",
HRData[[#This Row],[EnvironmentSatisfaction]]=3,"Satisfied",
HRData[[#This Row],[EnvironmentSatisfaction]]=4,"Very Satisfied"
)</f>
        <v>Very Dissatisfied</v>
      </c>
      <c r="O812" t="s">
        <v>46</v>
      </c>
      <c r="P812">
        <v>52</v>
      </c>
      <c r="Q812">
        <v>3</v>
      </c>
      <c r="R812">
        <v>4</v>
      </c>
      <c r="S812" t="s">
        <v>56</v>
      </c>
      <c r="T812">
        <v>3</v>
      </c>
      <c r="U812" t="str" cm="1">
        <f t="array" ref="U812">_xlfn.IFS(
HRData[[#This Row],[JobSatisfaction]]=1,"Very Dissatisfied",
HRData[[#This Row],[JobSatisfaction]]=2,"Dissatisfied",
HRData[[#This Row],[JobSatisfaction]]=3,"Satisfied",
HRData[[#This Row],[JobSatisfaction]]=4,"Very Satisfied"
)</f>
        <v>Satisfied</v>
      </c>
      <c r="V812" t="s">
        <v>48</v>
      </c>
      <c r="W812">
        <v>17465</v>
      </c>
      <c r="X812" t="str" cm="1">
        <f t="array" ref="X812">_xlfn.IFS(
HRData[[#This Row],[MonthlyIncome]]&lt;=4000,"Very Low Income",
HRData[[#This Row],[MonthlyIncome]]&lt;=8000,"Low Income",
HRData[[#This Row],[MonthlyIncome]]&lt;=12000,"Moderate Income",
HRData[[#This Row],[MonthlyIncome]]&lt;=16000,"High Income",
HRData[[#This Row],[MonthlyIncome]]&gt;16000,"Very High Income"
)</f>
        <v>Very High Income</v>
      </c>
      <c r="Y812">
        <v>15596</v>
      </c>
      <c r="Z812">
        <v>3</v>
      </c>
      <c r="AA812" t="s">
        <v>42</v>
      </c>
      <c r="AB812" t="s">
        <v>43</v>
      </c>
      <c r="AC812">
        <v>12</v>
      </c>
      <c r="AD812" t="str" cm="1">
        <f t="array" ref="AD812">_xlfn.IFS(HRData[[#This Row],[PercentSalaryHike]]&lt;=15,"11-15",HRData[[#This Row],[PercentSalaryHike]]&lt;=20,"16-20",HRData[[#This Row],[PercentSalaryHike]]&gt;=21,"21+")</f>
        <v>11-15</v>
      </c>
      <c r="AE812">
        <v>3</v>
      </c>
      <c r="AF812">
        <v>4</v>
      </c>
      <c r="AG812">
        <v>80</v>
      </c>
      <c r="AH812">
        <v>1</v>
      </c>
      <c r="AI812">
        <v>23</v>
      </c>
      <c r="AJ812">
        <v>3</v>
      </c>
      <c r="AK812">
        <v>3</v>
      </c>
      <c r="AL812">
        <v>12</v>
      </c>
      <c r="AM812">
        <v>9</v>
      </c>
      <c r="AN812">
        <v>4</v>
      </c>
      <c r="AO812">
        <v>9</v>
      </c>
      <c r="AP81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812" t="str">
        <f>IF(HRData[[#This Row],[Attrition]]="Yes","Left", IF(HRData[[#This Row],[Attrition_Risk_Score]]&gt;=6,"High",IF(HRData[[#This Row],[Attrition_Risk_Score]]&gt;=3,"Medium","Low")))</f>
        <v>Low</v>
      </c>
      <c r="AR812" t="str">
        <f>IF(HRData[[#This Row],[Attrition_Risk_Level]]&lt;&gt;"High","",HRData[[#This Row],[Attrition_Risk_Score]]*10000-HRData[[#This Row],[EmployeeNumber]])</f>
        <v/>
      </c>
    </row>
    <row r="813" spans="1:44">
      <c r="A813">
        <v>38</v>
      </c>
      <c r="B813" t="str" cm="1">
        <f t="array" ref="B813">_xlfn.IFS(
HRData[[#This Row],[Age]]&lt;=24,"18-24",
HRData[[#This Row],[Age]]&lt;=34,"25-34",
HRData[[#This Row],[Age]]&lt;=44,"35-44",
HRData[[#This Row],[Age]]&lt;=54,"45-54",
HRData[[#This Row],[Age]]&gt;=55,"55+"
)</f>
        <v>35-44</v>
      </c>
      <c r="C813" t="s">
        <v>43</v>
      </c>
      <c r="D813">
        <f>IF(HRData[[#This Row],[Attrition]]="Yes",1,0)</f>
        <v>0</v>
      </c>
      <c r="E813" t="s">
        <v>36</v>
      </c>
      <c r="F813">
        <v>130</v>
      </c>
      <c r="G813" t="s">
        <v>37</v>
      </c>
      <c r="H813">
        <v>2</v>
      </c>
      <c r="I813">
        <v>2</v>
      </c>
      <c r="J813" t="s">
        <v>59</v>
      </c>
      <c r="K813">
        <v>1</v>
      </c>
      <c r="L813">
        <v>1125</v>
      </c>
      <c r="M813">
        <v>4</v>
      </c>
      <c r="N813" t="str" cm="1">
        <f t="array" ref="N813">_xlfn.IFS(HRData[[#This Row],[EnvironmentSatisfaction]]=1,"Very Dissatisfied",
HRData[[#This Row],[EnvironmentSatisfaction]]=2,"Dissatisfied",
HRData[[#This Row],[EnvironmentSatisfaction]]=3,"Satisfied",
HRData[[#This Row],[EnvironmentSatisfaction]]=4,"Very Satisfied"
)</f>
        <v>Very Satisfied</v>
      </c>
      <c r="O813" t="s">
        <v>46</v>
      </c>
      <c r="P813">
        <v>32</v>
      </c>
      <c r="Q813">
        <v>3</v>
      </c>
      <c r="R813">
        <v>3</v>
      </c>
      <c r="S813" t="s">
        <v>40</v>
      </c>
      <c r="T813">
        <v>2</v>
      </c>
      <c r="U813" t="str" cm="1">
        <f t="array" ref="U813">_xlfn.IFS(
HRData[[#This Row],[JobSatisfaction]]=1,"Very Dissatisfied",
HRData[[#This Row],[JobSatisfaction]]=2,"Dissatisfied",
HRData[[#This Row],[JobSatisfaction]]=3,"Satisfied",
HRData[[#This Row],[JobSatisfaction]]=4,"Very Satisfied"
)</f>
        <v>Dissatisfied</v>
      </c>
      <c r="V813" t="s">
        <v>41</v>
      </c>
      <c r="W813">
        <v>7351</v>
      </c>
      <c r="X813" t="str" cm="1">
        <f t="array" ref="X813">_xlfn.IFS(
HRData[[#This Row],[MonthlyIncome]]&lt;=4000,"Very Low Income",
HRData[[#This Row],[MonthlyIncome]]&lt;=8000,"Low Income",
HRData[[#This Row],[MonthlyIncome]]&lt;=12000,"Moderate Income",
HRData[[#This Row],[MonthlyIncome]]&lt;=16000,"High Income",
HRData[[#This Row],[MonthlyIncome]]&gt;16000,"Very High Income"
)</f>
        <v>Low Income</v>
      </c>
      <c r="Y813">
        <v>20619</v>
      </c>
      <c r="Z813">
        <v>7</v>
      </c>
      <c r="AA813" t="s">
        <v>42</v>
      </c>
      <c r="AB813" t="s">
        <v>43</v>
      </c>
      <c r="AC813">
        <v>16</v>
      </c>
      <c r="AD813" t="str" cm="1">
        <f t="array" ref="AD813">_xlfn.IFS(HRData[[#This Row],[PercentSalaryHike]]&lt;=15,"11-15",HRData[[#This Row],[PercentSalaryHike]]&lt;=20,"16-20",HRData[[#This Row],[PercentSalaryHike]]&gt;=21,"21+")</f>
        <v>16-20</v>
      </c>
      <c r="AE813">
        <v>3</v>
      </c>
      <c r="AF813">
        <v>3</v>
      </c>
      <c r="AG813">
        <v>80</v>
      </c>
      <c r="AH813">
        <v>0</v>
      </c>
      <c r="AI813">
        <v>10</v>
      </c>
      <c r="AJ813">
        <v>2</v>
      </c>
      <c r="AK813">
        <v>3</v>
      </c>
      <c r="AL813">
        <v>1</v>
      </c>
      <c r="AM813">
        <v>0</v>
      </c>
      <c r="AN813">
        <v>0</v>
      </c>
      <c r="AO813">
        <v>0</v>
      </c>
      <c r="AP81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813" t="str">
        <f>IF(HRData[[#This Row],[Attrition]]="Yes","Left", IF(HRData[[#This Row],[Attrition_Risk_Score]]&gt;=6,"High",IF(HRData[[#This Row],[Attrition_Risk_Score]]&gt;=3,"Medium","Low")))</f>
        <v>Low</v>
      </c>
      <c r="AR813" t="str">
        <f>IF(HRData[[#This Row],[Attrition_Risk_Level]]&lt;&gt;"High","",HRData[[#This Row],[Attrition_Risk_Score]]*10000-HRData[[#This Row],[EmployeeNumber]])</f>
        <v/>
      </c>
    </row>
    <row r="814" spans="1:44">
      <c r="A814">
        <v>43</v>
      </c>
      <c r="B814" t="str" cm="1">
        <f t="array" ref="B814">_xlfn.IFS(
HRData[[#This Row],[Age]]&lt;=24,"18-24",
HRData[[#This Row],[Age]]&lt;=34,"25-34",
HRData[[#This Row],[Age]]&lt;=44,"35-44",
HRData[[#This Row],[Age]]&lt;=54,"45-54",
HRData[[#This Row],[Age]]&gt;=55,"55+"
)</f>
        <v>35-44</v>
      </c>
      <c r="C814" t="s">
        <v>43</v>
      </c>
      <c r="D814">
        <f>IF(HRData[[#This Row],[Attrition]]="Yes",1,0)</f>
        <v>0</v>
      </c>
      <c r="E814" t="s">
        <v>44</v>
      </c>
      <c r="F814">
        <v>1082</v>
      </c>
      <c r="G814" t="s">
        <v>45</v>
      </c>
      <c r="H814">
        <v>27</v>
      </c>
      <c r="I814">
        <v>3</v>
      </c>
      <c r="J814" t="s">
        <v>38</v>
      </c>
      <c r="K814">
        <v>1</v>
      </c>
      <c r="L814">
        <v>1126</v>
      </c>
      <c r="M814">
        <v>3</v>
      </c>
      <c r="N814" t="str" cm="1">
        <f t="array" ref="N814">_xlfn.IFS(HRData[[#This Row],[EnvironmentSatisfaction]]=1,"Very Dissatisfied",
HRData[[#This Row],[EnvironmentSatisfaction]]=2,"Dissatisfied",
HRData[[#This Row],[EnvironmentSatisfaction]]=3,"Satisfied",
HRData[[#This Row],[EnvironmentSatisfaction]]=4,"Very Satisfied"
)</f>
        <v>Satisfied</v>
      </c>
      <c r="O814" t="s">
        <v>39</v>
      </c>
      <c r="P814">
        <v>83</v>
      </c>
      <c r="Q814">
        <v>3</v>
      </c>
      <c r="R814">
        <v>3</v>
      </c>
      <c r="S814" t="s">
        <v>53</v>
      </c>
      <c r="T814">
        <v>1</v>
      </c>
      <c r="U814" t="str" cm="1">
        <f t="array" ref="U814">_xlfn.IFS(
HRData[[#This Row],[JobSatisfaction]]=1,"Very Dissatisfied",
HRData[[#This Row],[JobSatisfaction]]=2,"Dissatisfied",
HRData[[#This Row],[JobSatisfaction]]=3,"Satisfied",
HRData[[#This Row],[JobSatisfaction]]=4,"Very Satisfied"
)</f>
        <v>Very Dissatisfied</v>
      </c>
      <c r="V814" t="s">
        <v>48</v>
      </c>
      <c r="W814">
        <v>10820</v>
      </c>
      <c r="X814" t="str" cm="1">
        <f t="array" ref="X814">_xlfn.IFS(
HRData[[#This Row],[MonthlyIncome]]&lt;=4000,"Very Low Income",
HRData[[#This Row],[MonthlyIncome]]&lt;=8000,"Low Income",
HRData[[#This Row],[MonthlyIncome]]&lt;=12000,"Moderate Income",
HRData[[#This Row],[MonthlyIncome]]&lt;=16000,"High Income",
HRData[[#This Row],[MonthlyIncome]]&gt;16000,"Very High Income"
)</f>
        <v>Moderate Income</v>
      </c>
      <c r="Y814">
        <v>11535</v>
      </c>
      <c r="Z814">
        <v>8</v>
      </c>
      <c r="AA814" t="s">
        <v>42</v>
      </c>
      <c r="AB814" t="s">
        <v>43</v>
      </c>
      <c r="AC814">
        <v>11</v>
      </c>
      <c r="AD814" t="str" cm="1">
        <f t="array" ref="AD814">_xlfn.IFS(HRData[[#This Row],[PercentSalaryHike]]&lt;=15,"11-15",HRData[[#This Row],[PercentSalaryHike]]&lt;=20,"16-20",HRData[[#This Row],[PercentSalaryHike]]&gt;=21,"21+")</f>
        <v>11-15</v>
      </c>
      <c r="AE814">
        <v>3</v>
      </c>
      <c r="AF814">
        <v>3</v>
      </c>
      <c r="AG814">
        <v>80</v>
      </c>
      <c r="AH814">
        <v>1</v>
      </c>
      <c r="AI814">
        <v>18</v>
      </c>
      <c r="AJ814">
        <v>1</v>
      </c>
      <c r="AK814">
        <v>3</v>
      </c>
      <c r="AL814">
        <v>8</v>
      </c>
      <c r="AM814">
        <v>7</v>
      </c>
      <c r="AN814">
        <v>0</v>
      </c>
      <c r="AO814">
        <v>1</v>
      </c>
      <c r="AP81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14" t="str">
        <f>IF(HRData[[#This Row],[Attrition]]="Yes","Left", IF(HRData[[#This Row],[Attrition_Risk_Score]]&gt;=6,"High",IF(HRData[[#This Row],[Attrition_Risk_Score]]&gt;=3,"Medium","Low")))</f>
        <v>Low</v>
      </c>
      <c r="AR814" t="str">
        <f>IF(HRData[[#This Row],[Attrition_Risk_Level]]&lt;&gt;"High","",HRData[[#This Row],[Attrition_Risk_Score]]*10000-HRData[[#This Row],[EmployeeNumber]])</f>
        <v/>
      </c>
    </row>
    <row r="815" spans="1:44">
      <c r="A815">
        <v>39</v>
      </c>
      <c r="B815" t="str" cm="1">
        <f t="array" ref="B815">_xlfn.IFS(
HRData[[#This Row],[Age]]&lt;=24,"18-24",
HRData[[#This Row],[Age]]&lt;=34,"25-34",
HRData[[#This Row],[Age]]&lt;=44,"35-44",
HRData[[#This Row],[Age]]&lt;=54,"45-54",
HRData[[#This Row],[Age]]&gt;=55,"55+"
)</f>
        <v>35-44</v>
      </c>
      <c r="C815" t="s">
        <v>35</v>
      </c>
      <c r="D815">
        <f>IF(HRData[[#This Row],[Attrition]]="Yes",1,0)</f>
        <v>1</v>
      </c>
      <c r="E815" t="s">
        <v>44</v>
      </c>
      <c r="F815">
        <v>203</v>
      </c>
      <c r="G815" t="s">
        <v>45</v>
      </c>
      <c r="H815">
        <v>2</v>
      </c>
      <c r="I815">
        <v>3</v>
      </c>
      <c r="J815" t="s">
        <v>38</v>
      </c>
      <c r="K815">
        <v>1</v>
      </c>
      <c r="L815">
        <v>1127</v>
      </c>
      <c r="M815">
        <v>1</v>
      </c>
      <c r="N815" t="str" cm="1">
        <f t="array" ref="N815">_xlfn.IFS(HRData[[#This Row],[EnvironmentSatisfaction]]=1,"Very Dissatisfied",
HRData[[#This Row],[EnvironmentSatisfaction]]=2,"Dissatisfied",
HRData[[#This Row],[EnvironmentSatisfaction]]=3,"Satisfied",
HRData[[#This Row],[EnvironmentSatisfaction]]=4,"Very Satisfied"
)</f>
        <v>Very Dissatisfied</v>
      </c>
      <c r="O815" t="s">
        <v>46</v>
      </c>
      <c r="P815">
        <v>84</v>
      </c>
      <c r="Q815">
        <v>3</v>
      </c>
      <c r="R815">
        <v>4</v>
      </c>
      <c r="S815" t="s">
        <v>54</v>
      </c>
      <c r="T815">
        <v>4</v>
      </c>
      <c r="U815" t="str" cm="1">
        <f t="array" ref="U815">_xlfn.IFS(
HRData[[#This Row],[JobSatisfaction]]=1,"Very Dissatisfied",
HRData[[#This Row],[JobSatisfaction]]=2,"Dissatisfied",
HRData[[#This Row],[JobSatisfaction]]=3,"Satisfied",
HRData[[#This Row],[JobSatisfaction]]=4,"Very Satisfied"
)</f>
        <v>Very Satisfied</v>
      </c>
      <c r="V815" t="s">
        <v>52</v>
      </c>
      <c r="W815">
        <v>12169</v>
      </c>
      <c r="X815" t="str" cm="1">
        <f t="array" ref="X815">_xlfn.IFS(
HRData[[#This Row],[MonthlyIncome]]&lt;=4000,"Very Low Income",
HRData[[#This Row],[MonthlyIncome]]&lt;=8000,"Low Income",
HRData[[#This Row],[MonthlyIncome]]&lt;=12000,"Moderate Income",
HRData[[#This Row],[MonthlyIncome]]&lt;=16000,"High Income",
HRData[[#This Row],[MonthlyIncome]]&gt;16000,"Very High Income"
)</f>
        <v>High Income</v>
      </c>
      <c r="Y815">
        <v>13547</v>
      </c>
      <c r="Z815">
        <v>7</v>
      </c>
      <c r="AA815" t="s">
        <v>42</v>
      </c>
      <c r="AB815" t="s">
        <v>43</v>
      </c>
      <c r="AC815">
        <v>11</v>
      </c>
      <c r="AD815" t="str" cm="1">
        <f t="array" ref="AD815">_xlfn.IFS(HRData[[#This Row],[PercentSalaryHike]]&lt;=15,"11-15",HRData[[#This Row],[PercentSalaryHike]]&lt;=20,"16-20",HRData[[#This Row],[PercentSalaryHike]]&gt;=21,"21+")</f>
        <v>11-15</v>
      </c>
      <c r="AE815">
        <v>3</v>
      </c>
      <c r="AF815">
        <v>4</v>
      </c>
      <c r="AG815">
        <v>80</v>
      </c>
      <c r="AH815">
        <v>3</v>
      </c>
      <c r="AI815">
        <v>21</v>
      </c>
      <c r="AJ815">
        <v>4</v>
      </c>
      <c r="AK815">
        <v>3</v>
      </c>
      <c r="AL815">
        <v>18</v>
      </c>
      <c r="AM815">
        <v>7</v>
      </c>
      <c r="AN815">
        <v>11</v>
      </c>
      <c r="AO815">
        <v>5</v>
      </c>
      <c r="AP81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15" t="str">
        <f>IF(HRData[[#This Row],[Attrition]]="Yes","Left", IF(HRData[[#This Row],[Attrition_Risk_Score]]&gt;=6,"High",IF(HRData[[#This Row],[Attrition_Risk_Score]]&gt;=3,"Medium","Low")))</f>
        <v>Left</v>
      </c>
      <c r="AR815" t="str">
        <f>IF(HRData[[#This Row],[Attrition_Risk_Level]]&lt;&gt;"High","",HRData[[#This Row],[Attrition_Risk_Score]]*10000-HRData[[#This Row],[EmployeeNumber]])</f>
        <v/>
      </c>
    </row>
    <row r="816" spans="1:44">
      <c r="A816">
        <v>40</v>
      </c>
      <c r="B816" t="str" cm="1">
        <f t="array" ref="B816">_xlfn.IFS(
HRData[[#This Row],[Age]]&lt;=24,"18-24",
HRData[[#This Row],[Age]]&lt;=34,"25-34",
HRData[[#This Row],[Age]]&lt;=44,"35-44",
HRData[[#This Row],[Age]]&lt;=54,"45-54",
HRData[[#This Row],[Age]]&gt;=55,"55+"
)</f>
        <v>35-44</v>
      </c>
      <c r="C816" t="s">
        <v>43</v>
      </c>
      <c r="D816">
        <f>IF(HRData[[#This Row],[Attrition]]="Yes",1,0)</f>
        <v>0</v>
      </c>
      <c r="E816" t="s">
        <v>36</v>
      </c>
      <c r="F816">
        <v>1308</v>
      </c>
      <c r="G816" t="s">
        <v>45</v>
      </c>
      <c r="H816">
        <v>14</v>
      </c>
      <c r="I816">
        <v>3</v>
      </c>
      <c r="J816" t="s">
        <v>51</v>
      </c>
      <c r="K816">
        <v>1</v>
      </c>
      <c r="L816">
        <v>1128</v>
      </c>
      <c r="M816">
        <v>3</v>
      </c>
      <c r="N816" t="str" cm="1">
        <f t="array" ref="N816">_xlfn.IFS(HRData[[#This Row],[EnvironmentSatisfaction]]=1,"Very Dissatisfied",
HRData[[#This Row],[EnvironmentSatisfaction]]=2,"Dissatisfied",
HRData[[#This Row],[EnvironmentSatisfaction]]=3,"Satisfied",
HRData[[#This Row],[EnvironmentSatisfaction]]=4,"Very Satisfied"
)</f>
        <v>Satisfied</v>
      </c>
      <c r="O816" t="s">
        <v>46</v>
      </c>
      <c r="P816">
        <v>44</v>
      </c>
      <c r="Q816">
        <v>2</v>
      </c>
      <c r="R816">
        <v>5</v>
      </c>
      <c r="S816" t="s">
        <v>58</v>
      </c>
      <c r="T816">
        <v>3</v>
      </c>
      <c r="U816" t="str" cm="1">
        <f t="array" ref="U816">_xlfn.IFS(
HRData[[#This Row],[JobSatisfaction]]=1,"Very Dissatisfied",
HRData[[#This Row],[JobSatisfaction]]=2,"Dissatisfied",
HRData[[#This Row],[JobSatisfaction]]=3,"Satisfied",
HRData[[#This Row],[JobSatisfaction]]=4,"Very Satisfied"
)</f>
        <v>Satisfied</v>
      </c>
      <c r="V816" t="s">
        <v>41</v>
      </c>
      <c r="W816">
        <v>19626</v>
      </c>
      <c r="X816" t="str" cm="1">
        <f t="array" ref="X816">_xlfn.IFS(
HRData[[#This Row],[MonthlyIncome]]&lt;=4000,"Very Low Income",
HRData[[#This Row],[MonthlyIncome]]&lt;=8000,"Low Income",
HRData[[#This Row],[MonthlyIncome]]&lt;=12000,"Moderate Income",
HRData[[#This Row],[MonthlyIncome]]&lt;=16000,"High Income",
HRData[[#This Row],[MonthlyIncome]]&gt;16000,"Very High Income"
)</f>
        <v>Very High Income</v>
      </c>
      <c r="Y816">
        <v>17544</v>
      </c>
      <c r="Z816">
        <v>1</v>
      </c>
      <c r="AA816" t="s">
        <v>42</v>
      </c>
      <c r="AB816" t="s">
        <v>43</v>
      </c>
      <c r="AC816">
        <v>14</v>
      </c>
      <c r="AD816" t="str" cm="1">
        <f t="array" ref="AD816">_xlfn.IFS(HRData[[#This Row],[PercentSalaryHike]]&lt;=15,"11-15",HRData[[#This Row],[PercentSalaryHike]]&lt;=20,"16-20",HRData[[#This Row],[PercentSalaryHike]]&gt;=21,"21+")</f>
        <v>11-15</v>
      </c>
      <c r="AE816">
        <v>3</v>
      </c>
      <c r="AF816">
        <v>1</v>
      </c>
      <c r="AG816">
        <v>80</v>
      </c>
      <c r="AH816">
        <v>0</v>
      </c>
      <c r="AI816">
        <v>21</v>
      </c>
      <c r="AJ816">
        <v>2</v>
      </c>
      <c r="AK816">
        <v>4</v>
      </c>
      <c r="AL816">
        <v>20</v>
      </c>
      <c r="AM816">
        <v>7</v>
      </c>
      <c r="AN816">
        <v>4</v>
      </c>
      <c r="AO816">
        <v>9</v>
      </c>
      <c r="AP81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816" t="str">
        <f>IF(HRData[[#This Row],[Attrition]]="Yes","Left", IF(HRData[[#This Row],[Attrition_Risk_Score]]&gt;=6,"High",IF(HRData[[#This Row],[Attrition_Risk_Score]]&gt;=3,"Medium","Low")))</f>
        <v>Low</v>
      </c>
      <c r="AR816" t="str">
        <f>IF(HRData[[#This Row],[Attrition_Risk_Level]]&lt;&gt;"High","",HRData[[#This Row],[Attrition_Risk_Score]]*10000-HRData[[#This Row],[EmployeeNumber]])</f>
        <v/>
      </c>
    </row>
    <row r="817" spans="1:44">
      <c r="A817">
        <v>21</v>
      </c>
      <c r="B817" t="str" cm="1">
        <f t="array" ref="B817">_xlfn.IFS(
HRData[[#This Row],[Age]]&lt;=24,"18-24",
HRData[[#This Row],[Age]]&lt;=34,"25-34",
HRData[[#This Row],[Age]]&lt;=44,"35-44",
HRData[[#This Row],[Age]]&lt;=54,"45-54",
HRData[[#This Row],[Age]]&gt;=55,"55+"
)</f>
        <v>18-24</v>
      </c>
      <c r="C817" t="s">
        <v>43</v>
      </c>
      <c r="D817">
        <f>IF(HRData[[#This Row],[Attrition]]="Yes",1,0)</f>
        <v>0</v>
      </c>
      <c r="E817" t="s">
        <v>36</v>
      </c>
      <c r="F817">
        <v>984</v>
      </c>
      <c r="G817" t="s">
        <v>45</v>
      </c>
      <c r="H817">
        <v>1</v>
      </c>
      <c r="I817">
        <v>1</v>
      </c>
      <c r="J817" t="s">
        <v>60</v>
      </c>
      <c r="K817">
        <v>1</v>
      </c>
      <c r="L817">
        <v>1131</v>
      </c>
      <c r="M817">
        <v>4</v>
      </c>
      <c r="N817" t="str" cm="1">
        <f t="array" ref="N817">_xlfn.IFS(HRData[[#This Row],[EnvironmentSatisfaction]]=1,"Very Dissatisfied",
HRData[[#This Row],[EnvironmentSatisfaction]]=2,"Dissatisfied",
HRData[[#This Row],[EnvironmentSatisfaction]]=3,"Satisfied",
HRData[[#This Row],[EnvironmentSatisfaction]]=4,"Very Satisfied"
)</f>
        <v>Very Satisfied</v>
      </c>
      <c r="O817" t="s">
        <v>39</v>
      </c>
      <c r="P817">
        <v>70</v>
      </c>
      <c r="Q817">
        <v>2</v>
      </c>
      <c r="R817">
        <v>1</v>
      </c>
      <c r="S817" t="s">
        <v>47</v>
      </c>
      <c r="T817">
        <v>2</v>
      </c>
      <c r="U817" t="str" cm="1">
        <f t="array" ref="U817">_xlfn.IFS(
HRData[[#This Row],[JobSatisfaction]]=1,"Very Dissatisfied",
HRData[[#This Row],[JobSatisfaction]]=2,"Dissatisfied",
HRData[[#This Row],[JobSatisfaction]]=3,"Satisfied",
HRData[[#This Row],[JobSatisfaction]]=4,"Very Satisfied"
)</f>
        <v>Dissatisfied</v>
      </c>
      <c r="V817" t="s">
        <v>41</v>
      </c>
      <c r="W817">
        <v>2070</v>
      </c>
      <c r="X817" t="str" cm="1">
        <f t="array" ref="X817">_xlfn.IFS(
HRData[[#This Row],[MonthlyIncome]]&lt;=4000,"Very Low Income",
HRData[[#This Row],[MonthlyIncome]]&lt;=8000,"Low Income",
HRData[[#This Row],[MonthlyIncome]]&lt;=12000,"Moderate Income",
HRData[[#This Row],[MonthlyIncome]]&lt;=16000,"High Income",
HRData[[#This Row],[MonthlyIncome]]&gt;16000,"Very High Income"
)</f>
        <v>Very Low Income</v>
      </c>
      <c r="Y817">
        <v>25326</v>
      </c>
      <c r="Z817">
        <v>1</v>
      </c>
      <c r="AA817" t="s">
        <v>42</v>
      </c>
      <c r="AB817" t="s">
        <v>35</v>
      </c>
      <c r="AC817">
        <v>11</v>
      </c>
      <c r="AD817" t="str" cm="1">
        <f t="array" ref="AD817">_xlfn.IFS(HRData[[#This Row],[PercentSalaryHike]]&lt;=15,"11-15",HRData[[#This Row],[PercentSalaryHike]]&lt;=20,"16-20",HRData[[#This Row],[PercentSalaryHike]]&gt;=21,"21+")</f>
        <v>11-15</v>
      </c>
      <c r="AE817">
        <v>3</v>
      </c>
      <c r="AF817">
        <v>3</v>
      </c>
      <c r="AG817">
        <v>80</v>
      </c>
      <c r="AH817">
        <v>0</v>
      </c>
      <c r="AI817">
        <v>2</v>
      </c>
      <c r="AJ817">
        <v>6</v>
      </c>
      <c r="AK817">
        <v>4</v>
      </c>
      <c r="AL817">
        <v>2</v>
      </c>
      <c r="AM817">
        <v>2</v>
      </c>
      <c r="AN817">
        <v>2</v>
      </c>
      <c r="AO817">
        <v>2</v>
      </c>
      <c r="AP81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817" t="str">
        <f>IF(HRData[[#This Row],[Attrition]]="Yes","Left", IF(HRData[[#This Row],[Attrition_Risk_Score]]&gt;=6,"High",IF(HRData[[#This Row],[Attrition_Risk_Score]]&gt;=3,"Medium","Low")))</f>
        <v>High</v>
      </c>
      <c r="AR817">
        <f>IF(HRData[[#This Row],[Attrition_Risk_Level]]&lt;&gt;"High","",HRData[[#This Row],[Attrition_Risk_Score]]*10000-HRData[[#This Row],[EmployeeNumber]])</f>
        <v>58869</v>
      </c>
    </row>
    <row r="818" spans="1:44">
      <c r="A818">
        <v>39</v>
      </c>
      <c r="B818" t="str" cm="1">
        <f t="array" ref="B818">_xlfn.IFS(
HRData[[#This Row],[Age]]&lt;=24,"18-24",
HRData[[#This Row],[Age]]&lt;=34,"25-34",
HRData[[#This Row],[Age]]&lt;=44,"35-44",
HRData[[#This Row],[Age]]&lt;=54,"45-54",
HRData[[#This Row],[Age]]&gt;=55,"55+"
)</f>
        <v>35-44</v>
      </c>
      <c r="C818" t="s">
        <v>43</v>
      </c>
      <c r="D818">
        <f>IF(HRData[[#This Row],[Attrition]]="Yes",1,0)</f>
        <v>0</v>
      </c>
      <c r="E818" t="s">
        <v>55</v>
      </c>
      <c r="F818">
        <v>439</v>
      </c>
      <c r="G818" t="s">
        <v>45</v>
      </c>
      <c r="H818">
        <v>9</v>
      </c>
      <c r="I818">
        <v>3</v>
      </c>
      <c r="J818" t="s">
        <v>38</v>
      </c>
      <c r="K818">
        <v>1</v>
      </c>
      <c r="L818">
        <v>1132</v>
      </c>
      <c r="M818">
        <v>3</v>
      </c>
      <c r="N818" t="str" cm="1">
        <f t="array" ref="N818">_xlfn.IFS(HRData[[#This Row],[EnvironmentSatisfaction]]=1,"Very Dissatisfied",
HRData[[#This Row],[EnvironmentSatisfaction]]=2,"Dissatisfied",
HRData[[#This Row],[EnvironmentSatisfaction]]=3,"Satisfied",
HRData[[#This Row],[EnvironmentSatisfaction]]=4,"Very Satisfied"
)</f>
        <v>Satisfied</v>
      </c>
      <c r="O818" t="s">
        <v>46</v>
      </c>
      <c r="P818">
        <v>70</v>
      </c>
      <c r="Q818">
        <v>3</v>
      </c>
      <c r="R818">
        <v>2</v>
      </c>
      <c r="S818" t="s">
        <v>50</v>
      </c>
      <c r="T818">
        <v>2</v>
      </c>
      <c r="U818" t="str" cm="1">
        <f t="array" ref="U818">_xlfn.IFS(
HRData[[#This Row],[JobSatisfaction]]=1,"Very Dissatisfied",
HRData[[#This Row],[JobSatisfaction]]=2,"Dissatisfied",
HRData[[#This Row],[JobSatisfaction]]=3,"Satisfied",
HRData[[#This Row],[JobSatisfaction]]=4,"Very Satisfied"
)</f>
        <v>Dissatisfied</v>
      </c>
      <c r="V818" t="s">
        <v>41</v>
      </c>
      <c r="W818">
        <v>6782</v>
      </c>
      <c r="X818" t="str" cm="1">
        <f t="array" ref="X818">_xlfn.IFS(
HRData[[#This Row],[MonthlyIncome]]&lt;=4000,"Very Low Income",
HRData[[#This Row],[MonthlyIncome]]&lt;=8000,"Low Income",
HRData[[#This Row],[MonthlyIncome]]&lt;=12000,"Moderate Income",
HRData[[#This Row],[MonthlyIncome]]&lt;=16000,"High Income",
HRData[[#This Row],[MonthlyIncome]]&gt;16000,"Very High Income"
)</f>
        <v>Low Income</v>
      </c>
      <c r="Y818">
        <v>8770</v>
      </c>
      <c r="Z818">
        <v>9</v>
      </c>
      <c r="AA818" t="s">
        <v>42</v>
      </c>
      <c r="AB818" t="s">
        <v>43</v>
      </c>
      <c r="AC818">
        <v>15</v>
      </c>
      <c r="AD818" t="str" cm="1">
        <f t="array" ref="AD818">_xlfn.IFS(HRData[[#This Row],[PercentSalaryHike]]&lt;=15,"11-15",HRData[[#This Row],[PercentSalaryHike]]&lt;=20,"16-20",HRData[[#This Row],[PercentSalaryHike]]&gt;=21,"21+")</f>
        <v>11-15</v>
      </c>
      <c r="AE818">
        <v>3</v>
      </c>
      <c r="AF818">
        <v>3</v>
      </c>
      <c r="AG818">
        <v>80</v>
      </c>
      <c r="AH818">
        <v>0</v>
      </c>
      <c r="AI818">
        <v>9</v>
      </c>
      <c r="AJ818">
        <v>2</v>
      </c>
      <c r="AK818">
        <v>2</v>
      </c>
      <c r="AL818">
        <v>5</v>
      </c>
      <c r="AM818">
        <v>4</v>
      </c>
      <c r="AN818">
        <v>0</v>
      </c>
      <c r="AO818">
        <v>3</v>
      </c>
      <c r="AP81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18" t="str">
        <f>IF(HRData[[#This Row],[Attrition]]="Yes","Left", IF(HRData[[#This Row],[Attrition_Risk_Score]]&gt;=6,"High",IF(HRData[[#This Row],[Attrition_Risk_Score]]&gt;=3,"Medium","Low")))</f>
        <v>Low</v>
      </c>
      <c r="AR818" t="str">
        <f>IF(HRData[[#This Row],[Attrition_Risk_Level]]&lt;&gt;"High","",HRData[[#This Row],[Attrition_Risk_Score]]*10000-HRData[[#This Row],[EmployeeNumber]])</f>
        <v/>
      </c>
    </row>
    <row r="819" spans="1:44">
      <c r="A819">
        <v>36</v>
      </c>
      <c r="B819" t="str" cm="1">
        <f t="array" ref="B819">_xlfn.IFS(
HRData[[#This Row],[Age]]&lt;=24,"18-24",
HRData[[#This Row],[Age]]&lt;=34,"25-34",
HRData[[#This Row],[Age]]&lt;=44,"35-44",
HRData[[#This Row],[Age]]&lt;=54,"45-54",
HRData[[#This Row],[Age]]&gt;=55,"55+"
)</f>
        <v>35-44</v>
      </c>
      <c r="C819" t="s">
        <v>43</v>
      </c>
      <c r="D819">
        <f>IF(HRData[[#This Row],[Attrition]]="Yes",1,0)</f>
        <v>0</v>
      </c>
      <c r="E819" t="s">
        <v>55</v>
      </c>
      <c r="F819">
        <v>217</v>
      </c>
      <c r="G819" t="s">
        <v>45</v>
      </c>
      <c r="H819">
        <v>18</v>
      </c>
      <c r="I819">
        <v>4</v>
      </c>
      <c r="J819" t="s">
        <v>38</v>
      </c>
      <c r="K819">
        <v>1</v>
      </c>
      <c r="L819">
        <v>1133</v>
      </c>
      <c r="M819">
        <v>1</v>
      </c>
      <c r="N819" t="str" cm="1">
        <f t="array" ref="N819">_xlfn.IFS(HRData[[#This Row],[EnvironmentSatisfaction]]=1,"Very Dissatisfied",
HRData[[#This Row],[EnvironmentSatisfaction]]=2,"Dissatisfied",
HRData[[#This Row],[EnvironmentSatisfaction]]=3,"Satisfied",
HRData[[#This Row],[EnvironmentSatisfaction]]=4,"Very Satisfied"
)</f>
        <v>Very Dissatisfied</v>
      </c>
      <c r="O819" t="s">
        <v>46</v>
      </c>
      <c r="P819">
        <v>78</v>
      </c>
      <c r="Q819">
        <v>3</v>
      </c>
      <c r="R819">
        <v>2</v>
      </c>
      <c r="S819" t="s">
        <v>53</v>
      </c>
      <c r="T819">
        <v>4</v>
      </c>
      <c r="U819" t="str" cm="1">
        <f t="array" ref="U819">_xlfn.IFS(
HRData[[#This Row],[JobSatisfaction]]=1,"Very Dissatisfied",
HRData[[#This Row],[JobSatisfaction]]=2,"Dissatisfied",
HRData[[#This Row],[JobSatisfaction]]=3,"Satisfied",
HRData[[#This Row],[JobSatisfaction]]=4,"Very Satisfied"
)</f>
        <v>Very Satisfied</v>
      </c>
      <c r="V819" t="s">
        <v>41</v>
      </c>
      <c r="W819">
        <v>7779</v>
      </c>
      <c r="X819" t="str" cm="1">
        <f t="array" ref="X819">_xlfn.IFS(
HRData[[#This Row],[MonthlyIncome]]&lt;=4000,"Very Low Income",
HRData[[#This Row],[MonthlyIncome]]&lt;=8000,"Low Income",
HRData[[#This Row],[MonthlyIncome]]&lt;=12000,"Moderate Income",
HRData[[#This Row],[MonthlyIncome]]&lt;=16000,"High Income",
HRData[[#This Row],[MonthlyIncome]]&gt;16000,"Very High Income"
)</f>
        <v>Low Income</v>
      </c>
      <c r="Y819">
        <v>23238</v>
      </c>
      <c r="Z819">
        <v>2</v>
      </c>
      <c r="AA819" t="s">
        <v>42</v>
      </c>
      <c r="AB819" t="s">
        <v>43</v>
      </c>
      <c r="AC819">
        <v>20</v>
      </c>
      <c r="AD819" t="str" cm="1">
        <f t="array" ref="AD819">_xlfn.IFS(HRData[[#This Row],[PercentSalaryHike]]&lt;=15,"11-15",HRData[[#This Row],[PercentSalaryHike]]&lt;=20,"16-20",HRData[[#This Row],[PercentSalaryHike]]&gt;=21,"21+")</f>
        <v>16-20</v>
      </c>
      <c r="AE819">
        <v>4</v>
      </c>
      <c r="AF819">
        <v>1</v>
      </c>
      <c r="AG819">
        <v>80</v>
      </c>
      <c r="AH819">
        <v>0</v>
      </c>
      <c r="AI819">
        <v>18</v>
      </c>
      <c r="AJ819">
        <v>0</v>
      </c>
      <c r="AK819">
        <v>3</v>
      </c>
      <c r="AL819">
        <v>11</v>
      </c>
      <c r="AM819">
        <v>9</v>
      </c>
      <c r="AN819">
        <v>0</v>
      </c>
      <c r="AO819">
        <v>9</v>
      </c>
      <c r="AP81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819" t="str">
        <f>IF(HRData[[#This Row],[Attrition]]="Yes","Left", IF(HRData[[#This Row],[Attrition_Risk_Score]]&gt;=6,"High",IF(HRData[[#This Row],[Attrition_Risk_Score]]&gt;=3,"Medium","Low")))</f>
        <v>Low</v>
      </c>
      <c r="AR819" t="str">
        <f>IF(HRData[[#This Row],[Attrition_Risk_Level]]&lt;&gt;"High","",HRData[[#This Row],[Attrition_Risk_Score]]*10000-HRData[[#This Row],[EmployeeNumber]])</f>
        <v/>
      </c>
    </row>
    <row r="820" spans="1:44">
      <c r="A820">
        <v>31</v>
      </c>
      <c r="B820" t="str" cm="1">
        <f t="array" ref="B820">_xlfn.IFS(
HRData[[#This Row],[Age]]&lt;=24,"18-24",
HRData[[#This Row],[Age]]&lt;=34,"25-34",
HRData[[#This Row],[Age]]&lt;=44,"35-44",
HRData[[#This Row],[Age]]&lt;=54,"45-54",
HRData[[#This Row],[Age]]&gt;=55,"55+"
)</f>
        <v>25-34</v>
      </c>
      <c r="C820" t="s">
        <v>43</v>
      </c>
      <c r="D820">
        <f>IF(HRData[[#This Row],[Attrition]]="Yes",1,0)</f>
        <v>0</v>
      </c>
      <c r="E820" t="s">
        <v>44</v>
      </c>
      <c r="F820">
        <v>793</v>
      </c>
      <c r="G820" t="s">
        <v>37</v>
      </c>
      <c r="H820">
        <v>20</v>
      </c>
      <c r="I820">
        <v>3</v>
      </c>
      <c r="J820" t="s">
        <v>38</v>
      </c>
      <c r="K820">
        <v>1</v>
      </c>
      <c r="L820">
        <v>1135</v>
      </c>
      <c r="M820">
        <v>3</v>
      </c>
      <c r="N820" t="str" cm="1">
        <f t="array" ref="N820">_xlfn.IFS(HRData[[#This Row],[EnvironmentSatisfaction]]=1,"Very Dissatisfied",
HRData[[#This Row],[EnvironmentSatisfaction]]=2,"Dissatisfied",
HRData[[#This Row],[EnvironmentSatisfaction]]=3,"Satisfied",
HRData[[#This Row],[EnvironmentSatisfaction]]=4,"Very Satisfied"
)</f>
        <v>Satisfied</v>
      </c>
      <c r="O820" t="s">
        <v>46</v>
      </c>
      <c r="P820">
        <v>67</v>
      </c>
      <c r="Q820">
        <v>4</v>
      </c>
      <c r="R820">
        <v>1</v>
      </c>
      <c r="S820" t="s">
        <v>57</v>
      </c>
      <c r="T820">
        <v>4</v>
      </c>
      <c r="U820" t="str" cm="1">
        <f t="array" ref="U820">_xlfn.IFS(
HRData[[#This Row],[JobSatisfaction]]=1,"Very Dissatisfied",
HRData[[#This Row],[JobSatisfaction]]=2,"Dissatisfied",
HRData[[#This Row],[JobSatisfaction]]=3,"Satisfied",
HRData[[#This Row],[JobSatisfaction]]=4,"Very Satisfied"
)</f>
        <v>Very Satisfied</v>
      </c>
      <c r="V820" t="s">
        <v>48</v>
      </c>
      <c r="W820">
        <v>2791</v>
      </c>
      <c r="X820" t="str" cm="1">
        <f t="array" ref="X820">_xlfn.IFS(
HRData[[#This Row],[MonthlyIncome]]&lt;=4000,"Very Low Income",
HRData[[#This Row],[MonthlyIncome]]&lt;=8000,"Low Income",
HRData[[#This Row],[MonthlyIncome]]&lt;=12000,"Moderate Income",
HRData[[#This Row],[MonthlyIncome]]&lt;=16000,"High Income",
HRData[[#This Row],[MonthlyIncome]]&gt;16000,"Very High Income"
)</f>
        <v>Very Low Income</v>
      </c>
      <c r="Y820">
        <v>21981</v>
      </c>
      <c r="Z820">
        <v>0</v>
      </c>
      <c r="AA820" t="s">
        <v>42</v>
      </c>
      <c r="AB820" t="s">
        <v>43</v>
      </c>
      <c r="AC820">
        <v>12</v>
      </c>
      <c r="AD820" t="str" cm="1">
        <f t="array" ref="AD820">_xlfn.IFS(HRData[[#This Row],[PercentSalaryHike]]&lt;=15,"11-15",HRData[[#This Row],[PercentSalaryHike]]&lt;=20,"16-20",HRData[[#This Row],[PercentSalaryHike]]&gt;=21,"21+")</f>
        <v>11-15</v>
      </c>
      <c r="AE820">
        <v>3</v>
      </c>
      <c r="AF820">
        <v>1</v>
      </c>
      <c r="AG820">
        <v>80</v>
      </c>
      <c r="AH820">
        <v>1</v>
      </c>
      <c r="AI820">
        <v>3</v>
      </c>
      <c r="AJ820">
        <v>4</v>
      </c>
      <c r="AK820">
        <v>3</v>
      </c>
      <c r="AL820">
        <v>2</v>
      </c>
      <c r="AM820">
        <v>2</v>
      </c>
      <c r="AN820">
        <v>2</v>
      </c>
      <c r="AO820">
        <v>2</v>
      </c>
      <c r="AP82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820" t="str">
        <f>IF(HRData[[#This Row],[Attrition]]="Yes","Left", IF(HRData[[#This Row],[Attrition_Risk_Score]]&gt;=6,"High",IF(HRData[[#This Row],[Attrition_Risk_Score]]&gt;=3,"Medium","Low")))</f>
        <v>Medium</v>
      </c>
      <c r="AR820" t="str">
        <f>IF(HRData[[#This Row],[Attrition_Risk_Level]]&lt;&gt;"High","",HRData[[#This Row],[Attrition_Risk_Score]]*10000-HRData[[#This Row],[EmployeeNumber]])</f>
        <v/>
      </c>
    </row>
    <row r="821" spans="1:44">
      <c r="A821">
        <v>28</v>
      </c>
      <c r="B821" t="str" cm="1">
        <f t="array" ref="B821">_xlfn.IFS(
HRData[[#This Row],[Age]]&lt;=24,"18-24",
HRData[[#This Row],[Age]]&lt;=34,"25-34",
HRData[[#This Row],[Age]]&lt;=44,"35-44",
HRData[[#This Row],[Age]]&lt;=54,"45-54",
HRData[[#This Row],[Age]]&gt;=55,"55+"
)</f>
        <v>25-34</v>
      </c>
      <c r="C821" t="s">
        <v>43</v>
      </c>
      <c r="D821">
        <f>IF(HRData[[#This Row],[Attrition]]="Yes",1,0)</f>
        <v>0</v>
      </c>
      <c r="E821" t="s">
        <v>36</v>
      </c>
      <c r="F821">
        <v>1451</v>
      </c>
      <c r="G821" t="s">
        <v>45</v>
      </c>
      <c r="H821">
        <v>2</v>
      </c>
      <c r="I821">
        <v>1</v>
      </c>
      <c r="J821" t="s">
        <v>38</v>
      </c>
      <c r="K821">
        <v>1</v>
      </c>
      <c r="L821">
        <v>1136</v>
      </c>
      <c r="M821">
        <v>1</v>
      </c>
      <c r="N821" t="str" cm="1">
        <f t="array" ref="N821">_xlfn.IFS(HRData[[#This Row],[EnvironmentSatisfaction]]=1,"Very Dissatisfied",
HRData[[#This Row],[EnvironmentSatisfaction]]=2,"Dissatisfied",
HRData[[#This Row],[EnvironmentSatisfaction]]=3,"Satisfied",
HRData[[#This Row],[EnvironmentSatisfaction]]=4,"Very Satisfied"
)</f>
        <v>Very Dissatisfied</v>
      </c>
      <c r="O821" t="s">
        <v>46</v>
      </c>
      <c r="P821">
        <v>67</v>
      </c>
      <c r="Q821">
        <v>2</v>
      </c>
      <c r="R821">
        <v>1</v>
      </c>
      <c r="S821" t="s">
        <v>47</v>
      </c>
      <c r="T821">
        <v>2</v>
      </c>
      <c r="U821" t="str" cm="1">
        <f t="array" ref="U821">_xlfn.IFS(
HRData[[#This Row],[JobSatisfaction]]=1,"Very Dissatisfied",
HRData[[#This Row],[JobSatisfaction]]=2,"Dissatisfied",
HRData[[#This Row],[JobSatisfaction]]=3,"Satisfied",
HRData[[#This Row],[JobSatisfaction]]=4,"Very Satisfied"
)</f>
        <v>Dissatisfied</v>
      </c>
      <c r="V821" t="s">
        <v>48</v>
      </c>
      <c r="W821">
        <v>3201</v>
      </c>
      <c r="X821" t="str" cm="1">
        <f t="array" ref="X821">_xlfn.IFS(
HRData[[#This Row],[MonthlyIncome]]&lt;=4000,"Very Low Income",
HRData[[#This Row],[MonthlyIncome]]&lt;=8000,"Low Income",
HRData[[#This Row],[MonthlyIncome]]&lt;=12000,"Moderate Income",
HRData[[#This Row],[MonthlyIncome]]&lt;=16000,"High Income",
HRData[[#This Row],[MonthlyIncome]]&gt;16000,"Very High Income"
)</f>
        <v>Very Low Income</v>
      </c>
      <c r="Y821">
        <v>19911</v>
      </c>
      <c r="Z821">
        <v>0</v>
      </c>
      <c r="AA821" t="s">
        <v>42</v>
      </c>
      <c r="AB821" t="s">
        <v>43</v>
      </c>
      <c r="AC821">
        <v>17</v>
      </c>
      <c r="AD821" t="str" cm="1">
        <f t="array" ref="AD821">_xlfn.IFS(HRData[[#This Row],[PercentSalaryHike]]&lt;=15,"11-15",HRData[[#This Row],[PercentSalaryHike]]&lt;=20,"16-20",HRData[[#This Row],[PercentSalaryHike]]&gt;=21,"21+")</f>
        <v>16-20</v>
      </c>
      <c r="AE821">
        <v>3</v>
      </c>
      <c r="AF821">
        <v>1</v>
      </c>
      <c r="AG821">
        <v>80</v>
      </c>
      <c r="AH821">
        <v>0</v>
      </c>
      <c r="AI821">
        <v>6</v>
      </c>
      <c r="AJ821">
        <v>2</v>
      </c>
      <c r="AK821">
        <v>1</v>
      </c>
      <c r="AL821">
        <v>5</v>
      </c>
      <c r="AM821">
        <v>3</v>
      </c>
      <c r="AN821">
        <v>0</v>
      </c>
      <c r="AO821">
        <v>4</v>
      </c>
      <c r="AP82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21" t="str">
        <f>IF(HRData[[#This Row],[Attrition]]="Yes","Left", IF(HRData[[#This Row],[Attrition_Risk_Score]]&gt;=6,"High",IF(HRData[[#This Row],[Attrition_Risk_Score]]&gt;=3,"Medium","Low")))</f>
        <v>Medium</v>
      </c>
      <c r="AR821" t="str">
        <f>IF(HRData[[#This Row],[Attrition_Risk_Level]]&lt;&gt;"High","",HRData[[#This Row],[Attrition_Risk_Score]]*10000-HRData[[#This Row],[EmployeeNumber]])</f>
        <v/>
      </c>
    </row>
    <row r="822" spans="1:44">
      <c r="A822">
        <v>35</v>
      </c>
      <c r="B822" t="str" cm="1">
        <f t="array" ref="B822">_xlfn.IFS(
HRData[[#This Row],[Age]]&lt;=24,"18-24",
HRData[[#This Row],[Age]]&lt;=34,"25-34",
HRData[[#This Row],[Age]]&lt;=44,"35-44",
HRData[[#This Row],[Age]]&lt;=54,"45-54",
HRData[[#This Row],[Age]]&gt;=55,"55+"
)</f>
        <v>35-44</v>
      </c>
      <c r="C822" t="s">
        <v>43</v>
      </c>
      <c r="D822">
        <f>IF(HRData[[#This Row],[Attrition]]="Yes",1,0)</f>
        <v>0</v>
      </c>
      <c r="E822" t="s">
        <v>44</v>
      </c>
      <c r="F822">
        <v>1182</v>
      </c>
      <c r="G822" t="s">
        <v>37</v>
      </c>
      <c r="H822">
        <v>11</v>
      </c>
      <c r="I822">
        <v>2</v>
      </c>
      <c r="J822" t="s">
        <v>59</v>
      </c>
      <c r="K822">
        <v>1</v>
      </c>
      <c r="L822">
        <v>1137</v>
      </c>
      <c r="M822">
        <v>4</v>
      </c>
      <c r="N822" t="str" cm="1">
        <f t="array" ref="N822">_xlfn.IFS(HRData[[#This Row],[EnvironmentSatisfaction]]=1,"Very Dissatisfied",
HRData[[#This Row],[EnvironmentSatisfaction]]=2,"Dissatisfied",
HRData[[#This Row],[EnvironmentSatisfaction]]=3,"Satisfied",
HRData[[#This Row],[EnvironmentSatisfaction]]=4,"Very Satisfied"
)</f>
        <v>Very Satisfied</v>
      </c>
      <c r="O822" t="s">
        <v>46</v>
      </c>
      <c r="P822">
        <v>54</v>
      </c>
      <c r="Q822">
        <v>3</v>
      </c>
      <c r="R822">
        <v>2</v>
      </c>
      <c r="S822" t="s">
        <v>40</v>
      </c>
      <c r="T822">
        <v>4</v>
      </c>
      <c r="U822" t="str" cm="1">
        <f t="array" ref="U822">_xlfn.IFS(
HRData[[#This Row],[JobSatisfaction]]=1,"Very Dissatisfied",
HRData[[#This Row],[JobSatisfaction]]=2,"Dissatisfied",
HRData[[#This Row],[JobSatisfaction]]=3,"Satisfied",
HRData[[#This Row],[JobSatisfaction]]=4,"Very Satisfied"
)</f>
        <v>Very Satisfied</v>
      </c>
      <c r="V822" t="s">
        <v>52</v>
      </c>
      <c r="W822">
        <v>4968</v>
      </c>
      <c r="X822" t="str" cm="1">
        <f t="array" ref="X822">_xlfn.IFS(
HRData[[#This Row],[MonthlyIncome]]&lt;=4000,"Very Low Income",
HRData[[#This Row],[MonthlyIncome]]&lt;=8000,"Low Income",
HRData[[#This Row],[MonthlyIncome]]&lt;=12000,"Moderate Income",
HRData[[#This Row],[MonthlyIncome]]&lt;=16000,"High Income",
HRData[[#This Row],[MonthlyIncome]]&gt;16000,"Very High Income"
)</f>
        <v>Low Income</v>
      </c>
      <c r="Y822">
        <v>18500</v>
      </c>
      <c r="Z822">
        <v>1</v>
      </c>
      <c r="AA822" t="s">
        <v>42</v>
      </c>
      <c r="AB822" t="s">
        <v>43</v>
      </c>
      <c r="AC822">
        <v>11</v>
      </c>
      <c r="AD822" t="str" cm="1">
        <f t="array" ref="AD822">_xlfn.IFS(HRData[[#This Row],[PercentSalaryHike]]&lt;=15,"11-15",HRData[[#This Row],[PercentSalaryHike]]&lt;=20,"16-20",HRData[[#This Row],[PercentSalaryHike]]&gt;=21,"21+")</f>
        <v>11-15</v>
      </c>
      <c r="AE822">
        <v>3</v>
      </c>
      <c r="AF822">
        <v>4</v>
      </c>
      <c r="AG822">
        <v>80</v>
      </c>
      <c r="AH822">
        <v>1</v>
      </c>
      <c r="AI822">
        <v>5</v>
      </c>
      <c r="AJ822">
        <v>3</v>
      </c>
      <c r="AK822">
        <v>3</v>
      </c>
      <c r="AL822">
        <v>5</v>
      </c>
      <c r="AM822">
        <v>2</v>
      </c>
      <c r="AN822">
        <v>0</v>
      </c>
      <c r="AO822">
        <v>2</v>
      </c>
      <c r="AP82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822" t="str">
        <f>IF(HRData[[#This Row],[Attrition]]="Yes","Left", IF(HRData[[#This Row],[Attrition_Risk_Score]]&gt;=6,"High",IF(HRData[[#This Row],[Attrition_Risk_Score]]&gt;=3,"Medium","Low")))</f>
        <v>Low</v>
      </c>
      <c r="AR822" t="str">
        <f>IF(HRData[[#This Row],[Attrition_Risk_Level]]&lt;&gt;"High","",HRData[[#This Row],[Attrition_Risk_Score]]*10000-HRData[[#This Row],[EmployeeNumber]])</f>
        <v/>
      </c>
    </row>
    <row r="823" spans="1:44">
      <c r="A823">
        <v>49</v>
      </c>
      <c r="B823" t="str" cm="1">
        <f t="array" ref="B823">_xlfn.IFS(
HRData[[#This Row],[Age]]&lt;=24,"18-24",
HRData[[#This Row],[Age]]&lt;=34,"25-34",
HRData[[#This Row],[Age]]&lt;=44,"35-44",
HRData[[#This Row],[Age]]&lt;=54,"45-54",
HRData[[#This Row],[Age]]&gt;=55,"55+"
)</f>
        <v>45-54</v>
      </c>
      <c r="C823" t="s">
        <v>43</v>
      </c>
      <c r="D823">
        <f>IF(HRData[[#This Row],[Attrition]]="Yes",1,0)</f>
        <v>0</v>
      </c>
      <c r="E823" t="s">
        <v>36</v>
      </c>
      <c r="F823">
        <v>174</v>
      </c>
      <c r="G823" t="s">
        <v>37</v>
      </c>
      <c r="H823">
        <v>8</v>
      </c>
      <c r="I823">
        <v>4</v>
      </c>
      <c r="J823" t="s">
        <v>60</v>
      </c>
      <c r="K823">
        <v>1</v>
      </c>
      <c r="L823">
        <v>1138</v>
      </c>
      <c r="M823">
        <v>4</v>
      </c>
      <c r="N823" t="str" cm="1">
        <f t="array" ref="N823">_xlfn.IFS(HRData[[#This Row],[EnvironmentSatisfaction]]=1,"Very Dissatisfied",
HRData[[#This Row],[EnvironmentSatisfaction]]=2,"Dissatisfied",
HRData[[#This Row],[EnvironmentSatisfaction]]=3,"Satisfied",
HRData[[#This Row],[EnvironmentSatisfaction]]=4,"Very Satisfied"
)</f>
        <v>Very Satisfied</v>
      </c>
      <c r="O823" t="s">
        <v>46</v>
      </c>
      <c r="P823">
        <v>56</v>
      </c>
      <c r="Q823">
        <v>2</v>
      </c>
      <c r="R823">
        <v>4</v>
      </c>
      <c r="S823" t="s">
        <v>40</v>
      </c>
      <c r="T823">
        <v>2</v>
      </c>
      <c r="U823" t="str" cm="1">
        <f t="array" ref="U823">_xlfn.IFS(
HRData[[#This Row],[JobSatisfaction]]=1,"Very Dissatisfied",
HRData[[#This Row],[JobSatisfaction]]=2,"Dissatisfied",
HRData[[#This Row],[JobSatisfaction]]=3,"Satisfied",
HRData[[#This Row],[JobSatisfaction]]=4,"Very Satisfied"
)</f>
        <v>Dissatisfied</v>
      </c>
      <c r="V823" t="s">
        <v>48</v>
      </c>
      <c r="W823">
        <v>13120</v>
      </c>
      <c r="X823" t="str" cm="1">
        <f t="array" ref="X823">_xlfn.IFS(
HRData[[#This Row],[MonthlyIncome]]&lt;=4000,"Very Low Income",
HRData[[#This Row],[MonthlyIncome]]&lt;=8000,"Low Income",
HRData[[#This Row],[MonthlyIncome]]&lt;=12000,"Moderate Income",
HRData[[#This Row],[MonthlyIncome]]&lt;=16000,"High Income",
HRData[[#This Row],[MonthlyIncome]]&gt;16000,"Very High Income"
)</f>
        <v>High Income</v>
      </c>
      <c r="Y823">
        <v>11879</v>
      </c>
      <c r="Z823">
        <v>6</v>
      </c>
      <c r="AA823" t="s">
        <v>42</v>
      </c>
      <c r="AB823" t="s">
        <v>43</v>
      </c>
      <c r="AC823">
        <v>17</v>
      </c>
      <c r="AD823" t="str" cm="1">
        <f t="array" ref="AD823">_xlfn.IFS(HRData[[#This Row],[PercentSalaryHike]]&lt;=15,"11-15",HRData[[#This Row],[PercentSalaryHike]]&lt;=20,"16-20",HRData[[#This Row],[PercentSalaryHike]]&gt;=21,"21+")</f>
        <v>16-20</v>
      </c>
      <c r="AE823">
        <v>3</v>
      </c>
      <c r="AF823">
        <v>2</v>
      </c>
      <c r="AG823">
        <v>80</v>
      </c>
      <c r="AH823">
        <v>1</v>
      </c>
      <c r="AI823">
        <v>22</v>
      </c>
      <c r="AJ823">
        <v>3</v>
      </c>
      <c r="AK823">
        <v>3</v>
      </c>
      <c r="AL823">
        <v>9</v>
      </c>
      <c r="AM823">
        <v>8</v>
      </c>
      <c r="AN823">
        <v>2</v>
      </c>
      <c r="AO823">
        <v>3</v>
      </c>
      <c r="AP82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823" t="str">
        <f>IF(HRData[[#This Row],[Attrition]]="Yes","Left", IF(HRData[[#This Row],[Attrition_Risk_Score]]&gt;=6,"High",IF(HRData[[#This Row],[Attrition_Risk_Score]]&gt;=3,"Medium","Low")))</f>
        <v>Low</v>
      </c>
      <c r="AR823" t="str">
        <f>IF(HRData[[#This Row],[Attrition_Risk_Level]]&lt;&gt;"High","",HRData[[#This Row],[Attrition_Risk_Score]]*10000-HRData[[#This Row],[EmployeeNumber]])</f>
        <v/>
      </c>
    </row>
    <row r="824" spans="1:44">
      <c r="A824">
        <v>34</v>
      </c>
      <c r="B824" t="str" cm="1">
        <f t="array" ref="B824">_xlfn.IFS(
HRData[[#This Row],[Age]]&lt;=24,"18-24",
HRData[[#This Row],[Age]]&lt;=34,"25-34",
HRData[[#This Row],[Age]]&lt;=44,"35-44",
HRData[[#This Row],[Age]]&lt;=54,"45-54",
HRData[[#This Row],[Age]]&gt;=55,"55+"
)</f>
        <v>25-34</v>
      </c>
      <c r="C824" t="s">
        <v>43</v>
      </c>
      <c r="D824">
        <f>IF(HRData[[#This Row],[Attrition]]="Yes",1,0)</f>
        <v>0</v>
      </c>
      <c r="E824" t="s">
        <v>44</v>
      </c>
      <c r="F824">
        <v>1003</v>
      </c>
      <c r="G824" t="s">
        <v>45</v>
      </c>
      <c r="H824">
        <v>2</v>
      </c>
      <c r="I824">
        <v>2</v>
      </c>
      <c r="J824" t="s">
        <v>38</v>
      </c>
      <c r="K824">
        <v>1</v>
      </c>
      <c r="L824">
        <v>1140</v>
      </c>
      <c r="M824">
        <v>4</v>
      </c>
      <c r="N824" t="str" cm="1">
        <f t="array" ref="N824">_xlfn.IFS(HRData[[#This Row],[EnvironmentSatisfaction]]=1,"Very Dissatisfied",
HRData[[#This Row],[EnvironmentSatisfaction]]=2,"Dissatisfied",
HRData[[#This Row],[EnvironmentSatisfaction]]=3,"Satisfied",
HRData[[#This Row],[EnvironmentSatisfaction]]=4,"Very Satisfied"
)</f>
        <v>Very Satisfied</v>
      </c>
      <c r="O824" t="s">
        <v>46</v>
      </c>
      <c r="P824">
        <v>95</v>
      </c>
      <c r="Q824">
        <v>3</v>
      </c>
      <c r="R824">
        <v>2</v>
      </c>
      <c r="S824" t="s">
        <v>53</v>
      </c>
      <c r="T824">
        <v>3</v>
      </c>
      <c r="U824" t="str" cm="1">
        <f t="array" ref="U824">_xlfn.IFS(
HRData[[#This Row],[JobSatisfaction]]=1,"Very Dissatisfied",
HRData[[#This Row],[JobSatisfaction]]=2,"Dissatisfied",
HRData[[#This Row],[JobSatisfaction]]=3,"Satisfied",
HRData[[#This Row],[JobSatisfaction]]=4,"Very Satisfied"
)</f>
        <v>Satisfied</v>
      </c>
      <c r="V824" t="s">
        <v>41</v>
      </c>
      <c r="W824">
        <v>4033</v>
      </c>
      <c r="X824" t="str" cm="1">
        <f t="array" ref="X824">_xlfn.IFS(
HRData[[#This Row],[MonthlyIncome]]&lt;=4000,"Very Low Income",
HRData[[#This Row],[MonthlyIncome]]&lt;=8000,"Low Income",
HRData[[#This Row],[MonthlyIncome]]&lt;=12000,"Moderate Income",
HRData[[#This Row],[MonthlyIncome]]&lt;=16000,"High Income",
HRData[[#This Row],[MonthlyIncome]]&gt;16000,"Very High Income"
)</f>
        <v>Low Income</v>
      </c>
      <c r="Y824">
        <v>15834</v>
      </c>
      <c r="Z824">
        <v>2</v>
      </c>
      <c r="AA824" t="s">
        <v>42</v>
      </c>
      <c r="AB824" t="s">
        <v>43</v>
      </c>
      <c r="AC824">
        <v>11</v>
      </c>
      <c r="AD824" t="str" cm="1">
        <f t="array" ref="AD824">_xlfn.IFS(HRData[[#This Row],[PercentSalaryHike]]&lt;=15,"11-15",HRData[[#This Row],[PercentSalaryHike]]&lt;=20,"16-20",HRData[[#This Row],[PercentSalaryHike]]&gt;=21,"21+")</f>
        <v>11-15</v>
      </c>
      <c r="AE824">
        <v>3</v>
      </c>
      <c r="AF824">
        <v>4</v>
      </c>
      <c r="AG824">
        <v>80</v>
      </c>
      <c r="AH824">
        <v>0</v>
      </c>
      <c r="AI824">
        <v>5</v>
      </c>
      <c r="AJ824">
        <v>3</v>
      </c>
      <c r="AK824">
        <v>2</v>
      </c>
      <c r="AL824">
        <v>3</v>
      </c>
      <c r="AM824">
        <v>2</v>
      </c>
      <c r="AN824">
        <v>0</v>
      </c>
      <c r="AO824">
        <v>2</v>
      </c>
      <c r="AP82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24" t="str">
        <f>IF(HRData[[#This Row],[Attrition]]="Yes","Left", IF(HRData[[#This Row],[Attrition_Risk_Score]]&gt;=6,"High",IF(HRData[[#This Row],[Attrition_Risk_Score]]&gt;=3,"Medium","Low")))</f>
        <v>Low</v>
      </c>
      <c r="AR824" t="str">
        <f>IF(HRData[[#This Row],[Attrition_Risk_Level]]&lt;&gt;"High","",HRData[[#This Row],[Attrition_Risk_Score]]*10000-HRData[[#This Row],[EmployeeNumber]])</f>
        <v/>
      </c>
    </row>
    <row r="825" spans="1:44">
      <c r="A825">
        <v>29</v>
      </c>
      <c r="B825" t="str" cm="1">
        <f t="array" ref="B825">_xlfn.IFS(
HRData[[#This Row],[Age]]&lt;=24,"18-24",
HRData[[#This Row],[Age]]&lt;=34,"25-34",
HRData[[#This Row],[Age]]&lt;=44,"35-44",
HRData[[#This Row],[Age]]&lt;=54,"45-54",
HRData[[#This Row],[Age]]&gt;=55,"55+"
)</f>
        <v>25-34</v>
      </c>
      <c r="C825" t="s">
        <v>43</v>
      </c>
      <c r="D825">
        <f>IF(HRData[[#This Row],[Attrition]]="Yes",1,0)</f>
        <v>0</v>
      </c>
      <c r="E825" t="s">
        <v>44</v>
      </c>
      <c r="F825">
        <v>490</v>
      </c>
      <c r="G825" t="s">
        <v>45</v>
      </c>
      <c r="H825">
        <v>10</v>
      </c>
      <c r="I825">
        <v>3</v>
      </c>
      <c r="J825" t="s">
        <v>38</v>
      </c>
      <c r="K825">
        <v>1</v>
      </c>
      <c r="L825">
        <v>1143</v>
      </c>
      <c r="M825">
        <v>4</v>
      </c>
      <c r="N825" t="str" cm="1">
        <f t="array" ref="N825">_xlfn.IFS(HRData[[#This Row],[EnvironmentSatisfaction]]=1,"Very Dissatisfied",
HRData[[#This Row],[EnvironmentSatisfaction]]=2,"Dissatisfied",
HRData[[#This Row],[EnvironmentSatisfaction]]=3,"Satisfied",
HRData[[#This Row],[EnvironmentSatisfaction]]=4,"Very Satisfied"
)</f>
        <v>Very Satisfied</v>
      </c>
      <c r="O825" t="s">
        <v>39</v>
      </c>
      <c r="P825">
        <v>61</v>
      </c>
      <c r="Q825">
        <v>3</v>
      </c>
      <c r="R825">
        <v>1</v>
      </c>
      <c r="S825" t="s">
        <v>47</v>
      </c>
      <c r="T825">
        <v>2</v>
      </c>
      <c r="U825" t="str" cm="1">
        <f t="array" ref="U825">_xlfn.IFS(
HRData[[#This Row],[JobSatisfaction]]=1,"Very Dissatisfied",
HRData[[#This Row],[JobSatisfaction]]=2,"Dissatisfied",
HRData[[#This Row],[JobSatisfaction]]=3,"Satisfied",
HRData[[#This Row],[JobSatisfaction]]=4,"Very Satisfied"
)</f>
        <v>Dissatisfied</v>
      </c>
      <c r="V825" t="s">
        <v>52</v>
      </c>
      <c r="W825">
        <v>3291</v>
      </c>
      <c r="X825" t="str" cm="1">
        <f t="array" ref="X825">_xlfn.IFS(
HRData[[#This Row],[MonthlyIncome]]&lt;=4000,"Very Low Income",
HRData[[#This Row],[MonthlyIncome]]&lt;=8000,"Low Income",
HRData[[#This Row],[MonthlyIncome]]&lt;=12000,"Moderate Income",
HRData[[#This Row],[MonthlyIncome]]&lt;=16000,"High Income",
HRData[[#This Row],[MonthlyIncome]]&gt;16000,"Very High Income"
)</f>
        <v>Very Low Income</v>
      </c>
      <c r="Y825">
        <v>17940</v>
      </c>
      <c r="Z825">
        <v>0</v>
      </c>
      <c r="AA825" t="s">
        <v>42</v>
      </c>
      <c r="AB825" t="s">
        <v>43</v>
      </c>
      <c r="AC825">
        <v>14</v>
      </c>
      <c r="AD825" t="str" cm="1">
        <f t="array" ref="AD825">_xlfn.IFS(HRData[[#This Row],[PercentSalaryHike]]&lt;=15,"11-15",HRData[[#This Row],[PercentSalaryHike]]&lt;=20,"16-20",HRData[[#This Row],[PercentSalaryHike]]&gt;=21,"21+")</f>
        <v>11-15</v>
      </c>
      <c r="AE825">
        <v>3</v>
      </c>
      <c r="AF825">
        <v>4</v>
      </c>
      <c r="AG825">
        <v>80</v>
      </c>
      <c r="AH825">
        <v>2</v>
      </c>
      <c r="AI825">
        <v>8</v>
      </c>
      <c r="AJ825">
        <v>2</v>
      </c>
      <c r="AK825">
        <v>2</v>
      </c>
      <c r="AL825">
        <v>7</v>
      </c>
      <c r="AM825">
        <v>5</v>
      </c>
      <c r="AN825">
        <v>1</v>
      </c>
      <c r="AO825">
        <v>1</v>
      </c>
      <c r="AP82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25" t="str">
        <f>IF(HRData[[#This Row],[Attrition]]="Yes","Left", IF(HRData[[#This Row],[Attrition_Risk_Score]]&gt;=6,"High",IF(HRData[[#This Row],[Attrition_Risk_Score]]&gt;=3,"Medium","Low")))</f>
        <v>Medium</v>
      </c>
      <c r="AR825" t="str">
        <f>IF(HRData[[#This Row],[Attrition_Risk_Level]]&lt;&gt;"High","",HRData[[#This Row],[Attrition_Risk_Score]]*10000-HRData[[#This Row],[EmployeeNumber]])</f>
        <v/>
      </c>
    </row>
    <row r="826" spans="1:44">
      <c r="A826">
        <v>42</v>
      </c>
      <c r="B826" t="str" cm="1">
        <f t="array" ref="B826">_xlfn.IFS(
HRData[[#This Row],[Age]]&lt;=24,"18-24",
HRData[[#This Row],[Age]]&lt;=34,"25-34",
HRData[[#This Row],[Age]]&lt;=44,"35-44",
HRData[[#This Row],[Age]]&lt;=54,"45-54",
HRData[[#This Row],[Age]]&gt;=55,"55+"
)</f>
        <v>35-44</v>
      </c>
      <c r="C826" t="s">
        <v>43</v>
      </c>
      <c r="D826">
        <f>IF(HRData[[#This Row],[Attrition]]="Yes",1,0)</f>
        <v>0</v>
      </c>
      <c r="E826" t="s">
        <v>36</v>
      </c>
      <c r="F826">
        <v>188</v>
      </c>
      <c r="G826" t="s">
        <v>45</v>
      </c>
      <c r="H826">
        <v>29</v>
      </c>
      <c r="I826">
        <v>3</v>
      </c>
      <c r="J826" t="s">
        <v>51</v>
      </c>
      <c r="K826">
        <v>1</v>
      </c>
      <c r="L826">
        <v>1148</v>
      </c>
      <c r="M826">
        <v>2</v>
      </c>
      <c r="N826" t="str" cm="1">
        <f t="array" ref="N826">_xlfn.IFS(HRData[[#This Row],[EnvironmentSatisfaction]]=1,"Very Dissatisfied",
HRData[[#This Row],[EnvironmentSatisfaction]]=2,"Dissatisfied",
HRData[[#This Row],[EnvironmentSatisfaction]]=3,"Satisfied",
HRData[[#This Row],[EnvironmentSatisfaction]]=4,"Very Satisfied"
)</f>
        <v>Dissatisfied</v>
      </c>
      <c r="O826" t="s">
        <v>46</v>
      </c>
      <c r="P826">
        <v>56</v>
      </c>
      <c r="Q826">
        <v>1</v>
      </c>
      <c r="R826">
        <v>2</v>
      </c>
      <c r="S826" t="s">
        <v>50</v>
      </c>
      <c r="T826">
        <v>4</v>
      </c>
      <c r="U826" t="str" cm="1">
        <f t="array" ref="U826">_xlfn.IFS(
HRData[[#This Row],[JobSatisfaction]]=1,"Very Dissatisfied",
HRData[[#This Row],[JobSatisfaction]]=2,"Dissatisfied",
HRData[[#This Row],[JobSatisfaction]]=3,"Satisfied",
HRData[[#This Row],[JobSatisfaction]]=4,"Very Satisfied"
)</f>
        <v>Very Satisfied</v>
      </c>
      <c r="V826" t="s">
        <v>41</v>
      </c>
      <c r="W826">
        <v>4272</v>
      </c>
      <c r="X826" t="str" cm="1">
        <f t="array" ref="X826">_xlfn.IFS(
HRData[[#This Row],[MonthlyIncome]]&lt;=4000,"Very Low Income",
HRData[[#This Row],[MonthlyIncome]]&lt;=8000,"Low Income",
HRData[[#This Row],[MonthlyIncome]]&lt;=12000,"Moderate Income",
HRData[[#This Row],[MonthlyIncome]]&lt;=16000,"High Income",
HRData[[#This Row],[MonthlyIncome]]&gt;16000,"Very High Income"
)</f>
        <v>Low Income</v>
      </c>
      <c r="Y826">
        <v>9558</v>
      </c>
      <c r="Z826">
        <v>4</v>
      </c>
      <c r="AA826" t="s">
        <v>42</v>
      </c>
      <c r="AB826" t="s">
        <v>43</v>
      </c>
      <c r="AC826">
        <v>19</v>
      </c>
      <c r="AD826" t="str" cm="1">
        <f t="array" ref="AD826">_xlfn.IFS(HRData[[#This Row],[PercentSalaryHike]]&lt;=15,"11-15",HRData[[#This Row],[PercentSalaryHike]]&lt;=20,"16-20",HRData[[#This Row],[PercentSalaryHike]]&gt;=21,"21+")</f>
        <v>16-20</v>
      </c>
      <c r="AE826">
        <v>3</v>
      </c>
      <c r="AF826">
        <v>1</v>
      </c>
      <c r="AG826">
        <v>80</v>
      </c>
      <c r="AH826">
        <v>0</v>
      </c>
      <c r="AI826">
        <v>16</v>
      </c>
      <c r="AJ826">
        <v>3</v>
      </c>
      <c r="AK826">
        <v>3</v>
      </c>
      <c r="AL826">
        <v>1</v>
      </c>
      <c r="AM826">
        <v>0</v>
      </c>
      <c r="AN826">
        <v>0</v>
      </c>
      <c r="AO826">
        <v>0</v>
      </c>
      <c r="AP82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26" t="str">
        <f>IF(HRData[[#This Row],[Attrition]]="Yes","Left", IF(HRData[[#This Row],[Attrition_Risk_Score]]&gt;=6,"High",IF(HRData[[#This Row],[Attrition_Risk_Score]]&gt;=3,"Medium","Low")))</f>
        <v>Low</v>
      </c>
      <c r="AR826" t="str">
        <f>IF(HRData[[#This Row],[Attrition_Risk_Level]]&lt;&gt;"High","",HRData[[#This Row],[Attrition_Risk_Score]]*10000-HRData[[#This Row],[EmployeeNumber]])</f>
        <v/>
      </c>
    </row>
    <row r="827" spans="1:44">
      <c r="A827">
        <v>29</v>
      </c>
      <c r="B827" t="str" cm="1">
        <f t="array" ref="B827">_xlfn.IFS(
HRData[[#This Row],[Age]]&lt;=24,"18-24",
HRData[[#This Row],[Age]]&lt;=34,"25-34",
HRData[[#This Row],[Age]]&lt;=44,"35-44",
HRData[[#This Row],[Age]]&lt;=54,"45-54",
HRData[[#This Row],[Age]]&gt;=55,"55+"
)</f>
        <v>25-34</v>
      </c>
      <c r="C827" t="s">
        <v>43</v>
      </c>
      <c r="D827">
        <f>IF(HRData[[#This Row],[Attrition]]="Yes",1,0)</f>
        <v>0</v>
      </c>
      <c r="E827" t="s">
        <v>36</v>
      </c>
      <c r="F827">
        <v>718</v>
      </c>
      <c r="G827" t="s">
        <v>45</v>
      </c>
      <c r="H827">
        <v>8</v>
      </c>
      <c r="I827">
        <v>1</v>
      </c>
      <c r="J827" t="s">
        <v>51</v>
      </c>
      <c r="K827">
        <v>1</v>
      </c>
      <c r="L827">
        <v>1150</v>
      </c>
      <c r="M827">
        <v>2</v>
      </c>
      <c r="N827" t="str" cm="1">
        <f t="array" ref="N827">_xlfn.IFS(HRData[[#This Row],[EnvironmentSatisfaction]]=1,"Very Dissatisfied",
HRData[[#This Row],[EnvironmentSatisfaction]]=2,"Dissatisfied",
HRData[[#This Row],[EnvironmentSatisfaction]]=3,"Satisfied",
HRData[[#This Row],[EnvironmentSatisfaction]]=4,"Very Satisfied"
)</f>
        <v>Dissatisfied</v>
      </c>
      <c r="O827" t="s">
        <v>46</v>
      </c>
      <c r="P827">
        <v>79</v>
      </c>
      <c r="Q827">
        <v>2</v>
      </c>
      <c r="R827">
        <v>2</v>
      </c>
      <c r="S827" t="s">
        <v>53</v>
      </c>
      <c r="T827">
        <v>4</v>
      </c>
      <c r="U827" t="str" cm="1">
        <f t="array" ref="U827">_xlfn.IFS(
HRData[[#This Row],[JobSatisfaction]]=1,"Very Dissatisfied",
HRData[[#This Row],[JobSatisfaction]]=2,"Dissatisfied",
HRData[[#This Row],[JobSatisfaction]]=3,"Satisfied",
HRData[[#This Row],[JobSatisfaction]]=4,"Very Satisfied"
)</f>
        <v>Very Satisfied</v>
      </c>
      <c r="V827" t="s">
        <v>48</v>
      </c>
      <c r="W827">
        <v>5056</v>
      </c>
      <c r="X827" t="str" cm="1">
        <f t="array" ref="X827">_xlfn.IFS(
HRData[[#This Row],[MonthlyIncome]]&lt;=4000,"Very Low Income",
HRData[[#This Row],[MonthlyIncome]]&lt;=8000,"Low Income",
HRData[[#This Row],[MonthlyIncome]]&lt;=12000,"Moderate Income",
HRData[[#This Row],[MonthlyIncome]]&lt;=16000,"High Income",
HRData[[#This Row],[MonthlyIncome]]&gt;16000,"Very High Income"
)</f>
        <v>Low Income</v>
      </c>
      <c r="Y827">
        <v>17689</v>
      </c>
      <c r="Z827">
        <v>1</v>
      </c>
      <c r="AA827" t="s">
        <v>42</v>
      </c>
      <c r="AB827" t="s">
        <v>35</v>
      </c>
      <c r="AC827">
        <v>15</v>
      </c>
      <c r="AD827" t="str" cm="1">
        <f t="array" ref="AD827">_xlfn.IFS(HRData[[#This Row],[PercentSalaryHike]]&lt;=15,"11-15",HRData[[#This Row],[PercentSalaryHike]]&lt;=20,"16-20",HRData[[#This Row],[PercentSalaryHike]]&gt;=21,"21+")</f>
        <v>11-15</v>
      </c>
      <c r="AE827">
        <v>3</v>
      </c>
      <c r="AF827">
        <v>3</v>
      </c>
      <c r="AG827">
        <v>80</v>
      </c>
      <c r="AH827">
        <v>1</v>
      </c>
      <c r="AI827">
        <v>10</v>
      </c>
      <c r="AJ827">
        <v>2</v>
      </c>
      <c r="AK827">
        <v>2</v>
      </c>
      <c r="AL827">
        <v>10</v>
      </c>
      <c r="AM827">
        <v>7</v>
      </c>
      <c r="AN827">
        <v>1</v>
      </c>
      <c r="AO827">
        <v>2</v>
      </c>
      <c r="AP82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827" t="str">
        <f>IF(HRData[[#This Row],[Attrition]]="Yes","Left", IF(HRData[[#This Row],[Attrition_Risk_Score]]&gt;=6,"High",IF(HRData[[#This Row],[Attrition_Risk_Score]]&gt;=3,"Medium","Low")))</f>
        <v>Medium</v>
      </c>
      <c r="AR827" t="str">
        <f>IF(HRData[[#This Row],[Attrition_Risk_Level]]&lt;&gt;"High","",HRData[[#This Row],[Attrition_Risk_Score]]*10000-HRData[[#This Row],[EmployeeNumber]])</f>
        <v/>
      </c>
    </row>
    <row r="828" spans="1:44">
      <c r="A828">
        <v>38</v>
      </c>
      <c r="B828" t="str" cm="1">
        <f t="array" ref="B828">_xlfn.IFS(
HRData[[#This Row],[Age]]&lt;=24,"18-24",
HRData[[#This Row],[Age]]&lt;=34,"25-34",
HRData[[#This Row],[Age]]&lt;=44,"35-44",
HRData[[#This Row],[Age]]&lt;=54,"45-54",
HRData[[#This Row],[Age]]&gt;=55,"55+"
)</f>
        <v>35-44</v>
      </c>
      <c r="C828" t="s">
        <v>43</v>
      </c>
      <c r="D828">
        <f>IF(HRData[[#This Row],[Attrition]]="Yes",1,0)</f>
        <v>0</v>
      </c>
      <c r="E828" t="s">
        <v>36</v>
      </c>
      <c r="F828">
        <v>433</v>
      </c>
      <c r="G828" t="s">
        <v>61</v>
      </c>
      <c r="H828">
        <v>1</v>
      </c>
      <c r="I828">
        <v>3</v>
      </c>
      <c r="J828" t="s">
        <v>61</v>
      </c>
      <c r="K828">
        <v>1</v>
      </c>
      <c r="L828">
        <v>1152</v>
      </c>
      <c r="M828">
        <v>3</v>
      </c>
      <c r="N828" t="str" cm="1">
        <f t="array" ref="N828">_xlfn.IFS(HRData[[#This Row],[EnvironmentSatisfaction]]=1,"Very Dissatisfied",
HRData[[#This Row],[EnvironmentSatisfaction]]=2,"Dissatisfied",
HRData[[#This Row],[EnvironmentSatisfaction]]=3,"Satisfied",
HRData[[#This Row],[EnvironmentSatisfaction]]=4,"Very Satisfied"
)</f>
        <v>Satisfied</v>
      </c>
      <c r="O828" t="s">
        <v>46</v>
      </c>
      <c r="P828">
        <v>37</v>
      </c>
      <c r="Q828">
        <v>4</v>
      </c>
      <c r="R828">
        <v>1</v>
      </c>
      <c r="S828" t="s">
        <v>61</v>
      </c>
      <c r="T828">
        <v>3</v>
      </c>
      <c r="U828" t="str" cm="1">
        <f t="array" ref="U828">_xlfn.IFS(
HRData[[#This Row],[JobSatisfaction]]=1,"Very Dissatisfied",
HRData[[#This Row],[JobSatisfaction]]=2,"Dissatisfied",
HRData[[#This Row],[JobSatisfaction]]=3,"Satisfied",
HRData[[#This Row],[JobSatisfaction]]=4,"Very Satisfied"
)</f>
        <v>Satisfied</v>
      </c>
      <c r="V828" t="s">
        <v>48</v>
      </c>
      <c r="W828">
        <v>2844</v>
      </c>
      <c r="X828" t="str" cm="1">
        <f t="array" ref="X828">_xlfn.IFS(
HRData[[#This Row],[MonthlyIncome]]&lt;=4000,"Very Low Income",
HRData[[#This Row],[MonthlyIncome]]&lt;=8000,"Low Income",
HRData[[#This Row],[MonthlyIncome]]&lt;=12000,"Moderate Income",
HRData[[#This Row],[MonthlyIncome]]&lt;=16000,"High Income",
HRData[[#This Row],[MonthlyIncome]]&gt;16000,"Very High Income"
)</f>
        <v>Very Low Income</v>
      </c>
      <c r="Y828">
        <v>6004</v>
      </c>
      <c r="Z828">
        <v>1</v>
      </c>
      <c r="AA828" t="s">
        <v>42</v>
      </c>
      <c r="AB828" t="s">
        <v>43</v>
      </c>
      <c r="AC828">
        <v>13</v>
      </c>
      <c r="AD828" t="str" cm="1">
        <f t="array" ref="AD828">_xlfn.IFS(HRData[[#This Row],[PercentSalaryHike]]&lt;=15,"11-15",HRData[[#This Row],[PercentSalaryHike]]&lt;=20,"16-20",HRData[[#This Row],[PercentSalaryHike]]&gt;=21,"21+")</f>
        <v>11-15</v>
      </c>
      <c r="AE828">
        <v>3</v>
      </c>
      <c r="AF828">
        <v>4</v>
      </c>
      <c r="AG828">
        <v>80</v>
      </c>
      <c r="AH828">
        <v>1</v>
      </c>
      <c r="AI828">
        <v>7</v>
      </c>
      <c r="AJ828">
        <v>2</v>
      </c>
      <c r="AK828">
        <v>4</v>
      </c>
      <c r="AL828">
        <v>7</v>
      </c>
      <c r="AM828">
        <v>6</v>
      </c>
      <c r="AN828">
        <v>5</v>
      </c>
      <c r="AO828">
        <v>0</v>
      </c>
      <c r="AP82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28" t="str">
        <f>IF(HRData[[#This Row],[Attrition]]="Yes","Left", IF(HRData[[#This Row],[Attrition_Risk_Score]]&gt;=6,"High",IF(HRData[[#This Row],[Attrition_Risk_Score]]&gt;=3,"Medium","Low")))</f>
        <v>Medium</v>
      </c>
      <c r="AR828" t="str">
        <f>IF(HRData[[#This Row],[Attrition_Risk_Level]]&lt;&gt;"High","",HRData[[#This Row],[Attrition_Risk_Score]]*10000-HRData[[#This Row],[EmployeeNumber]])</f>
        <v/>
      </c>
    </row>
    <row r="829" spans="1:44">
      <c r="A829">
        <v>28</v>
      </c>
      <c r="B829" t="str" cm="1">
        <f t="array" ref="B829">_xlfn.IFS(
HRData[[#This Row],[Age]]&lt;=24,"18-24",
HRData[[#This Row],[Age]]&lt;=34,"25-34",
HRData[[#This Row],[Age]]&lt;=44,"35-44",
HRData[[#This Row],[Age]]&lt;=54,"45-54",
HRData[[#This Row],[Age]]&gt;=55,"55+"
)</f>
        <v>25-34</v>
      </c>
      <c r="C829" t="s">
        <v>43</v>
      </c>
      <c r="D829">
        <f>IF(HRData[[#This Row],[Attrition]]="Yes",1,0)</f>
        <v>0</v>
      </c>
      <c r="E829" t="s">
        <v>44</v>
      </c>
      <c r="F829">
        <v>773</v>
      </c>
      <c r="G829" t="s">
        <v>45</v>
      </c>
      <c r="H829">
        <v>6</v>
      </c>
      <c r="I829">
        <v>3</v>
      </c>
      <c r="J829" t="s">
        <v>38</v>
      </c>
      <c r="K829">
        <v>1</v>
      </c>
      <c r="L829">
        <v>1154</v>
      </c>
      <c r="M829">
        <v>3</v>
      </c>
      <c r="N829" t="str" cm="1">
        <f t="array" ref="N829">_xlfn.IFS(HRData[[#This Row],[EnvironmentSatisfaction]]=1,"Very Dissatisfied",
HRData[[#This Row],[EnvironmentSatisfaction]]=2,"Dissatisfied",
HRData[[#This Row],[EnvironmentSatisfaction]]=3,"Satisfied",
HRData[[#This Row],[EnvironmentSatisfaction]]=4,"Very Satisfied"
)</f>
        <v>Satisfied</v>
      </c>
      <c r="O829" t="s">
        <v>46</v>
      </c>
      <c r="P829">
        <v>39</v>
      </c>
      <c r="Q829">
        <v>2</v>
      </c>
      <c r="R829">
        <v>1</v>
      </c>
      <c r="S829" t="s">
        <v>47</v>
      </c>
      <c r="T829">
        <v>3</v>
      </c>
      <c r="U829" t="str" cm="1">
        <f t="array" ref="U829">_xlfn.IFS(
HRData[[#This Row],[JobSatisfaction]]=1,"Very Dissatisfied",
HRData[[#This Row],[JobSatisfaction]]=2,"Dissatisfied",
HRData[[#This Row],[JobSatisfaction]]=3,"Satisfied",
HRData[[#This Row],[JobSatisfaction]]=4,"Very Satisfied"
)</f>
        <v>Satisfied</v>
      </c>
      <c r="V829" t="s">
        <v>52</v>
      </c>
      <c r="W829">
        <v>2703</v>
      </c>
      <c r="X829" t="str" cm="1">
        <f t="array" ref="X829">_xlfn.IFS(
HRData[[#This Row],[MonthlyIncome]]&lt;=4000,"Very Low Income",
HRData[[#This Row],[MonthlyIncome]]&lt;=8000,"Low Income",
HRData[[#This Row],[MonthlyIncome]]&lt;=12000,"Moderate Income",
HRData[[#This Row],[MonthlyIncome]]&lt;=16000,"High Income",
HRData[[#This Row],[MonthlyIncome]]&gt;16000,"Very High Income"
)</f>
        <v>Very Low Income</v>
      </c>
      <c r="Y829">
        <v>22088</v>
      </c>
      <c r="Z829">
        <v>1</v>
      </c>
      <c r="AA829" t="s">
        <v>42</v>
      </c>
      <c r="AB829" t="s">
        <v>35</v>
      </c>
      <c r="AC829">
        <v>14</v>
      </c>
      <c r="AD829" t="str" cm="1">
        <f t="array" ref="AD829">_xlfn.IFS(HRData[[#This Row],[PercentSalaryHike]]&lt;=15,"11-15",HRData[[#This Row],[PercentSalaryHike]]&lt;=20,"16-20",HRData[[#This Row],[PercentSalaryHike]]&gt;=21,"21+")</f>
        <v>11-15</v>
      </c>
      <c r="AE829">
        <v>3</v>
      </c>
      <c r="AF829">
        <v>4</v>
      </c>
      <c r="AG829">
        <v>80</v>
      </c>
      <c r="AH829">
        <v>1</v>
      </c>
      <c r="AI829">
        <v>3</v>
      </c>
      <c r="AJ829">
        <v>2</v>
      </c>
      <c r="AK829">
        <v>3</v>
      </c>
      <c r="AL829">
        <v>3</v>
      </c>
      <c r="AM829">
        <v>1</v>
      </c>
      <c r="AN829">
        <v>0</v>
      </c>
      <c r="AO829">
        <v>2</v>
      </c>
      <c r="AP82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829" t="str">
        <f>IF(HRData[[#This Row],[Attrition]]="Yes","Left", IF(HRData[[#This Row],[Attrition_Risk_Score]]&gt;=6,"High",IF(HRData[[#This Row],[Attrition_Risk_Score]]&gt;=3,"Medium","Low")))</f>
        <v>Medium</v>
      </c>
      <c r="AR829" t="str">
        <f>IF(HRData[[#This Row],[Attrition_Risk_Level]]&lt;&gt;"High","",HRData[[#This Row],[Attrition_Risk_Score]]*10000-HRData[[#This Row],[EmployeeNumber]])</f>
        <v/>
      </c>
    </row>
    <row r="830" spans="1:44">
      <c r="A830">
        <v>18</v>
      </c>
      <c r="B830" t="str" cm="1">
        <f t="array" ref="B830">_xlfn.IFS(
HRData[[#This Row],[Age]]&lt;=24,"18-24",
HRData[[#This Row],[Age]]&lt;=34,"25-34",
HRData[[#This Row],[Age]]&lt;=44,"35-44",
HRData[[#This Row],[Age]]&lt;=54,"45-54",
HRData[[#This Row],[Age]]&gt;=55,"55+"
)</f>
        <v>18-24</v>
      </c>
      <c r="C830" t="s">
        <v>35</v>
      </c>
      <c r="D830">
        <f>IF(HRData[[#This Row],[Attrition]]="Yes",1,0)</f>
        <v>1</v>
      </c>
      <c r="E830" t="s">
        <v>55</v>
      </c>
      <c r="F830">
        <v>247</v>
      </c>
      <c r="G830" t="s">
        <v>45</v>
      </c>
      <c r="H830">
        <v>8</v>
      </c>
      <c r="I830">
        <v>1</v>
      </c>
      <c r="J830" t="s">
        <v>51</v>
      </c>
      <c r="K830">
        <v>1</v>
      </c>
      <c r="L830">
        <v>1156</v>
      </c>
      <c r="M830">
        <v>3</v>
      </c>
      <c r="N830" t="str" cm="1">
        <f t="array" ref="N830">_xlfn.IFS(HRData[[#This Row],[EnvironmentSatisfaction]]=1,"Very Dissatisfied",
HRData[[#This Row],[EnvironmentSatisfaction]]=2,"Dissatisfied",
HRData[[#This Row],[EnvironmentSatisfaction]]=3,"Satisfied",
HRData[[#This Row],[EnvironmentSatisfaction]]=4,"Very Satisfied"
)</f>
        <v>Satisfied</v>
      </c>
      <c r="O830" t="s">
        <v>46</v>
      </c>
      <c r="P830">
        <v>80</v>
      </c>
      <c r="Q830">
        <v>3</v>
      </c>
      <c r="R830">
        <v>1</v>
      </c>
      <c r="S830" t="s">
        <v>50</v>
      </c>
      <c r="T830">
        <v>3</v>
      </c>
      <c r="U830" t="str" cm="1">
        <f t="array" ref="U830">_xlfn.IFS(
HRData[[#This Row],[JobSatisfaction]]=1,"Very Dissatisfied",
HRData[[#This Row],[JobSatisfaction]]=2,"Dissatisfied",
HRData[[#This Row],[JobSatisfaction]]=3,"Satisfied",
HRData[[#This Row],[JobSatisfaction]]=4,"Very Satisfied"
)</f>
        <v>Satisfied</v>
      </c>
      <c r="V830" t="s">
        <v>41</v>
      </c>
      <c r="W830">
        <v>1904</v>
      </c>
      <c r="X830" t="str" cm="1">
        <f t="array" ref="X830">_xlfn.IFS(
HRData[[#This Row],[MonthlyIncome]]&lt;=4000,"Very Low Income",
HRData[[#This Row],[MonthlyIncome]]&lt;=8000,"Low Income",
HRData[[#This Row],[MonthlyIncome]]&lt;=12000,"Moderate Income",
HRData[[#This Row],[MonthlyIncome]]&lt;=16000,"High Income",
HRData[[#This Row],[MonthlyIncome]]&gt;16000,"Very High Income"
)</f>
        <v>Very Low Income</v>
      </c>
      <c r="Y830">
        <v>13556</v>
      </c>
      <c r="Z830">
        <v>1</v>
      </c>
      <c r="AA830" t="s">
        <v>42</v>
      </c>
      <c r="AB830" t="s">
        <v>43</v>
      </c>
      <c r="AC830">
        <v>12</v>
      </c>
      <c r="AD830" t="str" cm="1">
        <f t="array" ref="AD830">_xlfn.IFS(HRData[[#This Row],[PercentSalaryHike]]&lt;=15,"11-15",HRData[[#This Row],[PercentSalaryHike]]&lt;=20,"16-20",HRData[[#This Row],[PercentSalaryHike]]&gt;=21,"21+")</f>
        <v>11-15</v>
      </c>
      <c r="AE830">
        <v>3</v>
      </c>
      <c r="AF830">
        <v>4</v>
      </c>
      <c r="AG830">
        <v>80</v>
      </c>
      <c r="AH830">
        <v>0</v>
      </c>
      <c r="AI830">
        <v>0</v>
      </c>
      <c r="AJ830">
        <v>0</v>
      </c>
      <c r="AK830">
        <v>3</v>
      </c>
      <c r="AL830">
        <v>0</v>
      </c>
      <c r="AM830">
        <v>0</v>
      </c>
      <c r="AN830">
        <v>0</v>
      </c>
      <c r="AO830">
        <v>0</v>
      </c>
      <c r="AP83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30" t="str">
        <f>IF(HRData[[#This Row],[Attrition]]="Yes","Left", IF(HRData[[#This Row],[Attrition_Risk_Score]]&gt;=6,"High",IF(HRData[[#This Row],[Attrition_Risk_Score]]&gt;=3,"Medium","Low")))</f>
        <v>Left</v>
      </c>
      <c r="AR830" t="str">
        <f>IF(HRData[[#This Row],[Attrition_Risk_Level]]&lt;&gt;"High","",HRData[[#This Row],[Attrition_Risk_Score]]*10000-HRData[[#This Row],[EmployeeNumber]])</f>
        <v/>
      </c>
    </row>
    <row r="831" spans="1:44">
      <c r="A831">
        <v>33</v>
      </c>
      <c r="B831" t="str" cm="1">
        <f t="array" ref="B831">_xlfn.IFS(
HRData[[#This Row],[Age]]&lt;=24,"18-24",
HRData[[#This Row],[Age]]&lt;=34,"25-34",
HRData[[#This Row],[Age]]&lt;=44,"35-44",
HRData[[#This Row],[Age]]&lt;=54,"45-54",
HRData[[#This Row],[Age]]&gt;=55,"55+"
)</f>
        <v>25-34</v>
      </c>
      <c r="C831" t="s">
        <v>35</v>
      </c>
      <c r="D831">
        <f>IF(HRData[[#This Row],[Attrition]]="Yes",1,0)</f>
        <v>1</v>
      </c>
      <c r="E831" t="s">
        <v>36</v>
      </c>
      <c r="F831">
        <v>603</v>
      </c>
      <c r="G831" t="s">
        <v>37</v>
      </c>
      <c r="H831">
        <v>9</v>
      </c>
      <c r="I831">
        <v>4</v>
      </c>
      <c r="J831" t="s">
        <v>59</v>
      </c>
      <c r="K831">
        <v>1</v>
      </c>
      <c r="L831">
        <v>1157</v>
      </c>
      <c r="M831">
        <v>1</v>
      </c>
      <c r="N831" t="str" cm="1">
        <f t="array" ref="N831">_xlfn.IFS(HRData[[#This Row],[EnvironmentSatisfaction]]=1,"Very Dissatisfied",
HRData[[#This Row],[EnvironmentSatisfaction]]=2,"Dissatisfied",
HRData[[#This Row],[EnvironmentSatisfaction]]=3,"Satisfied",
HRData[[#This Row],[EnvironmentSatisfaction]]=4,"Very Satisfied"
)</f>
        <v>Very Dissatisfied</v>
      </c>
      <c r="O831" t="s">
        <v>39</v>
      </c>
      <c r="P831">
        <v>77</v>
      </c>
      <c r="Q831">
        <v>3</v>
      </c>
      <c r="R831">
        <v>2</v>
      </c>
      <c r="S831" t="s">
        <v>40</v>
      </c>
      <c r="T831">
        <v>1</v>
      </c>
      <c r="U831" t="str" cm="1">
        <f t="array" ref="U831">_xlfn.IFS(
HRData[[#This Row],[JobSatisfaction]]=1,"Very Dissatisfied",
HRData[[#This Row],[JobSatisfaction]]=2,"Dissatisfied",
HRData[[#This Row],[JobSatisfaction]]=3,"Satisfied",
HRData[[#This Row],[JobSatisfaction]]=4,"Very Satisfied"
)</f>
        <v>Very Dissatisfied</v>
      </c>
      <c r="V831" t="s">
        <v>41</v>
      </c>
      <c r="W831">
        <v>8224</v>
      </c>
      <c r="X831" t="str" cm="1">
        <f t="array" ref="X831">_xlfn.IFS(
HRData[[#This Row],[MonthlyIncome]]&lt;=4000,"Very Low Income",
HRData[[#This Row],[MonthlyIncome]]&lt;=8000,"Low Income",
HRData[[#This Row],[MonthlyIncome]]&lt;=12000,"Moderate Income",
HRData[[#This Row],[MonthlyIncome]]&lt;=16000,"High Income",
HRData[[#This Row],[MonthlyIncome]]&gt;16000,"Very High Income"
)</f>
        <v>Moderate Income</v>
      </c>
      <c r="Y831">
        <v>18385</v>
      </c>
      <c r="Z831">
        <v>0</v>
      </c>
      <c r="AA831" t="s">
        <v>42</v>
      </c>
      <c r="AB831" t="s">
        <v>35</v>
      </c>
      <c r="AC831">
        <v>17</v>
      </c>
      <c r="AD831" t="str" cm="1">
        <f t="array" ref="AD831">_xlfn.IFS(HRData[[#This Row],[PercentSalaryHike]]&lt;=15,"11-15",HRData[[#This Row],[PercentSalaryHike]]&lt;=20,"16-20",HRData[[#This Row],[PercentSalaryHike]]&gt;=21,"21+")</f>
        <v>16-20</v>
      </c>
      <c r="AE831">
        <v>3</v>
      </c>
      <c r="AF831">
        <v>1</v>
      </c>
      <c r="AG831">
        <v>80</v>
      </c>
      <c r="AH831">
        <v>0</v>
      </c>
      <c r="AI831">
        <v>6</v>
      </c>
      <c r="AJ831">
        <v>3</v>
      </c>
      <c r="AK831">
        <v>3</v>
      </c>
      <c r="AL831">
        <v>5</v>
      </c>
      <c r="AM831">
        <v>2</v>
      </c>
      <c r="AN831">
        <v>0</v>
      </c>
      <c r="AO831">
        <v>3</v>
      </c>
      <c r="AP83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31" t="str">
        <f>IF(HRData[[#This Row],[Attrition]]="Yes","Left", IF(HRData[[#This Row],[Attrition_Risk_Score]]&gt;=6,"High",IF(HRData[[#This Row],[Attrition_Risk_Score]]&gt;=3,"Medium","Low")))</f>
        <v>Left</v>
      </c>
      <c r="AR831" t="str">
        <f>IF(HRData[[#This Row],[Attrition_Risk_Level]]&lt;&gt;"High","",HRData[[#This Row],[Attrition_Risk_Score]]*10000-HRData[[#This Row],[EmployeeNumber]])</f>
        <v/>
      </c>
    </row>
    <row r="832" spans="1:44">
      <c r="A832">
        <v>41</v>
      </c>
      <c r="B832" t="str" cm="1">
        <f t="array" ref="B832">_xlfn.IFS(
HRData[[#This Row],[Age]]&lt;=24,"18-24",
HRData[[#This Row],[Age]]&lt;=34,"25-34",
HRData[[#This Row],[Age]]&lt;=44,"35-44",
HRData[[#This Row],[Age]]&lt;=54,"45-54",
HRData[[#This Row],[Age]]&gt;=55,"55+"
)</f>
        <v>35-44</v>
      </c>
      <c r="C832" t="s">
        <v>43</v>
      </c>
      <c r="D832">
        <f>IF(HRData[[#This Row],[Attrition]]="Yes",1,0)</f>
        <v>0</v>
      </c>
      <c r="E832" t="s">
        <v>36</v>
      </c>
      <c r="F832">
        <v>167</v>
      </c>
      <c r="G832" t="s">
        <v>45</v>
      </c>
      <c r="H832">
        <v>12</v>
      </c>
      <c r="I832">
        <v>4</v>
      </c>
      <c r="J832" t="s">
        <v>38</v>
      </c>
      <c r="K832">
        <v>1</v>
      </c>
      <c r="L832">
        <v>1158</v>
      </c>
      <c r="M832">
        <v>2</v>
      </c>
      <c r="N832" t="str" cm="1">
        <f t="array" ref="N832">_xlfn.IFS(HRData[[#This Row],[EnvironmentSatisfaction]]=1,"Very Dissatisfied",
HRData[[#This Row],[EnvironmentSatisfaction]]=2,"Dissatisfied",
HRData[[#This Row],[EnvironmentSatisfaction]]=3,"Satisfied",
HRData[[#This Row],[EnvironmentSatisfaction]]=4,"Very Satisfied"
)</f>
        <v>Dissatisfied</v>
      </c>
      <c r="O832" t="s">
        <v>46</v>
      </c>
      <c r="P832">
        <v>46</v>
      </c>
      <c r="Q832">
        <v>3</v>
      </c>
      <c r="R832">
        <v>1</v>
      </c>
      <c r="S832" t="s">
        <v>50</v>
      </c>
      <c r="T832">
        <v>4</v>
      </c>
      <c r="U832" t="str" cm="1">
        <f t="array" ref="U832">_xlfn.IFS(
HRData[[#This Row],[JobSatisfaction]]=1,"Very Dissatisfied",
HRData[[#This Row],[JobSatisfaction]]=2,"Dissatisfied",
HRData[[#This Row],[JobSatisfaction]]=3,"Satisfied",
HRData[[#This Row],[JobSatisfaction]]=4,"Very Satisfied"
)</f>
        <v>Very Satisfied</v>
      </c>
      <c r="V832" t="s">
        <v>48</v>
      </c>
      <c r="W832">
        <v>4766</v>
      </c>
      <c r="X832" t="str" cm="1">
        <f t="array" ref="X832">_xlfn.IFS(
HRData[[#This Row],[MonthlyIncome]]&lt;=4000,"Very Low Income",
HRData[[#This Row],[MonthlyIncome]]&lt;=8000,"Low Income",
HRData[[#This Row],[MonthlyIncome]]&lt;=12000,"Moderate Income",
HRData[[#This Row],[MonthlyIncome]]&lt;=16000,"High Income",
HRData[[#This Row],[MonthlyIncome]]&gt;16000,"Very High Income"
)</f>
        <v>Low Income</v>
      </c>
      <c r="Y832">
        <v>9051</v>
      </c>
      <c r="Z832">
        <v>3</v>
      </c>
      <c r="AA832" t="s">
        <v>42</v>
      </c>
      <c r="AB832" t="s">
        <v>35</v>
      </c>
      <c r="AC832">
        <v>11</v>
      </c>
      <c r="AD832" t="str" cm="1">
        <f t="array" ref="AD832">_xlfn.IFS(HRData[[#This Row],[PercentSalaryHike]]&lt;=15,"11-15",HRData[[#This Row],[PercentSalaryHike]]&lt;=20,"16-20",HRData[[#This Row],[PercentSalaryHike]]&gt;=21,"21+")</f>
        <v>11-15</v>
      </c>
      <c r="AE832">
        <v>3</v>
      </c>
      <c r="AF832">
        <v>1</v>
      </c>
      <c r="AG832">
        <v>80</v>
      </c>
      <c r="AH832">
        <v>1</v>
      </c>
      <c r="AI832">
        <v>6</v>
      </c>
      <c r="AJ832">
        <v>4</v>
      </c>
      <c r="AK832">
        <v>3</v>
      </c>
      <c r="AL832">
        <v>1</v>
      </c>
      <c r="AM832">
        <v>0</v>
      </c>
      <c r="AN832">
        <v>0</v>
      </c>
      <c r="AO832">
        <v>0</v>
      </c>
      <c r="AP83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832" t="str">
        <f>IF(HRData[[#This Row],[Attrition]]="Yes","Left", IF(HRData[[#This Row],[Attrition_Risk_Score]]&gt;=6,"High",IF(HRData[[#This Row],[Attrition_Risk_Score]]&gt;=3,"Medium","Low")))</f>
        <v>Medium</v>
      </c>
      <c r="AR832" t="str">
        <f>IF(HRData[[#This Row],[Attrition_Risk_Level]]&lt;&gt;"High","",HRData[[#This Row],[Attrition_Risk_Score]]*10000-HRData[[#This Row],[EmployeeNumber]])</f>
        <v/>
      </c>
    </row>
    <row r="833" spans="1:44">
      <c r="A833">
        <v>31</v>
      </c>
      <c r="B833" t="str" cm="1">
        <f t="array" ref="B833">_xlfn.IFS(
HRData[[#This Row],[Age]]&lt;=24,"18-24",
HRData[[#This Row],[Age]]&lt;=34,"25-34",
HRData[[#This Row],[Age]]&lt;=44,"35-44",
HRData[[#This Row],[Age]]&lt;=54,"45-54",
HRData[[#This Row],[Age]]&gt;=55,"55+"
)</f>
        <v>25-34</v>
      </c>
      <c r="C833" t="s">
        <v>35</v>
      </c>
      <c r="D833">
        <f>IF(HRData[[#This Row],[Attrition]]="Yes",1,0)</f>
        <v>1</v>
      </c>
      <c r="E833" t="s">
        <v>44</v>
      </c>
      <c r="F833">
        <v>874</v>
      </c>
      <c r="G833" t="s">
        <v>45</v>
      </c>
      <c r="H833">
        <v>15</v>
      </c>
      <c r="I833">
        <v>3</v>
      </c>
      <c r="J833" t="s">
        <v>51</v>
      </c>
      <c r="K833">
        <v>1</v>
      </c>
      <c r="L833">
        <v>1160</v>
      </c>
      <c r="M833">
        <v>3</v>
      </c>
      <c r="N833" t="str" cm="1">
        <f t="array" ref="N833">_xlfn.IFS(HRData[[#This Row],[EnvironmentSatisfaction]]=1,"Very Dissatisfied",
HRData[[#This Row],[EnvironmentSatisfaction]]=2,"Dissatisfied",
HRData[[#This Row],[EnvironmentSatisfaction]]=3,"Satisfied",
HRData[[#This Row],[EnvironmentSatisfaction]]=4,"Very Satisfied"
)</f>
        <v>Satisfied</v>
      </c>
      <c r="O833" t="s">
        <v>46</v>
      </c>
      <c r="P833">
        <v>72</v>
      </c>
      <c r="Q833">
        <v>3</v>
      </c>
      <c r="R833">
        <v>1</v>
      </c>
      <c r="S833" t="s">
        <v>50</v>
      </c>
      <c r="T833">
        <v>3</v>
      </c>
      <c r="U833" t="str" cm="1">
        <f t="array" ref="U833">_xlfn.IFS(
HRData[[#This Row],[JobSatisfaction]]=1,"Very Dissatisfied",
HRData[[#This Row],[JobSatisfaction]]=2,"Dissatisfied",
HRData[[#This Row],[JobSatisfaction]]=3,"Satisfied",
HRData[[#This Row],[JobSatisfaction]]=4,"Very Satisfied"
)</f>
        <v>Satisfied</v>
      </c>
      <c r="V833" t="s">
        <v>48</v>
      </c>
      <c r="W833">
        <v>2610</v>
      </c>
      <c r="X833" t="str" cm="1">
        <f t="array" ref="X833">_xlfn.IFS(
HRData[[#This Row],[MonthlyIncome]]&lt;=4000,"Very Low Income",
HRData[[#This Row],[MonthlyIncome]]&lt;=8000,"Low Income",
HRData[[#This Row],[MonthlyIncome]]&lt;=12000,"Moderate Income",
HRData[[#This Row],[MonthlyIncome]]&lt;=16000,"High Income",
HRData[[#This Row],[MonthlyIncome]]&gt;16000,"Very High Income"
)</f>
        <v>Very Low Income</v>
      </c>
      <c r="Y833">
        <v>6233</v>
      </c>
      <c r="Z833">
        <v>1</v>
      </c>
      <c r="AA833" t="s">
        <v>42</v>
      </c>
      <c r="AB833" t="s">
        <v>43</v>
      </c>
      <c r="AC833">
        <v>12</v>
      </c>
      <c r="AD833" t="str" cm="1">
        <f t="array" ref="AD833">_xlfn.IFS(HRData[[#This Row],[PercentSalaryHike]]&lt;=15,"11-15",HRData[[#This Row],[PercentSalaryHike]]&lt;=20,"16-20",HRData[[#This Row],[PercentSalaryHike]]&gt;=21,"21+")</f>
        <v>11-15</v>
      </c>
      <c r="AE833">
        <v>3</v>
      </c>
      <c r="AF833">
        <v>3</v>
      </c>
      <c r="AG833">
        <v>80</v>
      </c>
      <c r="AH833">
        <v>1</v>
      </c>
      <c r="AI833">
        <v>2</v>
      </c>
      <c r="AJ833">
        <v>5</v>
      </c>
      <c r="AK833">
        <v>2</v>
      </c>
      <c r="AL833">
        <v>2</v>
      </c>
      <c r="AM833">
        <v>2</v>
      </c>
      <c r="AN833">
        <v>2</v>
      </c>
      <c r="AO833">
        <v>2</v>
      </c>
      <c r="AP83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33" t="str">
        <f>IF(HRData[[#This Row],[Attrition]]="Yes","Left", IF(HRData[[#This Row],[Attrition_Risk_Score]]&gt;=6,"High",IF(HRData[[#This Row],[Attrition_Risk_Score]]&gt;=3,"Medium","Low")))</f>
        <v>Left</v>
      </c>
      <c r="AR833" t="str">
        <f>IF(HRData[[#This Row],[Attrition_Risk_Level]]&lt;&gt;"High","",HRData[[#This Row],[Attrition_Risk_Score]]*10000-HRData[[#This Row],[EmployeeNumber]])</f>
        <v/>
      </c>
    </row>
    <row r="834" spans="1:44">
      <c r="A834">
        <v>37</v>
      </c>
      <c r="B834" t="str" cm="1">
        <f t="array" ref="B834">_xlfn.IFS(
HRData[[#This Row],[Age]]&lt;=24,"18-24",
HRData[[#This Row],[Age]]&lt;=34,"25-34",
HRData[[#This Row],[Age]]&lt;=44,"35-44",
HRData[[#This Row],[Age]]&lt;=54,"45-54",
HRData[[#This Row],[Age]]&gt;=55,"55+"
)</f>
        <v>35-44</v>
      </c>
      <c r="C834" t="s">
        <v>43</v>
      </c>
      <c r="D834">
        <f>IF(HRData[[#This Row],[Attrition]]="Yes",1,0)</f>
        <v>0</v>
      </c>
      <c r="E834" t="s">
        <v>36</v>
      </c>
      <c r="F834">
        <v>367</v>
      </c>
      <c r="G834" t="s">
        <v>45</v>
      </c>
      <c r="H834">
        <v>25</v>
      </c>
      <c r="I834">
        <v>2</v>
      </c>
      <c r="J834" t="s">
        <v>51</v>
      </c>
      <c r="K834">
        <v>1</v>
      </c>
      <c r="L834">
        <v>1161</v>
      </c>
      <c r="M834">
        <v>3</v>
      </c>
      <c r="N834" t="str" cm="1">
        <f t="array" ref="N834">_xlfn.IFS(HRData[[#This Row],[EnvironmentSatisfaction]]=1,"Very Dissatisfied",
HRData[[#This Row],[EnvironmentSatisfaction]]=2,"Dissatisfied",
HRData[[#This Row],[EnvironmentSatisfaction]]=3,"Satisfied",
HRData[[#This Row],[EnvironmentSatisfaction]]=4,"Very Satisfied"
)</f>
        <v>Satisfied</v>
      </c>
      <c r="O834" t="s">
        <v>39</v>
      </c>
      <c r="P834">
        <v>52</v>
      </c>
      <c r="Q834">
        <v>2</v>
      </c>
      <c r="R834">
        <v>2</v>
      </c>
      <c r="S834" t="s">
        <v>54</v>
      </c>
      <c r="T834">
        <v>4</v>
      </c>
      <c r="U834" t="str" cm="1">
        <f t="array" ref="U834">_xlfn.IFS(
HRData[[#This Row],[JobSatisfaction]]=1,"Very Dissatisfied",
HRData[[#This Row],[JobSatisfaction]]=2,"Dissatisfied",
HRData[[#This Row],[JobSatisfaction]]=3,"Satisfied",
HRData[[#This Row],[JobSatisfaction]]=4,"Very Satisfied"
)</f>
        <v>Very Satisfied</v>
      </c>
      <c r="V834" t="s">
        <v>52</v>
      </c>
      <c r="W834">
        <v>5731</v>
      </c>
      <c r="X834" t="str" cm="1">
        <f t="array" ref="X834">_xlfn.IFS(
HRData[[#This Row],[MonthlyIncome]]&lt;=4000,"Very Low Income",
HRData[[#This Row],[MonthlyIncome]]&lt;=8000,"Low Income",
HRData[[#This Row],[MonthlyIncome]]&lt;=12000,"Moderate Income",
HRData[[#This Row],[MonthlyIncome]]&lt;=16000,"High Income",
HRData[[#This Row],[MonthlyIncome]]&gt;16000,"Very High Income"
)</f>
        <v>Low Income</v>
      </c>
      <c r="Y834">
        <v>17171</v>
      </c>
      <c r="Z834">
        <v>7</v>
      </c>
      <c r="AA834" t="s">
        <v>42</v>
      </c>
      <c r="AB834" t="s">
        <v>43</v>
      </c>
      <c r="AC834">
        <v>13</v>
      </c>
      <c r="AD834" t="str" cm="1">
        <f t="array" ref="AD834">_xlfn.IFS(HRData[[#This Row],[PercentSalaryHike]]&lt;=15,"11-15",HRData[[#This Row],[PercentSalaryHike]]&lt;=20,"16-20",HRData[[#This Row],[PercentSalaryHike]]&gt;=21,"21+")</f>
        <v>11-15</v>
      </c>
      <c r="AE834">
        <v>3</v>
      </c>
      <c r="AF834">
        <v>3</v>
      </c>
      <c r="AG834">
        <v>80</v>
      </c>
      <c r="AH834">
        <v>2</v>
      </c>
      <c r="AI834">
        <v>9</v>
      </c>
      <c r="AJ834">
        <v>2</v>
      </c>
      <c r="AK834">
        <v>3</v>
      </c>
      <c r="AL834">
        <v>6</v>
      </c>
      <c r="AM834">
        <v>2</v>
      </c>
      <c r="AN834">
        <v>1</v>
      </c>
      <c r="AO834">
        <v>3</v>
      </c>
      <c r="AP83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834" t="str">
        <f>IF(HRData[[#This Row],[Attrition]]="Yes","Left", IF(HRData[[#This Row],[Attrition_Risk_Score]]&gt;=6,"High",IF(HRData[[#This Row],[Attrition_Risk_Score]]&gt;=3,"Medium","Low")))</f>
        <v>Low</v>
      </c>
      <c r="AR834" t="str">
        <f>IF(HRData[[#This Row],[Attrition_Risk_Level]]&lt;&gt;"High","",HRData[[#This Row],[Attrition_Risk_Score]]*10000-HRData[[#This Row],[EmployeeNumber]])</f>
        <v/>
      </c>
    </row>
    <row r="835" spans="1:44">
      <c r="A835">
        <v>27</v>
      </c>
      <c r="B835" t="str" cm="1">
        <f t="array" ref="B835">_xlfn.IFS(
HRData[[#This Row],[Age]]&lt;=24,"18-24",
HRData[[#This Row],[Age]]&lt;=34,"25-34",
HRData[[#This Row],[Age]]&lt;=44,"35-44",
HRData[[#This Row],[Age]]&lt;=54,"45-54",
HRData[[#This Row],[Age]]&gt;=55,"55+"
)</f>
        <v>25-34</v>
      </c>
      <c r="C835" t="s">
        <v>43</v>
      </c>
      <c r="D835">
        <f>IF(HRData[[#This Row],[Attrition]]="Yes",1,0)</f>
        <v>0</v>
      </c>
      <c r="E835" t="s">
        <v>36</v>
      </c>
      <c r="F835">
        <v>199</v>
      </c>
      <c r="G835" t="s">
        <v>45</v>
      </c>
      <c r="H835">
        <v>6</v>
      </c>
      <c r="I835">
        <v>3</v>
      </c>
      <c r="J835" t="s">
        <v>38</v>
      </c>
      <c r="K835">
        <v>1</v>
      </c>
      <c r="L835">
        <v>1162</v>
      </c>
      <c r="M835">
        <v>4</v>
      </c>
      <c r="N835" t="str" cm="1">
        <f t="array" ref="N835">_xlfn.IFS(HRData[[#This Row],[EnvironmentSatisfaction]]=1,"Very Dissatisfied",
HRData[[#This Row],[EnvironmentSatisfaction]]=2,"Dissatisfied",
HRData[[#This Row],[EnvironmentSatisfaction]]=3,"Satisfied",
HRData[[#This Row],[EnvironmentSatisfaction]]=4,"Very Satisfied"
)</f>
        <v>Very Satisfied</v>
      </c>
      <c r="O835" t="s">
        <v>46</v>
      </c>
      <c r="P835">
        <v>55</v>
      </c>
      <c r="Q835">
        <v>2</v>
      </c>
      <c r="R835">
        <v>1</v>
      </c>
      <c r="S835" t="s">
        <v>47</v>
      </c>
      <c r="T835">
        <v>3</v>
      </c>
      <c r="U835" t="str" cm="1">
        <f t="array" ref="U835">_xlfn.IFS(
HRData[[#This Row],[JobSatisfaction]]=1,"Very Dissatisfied",
HRData[[#This Row],[JobSatisfaction]]=2,"Dissatisfied",
HRData[[#This Row],[JobSatisfaction]]=3,"Satisfied",
HRData[[#This Row],[JobSatisfaction]]=4,"Very Satisfied"
)</f>
        <v>Satisfied</v>
      </c>
      <c r="V835" t="s">
        <v>48</v>
      </c>
      <c r="W835">
        <v>2539</v>
      </c>
      <c r="X835" t="str" cm="1">
        <f t="array" ref="X835">_xlfn.IFS(
HRData[[#This Row],[MonthlyIncome]]&lt;=4000,"Very Low Income",
HRData[[#This Row],[MonthlyIncome]]&lt;=8000,"Low Income",
HRData[[#This Row],[MonthlyIncome]]&lt;=12000,"Moderate Income",
HRData[[#This Row],[MonthlyIncome]]&lt;=16000,"High Income",
HRData[[#This Row],[MonthlyIncome]]&gt;16000,"Very High Income"
)</f>
        <v>Very Low Income</v>
      </c>
      <c r="Y835">
        <v>7950</v>
      </c>
      <c r="Z835">
        <v>1</v>
      </c>
      <c r="AA835" t="s">
        <v>42</v>
      </c>
      <c r="AB835" t="s">
        <v>43</v>
      </c>
      <c r="AC835">
        <v>13</v>
      </c>
      <c r="AD835" t="str" cm="1">
        <f t="array" ref="AD835">_xlfn.IFS(HRData[[#This Row],[PercentSalaryHike]]&lt;=15,"11-15",HRData[[#This Row],[PercentSalaryHike]]&lt;=20,"16-20",HRData[[#This Row],[PercentSalaryHike]]&gt;=21,"21+")</f>
        <v>11-15</v>
      </c>
      <c r="AE835">
        <v>3</v>
      </c>
      <c r="AF835">
        <v>3</v>
      </c>
      <c r="AG835">
        <v>80</v>
      </c>
      <c r="AH835">
        <v>1</v>
      </c>
      <c r="AI835">
        <v>4</v>
      </c>
      <c r="AJ835">
        <v>0</v>
      </c>
      <c r="AK835">
        <v>3</v>
      </c>
      <c r="AL835">
        <v>4</v>
      </c>
      <c r="AM835">
        <v>2</v>
      </c>
      <c r="AN835">
        <v>2</v>
      </c>
      <c r="AO835">
        <v>2</v>
      </c>
      <c r="AP83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35" t="str">
        <f>IF(HRData[[#This Row],[Attrition]]="Yes","Left", IF(HRData[[#This Row],[Attrition_Risk_Score]]&gt;=6,"High",IF(HRData[[#This Row],[Attrition_Risk_Score]]&gt;=3,"Medium","Low")))</f>
        <v>Medium</v>
      </c>
      <c r="AR835" t="str">
        <f>IF(HRData[[#This Row],[Attrition_Risk_Level]]&lt;&gt;"High","",HRData[[#This Row],[Attrition_Risk_Score]]*10000-HRData[[#This Row],[EmployeeNumber]])</f>
        <v/>
      </c>
    </row>
    <row r="836" spans="1:44">
      <c r="A836">
        <v>34</v>
      </c>
      <c r="B836" t="str" cm="1">
        <f t="array" ref="B836">_xlfn.IFS(
HRData[[#This Row],[Age]]&lt;=24,"18-24",
HRData[[#This Row],[Age]]&lt;=34,"25-34",
HRData[[#This Row],[Age]]&lt;=44,"35-44",
HRData[[#This Row],[Age]]&lt;=54,"45-54",
HRData[[#This Row],[Age]]&gt;=55,"55+"
)</f>
        <v>25-34</v>
      </c>
      <c r="C836" t="s">
        <v>43</v>
      </c>
      <c r="D836">
        <f>IF(HRData[[#This Row],[Attrition]]="Yes",1,0)</f>
        <v>0</v>
      </c>
      <c r="E836" t="s">
        <v>36</v>
      </c>
      <c r="F836">
        <v>1400</v>
      </c>
      <c r="G836" t="s">
        <v>37</v>
      </c>
      <c r="H836">
        <v>9</v>
      </c>
      <c r="I836">
        <v>1</v>
      </c>
      <c r="J836" t="s">
        <v>38</v>
      </c>
      <c r="K836">
        <v>1</v>
      </c>
      <c r="L836">
        <v>1163</v>
      </c>
      <c r="M836">
        <v>2</v>
      </c>
      <c r="N836" t="str" cm="1">
        <f t="array" ref="N836">_xlfn.IFS(HRData[[#This Row],[EnvironmentSatisfaction]]=1,"Very Dissatisfied",
HRData[[#This Row],[EnvironmentSatisfaction]]=2,"Dissatisfied",
HRData[[#This Row],[EnvironmentSatisfaction]]=3,"Satisfied",
HRData[[#This Row],[EnvironmentSatisfaction]]=4,"Very Satisfied"
)</f>
        <v>Dissatisfied</v>
      </c>
      <c r="O836" t="s">
        <v>39</v>
      </c>
      <c r="P836">
        <v>70</v>
      </c>
      <c r="Q836">
        <v>3</v>
      </c>
      <c r="R836">
        <v>2</v>
      </c>
      <c r="S836" t="s">
        <v>40</v>
      </c>
      <c r="T836">
        <v>3</v>
      </c>
      <c r="U836" t="str" cm="1">
        <f t="array" ref="U836">_xlfn.IFS(
HRData[[#This Row],[JobSatisfaction]]=1,"Very Dissatisfied",
HRData[[#This Row],[JobSatisfaction]]=2,"Dissatisfied",
HRData[[#This Row],[JobSatisfaction]]=3,"Satisfied",
HRData[[#This Row],[JobSatisfaction]]=4,"Very Satisfied"
)</f>
        <v>Satisfied</v>
      </c>
      <c r="V836" t="s">
        <v>48</v>
      </c>
      <c r="W836">
        <v>5714</v>
      </c>
      <c r="X836" t="str" cm="1">
        <f t="array" ref="X836">_xlfn.IFS(
HRData[[#This Row],[MonthlyIncome]]&lt;=4000,"Very Low Income",
HRData[[#This Row],[MonthlyIncome]]&lt;=8000,"Low Income",
HRData[[#This Row],[MonthlyIncome]]&lt;=12000,"Moderate Income",
HRData[[#This Row],[MonthlyIncome]]&lt;=16000,"High Income",
HRData[[#This Row],[MonthlyIncome]]&gt;16000,"Very High Income"
)</f>
        <v>Low Income</v>
      </c>
      <c r="Y836">
        <v>5829</v>
      </c>
      <c r="Z836">
        <v>1</v>
      </c>
      <c r="AA836" t="s">
        <v>42</v>
      </c>
      <c r="AB836" t="s">
        <v>43</v>
      </c>
      <c r="AC836">
        <v>20</v>
      </c>
      <c r="AD836" t="str" cm="1">
        <f t="array" ref="AD836">_xlfn.IFS(HRData[[#This Row],[PercentSalaryHike]]&lt;=15,"11-15",HRData[[#This Row],[PercentSalaryHike]]&lt;=20,"16-20",HRData[[#This Row],[PercentSalaryHike]]&gt;=21,"21+")</f>
        <v>16-20</v>
      </c>
      <c r="AE836">
        <v>4</v>
      </c>
      <c r="AF836">
        <v>1</v>
      </c>
      <c r="AG836">
        <v>80</v>
      </c>
      <c r="AH836">
        <v>0</v>
      </c>
      <c r="AI836">
        <v>6</v>
      </c>
      <c r="AJ836">
        <v>3</v>
      </c>
      <c r="AK836">
        <v>2</v>
      </c>
      <c r="AL836">
        <v>6</v>
      </c>
      <c r="AM836">
        <v>5</v>
      </c>
      <c r="AN836">
        <v>1</v>
      </c>
      <c r="AO836">
        <v>3</v>
      </c>
      <c r="AP83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36" t="str">
        <f>IF(HRData[[#This Row],[Attrition]]="Yes","Left", IF(HRData[[#This Row],[Attrition_Risk_Score]]&gt;=6,"High",IF(HRData[[#This Row],[Attrition_Risk_Score]]&gt;=3,"Medium","Low")))</f>
        <v>Low</v>
      </c>
      <c r="AR836" t="str">
        <f>IF(HRData[[#This Row],[Attrition_Risk_Level]]&lt;&gt;"High","",HRData[[#This Row],[Attrition_Risk_Score]]*10000-HRData[[#This Row],[EmployeeNumber]])</f>
        <v/>
      </c>
    </row>
    <row r="837" spans="1:44">
      <c r="A837">
        <v>35</v>
      </c>
      <c r="B837" t="str" cm="1">
        <f t="array" ref="B837">_xlfn.IFS(
HRData[[#This Row],[Age]]&lt;=24,"18-24",
HRData[[#This Row],[Age]]&lt;=34,"25-34",
HRData[[#This Row],[Age]]&lt;=44,"35-44",
HRData[[#This Row],[Age]]&lt;=54,"45-54",
HRData[[#This Row],[Age]]&gt;=55,"55+"
)</f>
        <v>35-44</v>
      </c>
      <c r="C837" t="s">
        <v>43</v>
      </c>
      <c r="D837">
        <f>IF(HRData[[#This Row],[Attrition]]="Yes",1,0)</f>
        <v>0</v>
      </c>
      <c r="E837" t="s">
        <v>36</v>
      </c>
      <c r="F837">
        <v>528</v>
      </c>
      <c r="G837" t="s">
        <v>61</v>
      </c>
      <c r="H837">
        <v>8</v>
      </c>
      <c r="I837">
        <v>4</v>
      </c>
      <c r="J837" t="s">
        <v>60</v>
      </c>
      <c r="K837">
        <v>1</v>
      </c>
      <c r="L837">
        <v>1164</v>
      </c>
      <c r="M837">
        <v>3</v>
      </c>
      <c r="N837" t="str" cm="1">
        <f t="array" ref="N837">_xlfn.IFS(HRData[[#This Row],[EnvironmentSatisfaction]]=1,"Very Dissatisfied",
HRData[[#This Row],[EnvironmentSatisfaction]]=2,"Dissatisfied",
HRData[[#This Row],[EnvironmentSatisfaction]]=3,"Satisfied",
HRData[[#This Row],[EnvironmentSatisfaction]]=4,"Very Satisfied"
)</f>
        <v>Satisfied</v>
      </c>
      <c r="O837" t="s">
        <v>46</v>
      </c>
      <c r="P837">
        <v>100</v>
      </c>
      <c r="Q837">
        <v>3</v>
      </c>
      <c r="R837">
        <v>1</v>
      </c>
      <c r="S837" t="s">
        <v>61</v>
      </c>
      <c r="T837">
        <v>3</v>
      </c>
      <c r="U837" t="str" cm="1">
        <f t="array" ref="U837">_xlfn.IFS(
HRData[[#This Row],[JobSatisfaction]]=1,"Very Dissatisfied",
HRData[[#This Row],[JobSatisfaction]]=2,"Dissatisfied",
HRData[[#This Row],[JobSatisfaction]]=3,"Satisfied",
HRData[[#This Row],[JobSatisfaction]]=4,"Very Satisfied"
)</f>
        <v>Satisfied</v>
      </c>
      <c r="V837" t="s">
        <v>41</v>
      </c>
      <c r="W837">
        <v>4323</v>
      </c>
      <c r="X837" t="str" cm="1">
        <f t="array" ref="X837">_xlfn.IFS(
HRData[[#This Row],[MonthlyIncome]]&lt;=4000,"Very Low Income",
HRData[[#This Row],[MonthlyIncome]]&lt;=8000,"Low Income",
HRData[[#This Row],[MonthlyIncome]]&lt;=12000,"Moderate Income",
HRData[[#This Row],[MonthlyIncome]]&lt;=16000,"High Income",
HRData[[#This Row],[MonthlyIncome]]&gt;16000,"Very High Income"
)</f>
        <v>Low Income</v>
      </c>
      <c r="Y837">
        <v>7108</v>
      </c>
      <c r="Z837">
        <v>1</v>
      </c>
      <c r="AA837" t="s">
        <v>42</v>
      </c>
      <c r="AB837" t="s">
        <v>43</v>
      </c>
      <c r="AC837">
        <v>17</v>
      </c>
      <c r="AD837" t="str" cm="1">
        <f t="array" ref="AD837">_xlfn.IFS(HRData[[#This Row],[PercentSalaryHike]]&lt;=15,"11-15",HRData[[#This Row],[PercentSalaryHike]]&lt;=20,"16-20",HRData[[#This Row],[PercentSalaryHike]]&gt;=21,"21+")</f>
        <v>16-20</v>
      </c>
      <c r="AE837">
        <v>3</v>
      </c>
      <c r="AF837">
        <v>2</v>
      </c>
      <c r="AG837">
        <v>80</v>
      </c>
      <c r="AH837">
        <v>0</v>
      </c>
      <c r="AI837">
        <v>6</v>
      </c>
      <c r="AJ837">
        <v>2</v>
      </c>
      <c r="AK837">
        <v>1</v>
      </c>
      <c r="AL837">
        <v>5</v>
      </c>
      <c r="AM837">
        <v>4</v>
      </c>
      <c r="AN837">
        <v>1</v>
      </c>
      <c r="AO837">
        <v>4</v>
      </c>
      <c r="AP83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37" t="str">
        <f>IF(HRData[[#This Row],[Attrition]]="Yes","Left", IF(HRData[[#This Row],[Attrition_Risk_Score]]&gt;=6,"High",IF(HRData[[#This Row],[Attrition_Risk_Score]]&gt;=3,"Medium","Low")))</f>
        <v>Low</v>
      </c>
      <c r="AR837" t="str">
        <f>IF(HRData[[#This Row],[Attrition_Risk_Level]]&lt;&gt;"High","",HRData[[#This Row],[Attrition_Risk_Score]]*10000-HRData[[#This Row],[EmployeeNumber]])</f>
        <v/>
      </c>
    </row>
    <row r="838" spans="1:44">
      <c r="A838">
        <v>29</v>
      </c>
      <c r="B838" t="str" cm="1">
        <f t="array" ref="B838">_xlfn.IFS(
HRData[[#This Row],[Age]]&lt;=24,"18-24",
HRData[[#This Row],[Age]]&lt;=34,"25-34",
HRData[[#This Row],[Age]]&lt;=44,"35-44",
HRData[[#This Row],[Age]]&lt;=54,"45-54",
HRData[[#This Row],[Age]]&gt;=55,"55+"
)</f>
        <v>25-34</v>
      </c>
      <c r="C838" t="s">
        <v>35</v>
      </c>
      <c r="D838">
        <f>IF(HRData[[#This Row],[Attrition]]="Yes",1,0)</f>
        <v>1</v>
      </c>
      <c r="E838" t="s">
        <v>36</v>
      </c>
      <c r="F838">
        <v>408</v>
      </c>
      <c r="G838" t="s">
        <v>37</v>
      </c>
      <c r="H838">
        <v>23</v>
      </c>
      <c r="I838">
        <v>1</v>
      </c>
      <c r="J838" t="s">
        <v>38</v>
      </c>
      <c r="K838">
        <v>1</v>
      </c>
      <c r="L838">
        <v>1165</v>
      </c>
      <c r="M838">
        <v>4</v>
      </c>
      <c r="N838" t="str" cm="1">
        <f t="array" ref="N838">_xlfn.IFS(HRData[[#This Row],[EnvironmentSatisfaction]]=1,"Very Dissatisfied",
HRData[[#This Row],[EnvironmentSatisfaction]]=2,"Dissatisfied",
HRData[[#This Row],[EnvironmentSatisfaction]]=3,"Satisfied",
HRData[[#This Row],[EnvironmentSatisfaction]]=4,"Very Satisfied"
)</f>
        <v>Very Satisfied</v>
      </c>
      <c r="O838" t="s">
        <v>39</v>
      </c>
      <c r="P838">
        <v>45</v>
      </c>
      <c r="Q838">
        <v>2</v>
      </c>
      <c r="R838">
        <v>3</v>
      </c>
      <c r="S838" t="s">
        <v>40</v>
      </c>
      <c r="T838">
        <v>1</v>
      </c>
      <c r="U838" t="str" cm="1">
        <f t="array" ref="U838">_xlfn.IFS(
HRData[[#This Row],[JobSatisfaction]]=1,"Very Dissatisfied",
HRData[[#This Row],[JobSatisfaction]]=2,"Dissatisfied",
HRData[[#This Row],[JobSatisfaction]]=3,"Satisfied",
HRData[[#This Row],[JobSatisfaction]]=4,"Very Satisfied"
)</f>
        <v>Very Dissatisfied</v>
      </c>
      <c r="V838" t="s">
        <v>48</v>
      </c>
      <c r="W838">
        <v>7336</v>
      </c>
      <c r="X838" t="str" cm="1">
        <f t="array" ref="X838">_xlfn.IFS(
HRData[[#This Row],[MonthlyIncome]]&lt;=4000,"Very Low Income",
HRData[[#This Row],[MonthlyIncome]]&lt;=8000,"Low Income",
HRData[[#This Row],[MonthlyIncome]]&lt;=12000,"Moderate Income",
HRData[[#This Row],[MonthlyIncome]]&lt;=16000,"High Income",
HRData[[#This Row],[MonthlyIncome]]&gt;16000,"Very High Income"
)</f>
        <v>Low Income</v>
      </c>
      <c r="Y838">
        <v>11162</v>
      </c>
      <c r="Z838">
        <v>1</v>
      </c>
      <c r="AA838" t="s">
        <v>42</v>
      </c>
      <c r="AB838" t="s">
        <v>43</v>
      </c>
      <c r="AC838">
        <v>13</v>
      </c>
      <c r="AD838" t="str" cm="1">
        <f t="array" ref="AD838">_xlfn.IFS(HRData[[#This Row],[PercentSalaryHike]]&lt;=15,"11-15",HRData[[#This Row],[PercentSalaryHike]]&lt;=20,"16-20",HRData[[#This Row],[PercentSalaryHike]]&gt;=21,"21+")</f>
        <v>11-15</v>
      </c>
      <c r="AE838">
        <v>3</v>
      </c>
      <c r="AF838">
        <v>1</v>
      </c>
      <c r="AG838">
        <v>80</v>
      </c>
      <c r="AH838">
        <v>1</v>
      </c>
      <c r="AI838">
        <v>11</v>
      </c>
      <c r="AJ838">
        <v>3</v>
      </c>
      <c r="AK838">
        <v>1</v>
      </c>
      <c r="AL838">
        <v>11</v>
      </c>
      <c r="AM838">
        <v>8</v>
      </c>
      <c r="AN838">
        <v>3</v>
      </c>
      <c r="AO838">
        <v>10</v>
      </c>
      <c r="AP83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38" t="str">
        <f>IF(HRData[[#This Row],[Attrition]]="Yes","Left", IF(HRData[[#This Row],[Attrition_Risk_Score]]&gt;=6,"High",IF(HRData[[#This Row],[Attrition_Risk_Score]]&gt;=3,"Medium","Low")))</f>
        <v>Left</v>
      </c>
      <c r="AR838" t="str">
        <f>IF(HRData[[#This Row],[Attrition_Risk_Level]]&lt;&gt;"High","",HRData[[#This Row],[Attrition_Risk_Score]]*10000-HRData[[#This Row],[EmployeeNumber]])</f>
        <v/>
      </c>
    </row>
    <row r="839" spans="1:44">
      <c r="A839">
        <v>40</v>
      </c>
      <c r="B839" t="str" cm="1">
        <f t="array" ref="B839">_xlfn.IFS(
HRData[[#This Row],[Age]]&lt;=24,"18-24",
HRData[[#This Row],[Age]]&lt;=34,"25-34",
HRData[[#This Row],[Age]]&lt;=44,"35-44",
HRData[[#This Row],[Age]]&lt;=54,"45-54",
HRData[[#This Row],[Age]]&gt;=55,"55+"
)</f>
        <v>35-44</v>
      </c>
      <c r="C839" t="s">
        <v>43</v>
      </c>
      <c r="D839">
        <f>IF(HRData[[#This Row],[Attrition]]="Yes",1,0)</f>
        <v>0</v>
      </c>
      <c r="E839" t="s">
        <v>44</v>
      </c>
      <c r="F839">
        <v>593</v>
      </c>
      <c r="G839" t="s">
        <v>45</v>
      </c>
      <c r="H839">
        <v>9</v>
      </c>
      <c r="I839">
        <v>4</v>
      </c>
      <c r="J839" t="s">
        <v>51</v>
      </c>
      <c r="K839">
        <v>1</v>
      </c>
      <c r="L839">
        <v>1166</v>
      </c>
      <c r="M839">
        <v>2</v>
      </c>
      <c r="N839" t="str" cm="1">
        <f t="array" ref="N839">_xlfn.IFS(HRData[[#This Row],[EnvironmentSatisfaction]]=1,"Very Dissatisfied",
HRData[[#This Row],[EnvironmentSatisfaction]]=2,"Dissatisfied",
HRData[[#This Row],[EnvironmentSatisfaction]]=3,"Satisfied",
HRData[[#This Row],[EnvironmentSatisfaction]]=4,"Very Satisfied"
)</f>
        <v>Dissatisfied</v>
      </c>
      <c r="O839" t="s">
        <v>39</v>
      </c>
      <c r="P839">
        <v>88</v>
      </c>
      <c r="Q839">
        <v>3</v>
      </c>
      <c r="R839">
        <v>3</v>
      </c>
      <c r="S839" t="s">
        <v>58</v>
      </c>
      <c r="T839">
        <v>3</v>
      </c>
      <c r="U839" t="str" cm="1">
        <f t="array" ref="U839">_xlfn.IFS(
HRData[[#This Row],[JobSatisfaction]]=1,"Very Dissatisfied",
HRData[[#This Row],[JobSatisfaction]]=2,"Dissatisfied",
HRData[[#This Row],[JobSatisfaction]]=3,"Satisfied",
HRData[[#This Row],[JobSatisfaction]]=4,"Very Satisfied"
)</f>
        <v>Satisfied</v>
      </c>
      <c r="V839" t="s">
        <v>41</v>
      </c>
      <c r="W839">
        <v>13499</v>
      </c>
      <c r="X839" t="str" cm="1">
        <f t="array" ref="X839">_xlfn.IFS(
HRData[[#This Row],[MonthlyIncome]]&lt;=4000,"Very Low Income",
HRData[[#This Row],[MonthlyIncome]]&lt;=8000,"Low Income",
HRData[[#This Row],[MonthlyIncome]]&lt;=12000,"Moderate Income",
HRData[[#This Row],[MonthlyIncome]]&lt;=16000,"High Income",
HRData[[#This Row],[MonthlyIncome]]&gt;16000,"Very High Income"
)</f>
        <v>High Income</v>
      </c>
      <c r="Y839">
        <v>13782</v>
      </c>
      <c r="Z839">
        <v>9</v>
      </c>
      <c r="AA839" t="s">
        <v>42</v>
      </c>
      <c r="AB839" t="s">
        <v>43</v>
      </c>
      <c r="AC839">
        <v>17</v>
      </c>
      <c r="AD839" t="str" cm="1">
        <f t="array" ref="AD839">_xlfn.IFS(HRData[[#This Row],[PercentSalaryHike]]&lt;=15,"11-15",HRData[[#This Row],[PercentSalaryHike]]&lt;=20,"16-20",HRData[[#This Row],[PercentSalaryHike]]&gt;=21,"21+")</f>
        <v>16-20</v>
      </c>
      <c r="AE839">
        <v>3</v>
      </c>
      <c r="AF839">
        <v>3</v>
      </c>
      <c r="AG839">
        <v>80</v>
      </c>
      <c r="AH839">
        <v>0</v>
      </c>
      <c r="AI839">
        <v>20</v>
      </c>
      <c r="AJ839">
        <v>3</v>
      </c>
      <c r="AK839">
        <v>2</v>
      </c>
      <c r="AL839">
        <v>18</v>
      </c>
      <c r="AM839">
        <v>7</v>
      </c>
      <c r="AN839">
        <v>2</v>
      </c>
      <c r="AO839">
        <v>13</v>
      </c>
      <c r="AP83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839" t="str">
        <f>IF(HRData[[#This Row],[Attrition]]="Yes","Left", IF(HRData[[#This Row],[Attrition_Risk_Score]]&gt;=6,"High",IF(HRData[[#This Row],[Attrition_Risk_Score]]&gt;=3,"Medium","Low")))</f>
        <v>Low</v>
      </c>
      <c r="AR839" t="str">
        <f>IF(HRData[[#This Row],[Attrition_Risk_Level]]&lt;&gt;"High","",HRData[[#This Row],[Attrition_Risk_Score]]*10000-HRData[[#This Row],[EmployeeNumber]])</f>
        <v/>
      </c>
    </row>
    <row r="840" spans="1:44">
      <c r="A840">
        <v>42</v>
      </c>
      <c r="B840" t="str" cm="1">
        <f t="array" ref="B840">_xlfn.IFS(
HRData[[#This Row],[Age]]&lt;=24,"18-24",
HRData[[#This Row],[Age]]&lt;=34,"25-34",
HRData[[#This Row],[Age]]&lt;=44,"35-44",
HRData[[#This Row],[Age]]&lt;=54,"45-54",
HRData[[#This Row],[Age]]&gt;=55,"55+"
)</f>
        <v>35-44</v>
      </c>
      <c r="C840" t="s">
        <v>35</v>
      </c>
      <c r="D840">
        <f>IF(HRData[[#This Row],[Attrition]]="Yes",1,0)</f>
        <v>1</v>
      </c>
      <c r="E840" t="s">
        <v>44</v>
      </c>
      <c r="F840">
        <v>481</v>
      </c>
      <c r="G840" t="s">
        <v>37</v>
      </c>
      <c r="H840">
        <v>12</v>
      </c>
      <c r="I840">
        <v>3</v>
      </c>
      <c r="J840" t="s">
        <v>38</v>
      </c>
      <c r="K840">
        <v>1</v>
      </c>
      <c r="L840">
        <v>1167</v>
      </c>
      <c r="M840">
        <v>3</v>
      </c>
      <c r="N840" t="str" cm="1">
        <f t="array" ref="N840">_xlfn.IFS(HRData[[#This Row],[EnvironmentSatisfaction]]=1,"Very Dissatisfied",
HRData[[#This Row],[EnvironmentSatisfaction]]=2,"Dissatisfied",
HRData[[#This Row],[EnvironmentSatisfaction]]=3,"Satisfied",
HRData[[#This Row],[EnvironmentSatisfaction]]=4,"Very Satisfied"
)</f>
        <v>Satisfied</v>
      </c>
      <c r="O840" t="s">
        <v>46</v>
      </c>
      <c r="P840">
        <v>44</v>
      </c>
      <c r="Q840">
        <v>3</v>
      </c>
      <c r="R840">
        <v>4</v>
      </c>
      <c r="S840" t="s">
        <v>40</v>
      </c>
      <c r="T840">
        <v>1</v>
      </c>
      <c r="U840" t="str" cm="1">
        <f t="array" ref="U840">_xlfn.IFS(
HRData[[#This Row],[JobSatisfaction]]=1,"Very Dissatisfied",
HRData[[#This Row],[JobSatisfaction]]=2,"Dissatisfied",
HRData[[#This Row],[JobSatisfaction]]=3,"Satisfied",
HRData[[#This Row],[JobSatisfaction]]=4,"Very Satisfied"
)</f>
        <v>Very Dissatisfied</v>
      </c>
      <c r="V840" t="s">
        <v>41</v>
      </c>
      <c r="W840">
        <v>13758</v>
      </c>
      <c r="X840" t="str" cm="1">
        <f t="array" ref="X840">_xlfn.IFS(
HRData[[#This Row],[MonthlyIncome]]&lt;=4000,"Very Low Income",
HRData[[#This Row],[MonthlyIncome]]&lt;=8000,"Low Income",
HRData[[#This Row],[MonthlyIncome]]&lt;=12000,"Moderate Income",
HRData[[#This Row],[MonthlyIncome]]&lt;=16000,"High Income",
HRData[[#This Row],[MonthlyIncome]]&gt;16000,"Very High Income"
)</f>
        <v>High Income</v>
      </c>
      <c r="Y840">
        <v>2447</v>
      </c>
      <c r="Z840">
        <v>0</v>
      </c>
      <c r="AA840" t="s">
        <v>42</v>
      </c>
      <c r="AB840" t="s">
        <v>35</v>
      </c>
      <c r="AC840">
        <v>12</v>
      </c>
      <c r="AD840" t="str" cm="1">
        <f t="array" ref="AD840">_xlfn.IFS(HRData[[#This Row],[PercentSalaryHike]]&lt;=15,"11-15",HRData[[#This Row],[PercentSalaryHike]]&lt;=20,"16-20",HRData[[#This Row],[PercentSalaryHike]]&gt;=21,"21+")</f>
        <v>11-15</v>
      </c>
      <c r="AE840">
        <v>3</v>
      </c>
      <c r="AF840">
        <v>2</v>
      </c>
      <c r="AG840">
        <v>80</v>
      </c>
      <c r="AH840">
        <v>0</v>
      </c>
      <c r="AI840">
        <v>22</v>
      </c>
      <c r="AJ840">
        <v>2</v>
      </c>
      <c r="AK840">
        <v>2</v>
      </c>
      <c r="AL840">
        <v>21</v>
      </c>
      <c r="AM840">
        <v>9</v>
      </c>
      <c r="AN840">
        <v>13</v>
      </c>
      <c r="AO840">
        <v>14</v>
      </c>
      <c r="AP84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40" t="str">
        <f>IF(HRData[[#This Row],[Attrition]]="Yes","Left", IF(HRData[[#This Row],[Attrition_Risk_Score]]&gt;=6,"High",IF(HRData[[#This Row],[Attrition_Risk_Score]]&gt;=3,"Medium","Low")))</f>
        <v>Left</v>
      </c>
      <c r="AR840" t="str">
        <f>IF(HRData[[#This Row],[Attrition_Risk_Level]]&lt;&gt;"High","",HRData[[#This Row],[Attrition_Risk_Score]]*10000-HRData[[#This Row],[EmployeeNumber]])</f>
        <v/>
      </c>
    </row>
    <row r="841" spans="1:44">
      <c r="A841">
        <v>42</v>
      </c>
      <c r="B841" t="str" cm="1">
        <f t="array" ref="B841">_xlfn.IFS(
HRData[[#This Row],[Age]]&lt;=24,"18-24",
HRData[[#This Row],[Age]]&lt;=34,"25-34",
HRData[[#This Row],[Age]]&lt;=44,"35-44",
HRData[[#This Row],[Age]]&lt;=54,"45-54",
HRData[[#This Row],[Age]]&gt;=55,"55+"
)</f>
        <v>35-44</v>
      </c>
      <c r="C841" t="s">
        <v>43</v>
      </c>
      <c r="D841">
        <f>IF(HRData[[#This Row],[Attrition]]="Yes",1,0)</f>
        <v>0</v>
      </c>
      <c r="E841" t="s">
        <v>36</v>
      </c>
      <c r="F841">
        <v>647</v>
      </c>
      <c r="G841" t="s">
        <v>37</v>
      </c>
      <c r="H841">
        <v>4</v>
      </c>
      <c r="I841">
        <v>4</v>
      </c>
      <c r="J841" t="s">
        <v>59</v>
      </c>
      <c r="K841">
        <v>1</v>
      </c>
      <c r="L841">
        <v>1171</v>
      </c>
      <c r="M841">
        <v>2</v>
      </c>
      <c r="N841" t="str" cm="1">
        <f t="array" ref="N841">_xlfn.IFS(HRData[[#This Row],[EnvironmentSatisfaction]]=1,"Very Dissatisfied",
HRData[[#This Row],[EnvironmentSatisfaction]]=2,"Dissatisfied",
HRData[[#This Row],[EnvironmentSatisfaction]]=3,"Satisfied",
HRData[[#This Row],[EnvironmentSatisfaction]]=4,"Very Satisfied"
)</f>
        <v>Dissatisfied</v>
      </c>
      <c r="O841" t="s">
        <v>46</v>
      </c>
      <c r="P841">
        <v>45</v>
      </c>
      <c r="Q841">
        <v>3</v>
      </c>
      <c r="R841">
        <v>2</v>
      </c>
      <c r="S841" t="s">
        <v>40</v>
      </c>
      <c r="T841">
        <v>1</v>
      </c>
      <c r="U841" t="str" cm="1">
        <f t="array" ref="U841">_xlfn.IFS(
HRData[[#This Row],[JobSatisfaction]]=1,"Very Dissatisfied",
HRData[[#This Row],[JobSatisfaction]]=2,"Dissatisfied",
HRData[[#This Row],[JobSatisfaction]]=3,"Satisfied",
HRData[[#This Row],[JobSatisfaction]]=4,"Very Satisfied"
)</f>
        <v>Very Dissatisfied</v>
      </c>
      <c r="V841" t="s">
        <v>41</v>
      </c>
      <c r="W841">
        <v>5155</v>
      </c>
      <c r="X841" t="str" cm="1">
        <f t="array" ref="X841">_xlfn.IFS(
HRData[[#This Row],[MonthlyIncome]]&lt;=4000,"Very Low Income",
HRData[[#This Row],[MonthlyIncome]]&lt;=8000,"Low Income",
HRData[[#This Row],[MonthlyIncome]]&lt;=12000,"Moderate Income",
HRData[[#This Row],[MonthlyIncome]]&lt;=16000,"High Income",
HRData[[#This Row],[MonthlyIncome]]&gt;16000,"Very High Income"
)</f>
        <v>Low Income</v>
      </c>
      <c r="Y841">
        <v>2253</v>
      </c>
      <c r="Z841">
        <v>7</v>
      </c>
      <c r="AA841" t="s">
        <v>42</v>
      </c>
      <c r="AB841" t="s">
        <v>43</v>
      </c>
      <c r="AC841">
        <v>13</v>
      </c>
      <c r="AD841" t="str" cm="1">
        <f t="array" ref="AD841">_xlfn.IFS(HRData[[#This Row],[PercentSalaryHike]]&lt;=15,"11-15",HRData[[#This Row],[PercentSalaryHike]]&lt;=20,"16-20",HRData[[#This Row],[PercentSalaryHike]]&gt;=21,"21+")</f>
        <v>11-15</v>
      </c>
      <c r="AE841">
        <v>3</v>
      </c>
      <c r="AF841">
        <v>4</v>
      </c>
      <c r="AG841">
        <v>80</v>
      </c>
      <c r="AH841">
        <v>0</v>
      </c>
      <c r="AI841">
        <v>9</v>
      </c>
      <c r="AJ841">
        <v>3</v>
      </c>
      <c r="AK841">
        <v>4</v>
      </c>
      <c r="AL841">
        <v>6</v>
      </c>
      <c r="AM841">
        <v>4</v>
      </c>
      <c r="AN841">
        <v>1</v>
      </c>
      <c r="AO841">
        <v>5</v>
      </c>
      <c r="AP84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41" t="str">
        <f>IF(HRData[[#This Row],[Attrition]]="Yes","Left", IF(HRData[[#This Row],[Attrition_Risk_Score]]&gt;=6,"High",IF(HRData[[#This Row],[Attrition_Risk_Score]]&gt;=3,"Medium","Low")))</f>
        <v>Medium</v>
      </c>
      <c r="AR841" t="str">
        <f>IF(HRData[[#This Row],[Attrition_Risk_Level]]&lt;&gt;"High","",HRData[[#This Row],[Attrition_Risk_Score]]*10000-HRData[[#This Row],[EmployeeNumber]])</f>
        <v/>
      </c>
    </row>
    <row r="842" spans="1:44">
      <c r="A842">
        <v>35</v>
      </c>
      <c r="B842" t="str" cm="1">
        <f t="array" ref="B842">_xlfn.IFS(
HRData[[#This Row],[Age]]&lt;=24,"18-24",
HRData[[#This Row],[Age]]&lt;=34,"25-34",
HRData[[#This Row],[Age]]&lt;=44,"35-44",
HRData[[#This Row],[Age]]&lt;=54,"45-54",
HRData[[#This Row],[Age]]&gt;=55,"55+"
)</f>
        <v>35-44</v>
      </c>
      <c r="C842" t="s">
        <v>43</v>
      </c>
      <c r="D842">
        <f>IF(HRData[[#This Row],[Attrition]]="Yes",1,0)</f>
        <v>0</v>
      </c>
      <c r="E842" t="s">
        <v>36</v>
      </c>
      <c r="F842">
        <v>982</v>
      </c>
      <c r="G842" t="s">
        <v>45</v>
      </c>
      <c r="H842">
        <v>1</v>
      </c>
      <c r="I842">
        <v>4</v>
      </c>
      <c r="J842" t="s">
        <v>51</v>
      </c>
      <c r="K842">
        <v>1</v>
      </c>
      <c r="L842">
        <v>1172</v>
      </c>
      <c r="M842">
        <v>4</v>
      </c>
      <c r="N842" t="str" cm="1">
        <f t="array" ref="N842">_xlfn.IFS(HRData[[#This Row],[EnvironmentSatisfaction]]=1,"Very Dissatisfied",
HRData[[#This Row],[EnvironmentSatisfaction]]=2,"Dissatisfied",
HRData[[#This Row],[EnvironmentSatisfaction]]=3,"Satisfied",
HRData[[#This Row],[EnvironmentSatisfaction]]=4,"Very Satisfied"
)</f>
        <v>Very Satisfied</v>
      </c>
      <c r="O842" t="s">
        <v>46</v>
      </c>
      <c r="P842">
        <v>58</v>
      </c>
      <c r="Q842">
        <v>2</v>
      </c>
      <c r="R842">
        <v>1</v>
      </c>
      <c r="S842" t="s">
        <v>50</v>
      </c>
      <c r="T842">
        <v>3</v>
      </c>
      <c r="U842" t="str" cm="1">
        <f t="array" ref="U842">_xlfn.IFS(
HRData[[#This Row],[JobSatisfaction]]=1,"Very Dissatisfied",
HRData[[#This Row],[JobSatisfaction]]=2,"Dissatisfied",
HRData[[#This Row],[JobSatisfaction]]=3,"Satisfied",
HRData[[#This Row],[JobSatisfaction]]=4,"Very Satisfied"
)</f>
        <v>Satisfied</v>
      </c>
      <c r="V842" t="s">
        <v>48</v>
      </c>
      <c r="W842">
        <v>2258</v>
      </c>
      <c r="X842" t="str" cm="1">
        <f t="array" ref="X842">_xlfn.IFS(
HRData[[#This Row],[MonthlyIncome]]&lt;=4000,"Very Low Income",
HRData[[#This Row],[MonthlyIncome]]&lt;=8000,"Low Income",
HRData[[#This Row],[MonthlyIncome]]&lt;=12000,"Moderate Income",
HRData[[#This Row],[MonthlyIncome]]&lt;=16000,"High Income",
HRData[[#This Row],[MonthlyIncome]]&gt;16000,"Very High Income"
)</f>
        <v>Very Low Income</v>
      </c>
      <c r="Y842">
        <v>16340</v>
      </c>
      <c r="Z842">
        <v>6</v>
      </c>
      <c r="AA842" t="s">
        <v>42</v>
      </c>
      <c r="AB842" t="s">
        <v>43</v>
      </c>
      <c r="AC842">
        <v>12</v>
      </c>
      <c r="AD842" t="str" cm="1">
        <f t="array" ref="AD842">_xlfn.IFS(HRData[[#This Row],[PercentSalaryHike]]&lt;=15,"11-15",HRData[[#This Row],[PercentSalaryHike]]&lt;=20,"16-20",HRData[[#This Row],[PercentSalaryHike]]&gt;=21,"21+")</f>
        <v>11-15</v>
      </c>
      <c r="AE842">
        <v>3</v>
      </c>
      <c r="AF842">
        <v>2</v>
      </c>
      <c r="AG842">
        <v>80</v>
      </c>
      <c r="AH842">
        <v>1</v>
      </c>
      <c r="AI842">
        <v>10</v>
      </c>
      <c r="AJ842">
        <v>2</v>
      </c>
      <c r="AK842">
        <v>3</v>
      </c>
      <c r="AL842">
        <v>8</v>
      </c>
      <c r="AM842">
        <v>0</v>
      </c>
      <c r="AN842">
        <v>1</v>
      </c>
      <c r="AO842">
        <v>7</v>
      </c>
      <c r="AP84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42" t="str">
        <f>IF(HRData[[#This Row],[Attrition]]="Yes","Left", IF(HRData[[#This Row],[Attrition_Risk_Score]]&gt;=6,"High",IF(HRData[[#This Row],[Attrition_Risk_Score]]&gt;=3,"Medium","Low")))</f>
        <v>Medium</v>
      </c>
      <c r="AR842" t="str">
        <f>IF(HRData[[#This Row],[Attrition_Risk_Level]]&lt;&gt;"High","",HRData[[#This Row],[Attrition_Risk_Score]]*10000-HRData[[#This Row],[EmployeeNumber]])</f>
        <v/>
      </c>
    </row>
    <row r="843" spans="1:44">
      <c r="A843">
        <v>24</v>
      </c>
      <c r="B843" t="str" cm="1">
        <f t="array" ref="B843">_xlfn.IFS(
HRData[[#This Row],[Age]]&lt;=24,"18-24",
HRData[[#This Row],[Age]]&lt;=34,"25-34",
HRData[[#This Row],[Age]]&lt;=44,"35-44",
HRData[[#This Row],[Age]]&lt;=54,"45-54",
HRData[[#This Row],[Age]]&gt;=55,"55+"
)</f>
        <v>18-24</v>
      </c>
      <c r="C843" t="s">
        <v>43</v>
      </c>
      <c r="D843">
        <f>IF(HRData[[#This Row],[Attrition]]="Yes",1,0)</f>
        <v>0</v>
      </c>
      <c r="E843" t="s">
        <v>36</v>
      </c>
      <c r="F843">
        <v>477</v>
      </c>
      <c r="G843" t="s">
        <v>45</v>
      </c>
      <c r="H843">
        <v>24</v>
      </c>
      <c r="I843">
        <v>3</v>
      </c>
      <c r="J843" t="s">
        <v>51</v>
      </c>
      <c r="K843">
        <v>1</v>
      </c>
      <c r="L843">
        <v>1173</v>
      </c>
      <c r="M843">
        <v>4</v>
      </c>
      <c r="N843" t="str" cm="1">
        <f t="array" ref="N843">_xlfn.IFS(HRData[[#This Row],[EnvironmentSatisfaction]]=1,"Very Dissatisfied",
HRData[[#This Row],[EnvironmentSatisfaction]]=2,"Dissatisfied",
HRData[[#This Row],[EnvironmentSatisfaction]]=3,"Satisfied",
HRData[[#This Row],[EnvironmentSatisfaction]]=4,"Very Satisfied"
)</f>
        <v>Very Satisfied</v>
      </c>
      <c r="O843" t="s">
        <v>46</v>
      </c>
      <c r="P843">
        <v>49</v>
      </c>
      <c r="Q843">
        <v>3</v>
      </c>
      <c r="R843">
        <v>1</v>
      </c>
      <c r="S843" t="s">
        <v>50</v>
      </c>
      <c r="T843">
        <v>2</v>
      </c>
      <c r="U843" t="str" cm="1">
        <f t="array" ref="U843">_xlfn.IFS(
HRData[[#This Row],[JobSatisfaction]]=1,"Very Dissatisfied",
HRData[[#This Row],[JobSatisfaction]]=2,"Dissatisfied",
HRData[[#This Row],[JobSatisfaction]]=3,"Satisfied",
HRData[[#This Row],[JobSatisfaction]]=4,"Very Satisfied"
)</f>
        <v>Dissatisfied</v>
      </c>
      <c r="V843" t="s">
        <v>41</v>
      </c>
      <c r="W843">
        <v>3597</v>
      </c>
      <c r="X843" t="str" cm="1">
        <f t="array" ref="X843">_xlfn.IFS(
HRData[[#This Row],[MonthlyIncome]]&lt;=4000,"Very Low Income",
HRData[[#This Row],[MonthlyIncome]]&lt;=8000,"Low Income",
HRData[[#This Row],[MonthlyIncome]]&lt;=12000,"Moderate Income",
HRData[[#This Row],[MonthlyIncome]]&lt;=16000,"High Income",
HRData[[#This Row],[MonthlyIncome]]&gt;16000,"Very High Income"
)</f>
        <v>Very Low Income</v>
      </c>
      <c r="Y843">
        <v>6409</v>
      </c>
      <c r="Z843">
        <v>8</v>
      </c>
      <c r="AA843" t="s">
        <v>42</v>
      </c>
      <c r="AB843" t="s">
        <v>43</v>
      </c>
      <c r="AC843">
        <v>22</v>
      </c>
      <c r="AD843" t="str" cm="1">
        <f t="array" ref="AD843">_xlfn.IFS(HRData[[#This Row],[PercentSalaryHike]]&lt;=15,"11-15",HRData[[#This Row],[PercentSalaryHike]]&lt;=20,"16-20",HRData[[#This Row],[PercentSalaryHike]]&gt;=21,"21+")</f>
        <v>21+</v>
      </c>
      <c r="AE843">
        <v>4</v>
      </c>
      <c r="AF843">
        <v>4</v>
      </c>
      <c r="AG843">
        <v>80</v>
      </c>
      <c r="AH843">
        <v>0</v>
      </c>
      <c r="AI843">
        <v>6</v>
      </c>
      <c r="AJ843">
        <v>2</v>
      </c>
      <c r="AK843">
        <v>3</v>
      </c>
      <c r="AL843">
        <v>4</v>
      </c>
      <c r="AM843">
        <v>3</v>
      </c>
      <c r="AN843">
        <v>1</v>
      </c>
      <c r="AO843">
        <v>2</v>
      </c>
      <c r="AP84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843" t="str">
        <f>IF(HRData[[#This Row],[Attrition]]="Yes","Left", IF(HRData[[#This Row],[Attrition_Risk_Score]]&gt;=6,"High",IF(HRData[[#This Row],[Attrition_Risk_Score]]&gt;=3,"Medium","Low")))</f>
        <v>Medium</v>
      </c>
      <c r="AR843" t="str">
        <f>IF(HRData[[#This Row],[Attrition_Risk_Level]]&lt;&gt;"High","",HRData[[#This Row],[Attrition_Risk_Score]]*10000-HRData[[#This Row],[EmployeeNumber]])</f>
        <v/>
      </c>
    </row>
    <row r="844" spans="1:44">
      <c r="A844">
        <v>28</v>
      </c>
      <c r="B844" t="str" cm="1">
        <f t="array" ref="B844">_xlfn.IFS(
HRData[[#This Row],[Age]]&lt;=24,"18-24",
HRData[[#This Row],[Age]]&lt;=34,"25-34",
HRData[[#This Row],[Age]]&lt;=44,"35-44",
HRData[[#This Row],[Age]]&lt;=54,"45-54",
HRData[[#This Row],[Age]]&gt;=55,"55+"
)</f>
        <v>25-34</v>
      </c>
      <c r="C844" t="s">
        <v>35</v>
      </c>
      <c r="D844">
        <f>IF(HRData[[#This Row],[Attrition]]="Yes",1,0)</f>
        <v>1</v>
      </c>
      <c r="E844" t="s">
        <v>36</v>
      </c>
      <c r="F844">
        <v>1485</v>
      </c>
      <c r="G844" t="s">
        <v>45</v>
      </c>
      <c r="H844">
        <v>12</v>
      </c>
      <c r="I844">
        <v>1</v>
      </c>
      <c r="J844" t="s">
        <v>38</v>
      </c>
      <c r="K844">
        <v>1</v>
      </c>
      <c r="L844">
        <v>1175</v>
      </c>
      <c r="M844">
        <v>3</v>
      </c>
      <c r="N844" t="str" cm="1">
        <f t="array" ref="N844">_xlfn.IFS(HRData[[#This Row],[EnvironmentSatisfaction]]=1,"Very Dissatisfied",
HRData[[#This Row],[EnvironmentSatisfaction]]=2,"Dissatisfied",
HRData[[#This Row],[EnvironmentSatisfaction]]=3,"Satisfied",
HRData[[#This Row],[EnvironmentSatisfaction]]=4,"Very Satisfied"
)</f>
        <v>Satisfied</v>
      </c>
      <c r="O844" t="s">
        <v>39</v>
      </c>
      <c r="P844">
        <v>79</v>
      </c>
      <c r="Q844">
        <v>3</v>
      </c>
      <c r="R844">
        <v>1</v>
      </c>
      <c r="S844" t="s">
        <v>50</v>
      </c>
      <c r="T844">
        <v>4</v>
      </c>
      <c r="U844" t="str" cm="1">
        <f t="array" ref="U844">_xlfn.IFS(
HRData[[#This Row],[JobSatisfaction]]=1,"Very Dissatisfied",
HRData[[#This Row],[JobSatisfaction]]=2,"Dissatisfied",
HRData[[#This Row],[JobSatisfaction]]=3,"Satisfied",
HRData[[#This Row],[JobSatisfaction]]=4,"Very Satisfied"
)</f>
        <v>Very Satisfied</v>
      </c>
      <c r="V844" t="s">
        <v>48</v>
      </c>
      <c r="W844">
        <v>2515</v>
      </c>
      <c r="X844" t="str" cm="1">
        <f t="array" ref="X844">_xlfn.IFS(
HRData[[#This Row],[MonthlyIncome]]&lt;=4000,"Very Low Income",
HRData[[#This Row],[MonthlyIncome]]&lt;=8000,"Low Income",
HRData[[#This Row],[MonthlyIncome]]&lt;=12000,"Moderate Income",
HRData[[#This Row],[MonthlyIncome]]&lt;=16000,"High Income",
HRData[[#This Row],[MonthlyIncome]]&gt;16000,"Very High Income"
)</f>
        <v>Very Low Income</v>
      </c>
      <c r="Y844">
        <v>22955</v>
      </c>
      <c r="Z844">
        <v>1</v>
      </c>
      <c r="AA844" t="s">
        <v>42</v>
      </c>
      <c r="AB844" t="s">
        <v>35</v>
      </c>
      <c r="AC844">
        <v>11</v>
      </c>
      <c r="AD844" t="str" cm="1">
        <f t="array" ref="AD844">_xlfn.IFS(HRData[[#This Row],[PercentSalaryHike]]&lt;=15,"11-15",HRData[[#This Row],[PercentSalaryHike]]&lt;=20,"16-20",HRData[[#This Row],[PercentSalaryHike]]&gt;=21,"21+")</f>
        <v>11-15</v>
      </c>
      <c r="AE844">
        <v>3</v>
      </c>
      <c r="AF844">
        <v>4</v>
      </c>
      <c r="AG844">
        <v>80</v>
      </c>
      <c r="AH844">
        <v>0</v>
      </c>
      <c r="AI844">
        <v>1</v>
      </c>
      <c r="AJ844">
        <v>4</v>
      </c>
      <c r="AK844">
        <v>2</v>
      </c>
      <c r="AL844">
        <v>1</v>
      </c>
      <c r="AM844">
        <v>1</v>
      </c>
      <c r="AN844">
        <v>0</v>
      </c>
      <c r="AO844">
        <v>0</v>
      </c>
      <c r="AP84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44" t="str">
        <f>IF(HRData[[#This Row],[Attrition]]="Yes","Left", IF(HRData[[#This Row],[Attrition_Risk_Score]]&gt;=6,"High",IF(HRData[[#This Row],[Attrition_Risk_Score]]&gt;=3,"Medium","Low")))</f>
        <v>Left</v>
      </c>
      <c r="AR844" t="str">
        <f>IF(HRData[[#This Row],[Attrition_Risk_Level]]&lt;&gt;"High","",HRData[[#This Row],[Attrition_Risk_Score]]*10000-HRData[[#This Row],[EmployeeNumber]])</f>
        <v/>
      </c>
    </row>
    <row r="845" spans="1:44">
      <c r="A845">
        <v>26</v>
      </c>
      <c r="B845" t="str" cm="1">
        <f t="array" ref="B845">_xlfn.IFS(
HRData[[#This Row],[Age]]&lt;=24,"18-24",
HRData[[#This Row],[Age]]&lt;=34,"25-34",
HRData[[#This Row],[Age]]&lt;=44,"35-44",
HRData[[#This Row],[Age]]&lt;=54,"45-54",
HRData[[#This Row],[Age]]&gt;=55,"55+"
)</f>
        <v>25-34</v>
      </c>
      <c r="C845" t="s">
        <v>43</v>
      </c>
      <c r="D845">
        <f>IF(HRData[[#This Row],[Attrition]]="Yes",1,0)</f>
        <v>0</v>
      </c>
      <c r="E845" t="s">
        <v>36</v>
      </c>
      <c r="F845">
        <v>1384</v>
      </c>
      <c r="G845" t="s">
        <v>45</v>
      </c>
      <c r="H845">
        <v>3</v>
      </c>
      <c r="I845">
        <v>4</v>
      </c>
      <c r="J845" t="s">
        <v>51</v>
      </c>
      <c r="K845">
        <v>1</v>
      </c>
      <c r="L845">
        <v>1177</v>
      </c>
      <c r="M845">
        <v>1</v>
      </c>
      <c r="N845" t="str" cm="1">
        <f t="array" ref="N845">_xlfn.IFS(HRData[[#This Row],[EnvironmentSatisfaction]]=1,"Very Dissatisfied",
HRData[[#This Row],[EnvironmentSatisfaction]]=2,"Dissatisfied",
HRData[[#This Row],[EnvironmentSatisfaction]]=3,"Satisfied",
HRData[[#This Row],[EnvironmentSatisfaction]]=4,"Very Satisfied"
)</f>
        <v>Very Dissatisfied</v>
      </c>
      <c r="O845" t="s">
        <v>46</v>
      </c>
      <c r="P845">
        <v>82</v>
      </c>
      <c r="Q845">
        <v>4</v>
      </c>
      <c r="R845">
        <v>1</v>
      </c>
      <c r="S845" t="s">
        <v>50</v>
      </c>
      <c r="T845">
        <v>4</v>
      </c>
      <c r="U845" t="str" cm="1">
        <f t="array" ref="U845">_xlfn.IFS(
HRData[[#This Row],[JobSatisfaction]]=1,"Very Dissatisfied",
HRData[[#This Row],[JobSatisfaction]]=2,"Dissatisfied",
HRData[[#This Row],[JobSatisfaction]]=3,"Satisfied",
HRData[[#This Row],[JobSatisfaction]]=4,"Very Satisfied"
)</f>
        <v>Very Satisfied</v>
      </c>
      <c r="V845" t="s">
        <v>48</v>
      </c>
      <c r="W845">
        <v>4420</v>
      </c>
      <c r="X845" t="str" cm="1">
        <f t="array" ref="X845">_xlfn.IFS(
HRData[[#This Row],[MonthlyIncome]]&lt;=4000,"Very Low Income",
HRData[[#This Row],[MonthlyIncome]]&lt;=8000,"Low Income",
HRData[[#This Row],[MonthlyIncome]]&lt;=12000,"Moderate Income",
HRData[[#This Row],[MonthlyIncome]]&lt;=16000,"High Income",
HRData[[#This Row],[MonthlyIncome]]&gt;16000,"Very High Income"
)</f>
        <v>Low Income</v>
      </c>
      <c r="Y845">
        <v>13421</v>
      </c>
      <c r="Z845">
        <v>1</v>
      </c>
      <c r="AA845" t="s">
        <v>42</v>
      </c>
      <c r="AB845" t="s">
        <v>43</v>
      </c>
      <c r="AC845">
        <v>22</v>
      </c>
      <c r="AD845" t="str" cm="1">
        <f t="array" ref="AD845">_xlfn.IFS(HRData[[#This Row],[PercentSalaryHike]]&lt;=15,"11-15",HRData[[#This Row],[PercentSalaryHike]]&lt;=20,"16-20",HRData[[#This Row],[PercentSalaryHike]]&gt;=21,"21+")</f>
        <v>21+</v>
      </c>
      <c r="AE845">
        <v>4</v>
      </c>
      <c r="AF845">
        <v>2</v>
      </c>
      <c r="AG845">
        <v>80</v>
      </c>
      <c r="AH845">
        <v>1</v>
      </c>
      <c r="AI845">
        <v>8</v>
      </c>
      <c r="AJ845">
        <v>2</v>
      </c>
      <c r="AK845">
        <v>3</v>
      </c>
      <c r="AL845">
        <v>8</v>
      </c>
      <c r="AM845">
        <v>7</v>
      </c>
      <c r="AN845">
        <v>0</v>
      </c>
      <c r="AO845">
        <v>7</v>
      </c>
      <c r="AP84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45" t="str">
        <f>IF(HRData[[#This Row],[Attrition]]="Yes","Left", IF(HRData[[#This Row],[Attrition_Risk_Score]]&gt;=6,"High",IF(HRData[[#This Row],[Attrition_Risk_Score]]&gt;=3,"Medium","Low")))</f>
        <v>Medium</v>
      </c>
      <c r="AR845" t="str">
        <f>IF(HRData[[#This Row],[Attrition_Risk_Level]]&lt;&gt;"High","",HRData[[#This Row],[Attrition_Risk_Score]]*10000-HRData[[#This Row],[EmployeeNumber]])</f>
        <v/>
      </c>
    </row>
    <row r="846" spans="1:44">
      <c r="A846">
        <v>30</v>
      </c>
      <c r="B846" t="str" cm="1">
        <f t="array" ref="B846">_xlfn.IFS(
HRData[[#This Row],[Age]]&lt;=24,"18-24",
HRData[[#This Row],[Age]]&lt;=34,"25-34",
HRData[[#This Row],[Age]]&lt;=44,"35-44",
HRData[[#This Row],[Age]]&lt;=54,"45-54",
HRData[[#This Row],[Age]]&gt;=55,"55+"
)</f>
        <v>25-34</v>
      </c>
      <c r="C846" t="s">
        <v>43</v>
      </c>
      <c r="D846">
        <f>IF(HRData[[#This Row],[Attrition]]="Yes",1,0)</f>
        <v>0</v>
      </c>
      <c r="E846" t="s">
        <v>36</v>
      </c>
      <c r="F846">
        <v>852</v>
      </c>
      <c r="G846" t="s">
        <v>37</v>
      </c>
      <c r="H846">
        <v>10</v>
      </c>
      <c r="I846">
        <v>3</v>
      </c>
      <c r="J846" t="s">
        <v>59</v>
      </c>
      <c r="K846">
        <v>1</v>
      </c>
      <c r="L846">
        <v>1179</v>
      </c>
      <c r="M846">
        <v>3</v>
      </c>
      <c r="N846" t="str" cm="1">
        <f t="array" ref="N846">_xlfn.IFS(HRData[[#This Row],[EnvironmentSatisfaction]]=1,"Very Dissatisfied",
HRData[[#This Row],[EnvironmentSatisfaction]]=2,"Dissatisfied",
HRData[[#This Row],[EnvironmentSatisfaction]]=3,"Satisfied",
HRData[[#This Row],[EnvironmentSatisfaction]]=4,"Very Satisfied"
)</f>
        <v>Satisfied</v>
      </c>
      <c r="O846" t="s">
        <v>46</v>
      </c>
      <c r="P846">
        <v>72</v>
      </c>
      <c r="Q846">
        <v>2</v>
      </c>
      <c r="R846">
        <v>2</v>
      </c>
      <c r="S846" t="s">
        <v>40</v>
      </c>
      <c r="T846">
        <v>3</v>
      </c>
      <c r="U846" t="str" cm="1">
        <f t="array" ref="U846">_xlfn.IFS(
HRData[[#This Row],[JobSatisfaction]]=1,"Very Dissatisfied",
HRData[[#This Row],[JobSatisfaction]]=2,"Dissatisfied",
HRData[[#This Row],[JobSatisfaction]]=3,"Satisfied",
HRData[[#This Row],[JobSatisfaction]]=4,"Very Satisfied"
)</f>
        <v>Satisfied</v>
      </c>
      <c r="V846" t="s">
        <v>48</v>
      </c>
      <c r="W846">
        <v>6578</v>
      </c>
      <c r="X846" t="str" cm="1">
        <f t="array" ref="X846">_xlfn.IFS(
HRData[[#This Row],[MonthlyIncome]]&lt;=4000,"Very Low Income",
HRData[[#This Row],[MonthlyIncome]]&lt;=8000,"Low Income",
HRData[[#This Row],[MonthlyIncome]]&lt;=12000,"Moderate Income",
HRData[[#This Row],[MonthlyIncome]]&lt;=16000,"High Income",
HRData[[#This Row],[MonthlyIncome]]&gt;16000,"Very High Income"
)</f>
        <v>Low Income</v>
      </c>
      <c r="Y846">
        <v>2706</v>
      </c>
      <c r="Z846">
        <v>1</v>
      </c>
      <c r="AA846" t="s">
        <v>42</v>
      </c>
      <c r="AB846" t="s">
        <v>43</v>
      </c>
      <c r="AC846">
        <v>18</v>
      </c>
      <c r="AD846" t="str" cm="1">
        <f t="array" ref="AD846">_xlfn.IFS(HRData[[#This Row],[PercentSalaryHike]]&lt;=15,"11-15",HRData[[#This Row],[PercentSalaryHike]]&lt;=20,"16-20",HRData[[#This Row],[PercentSalaryHike]]&gt;=21,"21+")</f>
        <v>16-20</v>
      </c>
      <c r="AE846">
        <v>3</v>
      </c>
      <c r="AF846">
        <v>1</v>
      </c>
      <c r="AG846">
        <v>80</v>
      </c>
      <c r="AH846">
        <v>1</v>
      </c>
      <c r="AI846">
        <v>10</v>
      </c>
      <c r="AJ846">
        <v>3</v>
      </c>
      <c r="AK846">
        <v>3</v>
      </c>
      <c r="AL846">
        <v>10</v>
      </c>
      <c r="AM846">
        <v>3</v>
      </c>
      <c r="AN846">
        <v>1</v>
      </c>
      <c r="AO846">
        <v>4</v>
      </c>
      <c r="AP84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46" t="str">
        <f>IF(HRData[[#This Row],[Attrition]]="Yes","Left", IF(HRData[[#This Row],[Attrition_Risk_Score]]&gt;=6,"High",IF(HRData[[#This Row],[Attrition_Risk_Score]]&gt;=3,"Medium","Low")))</f>
        <v>Low</v>
      </c>
      <c r="AR846" t="str">
        <f>IF(HRData[[#This Row],[Attrition_Risk_Level]]&lt;&gt;"High","",HRData[[#This Row],[Attrition_Risk_Score]]*10000-HRData[[#This Row],[EmployeeNumber]])</f>
        <v/>
      </c>
    </row>
    <row r="847" spans="1:44">
      <c r="A847">
        <v>40</v>
      </c>
      <c r="B847" t="str" cm="1">
        <f t="array" ref="B847">_xlfn.IFS(
HRData[[#This Row],[Age]]&lt;=24,"18-24",
HRData[[#This Row],[Age]]&lt;=34,"25-34",
HRData[[#This Row],[Age]]&lt;=44,"35-44",
HRData[[#This Row],[Age]]&lt;=54,"45-54",
HRData[[#This Row],[Age]]&gt;=55,"55+"
)</f>
        <v>35-44</v>
      </c>
      <c r="C847" t="s">
        <v>43</v>
      </c>
      <c r="D847">
        <f>IF(HRData[[#This Row],[Attrition]]="Yes",1,0)</f>
        <v>0</v>
      </c>
      <c r="E847" t="s">
        <v>44</v>
      </c>
      <c r="F847">
        <v>902</v>
      </c>
      <c r="G847" t="s">
        <v>45</v>
      </c>
      <c r="H847">
        <v>26</v>
      </c>
      <c r="I847">
        <v>2</v>
      </c>
      <c r="J847" t="s">
        <v>51</v>
      </c>
      <c r="K847">
        <v>1</v>
      </c>
      <c r="L847">
        <v>1180</v>
      </c>
      <c r="M847">
        <v>3</v>
      </c>
      <c r="N847" t="str" cm="1">
        <f t="array" ref="N847">_xlfn.IFS(HRData[[#This Row],[EnvironmentSatisfaction]]=1,"Very Dissatisfied",
HRData[[#This Row],[EnvironmentSatisfaction]]=2,"Dissatisfied",
HRData[[#This Row],[EnvironmentSatisfaction]]=3,"Satisfied",
HRData[[#This Row],[EnvironmentSatisfaction]]=4,"Very Satisfied"
)</f>
        <v>Satisfied</v>
      </c>
      <c r="O847" t="s">
        <v>39</v>
      </c>
      <c r="P847">
        <v>92</v>
      </c>
      <c r="Q847">
        <v>2</v>
      </c>
      <c r="R847">
        <v>2</v>
      </c>
      <c r="S847" t="s">
        <v>47</v>
      </c>
      <c r="T847">
        <v>4</v>
      </c>
      <c r="U847" t="str" cm="1">
        <f t="array" ref="U847">_xlfn.IFS(
HRData[[#This Row],[JobSatisfaction]]=1,"Very Dissatisfied",
HRData[[#This Row],[JobSatisfaction]]=2,"Dissatisfied",
HRData[[#This Row],[JobSatisfaction]]=3,"Satisfied",
HRData[[#This Row],[JobSatisfaction]]=4,"Very Satisfied"
)</f>
        <v>Very Satisfied</v>
      </c>
      <c r="V847" t="s">
        <v>48</v>
      </c>
      <c r="W847">
        <v>4422</v>
      </c>
      <c r="X847" t="str" cm="1">
        <f t="array" ref="X847">_xlfn.IFS(
HRData[[#This Row],[MonthlyIncome]]&lt;=4000,"Very Low Income",
HRData[[#This Row],[MonthlyIncome]]&lt;=8000,"Low Income",
HRData[[#This Row],[MonthlyIncome]]&lt;=12000,"Moderate Income",
HRData[[#This Row],[MonthlyIncome]]&lt;=16000,"High Income",
HRData[[#This Row],[MonthlyIncome]]&gt;16000,"Very High Income"
)</f>
        <v>Low Income</v>
      </c>
      <c r="Y847">
        <v>21203</v>
      </c>
      <c r="Z847">
        <v>3</v>
      </c>
      <c r="AA847" t="s">
        <v>42</v>
      </c>
      <c r="AB847" t="s">
        <v>35</v>
      </c>
      <c r="AC847">
        <v>13</v>
      </c>
      <c r="AD847" t="str" cm="1">
        <f t="array" ref="AD847">_xlfn.IFS(HRData[[#This Row],[PercentSalaryHike]]&lt;=15,"11-15",HRData[[#This Row],[PercentSalaryHike]]&lt;=20,"16-20",HRData[[#This Row],[PercentSalaryHike]]&gt;=21,"21+")</f>
        <v>11-15</v>
      </c>
      <c r="AE847">
        <v>3</v>
      </c>
      <c r="AF847">
        <v>4</v>
      </c>
      <c r="AG847">
        <v>80</v>
      </c>
      <c r="AH847">
        <v>1</v>
      </c>
      <c r="AI847">
        <v>16</v>
      </c>
      <c r="AJ847">
        <v>3</v>
      </c>
      <c r="AK847">
        <v>1</v>
      </c>
      <c r="AL847">
        <v>1</v>
      </c>
      <c r="AM847">
        <v>1</v>
      </c>
      <c r="AN847">
        <v>0</v>
      </c>
      <c r="AO847">
        <v>0</v>
      </c>
      <c r="AP84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47" t="str">
        <f>IF(HRData[[#This Row],[Attrition]]="Yes","Left", IF(HRData[[#This Row],[Attrition_Risk_Score]]&gt;=6,"High",IF(HRData[[#This Row],[Attrition_Risk_Score]]&gt;=3,"Medium","Low")))</f>
        <v>Medium</v>
      </c>
      <c r="AR847" t="str">
        <f>IF(HRData[[#This Row],[Attrition_Risk_Level]]&lt;&gt;"High","",HRData[[#This Row],[Attrition_Risk_Score]]*10000-HRData[[#This Row],[EmployeeNumber]])</f>
        <v/>
      </c>
    </row>
    <row r="848" spans="1:44">
      <c r="A848">
        <v>35</v>
      </c>
      <c r="B848" t="str" cm="1">
        <f t="array" ref="B848">_xlfn.IFS(
HRData[[#This Row],[Age]]&lt;=24,"18-24",
HRData[[#This Row],[Age]]&lt;=34,"25-34",
HRData[[#This Row],[Age]]&lt;=44,"35-44",
HRData[[#This Row],[Age]]&lt;=54,"45-54",
HRData[[#This Row],[Age]]&gt;=55,"55+"
)</f>
        <v>35-44</v>
      </c>
      <c r="C848" t="s">
        <v>43</v>
      </c>
      <c r="D848">
        <f>IF(HRData[[#This Row],[Attrition]]="Yes",1,0)</f>
        <v>0</v>
      </c>
      <c r="E848" t="s">
        <v>36</v>
      </c>
      <c r="F848">
        <v>819</v>
      </c>
      <c r="G848" t="s">
        <v>45</v>
      </c>
      <c r="H848">
        <v>2</v>
      </c>
      <c r="I848">
        <v>3</v>
      </c>
      <c r="J848" t="s">
        <v>38</v>
      </c>
      <c r="K848">
        <v>1</v>
      </c>
      <c r="L848">
        <v>1182</v>
      </c>
      <c r="M848">
        <v>3</v>
      </c>
      <c r="N848" t="str" cm="1">
        <f t="array" ref="N848">_xlfn.IFS(HRData[[#This Row],[EnvironmentSatisfaction]]=1,"Very Dissatisfied",
HRData[[#This Row],[EnvironmentSatisfaction]]=2,"Dissatisfied",
HRData[[#This Row],[EnvironmentSatisfaction]]=3,"Satisfied",
HRData[[#This Row],[EnvironmentSatisfaction]]=4,"Very Satisfied"
)</f>
        <v>Satisfied</v>
      </c>
      <c r="O848" t="s">
        <v>46</v>
      </c>
      <c r="P848">
        <v>44</v>
      </c>
      <c r="Q848">
        <v>2</v>
      </c>
      <c r="R848">
        <v>3</v>
      </c>
      <c r="S848" t="s">
        <v>53</v>
      </c>
      <c r="T848">
        <v>2</v>
      </c>
      <c r="U848" t="str" cm="1">
        <f t="array" ref="U848">_xlfn.IFS(
HRData[[#This Row],[JobSatisfaction]]=1,"Very Dissatisfied",
HRData[[#This Row],[JobSatisfaction]]=2,"Dissatisfied",
HRData[[#This Row],[JobSatisfaction]]=3,"Satisfied",
HRData[[#This Row],[JobSatisfaction]]=4,"Very Satisfied"
)</f>
        <v>Dissatisfied</v>
      </c>
      <c r="V848" t="s">
        <v>52</v>
      </c>
      <c r="W848">
        <v>10274</v>
      </c>
      <c r="X848" t="str" cm="1">
        <f t="array" ref="X848">_xlfn.IFS(
HRData[[#This Row],[MonthlyIncome]]&lt;=4000,"Very Low Income",
HRData[[#This Row],[MonthlyIncome]]&lt;=8000,"Low Income",
HRData[[#This Row],[MonthlyIncome]]&lt;=12000,"Moderate Income",
HRData[[#This Row],[MonthlyIncome]]&lt;=16000,"High Income",
HRData[[#This Row],[MonthlyIncome]]&gt;16000,"Very High Income"
)</f>
        <v>Moderate Income</v>
      </c>
      <c r="Y848">
        <v>19588</v>
      </c>
      <c r="Z848">
        <v>2</v>
      </c>
      <c r="AA848" t="s">
        <v>42</v>
      </c>
      <c r="AB848" t="s">
        <v>43</v>
      </c>
      <c r="AC848">
        <v>18</v>
      </c>
      <c r="AD848" t="str" cm="1">
        <f t="array" ref="AD848">_xlfn.IFS(HRData[[#This Row],[PercentSalaryHike]]&lt;=15,"11-15",HRData[[#This Row],[PercentSalaryHike]]&lt;=20,"16-20",HRData[[#This Row],[PercentSalaryHike]]&gt;=21,"21+")</f>
        <v>16-20</v>
      </c>
      <c r="AE848">
        <v>3</v>
      </c>
      <c r="AF848">
        <v>2</v>
      </c>
      <c r="AG848">
        <v>80</v>
      </c>
      <c r="AH848">
        <v>1</v>
      </c>
      <c r="AI848">
        <v>15</v>
      </c>
      <c r="AJ848">
        <v>2</v>
      </c>
      <c r="AK848">
        <v>4</v>
      </c>
      <c r="AL848">
        <v>7</v>
      </c>
      <c r="AM848">
        <v>7</v>
      </c>
      <c r="AN848">
        <v>6</v>
      </c>
      <c r="AO848">
        <v>4</v>
      </c>
      <c r="AP84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848" t="str">
        <f>IF(HRData[[#This Row],[Attrition]]="Yes","Left", IF(HRData[[#This Row],[Attrition_Risk_Score]]&gt;=6,"High",IF(HRData[[#This Row],[Attrition_Risk_Score]]&gt;=3,"Medium","Low")))</f>
        <v>Low</v>
      </c>
      <c r="AR848" t="str">
        <f>IF(HRData[[#This Row],[Attrition_Risk_Level]]&lt;&gt;"High","",HRData[[#This Row],[Attrition_Risk_Score]]*10000-HRData[[#This Row],[EmployeeNumber]])</f>
        <v/>
      </c>
    </row>
    <row r="849" spans="1:44">
      <c r="A849">
        <v>34</v>
      </c>
      <c r="B849" t="str" cm="1">
        <f t="array" ref="B849">_xlfn.IFS(
HRData[[#This Row],[Age]]&lt;=24,"18-24",
HRData[[#This Row],[Age]]&lt;=34,"25-34",
HRData[[#This Row],[Age]]&lt;=44,"35-44",
HRData[[#This Row],[Age]]&lt;=54,"45-54",
HRData[[#This Row],[Age]]&gt;=55,"55+"
)</f>
        <v>25-34</v>
      </c>
      <c r="C849" t="s">
        <v>43</v>
      </c>
      <c r="D849">
        <f>IF(HRData[[#This Row],[Attrition]]="Yes",1,0)</f>
        <v>0</v>
      </c>
      <c r="E849" t="s">
        <v>44</v>
      </c>
      <c r="F849">
        <v>669</v>
      </c>
      <c r="G849" t="s">
        <v>45</v>
      </c>
      <c r="H849">
        <v>1</v>
      </c>
      <c r="I849">
        <v>3</v>
      </c>
      <c r="J849" t="s">
        <v>51</v>
      </c>
      <c r="K849">
        <v>1</v>
      </c>
      <c r="L849">
        <v>1184</v>
      </c>
      <c r="M849">
        <v>4</v>
      </c>
      <c r="N849" t="str" cm="1">
        <f t="array" ref="N849">_xlfn.IFS(HRData[[#This Row],[EnvironmentSatisfaction]]=1,"Very Dissatisfied",
HRData[[#This Row],[EnvironmentSatisfaction]]=2,"Dissatisfied",
HRData[[#This Row],[EnvironmentSatisfaction]]=3,"Satisfied",
HRData[[#This Row],[EnvironmentSatisfaction]]=4,"Very Satisfied"
)</f>
        <v>Very Satisfied</v>
      </c>
      <c r="O849" t="s">
        <v>46</v>
      </c>
      <c r="P849">
        <v>97</v>
      </c>
      <c r="Q849">
        <v>2</v>
      </c>
      <c r="R849">
        <v>2</v>
      </c>
      <c r="S849" t="s">
        <v>54</v>
      </c>
      <c r="T849">
        <v>1</v>
      </c>
      <c r="U849" t="str" cm="1">
        <f t="array" ref="U849">_xlfn.IFS(
HRData[[#This Row],[JobSatisfaction]]=1,"Very Dissatisfied",
HRData[[#This Row],[JobSatisfaction]]=2,"Dissatisfied",
HRData[[#This Row],[JobSatisfaction]]=3,"Satisfied",
HRData[[#This Row],[JobSatisfaction]]=4,"Very Satisfied"
)</f>
        <v>Very Dissatisfied</v>
      </c>
      <c r="V849" t="s">
        <v>41</v>
      </c>
      <c r="W849">
        <v>5343</v>
      </c>
      <c r="X849" t="str" cm="1">
        <f t="array" ref="X849">_xlfn.IFS(
HRData[[#This Row],[MonthlyIncome]]&lt;=4000,"Very Low Income",
HRData[[#This Row],[MonthlyIncome]]&lt;=8000,"Low Income",
HRData[[#This Row],[MonthlyIncome]]&lt;=12000,"Moderate Income",
HRData[[#This Row],[MonthlyIncome]]&lt;=16000,"High Income",
HRData[[#This Row],[MonthlyIncome]]&gt;16000,"Very High Income"
)</f>
        <v>Low Income</v>
      </c>
      <c r="Y849">
        <v>25755</v>
      </c>
      <c r="Z849">
        <v>0</v>
      </c>
      <c r="AA849" t="s">
        <v>42</v>
      </c>
      <c r="AB849" t="s">
        <v>43</v>
      </c>
      <c r="AC849">
        <v>20</v>
      </c>
      <c r="AD849" t="str" cm="1">
        <f t="array" ref="AD849">_xlfn.IFS(HRData[[#This Row],[PercentSalaryHike]]&lt;=15,"11-15",HRData[[#This Row],[PercentSalaryHike]]&lt;=20,"16-20",HRData[[#This Row],[PercentSalaryHike]]&gt;=21,"21+")</f>
        <v>16-20</v>
      </c>
      <c r="AE849">
        <v>4</v>
      </c>
      <c r="AF849">
        <v>3</v>
      </c>
      <c r="AG849">
        <v>80</v>
      </c>
      <c r="AH849">
        <v>0</v>
      </c>
      <c r="AI849">
        <v>14</v>
      </c>
      <c r="AJ849">
        <v>3</v>
      </c>
      <c r="AK849">
        <v>3</v>
      </c>
      <c r="AL849">
        <v>13</v>
      </c>
      <c r="AM849">
        <v>9</v>
      </c>
      <c r="AN849">
        <v>4</v>
      </c>
      <c r="AO849">
        <v>9</v>
      </c>
      <c r="AP84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849" t="str">
        <f>IF(HRData[[#This Row],[Attrition]]="Yes","Left", IF(HRData[[#This Row],[Attrition_Risk_Score]]&gt;=6,"High",IF(HRData[[#This Row],[Attrition_Risk_Score]]&gt;=3,"Medium","Low")))</f>
        <v>Medium</v>
      </c>
      <c r="AR849" t="str">
        <f>IF(HRData[[#This Row],[Attrition_Risk_Level]]&lt;&gt;"High","",HRData[[#This Row],[Attrition_Risk_Score]]*10000-HRData[[#This Row],[EmployeeNumber]])</f>
        <v/>
      </c>
    </row>
    <row r="850" spans="1:44">
      <c r="A850">
        <v>35</v>
      </c>
      <c r="B850" t="str" cm="1">
        <f t="array" ref="B850">_xlfn.IFS(
HRData[[#This Row],[Age]]&lt;=24,"18-24",
HRData[[#This Row],[Age]]&lt;=34,"25-34",
HRData[[#This Row],[Age]]&lt;=44,"35-44",
HRData[[#This Row],[Age]]&lt;=54,"45-54",
HRData[[#This Row],[Age]]&gt;=55,"55+"
)</f>
        <v>35-44</v>
      </c>
      <c r="C850" t="s">
        <v>43</v>
      </c>
      <c r="D850">
        <f>IF(HRData[[#This Row],[Attrition]]="Yes",1,0)</f>
        <v>0</v>
      </c>
      <c r="E850" t="s">
        <v>44</v>
      </c>
      <c r="F850">
        <v>636</v>
      </c>
      <c r="G850" t="s">
        <v>45</v>
      </c>
      <c r="H850">
        <v>4</v>
      </c>
      <c r="I850">
        <v>4</v>
      </c>
      <c r="J850" t="s">
        <v>49</v>
      </c>
      <c r="K850">
        <v>1</v>
      </c>
      <c r="L850">
        <v>1185</v>
      </c>
      <c r="M850">
        <v>4</v>
      </c>
      <c r="N850" t="str" cm="1">
        <f t="array" ref="N850">_xlfn.IFS(HRData[[#This Row],[EnvironmentSatisfaction]]=1,"Very Dissatisfied",
HRData[[#This Row],[EnvironmentSatisfaction]]=2,"Dissatisfied",
HRData[[#This Row],[EnvironmentSatisfaction]]=3,"Satisfied",
HRData[[#This Row],[EnvironmentSatisfaction]]=4,"Very Satisfied"
)</f>
        <v>Very Satisfied</v>
      </c>
      <c r="O850" t="s">
        <v>46</v>
      </c>
      <c r="P850">
        <v>47</v>
      </c>
      <c r="Q850">
        <v>2</v>
      </c>
      <c r="R850">
        <v>1</v>
      </c>
      <c r="S850" t="s">
        <v>50</v>
      </c>
      <c r="T850">
        <v>4</v>
      </c>
      <c r="U850" t="str" cm="1">
        <f t="array" ref="U850">_xlfn.IFS(
HRData[[#This Row],[JobSatisfaction]]=1,"Very Dissatisfied",
HRData[[#This Row],[JobSatisfaction]]=2,"Dissatisfied",
HRData[[#This Row],[JobSatisfaction]]=3,"Satisfied",
HRData[[#This Row],[JobSatisfaction]]=4,"Very Satisfied"
)</f>
        <v>Very Satisfied</v>
      </c>
      <c r="V850" t="s">
        <v>48</v>
      </c>
      <c r="W850">
        <v>2376</v>
      </c>
      <c r="X850" t="str" cm="1">
        <f t="array" ref="X850">_xlfn.IFS(
HRData[[#This Row],[MonthlyIncome]]&lt;=4000,"Very Low Income",
HRData[[#This Row],[MonthlyIncome]]&lt;=8000,"Low Income",
HRData[[#This Row],[MonthlyIncome]]&lt;=12000,"Moderate Income",
HRData[[#This Row],[MonthlyIncome]]&lt;=16000,"High Income",
HRData[[#This Row],[MonthlyIncome]]&gt;16000,"Very High Income"
)</f>
        <v>Very Low Income</v>
      </c>
      <c r="Y850">
        <v>26537</v>
      </c>
      <c r="Z850">
        <v>1</v>
      </c>
      <c r="AA850" t="s">
        <v>42</v>
      </c>
      <c r="AB850" t="s">
        <v>43</v>
      </c>
      <c r="AC850">
        <v>13</v>
      </c>
      <c r="AD850" t="str" cm="1">
        <f t="array" ref="AD850">_xlfn.IFS(HRData[[#This Row],[PercentSalaryHike]]&lt;=15,"11-15",HRData[[#This Row],[PercentSalaryHike]]&lt;=20,"16-20",HRData[[#This Row],[PercentSalaryHike]]&gt;=21,"21+")</f>
        <v>11-15</v>
      </c>
      <c r="AE850">
        <v>3</v>
      </c>
      <c r="AF850">
        <v>2</v>
      </c>
      <c r="AG850">
        <v>80</v>
      </c>
      <c r="AH850">
        <v>1</v>
      </c>
      <c r="AI850">
        <v>2</v>
      </c>
      <c r="AJ850">
        <v>2</v>
      </c>
      <c r="AK850">
        <v>4</v>
      </c>
      <c r="AL850">
        <v>2</v>
      </c>
      <c r="AM850">
        <v>2</v>
      </c>
      <c r="AN850">
        <v>2</v>
      </c>
      <c r="AO850">
        <v>2</v>
      </c>
      <c r="AP85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50" t="str">
        <f>IF(HRData[[#This Row],[Attrition]]="Yes","Left", IF(HRData[[#This Row],[Attrition_Risk_Score]]&gt;=6,"High",IF(HRData[[#This Row],[Attrition_Risk_Score]]&gt;=3,"Medium","Low")))</f>
        <v>Medium</v>
      </c>
      <c r="AR850" t="str">
        <f>IF(HRData[[#This Row],[Attrition_Risk_Level]]&lt;&gt;"High","",HRData[[#This Row],[Attrition_Risk_Score]]*10000-HRData[[#This Row],[EmployeeNumber]])</f>
        <v/>
      </c>
    </row>
    <row r="851" spans="1:44">
      <c r="A851">
        <v>43</v>
      </c>
      <c r="B851" t="str" cm="1">
        <f t="array" ref="B851">_xlfn.IFS(
HRData[[#This Row],[Age]]&lt;=24,"18-24",
HRData[[#This Row],[Age]]&lt;=34,"25-34",
HRData[[#This Row],[Age]]&lt;=44,"35-44",
HRData[[#This Row],[Age]]&lt;=54,"45-54",
HRData[[#This Row],[Age]]&gt;=55,"55+"
)</f>
        <v>35-44</v>
      </c>
      <c r="C851" t="s">
        <v>35</v>
      </c>
      <c r="D851">
        <f>IF(HRData[[#This Row],[Attrition]]="Yes",1,0)</f>
        <v>1</v>
      </c>
      <c r="E851" t="s">
        <v>36</v>
      </c>
      <c r="F851">
        <v>1372</v>
      </c>
      <c r="G851" t="s">
        <v>37</v>
      </c>
      <c r="H851">
        <v>9</v>
      </c>
      <c r="I851">
        <v>3</v>
      </c>
      <c r="J851" t="s">
        <v>59</v>
      </c>
      <c r="K851">
        <v>1</v>
      </c>
      <c r="L851">
        <v>1188</v>
      </c>
      <c r="M851">
        <v>1</v>
      </c>
      <c r="N851" t="str" cm="1">
        <f t="array" ref="N851">_xlfn.IFS(HRData[[#This Row],[EnvironmentSatisfaction]]=1,"Very Dissatisfied",
HRData[[#This Row],[EnvironmentSatisfaction]]=2,"Dissatisfied",
HRData[[#This Row],[EnvironmentSatisfaction]]=3,"Satisfied",
HRData[[#This Row],[EnvironmentSatisfaction]]=4,"Very Satisfied"
)</f>
        <v>Very Dissatisfied</v>
      </c>
      <c r="O851" t="s">
        <v>39</v>
      </c>
      <c r="P851">
        <v>85</v>
      </c>
      <c r="Q851">
        <v>1</v>
      </c>
      <c r="R851">
        <v>2</v>
      </c>
      <c r="S851" t="s">
        <v>40</v>
      </c>
      <c r="T851">
        <v>3</v>
      </c>
      <c r="U851" t="str" cm="1">
        <f t="array" ref="U851">_xlfn.IFS(
HRData[[#This Row],[JobSatisfaction]]=1,"Very Dissatisfied",
HRData[[#This Row],[JobSatisfaction]]=2,"Dissatisfied",
HRData[[#This Row],[JobSatisfaction]]=3,"Satisfied",
HRData[[#This Row],[JobSatisfaction]]=4,"Very Satisfied"
)</f>
        <v>Satisfied</v>
      </c>
      <c r="V851" t="s">
        <v>41</v>
      </c>
      <c r="W851">
        <v>5346</v>
      </c>
      <c r="X851" t="str" cm="1">
        <f t="array" ref="X851">_xlfn.IFS(
HRData[[#This Row],[MonthlyIncome]]&lt;=4000,"Very Low Income",
HRData[[#This Row],[MonthlyIncome]]&lt;=8000,"Low Income",
HRData[[#This Row],[MonthlyIncome]]&lt;=12000,"Moderate Income",
HRData[[#This Row],[MonthlyIncome]]&lt;=16000,"High Income",
HRData[[#This Row],[MonthlyIncome]]&gt;16000,"Very High Income"
)</f>
        <v>Low Income</v>
      </c>
      <c r="Y851">
        <v>9489</v>
      </c>
      <c r="Z851">
        <v>8</v>
      </c>
      <c r="AA851" t="s">
        <v>42</v>
      </c>
      <c r="AB851" t="s">
        <v>43</v>
      </c>
      <c r="AC851">
        <v>13</v>
      </c>
      <c r="AD851" t="str" cm="1">
        <f t="array" ref="AD851">_xlfn.IFS(HRData[[#This Row],[PercentSalaryHike]]&lt;=15,"11-15",HRData[[#This Row],[PercentSalaryHike]]&lt;=20,"16-20",HRData[[#This Row],[PercentSalaryHike]]&gt;=21,"21+")</f>
        <v>11-15</v>
      </c>
      <c r="AE851">
        <v>3</v>
      </c>
      <c r="AF851">
        <v>2</v>
      </c>
      <c r="AG851">
        <v>80</v>
      </c>
      <c r="AH851">
        <v>0</v>
      </c>
      <c r="AI851">
        <v>7</v>
      </c>
      <c r="AJ851">
        <v>2</v>
      </c>
      <c r="AK851">
        <v>2</v>
      </c>
      <c r="AL851">
        <v>4</v>
      </c>
      <c r="AM851">
        <v>3</v>
      </c>
      <c r="AN851">
        <v>1</v>
      </c>
      <c r="AO851">
        <v>3</v>
      </c>
      <c r="AP85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51" t="str">
        <f>IF(HRData[[#This Row],[Attrition]]="Yes","Left", IF(HRData[[#This Row],[Attrition_Risk_Score]]&gt;=6,"High",IF(HRData[[#This Row],[Attrition_Risk_Score]]&gt;=3,"Medium","Low")))</f>
        <v>Left</v>
      </c>
      <c r="AR851" t="str">
        <f>IF(HRData[[#This Row],[Attrition_Risk_Level]]&lt;&gt;"High","",HRData[[#This Row],[Attrition_Risk_Score]]*10000-HRData[[#This Row],[EmployeeNumber]])</f>
        <v/>
      </c>
    </row>
    <row r="852" spans="1:44">
      <c r="A852">
        <v>32</v>
      </c>
      <c r="B852" t="str" cm="1">
        <f t="array" ref="B852">_xlfn.IFS(
HRData[[#This Row],[Age]]&lt;=24,"18-24",
HRData[[#This Row],[Age]]&lt;=34,"25-34",
HRData[[#This Row],[Age]]&lt;=44,"35-44",
HRData[[#This Row],[Age]]&lt;=54,"45-54",
HRData[[#This Row],[Age]]&gt;=55,"55+"
)</f>
        <v>25-34</v>
      </c>
      <c r="C852" t="s">
        <v>43</v>
      </c>
      <c r="D852">
        <f>IF(HRData[[#This Row],[Attrition]]="Yes",1,0)</f>
        <v>0</v>
      </c>
      <c r="E852" t="s">
        <v>55</v>
      </c>
      <c r="F852">
        <v>862</v>
      </c>
      <c r="G852" t="s">
        <v>37</v>
      </c>
      <c r="H852">
        <v>2</v>
      </c>
      <c r="I852">
        <v>1</v>
      </c>
      <c r="J852" t="s">
        <v>38</v>
      </c>
      <c r="K852">
        <v>1</v>
      </c>
      <c r="L852">
        <v>1190</v>
      </c>
      <c r="M852">
        <v>3</v>
      </c>
      <c r="N852" t="str" cm="1">
        <f t="array" ref="N852">_xlfn.IFS(HRData[[#This Row],[EnvironmentSatisfaction]]=1,"Very Dissatisfied",
HRData[[#This Row],[EnvironmentSatisfaction]]=2,"Dissatisfied",
HRData[[#This Row],[EnvironmentSatisfaction]]=3,"Satisfied",
HRData[[#This Row],[EnvironmentSatisfaction]]=4,"Very Satisfied"
)</f>
        <v>Satisfied</v>
      </c>
      <c r="O852" t="s">
        <v>39</v>
      </c>
      <c r="P852">
        <v>76</v>
      </c>
      <c r="Q852">
        <v>3</v>
      </c>
      <c r="R852">
        <v>1</v>
      </c>
      <c r="S852" t="s">
        <v>57</v>
      </c>
      <c r="T852">
        <v>1</v>
      </c>
      <c r="U852" t="str" cm="1">
        <f t="array" ref="U852">_xlfn.IFS(
HRData[[#This Row],[JobSatisfaction]]=1,"Very Dissatisfied",
HRData[[#This Row],[JobSatisfaction]]=2,"Dissatisfied",
HRData[[#This Row],[JobSatisfaction]]=3,"Satisfied",
HRData[[#This Row],[JobSatisfaction]]=4,"Very Satisfied"
)</f>
        <v>Very Dissatisfied</v>
      </c>
      <c r="V852" t="s">
        <v>52</v>
      </c>
      <c r="W852">
        <v>2827</v>
      </c>
      <c r="X852" t="str" cm="1">
        <f t="array" ref="X852">_xlfn.IFS(
HRData[[#This Row],[MonthlyIncome]]&lt;=4000,"Very Low Income",
HRData[[#This Row],[MonthlyIncome]]&lt;=8000,"Low Income",
HRData[[#This Row],[MonthlyIncome]]&lt;=12000,"Moderate Income",
HRData[[#This Row],[MonthlyIncome]]&lt;=16000,"High Income",
HRData[[#This Row],[MonthlyIncome]]&gt;16000,"Very High Income"
)</f>
        <v>Very Low Income</v>
      </c>
      <c r="Y852">
        <v>14947</v>
      </c>
      <c r="Z852">
        <v>1</v>
      </c>
      <c r="AA852" t="s">
        <v>42</v>
      </c>
      <c r="AB852" t="s">
        <v>43</v>
      </c>
      <c r="AC852">
        <v>12</v>
      </c>
      <c r="AD852" t="str" cm="1">
        <f t="array" ref="AD852">_xlfn.IFS(HRData[[#This Row],[PercentSalaryHike]]&lt;=15,"11-15",HRData[[#This Row],[PercentSalaryHike]]&lt;=20,"16-20",HRData[[#This Row],[PercentSalaryHike]]&gt;=21,"21+")</f>
        <v>11-15</v>
      </c>
      <c r="AE852">
        <v>3</v>
      </c>
      <c r="AF852">
        <v>3</v>
      </c>
      <c r="AG852">
        <v>80</v>
      </c>
      <c r="AH852">
        <v>3</v>
      </c>
      <c r="AI852">
        <v>1</v>
      </c>
      <c r="AJ852">
        <v>3</v>
      </c>
      <c r="AK852">
        <v>3</v>
      </c>
      <c r="AL852">
        <v>1</v>
      </c>
      <c r="AM852">
        <v>0</v>
      </c>
      <c r="AN852">
        <v>0</v>
      </c>
      <c r="AO852">
        <v>0</v>
      </c>
      <c r="AP85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852" t="str">
        <f>IF(HRData[[#This Row],[Attrition]]="Yes","Left", IF(HRData[[#This Row],[Attrition_Risk_Score]]&gt;=6,"High",IF(HRData[[#This Row],[Attrition_Risk_Score]]&gt;=3,"Medium","Low")))</f>
        <v>High</v>
      </c>
      <c r="AR852">
        <f>IF(HRData[[#This Row],[Attrition_Risk_Level]]&lt;&gt;"High","",HRData[[#This Row],[Attrition_Risk_Score]]*10000-HRData[[#This Row],[EmployeeNumber]])</f>
        <v>68810</v>
      </c>
    </row>
    <row r="853" spans="1:44">
      <c r="A853">
        <v>56</v>
      </c>
      <c r="B853" t="str" cm="1">
        <f t="array" ref="B853">_xlfn.IFS(
HRData[[#This Row],[Age]]&lt;=24,"18-24",
HRData[[#This Row],[Age]]&lt;=34,"25-34",
HRData[[#This Row],[Age]]&lt;=44,"35-44",
HRData[[#This Row],[Age]]&lt;=54,"45-54",
HRData[[#This Row],[Age]]&gt;=55,"55+"
)</f>
        <v>55+</v>
      </c>
      <c r="C853" t="s">
        <v>43</v>
      </c>
      <c r="D853">
        <f>IF(HRData[[#This Row],[Attrition]]="Yes",1,0)</f>
        <v>0</v>
      </c>
      <c r="E853" t="s">
        <v>36</v>
      </c>
      <c r="F853">
        <v>718</v>
      </c>
      <c r="G853" t="s">
        <v>45</v>
      </c>
      <c r="H853">
        <v>4</v>
      </c>
      <c r="I853">
        <v>4</v>
      </c>
      <c r="J853" t="s">
        <v>60</v>
      </c>
      <c r="K853">
        <v>1</v>
      </c>
      <c r="L853">
        <v>1191</v>
      </c>
      <c r="M853">
        <v>4</v>
      </c>
      <c r="N853" t="str" cm="1">
        <f t="array" ref="N853">_xlfn.IFS(HRData[[#This Row],[EnvironmentSatisfaction]]=1,"Very Dissatisfied",
HRData[[#This Row],[EnvironmentSatisfaction]]=2,"Dissatisfied",
HRData[[#This Row],[EnvironmentSatisfaction]]=3,"Satisfied",
HRData[[#This Row],[EnvironmentSatisfaction]]=4,"Very Satisfied"
)</f>
        <v>Very Satisfied</v>
      </c>
      <c r="O853" t="s">
        <v>39</v>
      </c>
      <c r="P853">
        <v>92</v>
      </c>
      <c r="Q853">
        <v>3</v>
      </c>
      <c r="R853">
        <v>5</v>
      </c>
      <c r="S853" t="s">
        <v>56</v>
      </c>
      <c r="T853">
        <v>1</v>
      </c>
      <c r="U853" t="str" cm="1">
        <f t="array" ref="U853">_xlfn.IFS(
HRData[[#This Row],[JobSatisfaction]]=1,"Very Dissatisfied",
HRData[[#This Row],[JobSatisfaction]]=2,"Dissatisfied",
HRData[[#This Row],[JobSatisfaction]]=3,"Satisfied",
HRData[[#This Row],[JobSatisfaction]]=4,"Very Satisfied"
)</f>
        <v>Very Dissatisfied</v>
      </c>
      <c r="V853" t="s">
        <v>52</v>
      </c>
      <c r="W853">
        <v>19943</v>
      </c>
      <c r="X853" t="str" cm="1">
        <f t="array" ref="X853">_xlfn.IFS(
HRData[[#This Row],[MonthlyIncome]]&lt;=4000,"Very Low Income",
HRData[[#This Row],[MonthlyIncome]]&lt;=8000,"Low Income",
HRData[[#This Row],[MonthlyIncome]]&lt;=12000,"Moderate Income",
HRData[[#This Row],[MonthlyIncome]]&lt;=16000,"High Income",
HRData[[#This Row],[MonthlyIncome]]&gt;16000,"Very High Income"
)</f>
        <v>Very High Income</v>
      </c>
      <c r="Y853">
        <v>18575</v>
      </c>
      <c r="Z853">
        <v>4</v>
      </c>
      <c r="AA853" t="s">
        <v>42</v>
      </c>
      <c r="AB853" t="s">
        <v>43</v>
      </c>
      <c r="AC853">
        <v>13</v>
      </c>
      <c r="AD853" t="str" cm="1">
        <f t="array" ref="AD853">_xlfn.IFS(HRData[[#This Row],[PercentSalaryHike]]&lt;=15,"11-15",HRData[[#This Row],[PercentSalaryHike]]&lt;=20,"16-20",HRData[[#This Row],[PercentSalaryHike]]&gt;=21,"21+")</f>
        <v>11-15</v>
      </c>
      <c r="AE853">
        <v>3</v>
      </c>
      <c r="AF853">
        <v>4</v>
      </c>
      <c r="AG853">
        <v>80</v>
      </c>
      <c r="AH853">
        <v>1</v>
      </c>
      <c r="AI853">
        <v>28</v>
      </c>
      <c r="AJ853">
        <v>2</v>
      </c>
      <c r="AK853">
        <v>3</v>
      </c>
      <c r="AL853">
        <v>5</v>
      </c>
      <c r="AM853">
        <v>2</v>
      </c>
      <c r="AN853">
        <v>4</v>
      </c>
      <c r="AO853">
        <v>2</v>
      </c>
      <c r="AP85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53" t="str">
        <f>IF(HRData[[#This Row],[Attrition]]="Yes","Left", IF(HRData[[#This Row],[Attrition_Risk_Score]]&gt;=6,"High",IF(HRData[[#This Row],[Attrition_Risk_Score]]&gt;=3,"Medium","Low")))</f>
        <v>Low</v>
      </c>
      <c r="AR853" t="str">
        <f>IF(HRData[[#This Row],[Attrition_Risk_Level]]&lt;&gt;"High","",HRData[[#This Row],[Attrition_Risk_Score]]*10000-HRData[[#This Row],[EmployeeNumber]])</f>
        <v/>
      </c>
    </row>
    <row r="854" spans="1:44">
      <c r="A854">
        <v>29</v>
      </c>
      <c r="B854" t="str" cm="1">
        <f t="array" ref="B854">_xlfn.IFS(
HRData[[#This Row],[Age]]&lt;=24,"18-24",
HRData[[#This Row],[Age]]&lt;=34,"25-34",
HRData[[#This Row],[Age]]&lt;=44,"35-44",
HRData[[#This Row],[Age]]&lt;=54,"45-54",
HRData[[#This Row],[Age]]&gt;=55,"55+"
)</f>
        <v>25-34</v>
      </c>
      <c r="C854" t="s">
        <v>43</v>
      </c>
      <c r="D854">
        <f>IF(HRData[[#This Row],[Attrition]]="Yes",1,0)</f>
        <v>0</v>
      </c>
      <c r="E854" t="s">
        <v>36</v>
      </c>
      <c r="F854">
        <v>1401</v>
      </c>
      <c r="G854" t="s">
        <v>45</v>
      </c>
      <c r="H854">
        <v>6</v>
      </c>
      <c r="I854">
        <v>1</v>
      </c>
      <c r="J854" t="s">
        <v>51</v>
      </c>
      <c r="K854">
        <v>1</v>
      </c>
      <c r="L854">
        <v>1192</v>
      </c>
      <c r="M854">
        <v>2</v>
      </c>
      <c r="N854" t="str" cm="1">
        <f t="array" ref="N854">_xlfn.IFS(HRData[[#This Row],[EnvironmentSatisfaction]]=1,"Very Dissatisfied",
HRData[[#This Row],[EnvironmentSatisfaction]]=2,"Dissatisfied",
HRData[[#This Row],[EnvironmentSatisfaction]]=3,"Satisfied",
HRData[[#This Row],[EnvironmentSatisfaction]]=4,"Very Satisfied"
)</f>
        <v>Dissatisfied</v>
      </c>
      <c r="O854" t="s">
        <v>39</v>
      </c>
      <c r="P854">
        <v>54</v>
      </c>
      <c r="Q854">
        <v>3</v>
      </c>
      <c r="R854">
        <v>1</v>
      </c>
      <c r="S854" t="s">
        <v>50</v>
      </c>
      <c r="T854">
        <v>4</v>
      </c>
      <c r="U854" t="str" cm="1">
        <f t="array" ref="U854">_xlfn.IFS(
HRData[[#This Row],[JobSatisfaction]]=1,"Very Dissatisfied",
HRData[[#This Row],[JobSatisfaction]]=2,"Dissatisfied",
HRData[[#This Row],[JobSatisfaction]]=3,"Satisfied",
HRData[[#This Row],[JobSatisfaction]]=4,"Very Satisfied"
)</f>
        <v>Very Satisfied</v>
      </c>
      <c r="V854" t="s">
        <v>48</v>
      </c>
      <c r="W854">
        <v>3131</v>
      </c>
      <c r="X854" t="str" cm="1">
        <f t="array" ref="X854">_xlfn.IFS(
HRData[[#This Row],[MonthlyIncome]]&lt;=4000,"Very Low Income",
HRData[[#This Row],[MonthlyIncome]]&lt;=8000,"Low Income",
HRData[[#This Row],[MonthlyIncome]]&lt;=12000,"Moderate Income",
HRData[[#This Row],[MonthlyIncome]]&lt;=16000,"High Income",
HRData[[#This Row],[MonthlyIncome]]&gt;16000,"Very High Income"
)</f>
        <v>Very Low Income</v>
      </c>
      <c r="Y854">
        <v>26342</v>
      </c>
      <c r="Z854">
        <v>1</v>
      </c>
      <c r="AA854" t="s">
        <v>42</v>
      </c>
      <c r="AB854" t="s">
        <v>43</v>
      </c>
      <c r="AC854">
        <v>13</v>
      </c>
      <c r="AD854" t="str" cm="1">
        <f t="array" ref="AD854">_xlfn.IFS(HRData[[#This Row],[PercentSalaryHike]]&lt;=15,"11-15",HRData[[#This Row],[PercentSalaryHike]]&lt;=20,"16-20",HRData[[#This Row],[PercentSalaryHike]]&gt;=21,"21+")</f>
        <v>11-15</v>
      </c>
      <c r="AE854">
        <v>3</v>
      </c>
      <c r="AF854">
        <v>1</v>
      </c>
      <c r="AG854">
        <v>80</v>
      </c>
      <c r="AH854">
        <v>1</v>
      </c>
      <c r="AI854">
        <v>10</v>
      </c>
      <c r="AJ854">
        <v>5</v>
      </c>
      <c r="AK854">
        <v>3</v>
      </c>
      <c r="AL854">
        <v>10</v>
      </c>
      <c r="AM854">
        <v>8</v>
      </c>
      <c r="AN854">
        <v>0</v>
      </c>
      <c r="AO854">
        <v>8</v>
      </c>
      <c r="AP85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854" t="str">
        <f>IF(HRData[[#This Row],[Attrition]]="Yes","Left", IF(HRData[[#This Row],[Attrition_Risk_Score]]&gt;=6,"High",IF(HRData[[#This Row],[Attrition_Risk_Score]]&gt;=3,"Medium","Low")))</f>
        <v>Medium</v>
      </c>
      <c r="AR854" t="str">
        <f>IF(HRData[[#This Row],[Attrition_Risk_Level]]&lt;&gt;"High","",HRData[[#This Row],[Attrition_Risk_Score]]*10000-HRData[[#This Row],[EmployeeNumber]])</f>
        <v/>
      </c>
    </row>
    <row r="855" spans="1:44">
      <c r="A855">
        <v>19</v>
      </c>
      <c r="B855" t="str" cm="1">
        <f t="array" ref="B855">_xlfn.IFS(
HRData[[#This Row],[Age]]&lt;=24,"18-24",
HRData[[#This Row],[Age]]&lt;=34,"25-34",
HRData[[#This Row],[Age]]&lt;=44,"35-44",
HRData[[#This Row],[Age]]&lt;=54,"45-54",
HRData[[#This Row],[Age]]&gt;=55,"55+"
)</f>
        <v>18-24</v>
      </c>
      <c r="C855" t="s">
        <v>43</v>
      </c>
      <c r="D855">
        <f>IF(HRData[[#This Row],[Attrition]]="Yes",1,0)</f>
        <v>0</v>
      </c>
      <c r="E855" t="s">
        <v>36</v>
      </c>
      <c r="F855">
        <v>645</v>
      </c>
      <c r="G855" t="s">
        <v>45</v>
      </c>
      <c r="H855">
        <v>9</v>
      </c>
      <c r="I855">
        <v>2</v>
      </c>
      <c r="J855" t="s">
        <v>38</v>
      </c>
      <c r="K855">
        <v>1</v>
      </c>
      <c r="L855">
        <v>1193</v>
      </c>
      <c r="M855">
        <v>3</v>
      </c>
      <c r="N855" t="str" cm="1">
        <f t="array" ref="N855">_xlfn.IFS(HRData[[#This Row],[EnvironmentSatisfaction]]=1,"Very Dissatisfied",
HRData[[#This Row],[EnvironmentSatisfaction]]=2,"Dissatisfied",
HRData[[#This Row],[EnvironmentSatisfaction]]=3,"Satisfied",
HRData[[#This Row],[EnvironmentSatisfaction]]=4,"Very Satisfied"
)</f>
        <v>Satisfied</v>
      </c>
      <c r="O855" t="s">
        <v>46</v>
      </c>
      <c r="P855">
        <v>54</v>
      </c>
      <c r="Q855">
        <v>3</v>
      </c>
      <c r="R855">
        <v>1</v>
      </c>
      <c r="S855" t="s">
        <v>47</v>
      </c>
      <c r="T855">
        <v>1</v>
      </c>
      <c r="U855" t="str" cm="1">
        <f t="array" ref="U855">_xlfn.IFS(
HRData[[#This Row],[JobSatisfaction]]=1,"Very Dissatisfied",
HRData[[#This Row],[JobSatisfaction]]=2,"Dissatisfied",
HRData[[#This Row],[JobSatisfaction]]=3,"Satisfied",
HRData[[#This Row],[JobSatisfaction]]=4,"Very Satisfied"
)</f>
        <v>Very Dissatisfied</v>
      </c>
      <c r="V855" t="s">
        <v>41</v>
      </c>
      <c r="W855">
        <v>2552</v>
      </c>
      <c r="X855" t="str" cm="1">
        <f t="array" ref="X855">_xlfn.IFS(
HRData[[#This Row],[MonthlyIncome]]&lt;=4000,"Very Low Income",
HRData[[#This Row],[MonthlyIncome]]&lt;=8000,"Low Income",
HRData[[#This Row],[MonthlyIncome]]&lt;=12000,"Moderate Income",
HRData[[#This Row],[MonthlyIncome]]&lt;=16000,"High Income",
HRData[[#This Row],[MonthlyIncome]]&gt;16000,"Very High Income"
)</f>
        <v>Very Low Income</v>
      </c>
      <c r="Y855">
        <v>7172</v>
      </c>
      <c r="Z855">
        <v>1</v>
      </c>
      <c r="AA855" t="s">
        <v>42</v>
      </c>
      <c r="AB855" t="s">
        <v>43</v>
      </c>
      <c r="AC855">
        <v>25</v>
      </c>
      <c r="AD855" t="str" cm="1">
        <f t="array" ref="AD855">_xlfn.IFS(HRData[[#This Row],[PercentSalaryHike]]&lt;=15,"11-15",HRData[[#This Row],[PercentSalaryHike]]&lt;=20,"16-20",HRData[[#This Row],[PercentSalaryHike]]&gt;=21,"21+")</f>
        <v>21+</v>
      </c>
      <c r="AE855">
        <v>4</v>
      </c>
      <c r="AF855">
        <v>3</v>
      </c>
      <c r="AG855">
        <v>80</v>
      </c>
      <c r="AH855">
        <v>0</v>
      </c>
      <c r="AI855">
        <v>1</v>
      </c>
      <c r="AJ855">
        <v>4</v>
      </c>
      <c r="AK855">
        <v>3</v>
      </c>
      <c r="AL855">
        <v>1</v>
      </c>
      <c r="AM855">
        <v>1</v>
      </c>
      <c r="AN855">
        <v>0</v>
      </c>
      <c r="AO855">
        <v>0</v>
      </c>
      <c r="AP85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855" t="str">
        <f>IF(HRData[[#This Row],[Attrition]]="Yes","Left", IF(HRData[[#This Row],[Attrition_Risk_Score]]&gt;=6,"High",IF(HRData[[#This Row],[Attrition_Risk_Score]]&gt;=3,"Medium","Low")))</f>
        <v>High</v>
      </c>
      <c r="AR855">
        <f>IF(HRData[[#This Row],[Attrition_Risk_Level]]&lt;&gt;"High","",HRData[[#This Row],[Attrition_Risk_Score]]*10000-HRData[[#This Row],[EmployeeNumber]])</f>
        <v>58807</v>
      </c>
    </row>
    <row r="856" spans="1:44">
      <c r="A856">
        <v>45</v>
      </c>
      <c r="B856" t="str" cm="1">
        <f t="array" ref="B856">_xlfn.IFS(
HRData[[#This Row],[Age]]&lt;=24,"18-24",
HRData[[#This Row],[Age]]&lt;=34,"25-34",
HRData[[#This Row],[Age]]&lt;=44,"35-44",
HRData[[#This Row],[Age]]&lt;=54,"45-54",
HRData[[#This Row],[Age]]&gt;=55,"55+"
)</f>
        <v>45-54</v>
      </c>
      <c r="C856" t="s">
        <v>43</v>
      </c>
      <c r="D856">
        <f>IF(HRData[[#This Row],[Attrition]]="Yes",1,0)</f>
        <v>0</v>
      </c>
      <c r="E856" t="s">
        <v>36</v>
      </c>
      <c r="F856">
        <v>1457</v>
      </c>
      <c r="G856" t="s">
        <v>45</v>
      </c>
      <c r="H856">
        <v>7</v>
      </c>
      <c r="I856">
        <v>3</v>
      </c>
      <c r="J856" t="s">
        <v>51</v>
      </c>
      <c r="K856">
        <v>1</v>
      </c>
      <c r="L856">
        <v>1195</v>
      </c>
      <c r="M856">
        <v>1</v>
      </c>
      <c r="N856" t="str" cm="1">
        <f t="array" ref="N856">_xlfn.IFS(HRData[[#This Row],[EnvironmentSatisfaction]]=1,"Very Dissatisfied",
HRData[[#This Row],[EnvironmentSatisfaction]]=2,"Dissatisfied",
HRData[[#This Row],[EnvironmentSatisfaction]]=3,"Satisfied",
HRData[[#This Row],[EnvironmentSatisfaction]]=4,"Very Satisfied"
)</f>
        <v>Very Dissatisfied</v>
      </c>
      <c r="O856" t="s">
        <v>39</v>
      </c>
      <c r="P856">
        <v>83</v>
      </c>
      <c r="Q856">
        <v>3</v>
      </c>
      <c r="R856">
        <v>1</v>
      </c>
      <c r="S856" t="s">
        <v>47</v>
      </c>
      <c r="T856">
        <v>3</v>
      </c>
      <c r="U856" t="str" cm="1">
        <f t="array" ref="U856">_xlfn.IFS(
HRData[[#This Row],[JobSatisfaction]]=1,"Very Dissatisfied",
HRData[[#This Row],[JobSatisfaction]]=2,"Dissatisfied",
HRData[[#This Row],[JobSatisfaction]]=3,"Satisfied",
HRData[[#This Row],[JobSatisfaction]]=4,"Very Satisfied"
)</f>
        <v>Satisfied</v>
      </c>
      <c r="V856" t="s">
        <v>48</v>
      </c>
      <c r="W856">
        <v>4477</v>
      </c>
      <c r="X856" t="str" cm="1">
        <f t="array" ref="X856">_xlfn.IFS(
HRData[[#This Row],[MonthlyIncome]]&lt;=4000,"Very Low Income",
HRData[[#This Row],[MonthlyIncome]]&lt;=8000,"Low Income",
HRData[[#This Row],[MonthlyIncome]]&lt;=12000,"Moderate Income",
HRData[[#This Row],[MonthlyIncome]]&lt;=16000,"High Income",
HRData[[#This Row],[MonthlyIncome]]&gt;16000,"Very High Income"
)</f>
        <v>Low Income</v>
      </c>
      <c r="Y856">
        <v>20100</v>
      </c>
      <c r="Z856">
        <v>4</v>
      </c>
      <c r="AA856" t="s">
        <v>42</v>
      </c>
      <c r="AB856" t="s">
        <v>35</v>
      </c>
      <c r="AC856">
        <v>19</v>
      </c>
      <c r="AD856" t="str" cm="1">
        <f t="array" ref="AD856">_xlfn.IFS(HRData[[#This Row],[PercentSalaryHike]]&lt;=15,"11-15",HRData[[#This Row],[PercentSalaryHike]]&lt;=20,"16-20",HRData[[#This Row],[PercentSalaryHike]]&gt;=21,"21+")</f>
        <v>16-20</v>
      </c>
      <c r="AE856">
        <v>3</v>
      </c>
      <c r="AF856">
        <v>3</v>
      </c>
      <c r="AG856">
        <v>80</v>
      </c>
      <c r="AH856">
        <v>1</v>
      </c>
      <c r="AI856">
        <v>7</v>
      </c>
      <c r="AJ856">
        <v>2</v>
      </c>
      <c r="AK856">
        <v>2</v>
      </c>
      <c r="AL856">
        <v>3</v>
      </c>
      <c r="AM856">
        <v>2</v>
      </c>
      <c r="AN856">
        <v>0</v>
      </c>
      <c r="AO856">
        <v>2</v>
      </c>
      <c r="AP85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56" t="str">
        <f>IF(HRData[[#This Row],[Attrition]]="Yes","Left", IF(HRData[[#This Row],[Attrition_Risk_Score]]&gt;=6,"High",IF(HRData[[#This Row],[Attrition_Risk_Score]]&gt;=3,"Medium","Low")))</f>
        <v>Medium</v>
      </c>
      <c r="AR856" t="str">
        <f>IF(HRData[[#This Row],[Attrition_Risk_Level]]&lt;&gt;"High","",HRData[[#This Row],[Attrition_Risk_Score]]*10000-HRData[[#This Row],[EmployeeNumber]])</f>
        <v/>
      </c>
    </row>
    <row r="857" spans="1:44">
      <c r="A857">
        <v>37</v>
      </c>
      <c r="B857" t="str" cm="1">
        <f t="array" ref="B857">_xlfn.IFS(
HRData[[#This Row],[Age]]&lt;=24,"18-24",
HRData[[#This Row],[Age]]&lt;=34,"25-34",
HRData[[#This Row],[Age]]&lt;=44,"35-44",
HRData[[#This Row],[Age]]&lt;=54,"45-54",
HRData[[#This Row],[Age]]&gt;=55,"55+"
)</f>
        <v>35-44</v>
      </c>
      <c r="C857" t="s">
        <v>43</v>
      </c>
      <c r="D857">
        <f>IF(HRData[[#This Row],[Attrition]]="Yes",1,0)</f>
        <v>0</v>
      </c>
      <c r="E857" t="s">
        <v>36</v>
      </c>
      <c r="F857">
        <v>977</v>
      </c>
      <c r="G857" t="s">
        <v>45</v>
      </c>
      <c r="H857">
        <v>1</v>
      </c>
      <c r="I857">
        <v>3</v>
      </c>
      <c r="J857" t="s">
        <v>38</v>
      </c>
      <c r="K857">
        <v>1</v>
      </c>
      <c r="L857">
        <v>1196</v>
      </c>
      <c r="M857">
        <v>4</v>
      </c>
      <c r="N857" t="str" cm="1">
        <f t="array" ref="N857">_xlfn.IFS(HRData[[#This Row],[EnvironmentSatisfaction]]=1,"Very Dissatisfied",
HRData[[#This Row],[EnvironmentSatisfaction]]=2,"Dissatisfied",
HRData[[#This Row],[EnvironmentSatisfaction]]=3,"Satisfied",
HRData[[#This Row],[EnvironmentSatisfaction]]=4,"Very Satisfied"
)</f>
        <v>Very Satisfied</v>
      </c>
      <c r="O857" t="s">
        <v>39</v>
      </c>
      <c r="P857">
        <v>56</v>
      </c>
      <c r="Q857">
        <v>2</v>
      </c>
      <c r="R857">
        <v>2</v>
      </c>
      <c r="S857" t="s">
        <v>53</v>
      </c>
      <c r="T857">
        <v>4</v>
      </c>
      <c r="U857" t="str" cm="1">
        <f t="array" ref="U857">_xlfn.IFS(
HRData[[#This Row],[JobSatisfaction]]=1,"Very Dissatisfied",
HRData[[#This Row],[JobSatisfaction]]=2,"Dissatisfied",
HRData[[#This Row],[JobSatisfaction]]=3,"Satisfied",
HRData[[#This Row],[JobSatisfaction]]=4,"Very Satisfied"
)</f>
        <v>Very Satisfied</v>
      </c>
      <c r="V857" t="s">
        <v>48</v>
      </c>
      <c r="W857">
        <v>6474</v>
      </c>
      <c r="X857" t="str" cm="1">
        <f t="array" ref="X857">_xlfn.IFS(
HRData[[#This Row],[MonthlyIncome]]&lt;=4000,"Very Low Income",
HRData[[#This Row],[MonthlyIncome]]&lt;=8000,"Low Income",
HRData[[#This Row],[MonthlyIncome]]&lt;=12000,"Moderate Income",
HRData[[#This Row],[MonthlyIncome]]&lt;=16000,"High Income",
HRData[[#This Row],[MonthlyIncome]]&gt;16000,"Very High Income"
)</f>
        <v>Low Income</v>
      </c>
      <c r="Y857">
        <v>9961</v>
      </c>
      <c r="Z857">
        <v>1</v>
      </c>
      <c r="AA857" t="s">
        <v>42</v>
      </c>
      <c r="AB857" t="s">
        <v>43</v>
      </c>
      <c r="AC857">
        <v>13</v>
      </c>
      <c r="AD857" t="str" cm="1">
        <f t="array" ref="AD857">_xlfn.IFS(HRData[[#This Row],[PercentSalaryHike]]&lt;=15,"11-15",HRData[[#This Row],[PercentSalaryHike]]&lt;=20,"16-20",HRData[[#This Row],[PercentSalaryHike]]&gt;=21,"21+")</f>
        <v>11-15</v>
      </c>
      <c r="AE857">
        <v>3</v>
      </c>
      <c r="AF857">
        <v>2</v>
      </c>
      <c r="AG857">
        <v>80</v>
      </c>
      <c r="AH857">
        <v>1</v>
      </c>
      <c r="AI857">
        <v>14</v>
      </c>
      <c r="AJ857">
        <v>2</v>
      </c>
      <c r="AK857">
        <v>2</v>
      </c>
      <c r="AL857">
        <v>14</v>
      </c>
      <c r="AM857">
        <v>8</v>
      </c>
      <c r="AN857">
        <v>3</v>
      </c>
      <c r="AO857">
        <v>11</v>
      </c>
      <c r="AP85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857" t="str">
        <f>IF(HRData[[#This Row],[Attrition]]="Yes","Left", IF(HRData[[#This Row],[Attrition_Risk_Score]]&gt;=6,"High",IF(HRData[[#This Row],[Attrition_Risk_Score]]&gt;=3,"Medium","Low")))</f>
        <v>Low</v>
      </c>
      <c r="AR857" t="str">
        <f>IF(HRData[[#This Row],[Attrition_Risk_Level]]&lt;&gt;"High","",HRData[[#This Row],[Attrition_Risk_Score]]*10000-HRData[[#This Row],[EmployeeNumber]])</f>
        <v/>
      </c>
    </row>
    <row r="858" spans="1:44">
      <c r="A858">
        <v>20</v>
      </c>
      <c r="B858" t="str" cm="1">
        <f t="array" ref="B858">_xlfn.IFS(
HRData[[#This Row],[Age]]&lt;=24,"18-24",
HRData[[#This Row],[Age]]&lt;=34,"25-34",
HRData[[#This Row],[Age]]&lt;=44,"35-44",
HRData[[#This Row],[Age]]&lt;=54,"45-54",
HRData[[#This Row],[Age]]&gt;=55,"55+"
)</f>
        <v>18-24</v>
      </c>
      <c r="C858" t="s">
        <v>43</v>
      </c>
      <c r="D858">
        <f>IF(HRData[[#This Row],[Attrition]]="Yes",1,0)</f>
        <v>0</v>
      </c>
      <c r="E858" t="s">
        <v>36</v>
      </c>
      <c r="F858">
        <v>805</v>
      </c>
      <c r="G858" t="s">
        <v>45</v>
      </c>
      <c r="H858">
        <v>3</v>
      </c>
      <c r="I858">
        <v>3</v>
      </c>
      <c r="J858" t="s">
        <v>38</v>
      </c>
      <c r="K858">
        <v>1</v>
      </c>
      <c r="L858">
        <v>1198</v>
      </c>
      <c r="M858">
        <v>1</v>
      </c>
      <c r="N858" t="str" cm="1">
        <f t="array" ref="N858">_xlfn.IFS(HRData[[#This Row],[EnvironmentSatisfaction]]=1,"Very Dissatisfied",
HRData[[#This Row],[EnvironmentSatisfaction]]=2,"Dissatisfied",
HRData[[#This Row],[EnvironmentSatisfaction]]=3,"Satisfied",
HRData[[#This Row],[EnvironmentSatisfaction]]=4,"Very Satisfied"
)</f>
        <v>Very Dissatisfied</v>
      </c>
      <c r="O858" t="s">
        <v>46</v>
      </c>
      <c r="P858">
        <v>87</v>
      </c>
      <c r="Q858">
        <v>2</v>
      </c>
      <c r="R858">
        <v>1</v>
      </c>
      <c r="S858" t="s">
        <v>50</v>
      </c>
      <c r="T858">
        <v>3</v>
      </c>
      <c r="U858" t="str" cm="1">
        <f t="array" ref="U858">_xlfn.IFS(
HRData[[#This Row],[JobSatisfaction]]=1,"Very Dissatisfied",
HRData[[#This Row],[JobSatisfaction]]=2,"Dissatisfied",
HRData[[#This Row],[JobSatisfaction]]=3,"Satisfied",
HRData[[#This Row],[JobSatisfaction]]=4,"Very Satisfied"
)</f>
        <v>Satisfied</v>
      </c>
      <c r="V858" t="s">
        <v>41</v>
      </c>
      <c r="W858">
        <v>3033</v>
      </c>
      <c r="X858" t="str" cm="1">
        <f t="array" ref="X858">_xlfn.IFS(
HRData[[#This Row],[MonthlyIncome]]&lt;=4000,"Very Low Income",
HRData[[#This Row],[MonthlyIncome]]&lt;=8000,"Low Income",
HRData[[#This Row],[MonthlyIncome]]&lt;=12000,"Moderate Income",
HRData[[#This Row],[MonthlyIncome]]&lt;=16000,"High Income",
HRData[[#This Row],[MonthlyIncome]]&gt;16000,"Very High Income"
)</f>
        <v>Very Low Income</v>
      </c>
      <c r="Y858">
        <v>12828</v>
      </c>
      <c r="Z858">
        <v>1</v>
      </c>
      <c r="AA858" t="s">
        <v>42</v>
      </c>
      <c r="AB858" t="s">
        <v>43</v>
      </c>
      <c r="AC858">
        <v>12</v>
      </c>
      <c r="AD858" t="str" cm="1">
        <f t="array" ref="AD858">_xlfn.IFS(HRData[[#This Row],[PercentSalaryHike]]&lt;=15,"11-15",HRData[[#This Row],[PercentSalaryHike]]&lt;=20,"16-20",HRData[[#This Row],[PercentSalaryHike]]&gt;=21,"21+")</f>
        <v>11-15</v>
      </c>
      <c r="AE858">
        <v>3</v>
      </c>
      <c r="AF858">
        <v>1</v>
      </c>
      <c r="AG858">
        <v>80</v>
      </c>
      <c r="AH858">
        <v>0</v>
      </c>
      <c r="AI858">
        <v>2</v>
      </c>
      <c r="AJ858">
        <v>2</v>
      </c>
      <c r="AK858">
        <v>2</v>
      </c>
      <c r="AL858">
        <v>2</v>
      </c>
      <c r="AM858">
        <v>2</v>
      </c>
      <c r="AN858">
        <v>1</v>
      </c>
      <c r="AO858">
        <v>2</v>
      </c>
      <c r="AP85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858" t="str">
        <f>IF(HRData[[#This Row],[Attrition]]="Yes","Left", IF(HRData[[#This Row],[Attrition_Risk_Score]]&gt;=6,"High",IF(HRData[[#This Row],[Attrition_Risk_Score]]&gt;=3,"Medium","Low")))</f>
        <v>Medium</v>
      </c>
      <c r="AR858" t="str">
        <f>IF(HRData[[#This Row],[Attrition_Risk_Level]]&lt;&gt;"High","",HRData[[#This Row],[Attrition_Risk_Score]]*10000-HRData[[#This Row],[EmployeeNumber]])</f>
        <v/>
      </c>
    </row>
    <row r="859" spans="1:44">
      <c r="A859">
        <v>44</v>
      </c>
      <c r="B859" t="str" cm="1">
        <f t="array" ref="B859">_xlfn.IFS(
HRData[[#This Row],[Age]]&lt;=24,"18-24",
HRData[[#This Row],[Age]]&lt;=34,"25-34",
HRData[[#This Row],[Age]]&lt;=44,"35-44",
HRData[[#This Row],[Age]]&lt;=54,"45-54",
HRData[[#This Row],[Age]]&gt;=55,"55+"
)</f>
        <v>35-44</v>
      </c>
      <c r="C859" t="s">
        <v>35</v>
      </c>
      <c r="D859">
        <f>IF(HRData[[#This Row],[Attrition]]="Yes",1,0)</f>
        <v>1</v>
      </c>
      <c r="E859" t="s">
        <v>36</v>
      </c>
      <c r="F859">
        <v>1097</v>
      </c>
      <c r="G859" t="s">
        <v>45</v>
      </c>
      <c r="H859">
        <v>10</v>
      </c>
      <c r="I859">
        <v>4</v>
      </c>
      <c r="J859" t="s">
        <v>38</v>
      </c>
      <c r="K859">
        <v>1</v>
      </c>
      <c r="L859">
        <v>1200</v>
      </c>
      <c r="M859">
        <v>3</v>
      </c>
      <c r="N859" t="str" cm="1">
        <f t="array" ref="N859">_xlfn.IFS(HRData[[#This Row],[EnvironmentSatisfaction]]=1,"Very Dissatisfied",
HRData[[#This Row],[EnvironmentSatisfaction]]=2,"Dissatisfied",
HRData[[#This Row],[EnvironmentSatisfaction]]=3,"Satisfied",
HRData[[#This Row],[EnvironmentSatisfaction]]=4,"Very Satisfied"
)</f>
        <v>Satisfied</v>
      </c>
      <c r="O859" t="s">
        <v>46</v>
      </c>
      <c r="P859">
        <v>96</v>
      </c>
      <c r="Q859">
        <v>3</v>
      </c>
      <c r="R859">
        <v>1</v>
      </c>
      <c r="S859" t="s">
        <v>47</v>
      </c>
      <c r="T859">
        <v>3</v>
      </c>
      <c r="U859" t="str" cm="1">
        <f t="array" ref="U859">_xlfn.IFS(
HRData[[#This Row],[JobSatisfaction]]=1,"Very Dissatisfied",
HRData[[#This Row],[JobSatisfaction]]=2,"Dissatisfied",
HRData[[#This Row],[JobSatisfaction]]=3,"Satisfied",
HRData[[#This Row],[JobSatisfaction]]=4,"Very Satisfied"
)</f>
        <v>Satisfied</v>
      </c>
      <c r="V859" t="s">
        <v>41</v>
      </c>
      <c r="W859">
        <v>2936</v>
      </c>
      <c r="X859" t="str" cm="1">
        <f t="array" ref="X859">_xlfn.IFS(
HRData[[#This Row],[MonthlyIncome]]&lt;=4000,"Very Low Income",
HRData[[#This Row],[MonthlyIncome]]&lt;=8000,"Low Income",
HRData[[#This Row],[MonthlyIncome]]&lt;=12000,"Moderate Income",
HRData[[#This Row],[MonthlyIncome]]&lt;=16000,"High Income",
HRData[[#This Row],[MonthlyIncome]]&gt;16000,"Very High Income"
)</f>
        <v>Very Low Income</v>
      </c>
      <c r="Y859">
        <v>10826</v>
      </c>
      <c r="Z859">
        <v>1</v>
      </c>
      <c r="AA859" t="s">
        <v>42</v>
      </c>
      <c r="AB859" t="s">
        <v>35</v>
      </c>
      <c r="AC859">
        <v>11</v>
      </c>
      <c r="AD859" t="str" cm="1">
        <f t="array" ref="AD859">_xlfn.IFS(HRData[[#This Row],[PercentSalaryHike]]&lt;=15,"11-15",HRData[[#This Row],[PercentSalaryHike]]&lt;=20,"16-20",HRData[[#This Row],[PercentSalaryHike]]&gt;=21,"21+")</f>
        <v>11-15</v>
      </c>
      <c r="AE859">
        <v>3</v>
      </c>
      <c r="AF859">
        <v>3</v>
      </c>
      <c r="AG859">
        <v>80</v>
      </c>
      <c r="AH859">
        <v>0</v>
      </c>
      <c r="AI859">
        <v>6</v>
      </c>
      <c r="AJ859">
        <v>4</v>
      </c>
      <c r="AK859">
        <v>3</v>
      </c>
      <c r="AL859">
        <v>6</v>
      </c>
      <c r="AM859">
        <v>4</v>
      </c>
      <c r="AN859">
        <v>0</v>
      </c>
      <c r="AO859">
        <v>2</v>
      </c>
      <c r="AP85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59" t="str">
        <f>IF(HRData[[#This Row],[Attrition]]="Yes","Left", IF(HRData[[#This Row],[Attrition_Risk_Score]]&gt;=6,"High",IF(HRData[[#This Row],[Attrition_Risk_Score]]&gt;=3,"Medium","Low")))</f>
        <v>Left</v>
      </c>
      <c r="AR859" t="str">
        <f>IF(HRData[[#This Row],[Attrition_Risk_Level]]&lt;&gt;"High","",HRData[[#This Row],[Attrition_Risk_Score]]*10000-HRData[[#This Row],[EmployeeNumber]])</f>
        <v/>
      </c>
    </row>
    <row r="860" spans="1:44">
      <c r="A860">
        <v>53</v>
      </c>
      <c r="B860" t="str" cm="1">
        <f t="array" ref="B860">_xlfn.IFS(
HRData[[#This Row],[Age]]&lt;=24,"18-24",
HRData[[#This Row],[Age]]&lt;=34,"25-34",
HRData[[#This Row],[Age]]&lt;=44,"35-44",
HRData[[#This Row],[Age]]&lt;=54,"45-54",
HRData[[#This Row],[Age]]&gt;=55,"55+"
)</f>
        <v>45-54</v>
      </c>
      <c r="C860" t="s">
        <v>43</v>
      </c>
      <c r="D860">
        <f>IF(HRData[[#This Row],[Attrition]]="Yes",1,0)</f>
        <v>0</v>
      </c>
      <c r="E860" t="s">
        <v>36</v>
      </c>
      <c r="F860">
        <v>1223</v>
      </c>
      <c r="G860" t="s">
        <v>45</v>
      </c>
      <c r="H860">
        <v>7</v>
      </c>
      <c r="I860">
        <v>2</v>
      </c>
      <c r="J860" t="s">
        <v>51</v>
      </c>
      <c r="K860">
        <v>1</v>
      </c>
      <c r="L860">
        <v>1201</v>
      </c>
      <c r="M860">
        <v>4</v>
      </c>
      <c r="N860" t="str" cm="1">
        <f t="array" ref="N860">_xlfn.IFS(HRData[[#This Row],[EnvironmentSatisfaction]]=1,"Very Dissatisfied",
HRData[[#This Row],[EnvironmentSatisfaction]]=2,"Dissatisfied",
HRData[[#This Row],[EnvironmentSatisfaction]]=3,"Satisfied",
HRData[[#This Row],[EnvironmentSatisfaction]]=4,"Very Satisfied"
)</f>
        <v>Very Satisfied</v>
      </c>
      <c r="O860" t="s">
        <v>39</v>
      </c>
      <c r="P860">
        <v>50</v>
      </c>
      <c r="Q860">
        <v>3</v>
      </c>
      <c r="R860">
        <v>5</v>
      </c>
      <c r="S860" t="s">
        <v>56</v>
      </c>
      <c r="T860">
        <v>3</v>
      </c>
      <c r="U860" t="str" cm="1">
        <f t="array" ref="U860">_xlfn.IFS(
HRData[[#This Row],[JobSatisfaction]]=1,"Very Dissatisfied",
HRData[[#This Row],[JobSatisfaction]]=2,"Dissatisfied",
HRData[[#This Row],[JobSatisfaction]]=3,"Satisfied",
HRData[[#This Row],[JobSatisfaction]]=4,"Very Satisfied"
)</f>
        <v>Satisfied</v>
      </c>
      <c r="V860" t="s">
        <v>52</v>
      </c>
      <c r="W860">
        <v>18606</v>
      </c>
      <c r="X860" t="str" cm="1">
        <f t="array" ref="X860">_xlfn.IFS(
HRData[[#This Row],[MonthlyIncome]]&lt;=4000,"Very Low Income",
HRData[[#This Row],[MonthlyIncome]]&lt;=8000,"Low Income",
HRData[[#This Row],[MonthlyIncome]]&lt;=12000,"Moderate Income",
HRData[[#This Row],[MonthlyIncome]]&lt;=16000,"High Income",
HRData[[#This Row],[MonthlyIncome]]&gt;16000,"Very High Income"
)</f>
        <v>Very High Income</v>
      </c>
      <c r="Y860">
        <v>18640</v>
      </c>
      <c r="Z860">
        <v>3</v>
      </c>
      <c r="AA860" t="s">
        <v>42</v>
      </c>
      <c r="AB860" t="s">
        <v>43</v>
      </c>
      <c r="AC860">
        <v>18</v>
      </c>
      <c r="AD860" t="str" cm="1">
        <f t="array" ref="AD860">_xlfn.IFS(HRData[[#This Row],[PercentSalaryHike]]&lt;=15,"11-15",HRData[[#This Row],[PercentSalaryHike]]&lt;=20,"16-20",HRData[[#This Row],[PercentSalaryHike]]&gt;=21,"21+")</f>
        <v>16-20</v>
      </c>
      <c r="AE860">
        <v>3</v>
      </c>
      <c r="AF860">
        <v>2</v>
      </c>
      <c r="AG860">
        <v>80</v>
      </c>
      <c r="AH860">
        <v>1</v>
      </c>
      <c r="AI860">
        <v>26</v>
      </c>
      <c r="AJ860">
        <v>6</v>
      </c>
      <c r="AK860">
        <v>3</v>
      </c>
      <c r="AL860">
        <v>7</v>
      </c>
      <c r="AM860">
        <v>7</v>
      </c>
      <c r="AN860">
        <v>4</v>
      </c>
      <c r="AO860">
        <v>7</v>
      </c>
      <c r="AP86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860" t="str">
        <f>IF(HRData[[#This Row],[Attrition]]="Yes","Left", IF(HRData[[#This Row],[Attrition_Risk_Score]]&gt;=6,"High",IF(HRData[[#This Row],[Attrition_Risk_Score]]&gt;=3,"Medium","Low")))</f>
        <v>Low</v>
      </c>
      <c r="AR860" t="str">
        <f>IF(HRData[[#This Row],[Attrition_Risk_Level]]&lt;&gt;"High","",HRData[[#This Row],[Attrition_Risk_Score]]*10000-HRData[[#This Row],[EmployeeNumber]])</f>
        <v/>
      </c>
    </row>
    <row r="861" spans="1:44">
      <c r="A861">
        <v>29</v>
      </c>
      <c r="B861" t="str" cm="1">
        <f t="array" ref="B861">_xlfn.IFS(
HRData[[#This Row],[Age]]&lt;=24,"18-24",
HRData[[#This Row],[Age]]&lt;=34,"25-34",
HRData[[#This Row],[Age]]&lt;=44,"35-44",
HRData[[#This Row],[Age]]&lt;=54,"45-54",
HRData[[#This Row],[Age]]&gt;=55,"55+"
)</f>
        <v>25-34</v>
      </c>
      <c r="C861" t="s">
        <v>43</v>
      </c>
      <c r="D861">
        <f>IF(HRData[[#This Row],[Attrition]]="Yes",1,0)</f>
        <v>0</v>
      </c>
      <c r="E861" t="s">
        <v>36</v>
      </c>
      <c r="F861">
        <v>942</v>
      </c>
      <c r="G861" t="s">
        <v>45</v>
      </c>
      <c r="H861">
        <v>15</v>
      </c>
      <c r="I861">
        <v>1</v>
      </c>
      <c r="J861" t="s">
        <v>38</v>
      </c>
      <c r="K861">
        <v>1</v>
      </c>
      <c r="L861">
        <v>1202</v>
      </c>
      <c r="M861">
        <v>2</v>
      </c>
      <c r="N861" t="str" cm="1">
        <f t="array" ref="N861">_xlfn.IFS(HRData[[#This Row],[EnvironmentSatisfaction]]=1,"Very Dissatisfied",
HRData[[#This Row],[EnvironmentSatisfaction]]=2,"Dissatisfied",
HRData[[#This Row],[EnvironmentSatisfaction]]=3,"Satisfied",
HRData[[#This Row],[EnvironmentSatisfaction]]=4,"Very Satisfied"
)</f>
        <v>Dissatisfied</v>
      </c>
      <c r="O861" t="s">
        <v>39</v>
      </c>
      <c r="P861">
        <v>69</v>
      </c>
      <c r="Q861">
        <v>1</v>
      </c>
      <c r="R861">
        <v>1</v>
      </c>
      <c r="S861" t="s">
        <v>47</v>
      </c>
      <c r="T861">
        <v>4</v>
      </c>
      <c r="U861" t="str" cm="1">
        <f t="array" ref="U861">_xlfn.IFS(
HRData[[#This Row],[JobSatisfaction]]=1,"Very Dissatisfied",
HRData[[#This Row],[JobSatisfaction]]=2,"Dissatisfied",
HRData[[#This Row],[JobSatisfaction]]=3,"Satisfied",
HRData[[#This Row],[JobSatisfaction]]=4,"Very Satisfied"
)</f>
        <v>Very Satisfied</v>
      </c>
      <c r="V861" t="s">
        <v>48</v>
      </c>
      <c r="W861">
        <v>2168</v>
      </c>
      <c r="X861" t="str" cm="1">
        <f t="array" ref="X861">_xlfn.IFS(
HRData[[#This Row],[MonthlyIncome]]&lt;=4000,"Very Low Income",
HRData[[#This Row],[MonthlyIncome]]&lt;=8000,"Low Income",
HRData[[#This Row],[MonthlyIncome]]&lt;=12000,"Moderate Income",
HRData[[#This Row],[MonthlyIncome]]&lt;=16000,"High Income",
HRData[[#This Row],[MonthlyIncome]]&gt;16000,"Very High Income"
)</f>
        <v>Very Low Income</v>
      </c>
      <c r="Y861">
        <v>26933</v>
      </c>
      <c r="Z861">
        <v>0</v>
      </c>
      <c r="AA861" t="s">
        <v>42</v>
      </c>
      <c r="AB861" t="s">
        <v>35</v>
      </c>
      <c r="AC861">
        <v>18</v>
      </c>
      <c r="AD861" t="str" cm="1">
        <f t="array" ref="AD861">_xlfn.IFS(HRData[[#This Row],[PercentSalaryHike]]&lt;=15,"11-15",HRData[[#This Row],[PercentSalaryHike]]&lt;=20,"16-20",HRData[[#This Row],[PercentSalaryHike]]&gt;=21,"21+")</f>
        <v>16-20</v>
      </c>
      <c r="AE861">
        <v>3</v>
      </c>
      <c r="AF861">
        <v>1</v>
      </c>
      <c r="AG861">
        <v>80</v>
      </c>
      <c r="AH861">
        <v>1</v>
      </c>
      <c r="AI861">
        <v>6</v>
      </c>
      <c r="AJ861">
        <v>2</v>
      </c>
      <c r="AK861">
        <v>2</v>
      </c>
      <c r="AL861">
        <v>5</v>
      </c>
      <c r="AM861">
        <v>4</v>
      </c>
      <c r="AN861">
        <v>1</v>
      </c>
      <c r="AO861">
        <v>3</v>
      </c>
      <c r="AP86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861" t="str">
        <f>IF(HRData[[#This Row],[Attrition]]="Yes","Left", IF(HRData[[#This Row],[Attrition_Risk_Score]]&gt;=6,"High",IF(HRData[[#This Row],[Attrition_Risk_Score]]&gt;=3,"Medium","Low")))</f>
        <v>Medium</v>
      </c>
      <c r="AR861" t="str">
        <f>IF(HRData[[#This Row],[Attrition_Risk_Level]]&lt;&gt;"High","",HRData[[#This Row],[Attrition_Risk_Score]]*10000-HRData[[#This Row],[EmployeeNumber]])</f>
        <v/>
      </c>
    </row>
    <row r="862" spans="1:44">
      <c r="A862">
        <v>22</v>
      </c>
      <c r="B862" t="str" cm="1">
        <f t="array" ref="B862">_xlfn.IFS(
HRData[[#This Row],[Age]]&lt;=24,"18-24",
HRData[[#This Row],[Age]]&lt;=34,"25-34",
HRData[[#This Row],[Age]]&lt;=44,"35-44",
HRData[[#This Row],[Age]]&lt;=54,"45-54",
HRData[[#This Row],[Age]]&gt;=55,"55+"
)</f>
        <v>18-24</v>
      </c>
      <c r="C862" t="s">
        <v>35</v>
      </c>
      <c r="D862">
        <f>IF(HRData[[#This Row],[Attrition]]="Yes",1,0)</f>
        <v>1</v>
      </c>
      <c r="E862" t="s">
        <v>44</v>
      </c>
      <c r="F862">
        <v>1256</v>
      </c>
      <c r="G862" t="s">
        <v>45</v>
      </c>
      <c r="H862">
        <v>3</v>
      </c>
      <c r="I862">
        <v>4</v>
      </c>
      <c r="J862" t="s">
        <v>38</v>
      </c>
      <c r="K862">
        <v>1</v>
      </c>
      <c r="L862">
        <v>1203</v>
      </c>
      <c r="M862">
        <v>3</v>
      </c>
      <c r="N862" t="str" cm="1">
        <f t="array" ref="N862">_xlfn.IFS(HRData[[#This Row],[EnvironmentSatisfaction]]=1,"Very Dissatisfied",
HRData[[#This Row],[EnvironmentSatisfaction]]=2,"Dissatisfied",
HRData[[#This Row],[EnvironmentSatisfaction]]=3,"Satisfied",
HRData[[#This Row],[EnvironmentSatisfaction]]=4,"Very Satisfied"
)</f>
        <v>Satisfied</v>
      </c>
      <c r="O862" t="s">
        <v>46</v>
      </c>
      <c r="P862">
        <v>48</v>
      </c>
      <c r="Q862">
        <v>2</v>
      </c>
      <c r="R862">
        <v>1</v>
      </c>
      <c r="S862" t="s">
        <v>47</v>
      </c>
      <c r="T862">
        <v>4</v>
      </c>
      <c r="U862" t="str" cm="1">
        <f t="array" ref="U862">_xlfn.IFS(
HRData[[#This Row],[JobSatisfaction]]=1,"Very Dissatisfied",
HRData[[#This Row],[JobSatisfaction]]=2,"Dissatisfied",
HRData[[#This Row],[JobSatisfaction]]=3,"Satisfied",
HRData[[#This Row],[JobSatisfaction]]=4,"Very Satisfied"
)</f>
        <v>Very Satisfied</v>
      </c>
      <c r="V862" t="s">
        <v>48</v>
      </c>
      <c r="W862">
        <v>2853</v>
      </c>
      <c r="X862" t="str" cm="1">
        <f t="array" ref="X862">_xlfn.IFS(
HRData[[#This Row],[MonthlyIncome]]&lt;=4000,"Very Low Income",
HRData[[#This Row],[MonthlyIncome]]&lt;=8000,"Low Income",
HRData[[#This Row],[MonthlyIncome]]&lt;=12000,"Moderate Income",
HRData[[#This Row],[MonthlyIncome]]&lt;=16000,"High Income",
HRData[[#This Row],[MonthlyIncome]]&gt;16000,"Very High Income"
)</f>
        <v>Very Low Income</v>
      </c>
      <c r="Y862">
        <v>4223</v>
      </c>
      <c r="Z862">
        <v>0</v>
      </c>
      <c r="AA862" t="s">
        <v>42</v>
      </c>
      <c r="AB862" t="s">
        <v>35</v>
      </c>
      <c r="AC862">
        <v>11</v>
      </c>
      <c r="AD862" t="str" cm="1">
        <f t="array" ref="AD862">_xlfn.IFS(HRData[[#This Row],[PercentSalaryHike]]&lt;=15,"11-15",HRData[[#This Row],[PercentSalaryHike]]&lt;=20,"16-20",HRData[[#This Row],[PercentSalaryHike]]&gt;=21,"21+")</f>
        <v>11-15</v>
      </c>
      <c r="AE862">
        <v>3</v>
      </c>
      <c r="AF862">
        <v>2</v>
      </c>
      <c r="AG862">
        <v>80</v>
      </c>
      <c r="AH862">
        <v>1</v>
      </c>
      <c r="AI862">
        <v>1</v>
      </c>
      <c r="AJ862">
        <v>5</v>
      </c>
      <c r="AK862">
        <v>3</v>
      </c>
      <c r="AL862">
        <v>0</v>
      </c>
      <c r="AM862">
        <v>0</v>
      </c>
      <c r="AN862">
        <v>0</v>
      </c>
      <c r="AO862">
        <v>0</v>
      </c>
      <c r="AP86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62" t="str">
        <f>IF(HRData[[#This Row],[Attrition]]="Yes","Left", IF(HRData[[#This Row],[Attrition_Risk_Score]]&gt;=6,"High",IF(HRData[[#This Row],[Attrition_Risk_Score]]&gt;=3,"Medium","Low")))</f>
        <v>Left</v>
      </c>
      <c r="AR862" t="str">
        <f>IF(HRData[[#This Row],[Attrition_Risk_Level]]&lt;&gt;"High","",HRData[[#This Row],[Attrition_Risk_Score]]*10000-HRData[[#This Row],[EmployeeNumber]])</f>
        <v/>
      </c>
    </row>
    <row r="863" spans="1:44">
      <c r="A863">
        <v>46</v>
      </c>
      <c r="B863" t="str" cm="1">
        <f t="array" ref="B863">_xlfn.IFS(
HRData[[#This Row],[Age]]&lt;=24,"18-24",
HRData[[#This Row],[Age]]&lt;=34,"25-34",
HRData[[#This Row],[Age]]&lt;=44,"35-44",
HRData[[#This Row],[Age]]&lt;=54,"45-54",
HRData[[#This Row],[Age]]&gt;=55,"55+"
)</f>
        <v>45-54</v>
      </c>
      <c r="C863" t="s">
        <v>43</v>
      </c>
      <c r="D863">
        <f>IF(HRData[[#This Row],[Attrition]]="Yes",1,0)</f>
        <v>0</v>
      </c>
      <c r="E863" t="s">
        <v>36</v>
      </c>
      <c r="F863">
        <v>1402</v>
      </c>
      <c r="G863" t="s">
        <v>37</v>
      </c>
      <c r="H863">
        <v>2</v>
      </c>
      <c r="I863">
        <v>3</v>
      </c>
      <c r="J863" t="s">
        <v>59</v>
      </c>
      <c r="K863">
        <v>1</v>
      </c>
      <c r="L863">
        <v>1204</v>
      </c>
      <c r="M863">
        <v>3</v>
      </c>
      <c r="N863" t="str" cm="1">
        <f t="array" ref="N863">_xlfn.IFS(HRData[[#This Row],[EnvironmentSatisfaction]]=1,"Very Dissatisfied",
HRData[[#This Row],[EnvironmentSatisfaction]]=2,"Dissatisfied",
HRData[[#This Row],[EnvironmentSatisfaction]]=3,"Satisfied",
HRData[[#This Row],[EnvironmentSatisfaction]]=4,"Very Satisfied"
)</f>
        <v>Satisfied</v>
      </c>
      <c r="O863" t="s">
        <v>39</v>
      </c>
      <c r="P863">
        <v>69</v>
      </c>
      <c r="Q863">
        <v>3</v>
      </c>
      <c r="R863">
        <v>4</v>
      </c>
      <c r="S863" t="s">
        <v>56</v>
      </c>
      <c r="T863">
        <v>1</v>
      </c>
      <c r="U863" t="str" cm="1">
        <f t="array" ref="U863">_xlfn.IFS(
HRData[[#This Row],[JobSatisfaction]]=1,"Very Dissatisfied",
HRData[[#This Row],[JobSatisfaction]]=2,"Dissatisfied",
HRData[[#This Row],[JobSatisfaction]]=3,"Satisfied",
HRData[[#This Row],[JobSatisfaction]]=4,"Very Satisfied"
)</f>
        <v>Very Dissatisfied</v>
      </c>
      <c r="V863" t="s">
        <v>48</v>
      </c>
      <c r="W863">
        <v>17048</v>
      </c>
      <c r="X863" t="str" cm="1">
        <f t="array" ref="X863">_xlfn.IFS(
HRData[[#This Row],[MonthlyIncome]]&lt;=4000,"Very Low Income",
HRData[[#This Row],[MonthlyIncome]]&lt;=8000,"Low Income",
HRData[[#This Row],[MonthlyIncome]]&lt;=12000,"Moderate Income",
HRData[[#This Row],[MonthlyIncome]]&lt;=16000,"High Income",
HRData[[#This Row],[MonthlyIncome]]&gt;16000,"Very High Income"
)</f>
        <v>Very High Income</v>
      </c>
      <c r="Y863">
        <v>24097</v>
      </c>
      <c r="Z863">
        <v>8</v>
      </c>
      <c r="AA863" t="s">
        <v>42</v>
      </c>
      <c r="AB863" t="s">
        <v>43</v>
      </c>
      <c r="AC863">
        <v>23</v>
      </c>
      <c r="AD863" t="str" cm="1">
        <f t="array" ref="AD863">_xlfn.IFS(HRData[[#This Row],[PercentSalaryHike]]&lt;=15,"11-15",HRData[[#This Row],[PercentSalaryHike]]&lt;=20,"16-20",HRData[[#This Row],[PercentSalaryHike]]&gt;=21,"21+")</f>
        <v>21+</v>
      </c>
      <c r="AE863">
        <v>4</v>
      </c>
      <c r="AF863">
        <v>1</v>
      </c>
      <c r="AG863">
        <v>80</v>
      </c>
      <c r="AH863">
        <v>0</v>
      </c>
      <c r="AI863">
        <v>28</v>
      </c>
      <c r="AJ863">
        <v>2</v>
      </c>
      <c r="AK863">
        <v>3</v>
      </c>
      <c r="AL863">
        <v>26</v>
      </c>
      <c r="AM863">
        <v>15</v>
      </c>
      <c r="AN863">
        <v>15</v>
      </c>
      <c r="AO863">
        <v>9</v>
      </c>
      <c r="AP86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63" t="str">
        <f>IF(HRData[[#This Row],[Attrition]]="Yes","Left", IF(HRData[[#This Row],[Attrition_Risk_Score]]&gt;=6,"High",IF(HRData[[#This Row],[Attrition_Risk_Score]]&gt;=3,"Medium","Low")))</f>
        <v>Low</v>
      </c>
      <c r="AR863" t="str">
        <f>IF(HRData[[#This Row],[Attrition_Risk_Level]]&lt;&gt;"High","",HRData[[#This Row],[Attrition_Risk_Score]]*10000-HRData[[#This Row],[EmployeeNumber]])</f>
        <v/>
      </c>
    </row>
    <row r="864" spans="1:44">
      <c r="A864">
        <v>44</v>
      </c>
      <c r="B864" t="str" cm="1">
        <f t="array" ref="B864">_xlfn.IFS(
HRData[[#This Row],[Age]]&lt;=24,"18-24",
HRData[[#This Row],[Age]]&lt;=34,"25-34",
HRData[[#This Row],[Age]]&lt;=44,"35-44",
HRData[[#This Row],[Age]]&lt;=54,"45-54",
HRData[[#This Row],[Age]]&gt;=55,"55+"
)</f>
        <v>35-44</v>
      </c>
      <c r="C864" t="s">
        <v>43</v>
      </c>
      <c r="D864">
        <f>IF(HRData[[#This Row],[Attrition]]="Yes",1,0)</f>
        <v>0</v>
      </c>
      <c r="E864" t="s">
        <v>55</v>
      </c>
      <c r="F864">
        <v>111</v>
      </c>
      <c r="G864" t="s">
        <v>45</v>
      </c>
      <c r="H864">
        <v>17</v>
      </c>
      <c r="I864">
        <v>3</v>
      </c>
      <c r="J864" t="s">
        <v>38</v>
      </c>
      <c r="K864">
        <v>1</v>
      </c>
      <c r="L864">
        <v>1206</v>
      </c>
      <c r="M864">
        <v>4</v>
      </c>
      <c r="N864" t="str" cm="1">
        <f t="array" ref="N864">_xlfn.IFS(HRData[[#This Row],[EnvironmentSatisfaction]]=1,"Very Dissatisfied",
HRData[[#This Row],[EnvironmentSatisfaction]]=2,"Dissatisfied",
HRData[[#This Row],[EnvironmentSatisfaction]]=3,"Satisfied",
HRData[[#This Row],[EnvironmentSatisfaction]]=4,"Very Satisfied"
)</f>
        <v>Very Satisfied</v>
      </c>
      <c r="O864" t="s">
        <v>46</v>
      </c>
      <c r="P864">
        <v>74</v>
      </c>
      <c r="Q864">
        <v>1</v>
      </c>
      <c r="R864">
        <v>1</v>
      </c>
      <c r="S864" t="s">
        <v>47</v>
      </c>
      <c r="T864">
        <v>3</v>
      </c>
      <c r="U864" t="str" cm="1">
        <f t="array" ref="U864">_xlfn.IFS(
HRData[[#This Row],[JobSatisfaction]]=1,"Very Dissatisfied",
HRData[[#This Row],[JobSatisfaction]]=2,"Dissatisfied",
HRData[[#This Row],[JobSatisfaction]]=3,"Satisfied",
HRData[[#This Row],[JobSatisfaction]]=4,"Very Satisfied"
)</f>
        <v>Satisfied</v>
      </c>
      <c r="V864" t="s">
        <v>41</v>
      </c>
      <c r="W864">
        <v>2290</v>
      </c>
      <c r="X864" t="str" cm="1">
        <f t="array" ref="X864">_xlfn.IFS(
HRData[[#This Row],[MonthlyIncome]]&lt;=4000,"Very Low Income",
HRData[[#This Row],[MonthlyIncome]]&lt;=8000,"Low Income",
HRData[[#This Row],[MonthlyIncome]]&lt;=12000,"Moderate Income",
HRData[[#This Row],[MonthlyIncome]]&lt;=16000,"High Income",
HRData[[#This Row],[MonthlyIncome]]&gt;16000,"Very High Income"
)</f>
        <v>Very Low Income</v>
      </c>
      <c r="Y864">
        <v>4279</v>
      </c>
      <c r="Z864">
        <v>2</v>
      </c>
      <c r="AA864" t="s">
        <v>42</v>
      </c>
      <c r="AB864" t="s">
        <v>43</v>
      </c>
      <c r="AC864">
        <v>13</v>
      </c>
      <c r="AD864" t="str" cm="1">
        <f t="array" ref="AD864">_xlfn.IFS(HRData[[#This Row],[PercentSalaryHike]]&lt;=15,"11-15",HRData[[#This Row],[PercentSalaryHike]]&lt;=20,"16-20",HRData[[#This Row],[PercentSalaryHike]]&gt;=21,"21+")</f>
        <v>11-15</v>
      </c>
      <c r="AE864">
        <v>3</v>
      </c>
      <c r="AF864">
        <v>4</v>
      </c>
      <c r="AG864">
        <v>80</v>
      </c>
      <c r="AH864">
        <v>0</v>
      </c>
      <c r="AI864">
        <v>6</v>
      </c>
      <c r="AJ864">
        <v>3</v>
      </c>
      <c r="AK864">
        <v>3</v>
      </c>
      <c r="AL864">
        <v>0</v>
      </c>
      <c r="AM864">
        <v>0</v>
      </c>
      <c r="AN864">
        <v>0</v>
      </c>
      <c r="AO864">
        <v>0</v>
      </c>
      <c r="AP86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64" t="str">
        <f>IF(HRData[[#This Row],[Attrition]]="Yes","Left", IF(HRData[[#This Row],[Attrition_Risk_Score]]&gt;=6,"High",IF(HRData[[#This Row],[Attrition_Risk_Score]]&gt;=3,"Medium","Low")))</f>
        <v>Low</v>
      </c>
      <c r="AR864" t="str">
        <f>IF(HRData[[#This Row],[Attrition_Risk_Level]]&lt;&gt;"High","",HRData[[#This Row],[Attrition_Risk_Score]]*10000-HRData[[#This Row],[EmployeeNumber]])</f>
        <v/>
      </c>
    </row>
    <row r="865" spans="1:44">
      <c r="A865">
        <v>33</v>
      </c>
      <c r="B865" t="str" cm="1">
        <f t="array" ref="B865">_xlfn.IFS(
HRData[[#This Row],[Age]]&lt;=24,"18-24",
HRData[[#This Row],[Age]]&lt;=34,"25-34",
HRData[[#This Row],[Age]]&lt;=44,"35-44",
HRData[[#This Row],[Age]]&lt;=54,"45-54",
HRData[[#This Row],[Age]]&gt;=55,"55+"
)</f>
        <v>25-34</v>
      </c>
      <c r="C865" t="s">
        <v>43</v>
      </c>
      <c r="D865">
        <f>IF(HRData[[#This Row],[Attrition]]="Yes",1,0)</f>
        <v>0</v>
      </c>
      <c r="E865" t="s">
        <v>36</v>
      </c>
      <c r="F865">
        <v>147</v>
      </c>
      <c r="G865" t="s">
        <v>61</v>
      </c>
      <c r="H865">
        <v>2</v>
      </c>
      <c r="I865">
        <v>3</v>
      </c>
      <c r="J865" t="s">
        <v>61</v>
      </c>
      <c r="K865">
        <v>1</v>
      </c>
      <c r="L865">
        <v>1207</v>
      </c>
      <c r="M865">
        <v>2</v>
      </c>
      <c r="N865" t="str" cm="1">
        <f t="array" ref="N865">_xlfn.IFS(HRData[[#This Row],[EnvironmentSatisfaction]]=1,"Very Dissatisfied",
HRData[[#This Row],[EnvironmentSatisfaction]]=2,"Dissatisfied",
HRData[[#This Row],[EnvironmentSatisfaction]]=3,"Satisfied",
HRData[[#This Row],[EnvironmentSatisfaction]]=4,"Very Satisfied"
)</f>
        <v>Dissatisfied</v>
      </c>
      <c r="O865" t="s">
        <v>46</v>
      </c>
      <c r="P865">
        <v>99</v>
      </c>
      <c r="Q865">
        <v>3</v>
      </c>
      <c r="R865">
        <v>1</v>
      </c>
      <c r="S865" t="s">
        <v>61</v>
      </c>
      <c r="T865">
        <v>3</v>
      </c>
      <c r="U865" t="str" cm="1">
        <f t="array" ref="U865">_xlfn.IFS(
HRData[[#This Row],[JobSatisfaction]]=1,"Very Dissatisfied",
HRData[[#This Row],[JobSatisfaction]]=2,"Dissatisfied",
HRData[[#This Row],[JobSatisfaction]]=3,"Satisfied",
HRData[[#This Row],[JobSatisfaction]]=4,"Very Satisfied"
)</f>
        <v>Satisfied</v>
      </c>
      <c r="V865" t="s">
        <v>48</v>
      </c>
      <c r="W865">
        <v>3600</v>
      </c>
      <c r="X865" t="str" cm="1">
        <f t="array" ref="X865">_xlfn.IFS(
HRData[[#This Row],[MonthlyIncome]]&lt;=4000,"Very Low Income",
HRData[[#This Row],[MonthlyIncome]]&lt;=8000,"Low Income",
HRData[[#This Row],[MonthlyIncome]]&lt;=12000,"Moderate Income",
HRData[[#This Row],[MonthlyIncome]]&lt;=16000,"High Income",
HRData[[#This Row],[MonthlyIncome]]&gt;16000,"Very High Income"
)</f>
        <v>Very Low Income</v>
      </c>
      <c r="Y865">
        <v>8429</v>
      </c>
      <c r="Z865">
        <v>1</v>
      </c>
      <c r="AA865" t="s">
        <v>42</v>
      </c>
      <c r="AB865" t="s">
        <v>43</v>
      </c>
      <c r="AC865">
        <v>13</v>
      </c>
      <c r="AD865" t="str" cm="1">
        <f t="array" ref="AD865">_xlfn.IFS(HRData[[#This Row],[PercentSalaryHike]]&lt;=15,"11-15",HRData[[#This Row],[PercentSalaryHike]]&lt;=20,"16-20",HRData[[#This Row],[PercentSalaryHike]]&gt;=21,"21+")</f>
        <v>11-15</v>
      </c>
      <c r="AE865">
        <v>3</v>
      </c>
      <c r="AF865">
        <v>4</v>
      </c>
      <c r="AG865">
        <v>80</v>
      </c>
      <c r="AH865">
        <v>1</v>
      </c>
      <c r="AI865">
        <v>5</v>
      </c>
      <c r="AJ865">
        <v>2</v>
      </c>
      <c r="AK865">
        <v>3</v>
      </c>
      <c r="AL865">
        <v>5</v>
      </c>
      <c r="AM865">
        <v>4</v>
      </c>
      <c r="AN865">
        <v>1</v>
      </c>
      <c r="AO865">
        <v>4</v>
      </c>
      <c r="AP86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865" t="str">
        <f>IF(HRData[[#This Row],[Attrition]]="Yes","Left", IF(HRData[[#This Row],[Attrition_Risk_Score]]&gt;=6,"High",IF(HRData[[#This Row],[Attrition_Risk_Score]]&gt;=3,"Medium","Low")))</f>
        <v>Medium</v>
      </c>
      <c r="AR865" t="str">
        <f>IF(HRData[[#This Row],[Attrition_Risk_Level]]&lt;&gt;"High","",HRData[[#This Row],[Attrition_Risk_Score]]*10000-HRData[[#This Row],[EmployeeNumber]])</f>
        <v/>
      </c>
    </row>
    <row r="866" spans="1:44">
      <c r="A866">
        <v>41</v>
      </c>
      <c r="B866" t="str" cm="1">
        <f t="array" ref="B866">_xlfn.IFS(
HRData[[#This Row],[Age]]&lt;=24,"18-24",
HRData[[#This Row],[Age]]&lt;=34,"25-34",
HRData[[#This Row],[Age]]&lt;=44,"35-44",
HRData[[#This Row],[Age]]&lt;=54,"45-54",
HRData[[#This Row],[Age]]&gt;=55,"55+"
)</f>
        <v>35-44</v>
      </c>
      <c r="C866" t="s">
        <v>35</v>
      </c>
      <c r="D866">
        <f>IF(HRData[[#This Row],[Attrition]]="Yes",1,0)</f>
        <v>1</v>
      </c>
      <c r="E866" t="s">
        <v>55</v>
      </c>
      <c r="F866">
        <v>906</v>
      </c>
      <c r="G866" t="s">
        <v>45</v>
      </c>
      <c r="H866">
        <v>5</v>
      </c>
      <c r="I866">
        <v>2</v>
      </c>
      <c r="J866" t="s">
        <v>38</v>
      </c>
      <c r="K866">
        <v>1</v>
      </c>
      <c r="L866">
        <v>1210</v>
      </c>
      <c r="M866">
        <v>1</v>
      </c>
      <c r="N866" t="str" cm="1">
        <f t="array" ref="N866">_xlfn.IFS(HRData[[#This Row],[EnvironmentSatisfaction]]=1,"Very Dissatisfied",
HRData[[#This Row],[EnvironmentSatisfaction]]=2,"Dissatisfied",
HRData[[#This Row],[EnvironmentSatisfaction]]=3,"Satisfied",
HRData[[#This Row],[EnvironmentSatisfaction]]=4,"Very Satisfied"
)</f>
        <v>Very Dissatisfied</v>
      </c>
      <c r="O866" t="s">
        <v>46</v>
      </c>
      <c r="P866">
        <v>95</v>
      </c>
      <c r="Q866">
        <v>2</v>
      </c>
      <c r="R866">
        <v>1</v>
      </c>
      <c r="S866" t="s">
        <v>47</v>
      </c>
      <c r="T866">
        <v>1</v>
      </c>
      <c r="U866" t="str" cm="1">
        <f t="array" ref="U866">_xlfn.IFS(
HRData[[#This Row],[JobSatisfaction]]=1,"Very Dissatisfied",
HRData[[#This Row],[JobSatisfaction]]=2,"Dissatisfied",
HRData[[#This Row],[JobSatisfaction]]=3,"Satisfied",
HRData[[#This Row],[JobSatisfaction]]=4,"Very Satisfied"
)</f>
        <v>Very Dissatisfied</v>
      </c>
      <c r="V866" t="s">
        <v>52</v>
      </c>
      <c r="W866">
        <v>2107</v>
      </c>
      <c r="X866" t="str" cm="1">
        <f t="array" ref="X866">_xlfn.IFS(
HRData[[#This Row],[MonthlyIncome]]&lt;=4000,"Very Low Income",
HRData[[#This Row],[MonthlyIncome]]&lt;=8000,"Low Income",
HRData[[#This Row],[MonthlyIncome]]&lt;=12000,"Moderate Income",
HRData[[#This Row],[MonthlyIncome]]&lt;=16000,"High Income",
HRData[[#This Row],[MonthlyIncome]]&gt;16000,"Very High Income"
)</f>
        <v>Very Low Income</v>
      </c>
      <c r="Y866">
        <v>20293</v>
      </c>
      <c r="Z866">
        <v>6</v>
      </c>
      <c r="AA866" t="s">
        <v>42</v>
      </c>
      <c r="AB866" t="s">
        <v>43</v>
      </c>
      <c r="AC866">
        <v>17</v>
      </c>
      <c r="AD866" t="str" cm="1">
        <f t="array" ref="AD866">_xlfn.IFS(HRData[[#This Row],[PercentSalaryHike]]&lt;=15,"11-15",HRData[[#This Row],[PercentSalaryHike]]&lt;=20,"16-20",HRData[[#This Row],[PercentSalaryHike]]&gt;=21,"21+")</f>
        <v>16-20</v>
      </c>
      <c r="AE866">
        <v>3</v>
      </c>
      <c r="AF866">
        <v>1</v>
      </c>
      <c r="AG866">
        <v>80</v>
      </c>
      <c r="AH866">
        <v>1</v>
      </c>
      <c r="AI866">
        <v>5</v>
      </c>
      <c r="AJ866">
        <v>2</v>
      </c>
      <c r="AK866">
        <v>1</v>
      </c>
      <c r="AL866">
        <v>1</v>
      </c>
      <c r="AM866">
        <v>0</v>
      </c>
      <c r="AN866">
        <v>0</v>
      </c>
      <c r="AO866">
        <v>0</v>
      </c>
      <c r="AP86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66" t="str">
        <f>IF(HRData[[#This Row],[Attrition]]="Yes","Left", IF(HRData[[#This Row],[Attrition_Risk_Score]]&gt;=6,"High",IF(HRData[[#This Row],[Attrition_Risk_Score]]&gt;=3,"Medium","Low")))</f>
        <v>Left</v>
      </c>
      <c r="AR866" t="str">
        <f>IF(HRData[[#This Row],[Attrition_Risk_Level]]&lt;&gt;"High","",HRData[[#This Row],[Attrition_Risk_Score]]*10000-HRData[[#This Row],[EmployeeNumber]])</f>
        <v/>
      </c>
    </row>
    <row r="867" spans="1:44">
      <c r="A867">
        <v>30</v>
      </c>
      <c r="B867" t="str" cm="1">
        <f t="array" ref="B867">_xlfn.IFS(
HRData[[#This Row],[Age]]&lt;=24,"18-24",
HRData[[#This Row],[Age]]&lt;=34,"25-34",
HRData[[#This Row],[Age]]&lt;=44,"35-44",
HRData[[#This Row],[Age]]&lt;=54,"45-54",
HRData[[#This Row],[Age]]&gt;=55,"55+"
)</f>
        <v>25-34</v>
      </c>
      <c r="C867" t="s">
        <v>43</v>
      </c>
      <c r="D867">
        <f>IF(HRData[[#This Row],[Attrition]]="Yes",1,0)</f>
        <v>0</v>
      </c>
      <c r="E867" t="s">
        <v>36</v>
      </c>
      <c r="F867">
        <v>1329</v>
      </c>
      <c r="G867" t="s">
        <v>37</v>
      </c>
      <c r="H867">
        <v>29</v>
      </c>
      <c r="I867">
        <v>4</v>
      </c>
      <c r="J867" t="s">
        <v>38</v>
      </c>
      <c r="K867">
        <v>1</v>
      </c>
      <c r="L867">
        <v>1211</v>
      </c>
      <c r="M867">
        <v>3</v>
      </c>
      <c r="N867" t="str" cm="1">
        <f t="array" ref="N867">_xlfn.IFS(HRData[[#This Row],[EnvironmentSatisfaction]]=1,"Very Dissatisfied",
HRData[[#This Row],[EnvironmentSatisfaction]]=2,"Dissatisfied",
HRData[[#This Row],[EnvironmentSatisfaction]]=3,"Satisfied",
HRData[[#This Row],[EnvironmentSatisfaction]]=4,"Very Satisfied"
)</f>
        <v>Satisfied</v>
      </c>
      <c r="O867" t="s">
        <v>46</v>
      </c>
      <c r="P867">
        <v>61</v>
      </c>
      <c r="Q867">
        <v>3</v>
      </c>
      <c r="R867">
        <v>2</v>
      </c>
      <c r="S867" t="s">
        <v>40</v>
      </c>
      <c r="T867">
        <v>1</v>
      </c>
      <c r="U867" t="str" cm="1">
        <f t="array" ref="U867">_xlfn.IFS(
HRData[[#This Row],[JobSatisfaction]]=1,"Very Dissatisfied",
HRData[[#This Row],[JobSatisfaction]]=2,"Dissatisfied",
HRData[[#This Row],[JobSatisfaction]]=3,"Satisfied",
HRData[[#This Row],[JobSatisfaction]]=4,"Very Satisfied"
)</f>
        <v>Very Dissatisfied</v>
      </c>
      <c r="V867" t="s">
        <v>52</v>
      </c>
      <c r="W867">
        <v>4115</v>
      </c>
      <c r="X867" t="str" cm="1">
        <f t="array" ref="X867">_xlfn.IFS(
HRData[[#This Row],[MonthlyIncome]]&lt;=4000,"Very Low Income",
HRData[[#This Row],[MonthlyIncome]]&lt;=8000,"Low Income",
HRData[[#This Row],[MonthlyIncome]]&lt;=12000,"Moderate Income",
HRData[[#This Row],[MonthlyIncome]]&lt;=16000,"High Income",
HRData[[#This Row],[MonthlyIncome]]&gt;16000,"Very High Income"
)</f>
        <v>Low Income</v>
      </c>
      <c r="Y867">
        <v>13192</v>
      </c>
      <c r="Z867">
        <v>8</v>
      </c>
      <c r="AA867" t="s">
        <v>42</v>
      </c>
      <c r="AB867" t="s">
        <v>43</v>
      </c>
      <c r="AC867">
        <v>19</v>
      </c>
      <c r="AD867" t="str" cm="1">
        <f t="array" ref="AD867">_xlfn.IFS(HRData[[#This Row],[PercentSalaryHike]]&lt;=15,"11-15",HRData[[#This Row],[PercentSalaryHike]]&lt;=20,"16-20",HRData[[#This Row],[PercentSalaryHike]]&gt;=21,"21+")</f>
        <v>16-20</v>
      </c>
      <c r="AE867">
        <v>3</v>
      </c>
      <c r="AF867">
        <v>3</v>
      </c>
      <c r="AG867">
        <v>80</v>
      </c>
      <c r="AH867">
        <v>3</v>
      </c>
      <c r="AI867">
        <v>8</v>
      </c>
      <c r="AJ867">
        <v>3</v>
      </c>
      <c r="AK867">
        <v>3</v>
      </c>
      <c r="AL867">
        <v>4</v>
      </c>
      <c r="AM867">
        <v>3</v>
      </c>
      <c r="AN867">
        <v>0</v>
      </c>
      <c r="AO867">
        <v>3</v>
      </c>
      <c r="AP86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867" t="str">
        <f>IF(HRData[[#This Row],[Attrition]]="Yes","Left", IF(HRData[[#This Row],[Attrition_Risk_Score]]&gt;=6,"High",IF(HRData[[#This Row],[Attrition_Risk_Score]]&gt;=3,"Medium","Low")))</f>
        <v>Medium</v>
      </c>
      <c r="AR867" t="str">
        <f>IF(HRData[[#This Row],[Attrition_Risk_Level]]&lt;&gt;"High","",HRData[[#This Row],[Attrition_Risk_Score]]*10000-HRData[[#This Row],[EmployeeNumber]])</f>
        <v/>
      </c>
    </row>
    <row r="868" spans="1:44">
      <c r="A868">
        <v>40</v>
      </c>
      <c r="B868" t="str" cm="1">
        <f t="array" ref="B868">_xlfn.IFS(
HRData[[#This Row],[Age]]&lt;=24,"18-24",
HRData[[#This Row],[Age]]&lt;=34,"25-34",
HRData[[#This Row],[Age]]&lt;=44,"35-44",
HRData[[#This Row],[Age]]&lt;=54,"45-54",
HRData[[#This Row],[Age]]&gt;=55,"55+"
)</f>
        <v>35-44</v>
      </c>
      <c r="C868" t="s">
        <v>43</v>
      </c>
      <c r="D868">
        <f>IF(HRData[[#This Row],[Attrition]]="Yes",1,0)</f>
        <v>0</v>
      </c>
      <c r="E868" t="s">
        <v>44</v>
      </c>
      <c r="F868">
        <v>1184</v>
      </c>
      <c r="G868" t="s">
        <v>37</v>
      </c>
      <c r="H868">
        <v>2</v>
      </c>
      <c r="I868">
        <v>4</v>
      </c>
      <c r="J868" t="s">
        <v>51</v>
      </c>
      <c r="K868">
        <v>1</v>
      </c>
      <c r="L868">
        <v>1212</v>
      </c>
      <c r="M868">
        <v>2</v>
      </c>
      <c r="N868" t="str" cm="1">
        <f t="array" ref="N868">_xlfn.IFS(HRData[[#This Row],[EnvironmentSatisfaction]]=1,"Very Dissatisfied",
HRData[[#This Row],[EnvironmentSatisfaction]]=2,"Dissatisfied",
HRData[[#This Row],[EnvironmentSatisfaction]]=3,"Satisfied",
HRData[[#This Row],[EnvironmentSatisfaction]]=4,"Very Satisfied"
)</f>
        <v>Dissatisfied</v>
      </c>
      <c r="O868" t="s">
        <v>46</v>
      </c>
      <c r="P868">
        <v>62</v>
      </c>
      <c r="Q868">
        <v>3</v>
      </c>
      <c r="R868">
        <v>2</v>
      </c>
      <c r="S868" t="s">
        <v>40</v>
      </c>
      <c r="T868">
        <v>2</v>
      </c>
      <c r="U868" t="str" cm="1">
        <f t="array" ref="U868">_xlfn.IFS(
HRData[[#This Row],[JobSatisfaction]]=1,"Very Dissatisfied",
HRData[[#This Row],[JobSatisfaction]]=2,"Dissatisfied",
HRData[[#This Row],[JobSatisfaction]]=3,"Satisfied",
HRData[[#This Row],[JobSatisfaction]]=4,"Very Satisfied"
)</f>
        <v>Dissatisfied</v>
      </c>
      <c r="V868" t="s">
        <v>48</v>
      </c>
      <c r="W868">
        <v>4327</v>
      </c>
      <c r="X868" t="str" cm="1">
        <f t="array" ref="X868">_xlfn.IFS(
HRData[[#This Row],[MonthlyIncome]]&lt;=4000,"Very Low Income",
HRData[[#This Row],[MonthlyIncome]]&lt;=8000,"Low Income",
HRData[[#This Row],[MonthlyIncome]]&lt;=12000,"Moderate Income",
HRData[[#This Row],[MonthlyIncome]]&lt;=16000,"High Income",
HRData[[#This Row],[MonthlyIncome]]&gt;16000,"Very High Income"
)</f>
        <v>Low Income</v>
      </c>
      <c r="Y868">
        <v>25440</v>
      </c>
      <c r="Z868">
        <v>5</v>
      </c>
      <c r="AA868" t="s">
        <v>42</v>
      </c>
      <c r="AB868" t="s">
        <v>43</v>
      </c>
      <c r="AC868">
        <v>12</v>
      </c>
      <c r="AD868" t="str" cm="1">
        <f t="array" ref="AD868">_xlfn.IFS(HRData[[#This Row],[PercentSalaryHike]]&lt;=15,"11-15",HRData[[#This Row],[PercentSalaryHike]]&lt;=20,"16-20",HRData[[#This Row],[PercentSalaryHike]]&gt;=21,"21+")</f>
        <v>11-15</v>
      </c>
      <c r="AE868">
        <v>3</v>
      </c>
      <c r="AF868">
        <v>4</v>
      </c>
      <c r="AG868">
        <v>80</v>
      </c>
      <c r="AH868">
        <v>3</v>
      </c>
      <c r="AI868">
        <v>5</v>
      </c>
      <c r="AJ868">
        <v>2</v>
      </c>
      <c r="AK868">
        <v>3</v>
      </c>
      <c r="AL868">
        <v>0</v>
      </c>
      <c r="AM868">
        <v>0</v>
      </c>
      <c r="AN868">
        <v>0</v>
      </c>
      <c r="AO868">
        <v>0</v>
      </c>
      <c r="AP86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868" t="str">
        <f>IF(HRData[[#This Row],[Attrition]]="Yes","Left", IF(HRData[[#This Row],[Attrition_Risk_Score]]&gt;=6,"High",IF(HRData[[#This Row],[Attrition_Risk_Score]]&gt;=3,"Medium","Low")))</f>
        <v>Low</v>
      </c>
      <c r="AR868" t="str">
        <f>IF(HRData[[#This Row],[Attrition_Risk_Level]]&lt;&gt;"High","",HRData[[#This Row],[Attrition_Risk_Score]]*10000-HRData[[#This Row],[EmployeeNumber]])</f>
        <v/>
      </c>
    </row>
    <row r="869" spans="1:44">
      <c r="A869">
        <v>50</v>
      </c>
      <c r="B869" t="str" cm="1">
        <f t="array" ref="B869">_xlfn.IFS(
HRData[[#This Row],[Age]]&lt;=24,"18-24",
HRData[[#This Row],[Age]]&lt;=34,"25-34",
HRData[[#This Row],[Age]]&lt;=44,"35-44",
HRData[[#This Row],[Age]]&lt;=54,"45-54",
HRData[[#This Row],[Age]]&gt;=55,"55+"
)</f>
        <v>45-54</v>
      </c>
      <c r="C869" t="s">
        <v>43</v>
      </c>
      <c r="D869">
        <f>IF(HRData[[#This Row],[Attrition]]="Yes",1,0)</f>
        <v>0</v>
      </c>
      <c r="E869" t="s">
        <v>44</v>
      </c>
      <c r="F869">
        <v>1421</v>
      </c>
      <c r="G869" t="s">
        <v>45</v>
      </c>
      <c r="H869">
        <v>2</v>
      </c>
      <c r="I869">
        <v>3</v>
      </c>
      <c r="J869" t="s">
        <v>51</v>
      </c>
      <c r="K869">
        <v>1</v>
      </c>
      <c r="L869">
        <v>1215</v>
      </c>
      <c r="M869">
        <v>4</v>
      </c>
      <c r="N869" t="str" cm="1">
        <f t="array" ref="N869">_xlfn.IFS(HRData[[#This Row],[EnvironmentSatisfaction]]=1,"Very Dissatisfied",
HRData[[#This Row],[EnvironmentSatisfaction]]=2,"Dissatisfied",
HRData[[#This Row],[EnvironmentSatisfaction]]=3,"Satisfied",
HRData[[#This Row],[EnvironmentSatisfaction]]=4,"Very Satisfied"
)</f>
        <v>Very Satisfied</v>
      </c>
      <c r="O869" t="s">
        <v>39</v>
      </c>
      <c r="P869">
        <v>30</v>
      </c>
      <c r="Q869">
        <v>3</v>
      </c>
      <c r="R869">
        <v>4</v>
      </c>
      <c r="S869" t="s">
        <v>56</v>
      </c>
      <c r="T869">
        <v>1</v>
      </c>
      <c r="U869" t="str" cm="1">
        <f t="array" ref="U869">_xlfn.IFS(
HRData[[#This Row],[JobSatisfaction]]=1,"Very Dissatisfied",
HRData[[#This Row],[JobSatisfaction]]=2,"Dissatisfied",
HRData[[#This Row],[JobSatisfaction]]=3,"Satisfied",
HRData[[#This Row],[JobSatisfaction]]=4,"Very Satisfied"
)</f>
        <v>Very Dissatisfied</v>
      </c>
      <c r="V869" t="s">
        <v>48</v>
      </c>
      <c r="W869">
        <v>17856</v>
      </c>
      <c r="X869" t="str" cm="1">
        <f t="array" ref="X869">_xlfn.IFS(
HRData[[#This Row],[MonthlyIncome]]&lt;=4000,"Very Low Income",
HRData[[#This Row],[MonthlyIncome]]&lt;=8000,"Low Income",
HRData[[#This Row],[MonthlyIncome]]&lt;=12000,"Moderate Income",
HRData[[#This Row],[MonthlyIncome]]&lt;=16000,"High Income",
HRData[[#This Row],[MonthlyIncome]]&gt;16000,"Very High Income"
)</f>
        <v>Very High Income</v>
      </c>
      <c r="Y869">
        <v>9490</v>
      </c>
      <c r="Z869">
        <v>2</v>
      </c>
      <c r="AA869" t="s">
        <v>42</v>
      </c>
      <c r="AB869" t="s">
        <v>43</v>
      </c>
      <c r="AC869">
        <v>22</v>
      </c>
      <c r="AD869" t="str" cm="1">
        <f t="array" ref="AD869">_xlfn.IFS(HRData[[#This Row],[PercentSalaryHike]]&lt;=15,"11-15",HRData[[#This Row],[PercentSalaryHike]]&lt;=20,"16-20",HRData[[#This Row],[PercentSalaryHike]]&gt;=21,"21+")</f>
        <v>21+</v>
      </c>
      <c r="AE869">
        <v>4</v>
      </c>
      <c r="AF869">
        <v>3</v>
      </c>
      <c r="AG869">
        <v>80</v>
      </c>
      <c r="AH869">
        <v>1</v>
      </c>
      <c r="AI869">
        <v>32</v>
      </c>
      <c r="AJ869">
        <v>3</v>
      </c>
      <c r="AK869">
        <v>3</v>
      </c>
      <c r="AL869">
        <v>2</v>
      </c>
      <c r="AM869">
        <v>2</v>
      </c>
      <c r="AN869">
        <v>2</v>
      </c>
      <c r="AO869">
        <v>2</v>
      </c>
      <c r="AP86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69" t="str">
        <f>IF(HRData[[#This Row],[Attrition]]="Yes","Left", IF(HRData[[#This Row],[Attrition_Risk_Score]]&gt;=6,"High",IF(HRData[[#This Row],[Attrition_Risk_Score]]&gt;=3,"Medium","Low")))</f>
        <v>Low</v>
      </c>
      <c r="AR869" t="str">
        <f>IF(HRData[[#This Row],[Attrition_Risk_Level]]&lt;&gt;"High","",HRData[[#This Row],[Attrition_Risk_Score]]*10000-HRData[[#This Row],[EmployeeNumber]])</f>
        <v/>
      </c>
    </row>
    <row r="870" spans="1:44">
      <c r="A870">
        <v>28</v>
      </c>
      <c r="B870" t="str" cm="1">
        <f t="array" ref="B870">_xlfn.IFS(
HRData[[#This Row],[Age]]&lt;=24,"18-24",
HRData[[#This Row],[Age]]&lt;=34,"25-34",
HRData[[#This Row],[Age]]&lt;=44,"35-44",
HRData[[#This Row],[Age]]&lt;=54,"45-54",
HRData[[#This Row],[Age]]&gt;=55,"55+"
)</f>
        <v>25-34</v>
      </c>
      <c r="C870" t="s">
        <v>43</v>
      </c>
      <c r="D870">
        <f>IF(HRData[[#This Row],[Attrition]]="Yes",1,0)</f>
        <v>0</v>
      </c>
      <c r="E870" t="s">
        <v>36</v>
      </c>
      <c r="F870">
        <v>1179</v>
      </c>
      <c r="G870" t="s">
        <v>45</v>
      </c>
      <c r="H870">
        <v>19</v>
      </c>
      <c r="I870">
        <v>4</v>
      </c>
      <c r="J870" t="s">
        <v>51</v>
      </c>
      <c r="K870">
        <v>1</v>
      </c>
      <c r="L870">
        <v>1216</v>
      </c>
      <c r="M870">
        <v>4</v>
      </c>
      <c r="N870" t="str" cm="1">
        <f t="array" ref="N870">_xlfn.IFS(HRData[[#This Row],[EnvironmentSatisfaction]]=1,"Very Dissatisfied",
HRData[[#This Row],[EnvironmentSatisfaction]]=2,"Dissatisfied",
HRData[[#This Row],[EnvironmentSatisfaction]]=3,"Satisfied",
HRData[[#This Row],[EnvironmentSatisfaction]]=4,"Very Satisfied"
)</f>
        <v>Very Satisfied</v>
      </c>
      <c r="O870" t="s">
        <v>46</v>
      </c>
      <c r="P870">
        <v>78</v>
      </c>
      <c r="Q870">
        <v>2</v>
      </c>
      <c r="R870">
        <v>1</v>
      </c>
      <c r="S870" t="s">
        <v>50</v>
      </c>
      <c r="T870">
        <v>1</v>
      </c>
      <c r="U870" t="str" cm="1">
        <f t="array" ref="U870">_xlfn.IFS(
HRData[[#This Row],[JobSatisfaction]]=1,"Very Dissatisfied",
HRData[[#This Row],[JobSatisfaction]]=2,"Dissatisfied",
HRData[[#This Row],[JobSatisfaction]]=3,"Satisfied",
HRData[[#This Row],[JobSatisfaction]]=4,"Very Satisfied"
)</f>
        <v>Very Dissatisfied</v>
      </c>
      <c r="V870" t="s">
        <v>48</v>
      </c>
      <c r="W870">
        <v>3196</v>
      </c>
      <c r="X870" t="str" cm="1">
        <f t="array" ref="X870">_xlfn.IFS(
HRData[[#This Row],[MonthlyIncome]]&lt;=4000,"Very Low Income",
HRData[[#This Row],[MonthlyIncome]]&lt;=8000,"Low Income",
HRData[[#This Row],[MonthlyIncome]]&lt;=12000,"Moderate Income",
HRData[[#This Row],[MonthlyIncome]]&lt;=16000,"High Income",
HRData[[#This Row],[MonthlyIncome]]&gt;16000,"Very High Income"
)</f>
        <v>Very Low Income</v>
      </c>
      <c r="Y870">
        <v>12449</v>
      </c>
      <c r="Z870">
        <v>1</v>
      </c>
      <c r="AA870" t="s">
        <v>42</v>
      </c>
      <c r="AB870" t="s">
        <v>43</v>
      </c>
      <c r="AC870">
        <v>12</v>
      </c>
      <c r="AD870" t="str" cm="1">
        <f t="array" ref="AD870">_xlfn.IFS(HRData[[#This Row],[PercentSalaryHike]]&lt;=15,"11-15",HRData[[#This Row],[PercentSalaryHike]]&lt;=20,"16-20",HRData[[#This Row],[PercentSalaryHike]]&gt;=21,"21+")</f>
        <v>11-15</v>
      </c>
      <c r="AE870">
        <v>3</v>
      </c>
      <c r="AF870">
        <v>3</v>
      </c>
      <c r="AG870">
        <v>80</v>
      </c>
      <c r="AH870">
        <v>3</v>
      </c>
      <c r="AI870">
        <v>6</v>
      </c>
      <c r="AJ870">
        <v>2</v>
      </c>
      <c r="AK870">
        <v>3</v>
      </c>
      <c r="AL870">
        <v>6</v>
      </c>
      <c r="AM870">
        <v>5</v>
      </c>
      <c r="AN870">
        <v>3</v>
      </c>
      <c r="AO870">
        <v>3</v>
      </c>
      <c r="AP87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870" t="str">
        <f>IF(HRData[[#This Row],[Attrition]]="Yes","Left", IF(HRData[[#This Row],[Attrition_Risk_Score]]&gt;=6,"High",IF(HRData[[#This Row],[Attrition_Risk_Score]]&gt;=3,"Medium","Low")))</f>
        <v>High</v>
      </c>
      <c r="AR870">
        <f>IF(HRData[[#This Row],[Attrition_Risk_Level]]&lt;&gt;"High","",HRData[[#This Row],[Attrition_Risk_Score]]*10000-HRData[[#This Row],[EmployeeNumber]])</f>
        <v>58784</v>
      </c>
    </row>
    <row r="871" spans="1:44">
      <c r="A871">
        <v>46</v>
      </c>
      <c r="B871" t="str" cm="1">
        <f t="array" ref="B871">_xlfn.IFS(
HRData[[#This Row],[Age]]&lt;=24,"18-24",
HRData[[#This Row],[Age]]&lt;=34,"25-34",
HRData[[#This Row],[Age]]&lt;=44,"35-44",
HRData[[#This Row],[Age]]&lt;=54,"45-54",
HRData[[#This Row],[Age]]&gt;=55,"55+"
)</f>
        <v>45-54</v>
      </c>
      <c r="C871" t="s">
        <v>43</v>
      </c>
      <c r="D871">
        <f>IF(HRData[[#This Row],[Attrition]]="Yes",1,0)</f>
        <v>0</v>
      </c>
      <c r="E871" t="s">
        <v>36</v>
      </c>
      <c r="F871">
        <v>1450</v>
      </c>
      <c r="G871" t="s">
        <v>45</v>
      </c>
      <c r="H871">
        <v>15</v>
      </c>
      <c r="I871">
        <v>2</v>
      </c>
      <c r="J871" t="s">
        <v>38</v>
      </c>
      <c r="K871">
        <v>1</v>
      </c>
      <c r="L871">
        <v>1217</v>
      </c>
      <c r="M871">
        <v>4</v>
      </c>
      <c r="N871" t="str" cm="1">
        <f t="array" ref="N871">_xlfn.IFS(HRData[[#This Row],[EnvironmentSatisfaction]]=1,"Very Dissatisfied",
HRData[[#This Row],[EnvironmentSatisfaction]]=2,"Dissatisfied",
HRData[[#This Row],[EnvironmentSatisfaction]]=3,"Satisfied",
HRData[[#This Row],[EnvironmentSatisfaction]]=4,"Very Satisfied"
)</f>
        <v>Very Satisfied</v>
      </c>
      <c r="O871" t="s">
        <v>46</v>
      </c>
      <c r="P871">
        <v>52</v>
      </c>
      <c r="Q871">
        <v>3</v>
      </c>
      <c r="R871">
        <v>5</v>
      </c>
      <c r="S871" t="s">
        <v>58</v>
      </c>
      <c r="T871">
        <v>2</v>
      </c>
      <c r="U871" t="str" cm="1">
        <f t="array" ref="U871">_xlfn.IFS(
HRData[[#This Row],[JobSatisfaction]]=1,"Very Dissatisfied",
HRData[[#This Row],[JobSatisfaction]]=2,"Dissatisfied",
HRData[[#This Row],[JobSatisfaction]]=3,"Satisfied",
HRData[[#This Row],[JobSatisfaction]]=4,"Very Satisfied"
)</f>
        <v>Dissatisfied</v>
      </c>
      <c r="V871" t="s">
        <v>48</v>
      </c>
      <c r="W871">
        <v>19081</v>
      </c>
      <c r="X871" t="str" cm="1">
        <f t="array" ref="X871">_xlfn.IFS(
HRData[[#This Row],[MonthlyIncome]]&lt;=4000,"Very Low Income",
HRData[[#This Row],[MonthlyIncome]]&lt;=8000,"Low Income",
HRData[[#This Row],[MonthlyIncome]]&lt;=12000,"Moderate Income",
HRData[[#This Row],[MonthlyIncome]]&lt;=16000,"High Income",
HRData[[#This Row],[MonthlyIncome]]&gt;16000,"Very High Income"
)</f>
        <v>Very High Income</v>
      </c>
      <c r="Y871">
        <v>10849</v>
      </c>
      <c r="Z871">
        <v>5</v>
      </c>
      <c r="AA871" t="s">
        <v>42</v>
      </c>
      <c r="AB871" t="s">
        <v>43</v>
      </c>
      <c r="AC871">
        <v>11</v>
      </c>
      <c r="AD871" t="str" cm="1">
        <f t="array" ref="AD871">_xlfn.IFS(HRData[[#This Row],[PercentSalaryHike]]&lt;=15,"11-15",HRData[[#This Row],[PercentSalaryHike]]&lt;=20,"16-20",HRData[[#This Row],[PercentSalaryHike]]&gt;=21,"21+")</f>
        <v>11-15</v>
      </c>
      <c r="AE871">
        <v>3</v>
      </c>
      <c r="AF871">
        <v>1</v>
      </c>
      <c r="AG871">
        <v>80</v>
      </c>
      <c r="AH871">
        <v>1</v>
      </c>
      <c r="AI871">
        <v>25</v>
      </c>
      <c r="AJ871">
        <v>2</v>
      </c>
      <c r="AK871">
        <v>3</v>
      </c>
      <c r="AL871">
        <v>4</v>
      </c>
      <c r="AM871">
        <v>2</v>
      </c>
      <c r="AN871">
        <v>0</v>
      </c>
      <c r="AO871">
        <v>3</v>
      </c>
      <c r="AP87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871" t="str">
        <f>IF(HRData[[#This Row],[Attrition]]="Yes","Left", IF(HRData[[#This Row],[Attrition_Risk_Score]]&gt;=6,"High",IF(HRData[[#This Row],[Attrition_Risk_Score]]&gt;=3,"Medium","Low")))</f>
        <v>Low</v>
      </c>
      <c r="AR871" t="str">
        <f>IF(HRData[[#This Row],[Attrition_Risk_Level]]&lt;&gt;"High","",HRData[[#This Row],[Attrition_Risk_Score]]*10000-HRData[[#This Row],[EmployeeNumber]])</f>
        <v/>
      </c>
    </row>
    <row r="872" spans="1:44">
      <c r="A872">
        <v>35</v>
      </c>
      <c r="B872" t="str" cm="1">
        <f t="array" ref="B872">_xlfn.IFS(
HRData[[#This Row],[Age]]&lt;=24,"18-24",
HRData[[#This Row],[Age]]&lt;=34,"25-34",
HRData[[#This Row],[Age]]&lt;=44,"35-44",
HRData[[#This Row],[Age]]&lt;=54,"45-54",
HRData[[#This Row],[Age]]&gt;=55,"55+"
)</f>
        <v>35-44</v>
      </c>
      <c r="C872" t="s">
        <v>43</v>
      </c>
      <c r="D872">
        <f>IF(HRData[[#This Row],[Attrition]]="Yes",1,0)</f>
        <v>0</v>
      </c>
      <c r="E872" t="s">
        <v>36</v>
      </c>
      <c r="F872">
        <v>1361</v>
      </c>
      <c r="G872" t="s">
        <v>37</v>
      </c>
      <c r="H872">
        <v>17</v>
      </c>
      <c r="I872">
        <v>4</v>
      </c>
      <c r="J872" t="s">
        <v>38</v>
      </c>
      <c r="K872">
        <v>1</v>
      </c>
      <c r="L872">
        <v>1218</v>
      </c>
      <c r="M872">
        <v>3</v>
      </c>
      <c r="N872" t="str" cm="1">
        <f t="array" ref="N872">_xlfn.IFS(HRData[[#This Row],[EnvironmentSatisfaction]]=1,"Very Dissatisfied",
HRData[[#This Row],[EnvironmentSatisfaction]]=2,"Dissatisfied",
HRData[[#This Row],[EnvironmentSatisfaction]]=3,"Satisfied",
HRData[[#This Row],[EnvironmentSatisfaction]]=4,"Very Satisfied"
)</f>
        <v>Satisfied</v>
      </c>
      <c r="O872" t="s">
        <v>46</v>
      </c>
      <c r="P872">
        <v>94</v>
      </c>
      <c r="Q872">
        <v>3</v>
      </c>
      <c r="R872">
        <v>2</v>
      </c>
      <c r="S872" t="s">
        <v>40</v>
      </c>
      <c r="T872">
        <v>1</v>
      </c>
      <c r="U872" t="str" cm="1">
        <f t="array" ref="U872">_xlfn.IFS(
HRData[[#This Row],[JobSatisfaction]]=1,"Very Dissatisfied",
HRData[[#This Row],[JobSatisfaction]]=2,"Dissatisfied",
HRData[[#This Row],[JobSatisfaction]]=3,"Satisfied",
HRData[[#This Row],[JobSatisfaction]]=4,"Very Satisfied"
)</f>
        <v>Very Dissatisfied</v>
      </c>
      <c r="V872" t="s">
        <v>48</v>
      </c>
      <c r="W872">
        <v>8966</v>
      </c>
      <c r="X872" t="str" cm="1">
        <f t="array" ref="X872">_xlfn.IFS(
HRData[[#This Row],[MonthlyIncome]]&lt;=4000,"Very Low Income",
HRData[[#This Row],[MonthlyIncome]]&lt;=8000,"Low Income",
HRData[[#This Row],[MonthlyIncome]]&lt;=12000,"Moderate Income",
HRData[[#This Row],[MonthlyIncome]]&lt;=16000,"High Income",
HRData[[#This Row],[MonthlyIncome]]&gt;16000,"Very High Income"
)</f>
        <v>Moderate Income</v>
      </c>
      <c r="Y872">
        <v>21026</v>
      </c>
      <c r="Z872">
        <v>3</v>
      </c>
      <c r="AA872" t="s">
        <v>42</v>
      </c>
      <c r="AB872" t="s">
        <v>35</v>
      </c>
      <c r="AC872">
        <v>15</v>
      </c>
      <c r="AD872" t="str" cm="1">
        <f t="array" ref="AD872">_xlfn.IFS(HRData[[#This Row],[PercentSalaryHike]]&lt;=15,"11-15",HRData[[#This Row],[PercentSalaryHike]]&lt;=20,"16-20",HRData[[#This Row],[PercentSalaryHike]]&gt;=21,"21+")</f>
        <v>11-15</v>
      </c>
      <c r="AE872">
        <v>3</v>
      </c>
      <c r="AF872">
        <v>4</v>
      </c>
      <c r="AG872">
        <v>80</v>
      </c>
      <c r="AH872">
        <v>3</v>
      </c>
      <c r="AI872">
        <v>15</v>
      </c>
      <c r="AJ872">
        <v>2</v>
      </c>
      <c r="AK872">
        <v>3</v>
      </c>
      <c r="AL872">
        <v>7</v>
      </c>
      <c r="AM872">
        <v>7</v>
      </c>
      <c r="AN872">
        <v>1</v>
      </c>
      <c r="AO872">
        <v>7</v>
      </c>
      <c r="AP87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872" t="str">
        <f>IF(HRData[[#This Row],[Attrition]]="Yes","Left", IF(HRData[[#This Row],[Attrition_Risk_Score]]&gt;=6,"High",IF(HRData[[#This Row],[Attrition_Risk_Score]]&gt;=3,"Medium","Low")))</f>
        <v>Medium</v>
      </c>
      <c r="AR872" t="str">
        <f>IF(HRData[[#This Row],[Attrition_Risk_Level]]&lt;&gt;"High","",HRData[[#This Row],[Attrition_Risk_Score]]*10000-HRData[[#This Row],[EmployeeNumber]])</f>
        <v/>
      </c>
    </row>
    <row r="873" spans="1:44">
      <c r="A873">
        <v>24</v>
      </c>
      <c r="B873" t="str" cm="1">
        <f t="array" ref="B873">_xlfn.IFS(
HRData[[#This Row],[Age]]&lt;=24,"18-24",
HRData[[#This Row],[Age]]&lt;=34,"25-34",
HRData[[#This Row],[Age]]&lt;=44,"35-44",
HRData[[#This Row],[Age]]&lt;=54,"45-54",
HRData[[#This Row],[Age]]&gt;=55,"55+"
)</f>
        <v>18-24</v>
      </c>
      <c r="C873" t="s">
        <v>35</v>
      </c>
      <c r="D873">
        <f>IF(HRData[[#This Row],[Attrition]]="Yes",1,0)</f>
        <v>1</v>
      </c>
      <c r="E873" t="s">
        <v>36</v>
      </c>
      <c r="F873">
        <v>984</v>
      </c>
      <c r="G873" t="s">
        <v>45</v>
      </c>
      <c r="H873">
        <v>17</v>
      </c>
      <c r="I873">
        <v>2</v>
      </c>
      <c r="J873" t="s">
        <v>38</v>
      </c>
      <c r="K873">
        <v>1</v>
      </c>
      <c r="L873">
        <v>1219</v>
      </c>
      <c r="M873">
        <v>4</v>
      </c>
      <c r="N873" t="str" cm="1">
        <f t="array" ref="N873">_xlfn.IFS(HRData[[#This Row],[EnvironmentSatisfaction]]=1,"Very Dissatisfied",
HRData[[#This Row],[EnvironmentSatisfaction]]=2,"Dissatisfied",
HRData[[#This Row],[EnvironmentSatisfaction]]=3,"Satisfied",
HRData[[#This Row],[EnvironmentSatisfaction]]=4,"Very Satisfied"
)</f>
        <v>Very Satisfied</v>
      </c>
      <c r="O873" t="s">
        <v>39</v>
      </c>
      <c r="P873">
        <v>97</v>
      </c>
      <c r="Q873">
        <v>3</v>
      </c>
      <c r="R873">
        <v>1</v>
      </c>
      <c r="S873" t="s">
        <v>50</v>
      </c>
      <c r="T873">
        <v>2</v>
      </c>
      <c r="U873" t="str" cm="1">
        <f t="array" ref="U873">_xlfn.IFS(
HRData[[#This Row],[JobSatisfaction]]=1,"Very Dissatisfied",
HRData[[#This Row],[JobSatisfaction]]=2,"Dissatisfied",
HRData[[#This Row],[JobSatisfaction]]=3,"Satisfied",
HRData[[#This Row],[JobSatisfaction]]=4,"Very Satisfied"
)</f>
        <v>Dissatisfied</v>
      </c>
      <c r="V873" t="s">
        <v>48</v>
      </c>
      <c r="W873">
        <v>2210</v>
      </c>
      <c r="X873" t="str" cm="1">
        <f t="array" ref="X873">_xlfn.IFS(
HRData[[#This Row],[MonthlyIncome]]&lt;=4000,"Very Low Income",
HRData[[#This Row],[MonthlyIncome]]&lt;=8000,"Low Income",
HRData[[#This Row],[MonthlyIncome]]&lt;=12000,"Moderate Income",
HRData[[#This Row],[MonthlyIncome]]&lt;=16000,"High Income",
HRData[[#This Row],[MonthlyIncome]]&gt;16000,"Very High Income"
)</f>
        <v>Very Low Income</v>
      </c>
      <c r="Y873">
        <v>3372</v>
      </c>
      <c r="Z873">
        <v>1</v>
      </c>
      <c r="AA873" t="s">
        <v>42</v>
      </c>
      <c r="AB873" t="s">
        <v>43</v>
      </c>
      <c r="AC873">
        <v>13</v>
      </c>
      <c r="AD873" t="str" cm="1">
        <f t="array" ref="AD873">_xlfn.IFS(HRData[[#This Row],[PercentSalaryHike]]&lt;=15,"11-15",HRData[[#This Row],[PercentSalaryHike]]&lt;=20,"16-20",HRData[[#This Row],[PercentSalaryHike]]&gt;=21,"21+")</f>
        <v>11-15</v>
      </c>
      <c r="AE873">
        <v>3</v>
      </c>
      <c r="AF873">
        <v>1</v>
      </c>
      <c r="AG873">
        <v>80</v>
      </c>
      <c r="AH873">
        <v>1</v>
      </c>
      <c r="AI873">
        <v>1</v>
      </c>
      <c r="AJ873">
        <v>3</v>
      </c>
      <c r="AK873">
        <v>1</v>
      </c>
      <c r="AL873">
        <v>1</v>
      </c>
      <c r="AM873">
        <v>0</v>
      </c>
      <c r="AN873">
        <v>0</v>
      </c>
      <c r="AO873">
        <v>0</v>
      </c>
      <c r="AP87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73" t="str">
        <f>IF(HRData[[#This Row],[Attrition]]="Yes","Left", IF(HRData[[#This Row],[Attrition_Risk_Score]]&gt;=6,"High",IF(HRData[[#This Row],[Attrition_Risk_Score]]&gt;=3,"Medium","Low")))</f>
        <v>Left</v>
      </c>
      <c r="AR873" t="str">
        <f>IF(HRData[[#This Row],[Attrition_Risk_Level]]&lt;&gt;"High","",HRData[[#This Row],[Attrition_Risk_Score]]*10000-HRData[[#This Row],[EmployeeNumber]])</f>
        <v/>
      </c>
    </row>
    <row r="874" spans="1:44">
      <c r="A874">
        <v>33</v>
      </c>
      <c r="B874" t="str" cm="1">
        <f t="array" ref="B874">_xlfn.IFS(
HRData[[#This Row],[Age]]&lt;=24,"18-24",
HRData[[#This Row],[Age]]&lt;=34,"25-34",
HRData[[#This Row],[Age]]&lt;=44,"35-44",
HRData[[#This Row],[Age]]&lt;=54,"45-54",
HRData[[#This Row],[Age]]&gt;=55,"55+"
)</f>
        <v>25-34</v>
      </c>
      <c r="C874" t="s">
        <v>43</v>
      </c>
      <c r="D874">
        <f>IF(HRData[[#This Row],[Attrition]]="Yes",1,0)</f>
        <v>0</v>
      </c>
      <c r="E874" t="s">
        <v>44</v>
      </c>
      <c r="F874">
        <v>1146</v>
      </c>
      <c r="G874" t="s">
        <v>37</v>
      </c>
      <c r="H874">
        <v>25</v>
      </c>
      <c r="I874">
        <v>3</v>
      </c>
      <c r="J874" t="s">
        <v>51</v>
      </c>
      <c r="K874">
        <v>1</v>
      </c>
      <c r="L874">
        <v>1220</v>
      </c>
      <c r="M874">
        <v>2</v>
      </c>
      <c r="N874" t="str" cm="1">
        <f t="array" ref="N874">_xlfn.IFS(HRData[[#This Row],[EnvironmentSatisfaction]]=1,"Very Dissatisfied",
HRData[[#This Row],[EnvironmentSatisfaction]]=2,"Dissatisfied",
HRData[[#This Row],[EnvironmentSatisfaction]]=3,"Satisfied",
HRData[[#This Row],[EnvironmentSatisfaction]]=4,"Very Satisfied"
)</f>
        <v>Dissatisfied</v>
      </c>
      <c r="O874" t="s">
        <v>39</v>
      </c>
      <c r="P874">
        <v>82</v>
      </c>
      <c r="Q874">
        <v>3</v>
      </c>
      <c r="R874">
        <v>2</v>
      </c>
      <c r="S874" t="s">
        <v>40</v>
      </c>
      <c r="T874">
        <v>3</v>
      </c>
      <c r="U874" t="str" cm="1">
        <f t="array" ref="U874">_xlfn.IFS(
HRData[[#This Row],[JobSatisfaction]]=1,"Very Dissatisfied",
HRData[[#This Row],[JobSatisfaction]]=2,"Dissatisfied",
HRData[[#This Row],[JobSatisfaction]]=3,"Satisfied",
HRData[[#This Row],[JobSatisfaction]]=4,"Very Satisfied"
)</f>
        <v>Satisfied</v>
      </c>
      <c r="V874" t="s">
        <v>48</v>
      </c>
      <c r="W874">
        <v>4539</v>
      </c>
      <c r="X874" t="str" cm="1">
        <f t="array" ref="X874">_xlfn.IFS(
HRData[[#This Row],[MonthlyIncome]]&lt;=4000,"Very Low Income",
HRData[[#This Row],[MonthlyIncome]]&lt;=8000,"Low Income",
HRData[[#This Row],[MonthlyIncome]]&lt;=12000,"Moderate Income",
HRData[[#This Row],[MonthlyIncome]]&lt;=16000,"High Income",
HRData[[#This Row],[MonthlyIncome]]&gt;16000,"Very High Income"
)</f>
        <v>Low Income</v>
      </c>
      <c r="Y874">
        <v>4905</v>
      </c>
      <c r="Z874">
        <v>1</v>
      </c>
      <c r="AA874" t="s">
        <v>42</v>
      </c>
      <c r="AB874" t="s">
        <v>43</v>
      </c>
      <c r="AC874">
        <v>12</v>
      </c>
      <c r="AD874" t="str" cm="1">
        <f t="array" ref="AD874">_xlfn.IFS(HRData[[#This Row],[PercentSalaryHike]]&lt;=15,"11-15",HRData[[#This Row],[PercentSalaryHike]]&lt;=20,"16-20",HRData[[#This Row],[PercentSalaryHike]]&gt;=21,"21+")</f>
        <v>11-15</v>
      </c>
      <c r="AE874">
        <v>3</v>
      </c>
      <c r="AF874">
        <v>1</v>
      </c>
      <c r="AG874">
        <v>80</v>
      </c>
      <c r="AH874">
        <v>1</v>
      </c>
      <c r="AI874">
        <v>10</v>
      </c>
      <c r="AJ874">
        <v>3</v>
      </c>
      <c r="AK874">
        <v>2</v>
      </c>
      <c r="AL874">
        <v>10</v>
      </c>
      <c r="AM874">
        <v>7</v>
      </c>
      <c r="AN874">
        <v>0</v>
      </c>
      <c r="AO874">
        <v>1</v>
      </c>
      <c r="AP87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74" t="str">
        <f>IF(HRData[[#This Row],[Attrition]]="Yes","Left", IF(HRData[[#This Row],[Attrition_Risk_Score]]&gt;=6,"High",IF(HRData[[#This Row],[Attrition_Risk_Score]]&gt;=3,"Medium","Low")))</f>
        <v>Low</v>
      </c>
      <c r="AR874" t="str">
        <f>IF(HRData[[#This Row],[Attrition_Risk_Level]]&lt;&gt;"High","",HRData[[#This Row],[Attrition_Risk_Score]]*10000-HRData[[#This Row],[EmployeeNumber]])</f>
        <v/>
      </c>
    </row>
    <row r="875" spans="1:44">
      <c r="A875">
        <v>36</v>
      </c>
      <c r="B875" t="str" cm="1">
        <f t="array" ref="B875">_xlfn.IFS(
HRData[[#This Row],[Age]]&lt;=24,"18-24",
HRData[[#This Row],[Age]]&lt;=34,"25-34",
HRData[[#This Row],[Age]]&lt;=44,"35-44",
HRData[[#This Row],[Age]]&lt;=54,"45-54",
HRData[[#This Row],[Age]]&gt;=55,"55+"
)</f>
        <v>35-44</v>
      </c>
      <c r="C875" t="s">
        <v>43</v>
      </c>
      <c r="D875">
        <f>IF(HRData[[#This Row],[Attrition]]="Yes",1,0)</f>
        <v>0</v>
      </c>
      <c r="E875" t="s">
        <v>36</v>
      </c>
      <c r="F875">
        <v>917</v>
      </c>
      <c r="G875" t="s">
        <v>45</v>
      </c>
      <c r="H875">
        <v>6</v>
      </c>
      <c r="I875">
        <v>4</v>
      </c>
      <c r="J875" t="s">
        <v>38</v>
      </c>
      <c r="K875">
        <v>1</v>
      </c>
      <c r="L875">
        <v>1221</v>
      </c>
      <c r="M875">
        <v>3</v>
      </c>
      <c r="N875" t="str" cm="1">
        <f t="array" ref="N875">_xlfn.IFS(HRData[[#This Row],[EnvironmentSatisfaction]]=1,"Very Dissatisfied",
HRData[[#This Row],[EnvironmentSatisfaction]]=2,"Dissatisfied",
HRData[[#This Row],[EnvironmentSatisfaction]]=3,"Satisfied",
HRData[[#This Row],[EnvironmentSatisfaction]]=4,"Very Satisfied"
)</f>
        <v>Satisfied</v>
      </c>
      <c r="O875" t="s">
        <v>46</v>
      </c>
      <c r="P875">
        <v>60</v>
      </c>
      <c r="Q875">
        <v>1</v>
      </c>
      <c r="R875">
        <v>1</v>
      </c>
      <c r="S875" t="s">
        <v>50</v>
      </c>
      <c r="T875">
        <v>3</v>
      </c>
      <c r="U875" t="str" cm="1">
        <f t="array" ref="U875">_xlfn.IFS(
HRData[[#This Row],[JobSatisfaction]]=1,"Very Dissatisfied",
HRData[[#This Row],[JobSatisfaction]]=2,"Dissatisfied",
HRData[[#This Row],[JobSatisfaction]]=3,"Satisfied",
HRData[[#This Row],[JobSatisfaction]]=4,"Very Satisfied"
)</f>
        <v>Satisfied</v>
      </c>
      <c r="V875" t="s">
        <v>52</v>
      </c>
      <c r="W875">
        <v>2741</v>
      </c>
      <c r="X875" t="str" cm="1">
        <f t="array" ref="X875">_xlfn.IFS(
HRData[[#This Row],[MonthlyIncome]]&lt;=4000,"Very Low Income",
HRData[[#This Row],[MonthlyIncome]]&lt;=8000,"Low Income",
HRData[[#This Row],[MonthlyIncome]]&lt;=12000,"Moderate Income",
HRData[[#This Row],[MonthlyIncome]]&lt;=16000,"High Income",
HRData[[#This Row],[MonthlyIncome]]&gt;16000,"Very High Income"
)</f>
        <v>Very Low Income</v>
      </c>
      <c r="Y875">
        <v>6865</v>
      </c>
      <c r="Z875">
        <v>1</v>
      </c>
      <c r="AA875" t="s">
        <v>42</v>
      </c>
      <c r="AB875" t="s">
        <v>43</v>
      </c>
      <c r="AC875">
        <v>14</v>
      </c>
      <c r="AD875" t="str" cm="1">
        <f t="array" ref="AD875">_xlfn.IFS(HRData[[#This Row],[PercentSalaryHike]]&lt;=15,"11-15",HRData[[#This Row],[PercentSalaryHike]]&lt;=20,"16-20",HRData[[#This Row],[PercentSalaryHike]]&gt;=21,"21+")</f>
        <v>11-15</v>
      </c>
      <c r="AE875">
        <v>3</v>
      </c>
      <c r="AF875">
        <v>3</v>
      </c>
      <c r="AG875">
        <v>80</v>
      </c>
      <c r="AH875">
        <v>1</v>
      </c>
      <c r="AI875">
        <v>7</v>
      </c>
      <c r="AJ875">
        <v>4</v>
      </c>
      <c r="AK875">
        <v>3</v>
      </c>
      <c r="AL875">
        <v>7</v>
      </c>
      <c r="AM875">
        <v>7</v>
      </c>
      <c r="AN875">
        <v>1</v>
      </c>
      <c r="AO875">
        <v>7</v>
      </c>
      <c r="AP87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75" t="str">
        <f>IF(HRData[[#This Row],[Attrition]]="Yes","Left", IF(HRData[[#This Row],[Attrition_Risk_Score]]&gt;=6,"High",IF(HRData[[#This Row],[Attrition_Risk_Score]]&gt;=3,"Medium","Low")))</f>
        <v>Medium</v>
      </c>
      <c r="AR875" t="str">
        <f>IF(HRData[[#This Row],[Attrition_Risk_Level]]&lt;&gt;"High","",HRData[[#This Row],[Attrition_Risk_Score]]*10000-HRData[[#This Row],[EmployeeNumber]])</f>
        <v/>
      </c>
    </row>
    <row r="876" spans="1:44">
      <c r="A876">
        <v>30</v>
      </c>
      <c r="B876" t="str" cm="1">
        <f t="array" ref="B876">_xlfn.IFS(
HRData[[#This Row],[Age]]&lt;=24,"18-24",
HRData[[#This Row],[Age]]&lt;=34,"25-34",
HRData[[#This Row],[Age]]&lt;=44,"35-44",
HRData[[#This Row],[Age]]&lt;=54,"45-54",
HRData[[#This Row],[Age]]&gt;=55,"55+"
)</f>
        <v>25-34</v>
      </c>
      <c r="C876" t="s">
        <v>43</v>
      </c>
      <c r="D876">
        <f>IF(HRData[[#This Row],[Attrition]]="Yes",1,0)</f>
        <v>0</v>
      </c>
      <c r="E876" t="s">
        <v>36</v>
      </c>
      <c r="F876">
        <v>853</v>
      </c>
      <c r="G876" t="s">
        <v>45</v>
      </c>
      <c r="H876">
        <v>7</v>
      </c>
      <c r="I876">
        <v>4</v>
      </c>
      <c r="J876" t="s">
        <v>38</v>
      </c>
      <c r="K876">
        <v>1</v>
      </c>
      <c r="L876">
        <v>1224</v>
      </c>
      <c r="M876">
        <v>3</v>
      </c>
      <c r="N876" t="str" cm="1">
        <f t="array" ref="N876">_xlfn.IFS(HRData[[#This Row],[EnvironmentSatisfaction]]=1,"Very Dissatisfied",
HRData[[#This Row],[EnvironmentSatisfaction]]=2,"Dissatisfied",
HRData[[#This Row],[EnvironmentSatisfaction]]=3,"Satisfied",
HRData[[#This Row],[EnvironmentSatisfaction]]=4,"Very Satisfied"
)</f>
        <v>Satisfied</v>
      </c>
      <c r="O876" t="s">
        <v>46</v>
      </c>
      <c r="P876">
        <v>49</v>
      </c>
      <c r="Q876">
        <v>3</v>
      </c>
      <c r="R876">
        <v>2</v>
      </c>
      <c r="S876" t="s">
        <v>50</v>
      </c>
      <c r="T876">
        <v>3</v>
      </c>
      <c r="U876" t="str" cm="1">
        <f t="array" ref="U876">_xlfn.IFS(
HRData[[#This Row],[JobSatisfaction]]=1,"Very Dissatisfied",
HRData[[#This Row],[JobSatisfaction]]=2,"Dissatisfied",
HRData[[#This Row],[JobSatisfaction]]=3,"Satisfied",
HRData[[#This Row],[JobSatisfaction]]=4,"Very Satisfied"
)</f>
        <v>Satisfied</v>
      </c>
      <c r="V876" t="s">
        <v>52</v>
      </c>
      <c r="W876">
        <v>3491</v>
      </c>
      <c r="X876" t="str" cm="1">
        <f t="array" ref="X876">_xlfn.IFS(
HRData[[#This Row],[MonthlyIncome]]&lt;=4000,"Very Low Income",
HRData[[#This Row],[MonthlyIncome]]&lt;=8000,"Low Income",
HRData[[#This Row],[MonthlyIncome]]&lt;=12000,"Moderate Income",
HRData[[#This Row],[MonthlyIncome]]&lt;=16000,"High Income",
HRData[[#This Row],[MonthlyIncome]]&gt;16000,"Very High Income"
)</f>
        <v>Very Low Income</v>
      </c>
      <c r="Y876">
        <v>11309</v>
      </c>
      <c r="Z876">
        <v>1</v>
      </c>
      <c r="AA876" t="s">
        <v>42</v>
      </c>
      <c r="AB876" t="s">
        <v>43</v>
      </c>
      <c r="AC876">
        <v>13</v>
      </c>
      <c r="AD876" t="str" cm="1">
        <f t="array" ref="AD876">_xlfn.IFS(HRData[[#This Row],[PercentSalaryHike]]&lt;=15,"11-15",HRData[[#This Row],[PercentSalaryHike]]&lt;=20,"16-20",HRData[[#This Row],[PercentSalaryHike]]&gt;=21,"21+")</f>
        <v>11-15</v>
      </c>
      <c r="AE876">
        <v>3</v>
      </c>
      <c r="AF876">
        <v>1</v>
      </c>
      <c r="AG876">
        <v>80</v>
      </c>
      <c r="AH876">
        <v>3</v>
      </c>
      <c r="AI876">
        <v>10</v>
      </c>
      <c r="AJ876">
        <v>4</v>
      </c>
      <c r="AK876">
        <v>2</v>
      </c>
      <c r="AL876">
        <v>10</v>
      </c>
      <c r="AM876">
        <v>7</v>
      </c>
      <c r="AN876">
        <v>8</v>
      </c>
      <c r="AO876">
        <v>9</v>
      </c>
      <c r="AP87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876" t="str">
        <f>IF(HRData[[#This Row],[Attrition]]="Yes","Left", IF(HRData[[#This Row],[Attrition_Risk_Score]]&gt;=6,"High",IF(HRData[[#This Row],[Attrition_Risk_Score]]&gt;=3,"Medium","Low")))</f>
        <v>Medium</v>
      </c>
      <c r="AR876" t="str">
        <f>IF(HRData[[#This Row],[Attrition_Risk_Level]]&lt;&gt;"High","",HRData[[#This Row],[Attrition_Risk_Score]]*10000-HRData[[#This Row],[EmployeeNumber]])</f>
        <v/>
      </c>
    </row>
    <row r="877" spans="1:44">
      <c r="A877">
        <v>44</v>
      </c>
      <c r="B877" t="str" cm="1">
        <f t="array" ref="B877">_xlfn.IFS(
HRData[[#This Row],[Age]]&lt;=24,"18-24",
HRData[[#This Row],[Age]]&lt;=34,"25-34",
HRData[[#This Row],[Age]]&lt;=44,"35-44",
HRData[[#This Row],[Age]]&lt;=54,"45-54",
HRData[[#This Row],[Age]]&gt;=55,"55+"
)</f>
        <v>35-44</v>
      </c>
      <c r="C877" t="s">
        <v>43</v>
      </c>
      <c r="D877">
        <f>IF(HRData[[#This Row],[Attrition]]="Yes",1,0)</f>
        <v>0</v>
      </c>
      <c r="E877" t="s">
        <v>36</v>
      </c>
      <c r="F877">
        <v>200</v>
      </c>
      <c r="G877" t="s">
        <v>45</v>
      </c>
      <c r="H877">
        <v>29</v>
      </c>
      <c r="I877">
        <v>4</v>
      </c>
      <c r="J877" t="s">
        <v>49</v>
      </c>
      <c r="K877">
        <v>1</v>
      </c>
      <c r="L877">
        <v>1225</v>
      </c>
      <c r="M877">
        <v>4</v>
      </c>
      <c r="N877" t="str" cm="1">
        <f t="array" ref="N877">_xlfn.IFS(HRData[[#This Row],[EnvironmentSatisfaction]]=1,"Very Dissatisfied",
HRData[[#This Row],[EnvironmentSatisfaction]]=2,"Dissatisfied",
HRData[[#This Row],[EnvironmentSatisfaction]]=3,"Satisfied",
HRData[[#This Row],[EnvironmentSatisfaction]]=4,"Very Satisfied"
)</f>
        <v>Very Satisfied</v>
      </c>
      <c r="O877" t="s">
        <v>46</v>
      </c>
      <c r="P877">
        <v>32</v>
      </c>
      <c r="Q877">
        <v>3</v>
      </c>
      <c r="R877">
        <v>2</v>
      </c>
      <c r="S877" t="s">
        <v>47</v>
      </c>
      <c r="T877">
        <v>4</v>
      </c>
      <c r="U877" t="str" cm="1">
        <f t="array" ref="U877">_xlfn.IFS(
HRData[[#This Row],[JobSatisfaction]]=1,"Very Dissatisfied",
HRData[[#This Row],[JobSatisfaction]]=2,"Dissatisfied",
HRData[[#This Row],[JobSatisfaction]]=3,"Satisfied",
HRData[[#This Row],[JobSatisfaction]]=4,"Very Satisfied"
)</f>
        <v>Very Satisfied</v>
      </c>
      <c r="V877" t="s">
        <v>41</v>
      </c>
      <c r="W877">
        <v>4541</v>
      </c>
      <c r="X877" t="str" cm="1">
        <f t="array" ref="X877">_xlfn.IFS(
HRData[[#This Row],[MonthlyIncome]]&lt;=4000,"Very Low Income",
HRData[[#This Row],[MonthlyIncome]]&lt;=8000,"Low Income",
HRData[[#This Row],[MonthlyIncome]]&lt;=12000,"Moderate Income",
HRData[[#This Row],[MonthlyIncome]]&lt;=16000,"High Income",
HRData[[#This Row],[MonthlyIncome]]&gt;16000,"Very High Income"
)</f>
        <v>Low Income</v>
      </c>
      <c r="Y877">
        <v>7744</v>
      </c>
      <c r="Z877">
        <v>1</v>
      </c>
      <c r="AA877" t="s">
        <v>42</v>
      </c>
      <c r="AB877" t="s">
        <v>43</v>
      </c>
      <c r="AC877">
        <v>25</v>
      </c>
      <c r="AD877" t="str" cm="1">
        <f t="array" ref="AD877">_xlfn.IFS(HRData[[#This Row],[PercentSalaryHike]]&lt;=15,"11-15",HRData[[#This Row],[PercentSalaryHike]]&lt;=20,"16-20",HRData[[#This Row],[PercentSalaryHike]]&gt;=21,"21+")</f>
        <v>21+</v>
      </c>
      <c r="AE877">
        <v>4</v>
      </c>
      <c r="AF877">
        <v>2</v>
      </c>
      <c r="AG877">
        <v>80</v>
      </c>
      <c r="AH877">
        <v>0</v>
      </c>
      <c r="AI877">
        <v>20</v>
      </c>
      <c r="AJ877">
        <v>3</v>
      </c>
      <c r="AK877">
        <v>3</v>
      </c>
      <c r="AL877">
        <v>20</v>
      </c>
      <c r="AM877">
        <v>11</v>
      </c>
      <c r="AN877">
        <v>13</v>
      </c>
      <c r="AO877">
        <v>17</v>
      </c>
      <c r="AP87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877" t="str">
        <f>IF(HRData[[#This Row],[Attrition]]="Yes","Left", IF(HRData[[#This Row],[Attrition_Risk_Score]]&gt;=6,"High",IF(HRData[[#This Row],[Attrition_Risk_Score]]&gt;=3,"Medium","Low")))</f>
        <v>Low</v>
      </c>
      <c r="AR877" t="str">
        <f>IF(HRData[[#This Row],[Attrition_Risk_Level]]&lt;&gt;"High","",HRData[[#This Row],[Attrition_Risk_Score]]*10000-HRData[[#This Row],[EmployeeNumber]])</f>
        <v/>
      </c>
    </row>
    <row r="878" spans="1:44">
      <c r="A878">
        <v>20</v>
      </c>
      <c r="B878" t="str" cm="1">
        <f t="array" ref="B878">_xlfn.IFS(
HRData[[#This Row],[Age]]&lt;=24,"18-24",
HRData[[#This Row],[Age]]&lt;=34,"25-34",
HRData[[#This Row],[Age]]&lt;=44,"35-44",
HRData[[#This Row],[Age]]&lt;=54,"45-54",
HRData[[#This Row],[Age]]&gt;=55,"55+"
)</f>
        <v>18-24</v>
      </c>
      <c r="C878" t="s">
        <v>43</v>
      </c>
      <c r="D878">
        <f>IF(HRData[[#This Row],[Attrition]]="Yes",1,0)</f>
        <v>0</v>
      </c>
      <c r="E878" t="s">
        <v>36</v>
      </c>
      <c r="F878">
        <v>654</v>
      </c>
      <c r="G878" t="s">
        <v>37</v>
      </c>
      <c r="H878">
        <v>21</v>
      </c>
      <c r="I878">
        <v>3</v>
      </c>
      <c r="J878" t="s">
        <v>59</v>
      </c>
      <c r="K878">
        <v>1</v>
      </c>
      <c r="L878">
        <v>1226</v>
      </c>
      <c r="M878">
        <v>3</v>
      </c>
      <c r="N878" t="str" cm="1">
        <f t="array" ref="N878">_xlfn.IFS(HRData[[#This Row],[EnvironmentSatisfaction]]=1,"Very Dissatisfied",
HRData[[#This Row],[EnvironmentSatisfaction]]=2,"Dissatisfied",
HRData[[#This Row],[EnvironmentSatisfaction]]=3,"Satisfied",
HRData[[#This Row],[EnvironmentSatisfaction]]=4,"Very Satisfied"
)</f>
        <v>Satisfied</v>
      </c>
      <c r="O878" t="s">
        <v>46</v>
      </c>
      <c r="P878">
        <v>43</v>
      </c>
      <c r="Q878">
        <v>4</v>
      </c>
      <c r="R878">
        <v>1</v>
      </c>
      <c r="S878" t="s">
        <v>57</v>
      </c>
      <c r="T878">
        <v>4</v>
      </c>
      <c r="U878" t="str" cm="1">
        <f t="array" ref="U878">_xlfn.IFS(
HRData[[#This Row],[JobSatisfaction]]=1,"Very Dissatisfied",
HRData[[#This Row],[JobSatisfaction]]=2,"Dissatisfied",
HRData[[#This Row],[JobSatisfaction]]=3,"Satisfied",
HRData[[#This Row],[JobSatisfaction]]=4,"Very Satisfied"
)</f>
        <v>Very Satisfied</v>
      </c>
      <c r="V878" t="s">
        <v>41</v>
      </c>
      <c r="W878">
        <v>2678</v>
      </c>
      <c r="X878" t="str" cm="1">
        <f t="array" ref="X878">_xlfn.IFS(
HRData[[#This Row],[MonthlyIncome]]&lt;=4000,"Very Low Income",
HRData[[#This Row],[MonthlyIncome]]&lt;=8000,"Low Income",
HRData[[#This Row],[MonthlyIncome]]&lt;=12000,"Moderate Income",
HRData[[#This Row],[MonthlyIncome]]&lt;=16000,"High Income",
HRData[[#This Row],[MonthlyIncome]]&gt;16000,"Very High Income"
)</f>
        <v>Very Low Income</v>
      </c>
      <c r="Y878">
        <v>5050</v>
      </c>
      <c r="Z878">
        <v>1</v>
      </c>
      <c r="AA878" t="s">
        <v>42</v>
      </c>
      <c r="AB878" t="s">
        <v>43</v>
      </c>
      <c r="AC878">
        <v>17</v>
      </c>
      <c r="AD878" t="str" cm="1">
        <f t="array" ref="AD878">_xlfn.IFS(HRData[[#This Row],[PercentSalaryHike]]&lt;=15,"11-15",HRData[[#This Row],[PercentSalaryHike]]&lt;=20,"16-20",HRData[[#This Row],[PercentSalaryHike]]&gt;=21,"21+")</f>
        <v>16-20</v>
      </c>
      <c r="AE878">
        <v>3</v>
      </c>
      <c r="AF878">
        <v>4</v>
      </c>
      <c r="AG878">
        <v>80</v>
      </c>
      <c r="AH878">
        <v>0</v>
      </c>
      <c r="AI878">
        <v>2</v>
      </c>
      <c r="AJ878">
        <v>2</v>
      </c>
      <c r="AK878">
        <v>3</v>
      </c>
      <c r="AL878">
        <v>2</v>
      </c>
      <c r="AM878">
        <v>1</v>
      </c>
      <c r="AN878">
        <v>2</v>
      </c>
      <c r="AO878">
        <v>2</v>
      </c>
      <c r="AP87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878" t="str">
        <f>IF(HRData[[#This Row],[Attrition]]="Yes","Left", IF(HRData[[#This Row],[Attrition_Risk_Score]]&gt;=6,"High",IF(HRData[[#This Row],[Attrition_Risk_Score]]&gt;=3,"Medium","Low")))</f>
        <v>High</v>
      </c>
      <c r="AR878">
        <f>IF(HRData[[#This Row],[Attrition_Risk_Level]]&lt;&gt;"High","",HRData[[#This Row],[Attrition_Risk_Score]]*10000-HRData[[#This Row],[EmployeeNumber]])</f>
        <v>58774</v>
      </c>
    </row>
    <row r="879" spans="1:44">
      <c r="A879">
        <v>46</v>
      </c>
      <c r="B879" t="str" cm="1">
        <f t="array" ref="B879">_xlfn.IFS(
HRData[[#This Row],[Age]]&lt;=24,"18-24",
HRData[[#This Row],[Age]]&lt;=34,"25-34",
HRData[[#This Row],[Age]]&lt;=44,"35-44",
HRData[[#This Row],[Age]]&lt;=54,"45-54",
HRData[[#This Row],[Age]]&gt;=55,"55+"
)</f>
        <v>45-54</v>
      </c>
      <c r="C879" t="s">
        <v>43</v>
      </c>
      <c r="D879">
        <f>IF(HRData[[#This Row],[Attrition]]="Yes",1,0)</f>
        <v>0</v>
      </c>
      <c r="E879" t="s">
        <v>36</v>
      </c>
      <c r="F879">
        <v>150</v>
      </c>
      <c r="G879" t="s">
        <v>45</v>
      </c>
      <c r="H879">
        <v>2</v>
      </c>
      <c r="I879">
        <v>4</v>
      </c>
      <c r="J879" t="s">
        <v>60</v>
      </c>
      <c r="K879">
        <v>1</v>
      </c>
      <c r="L879">
        <v>1228</v>
      </c>
      <c r="M879">
        <v>4</v>
      </c>
      <c r="N879" t="str" cm="1">
        <f t="array" ref="N879">_xlfn.IFS(HRData[[#This Row],[EnvironmentSatisfaction]]=1,"Very Dissatisfied",
HRData[[#This Row],[EnvironmentSatisfaction]]=2,"Dissatisfied",
HRData[[#This Row],[EnvironmentSatisfaction]]=3,"Satisfied",
HRData[[#This Row],[EnvironmentSatisfaction]]=4,"Very Satisfied"
)</f>
        <v>Very Satisfied</v>
      </c>
      <c r="O879" t="s">
        <v>46</v>
      </c>
      <c r="P879">
        <v>60</v>
      </c>
      <c r="Q879">
        <v>3</v>
      </c>
      <c r="R879">
        <v>2</v>
      </c>
      <c r="S879" t="s">
        <v>53</v>
      </c>
      <c r="T879">
        <v>4</v>
      </c>
      <c r="U879" t="str" cm="1">
        <f t="array" ref="U879">_xlfn.IFS(
HRData[[#This Row],[JobSatisfaction]]=1,"Very Dissatisfied",
HRData[[#This Row],[JobSatisfaction]]=2,"Dissatisfied",
HRData[[#This Row],[JobSatisfaction]]=3,"Satisfied",
HRData[[#This Row],[JobSatisfaction]]=4,"Very Satisfied"
)</f>
        <v>Very Satisfied</v>
      </c>
      <c r="V879" t="s">
        <v>52</v>
      </c>
      <c r="W879">
        <v>7379</v>
      </c>
      <c r="X879" t="str" cm="1">
        <f t="array" ref="X879">_xlfn.IFS(
HRData[[#This Row],[MonthlyIncome]]&lt;=4000,"Very Low Income",
HRData[[#This Row],[MonthlyIncome]]&lt;=8000,"Low Income",
HRData[[#This Row],[MonthlyIncome]]&lt;=12000,"Moderate Income",
HRData[[#This Row],[MonthlyIncome]]&lt;=16000,"High Income",
HRData[[#This Row],[MonthlyIncome]]&gt;16000,"Very High Income"
)</f>
        <v>Low Income</v>
      </c>
      <c r="Y879">
        <v>17433</v>
      </c>
      <c r="Z879">
        <v>2</v>
      </c>
      <c r="AA879" t="s">
        <v>42</v>
      </c>
      <c r="AB879" t="s">
        <v>43</v>
      </c>
      <c r="AC879">
        <v>11</v>
      </c>
      <c r="AD879" t="str" cm="1">
        <f t="array" ref="AD879">_xlfn.IFS(HRData[[#This Row],[PercentSalaryHike]]&lt;=15,"11-15",HRData[[#This Row],[PercentSalaryHike]]&lt;=20,"16-20",HRData[[#This Row],[PercentSalaryHike]]&gt;=21,"21+")</f>
        <v>11-15</v>
      </c>
      <c r="AE879">
        <v>3</v>
      </c>
      <c r="AF879">
        <v>3</v>
      </c>
      <c r="AG879">
        <v>80</v>
      </c>
      <c r="AH879">
        <v>1</v>
      </c>
      <c r="AI879">
        <v>12</v>
      </c>
      <c r="AJ879">
        <v>3</v>
      </c>
      <c r="AK879">
        <v>2</v>
      </c>
      <c r="AL879">
        <v>6</v>
      </c>
      <c r="AM879">
        <v>3</v>
      </c>
      <c r="AN879">
        <v>1</v>
      </c>
      <c r="AO879">
        <v>4</v>
      </c>
      <c r="AP87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879" t="str">
        <f>IF(HRData[[#This Row],[Attrition]]="Yes","Left", IF(HRData[[#This Row],[Attrition_Risk_Score]]&gt;=6,"High",IF(HRData[[#This Row],[Attrition_Risk_Score]]&gt;=3,"Medium","Low")))</f>
        <v>Low</v>
      </c>
      <c r="AR879" t="str">
        <f>IF(HRData[[#This Row],[Attrition_Risk_Level]]&lt;&gt;"High","",HRData[[#This Row],[Attrition_Risk_Score]]*10000-HRData[[#This Row],[EmployeeNumber]])</f>
        <v/>
      </c>
    </row>
    <row r="880" spans="1:44">
      <c r="A880">
        <v>42</v>
      </c>
      <c r="B880" t="str" cm="1">
        <f t="array" ref="B880">_xlfn.IFS(
HRData[[#This Row],[Age]]&lt;=24,"18-24",
HRData[[#This Row],[Age]]&lt;=34,"25-34",
HRData[[#This Row],[Age]]&lt;=44,"35-44",
HRData[[#This Row],[Age]]&lt;=54,"45-54",
HRData[[#This Row],[Age]]&gt;=55,"55+"
)</f>
        <v>35-44</v>
      </c>
      <c r="C880" t="s">
        <v>43</v>
      </c>
      <c r="D880">
        <f>IF(HRData[[#This Row],[Attrition]]="Yes",1,0)</f>
        <v>0</v>
      </c>
      <c r="E880" t="s">
        <v>55</v>
      </c>
      <c r="F880">
        <v>179</v>
      </c>
      <c r="G880" t="s">
        <v>61</v>
      </c>
      <c r="H880">
        <v>2</v>
      </c>
      <c r="I880">
        <v>5</v>
      </c>
      <c r="J880" t="s">
        <v>51</v>
      </c>
      <c r="K880">
        <v>1</v>
      </c>
      <c r="L880">
        <v>1231</v>
      </c>
      <c r="M880">
        <v>4</v>
      </c>
      <c r="N880" t="str" cm="1">
        <f t="array" ref="N880">_xlfn.IFS(HRData[[#This Row],[EnvironmentSatisfaction]]=1,"Very Dissatisfied",
HRData[[#This Row],[EnvironmentSatisfaction]]=2,"Dissatisfied",
HRData[[#This Row],[EnvironmentSatisfaction]]=3,"Satisfied",
HRData[[#This Row],[EnvironmentSatisfaction]]=4,"Very Satisfied"
)</f>
        <v>Very Satisfied</v>
      </c>
      <c r="O880" t="s">
        <v>46</v>
      </c>
      <c r="P880">
        <v>79</v>
      </c>
      <c r="Q880">
        <v>4</v>
      </c>
      <c r="R880">
        <v>2</v>
      </c>
      <c r="S880" t="s">
        <v>61</v>
      </c>
      <c r="T880">
        <v>1</v>
      </c>
      <c r="U880" t="str" cm="1">
        <f t="array" ref="U880">_xlfn.IFS(
HRData[[#This Row],[JobSatisfaction]]=1,"Very Dissatisfied",
HRData[[#This Row],[JobSatisfaction]]=2,"Dissatisfied",
HRData[[#This Row],[JobSatisfaction]]=3,"Satisfied",
HRData[[#This Row],[JobSatisfaction]]=4,"Very Satisfied"
)</f>
        <v>Very Dissatisfied</v>
      </c>
      <c r="V880" t="s">
        <v>48</v>
      </c>
      <c r="W880">
        <v>6272</v>
      </c>
      <c r="X880" t="str" cm="1">
        <f t="array" ref="X880">_xlfn.IFS(
HRData[[#This Row],[MonthlyIncome]]&lt;=4000,"Very Low Income",
HRData[[#This Row],[MonthlyIncome]]&lt;=8000,"Low Income",
HRData[[#This Row],[MonthlyIncome]]&lt;=12000,"Moderate Income",
HRData[[#This Row],[MonthlyIncome]]&lt;=16000,"High Income",
HRData[[#This Row],[MonthlyIncome]]&gt;16000,"Very High Income"
)</f>
        <v>Low Income</v>
      </c>
      <c r="Y880">
        <v>12858</v>
      </c>
      <c r="Z880">
        <v>7</v>
      </c>
      <c r="AA880" t="s">
        <v>42</v>
      </c>
      <c r="AB880" t="s">
        <v>43</v>
      </c>
      <c r="AC880">
        <v>16</v>
      </c>
      <c r="AD880" t="str" cm="1">
        <f t="array" ref="AD880">_xlfn.IFS(HRData[[#This Row],[PercentSalaryHike]]&lt;=15,"11-15",HRData[[#This Row],[PercentSalaryHike]]&lt;=20,"16-20",HRData[[#This Row],[PercentSalaryHike]]&gt;=21,"21+")</f>
        <v>16-20</v>
      </c>
      <c r="AE880">
        <v>3</v>
      </c>
      <c r="AF880">
        <v>1</v>
      </c>
      <c r="AG880">
        <v>80</v>
      </c>
      <c r="AH880">
        <v>1</v>
      </c>
      <c r="AI880">
        <v>10</v>
      </c>
      <c r="AJ880">
        <v>3</v>
      </c>
      <c r="AK880">
        <v>4</v>
      </c>
      <c r="AL880">
        <v>4</v>
      </c>
      <c r="AM880">
        <v>3</v>
      </c>
      <c r="AN880">
        <v>0</v>
      </c>
      <c r="AO880">
        <v>3</v>
      </c>
      <c r="AP88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880" t="str">
        <f>IF(HRData[[#This Row],[Attrition]]="Yes","Left", IF(HRData[[#This Row],[Attrition_Risk_Score]]&gt;=6,"High",IF(HRData[[#This Row],[Attrition_Risk_Score]]&gt;=3,"Medium","Low")))</f>
        <v>Medium</v>
      </c>
      <c r="AR880" t="str">
        <f>IF(HRData[[#This Row],[Attrition_Risk_Level]]&lt;&gt;"High","",HRData[[#This Row],[Attrition_Risk_Score]]*10000-HRData[[#This Row],[EmployeeNumber]])</f>
        <v/>
      </c>
    </row>
    <row r="881" spans="1:44">
      <c r="A881">
        <v>60</v>
      </c>
      <c r="B881" t="str" cm="1">
        <f t="array" ref="B881">_xlfn.IFS(
HRData[[#This Row],[Age]]&lt;=24,"18-24",
HRData[[#This Row],[Age]]&lt;=34,"25-34",
HRData[[#This Row],[Age]]&lt;=44,"35-44",
HRData[[#This Row],[Age]]&lt;=54,"45-54",
HRData[[#This Row],[Age]]&gt;=55,"55+"
)</f>
        <v>55+</v>
      </c>
      <c r="C881" t="s">
        <v>43</v>
      </c>
      <c r="D881">
        <f>IF(HRData[[#This Row],[Attrition]]="Yes",1,0)</f>
        <v>0</v>
      </c>
      <c r="E881" t="s">
        <v>36</v>
      </c>
      <c r="F881">
        <v>696</v>
      </c>
      <c r="G881" t="s">
        <v>37</v>
      </c>
      <c r="H881">
        <v>7</v>
      </c>
      <c r="I881">
        <v>4</v>
      </c>
      <c r="J881" t="s">
        <v>59</v>
      </c>
      <c r="K881">
        <v>1</v>
      </c>
      <c r="L881">
        <v>1233</v>
      </c>
      <c r="M881">
        <v>2</v>
      </c>
      <c r="N881" t="str" cm="1">
        <f t="array" ref="N881">_xlfn.IFS(HRData[[#This Row],[EnvironmentSatisfaction]]=1,"Very Dissatisfied",
HRData[[#This Row],[EnvironmentSatisfaction]]=2,"Dissatisfied",
HRData[[#This Row],[EnvironmentSatisfaction]]=3,"Satisfied",
HRData[[#This Row],[EnvironmentSatisfaction]]=4,"Very Satisfied"
)</f>
        <v>Dissatisfied</v>
      </c>
      <c r="O881" t="s">
        <v>46</v>
      </c>
      <c r="P881">
        <v>52</v>
      </c>
      <c r="Q881">
        <v>4</v>
      </c>
      <c r="R881">
        <v>2</v>
      </c>
      <c r="S881" t="s">
        <v>40</v>
      </c>
      <c r="T881">
        <v>4</v>
      </c>
      <c r="U881" t="str" cm="1">
        <f t="array" ref="U881">_xlfn.IFS(
HRData[[#This Row],[JobSatisfaction]]=1,"Very Dissatisfied",
HRData[[#This Row],[JobSatisfaction]]=2,"Dissatisfied",
HRData[[#This Row],[JobSatisfaction]]=3,"Satisfied",
HRData[[#This Row],[JobSatisfaction]]=4,"Very Satisfied"
)</f>
        <v>Very Satisfied</v>
      </c>
      <c r="V881" t="s">
        <v>52</v>
      </c>
      <c r="W881">
        <v>5220</v>
      </c>
      <c r="X881" t="str" cm="1">
        <f t="array" ref="X881">_xlfn.IFS(
HRData[[#This Row],[MonthlyIncome]]&lt;=4000,"Very Low Income",
HRData[[#This Row],[MonthlyIncome]]&lt;=8000,"Low Income",
HRData[[#This Row],[MonthlyIncome]]&lt;=12000,"Moderate Income",
HRData[[#This Row],[MonthlyIncome]]&lt;=16000,"High Income",
HRData[[#This Row],[MonthlyIncome]]&gt;16000,"Very High Income"
)</f>
        <v>Low Income</v>
      </c>
      <c r="Y881">
        <v>10893</v>
      </c>
      <c r="Z881">
        <v>0</v>
      </c>
      <c r="AA881" t="s">
        <v>42</v>
      </c>
      <c r="AB881" t="s">
        <v>35</v>
      </c>
      <c r="AC881">
        <v>18</v>
      </c>
      <c r="AD881" t="str" cm="1">
        <f t="array" ref="AD881">_xlfn.IFS(HRData[[#This Row],[PercentSalaryHike]]&lt;=15,"11-15",HRData[[#This Row],[PercentSalaryHike]]&lt;=20,"16-20",HRData[[#This Row],[PercentSalaryHike]]&gt;=21,"21+")</f>
        <v>16-20</v>
      </c>
      <c r="AE881">
        <v>3</v>
      </c>
      <c r="AF881">
        <v>2</v>
      </c>
      <c r="AG881">
        <v>80</v>
      </c>
      <c r="AH881">
        <v>1</v>
      </c>
      <c r="AI881">
        <v>12</v>
      </c>
      <c r="AJ881">
        <v>3</v>
      </c>
      <c r="AK881">
        <v>3</v>
      </c>
      <c r="AL881">
        <v>11</v>
      </c>
      <c r="AM881">
        <v>7</v>
      </c>
      <c r="AN881">
        <v>1</v>
      </c>
      <c r="AO881">
        <v>9</v>
      </c>
      <c r="AP88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81" t="str">
        <f>IF(HRData[[#This Row],[Attrition]]="Yes","Left", IF(HRData[[#This Row],[Attrition_Risk_Score]]&gt;=6,"High",IF(HRData[[#This Row],[Attrition_Risk_Score]]&gt;=3,"Medium","Low")))</f>
        <v>Medium</v>
      </c>
      <c r="AR881" t="str">
        <f>IF(HRData[[#This Row],[Attrition_Risk_Level]]&lt;&gt;"High","",HRData[[#This Row],[Attrition_Risk_Score]]*10000-HRData[[#This Row],[EmployeeNumber]])</f>
        <v/>
      </c>
    </row>
    <row r="882" spans="1:44">
      <c r="A882">
        <v>32</v>
      </c>
      <c r="B882" t="str" cm="1">
        <f t="array" ref="B882">_xlfn.IFS(
HRData[[#This Row],[Age]]&lt;=24,"18-24",
HRData[[#This Row],[Age]]&lt;=34,"25-34",
HRData[[#This Row],[Age]]&lt;=44,"35-44",
HRData[[#This Row],[Age]]&lt;=54,"45-54",
HRData[[#This Row],[Age]]&gt;=55,"55+"
)</f>
        <v>25-34</v>
      </c>
      <c r="C882" t="s">
        <v>43</v>
      </c>
      <c r="D882">
        <f>IF(HRData[[#This Row],[Attrition]]="Yes",1,0)</f>
        <v>0</v>
      </c>
      <c r="E882" t="s">
        <v>44</v>
      </c>
      <c r="F882">
        <v>116</v>
      </c>
      <c r="G882" t="s">
        <v>45</v>
      </c>
      <c r="H882">
        <v>13</v>
      </c>
      <c r="I882">
        <v>3</v>
      </c>
      <c r="J882" t="s">
        <v>49</v>
      </c>
      <c r="K882">
        <v>1</v>
      </c>
      <c r="L882">
        <v>1234</v>
      </c>
      <c r="M882">
        <v>3</v>
      </c>
      <c r="N882" t="str" cm="1">
        <f t="array" ref="N882">_xlfn.IFS(HRData[[#This Row],[EnvironmentSatisfaction]]=1,"Very Dissatisfied",
HRData[[#This Row],[EnvironmentSatisfaction]]=2,"Dissatisfied",
HRData[[#This Row],[EnvironmentSatisfaction]]=3,"Satisfied",
HRData[[#This Row],[EnvironmentSatisfaction]]=4,"Very Satisfied"
)</f>
        <v>Satisfied</v>
      </c>
      <c r="O882" t="s">
        <v>39</v>
      </c>
      <c r="P882">
        <v>77</v>
      </c>
      <c r="Q882">
        <v>2</v>
      </c>
      <c r="R882">
        <v>1</v>
      </c>
      <c r="S882" t="s">
        <v>50</v>
      </c>
      <c r="T882">
        <v>2</v>
      </c>
      <c r="U882" t="str" cm="1">
        <f t="array" ref="U882">_xlfn.IFS(
HRData[[#This Row],[JobSatisfaction]]=1,"Very Dissatisfied",
HRData[[#This Row],[JobSatisfaction]]=2,"Dissatisfied",
HRData[[#This Row],[JobSatisfaction]]=3,"Satisfied",
HRData[[#This Row],[JobSatisfaction]]=4,"Very Satisfied"
)</f>
        <v>Dissatisfied</v>
      </c>
      <c r="V882" t="s">
        <v>48</v>
      </c>
      <c r="W882">
        <v>2743</v>
      </c>
      <c r="X882" t="str" cm="1">
        <f t="array" ref="X882">_xlfn.IFS(
HRData[[#This Row],[MonthlyIncome]]&lt;=4000,"Very Low Income",
HRData[[#This Row],[MonthlyIncome]]&lt;=8000,"Low Income",
HRData[[#This Row],[MonthlyIncome]]&lt;=12000,"Moderate Income",
HRData[[#This Row],[MonthlyIncome]]&lt;=16000,"High Income",
HRData[[#This Row],[MonthlyIncome]]&gt;16000,"Very High Income"
)</f>
        <v>Very Low Income</v>
      </c>
      <c r="Y882">
        <v>7331</v>
      </c>
      <c r="Z882">
        <v>1</v>
      </c>
      <c r="AA882" t="s">
        <v>42</v>
      </c>
      <c r="AB882" t="s">
        <v>43</v>
      </c>
      <c r="AC882">
        <v>20</v>
      </c>
      <c r="AD882" t="str" cm="1">
        <f t="array" ref="AD882">_xlfn.IFS(HRData[[#This Row],[PercentSalaryHike]]&lt;=15,"11-15",HRData[[#This Row],[PercentSalaryHike]]&lt;=20,"16-20",HRData[[#This Row],[PercentSalaryHike]]&gt;=21,"21+")</f>
        <v>16-20</v>
      </c>
      <c r="AE882">
        <v>4</v>
      </c>
      <c r="AF882">
        <v>3</v>
      </c>
      <c r="AG882">
        <v>80</v>
      </c>
      <c r="AH882">
        <v>1</v>
      </c>
      <c r="AI882">
        <v>2</v>
      </c>
      <c r="AJ882">
        <v>2</v>
      </c>
      <c r="AK882">
        <v>3</v>
      </c>
      <c r="AL882">
        <v>2</v>
      </c>
      <c r="AM882">
        <v>2</v>
      </c>
      <c r="AN882">
        <v>2</v>
      </c>
      <c r="AO882">
        <v>2</v>
      </c>
      <c r="AP88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882" t="str">
        <f>IF(HRData[[#This Row],[Attrition]]="Yes","Left", IF(HRData[[#This Row],[Attrition_Risk_Score]]&gt;=6,"High",IF(HRData[[#This Row],[Attrition_Risk_Score]]&gt;=3,"Medium","Low")))</f>
        <v>Medium</v>
      </c>
      <c r="AR882" t="str">
        <f>IF(HRData[[#This Row],[Attrition_Risk_Level]]&lt;&gt;"High","",HRData[[#This Row],[Attrition_Risk_Score]]*10000-HRData[[#This Row],[EmployeeNumber]])</f>
        <v/>
      </c>
    </row>
    <row r="883" spans="1:44">
      <c r="A883">
        <v>32</v>
      </c>
      <c r="B883" t="str" cm="1">
        <f t="array" ref="B883">_xlfn.IFS(
HRData[[#This Row],[Age]]&lt;=24,"18-24",
HRData[[#This Row],[Age]]&lt;=34,"25-34",
HRData[[#This Row],[Age]]&lt;=44,"35-44",
HRData[[#This Row],[Age]]&lt;=54,"45-54",
HRData[[#This Row],[Age]]&gt;=55,"55+"
)</f>
        <v>25-34</v>
      </c>
      <c r="C883" t="s">
        <v>43</v>
      </c>
      <c r="D883">
        <f>IF(HRData[[#This Row],[Attrition]]="Yes",1,0)</f>
        <v>0</v>
      </c>
      <c r="E883" t="s">
        <v>44</v>
      </c>
      <c r="F883">
        <v>1316</v>
      </c>
      <c r="G883" t="s">
        <v>45</v>
      </c>
      <c r="H883">
        <v>2</v>
      </c>
      <c r="I883">
        <v>2</v>
      </c>
      <c r="J883" t="s">
        <v>38</v>
      </c>
      <c r="K883">
        <v>1</v>
      </c>
      <c r="L883">
        <v>1235</v>
      </c>
      <c r="M883">
        <v>4</v>
      </c>
      <c r="N883" t="str" cm="1">
        <f t="array" ref="N883">_xlfn.IFS(HRData[[#This Row],[EnvironmentSatisfaction]]=1,"Very Dissatisfied",
HRData[[#This Row],[EnvironmentSatisfaction]]=2,"Dissatisfied",
HRData[[#This Row],[EnvironmentSatisfaction]]=3,"Satisfied",
HRData[[#This Row],[EnvironmentSatisfaction]]=4,"Very Satisfied"
)</f>
        <v>Very Satisfied</v>
      </c>
      <c r="O883" t="s">
        <v>39</v>
      </c>
      <c r="P883">
        <v>38</v>
      </c>
      <c r="Q883">
        <v>3</v>
      </c>
      <c r="R883">
        <v>2</v>
      </c>
      <c r="S883" t="s">
        <v>47</v>
      </c>
      <c r="T883">
        <v>3</v>
      </c>
      <c r="U883" t="str" cm="1">
        <f t="array" ref="U883">_xlfn.IFS(
HRData[[#This Row],[JobSatisfaction]]=1,"Very Dissatisfied",
HRData[[#This Row],[JobSatisfaction]]=2,"Dissatisfied",
HRData[[#This Row],[JobSatisfaction]]=3,"Satisfied",
HRData[[#This Row],[JobSatisfaction]]=4,"Very Satisfied"
)</f>
        <v>Satisfied</v>
      </c>
      <c r="V883" t="s">
        <v>41</v>
      </c>
      <c r="W883">
        <v>4998</v>
      </c>
      <c r="X883" t="str" cm="1">
        <f t="array" ref="X883">_xlfn.IFS(
HRData[[#This Row],[MonthlyIncome]]&lt;=4000,"Very Low Income",
HRData[[#This Row],[MonthlyIncome]]&lt;=8000,"Low Income",
HRData[[#This Row],[MonthlyIncome]]&lt;=12000,"Moderate Income",
HRData[[#This Row],[MonthlyIncome]]&lt;=16000,"High Income",
HRData[[#This Row],[MonthlyIncome]]&gt;16000,"Very High Income"
)</f>
        <v>Low Income</v>
      </c>
      <c r="Y883">
        <v>2338</v>
      </c>
      <c r="Z883">
        <v>4</v>
      </c>
      <c r="AA883" t="s">
        <v>42</v>
      </c>
      <c r="AB883" t="s">
        <v>35</v>
      </c>
      <c r="AC883">
        <v>14</v>
      </c>
      <c r="AD883" t="str" cm="1">
        <f t="array" ref="AD883">_xlfn.IFS(HRData[[#This Row],[PercentSalaryHike]]&lt;=15,"11-15",HRData[[#This Row],[PercentSalaryHike]]&lt;=20,"16-20",HRData[[#This Row],[PercentSalaryHike]]&gt;=21,"21+")</f>
        <v>11-15</v>
      </c>
      <c r="AE883">
        <v>3</v>
      </c>
      <c r="AF883">
        <v>4</v>
      </c>
      <c r="AG883">
        <v>80</v>
      </c>
      <c r="AH883">
        <v>0</v>
      </c>
      <c r="AI883">
        <v>10</v>
      </c>
      <c r="AJ883">
        <v>2</v>
      </c>
      <c r="AK883">
        <v>3</v>
      </c>
      <c r="AL883">
        <v>8</v>
      </c>
      <c r="AM883">
        <v>7</v>
      </c>
      <c r="AN883">
        <v>0</v>
      </c>
      <c r="AO883">
        <v>7</v>
      </c>
      <c r="AP88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883" t="str">
        <f>IF(HRData[[#This Row],[Attrition]]="Yes","Left", IF(HRData[[#This Row],[Attrition_Risk_Score]]&gt;=6,"High",IF(HRData[[#This Row],[Attrition_Risk_Score]]&gt;=3,"Medium","Low")))</f>
        <v>Medium</v>
      </c>
      <c r="AR883" t="str">
        <f>IF(HRData[[#This Row],[Attrition_Risk_Level]]&lt;&gt;"High","",HRData[[#This Row],[Attrition_Risk_Score]]*10000-HRData[[#This Row],[EmployeeNumber]])</f>
        <v/>
      </c>
    </row>
    <row r="884" spans="1:44">
      <c r="A884">
        <v>36</v>
      </c>
      <c r="B884" t="str" cm="1">
        <f t="array" ref="B884">_xlfn.IFS(
HRData[[#This Row],[Age]]&lt;=24,"18-24",
HRData[[#This Row],[Age]]&lt;=34,"25-34",
HRData[[#This Row],[Age]]&lt;=44,"35-44",
HRData[[#This Row],[Age]]&lt;=54,"45-54",
HRData[[#This Row],[Age]]&gt;=55,"55+"
)</f>
        <v>35-44</v>
      </c>
      <c r="C884" t="s">
        <v>43</v>
      </c>
      <c r="D884">
        <f>IF(HRData[[#This Row],[Attrition]]="Yes",1,0)</f>
        <v>0</v>
      </c>
      <c r="E884" t="s">
        <v>36</v>
      </c>
      <c r="F884">
        <v>363</v>
      </c>
      <c r="G884" t="s">
        <v>45</v>
      </c>
      <c r="H884">
        <v>1</v>
      </c>
      <c r="I884">
        <v>3</v>
      </c>
      <c r="J884" t="s">
        <v>60</v>
      </c>
      <c r="K884">
        <v>1</v>
      </c>
      <c r="L884">
        <v>1237</v>
      </c>
      <c r="M884">
        <v>3</v>
      </c>
      <c r="N884" t="str" cm="1">
        <f t="array" ref="N884">_xlfn.IFS(HRData[[#This Row],[EnvironmentSatisfaction]]=1,"Very Dissatisfied",
HRData[[#This Row],[EnvironmentSatisfaction]]=2,"Dissatisfied",
HRData[[#This Row],[EnvironmentSatisfaction]]=3,"Satisfied",
HRData[[#This Row],[EnvironmentSatisfaction]]=4,"Very Satisfied"
)</f>
        <v>Satisfied</v>
      </c>
      <c r="O884" t="s">
        <v>39</v>
      </c>
      <c r="P884">
        <v>77</v>
      </c>
      <c r="Q884">
        <v>1</v>
      </c>
      <c r="R884">
        <v>3</v>
      </c>
      <c r="S884" t="s">
        <v>53</v>
      </c>
      <c r="T884">
        <v>1</v>
      </c>
      <c r="U884" t="str" cm="1">
        <f t="array" ref="U884">_xlfn.IFS(
HRData[[#This Row],[JobSatisfaction]]=1,"Very Dissatisfied",
HRData[[#This Row],[JobSatisfaction]]=2,"Dissatisfied",
HRData[[#This Row],[JobSatisfaction]]=3,"Satisfied",
HRData[[#This Row],[JobSatisfaction]]=4,"Very Satisfied"
)</f>
        <v>Very Dissatisfied</v>
      </c>
      <c r="V884" t="s">
        <v>52</v>
      </c>
      <c r="W884">
        <v>10252</v>
      </c>
      <c r="X884" t="str" cm="1">
        <f t="array" ref="X884">_xlfn.IFS(
HRData[[#This Row],[MonthlyIncome]]&lt;=4000,"Very Low Income",
HRData[[#This Row],[MonthlyIncome]]&lt;=8000,"Low Income",
HRData[[#This Row],[MonthlyIncome]]&lt;=12000,"Moderate Income",
HRData[[#This Row],[MonthlyIncome]]&lt;=16000,"High Income",
HRData[[#This Row],[MonthlyIncome]]&gt;16000,"Very High Income"
)</f>
        <v>Moderate Income</v>
      </c>
      <c r="Y884">
        <v>4235</v>
      </c>
      <c r="Z884">
        <v>2</v>
      </c>
      <c r="AA884" t="s">
        <v>42</v>
      </c>
      <c r="AB884" t="s">
        <v>35</v>
      </c>
      <c r="AC884">
        <v>21</v>
      </c>
      <c r="AD884" t="str" cm="1">
        <f t="array" ref="AD884">_xlfn.IFS(HRData[[#This Row],[PercentSalaryHike]]&lt;=15,"11-15",HRData[[#This Row],[PercentSalaryHike]]&lt;=20,"16-20",HRData[[#This Row],[PercentSalaryHike]]&gt;=21,"21+")</f>
        <v>21+</v>
      </c>
      <c r="AE884">
        <v>4</v>
      </c>
      <c r="AF884">
        <v>3</v>
      </c>
      <c r="AG884">
        <v>80</v>
      </c>
      <c r="AH884">
        <v>1</v>
      </c>
      <c r="AI884">
        <v>17</v>
      </c>
      <c r="AJ884">
        <v>2</v>
      </c>
      <c r="AK884">
        <v>3</v>
      </c>
      <c r="AL884">
        <v>7</v>
      </c>
      <c r="AM884">
        <v>7</v>
      </c>
      <c r="AN884">
        <v>7</v>
      </c>
      <c r="AO884">
        <v>7</v>
      </c>
      <c r="AP88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884" t="str">
        <f>IF(HRData[[#This Row],[Attrition]]="Yes","Left", IF(HRData[[#This Row],[Attrition_Risk_Score]]&gt;=6,"High",IF(HRData[[#This Row],[Attrition_Risk_Score]]&gt;=3,"Medium","Low")))</f>
        <v>Medium</v>
      </c>
      <c r="AR884" t="str">
        <f>IF(HRData[[#This Row],[Attrition_Risk_Level]]&lt;&gt;"High","",HRData[[#This Row],[Attrition_Risk_Score]]*10000-HRData[[#This Row],[EmployeeNumber]])</f>
        <v/>
      </c>
    </row>
    <row r="885" spans="1:44">
      <c r="A885">
        <v>33</v>
      </c>
      <c r="B885" t="str" cm="1">
        <f t="array" ref="B885">_xlfn.IFS(
HRData[[#This Row],[Age]]&lt;=24,"18-24",
HRData[[#This Row],[Age]]&lt;=34,"25-34",
HRData[[#This Row],[Age]]&lt;=44,"35-44",
HRData[[#This Row],[Age]]&lt;=54,"45-54",
HRData[[#This Row],[Age]]&gt;=55,"55+"
)</f>
        <v>25-34</v>
      </c>
      <c r="C885" t="s">
        <v>43</v>
      </c>
      <c r="D885">
        <f>IF(HRData[[#This Row],[Attrition]]="Yes",1,0)</f>
        <v>0</v>
      </c>
      <c r="E885" t="s">
        <v>36</v>
      </c>
      <c r="F885">
        <v>117</v>
      </c>
      <c r="G885" t="s">
        <v>45</v>
      </c>
      <c r="H885">
        <v>9</v>
      </c>
      <c r="I885">
        <v>3</v>
      </c>
      <c r="J885" t="s">
        <v>51</v>
      </c>
      <c r="K885">
        <v>1</v>
      </c>
      <c r="L885">
        <v>1238</v>
      </c>
      <c r="M885">
        <v>1</v>
      </c>
      <c r="N885" t="str" cm="1">
        <f t="array" ref="N885">_xlfn.IFS(HRData[[#This Row],[EnvironmentSatisfaction]]=1,"Very Dissatisfied",
HRData[[#This Row],[EnvironmentSatisfaction]]=2,"Dissatisfied",
HRData[[#This Row],[EnvironmentSatisfaction]]=3,"Satisfied",
HRData[[#This Row],[EnvironmentSatisfaction]]=4,"Very Satisfied"
)</f>
        <v>Very Dissatisfied</v>
      </c>
      <c r="O885" t="s">
        <v>46</v>
      </c>
      <c r="P885">
        <v>60</v>
      </c>
      <c r="Q885">
        <v>3</v>
      </c>
      <c r="R885">
        <v>1</v>
      </c>
      <c r="S885" t="s">
        <v>47</v>
      </c>
      <c r="T885">
        <v>4</v>
      </c>
      <c r="U885" t="str" cm="1">
        <f t="array" ref="U885">_xlfn.IFS(
HRData[[#This Row],[JobSatisfaction]]=1,"Very Dissatisfied",
HRData[[#This Row],[JobSatisfaction]]=2,"Dissatisfied",
HRData[[#This Row],[JobSatisfaction]]=3,"Satisfied",
HRData[[#This Row],[JobSatisfaction]]=4,"Very Satisfied"
)</f>
        <v>Very Satisfied</v>
      </c>
      <c r="V885" t="s">
        <v>48</v>
      </c>
      <c r="W885">
        <v>2781</v>
      </c>
      <c r="X885" t="str" cm="1">
        <f t="array" ref="X885">_xlfn.IFS(
HRData[[#This Row],[MonthlyIncome]]&lt;=4000,"Very Low Income",
HRData[[#This Row],[MonthlyIncome]]&lt;=8000,"Low Income",
HRData[[#This Row],[MonthlyIncome]]&lt;=12000,"Moderate Income",
HRData[[#This Row],[MonthlyIncome]]&lt;=16000,"High Income",
HRData[[#This Row],[MonthlyIncome]]&gt;16000,"Very High Income"
)</f>
        <v>Very Low Income</v>
      </c>
      <c r="Y885">
        <v>6311</v>
      </c>
      <c r="Z885">
        <v>0</v>
      </c>
      <c r="AA885" t="s">
        <v>42</v>
      </c>
      <c r="AB885" t="s">
        <v>43</v>
      </c>
      <c r="AC885">
        <v>13</v>
      </c>
      <c r="AD885" t="str" cm="1">
        <f t="array" ref="AD885">_xlfn.IFS(HRData[[#This Row],[PercentSalaryHike]]&lt;=15,"11-15",HRData[[#This Row],[PercentSalaryHike]]&lt;=20,"16-20",HRData[[#This Row],[PercentSalaryHike]]&gt;=21,"21+")</f>
        <v>11-15</v>
      </c>
      <c r="AE885">
        <v>3</v>
      </c>
      <c r="AF885">
        <v>2</v>
      </c>
      <c r="AG885">
        <v>80</v>
      </c>
      <c r="AH885">
        <v>1</v>
      </c>
      <c r="AI885">
        <v>15</v>
      </c>
      <c r="AJ885">
        <v>5</v>
      </c>
      <c r="AK885">
        <v>3</v>
      </c>
      <c r="AL885">
        <v>14</v>
      </c>
      <c r="AM885">
        <v>10</v>
      </c>
      <c r="AN885">
        <v>4</v>
      </c>
      <c r="AO885">
        <v>10</v>
      </c>
      <c r="AP88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85" t="str">
        <f>IF(HRData[[#This Row],[Attrition]]="Yes","Left", IF(HRData[[#This Row],[Attrition_Risk_Score]]&gt;=6,"High",IF(HRData[[#This Row],[Attrition_Risk_Score]]&gt;=3,"Medium","Low")))</f>
        <v>Medium</v>
      </c>
      <c r="AR885" t="str">
        <f>IF(HRData[[#This Row],[Attrition_Risk_Level]]&lt;&gt;"High","",HRData[[#This Row],[Attrition_Risk_Score]]*10000-HRData[[#This Row],[EmployeeNumber]])</f>
        <v/>
      </c>
    </row>
    <row r="886" spans="1:44">
      <c r="A886">
        <v>40</v>
      </c>
      <c r="B886" t="str" cm="1">
        <f t="array" ref="B886">_xlfn.IFS(
HRData[[#This Row],[Age]]&lt;=24,"18-24",
HRData[[#This Row],[Age]]&lt;=34,"25-34",
HRData[[#This Row],[Age]]&lt;=44,"35-44",
HRData[[#This Row],[Age]]&lt;=54,"45-54",
HRData[[#This Row],[Age]]&gt;=55,"55+"
)</f>
        <v>35-44</v>
      </c>
      <c r="C886" t="s">
        <v>43</v>
      </c>
      <c r="D886">
        <f>IF(HRData[[#This Row],[Attrition]]="Yes",1,0)</f>
        <v>0</v>
      </c>
      <c r="E886" t="s">
        <v>36</v>
      </c>
      <c r="F886">
        <v>107</v>
      </c>
      <c r="G886" t="s">
        <v>37</v>
      </c>
      <c r="H886">
        <v>10</v>
      </c>
      <c r="I886">
        <v>3</v>
      </c>
      <c r="J886" t="s">
        <v>60</v>
      </c>
      <c r="K886">
        <v>1</v>
      </c>
      <c r="L886">
        <v>1239</v>
      </c>
      <c r="M886">
        <v>2</v>
      </c>
      <c r="N886" t="str" cm="1">
        <f t="array" ref="N886">_xlfn.IFS(HRData[[#This Row],[EnvironmentSatisfaction]]=1,"Very Dissatisfied",
HRData[[#This Row],[EnvironmentSatisfaction]]=2,"Dissatisfied",
HRData[[#This Row],[EnvironmentSatisfaction]]=3,"Satisfied",
HRData[[#This Row],[EnvironmentSatisfaction]]=4,"Very Satisfied"
)</f>
        <v>Dissatisfied</v>
      </c>
      <c r="O886" t="s">
        <v>39</v>
      </c>
      <c r="P886">
        <v>84</v>
      </c>
      <c r="Q886">
        <v>2</v>
      </c>
      <c r="R886">
        <v>2</v>
      </c>
      <c r="S886" t="s">
        <v>40</v>
      </c>
      <c r="T886">
        <v>2</v>
      </c>
      <c r="U886" t="str" cm="1">
        <f t="array" ref="U886">_xlfn.IFS(
HRData[[#This Row],[JobSatisfaction]]=1,"Very Dissatisfied",
HRData[[#This Row],[JobSatisfaction]]=2,"Dissatisfied",
HRData[[#This Row],[JobSatisfaction]]=3,"Satisfied",
HRData[[#This Row],[JobSatisfaction]]=4,"Very Satisfied"
)</f>
        <v>Dissatisfied</v>
      </c>
      <c r="V886" t="s">
        <v>52</v>
      </c>
      <c r="W886">
        <v>6852</v>
      </c>
      <c r="X886" t="str" cm="1">
        <f t="array" ref="X886">_xlfn.IFS(
HRData[[#This Row],[MonthlyIncome]]&lt;=4000,"Very Low Income",
HRData[[#This Row],[MonthlyIncome]]&lt;=8000,"Low Income",
HRData[[#This Row],[MonthlyIncome]]&lt;=12000,"Moderate Income",
HRData[[#This Row],[MonthlyIncome]]&lt;=16000,"High Income",
HRData[[#This Row],[MonthlyIncome]]&gt;16000,"Very High Income"
)</f>
        <v>Low Income</v>
      </c>
      <c r="Y886">
        <v>11591</v>
      </c>
      <c r="Z886">
        <v>7</v>
      </c>
      <c r="AA886" t="s">
        <v>42</v>
      </c>
      <c r="AB886" t="s">
        <v>43</v>
      </c>
      <c r="AC886">
        <v>12</v>
      </c>
      <c r="AD886" t="str" cm="1">
        <f t="array" ref="AD886">_xlfn.IFS(HRData[[#This Row],[PercentSalaryHike]]&lt;=15,"11-15",HRData[[#This Row],[PercentSalaryHike]]&lt;=20,"16-20",HRData[[#This Row],[PercentSalaryHike]]&gt;=21,"21+")</f>
        <v>11-15</v>
      </c>
      <c r="AE886">
        <v>3</v>
      </c>
      <c r="AF886">
        <v>2</v>
      </c>
      <c r="AG886">
        <v>80</v>
      </c>
      <c r="AH886">
        <v>1</v>
      </c>
      <c r="AI886">
        <v>7</v>
      </c>
      <c r="AJ886">
        <v>2</v>
      </c>
      <c r="AK886">
        <v>4</v>
      </c>
      <c r="AL886">
        <v>5</v>
      </c>
      <c r="AM886">
        <v>1</v>
      </c>
      <c r="AN886">
        <v>1</v>
      </c>
      <c r="AO886">
        <v>3</v>
      </c>
      <c r="AP88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886" t="str">
        <f>IF(HRData[[#This Row],[Attrition]]="Yes","Left", IF(HRData[[#This Row],[Attrition_Risk_Score]]&gt;=6,"High",IF(HRData[[#This Row],[Attrition_Risk_Score]]&gt;=3,"Medium","Low")))</f>
        <v>Low</v>
      </c>
      <c r="AR886" t="str">
        <f>IF(HRData[[#This Row],[Attrition_Risk_Level]]&lt;&gt;"High","",HRData[[#This Row],[Attrition_Risk_Score]]*10000-HRData[[#This Row],[EmployeeNumber]])</f>
        <v/>
      </c>
    </row>
    <row r="887" spans="1:44">
      <c r="A887">
        <v>25</v>
      </c>
      <c r="B887" t="str" cm="1">
        <f t="array" ref="B887">_xlfn.IFS(
HRData[[#This Row],[Age]]&lt;=24,"18-24",
HRData[[#This Row],[Age]]&lt;=34,"25-34",
HRData[[#This Row],[Age]]&lt;=44,"35-44",
HRData[[#This Row],[Age]]&lt;=54,"45-54",
HRData[[#This Row],[Age]]&gt;=55,"55+"
)</f>
        <v>25-34</v>
      </c>
      <c r="C887" t="s">
        <v>43</v>
      </c>
      <c r="D887">
        <f>IF(HRData[[#This Row],[Attrition]]="Yes",1,0)</f>
        <v>0</v>
      </c>
      <c r="E887" t="s">
        <v>36</v>
      </c>
      <c r="F887">
        <v>1356</v>
      </c>
      <c r="G887" t="s">
        <v>37</v>
      </c>
      <c r="H887">
        <v>10</v>
      </c>
      <c r="I887">
        <v>4</v>
      </c>
      <c r="J887" t="s">
        <v>38</v>
      </c>
      <c r="K887">
        <v>1</v>
      </c>
      <c r="L887">
        <v>1240</v>
      </c>
      <c r="M887">
        <v>3</v>
      </c>
      <c r="N887" t="str" cm="1">
        <f t="array" ref="N887">_xlfn.IFS(HRData[[#This Row],[EnvironmentSatisfaction]]=1,"Very Dissatisfied",
HRData[[#This Row],[EnvironmentSatisfaction]]=2,"Dissatisfied",
HRData[[#This Row],[EnvironmentSatisfaction]]=3,"Satisfied",
HRData[[#This Row],[EnvironmentSatisfaction]]=4,"Very Satisfied"
)</f>
        <v>Satisfied</v>
      </c>
      <c r="O887" t="s">
        <v>46</v>
      </c>
      <c r="P887">
        <v>57</v>
      </c>
      <c r="Q887">
        <v>3</v>
      </c>
      <c r="R887">
        <v>2</v>
      </c>
      <c r="S887" t="s">
        <v>40</v>
      </c>
      <c r="T887">
        <v>4</v>
      </c>
      <c r="U887" t="str" cm="1">
        <f t="array" ref="U887">_xlfn.IFS(
HRData[[#This Row],[JobSatisfaction]]=1,"Very Dissatisfied",
HRData[[#This Row],[JobSatisfaction]]=2,"Dissatisfied",
HRData[[#This Row],[JobSatisfaction]]=3,"Satisfied",
HRData[[#This Row],[JobSatisfaction]]=4,"Very Satisfied"
)</f>
        <v>Very Satisfied</v>
      </c>
      <c r="V887" t="s">
        <v>41</v>
      </c>
      <c r="W887">
        <v>4950</v>
      </c>
      <c r="X887" t="str" cm="1">
        <f t="array" ref="X887">_xlfn.IFS(
HRData[[#This Row],[MonthlyIncome]]&lt;=4000,"Very Low Income",
HRData[[#This Row],[MonthlyIncome]]&lt;=8000,"Low Income",
HRData[[#This Row],[MonthlyIncome]]&lt;=12000,"Moderate Income",
HRData[[#This Row],[MonthlyIncome]]&lt;=16000,"High Income",
HRData[[#This Row],[MonthlyIncome]]&gt;16000,"Very High Income"
)</f>
        <v>Low Income</v>
      </c>
      <c r="Y887">
        <v>20623</v>
      </c>
      <c r="Z887">
        <v>0</v>
      </c>
      <c r="AA887" t="s">
        <v>42</v>
      </c>
      <c r="AB887" t="s">
        <v>43</v>
      </c>
      <c r="AC887">
        <v>14</v>
      </c>
      <c r="AD887" t="str" cm="1">
        <f t="array" ref="AD887">_xlfn.IFS(HRData[[#This Row],[PercentSalaryHike]]&lt;=15,"11-15",HRData[[#This Row],[PercentSalaryHike]]&lt;=20,"16-20",HRData[[#This Row],[PercentSalaryHike]]&gt;=21,"21+")</f>
        <v>11-15</v>
      </c>
      <c r="AE887">
        <v>3</v>
      </c>
      <c r="AF887">
        <v>2</v>
      </c>
      <c r="AG887">
        <v>80</v>
      </c>
      <c r="AH887">
        <v>0</v>
      </c>
      <c r="AI887">
        <v>5</v>
      </c>
      <c r="AJ887">
        <v>4</v>
      </c>
      <c r="AK887">
        <v>3</v>
      </c>
      <c r="AL887">
        <v>4</v>
      </c>
      <c r="AM887">
        <v>3</v>
      </c>
      <c r="AN887">
        <v>1</v>
      </c>
      <c r="AO887">
        <v>1</v>
      </c>
      <c r="AP88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87" t="str">
        <f>IF(HRData[[#This Row],[Attrition]]="Yes","Left", IF(HRData[[#This Row],[Attrition_Risk_Score]]&gt;=6,"High",IF(HRData[[#This Row],[Attrition_Risk_Score]]&gt;=3,"Medium","Low")))</f>
        <v>Low</v>
      </c>
      <c r="AR887" t="str">
        <f>IF(HRData[[#This Row],[Attrition_Risk_Level]]&lt;&gt;"High","",HRData[[#This Row],[Attrition_Risk_Score]]*10000-HRData[[#This Row],[EmployeeNumber]])</f>
        <v/>
      </c>
    </row>
    <row r="888" spans="1:44">
      <c r="A888">
        <v>30</v>
      </c>
      <c r="B888" t="str" cm="1">
        <f t="array" ref="B888">_xlfn.IFS(
HRData[[#This Row],[Age]]&lt;=24,"18-24",
HRData[[#This Row],[Age]]&lt;=34,"25-34",
HRData[[#This Row],[Age]]&lt;=44,"35-44",
HRData[[#This Row],[Age]]&lt;=54,"45-54",
HRData[[#This Row],[Age]]&gt;=55,"55+"
)</f>
        <v>25-34</v>
      </c>
      <c r="C888" t="s">
        <v>43</v>
      </c>
      <c r="D888">
        <f>IF(HRData[[#This Row],[Attrition]]="Yes",1,0)</f>
        <v>0</v>
      </c>
      <c r="E888" t="s">
        <v>36</v>
      </c>
      <c r="F888">
        <v>1465</v>
      </c>
      <c r="G888" t="s">
        <v>45</v>
      </c>
      <c r="H888">
        <v>1</v>
      </c>
      <c r="I888">
        <v>3</v>
      </c>
      <c r="J888" t="s">
        <v>51</v>
      </c>
      <c r="K888">
        <v>1</v>
      </c>
      <c r="L888">
        <v>1241</v>
      </c>
      <c r="M888">
        <v>4</v>
      </c>
      <c r="N888" t="str" cm="1">
        <f t="array" ref="N888">_xlfn.IFS(HRData[[#This Row],[EnvironmentSatisfaction]]=1,"Very Dissatisfied",
HRData[[#This Row],[EnvironmentSatisfaction]]=2,"Dissatisfied",
HRData[[#This Row],[EnvironmentSatisfaction]]=3,"Satisfied",
HRData[[#This Row],[EnvironmentSatisfaction]]=4,"Very Satisfied"
)</f>
        <v>Very Satisfied</v>
      </c>
      <c r="O888" t="s">
        <v>46</v>
      </c>
      <c r="P888">
        <v>63</v>
      </c>
      <c r="Q888">
        <v>3</v>
      </c>
      <c r="R888">
        <v>1</v>
      </c>
      <c r="S888" t="s">
        <v>47</v>
      </c>
      <c r="T888">
        <v>2</v>
      </c>
      <c r="U888" t="str" cm="1">
        <f t="array" ref="U888">_xlfn.IFS(
HRData[[#This Row],[JobSatisfaction]]=1,"Very Dissatisfied",
HRData[[#This Row],[JobSatisfaction]]=2,"Dissatisfied",
HRData[[#This Row],[JobSatisfaction]]=3,"Satisfied",
HRData[[#This Row],[JobSatisfaction]]=4,"Very Satisfied"
)</f>
        <v>Dissatisfied</v>
      </c>
      <c r="V888" t="s">
        <v>48</v>
      </c>
      <c r="W888">
        <v>3579</v>
      </c>
      <c r="X888" t="str" cm="1">
        <f t="array" ref="X888">_xlfn.IFS(
HRData[[#This Row],[MonthlyIncome]]&lt;=4000,"Very Low Income",
HRData[[#This Row],[MonthlyIncome]]&lt;=8000,"Low Income",
HRData[[#This Row],[MonthlyIncome]]&lt;=12000,"Moderate Income",
HRData[[#This Row],[MonthlyIncome]]&lt;=16000,"High Income",
HRData[[#This Row],[MonthlyIncome]]&gt;16000,"Very High Income"
)</f>
        <v>Very Low Income</v>
      </c>
      <c r="Y888">
        <v>9369</v>
      </c>
      <c r="Z888">
        <v>0</v>
      </c>
      <c r="AA888" t="s">
        <v>42</v>
      </c>
      <c r="AB888" t="s">
        <v>35</v>
      </c>
      <c r="AC888">
        <v>21</v>
      </c>
      <c r="AD888" t="str" cm="1">
        <f t="array" ref="AD888">_xlfn.IFS(HRData[[#This Row],[PercentSalaryHike]]&lt;=15,"11-15",HRData[[#This Row],[PercentSalaryHike]]&lt;=20,"16-20",HRData[[#This Row],[PercentSalaryHike]]&gt;=21,"21+")</f>
        <v>21+</v>
      </c>
      <c r="AE888">
        <v>4</v>
      </c>
      <c r="AF888">
        <v>1</v>
      </c>
      <c r="AG888">
        <v>80</v>
      </c>
      <c r="AH888">
        <v>1</v>
      </c>
      <c r="AI888">
        <v>12</v>
      </c>
      <c r="AJ888">
        <v>2</v>
      </c>
      <c r="AK888">
        <v>3</v>
      </c>
      <c r="AL888">
        <v>11</v>
      </c>
      <c r="AM888">
        <v>9</v>
      </c>
      <c r="AN888">
        <v>5</v>
      </c>
      <c r="AO888">
        <v>7</v>
      </c>
      <c r="AP88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888" t="str">
        <f>IF(HRData[[#This Row],[Attrition]]="Yes","Left", IF(HRData[[#This Row],[Attrition_Risk_Score]]&gt;=6,"High",IF(HRData[[#This Row],[Attrition_Risk_Score]]&gt;=3,"Medium","Low")))</f>
        <v>Medium</v>
      </c>
      <c r="AR888" t="str">
        <f>IF(HRData[[#This Row],[Attrition_Risk_Level]]&lt;&gt;"High","",HRData[[#This Row],[Attrition_Risk_Score]]*10000-HRData[[#This Row],[EmployeeNumber]])</f>
        <v/>
      </c>
    </row>
    <row r="889" spans="1:44">
      <c r="A889">
        <v>42</v>
      </c>
      <c r="B889" t="str" cm="1">
        <f t="array" ref="B889">_xlfn.IFS(
HRData[[#This Row],[Age]]&lt;=24,"18-24",
HRData[[#This Row],[Age]]&lt;=34,"25-34",
HRData[[#This Row],[Age]]&lt;=44,"35-44",
HRData[[#This Row],[Age]]&lt;=54,"45-54",
HRData[[#This Row],[Age]]&gt;=55,"55+"
)</f>
        <v>35-44</v>
      </c>
      <c r="C889" t="s">
        <v>43</v>
      </c>
      <c r="D889">
        <f>IF(HRData[[#This Row],[Attrition]]="Yes",1,0)</f>
        <v>0</v>
      </c>
      <c r="E889" t="s">
        <v>44</v>
      </c>
      <c r="F889">
        <v>458</v>
      </c>
      <c r="G889" t="s">
        <v>45</v>
      </c>
      <c r="H889">
        <v>26</v>
      </c>
      <c r="I889">
        <v>5</v>
      </c>
      <c r="J889" t="s">
        <v>51</v>
      </c>
      <c r="K889">
        <v>1</v>
      </c>
      <c r="L889">
        <v>1242</v>
      </c>
      <c r="M889">
        <v>1</v>
      </c>
      <c r="N889" t="str" cm="1">
        <f t="array" ref="N889">_xlfn.IFS(HRData[[#This Row],[EnvironmentSatisfaction]]=1,"Very Dissatisfied",
HRData[[#This Row],[EnvironmentSatisfaction]]=2,"Dissatisfied",
HRData[[#This Row],[EnvironmentSatisfaction]]=3,"Satisfied",
HRData[[#This Row],[EnvironmentSatisfaction]]=4,"Very Satisfied"
)</f>
        <v>Very Dissatisfied</v>
      </c>
      <c r="O889" t="s">
        <v>39</v>
      </c>
      <c r="P889">
        <v>60</v>
      </c>
      <c r="Q889">
        <v>3</v>
      </c>
      <c r="R889">
        <v>3</v>
      </c>
      <c r="S889" t="s">
        <v>58</v>
      </c>
      <c r="T889">
        <v>1</v>
      </c>
      <c r="U889" t="str" cm="1">
        <f t="array" ref="U889">_xlfn.IFS(
HRData[[#This Row],[JobSatisfaction]]=1,"Very Dissatisfied",
HRData[[#This Row],[JobSatisfaction]]=2,"Dissatisfied",
HRData[[#This Row],[JobSatisfaction]]=3,"Satisfied",
HRData[[#This Row],[JobSatisfaction]]=4,"Very Satisfied"
)</f>
        <v>Very Dissatisfied</v>
      </c>
      <c r="V889" t="s">
        <v>48</v>
      </c>
      <c r="W889">
        <v>13191</v>
      </c>
      <c r="X889" t="str" cm="1">
        <f t="array" ref="X889">_xlfn.IFS(
HRData[[#This Row],[MonthlyIncome]]&lt;=4000,"Very Low Income",
HRData[[#This Row],[MonthlyIncome]]&lt;=8000,"Low Income",
HRData[[#This Row],[MonthlyIncome]]&lt;=12000,"Moderate Income",
HRData[[#This Row],[MonthlyIncome]]&lt;=16000,"High Income",
HRData[[#This Row],[MonthlyIncome]]&gt;16000,"Very High Income"
)</f>
        <v>High Income</v>
      </c>
      <c r="Y889">
        <v>23281</v>
      </c>
      <c r="Z889">
        <v>3</v>
      </c>
      <c r="AA889" t="s">
        <v>42</v>
      </c>
      <c r="AB889" t="s">
        <v>35</v>
      </c>
      <c r="AC889">
        <v>17</v>
      </c>
      <c r="AD889" t="str" cm="1">
        <f t="array" ref="AD889">_xlfn.IFS(HRData[[#This Row],[PercentSalaryHike]]&lt;=15,"11-15",HRData[[#This Row],[PercentSalaryHike]]&lt;=20,"16-20",HRData[[#This Row],[PercentSalaryHike]]&gt;=21,"21+")</f>
        <v>16-20</v>
      </c>
      <c r="AE889">
        <v>3</v>
      </c>
      <c r="AF889">
        <v>3</v>
      </c>
      <c r="AG889">
        <v>80</v>
      </c>
      <c r="AH889">
        <v>0</v>
      </c>
      <c r="AI889">
        <v>20</v>
      </c>
      <c r="AJ889">
        <v>6</v>
      </c>
      <c r="AK889">
        <v>3</v>
      </c>
      <c r="AL889">
        <v>1</v>
      </c>
      <c r="AM889">
        <v>0</v>
      </c>
      <c r="AN889">
        <v>0</v>
      </c>
      <c r="AO889">
        <v>0</v>
      </c>
      <c r="AP88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889" t="str">
        <f>IF(HRData[[#This Row],[Attrition]]="Yes","Left", IF(HRData[[#This Row],[Attrition_Risk_Score]]&gt;=6,"High",IF(HRData[[#This Row],[Attrition_Risk_Score]]&gt;=3,"Medium","Low")))</f>
        <v>Medium</v>
      </c>
      <c r="AR889" t="str">
        <f>IF(HRData[[#This Row],[Attrition_Risk_Level]]&lt;&gt;"High","",HRData[[#This Row],[Attrition_Risk_Score]]*10000-HRData[[#This Row],[EmployeeNumber]])</f>
        <v/>
      </c>
    </row>
    <row r="890" spans="1:44">
      <c r="A890">
        <v>35</v>
      </c>
      <c r="B890" t="str" cm="1">
        <f t="array" ref="B890">_xlfn.IFS(
HRData[[#This Row],[Age]]&lt;=24,"18-24",
HRData[[#This Row],[Age]]&lt;=34,"25-34",
HRData[[#This Row],[Age]]&lt;=44,"35-44",
HRData[[#This Row],[Age]]&lt;=54,"45-54",
HRData[[#This Row],[Age]]&gt;=55,"55+"
)</f>
        <v>35-44</v>
      </c>
      <c r="C890" t="s">
        <v>43</v>
      </c>
      <c r="D890">
        <f>IF(HRData[[#This Row],[Attrition]]="Yes",1,0)</f>
        <v>0</v>
      </c>
      <c r="E890" t="s">
        <v>55</v>
      </c>
      <c r="F890">
        <v>1212</v>
      </c>
      <c r="G890" t="s">
        <v>37</v>
      </c>
      <c r="H890">
        <v>8</v>
      </c>
      <c r="I890">
        <v>2</v>
      </c>
      <c r="J890" t="s">
        <v>59</v>
      </c>
      <c r="K890">
        <v>1</v>
      </c>
      <c r="L890">
        <v>1243</v>
      </c>
      <c r="M890">
        <v>3</v>
      </c>
      <c r="N890" t="str" cm="1">
        <f t="array" ref="N890">_xlfn.IFS(HRData[[#This Row],[EnvironmentSatisfaction]]=1,"Very Dissatisfied",
HRData[[#This Row],[EnvironmentSatisfaction]]=2,"Dissatisfied",
HRData[[#This Row],[EnvironmentSatisfaction]]=3,"Satisfied",
HRData[[#This Row],[EnvironmentSatisfaction]]=4,"Very Satisfied"
)</f>
        <v>Satisfied</v>
      </c>
      <c r="O890" t="s">
        <v>39</v>
      </c>
      <c r="P890">
        <v>78</v>
      </c>
      <c r="Q890">
        <v>2</v>
      </c>
      <c r="R890">
        <v>3</v>
      </c>
      <c r="S890" t="s">
        <v>40</v>
      </c>
      <c r="T890">
        <v>4</v>
      </c>
      <c r="U890" t="str" cm="1">
        <f t="array" ref="U890">_xlfn.IFS(
HRData[[#This Row],[JobSatisfaction]]=1,"Very Dissatisfied",
HRData[[#This Row],[JobSatisfaction]]=2,"Dissatisfied",
HRData[[#This Row],[JobSatisfaction]]=3,"Satisfied",
HRData[[#This Row],[JobSatisfaction]]=4,"Very Satisfied"
)</f>
        <v>Very Satisfied</v>
      </c>
      <c r="V890" t="s">
        <v>48</v>
      </c>
      <c r="W890">
        <v>10377</v>
      </c>
      <c r="X890" t="str" cm="1">
        <f t="array" ref="X890">_xlfn.IFS(
HRData[[#This Row],[MonthlyIncome]]&lt;=4000,"Very Low Income",
HRData[[#This Row],[MonthlyIncome]]&lt;=8000,"Low Income",
HRData[[#This Row],[MonthlyIncome]]&lt;=12000,"Moderate Income",
HRData[[#This Row],[MonthlyIncome]]&lt;=16000,"High Income",
HRData[[#This Row],[MonthlyIncome]]&gt;16000,"Very High Income"
)</f>
        <v>Moderate Income</v>
      </c>
      <c r="Y890">
        <v>13755</v>
      </c>
      <c r="Z890">
        <v>4</v>
      </c>
      <c r="AA890" t="s">
        <v>42</v>
      </c>
      <c r="AB890" t="s">
        <v>35</v>
      </c>
      <c r="AC890">
        <v>11</v>
      </c>
      <c r="AD890" t="str" cm="1">
        <f t="array" ref="AD890">_xlfn.IFS(HRData[[#This Row],[PercentSalaryHike]]&lt;=15,"11-15",HRData[[#This Row],[PercentSalaryHike]]&lt;=20,"16-20",HRData[[#This Row],[PercentSalaryHike]]&gt;=21,"21+")</f>
        <v>11-15</v>
      </c>
      <c r="AE890">
        <v>3</v>
      </c>
      <c r="AF890">
        <v>2</v>
      </c>
      <c r="AG890">
        <v>80</v>
      </c>
      <c r="AH890">
        <v>1</v>
      </c>
      <c r="AI890">
        <v>16</v>
      </c>
      <c r="AJ890">
        <v>6</v>
      </c>
      <c r="AK890">
        <v>2</v>
      </c>
      <c r="AL890">
        <v>13</v>
      </c>
      <c r="AM890">
        <v>2</v>
      </c>
      <c r="AN890">
        <v>4</v>
      </c>
      <c r="AO890">
        <v>12</v>
      </c>
      <c r="AP89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90" t="str">
        <f>IF(HRData[[#This Row],[Attrition]]="Yes","Left", IF(HRData[[#This Row],[Attrition_Risk_Score]]&gt;=6,"High",IF(HRData[[#This Row],[Attrition_Risk_Score]]&gt;=3,"Medium","Low")))</f>
        <v>Low</v>
      </c>
      <c r="AR890" t="str">
        <f>IF(HRData[[#This Row],[Attrition_Risk_Level]]&lt;&gt;"High","",HRData[[#This Row],[Attrition_Risk_Score]]*10000-HRData[[#This Row],[EmployeeNumber]])</f>
        <v/>
      </c>
    </row>
    <row r="891" spans="1:44">
      <c r="A891">
        <v>27</v>
      </c>
      <c r="B891" t="str" cm="1">
        <f t="array" ref="B891">_xlfn.IFS(
HRData[[#This Row],[Age]]&lt;=24,"18-24",
HRData[[#This Row],[Age]]&lt;=34,"25-34",
HRData[[#This Row],[Age]]&lt;=44,"35-44",
HRData[[#This Row],[Age]]&lt;=54,"45-54",
HRData[[#This Row],[Age]]&gt;=55,"55+"
)</f>
        <v>25-34</v>
      </c>
      <c r="C891" t="s">
        <v>43</v>
      </c>
      <c r="D891">
        <f>IF(HRData[[#This Row],[Attrition]]="Yes",1,0)</f>
        <v>0</v>
      </c>
      <c r="E891" t="s">
        <v>36</v>
      </c>
      <c r="F891">
        <v>1103</v>
      </c>
      <c r="G891" t="s">
        <v>45</v>
      </c>
      <c r="H891">
        <v>14</v>
      </c>
      <c r="I891">
        <v>3</v>
      </c>
      <c r="J891" t="s">
        <v>38</v>
      </c>
      <c r="K891">
        <v>1</v>
      </c>
      <c r="L891">
        <v>1244</v>
      </c>
      <c r="M891">
        <v>1</v>
      </c>
      <c r="N891" t="str" cm="1">
        <f t="array" ref="N891">_xlfn.IFS(HRData[[#This Row],[EnvironmentSatisfaction]]=1,"Very Dissatisfied",
HRData[[#This Row],[EnvironmentSatisfaction]]=2,"Dissatisfied",
HRData[[#This Row],[EnvironmentSatisfaction]]=3,"Satisfied",
HRData[[#This Row],[EnvironmentSatisfaction]]=4,"Very Satisfied"
)</f>
        <v>Very Dissatisfied</v>
      </c>
      <c r="O891" t="s">
        <v>46</v>
      </c>
      <c r="P891">
        <v>42</v>
      </c>
      <c r="Q891">
        <v>3</v>
      </c>
      <c r="R891">
        <v>1</v>
      </c>
      <c r="S891" t="s">
        <v>47</v>
      </c>
      <c r="T891">
        <v>1</v>
      </c>
      <c r="U891" t="str" cm="1">
        <f t="array" ref="U891">_xlfn.IFS(
HRData[[#This Row],[JobSatisfaction]]=1,"Very Dissatisfied",
HRData[[#This Row],[JobSatisfaction]]=2,"Dissatisfied",
HRData[[#This Row],[JobSatisfaction]]=3,"Satisfied",
HRData[[#This Row],[JobSatisfaction]]=4,"Very Satisfied"
)</f>
        <v>Very Dissatisfied</v>
      </c>
      <c r="V891" t="s">
        <v>48</v>
      </c>
      <c r="W891">
        <v>2235</v>
      </c>
      <c r="X891" t="str" cm="1">
        <f t="array" ref="X891">_xlfn.IFS(
HRData[[#This Row],[MonthlyIncome]]&lt;=4000,"Very Low Income",
HRData[[#This Row],[MonthlyIncome]]&lt;=8000,"Low Income",
HRData[[#This Row],[MonthlyIncome]]&lt;=12000,"Moderate Income",
HRData[[#This Row],[MonthlyIncome]]&lt;=16000,"High Income",
HRData[[#This Row],[MonthlyIncome]]&gt;16000,"Very High Income"
)</f>
        <v>Very Low Income</v>
      </c>
      <c r="Y891">
        <v>14377</v>
      </c>
      <c r="Z891">
        <v>1</v>
      </c>
      <c r="AA891" t="s">
        <v>42</v>
      </c>
      <c r="AB891" t="s">
        <v>35</v>
      </c>
      <c r="AC891">
        <v>14</v>
      </c>
      <c r="AD891" t="str" cm="1">
        <f t="array" ref="AD891">_xlfn.IFS(HRData[[#This Row],[PercentSalaryHike]]&lt;=15,"11-15",HRData[[#This Row],[PercentSalaryHike]]&lt;=20,"16-20",HRData[[#This Row],[PercentSalaryHike]]&gt;=21,"21+")</f>
        <v>11-15</v>
      </c>
      <c r="AE891">
        <v>3</v>
      </c>
      <c r="AF891">
        <v>4</v>
      </c>
      <c r="AG891">
        <v>80</v>
      </c>
      <c r="AH891">
        <v>2</v>
      </c>
      <c r="AI891">
        <v>9</v>
      </c>
      <c r="AJ891">
        <v>3</v>
      </c>
      <c r="AK891">
        <v>2</v>
      </c>
      <c r="AL891">
        <v>9</v>
      </c>
      <c r="AM891">
        <v>7</v>
      </c>
      <c r="AN891">
        <v>6</v>
      </c>
      <c r="AO891">
        <v>8</v>
      </c>
      <c r="AP89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891" t="str">
        <f>IF(HRData[[#This Row],[Attrition]]="Yes","Left", IF(HRData[[#This Row],[Attrition_Risk_Score]]&gt;=6,"High",IF(HRData[[#This Row],[Attrition_Risk_Score]]&gt;=3,"Medium","Low")))</f>
        <v>High</v>
      </c>
      <c r="AR891">
        <f>IF(HRData[[#This Row],[Attrition_Risk_Level]]&lt;&gt;"High","",HRData[[#This Row],[Attrition_Risk_Score]]*10000-HRData[[#This Row],[EmployeeNumber]])</f>
        <v>68756</v>
      </c>
    </row>
    <row r="892" spans="1:44">
      <c r="A892">
        <v>54</v>
      </c>
      <c r="B892" t="str" cm="1">
        <f t="array" ref="B892">_xlfn.IFS(
HRData[[#This Row],[Age]]&lt;=24,"18-24",
HRData[[#This Row],[Age]]&lt;=34,"25-34",
HRData[[#This Row],[Age]]&lt;=44,"35-44",
HRData[[#This Row],[Age]]&lt;=54,"45-54",
HRData[[#This Row],[Age]]&gt;=55,"55+"
)</f>
        <v>45-54</v>
      </c>
      <c r="C892" t="s">
        <v>43</v>
      </c>
      <c r="D892">
        <f>IF(HRData[[#This Row],[Attrition]]="Yes",1,0)</f>
        <v>0</v>
      </c>
      <c r="E892" t="s">
        <v>44</v>
      </c>
      <c r="F892">
        <v>966</v>
      </c>
      <c r="G892" t="s">
        <v>45</v>
      </c>
      <c r="H892">
        <v>1</v>
      </c>
      <c r="I892">
        <v>4</v>
      </c>
      <c r="J892" t="s">
        <v>38</v>
      </c>
      <c r="K892">
        <v>1</v>
      </c>
      <c r="L892">
        <v>1245</v>
      </c>
      <c r="M892">
        <v>4</v>
      </c>
      <c r="N892" t="str" cm="1">
        <f t="array" ref="N892">_xlfn.IFS(HRData[[#This Row],[EnvironmentSatisfaction]]=1,"Very Dissatisfied",
HRData[[#This Row],[EnvironmentSatisfaction]]=2,"Dissatisfied",
HRData[[#This Row],[EnvironmentSatisfaction]]=3,"Satisfied",
HRData[[#This Row],[EnvironmentSatisfaction]]=4,"Very Satisfied"
)</f>
        <v>Very Satisfied</v>
      </c>
      <c r="O892" t="s">
        <v>39</v>
      </c>
      <c r="P892">
        <v>53</v>
      </c>
      <c r="Q892">
        <v>3</v>
      </c>
      <c r="R892">
        <v>3</v>
      </c>
      <c r="S892" t="s">
        <v>53</v>
      </c>
      <c r="T892">
        <v>3</v>
      </c>
      <c r="U892" t="str" cm="1">
        <f t="array" ref="U892">_xlfn.IFS(
HRData[[#This Row],[JobSatisfaction]]=1,"Very Dissatisfied",
HRData[[#This Row],[JobSatisfaction]]=2,"Dissatisfied",
HRData[[#This Row],[JobSatisfaction]]=3,"Satisfied",
HRData[[#This Row],[JobSatisfaction]]=4,"Very Satisfied"
)</f>
        <v>Satisfied</v>
      </c>
      <c r="V892" t="s">
        <v>52</v>
      </c>
      <c r="W892">
        <v>10502</v>
      </c>
      <c r="X892" t="str" cm="1">
        <f t="array" ref="X892">_xlfn.IFS(
HRData[[#This Row],[MonthlyIncome]]&lt;=4000,"Very Low Income",
HRData[[#This Row],[MonthlyIncome]]&lt;=8000,"Low Income",
HRData[[#This Row],[MonthlyIncome]]&lt;=12000,"Moderate Income",
HRData[[#This Row],[MonthlyIncome]]&lt;=16000,"High Income",
HRData[[#This Row],[MonthlyIncome]]&gt;16000,"Very High Income"
)</f>
        <v>Moderate Income</v>
      </c>
      <c r="Y892">
        <v>9659</v>
      </c>
      <c r="Z892">
        <v>7</v>
      </c>
      <c r="AA892" t="s">
        <v>42</v>
      </c>
      <c r="AB892" t="s">
        <v>43</v>
      </c>
      <c r="AC892">
        <v>17</v>
      </c>
      <c r="AD892" t="str" cm="1">
        <f t="array" ref="AD892">_xlfn.IFS(HRData[[#This Row],[PercentSalaryHike]]&lt;=15,"11-15",HRData[[#This Row],[PercentSalaryHike]]&lt;=20,"16-20",HRData[[#This Row],[PercentSalaryHike]]&gt;=21,"21+")</f>
        <v>16-20</v>
      </c>
      <c r="AE892">
        <v>3</v>
      </c>
      <c r="AF892">
        <v>1</v>
      </c>
      <c r="AG892">
        <v>80</v>
      </c>
      <c r="AH892">
        <v>1</v>
      </c>
      <c r="AI892">
        <v>33</v>
      </c>
      <c r="AJ892">
        <v>2</v>
      </c>
      <c r="AK892">
        <v>1</v>
      </c>
      <c r="AL892">
        <v>5</v>
      </c>
      <c r="AM892">
        <v>4</v>
      </c>
      <c r="AN892">
        <v>1</v>
      </c>
      <c r="AO892">
        <v>4</v>
      </c>
      <c r="AP89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892" t="str">
        <f>IF(HRData[[#This Row],[Attrition]]="Yes","Left", IF(HRData[[#This Row],[Attrition_Risk_Score]]&gt;=6,"High",IF(HRData[[#This Row],[Attrition_Risk_Score]]&gt;=3,"Medium","Low")))</f>
        <v>Low</v>
      </c>
      <c r="AR892" t="str">
        <f>IF(HRData[[#This Row],[Attrition_Risk_Level]]&lt;&gt;"High","",HRData[[#This Row],[Attrition_Risk_Score]]*10000-HRData[[#This Row],[EmployeeNumber]])</f>
        <v/>
      </c>
    </row>
    <row r="893" spans="1:44">
      <c r="A893">
        <v>44</v>
      </c>
      <c r="B893" t="str" cm="1">
        <f t="array" ref="B893">_xlfn.IFS(
HRData[[#This Row],[Age]]&lt;=24,"18-24",
HRData[[#This Row],[Age]]&lt;=34,"25-34",
HRData[[#This Row],[Age]]&lt;=44,"35-44",
HRData[[#This Row],[Age]]&lt;=54,"45-54",
HRData[[#This Row],[Age]]&gt;=55,"55+"
)</f>
        <v>35-44</v>
      </c>
      <c r="C893" t="s">
        <v>43</v>
      </c>
      <c r="D893">
        <f>IF(HRData[[#This Row],[Attrition]]="Yes",1,0)</f>
        <v>0</v>
      </c>
      <c r="E893" t="s">
        <v>36</v>
      </c>
      <c r="F893">
        <v>1117</v>
      </c>
      <c r="G893" t="s">
        <v>45</v>
      </c>
      <c r="H893">
        <v>2</v>
      </c>
      <c r="I893">
        <v>1</v>
      </c>
      <c r="J893" t="s">
        <v>38</v>
      </c>
      <c r="K893">
        <v>1</v>
      </c>
      <c r="L893">
        <v>1246</v>
      </c>
      <c r="M893">
        <v>1</v>
      </c>
      <c r="N893" t="str" cm="1">
        <f t="array" ref="N893">_xlfn.IFS(HRData[[#This Row],[EnvironmentSatisfaction]]=1,"Very Dissatisfied",
HRData[[#This Row],[EnvironmentSatisfaction]]=2,"Dissatisfied",
HRData[[#This Row],[EnvironmentSatisfaction]]=3,"Satisfied",
HRData[[#This Row],[EnvironmentSatisfaction]]=4,"Very Satisfied"
)</f>
        <v>Very Dissatisfied</v>
      </c>
      <c r="O893" t="s">
        <v>39</v>
      </c>
      <c r="P893">
        <v>72</v>
      </c>
      <c r="Q893">
        <v>4</v>
      </c>
      <c r="R893">
        <v>1</v>
      </c>
      <c r="S893" t="s">
        <v>47</v>
      </c>
      <c r="T893">
        <v>4</v>
      </c>
      <c r="U893" t="str" cm="1">
        <f t="array" ref="U893">_xlfn.IFS(
HRData[[#This Row],[JobSatisfaction]]=1,"Very Dissatisfied",
HRData[[#This Row],[JobSatisfaction]]=2,"Dissatisfied",
HRData[[#This Row],[JobSatisfaction]]=3,"Satisfied",
HRData[[#This Row],[JobSatisfaction]]=4,"Very Satisfied"
)</f>
        <v>Very Satisfied</v>
      </c>
      <c r="V893" t="s">
        <v>48</v>
      </c>
      <c r="W893">
        <v>2011</v>
      </c>
      <c r="X893" t="str" cm="1">
        <f t="array" ref="X893">_xlfn.IFS(
HRData[[#This Row],[MonthlyIncome]]&lt;=4000,"Very Low Income",
HRData[[#This Row],[MonthlyIncome]]&lt;=8000,"Low Income",
HRData[[#This Row],[MonthlyIncome]]&lt;=12000,"Moderate Income",
HRData[[#This Row],[MonthlyIncome]]&lt;=16000,"High Income",
HRData[[#This Row],[MonthlyIncome]]&gt;16000,"Very High Income"
)</f>
        <v>Very Low Income</v>
      </c>
      <c r="Y893">
        <v>19982</v>
      </c>
      <c r="Z893">
        <v>1</v>
      </c>
      <c r="AA893" t="s">
        <v>42</v>
      </c>
      <c r="AB893" t="s">
        <v>43</v>
      </c>
      <c r="AC893">
        <v>13</v>
      </c>
      <c r="AD893" t="str" cm="1">
        <f t="array" ref="AD893">_xlfn.IFS(HRData[[#This Row],[PercentSalaryHike]]&lt;=15,"11-15",HRData[[#This Row],[PercentSalaryHike]]&lt;=20,"16-20",HRData[[#This Row],[PercentSalaryHike]]&gt;=21,"21+")</f>
        <v>11-15</v>
      </c>
      <c r="AE893">
        <v>3</v>
      </c>
      <c r="AF893">
        <v>4</v>
      </c>
      <c r="AG893">
        <v>80</v>
      </c>
      <c r="AH893">
        <v>1</v>
      </c>
      <c r="AI893">
        <v>10</v>
      </c>
      <c r="AJ893">
        <v>5</v>
      </c>
      <c r="AK893">
        <v>3</v>
      </c>
      <c r="AL893">
        <v>10</v>
      </c>
      <c r="AM893">
        <v>5</v>
      </c>
      <c r="AN893">
        <v>7</v>
      </c>
      <c r="AO893">
        <v>7</v>
      </c>
      <c r="AP89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93" t="str">
        <f>IF(HRData[[#This Row],[Attrition]]="Yes","Left", IF(HRData[[#This Row],[Attrition_Risk_Score]]&gt;=6,"High",IF(HRData[[#This Row],[Attrition_Risk_Score]]&gt;=3,"Medium","Low")))</f>
        <v>Low</v>
      </c>
      <c r="AR893" t="str">
        <f>IF(HRData[[#This Row],[Attrition_Risk_Level]]&lt;&gt;"High","",HRData[[#This Row],[Attrition_Risk_Score]]*10000-HRData[[#This Row],[EmployeeNumber]])</f>
        <v/>
      </c>
    </row>
    <row r="894" spans="1:44">
      <c r="A894">
        <v>19</v>
      </c>
      <c r="B894" t="str" cm="1">
        <f t="array" ref="B894">_xlfn.IFS(
HRData[[#This Row],[Age]]&lt;=24,"18-24",
HRData[[#This Row],[Age]]&lt;=34,"25-34",
HRData[[#This Row],[Age]]&lt;=44,"35-44",
HRData[[#This Row],[Age]]&lt;=54,"45-54",
HRData[[#This Row],[Age]]&gt;=55,"55+"
)</f>
        <v>18-24</v>
      </c>
      <c r="C894" t="s">
        <v>35</v>
      </c>
      <c r="D894">
        <f>IF(HRData[[#This Row],[Attrition]]="Yes",1,0)</f>
        <v>1</v>
      </c>
      <c r="E894" t="s">
        <v>55</v>
      </c>
      <c r="F894">
        <v>504</v>
      </c>
      <c r="G894" t="s">
        <v>45</v>
      </c>
      <c r="H894">
        <v>10</v>
      </c>
      <c r="I894">
        <v>3</v>
      </c>
      <c r="J894" t="s">
        <v>51</v>
      </c>
      <c r="K894">
        <v>1</v>
      </c>
      <c r="L894">
        <v>1248</v>
      </c>
      <c r="M894">
        <v>1</v>
      </c>
      <c r="N894" t="str" cm="1">
        <f t="array" ref="N894">_xlfn.IFS(HRData[[#This Row],[EnvironmentSatisfaction]]=1,"Very Dissatisfied",
HRData[[#This Row],[EnvironmentSatisfaction]]=2,"Dissatisfied",
HRData[[#This Row],[EnvironmentSatisfaction]]=3,"Satisfied",
HRData[[#This Row],[EnvironmentSatisfaction]]=4,"Very Satisfied"
)</f>
        <v>Very Dissatisfied</v>
      </c>
      <c r="O894" t="s">
        <v>39</v>
      </c>
      <c r="P894">
        <v>96</v>
      </c>
      <c r="Q894">
        <v>2</v>
      </c>
      <c r="R894">
        <v>1</v>
      </c>
      <c r="S894" t="s">
        <v>47</v>
      </c>
      <c r="T894">
        <v>2</v>
      </c>
      <c r="U894" t="str" cm="1">
        <f t="array" ref="U894">_xlfn.IFS(
HRData[[#This Row],[JobSatisfaction]]=1,"Very Dissatisfied",
HRData[[#This Row],[JobSatisfaction]]=2,"Dissatisfied",
HRData[[#This Row],[JobSatisfaction]]=3,"Satisfied",
HRData[[#This Row],[JobSatisfaction]]=4,"Very Satisfied"
)</f>
        <v>Dissatisfied</v>
      </c>
      <c r="V894" t="s">
        <v>41</v>
      </c>
      <c r="W894">
        <v>1859</v>
      </c>
      <c r="X894" t="str" cm="1">
        <f t="array" ref="X894">_xlfn.IFS(
HRData[[#This Row],[MonthlyIncome]]&lt;=4000,"Very Low Income",
HRData[[#This Row],[MonthlyIncome]]&lt;=8000,"Low Income",
HRData[[#This Row],[MonthlyIncome]]&lt;=12000,"Moderate Income",
HRData[[#This Row],[MonthlyIncome]]&lt;=16000,"High Income",
HRData[[#This Row],[MonthlyIncome]]&gt;16000,"Very High Income"
)</f>
        <v>Very Low Income</v>
      </c>
      <c r="Y894">
        <v>6148</v>
      </c>
      <c r="Z894">
        <v>1</v>
      </c>
      <c r="AA894" t="s">
        <v>42</v>
      </c>
      <c r="AB894" t="s">
        <v>35</v>
      </c>
      <c r="AC894">
        <v>25</v>
      </c>
      <c r="AD894" t="str" cm="1">
        <f t="array" ref="AD894">_xlfn.IFS(HRData[[#This Row],[PercentSalaryHike]]&lt;=15,"11-15",HRData[[#This Row],[PercentSalaryHike]]&lt;=20,"16-20",HRData[[#This Row],[PercentSalaryHike]]&gt;=21,"21+")</f>
        <v>21+</v>
      </c>
      <c r="AE894">
        <v>4</v>
      </c>
      <c r="AF894">
        <v>2</v>
      </c>
      <c r="AG894">
        <v>80</v>
      </c>
      <c r="AH894">
        <v>0</v>
      </c>
      <c r="AI894">
        <v>1</v>
      </c>
      <c r="AJ894">
        <v>2</v>
      </c>
      <c r="AK894">
        <v>4</v>
      </c>
      <c r="AL894">
        <v>1</v>
      </c>
      <c r="AM894">
        <v>1</v>
      </c>
      <c r="AN894">
        <v>0</v>
      </c>
      <c r="AO894">
        <v>0</v>
      </c>
      <c r="AP89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94" t="str">
        <f>IF(HRData[[#This Row],[Attrition]]="Yes","Left", IF(HRData[[#This Row],[Attrition_Risk_Score]]&gt;=6,"High",IF(HRData[[#This Row],[Attrition_Risk_Score]]&gt;=3,"Medium","Low")))</f>
        <v>Left</v>
      </c>
      <c r="AR894" t="str">
        <f>IF(HRData[[#This Row],[Attrition_Risk_Level]]&lt;&gt;"High","",HRData[[#This Row],[Attrition_Risk_Score]]*10000-HRData[[#This Row],[EmployeeNumber]])</f>
        <v/>
      </c>
    </row>
    <row r="895" spans="1:44">
      <c r="A895">
        <v>29</v>
      </c>
      <c r="B895" t="str" cm="1">
        <f t="array" ref="B895">_xlfn.IFS(
HRData[[#This Row],[Age]]&lt;=24,"18-24",
HRData[[#This Row],[Age]]&lt;=34,"25-34",
HRData[[#This Row],[Age]]&lt;=44,"35-44",
HRData[[#This Row],[Age]]&lt;=54,"45-54",
HRData[[#This Row],[Age]]&gt;=55,"55+"
)</f>
        <v>25-34</v>
      </c>
      <c r="C895" t="s">
        <v>43</v>
      </c>
      <c r="D895">
        <f>IF(HRData[[#This Row],[Attrition]]="Yes",1,0)</f>
        <v>0</v>
      </c>
      <c r="E895" t="s">
        <v>36</v>
      </c>
      <c r="F895">
        <v>1010</v>
      </c>
      <c r="G895" t="s">
        <v>45</v>
      </c>
      <c r="H895">
        <v>1</v>
      </c>
      <c r="I895">
        <v>3</v>
      </c>
      <c r="J895" t="s">
        <v>38</v>
      </c>
      <c r="K895">
        <v>1</v>
      </c>
      <c r="L895">
        <v>1249</v>
      </c>
      <c r="M895">
        <v>1</v>
      </c>
      <c r="N895" t="str" cm="1">
        <f t="array" ref="N895">_xlfn.IFS(HRData[[#This Row],[EnvironmentSatisfaction]]=1,"Very Dissatisfied",
HRData[[#This Row],[EnvironmentSatisfaction]]=2,"Dissatisfied",
HRData[[#This Row],[EnvironmentSatisfaction]]=3,"Satisfied",
HRData[[#This Row],[EnvironmentSatisfaction]]=4,"Very Satisfied"
)</f>
        <v>Very Dissatisfied</v>
      </c>
      <c r="O895" t="s">
        <v>39</v>
      </c>
      <c r="P895">
        <v>97</v>
      </c>
      <c r="Q895">
        <v>3</v>
      </c>
      <c r="R895">
        <v>1</v>
      </c>
      <c r="S895" t="s">
        <v>47</v>
      </c>
      <c r="T895">
        <v>4</v>
      </c>
      <c r="U895" t="str" cm="1">
        <f t="array" ref="U895">_xlfn.IFS(
HRData[[#This Row],[JobSatisfaction]]=1,"Very Dissatisfied",
HRData[[#This Row],[JobSatisfaction]]=2,"Dissatisfied",
HRData[[#This Row],[JobSatisfaction]]=3,"Satisfied",
HRData[[#This Row],[JobSatisfaction]]=4,"Very Satisfied"
)</f>
        <v>Very Satisfied</v>
      </c>
      <c r="V895" t="s">
        <v>52</v>
      </c>
      <c r="W895">
        <v>3760</v>
      </c>
      <c r="X895" t="str" cm="1">
        <f t="array" ref="X895">_xlfn.IFS(
HRData[[#This Row],[MonthlyIncome]]&lt;=4000,"Very Low Income",
HRData[[#This Row],[MonthlyIncome]]&lt;=8000,"Low Income",
HRData[[#This Row],[MonthlyIncome]]&lt;=12000,"Moderate Income",
HRData[[#This Row],[MonthlyIncome]]&lt;=16000,"High Income",
HRData[[#This Row],[MonthlyIncome]]&gt;16000,"Very High Income"
)</f>
        <v>Very Low Income</v>
      </c>
      <c r="Y895">
        <v>5598</v>
      </c>
      <c r="Z895">
        <v>1</v>
      </c>
      <c r="AA895" t="s">
        <v>42</v>
      </c>
      <c r="AB895" t="s">
        <v>43</v>
      </c>
      <c r="AC895">
        <v>15</v>
      </c>
      <c r="AD895" t="str" cm="1">
        <f t="array" ref="AD895">_xlfn.IFS(HRData[[#This Row],[PercentSalaryHike]]&lt;=15,"11-15",HRData[[#This Row],[PercentSalaryHike]]&lt;=20,"16-20",HRData[[#This Row],[PercentSalaryHike]]&gt;=21,"21+")</f>
        <v>11-15</v>
      </c>
      <c r="AE895">
        <v>3</v>
      </c>
      <c r="AF895">
        <v>1</v>
      </c>
      <c r="AG895">
        <v>80</v>
      </c>
      <c r="AH895">
        <v>3</v>
      </c>
      <c r="AI895">
        <v>3</v>
      </c>
      <c r="AJ895">
        <v>5</v>
      </c>
      <c r="AK895">
        <v>3</v>
      </c>
      <c r="AL895">
        <v>3</v>
      </c>
      <c r="AM895">
        <v>2</v>
      </c>
      <c r="AN895">
        <v>1</v>
      </c>
      <c r="AO895">
        <v>2</v>
      </c>
      <c r="AP89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95" t="str">
        <f>IF(HRData[[#This Row],[Attrition]]="Yes","Left", IF(HRData[[#This Row],[Attrition_Risk_Score]]&gt;=6,"High",IF(HRData[[#This Row],[Attrition_Risk_Score]]&gt;=3,"Medium","Low")))</f>
        <v>Medium</v>
      </c>
      <c r="AR895" t="str">
        <f>IF(HRData[[#This Row],[Attrition_Risk_Level]]&lt;&gt;"High","",HRData[[#This Row],[Attrition_Risk_Score]]*10000-HRData[[#This Row],[EmployeeNumber]])</f>
        <v/>
      </c>
    </row>
    <row r="896" spans="1:44">
      <c r="A896">
        <v>54</v>
      </c>
      <c r="B896" t="str" cm="1">
        <f t="array" ref="B896">_xlfn.IFS(
HRData[[#This Row],[Age]]&lt;=24,"18-24",
HRData[[#This Row],[Age]]&lt;=34,"25-34",
HRData[[#This Row],[Age]]&lt;=44,"35-44",
HRData[[#This Row],[Age]]&lt;=54,"45-54",
HRData[[#This Row],[Age]]&gt;=55,"55+"
)</f>
        <v>45-54</v>
      </c>
      <c r="C896" t="s">
        <v>43</v>
      </c>
      <c r="D896">
        <f>IF(HRData[[#This Row],[Attrition]]="Yes",1,0)</f>
        <v>0</v>
      </c>
      <c r="E896" t="s">
        <v>36</v>
      </c>
      <c r="F896">
        <v>685</v>
      </c>
      <c r="G896" t="s">
        <v>45</v>
      </c>
      <c r="H896">
        <v>3</v>
      </c>
      <c r="I896">
        <v>3</v>
      </c>
      <c r="J896" t="s">
        <v>38</v>
      </c>
      <c r="K896">
        <v>1</v>
      </c>
      <c r="L896">
        <v>1250</v>
      </c>
      <c r="M896">
        <v>4</v>
      </c>
      <c r="N896" t="str" cm="1">
        <f t="array" ref="N896">_xlfn.IFS(HRData[[#This Row],[EnvironmentSatisfaction]]=1,"Very Dissatisfied",
HRData[[#This Row],[EnvironmentSatisfaction]]=2,"Dissatisfied",
HRData[[#This Row],[EnvironmentSatisfaction]]=3,"Satisfied",
HRData[[#This Row],[EnvironmentSatisfaction]]=4,"Very Satisfied"
)</f>
        <v>Very Satisfied</v>
      </c>
      <c r="O896" t="s">
        <v>46</v>
      </c>
      <c r="P896">
        <v>85</v>
      </c>
      <c r="Q896">
        <v>3</v>
      </c>
      <c r="R896">
        <v>4</v>
      </c>
      <c r="S896" t="s">
        <v>58</v>
      </c>
      <c r="T896">
        <v>4</v>
      </c>
      <c r="U896" t="str" cm="1">
        <f t="array" ref="U896">_xlfn.IFS(
HRData[[#This Row],[JobSatisfaction]]=1,"Very Dissatisfied",
HRData[[#This Row],[JobSatisfaction]]=2,"Dissatisfied",
HRData[[#This Row],[JobSatisfaction]]=3,"Satisfied",
HRData[[#This Row],[JobSatisfaction]]=4,"Very Satisfied"
)</f>
        <v>Very Satisfied</v>
      </c>
      <c r="V896" t="s">
        <v>48</v>
      </c>
      <c r="W896">
        <v>17779</v>
      </c>
      <c r="X896" t="str" cm="1">
        <f t="array" ref="X896">_xlfn.IFS(
HRData[[#This Row],[MonthlyIncome]]&lt;=4000,"Very Low Income",
HRData[[#This Row],[MonthlyIncome]]&lt;=8000,"Low Income",
HRData[[#This Row],[MonthlyIncome]]&lt;=12000,"Moderate Income",
HRData[[#This Row],[MonthlyIncome]]&lt;=16000,"High Income",
HRData[[#This Row],[MonthlyIncome]]&gt;16000,"Very High Income"
)</f>
        <v>Very High Income</v>
      </c>
      <c r="Y896">
        <v>23474</v>
      </c>
      <c r="Z896">
        <v>3</v>
      </c>
      <c r="AA896" t="s">
        <v>42</v>
      </c>
      <c r="AB896" t="s">
        <v>43</v>
      </c>
      <c r="AC896">
        <v>14</v>
      </c>
      <c r="AD896" t="str" cm="1">
        <f t="array" ref="AD896">_xlfn.IFS(HRData[[#This Row],[PercentSalaryHike]]&lt;=15,"11-15",HRData[[#This Row],[PercentSalaryHike]]&lt;=20,"16-20",HRData[[#This Row],[PercentSalaryHike]]&gt;=21,"21+")</f>
        <v>11-15</v>
      </c>
      <c r="AE896">
        <v>3</v>
      </c>
      <c r="AF896">
        <v>1</v>
      </c>
      <c r="AG896">
        <v>80</v>
      </c>
      <c r="AH896">
        <v>0</v>
      </c>
      <c r="AI896">
        <v>36</v>
      </c>
      <c r="AJ896">
        <v>2</v>
      </c>
      <c r="AK896">
        <v>3</v>
      </c>
      <c r="AL896">
        <v>10</v>
      </c>
      <c r="AM896">
        <v>9</v>
      </c>
      <c r="AN896">
        <v>0</v>
      </c>
      <c r="AO896">
        <v>9</v>
      </c>
      <c r="AP89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896" t="str">
        <f>IF(HRData[[#This Row],[Attrition]]="Yes","Left", IF(HRData[[#This Row],[Attrition_Risk_Score]]&gt;=6,"High",IF(HRData[[#This Row],[Attrition_Risk_Score]]&gt;=3,"Medium","Low")))</f>
        <v>Low</v>
      </c>
      <c r="AR896" t="str">
        <f>IF(HRData[[#This Row],[Attrition_Risk_Level]]&lt;&gt;"High","",HRData[[#This Row],[Attrition_Risk_Score]]*10000-HRData[[#This Row],[EmployeeNumber]])</f>
        <v/>
      </c>
    </row>
    <row r="897" spans="1:44">
      <c r="A897">
        <v>31</v>
      </c>
      <c r="B897" t="str" cm="1">
        <f t="array" ref="B897">_xlfn.IFS(
HRData[[#This Row],[Age]]&lt;=24,"18-24",
HRData[[#This Row],[Age]]&lt;=34,"25-34",
HRData[[#This Row],[Age]]&lt;=44,"35-44",
HRData[[#This Row],[Age]]&lt;=54,"45-54",
HRData[[#This Row],[Age]]&gt;=55,"55+"
)</f>
        <v>25-34</v>
      </c>
      <c r="C897" t="s">
        <v>43</v>
      </c>
      <c r="D897">
        <f>IF(HRData[[#This Row],[Attrition]]="Yes",1,0)</f>
        <v>0</v>
      </c>
      <c r="E897" t="s">
        <v>36</v>
      </c>
      <c r="F897">
        <v>1332</v>
      </c>
      <c r="G897" t="s">
        <v>45</v>
      </c>
      <c r="H897">
        <v>11</v>
      </c>
      <c r="I897">
        <v>2</v>
      </c>
      <c r="J897" t="s">
        <v>51</v>
      </c>
      <c r="K897">
        <v>1</v>
      </c>
      <c r="L897">
        <v>1251</v>
      </c>
      <c r="M897">
        <v>3</v>
      </c>
      <c r="N897" t="str" cm="1">
        <f t="array" ref="N897">_xlfn.IFS(HRData[[#This Row],[EnvironmentSatisfaction]]=1,"Very Dissatisfied",
HRData[[#This Row],[EnvironmentSatisfaction]]=2,"Dissatisfied",
HRData[[#This Row],[EnvironmentSatisfaction]]=3,"Satisfied",
HRData[[#This Row],[EnvironmentSatisfaction]]=4,"Very Satisfied"
)</f>
        <v>Satisfied</v>
      </c>
      <c r="O897" t="s">
        <v>46</v>
      </c>
      <c r="P897">
        <v>80</v>
      </c>
      <c r="Q897">
        <v>3</v>
      </c>
      <c r="R897">
        <v>2</v>
      </c>
      <c r="S897" t="s">
        <v>54</v>
      </c>
      <c r="T897">
        <v>1</v>
      </c>
      <c r="U897" t="str" cm="1">
        <f t="array" ref="U897">_xlfn.IFS(
HRData[[#This Row],[JobSatisfaction]]=1,"Very Dissatisfied",
HRData[[#This Row],[JobSatisfaction]]=2,"Dissatisfied",
HRData[[#This Row],[JobSatisfaction]]=3,"Satisfied",
HRData[[#This Row],[JobSatisfaction]]=4,"Very Satisfied"
)</f>
        <v>Very Dissatisfied</v>
      </c>
      <c r="V897" t="s">
        <v>48</v>
      </c>
      <c r="W897">
        <v>6833</v>
      </c>
      <c r="X897" t="str" cm="1">
        <f t="array" ref="X897">_xlfn.IFS(
HRData[[#This Row],[MonthlyIncome]]&lt;=4000,"Very Low Income",
HRData[[#This Row],[MonthlyIncome]]&lt;=8000,"Low Income",
HRData[[#This Row],[MonthlyIncome]]&lt;=12000,"Moderate Income",
HRData[[#This Row],[MonthlyIncome]]&lt;=16000,"High Income",
HRData[[#This Row],[MonthlyIncome]]&gt;16000,"Very High Income"
)</f>
        <v>Low Income</v>
      </c>
      <c r="Y897">
        <v>17089</v>
      </c>
      <c r="Z897">
        <v>1</v>
      </c>
      <c r="AA897" t="s">
        <v>42</v>
      </c>
      <c r="AB897" t="s">
        <v>35</v>
      </c>
      <c r="AC897">
        <v>12</v>
      </c>
      <c r="AD897" t="str" cm="1">
        <f t="array" ref="AD897">_xlfn.IFS(HRData[[#This Row],[PercentSalaryHike]]&lt;=15,"11-15",HRData[[#This Row],[PercentSalaryHike]]&lt;=20,"16-20",HRData[[#This Row],[PercentSalaryHike]]&gt;=21,"21+")</f>
        <v>11-15</v>
      </c>
      <c r="AE897">
        <v>3</v>
      </c>
      <c r="AF897">
        <v>4</v>
      </c>
      <c r="AG897">
        <v>80</v>
      </c>
      <c r="AH897">
        <v>0</v>
      </c>
      <c r="AI897">
        <v>6</v>
      </c>
      <c r="AJ897">
        <v>2</v>
      </c>
      <c r="AK897">
        <v>2</v>
      </c>
      <c r="AL897">
        <v>6</v>
      </c>
      <c r="AM897">
        <v>5</v>
      </c>
      <c r="AN897">
        <v>0</v>
      </c>
      <c r="AO897">
        <v>1</v>
      </c>
      <c r="AP89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897" t="str">
        <f>IF(HRData[[#This Row],[Attrition]]="Yes","Left", IF(HRData[[#This Row],[Attrition_Risk_Score]]&gt;=6,"High",IF(HRData[[#This Row],[Attrition_Risk_Score]]&gt;=3,"Medium","Low")))</f>
        <v>High</v>
      </c>
      <c r="AR897">
        <f>IF(HRData[[#This Row],[Attrition_Risk_Level]]&lt;&gt;"High","",HRData[[#This Row],[Attrition_Risk_Score]]*10000-HRData[[#This Row],[EmployeeNumber]])</f>
        <v>58749</v>
      </c>
    </row>
    <row r="898" spans="1:44">
      <c r="A898">
        <v>31</v>
      </c>
      <c r="B898" t="str" cm="1">
        <f t="array" ref="B898">_xlfn.IFS(
HRData[[#This Row],[Age]]&lt;=24,"18-24",
HRData[[#This Row],[Age]]&lt;=34,"25-34",
HRData[[#This Row],[Age]]&lt;=44,"35-44",
HRData[[#This Row],[Age]]&lt;=54,"45-54",
HRData[[#This Row],[Age]]&gt;=55,"55+"
)</f>
        <v>25-34</v>
      </c>
      <c r="C898" t="s">
        <v>43</v>
      </c>
      <c r="D898">
        <f>IF(HRData[[#This Row],[Attrition]]="Yes",1,0)</f>
        <v>0</v>
      </c>
      <c r="E898" t="s">
        <v>36</v>
      </c>
      <c r="F898">
        <v>1062</v>
      </c>
      <c r="G898" t="s">
        <v>45</v>
      </c>
      <c r="H898">
        <v>24</v>
      </c>
      <c r="I898">
        <v>3</v>
      </c>
      <c r="J898" t="s">
        <v>51</v>
      </c>
      <c r="K898">
        <v>1</v>
      </c>
      <c r="L898">
        <v>1252</v>
      </c>
      <c r="M898">
        <v>3</v>
      </c>
      <c r="N898" t="str" cm="1">
        <f t="array" ref="N898">_xlfn.IFS(HRData[[#This Row],[EnvironmentSatisfaction]]=1,"Very Dissatisfied",
HRData[[#This Row],[EnvironmentSatisfaction]]=2,"Dissatisfied",
HRData[[#This Row],[EnvironmentSatisfaction]]=3,"Satisfied",
HRData[[#This Row],[EnvironmentSatisfaction]]=4,"Very Satisfied"
)</f>
        <v>Satisfied</v>
      </c>
      <c r="O898" t="s">
        <v>39</v>
      </c>
      <c r="P898">
        <v>96</v>
      </c>
      <c r="Q898">
        <v>2</v>
      </c>
      <c r="R898">
        <v>2</v>
      </c>
      <c r="S898" t="s">
        <v>54</v>
      </c>
      <c r="T898">
        <v>1</v>
      </c>
      <c r="U898" t="str" cm="1">
        <f t="array" ref="U898">_xlfn.IFS(
HRData[[#This Row],[JobSatisfaction]]=1,"Very Dissatisfied",
HRData[[#This Row],[JobSatisfaction]]=2,"Dissatisfied",
HRData[[#This Row],[JobSatisfaction]]=3,"Satisfied",
HRData[[#This Row],[JobSatisfaction]]=4,"Very Satisfied"
)</f>
        <v>Very Dissatisfied</v>
      </c>
      <c r="V898" t="s">
        <v>41</v>
      </c>
      <c r="W898">
        <v>6812</v>
      </c>
      <c r="X898" t="str" cm="1">
        <f t="array" ref="X898">_xlfn.IFS(
HRData[[#This Row],[MonthlyIncome]]&lt;=4000,"Very Low Income",
HRData[[#This Row],[MonthlyIncome]]&lt;=8000,"Low Income",
HRData[[#This Row],[MonthlyIncome]]&lt;=12000,"Moderate Income",
HRData[[#This Row],[MonthlyIncome]]&lt;=16000,"High Income",
HRData[[#This Row],[MonthlyIncome]]&gt;16000,"Very High Income"
)</f>
        <v>Low Income</v>
      </c>
      <c r="Y898">
        <v>17198</v>
      </c>
      <c r="Z898">
        <v>1</v>
      </c>
      <c r="AA898" t="s">
        <v>42</v>
      </c>
      <c r="AB898" t="s">
        <v>43</v>
      </c>
      <c r="AC898">
        <v>19</v>
      </c>
      <c r="AD898" t="str" cm="1">
        <f t="array" ref="AD898">_xlfn.IFS(HRData[[#This Row],[PercentSalaryHike]]&lt;=15,"11-15",HRData[[#This Row],[PercentSalaryHike]]&lt;=20,"16-20",HRData[[#This Row],[PercentSalaryHike]]&gt;=21,"21+")</f>
        <v>16-20</v>
      </c>
      <c r="AE898">
        <v>3</v>
      </c>
      <c r="AF898">
        <v>2</v>
      </c>
      <c r="AG898">
        <v>80</v>
      </c>
      <c r="AH898">
        <v>0</v>
      </c>
      <c r="AI898">
        <v>10</v>
      </c>
      <c r="AJ898">
        <v>2</v>
      </c>
      <c r="AK898">
        <v>3</v>
      </c>
      <c r="AL898">
        <v>10</v>
      </c>
      <c r="AM898">
        <v>9</v>
      </c>
      <c r="AN898">
        <v>1</v>
      </c>
      <c r="AO898">
        <v>8</v>
      </c>
      <c r="AP89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898" t="str">
        <f>IF(HRData[[#This Row],[Attrition]]="Yes","Left", IF(HRData[[#This Row],[Attrition_Risk_Score]]&gt;=6,"High",IF(HRData[[#This Row],[Attrition_Risk_Score]]&gt;=3,"Medium","Low")))</f>
        <v>Medium</v>
      </c>
      <c r="AR898" t="str">
        <f>IF(HRData[[#This Row],[Attrition_Risk_Level]]&lt;&gt;"High","",HRData[[#This Row],[Attrition_Risk_Score]]*10000-HRData[[#This Row],[EmployeeNumber]])</f>
        <v/>
      </c>
    </row>
    <row r="899" spans="1:44">
      <c r="A899">
        <v>59</v>
      </c>
      <c r="B899" t="str" cm="1">
        <f t="array" ref="B899">_xlfn.IFS(
HRData[[#This Row],[Age]]&lt;=24,"18-24",
HRData[[#This Row],[Age]]&lt;=34,"25-34",
HRData[[#This Row],[Age]]&lt;=44,"35-44",
HRData[[#This Row],[Age]]&lt;=54,"45-54",
HRData[[#This Row],[Age]]&gt;=55,"55+"
)</f>
        <v>55+</v>
      </c>
      <c r="C899" t="s">
        <v>43</v>
      </c>
      <c r="D899">
        <f>IF(HRData[[#This Row],[Attrition]]="Yes",1,0)</f>
        <v>0</v>
      </c>
      <c r="E899" t="s">
        <v>36</v>
      </c>
      <c r="F899">
        <v>326</v>
      </c>
      <c r="G899" t="s">
        <v>37</v>
      </c>
      <c r="H899">
        <v>3</v>
      </c>
      <c r="I899">
        <v>3</v>
      </c>
      <c r="J899" t="s">
        <v>38</v>
      </c>
      <c r="K899">
        <v>1</v>
      </c>
      <c r="L899">
        <v>1254</v>
      </c>
      <c r="M899">
        <v>3</v>
      </c>
      <c r="N899" t="str" cm="1">
        <f t="array" ref="N899">_xlfn.IFS(HRData[[#This Row],[EnvironmentSatisfaction]]=1,"Very Dissatisfied",
HRData[[#This Row],[EnvironmentSatisfaction]]=2,"Dissatisfied",
HRData[[#This Row],[EnvironmentSatisfaction]]=3,"Satisfied",
HRData[[#This Row],[EnvironmentSatisfaction]]=4,"Very Satisfied"
)</f>
        <v>Satisfied</v>
      </c>
      <c r="O899" t="s">
        <v>39</v>
      </c>
      <c r="P899">
        <v>48</v>
      </c>
      <c r="Q899">
        <v>2</v>
      </c>
      <c r="R899">
        <v>2</v>
      </c>
      <c r="S899" t="s">
        <v>40</v>
      </c>
      <c r="T899">
        <v>4</v>
      </c>
      <c r="U899" t="str" cm="1">
        <f t="array" ref="U899">_xlfn.IFS(
HRData[[#This Row],[JobSatisfaction]]=1,"Very Dissatisfied",
HRData[[#This Row],[JobSatisfaction]]=2,"Dissatisfied",
HRData[[#This Row],[JobSatisfaction]]=3,"Satisfied",
HRData[[#This Row],[JobSatisfaction]]=4,"Very Satisfied"
)</f>
        <v>Very Satisfied</v>
      </c>
      <c r="V899" t="s">
        <v>41</v>
      </c>
      <c r="W899">
        <v>5171</v>
      </c>
      <c r="X899" t="str" cm="1">
        <f t="array" ref="X899">_xlfn.IFS(
HRData[[#This Row],[MonthlyIncome]]&lt;=4000,"Very Low Income",
HRData[[#This Row],[MonthlyIncome]]&lt;=8000,"Low Income",
HRData[[#This Row],[MonthlyIncome]]&lt;=12000,"Moderate Income",
HRData[[#This Row],[MonthlyIncome]]&lt;=16000,"High Income",
HRData[[#This Row],[MonthlyIncome]]&gt;16000,"Very High Income"
)</f>
        <v>Low Income</v>
      </c>
      <c r="Y899">
        <v>16490</v>
      </c>
      <c r="Z899">
        <v>5</v>
      </c>
      <c r="AA899" t="s">
        <v>42</v>
      </c>
      <c r="AB899" t="s">
        <v>43</v>
      </c>
      <c r="AC899">
        <v>17</v>
      </c>
      <c r="AD899" t="str" cm="1">
        <f t="array" ref="AD899">_xlfn.IFS(HRData[[#This Row],[PercentSalaryHike]]&lt;=15,"11-15",HRData[[#This Row],[PercentSalaryHike]]&lt;=20,"16-20",HRData[[#This Row],[PercentSalaryHike]]&gt;=21,"21+")</f>
        <v>16-20</v>
      </c>
      <c r="AE899">
        <v>3</v>
      </c>
      <c r="AF899">
        <v>4</v>
      </c>
      <c r="AG899">
        <v>80</v>
      </c>
      <c r="AH899">
        <v>0</v>
      </c>
      <c r="AI899">
        <v>13</v>
      </c>
      <c r="AJ899">
        <v>2</v>
      </c>
      <c r="AK899">
        <v>3</v>
      </c>
      <c r="AL899">
        <v>6</v>
      </c>
      <c r="AM899">
        <v>1</v>
      </c>
      <c r="AN899">
        <v>0</v>
      </c>
      <c r="AO899">
        <v>5</v>
      </c>
      <c r="AP89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899" t="str">
        <f>IF(HRData[[#This Row],[Attrition]]="Yes","Left", IF(HRData[[#This Row],[Attrition_Risk_Score]]&gt;=6,"High",IF(HRData[[#This Row],[Attrition_Risk_Score]]&gt;=3,"Medium","Low")))</f>
        <v>Low</v>
      </c>
      <c r="AR899" t="str">
        <f>IF(HRData[[#This Row],[Attrition_Risk_Level]]&lt;&gt;"High","",HRData[[#This Row],[Attrition_Risk_Score]]*10000-HRData[[#This Row],[EmployeeNumber]])</f>
        <v/>
      </c>
    </row>
    <row r="900" spans="1:44">
      <c r="A900">
        <v>43</v>
      </c>
      <c r="B900" t="str" cm="1">
        <f t="array" ref="B900">_xlfn.IFS(
HRData[[#This Row],[Age]]&lt;=24,"18-24",
HRData[[#This Row],[Age]]&lt;=34,"25-34",
HRData[[#This Row],[Age]]&lt;=44,"35-44",
HRData[[#This Row],[Age]]&lt;=54,"45-54",
HRData[[#This Row],[Age]]&gt;=55,"55+"
)</f>
        <v>35-44</v>
      </c>
      <c r="C900" t="s">
        <v>43</v>
      </c>
      <c r="D900">
        <f>IF(HRData[[#This Row],[Attrition]]="Yes",1,0)</f>
        <v>0</v>
      </c>
      <c r="E900" t="s">
        <v>36</v>
      </c>
      <c r="F900">
        <v>920</v>
      </c>
      <c r="G900" t="s">
        <v>45</v>
      </c>
      <c r="H900">
        <v>3</v>
      </c>
      <c r="I900">
        <v>3</v>
      </c>
      <c r="J900" t="s">
        <v>38</v>
      </c>
      <c r="K900">
        <v>1</v>
      </c>
      <c r="L900">
        <v>1255</v>
      </c>
      <c r="M900">
        <v>3</v>
      </c>
      <c r="N900" t="str" cm="1">
        <f t="array" ref="N900">_xlfn.IFS(HRData[[#This Row],[EnvironmentSatisfaction]]=1,"Very Dissatisfied",
HRData[[#This Row],[EnvironmentSatisfaction]]=2,"Dissatisfied",
HRData[[#This Row],[EnvironmentSatisfaction]]=3,"Satisfied",
HRData[[#This Row],[EnvironmentSatisfaction]]=4,"Very Satisfied"
)</f>
        <v>Satisfied</v>
      </c>
      <c r="O900" t="s">
        <v>46</v>
      </c>
      <c r="P900">
        <v>96</v>
      </c>
      <c r="Q900">
        <v>1</v>
      </c>
      <c r="R900">
        <v>5</v>
      </c>
      <c r="S900" t="s">
        <v>58</v>
      </c>
      <c r="T900">
        <v>4</v>
      </c>
      <c r="U900" t="str" cm="1">
        <f t="array" ref="U900">_xlfn.IFS(
HRData[[#This Row],[JobSatisfaction]]=1,"Very Dissatisfied",
HRData[[#This Row],[JobSatisfaction]]=2,"Dissatisfied",
HRData[[#This Row],[JobSatisfaction]]=3,"Satisfied",
HRData[[#This Row],[JobSatisfaction]]=4,"Very Satisfied"
)</f>
        <v>Very Satisfied</v>
      </c>
      <c r="V900" t="s">
        <v>48</v>
      </c>
      <c r="W900">
        <v>19740</v>
      </c>
      <c r="X900" t="str" cm="1">
        <f t="array" ref="X900">_xlfn.IFS(
HRData[[#This Row],[MonthlyIncome]]&lt;=4000,"Very Low Income",
HRData[[#This Row],[MonthlyIncome]]&lt;=8000,"Low Income",
HRData[[#This Row],[MonthlyIncome]]&lt;=12000,"Moderate Income",
HRData[[#This Row],[MonthlyIncome]]&lt;=16000,"High Income",
HRData[[#This Row],[MonthlyIncome]]&gt;16000,"Very High Income"
)</f>
        <v>Very High Income</v>
      </c>
      <c r="Y900">
        <v>18625</v>
      </c>
      <c r="Z900">
        <v>3</v>
      </c>
      <c r="AA900" t="s">
        <v>42</v>
      </c>
      <c r="AB900" t="s">
        <v>43</v>
      </c>
      <c r="AC900">
        <v>14</v>
      </c>
      <c r="AD900" t="str" cm="1">
        <f t="array" ref="AD900">_xlfn.IFS(HRData[[#This Row],[PercentSalaryHike]]&lt;=15,"11-15",HRData[[#This Row],[PercentSalaryHike]]&lt;=20,"16-20",HRData[[#This Row],[PercentSalaryHike]]&gt;=21,"21+")</f>
        <v>11-15</v>
      </c>
      <c r="AE900">
        <v>3</v>
      </c>
      <c r="AF900">
        <v>2</v>
      </c>
      <c r="AG900">
        <v>80</v>
      </c>
      <c r="AH900">
        <v>1</v>
      </c>
      <c r="AI900">
        <v>25</v>
      </c>
      <c r="AJ900">
        <v>2</v>
      </c>
      <c r="AK900">
        <v>3</v>
      </c>
      <c r="AL900">
        <v>8</v>
      </c>
      <c r="AM900">
        <v>7</v>
      </c>
      <c r="AN900">
        <v>0</v>
      </c>
      <c r="AO900">
        <v>7</v>
      </c>
      <c r="AP90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900" t="str">
        <f>IF(HRData[[#This Row],[Attrition]]="Yes","Left", IF(HRData[[#This Row],[Attrition_Risk_Score]]&gt;=6,"High",IF(HRData[[#This Row],[Attrition_Risk_Score]]&gt;=3,"Medium","Low")))</f>
        <v>Low</v>
      </c>
      <c r="AR900" t="str">
        <f>IF(HRData[[#This Row],[Attrition_Risk_Level]]&lt;&gt;"High","",HRData[[#This Row],[Attrition_Risk_Score]]*10000-HRData[[#This Row],[EmployeeNumber]])</f>
        <v/>
      </c>
    </row>
    <row r="901" spans="1:44">
      <c r="A901">
        <v>49</v>
      </c>
      <c r="B901" t="str" cm="1">
        <f t="array" ref="B901">_xlfn.IFS(
HRData[[#This Row],[Age]]&lt;=24,"18-24",
HRData[[#This Row],[Age]]&lt;=34,"25-34",
HRData[[#This Row],[Age]]&lt;=44,"35-44",
HRData[[#This Row],[Age]]&lt;=54,"45-54",
HRData[[#This Row],[Age]]&gt;=55,"55+"
)</f>
        <v>45-54</v>
      </c>
      <c r="C901" t="s">
        <v>43</v>
      </c>
      <c r="D901">
        <f>IF(HRData[[#This Row],[Attrition]]="Yes",1,0)</f>
        <v>0</v>
      </c>
      <c r="E901" t="s">
        <v>36</v>
      </c>
      <c r="F901">
        <v>1098</v>
      </c>
      <c r="G901" t="s">
        <v>45</v>
      </c>
      <c r="H901">
        <v>4</v>
      </c>
      <c r="I901">
        <v>2</v>
      </c>
      <c r="J901" t="s">
        <v>51</v>
      </c>
      <c r="K901">
        <v>1</v>
      </c>
      <c r="L901">
        <v>1256</v>
      </c>
      <c r="M901">
        <v>1</v>
      </c>
      <c r="N901" t="str" cm="1">
        <f t="array" ref="N901">_xlfn.IFS(HRData[[#This Row],[EnvironmentSatisfaction]]=1,"Very Dissatisfied",
HRData[[#This Row],[EnvironmentSatisfaction]]=2,"Dissatisfied",
HRData[[#This Row],[EnvironmentSatisfaction]]=3,"Satisfied",
HRData[[#This Row],[EnvironmentSatisfaction]]=4,"Very Satisfied"
)</f>
        <v>Very Dissatisfied</v>
      </c>
      <c r="O901" t="s">
        <v>46</v>
      </c>
      <c r="P901">
        <v>85</v>
      </c>
      <c r="Q901">
        <v>2</v>
      </c>
      <c r="R901">
        <v>5</v>
      </c>
      <c r="S901" t="s">
        <v>56</v>
      </c>
      <c r="T901">
        <v>3</v>
      </c>
      <c r="U901" t="str" cm="1">
        <f t="array" ref="U901">_xlfn.IFS(
HRData[[#This Row],[JobSatisfaction]]=1,"Very Dissatisfied",
HRData[[#This Row],[JobSatisfaction]]=2,"Dissatisfied",
HRData[[#This Row],[JobSatisfaction]]=3,"Satisfied",
HRData[[#This Row],[JobSatisfaction]]=4,"Very Satisfied"
)</f>
        <v>Satisfied</v>
      </c>
      <c r="V901" t="s">
        <v>48</v>
      </c>
      <c r="W901">
        <v>18711</v>
      </c>
      <c r="X901" t="str" cm="1">
        <f t="array" ref="X901">_xlfn.IFS(
HRData[[#This Row],[MonthlyIncome]]&lt;=4000,"Very Low Income",
HRData[[#This Row],[MonthlyIncome]]&lt;=8000,"Low Income",
HRData[[#This Row],[MonthlyIncome]]&lt;=12000,"Moderate Income",
HRData[[#This Row],[MonthlyIncome]]&lt;=16000,"High Income",
HRData[[#This Row],[MonthlyIncome]]&gt;16000,"Very High Income"
)</f>
        <v>Very High Income</v>
      </c>
      <c r="Y901">
        <v>12124</v>
      </c>
      <c r="Z901">
        <v>2</v>
      </c>
      <c r="AA901" t="s">
        <v>42</v>
      </c>
      <c r="AB901" t="s">
        <v>43</v>
      </c>
      <c r="AC901">
        <v>13</v>
      </c>
      <c r="AD901" t="str" cm="1">
        <f t="array" ref="AD901">_xlfn.IFS(HRData[[#This Row],[PercentSalaryHike]]&lt;=15,"11-15",HRData[[#This Row],[PercentSalaryHike]]&lt;=20,"16-20",HRData[[#This Row],[PercentSalaryHike]]&gt;=21,"21+")</f>
        <v>11-15</v>
      </c>
      <c r="AE901">
        <v>3</v>
      </c>
      <c r="AF901">
        <v>3</v>
      </c>
      <c r="AG901">
        <v>80</v>
      </c>
      <c r="AH901">
        <v>1</v>
      </c>
      <c r="AI901">
        <v>23</v>
      </c>
      <c r="AJ901">
        <v>2</v>
      </c>
      <c r="AK901">
        <v>4</v>
      </c>
      <c r="AL901">
        <v>1</v>
      </c>
      <c r="AM901">
        <v>0</v>
      </c>
      <c r="AN901">
        <v>0</v>
      </c>
      <c r="AO901">
        <v>0</v>
      </c>
      <c r="AP90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901" t="str">
        <f>IF(HRData[[#This Row],[Attrition]]="Yes","Left", IF(HRData[[#This Row],[Attrition_Risk_Score]]&gt;=6,"High",IF(HRData[[#This Row],[Attrition_Risk_Score]]&gt;=3,"Medium","Low")))</f>
        <v>Low</v>
      </c>
      <c r="AR901" t="str">
        <f>IF(HRData[[#This Row],[Attrition_Risk_Level]]&lt;&gt;"High","",HRData[[#This Row],[Attrition_Risk_Score]]*10000-HRData[[#This Row],[EmployeeNumber]])</f>
        <v/>
      </c>
    </row>
    <row r="902" spans="1:44">
      <c r="A902">
        <v>36</v>
      </c>
      <c r="B902" t="str" cm="1">
        <f t="array" ref="B902">_xlfn.IFS(
HRData[[#This Row],[Age]]&lt;=24,"18-24",
HRData[[#This Row],[Age]]&lt;=34,"25-34",
HRData[[#This Row],[Age]]&lt;=44,"35-44",
HRData[[#This Row],[Age]]&lt;=54,"45-54",
HRData[[#This Row],[Age]]&gt;=55,"55+"
)</f>
        <v>35-44</v>
      </c>
      <c r="C902" t="s">
        <v>43</v>
      </c>
      <c r="D902">
        <f>IF(HRData[[#This Row],[Attrition]]="Yes",1,0)</f>
        <v>0</v>
      </c>
      <c r="E902" t="s">
        <v>44</v>
      </c>
      <c r="F902">
        <v>469</v>
      </c>
      <c r="G902" t="s">
        <v>45</v>
      </c>
      <c r="H902">
        <v>3</v>
      </c>
      <c r="I902">
        <v>3</v>
      </c>
      <c r="J902" t="s">
        <v>60</v>
      </c>
      <c r="K902">
        <v>1</v>
      </c>
      <c r="L902">
        <v>1257</v>
      </c>
      <c r="M902">
        <v>3</v>
      </c>
      <c r="N902" t="str" cm="1">
        <f t="array" ref="N902">_xlfn.IFS(HRData[[#This Row],[EnvironmentSatisfaction]]=1,"Very Dissatisfied",
HRData[[#This Row],[EnvironmentSatisfaction]]=2,"Dissatisfied",
HRData[[#This Row],[EnvironmentSatisfaction]]=3,"Satisfied",
HRData[[#This Row],[EnvironmentSatisfaction]]=4,"Very Satisfied"
)</f>
        <v>Satisfied</v>
      </c>
      <c r="O902" t="s">
        <v>46</v>
      </c>
      <c r="P902">
        <v>46</v>
      </c>
      <c r="Q902">
        <v>3</v>
      </c>
      <c r="R902">
        <v>1</v>
      </c>
      <c r="S902" t="s">
        <v>47</v>
      </c>
      <c r="T902">
        <v>2</v>
      </c>
      <c r="U902" t="str" cm="1">
        <f t="array" ref="U902">_xlfn.IFS(
HRData[[#This Row],[JobSatisfaction]]=1,"Very Dissatisfied",
HRData[[#This Row],[JobSatisfaction]]=2,"Dissatisfied",
HRData[[#This Row],[JobSatisfaction]]=3,"Satisfied",
HRData[[#This Row],[JobSatisfaction]]=4,"Very Satisfied"
)</f>
        <v>Dissatisfied</v>
      </c>
      <c r="V902" t="s">
        <v>48</v>
      </c>
      <c r="W902">
        <v>3692</v>
      </c>
      <c r="X902" t="str" cm="1">
        <f t="array" ref="X902">_xlfn.IFS(
HRData[[#This Row],[MonthlyIncome]]&lt;=4000,"Very Low Income",
HRData[[#This Row],[MonthlyIncome]]&lt;=8000,"Low Income",
HRData[[#This Row],[MonthlyIncome]]&lt;=12000,"Moderate Income",
HRData[[#This Row],[MonthlyIncome]]&lt;=16000,"High Income",
HRData[[#This Row],[MonthlyIncome]]&gt;16000,"Very High Income"
)</f>
        <v>Very Low Income</v>
      </c>
      <c r="Y902">
        <v>9256</v>
      </c>
      <c r="Z902">
        <v>1</v>
      </c>
      <c r="AA902" t="s">
        <v>42</v>
      </c>
      <c r="AB902" t="s">
        <v>43</v>
      </c>
      <c r="AC902">
        <v>12</v>
      </c>
      <c r="AD902" t="str" cm="1">
        <f t="array" ref="AD902">_xlfn.IFS(HRData[[#This Row],[PercentSalaryHike]]&lt;=15,"11-15",HRData[[#This Row],[PercentSalaryHike]]&lt;=20,"16-20",HRData[[#This Row],[PercentSalaryHike]]&gt;=21,"21+")</f>
        <v>11-15</v>
      </c>
      <c r="AE902">
        <v>3</v>
      </c>
      <c r="AF902">
        <v>3</v>
      </c>
      <c r="AG902">
        <v>80</v>
      </c>
      <c r="AH902">
        <v>0</v>
      </c>
      <c r="AI902">
        <v>12</v>
      </c>
      <c r="AJ902">
        <v>2</v>
      </c>
      <c r="AK902">
        <v>2</v>
      </c>
      <c r="AL902">
        <v>11</v>
      </c>
      <c r="AM902">
        <v>10</v>
      </c>
      <c r="AN902">
        <v>0</v>
      </c>
      <c r="AO902">
        <v>7</v>
      </c>
      <c r="AP90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02" t="str">
        <f>IF(HRData[[#This Row],[Attrition]]="Yes","Left", IF(HRData[[#This Row],[Attrition_Risk_Score]]&gt;=6,"High",IF(HRData[[#This Row],[Attrition_Risk_Score]]&gt;=3,"Medium","Low")))</f>
        <v>Low</v>
      </c>
      <c r="AR902" t="str">
        <f>IF(HRData[[#This Row],[Attrition_Risk_Level]]&lt;&gt;"High","",HRData[[#This Row],[Attrition_Risk_Score]]*10000-HRData[[#This Row],[EmployeeNumber]])</f>
        <v/>
      </c>
    </row>
    <row r="903" spans="1:44">
      <c r="A903">
        <v>48</v>
      </c>
      <c r="B903" t="str" cm="1">
        <f t="array" ref="B903">_xlfn.IFS(
HRData[[#This Row],[Age]]&lt;=24,"18-24",
HRData[[#This Row],[Age]]&lt;=34,"25-34",
HRData[[#This Row],[Age]]&lt;=44,"35-44",
HRData[[#This Row],[Age]]&lt;=54,"45-54",
HRData[[#This Row],[Age]]&gt;=55,"55+"
)</f>
        <v>45-54</v>
      </c>
      <c r="C903" t="s">
        <v>43</v>
      </c>
      <c r="D903">
        <f>IF(HRData[[#This Row],[Attrition]]="Yes",1,0)</f>
        <v>0</v>
      </c>
      <c r="E903" t="s">
        <v>36</v>
      </c>
      <c r="F903">
        <v>969</v>
      </c>
      <c r="G903" t="s">
        <v>45</v>
      </c>
      <c r="H903">
        <v>2</v>
      </c>
      <c r="I903">
        <v>2</v>
      </c>
      <c r="J903" t="s">
        <v>60</v>
      </c>
      <c r="K903">
        <v>1</v>
      </c>
      <c r="L903">
        <v>1258</v>
      </c>
      <c r="M903">
        <v>4</v>
      </c>
      <c r="N903" t="str" cm="1">
        <f t="array" ref="N903">_xlfn.IFS(HRData[[#This Row],[EnvironmentSatisfaction]]=1,"Very Dissatisfied",
HRData[[#This Row],[EnvironmentSatisfaction]]=2,"Dissatisfied",
HRData[[#This Row],[EnvironmentSatisfaction]]=3,"Satisfied",
HRData[[#This Row],[EnvironmentSatisfaction]]=4,"Very Satisfied"
)</f>
        <v>Very Satisfied</v>
      </c>
      <c r="O903" t="s">
        <v>46</v>
      </c>
      <c r="P903">
        <v>76</v>
      </c>
      <c r="Q903">
        <v>4</v>
      </c>
      <c r="R903">
        <v>1</v>
      </c>
      <c r="S903" t="s">
        <v>50</v>
      </c>
      <c r="T903">
        <v>2</v>
      </c>
      <c r="U903" t="str" cm="1">
        <f t="array" ref="U903">_xlfn.IFS(
HRData[[#This Row],[JobSatisfaction]]=1,"Very Dissatisfied",
HRData[[#This Row],[JobSatisfaction]]=2,"Dissatisfied",
HRData[[#This Row],[JobSatisfaction]]=3,"Satisfied",
HRData[[#This Row],[JobSatisfaction]]=4,"Very Satisfied"
)</f>
        <v>Dissatisfied</v>
      </c>
      <c r="V903" t="s">
        <v>41</v>
      </c>
      <c r="W903">
        <v>2559</v>
      </c>
      <c r="X903" t="str" cm="1">
        <f t="array" ref="X903">_xlfn.IFS(
HRData[[#This Row],[MonthlyIncome]]&lt;=4000,"Very Low Income",
HRData[[#This Row],[MonthlyIncome]]&lt;=8000,"Low Income",
HRData[[#This Row],[MonthlyIncome]]&lt;=12000,"Moderate Income",
HRData[[#This Row],[MonthlyIncome]]&lt;=16000,"High Income",
HRData[[#This Row],[MonthlyIncome]]&gt;16000,"Very High Income"
)</f>
        <v>Very Low Income</v>
      </c>
      <c r="Y903">
        <v>16620</v>
      </c>
      <c r="Z903">
        <v>5</v>
      </c>
      <c r="AA903" t="s">
        <v>42</v>
      </c>
      <c r="AB903" t="s">
        <v>43</v>
      </c>
      <c r="AC903">
        <v>11</v>
      </c>
      <c r="AD903" t="str" cm="1">
        <f t="array" ref="AD903">_xlfn.IFS(HRData[[#This Row],[PercentSalaryHike]]&lt;=15,"11-15",HRData[[#This Row],[PercentSalaryHike]]&lt;=20,"16-20",HRData[[#This Row],[PercentSalaryHike]]&gt;=21,"21+")</f>
        <v>11-15</v>
      </c>
      <c r="AE903">
        <v>3</v>
      </c>
      <c r="AF903">
        <v>3</v>
      </c>
      <c r="AG903">
        <v>80</v>
      </c>
      <c r="AH903">
        <v>0</v>
      </c>
      <c r="AI903">
        <v>7</v>
      </c>
      <c r="AJ903">
        <v>4</v>
      </c>
      <c r="AK903">
        <v>2</v>
      </c>
      <c r="AL903">
        <v>1</v>
      </c>
      <c r="AM903">
        <v>0</v>
      </c>
      <c r="AN903">
        <v>0</v>
      </c>
      <c r="AO903">
        <v>0</v>
      </c>
      <c r="AP90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03" t="str">
        <f>IF(HRData[[#This Row],[Attrition]]="Yes","Left", IF(HRData[[#This Row],[Attrition_Risk_Score]]&gt;=6,"High",IF(HRData[[#This Row],[Attrition_Risk_Score]]&gt;=3,"Medium","Low")))</f>
        <v>Medium</v>
      </c>
      <c r="AR903" t="str">
        <f>IF(HRData[[#This Row],[Attrition_Risk_Level]]&lt;&gt;"High","",HRData[[#This Row],[Attrition_Risk_Score]]*10000-HRData[[#This Row],[EmployeeNumber]])</f>
        <v/>
      </c>
    </row>
    <row r="904" spans="1:44">
      <c r="A904">
        <v>27</v>
      </c>
      <c r="B904" t="str" cm="1">
        <f t="array" ref="B904">_xlfn.IFS(
HRData[[#This Row],[Age]]&lt;=24,"18-24",
HRData[[#This Row],[Age]]&lt;=34,"25-34",
HRData[[#This Row],[Age]]&lt;=44,"35-44",
HRData[[#This Row],[Age]]&lt;=54,"45-54",
HRData[[#This Row],[Age]]&gt;=55,"55+"
)</f>
        <v>25-34</v>
      </c>
      <c r="C904" t="s">
        <v>43</v>
      </c>
      <c r="D904">
        <f>IF(HRData[[#This Row],[Attrition]]="Yes",1,0)</f>
        <v>0</v>
      </c>
      <c r="E904" t="s">
        <v>36</v>
      </c>
      <c r="F904">
        <v>1167</v>
      </c>
      <c r="G904" t="s">
        <v>45</v>
      </c>
      <c r="H904">
        <v>4</v>
      </c>
      <c r="I904">
        <v>2</v>
      </c>
      <c r="J904" t="s">
        <v>38</v>
      </c>
      <c r="K904">
        <v>1</v>
      </c>
      <c r="L904">
        <v>1259</v>
      </c>
      <c r="M904">
        <v>1</v>
      </c>
      <c r="N904" t="str" cm="1">
        <f t="array" ref="N904">_xlfn.IFS(HRData[[#This Row],[EnvironmentSatisfaction]]=1,"Very Dissatisfied",
HRData[[#This Row],[EnvironmentSatisfaction]]=2,"Dissatisfied",
HRData[[#This Row],[EnvironmentSatisfaction]]=3,"Satisfied",
HRData[[#This Row],[EnvironmentSatisfaction]]=4,"Very Satisfied"
)</f>
        <v>Very Dissatisfied</v>
      </c>
      <c r="O904" t="s">
        <v>46</v>
      </c>
      <c r="P904">
        <v>76</v>
      </c>
      <c r="Q904">
        <v>3</v>
      </c>
      <c r="R904">
        <v>1</v>
      </c>
      <c r="S904" t="s">
        <v>47</v>
      </c>
      <c r="T904">
        <v>3</v>
      </c>
      <c r="U904" t="str" cm="1">
        <f t="array" ref="U904">_xlfn.IFS(
HRData[[#This Row],[JobSatisfaction]]=1,"Very Dissatisfied",
HRData[[#This Row],[JobSatisfaction]]=2,"Dissatisfied",
HRData[[#This Row],[JobSatisfaction]]=3,"Satisfied",
HRData[[#This Row],[JobSatisfaction]]=4,"Very Satisfied"
)</f>
        <v>Satisfied</v>
      </c>
      <c r="V904" t="s">
        <v>52</v>
      </c>
      <c r="W904">
        <v>2517</v>
      </c>
      <c r="X904" t="str" cm="1">
        <f t="array" ref="X904">_xlfn.IFS(
HRData[[#This Row],[MonthlyIncome]]&lt;=4000,"Very Low Income",
HRData[[#This Row],[MonthlyIncome]]&lt;=8000,"Low Income",
HRData[[#This Row],[MonthlyIncome]]&lt;=12000,"Moderate Income",
HRData[[#This Row],[MonthlyIncome]]&lt;=16000,"High Income",
HRData[[#This Row],[MonthlyIncome]]&gt;16000,"Very High Income"
)</f>
        <v>Very Low Income</v>
      </c>
      <c r="Y904">
        <v>3208</v>
      </c>
      <c r="Z904">
        <v>1</v>
      </c>
      <c r="AA904" t="s">
        <v>42</v>
      </c>
      <c r="AB904" t="s">
        <v>43</v>
      </c>
      <c r="AC904">
        <v>11</v>
      </c>
      <c r="AD904" t="str" cm="1">
        <f t="array" ref="AD904">_xlfn.IFS(HRData[[#This Row],[PercentSalaryHike]]&lt;=15,"11-15",HRData[[#This Row],[PercentSalaryHike]]&lt;=20,"16-20",HRData[[#This Row],[PercentSalaryHike]]&gt;=21,"21+")</f>
        <v>11-15</v>
      </c>
      <c r="AE904">
        <v>3</v>
      </c>
      <c r="AF904">
        <v>2</v>
      </c>
      <c r="AG904">
        <v>80</v>
      </c>
      <c r="AH904">
        <v>3</v>
      </c>
      <c r="AI904">
        <v>5</v>
      </c>
      <c r="AJ904">
        <v>2</v>
      </c>
      <c r="AK904">
        <v>3</v>
      </c>
      <c r="AL904">
        <v>5</v>
      </c>
      <c r="AM904">
        <v>3</v>
      </c>
      <c r="AN904">
        <v>0</v>
      </c>
      <c r="AO904">
        <v>3</v>
      </c>
      <c r="AP90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04" t="str">
        <f>IF(HRData[[#This Row],[Attrition]]="Yes","Left", IF(HRData[[#This Row],[Attrition_Risk_Score]]&gt;=6,"High",IF(HRData[[#This Row],[Attrition_Risk_Score]]&gt;=3,"Medium","Low")))</f>
        <v>Medium</v>
      </c>
      <c r="AR904" t="str">
        <f>IF(HRData[[#This Row],[Attrition_Risk_Level]]&lt;&gt;"High","",HRData[[#This Row],[Attrition_Risk_Score]]*10000-HRData[[#This Row],[EmployeeNumber]])</f>
        <v/>
      </c>
    </row>
    <row r="905" spans="1:44">
      <c r="A905">
        <v>29</v>
      </c>
      <c r="B905" t="str" cm="1">
        <f t="array" ref="B905">_xlfn.IFS(
HRData[[#This Row],[Age]]&lt;=24,"18-24",
HRData[[#This Row],[Age]]&lt;=34,"25-34",
HRData[[#This Row],[Age]]&lt;=44,"35-44",
HRData[[#This Row],[Age]]&lt;=54,"45-54",
HRData[[#This Row],[Age]]&gt;=55,"55+"
)</f>
        <v>25-34</v>
      </c>
      <c r="C905" t="s">
        <v>43</v>
      </c>
      <c r="D905">
        <f>IF(HRData[[#This Row],[Attrition]]="Yes",1,0)</f>
        <v>0</v>
      </c>
      <c r="E905" t="s">
        <v>36</v>
      </c>
      <c r="F905">
        <v>1329</v>
      </c>
      <c r="G905" t="s">
        <v>45</v>
      </c>
      <c r="H905">
        <v>7</v>
      </c>
      <c r="I905">
        <v>3</v>
      </c>
      <c r="J905" t="s">
        <v>38</v>
      </c>
      <c r="K905">
        <v>1</v>
      </c>
      <c r="L905">
        <v>1260</v>
      </c>
      <c r="M905">
        <v>3</v>
      </c>
      <c r="N905" t="str" cm="1">
        <f t="array" ref="N905">_xlfn.IFS(HRData[[#This Row],[EnvironmentSatisfaction]]=1,"Very Dissatisfied",
HRData[[#This Row],[EnvironmentSatisfaction]]=2,"Dissatisfied",
HRData[[#This Row],[EnvironmentSatisfaction]]=3,"Satisfied",
HRData[[#This Row],[EnvironmentSatisfaction]]=4,"Very Satisfied"
)</f>
        <v>Satisfied</v>
      </c>
      <c r="O905" t="s">
        <v>46</v>
      </c>
      <c r="P905">
        <v>82</v>
      </c>
      <c r="Q905">
        <v>3</v>
      </c>
      <c r="R905">
        <v>2</v>
      </c>
      <c r="S905" t="s">
        <v>54</v>
      </c>
      <c r="T905">
        <v>4</v>
      </c>
      <c r="U905" t="str" cm="1">
        <f t="array" ref="U905">_xlfn.IFS(
HRData[[#This Row],[JobSatisfaction]]=1,"Very Dissatisfied",
HRData[[#This Row],[JobSatisfaction]]=2,"Dissatisfied",
HRData[[#This Row],[JobSatisfaction]]=3,"Satisfied",
HRData[[#This Row],[JobSatisfaction]]=4,"Very Satisfied"
)</f>
        <v>Very Satisfied</v>
      </c>
      <c r="V905" t="s">
        <v>52</v>
      </c>
      <c r="W905">
        <v>6623</v>
      </c>
      <c r="X905" t="str" cm="1">
        <f t="array" ref="X905">_xlfn.IFS(
HRData[[#This Row],[MonthlyIncome]]&lt;=4000,"Very Low Income",
HRData[[#This Row],[MonthlyIncome]]&lt;=8000,"Low Income",
HRData[[#This Row],[MonthlyIncome]]&lt;=12000,"Moderate Income",
HRData[[#This Row],[MonthlyIncome]]&lt;=16000,"High Income",
HRData[[#This Row],[MonthlyIncome]]&gt;16000,"Very High Income"
)</f>
        <v>Low Income</v>
      </c>
      <c r="Y905">
        <v>4204</v>
      </c>
      <c r="Z905">
        <v>1</v>
      </c>
      <c r="AA905" t="s">
        <v>42</v>
      </c>
      <c r="AB905" t="s">
        <v>35</v>
      </c>
      <c r="AC905">
        <v>11</v>
      </c>
      <c r="AD905" t="str" cm="1">
        <f t="array" ref="AD905">_xlfn.IFS(HRData[[#This Row],[PercentSalaryHike]]&lt;=15,"11-15",HRData[[#This Row],[PercentSalaryHike]]&lt;=20,"16-20",HRData[[#This Row],[PercentSalaryHike]]&gt;=21,"21+")</f>
        <v>11-15</v>
      </c>
      <c r="AE905">
        <v>3</v>
      </c>
      <c r="AF905">
        <v>2</v>
      </c>
      <c r="AG905">
        <v>80</v>
      </c>
      <c r="AH905">
        <v>2</v>
      </c>
      <c r="AI905">
        <v>6</v>
      </c>
      <c r="AJ905">
        <v>2</v>
      </c>
      <c r="AK905">
        <v>3</v>
      </c>
      <c r="AL905">
        <v>6</v>
      </c>
      <c r="AM905">
        <v>0</v>
      </c>
      <c r="AN905">
        <v>1</v>
      </c>
      <c r="AO905">
        <v>0</v>
      </c>
      <c r="AP90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905" t="str">
        <f>IF(HRData[[#This Row],[Attrition]]="Yes","Left", IF(HRData[[#This Row],[Attrition_Risk_Score]]&gt;=6,"High",IF(HRData[[#This Row],[Attrition_Risk_Score]]&gt;=3,"Medium","Low")))</f>
        <v>Medium</v>
      </c>
      <c r="AR905" t="str">
        <f>IF(HRData[[#This Row],[Attrition_Risk_Level]]&lt;&gt;"High","",HRData[[#This Row],[Attrition_Risk_Score]]*10000-HRData[[#This Row],[EmployeeNumber]])</f>
        <v/>
      </c>
    </row>
    <row r="906" spans="1:44">
      <c r="A906">
        <v>48</v>
      </c>
      <c r="B906" t="str" cm="1">
        <f t="array" ref="B906">_xlfn.IFS(
HRData[[#This Row],[Age]]&lt;=24,"18-24",
HRData[[#This Row],[Age]]&lt;=34,"25-34",
HRData[[#This Row],[Age]]&lt;=44,"35-44",
HRData[[#This Row],[Age]]&lt;=54,"45-54",
HRData[[#This Row],[Age]]&gt;=55,"55+"
)</f>
        <v>45-54</v>
      </c>
      <c r="C906" t="s">
        <v>43</v>
      </c>
      <c r="D906">
        <f>IF(HRData[[#This Row],[Attrition]]="Yes",1,0)</f>
        <v>0</v>
      </c>
      <c r="E906" t="s">
        <v>36</v>
      </c>
      <c r="F906">
        <v>715</v>
      </c>
      <c r="G906" t="s">
        <v>45</v>
      </c>
      <c r="H906">
        <v>1</v>
      </c>
      <c r="I906">
        <v>3</v>
      </c>
      <c r="J906" t="s">
        <v>38</v>
      </c>
      <c r="K906">
        <v>1</v>
      </c>
      <c r="L906">
        <v>1263</v>
      </c>
      <c r="M906">
        <v>4</v>
      </c>
      <c r="N906" t="str" cm="1">
        <f t="array" ref="N906">_xlfn.IFS(HRData[[#This Row],[EnvironmentSatisfaction]]=1,"Very Dissatisfied",
HRData[[#This Row],[EnvironmentSatisfaction]]=2,"Dissatisfied",
HRData[[#This Row],[EnvironmentSatisfaction]]=3,"Satisfied",
HRData[[#This Row],[EnvironmentSatisfaction]]=4,"Very Satisfied"
)</f>
        <v>Very Satisfied</v>
      </c>
      <c r="O906" t="s">
        <v>46</v>
      </c>
      <c r="P906">
        <v>76</v>
      </c>
      <c r="Q906">
        <v>2</v>
      </c>
      <c r="R906">
        <v>5</v>
      </c>
      <c r="S906" t="s">
        <v>58</v>
      </c>
      <c r="T906">
        <v>4</v>
      </c>
      <c r="U906" t="str" cm="1">
        <f t="array" ref="U906">_xlfn.IFS(
HRData[[#This Row],[JobSatisfaction]]=1,"Very Dissatisfied",
HRData[[#This Row],[JobSatisfaction]]=2,"Dissatisfied",
HRData[[#This Row],[JobSatisfaction]]=3,"Satisfied",
HRData[[#This Row],[JobSatisfaction]]=4,"Very Satisfied"
)</f>
        <v>Very Satisfied</v>
      </c>
      <c r="V906" t="s">
        <v>41</v>
      </c>
      <c r="W906">
        <v>18265</v>
      </c>
      <c r="X906" t="str" cm="1">
        <f t="array" ref="X906">_xlfn.IFS(
HRData[[#This Row],[MonthlyIncome]]&lt;=4000,"Very Low Income",
HRData[[#This Row],[MonthlyIncome]]&lt;=8000,"Low Income",
HRData[[#This Row],[MonthlyIncome]]&lt;=12000,"Moderate Income",
HRData[[#This Row],[MonthlyIncome]]&lt;=16000,"High Income",
HRData[[#This Row],[MonthlyIncome]]&gt;16000,"Very High Income"
)</f>
        <v>Very High Income</v>
      </c>
      <c r="Y906">
        <v>8733</v>
      </c>
      <c r="Z906">
        <v>6</v>
      </c>
      <c r="AA906" t="s">
        <v>42</v>
      </c>
      <c r="AB906" t="s">
        <v>43</v>
      </c>
      <c r="AC906">
        <v>12</v>
      </c>
      <c r="AD906" t="str" cm="1">
        <f t="array" ref="AD906">_xlfn.IFS(HRData[[#This Row],[PercentSalaryHike]]&lt;=15,"11-15",HRData[[#This Row],[PercentSalaryHike]]&lt;=20,"16-20",HRData[[#This Row],[PercentSalaryHike]]&gt;=21,"21+")</f>
        <v>11-15</v>
      </c>
      <c r="AE906">
        <v>3</v>
      </c>
      <c r="AF906">
        <v>3</v>
      </c>
      <c r="AG906">
        <v>80</v>
      </c>
      <c r="AH906">
        <v>0</v>
      </c>
      <c r="AI906">
        <v>25</v>
      </c>
      <c r="AJ906">
        <v>3</v>
      </c>
      <c r="AK906">
        <v>4</v>
      </c>
      <c r="AL906">
        <v>1</v>
      </c>
      <c r="AM906">
        <v>0</v>
      </c>
      <c r="AN906">
        <v>0</v>
      </c>
      <c r="AO906">
        <v>0</v>
      </c>
      <c r="AP90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906" t="str">
        <f>IF(HRData[[#This Row],[Attrition]]="Yes","Left", IF(HRData[[#This Row],[Attrition_Risk_Score]]&gt;=6,"High",IF(HRData[[#This Row],[Attrition_Risk_Score]]&gt;=3,"Medium","Low")))</f>
        <v>Low</v>
      </c>
      <c r="AR906" t="str">
        <f>IF(HRData[[#This Row],[Attrition_Risk_Level]]&lt;&gt;"High","",HRData[[#This Row],[Attrition_Risk_Score]]*10000-HRData[[#This Row],[EmployeeNumber]])</f>
        <v/>
      </c>
    </row>
    <row r="907" spans="1:44">
      <c r="A907">
        <v>29</v>
      </c>
      <c r="B907" t="str" cm="1">
        <f t="array" ref="B907">_xlfn.IFS(
HRData[[#This Row],[Age]]&lt;=24,"18-24",
HRData[[#This Row],[Age]]&lt;=34,"25-34",
HRData[[#This Row],[Age]]&lt;=44,"35-44",
HRData[[#This Row],[Age]]&lt;=54,"45-54",
HRData[[#This Row],[Age]]&gt;=55,"55+"
)</f>
        <v>25-34</v>
      </c>
      <c r="C907" t="s">
        <v>43</v>
      </c>
      <c r="D907">
        <f>IF(HRData[[#This Row],[Attrition]]="Yes",1,0)</f>
        <v>0</v>
      </c>
      <c r="E907" t="s">
        <v>36</v>
      </c>
      <c r="F907">
        <v>694</v>
      </c>
      <c r="G907" t="s">
        <v>45</v>
      </c>
      <c r="H907">
        <v>1</v>
      </c>
      <c r="I907">
        <v>3</v>
      </c>
      <c r="J907" t="s">
        <v>38</v>
      </c>
      <c r="K907">
        <v>1</v>
      </c>
      <c r="L907">
        <v>1264</v>
      </c>
      <c r="M907">
        <v>4</v>
      </c>
      <c r="N907" t="str" cm="1">
        <f t="array" ref="N907">_xlfn.IFS(HRData[[#This Row],[EnvironmentSatisfaction]]=1,"Very Dissatisfied",
HRData[[#This Row],[EnvironmentSatisfaction]]=2,"Dissatisfied",
HRData[[#This Row],[EnvironmentSatisfaction]]=3,"Satisfied",
HRData[[#This Row],[EnvironmentSatisfaction]]=4,"Very Satisfied"
)</f>
        <v>Very Satisfied</v>
      </c>
      <c r="O907" t="s">
        <v>39</v>
      </c>
      <c r="P907">
        <v>87</v>
      </c>
      <c r="Q907">
        <v>2</v>
      </c>
      <c r="R907">
        <v>4</v>
      </c>
      <c r="S907" t="s">
        <v>58</v>
      </c>
      <c r="T907">
        <v>4</v>
      </c>
      <c r="U907" t="str" cm="1">
        <f t="array" ref="U907">_xlfn.IFS(
HRData[[#This Row],[JobSatisfaction]]=1,"Very Dissatisfied",
HRData[[#This Row],[JobSatisfaction]]=2,"Dissatisfied",
HRData[[#This Row],[JobSatisfaction]]=3,"Satisfied",
HRData[[#This Row],[JobSatisfaction]]=4,"Very Satisfied"
)</f>
        <v>Very Satisfied</v>
      </c>
      <c r="V907" t="s">
        <v>52</v>
      </c>
      <c r="W907">
        <v>16124</v>
      </c>
      <c r="X907" t="str" cm="1">
        <f t="array" ref="X907">_xlfn.IFS(
HRData[[#This Row],[MonthlyIncome]]&lt;=4000,"Very Low Income",
HRData[[#This Row],[MonthlyIncome]]&lt;=8000,"Low Income",
HRData[[#This Row],[MonthlyIncome]]&lt;=12000,"Moderate Income",
HRData[[#This Row],[MonthlyIncome]]&lt;=16000,"High Income",
HRData[[#This Row],[MonthlyIncome]]&gt;16000,"Very High Income"
)</f>
        <v>Very High Income</v>
      </c>
      <c r="Y907">
        <v>3423</v>
      </c>
      <c r="Z907">
        <v>3</v>
      </c>
      <c r="AA907" t="s">
        <v>42</v>
      </c>
      <c r="AB907" t="s">
        <v>43</v>
      </c>
      <c r="AC907">
        <v>14</v>
      </c>
      <c r="AD907" t="str" cm="1">
        <f t="array" ref="AD907">_xlfn.IFS(HRData[[#This Row],[PercentSalaryHike]]&lt;=15,"11-15",HRData[[#This Row],[PercentSalaryHike]]&lt;=20,"16-20",HRData[[#This Row],[PercentSalaryHike]]&gt;=21,"21+")</f>
        <v>11-15</v>
      </c>
      <c r="AE907">
        <v>3</v>
      </c>
      <c r="AF907">
        <v>2</v>
      </c>
      <c r="AG907">
        <v>80</v>
      </c>
      <c r="AH907">
        <v>2</v>
      </c>
      <c r="AI907">
        <v>9</v>
      </c>
      <c r="AJ907">
        <v>2</v>
      </c>
      <c r="AK907">
        <v>2</v>
      </c>
      <c r="AL907">
        <v>7</v>
      </c>
      <c r="AM907">
        <v>7</v>
      </c>
      <c r="AN907">
        <v>1</v>
      </c>
      <c r="AO907">
        <v>7</v>
      </c>
      <c r="AP90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907" t="str">
        <f>IF(HRData[[#This Row],[Attrition]]="Yes","Left", IF(HRData[[#This Row],[Attrition_Risk_Score]]&gt;=6,"High",IF(HRData[[#This Row],[Attrition_Risk_Score]]&gt;=3,"Medium","Low")))</f>
        <v>Low</v>
      </c>
      <c r="AR907" t="str">
        <f>IF(HRData[[#This Row],[Attrition_Risk_Level]]&lt;&gt;"High","",HRData[[#This Row],[Attrition_Risk_Score]]*10000-HRData[[#This Row],[EmployeeNumber]])</f>
        <v/>
      </c>
    </row>
    <row r="908" spans="1:44">
      <c r="A908">
        <v>34</v>
      </c>
      <c r="B908" t="str" cm="1">
        <f t="array" ref="B908">_xlfn.IFS(
HRData[[#This Row],[Age]]&lt;=24,"18-24",
HRData[[#This Row],[Age]]&lt;=34,"25-34",
HRData[[#This Row],[Age]]&lt;=44,"35-44",
HRData[[#This Row],[Age]]&lt;=54,"45-54",
HRData[[#This Row],[Age]]&gt;=55,"55+"
)</f>
        <v>25-34</v>
      </c>
      <c r="C908" t="s">
        <v>43</v>
      </c>
      <c r="D908">
        <f>IF(HRData[[#This Row],[Attrition]]="Yes",1,0)</f>
        <v>0</v>
      </c>
      <c r="E908" t="s">
        <v>36</v>
      </c>
      <c r="F908">
        <v>1320</v>
      </c>
      <c r="G908" t="s">
        <v>45</v>
      </c>
      <c r="H908">
        <v>20</v>
      </c>
      <c r="I908">
        <v>3</v>
      </c>
      <c r="J908" t="s">
        <v>60</v>
      </c>
      <c r="K908">
        <v>1</v>
      </c>
      <c r="L908">
        <v>1265</v>
      </c>
      <c r="M908">
        <v>3</v>
      </c>
      <c r="N908" t="str" cm="1">
        <f t="array" ref="N908">_xlfn.IFS(HRData[[#This Row],[EnvironmentSatisfaction]]=1,"Very Dissatisfied",
HRData[[#This Row],[EnvironmentSatisfaction]]=2,"Dissatisfied",
HRData[[#This Row],[EnvironmentSatisfaction]]=3,"Satisfied",
HRData[[#This Row],[EnvironmentSatisfaction]]=4,"Very Satisfied"
)</f>
        <v>Satisfied</v>
      </c>
      <c r="O908" t="s">
        <v>39</v>
      </c>
      <c r="P908">
        <v>89</v>
      </c>
      <c r="Q908">
        <v>4</v>
      </c>
      <c r="R908">
        <v>1</v>
      </c>
      <c r="S908" t="s">
        <v>47</v>
      </c>
      <c r="T908">
        <v>3</v>
      </c>
      <c r="U908" t="str" cm="1">
        <f t="array" ref="U908">_xlfn.IFS(
HRData[[#This Row],[JobSatisfaction]]=1,"Very Dissatisfied",
HRData[[#This Row],[JobSatisfaction]]=2,"Dissatisfied",
HRData[[#This Row],[JobSatisfaction]]=3,"Satisfied",
HRData[[#This Row],[JobSatisfaction]]=4,"Very Satisfied"
)</f>
        <v>Satisfied</v>
      </c>
      <c r="V908" t="s">
        <v>48</v>
      </c>
      <c r="W908">
        <v>2585</v>
      </c>
      <c r="X908" t="str" cm="1">
        <f t="array" ref="X908">_xlfn.IFS(
HRData[[#This Row],[MonthlyIncome]]&lt;=4000,"Very Low Income",
HRData[[#This Row],[MonthlyIncome]]&lt;=8000,"Low Income",
HRData[[#This Row],[MonthlyIncome]]&lt;=12000,"Moderate Income",
HRData[[#This Row],[MonthlyIncome]]&lt;=16000,"High Income",
HRData[[#This Row],[MonthlyIncome]]&gt;16000,"Very High Income"
)</f>
        <v>Very Low Income</v>
      </c>
      <c r="Y908">
        <v>21643</v>
      </c>
      <c r="Z908">
        <v>0</v>
      </c>
      <c r="AA908" t="s">
        <v>42</v>
      </c>
      <c r="AB908" t="s">
        <v>43</v>
      </c>
      <c r="AC908">
        <v>17</v>
      </c>
      <c r="AD908" t="str" cm="1">
        <f t="array" ref="AD908">_xlfn.IFS(HRData[[#This Row],[PercentSalaryHike]]&lt;=15,"11-15",HRData[[#This Row],[PercentSalaryHike]]&lt;=20,"16-20",HRData[[#This Row],[PercentSalaryHike]]&gt;=21,"21+")</f>
        <v>16-20</v>
      </c>
      <c r="AE908">
        <v>3</v>
      </c>
      <c r="AF908">
        <v>4</v>
      </c>
      <c r="AG908">
        <v>80</v>
      </c>
      <c r="AH908">
        <v>0</v>
      </c>
      <c r="AI908">
        <v>2</v>
      </c>
      <c r="AJ908">
        <v>5</v>
      </c>
      <c r="AK908">
        <v>2</v>
      </c>
      <c r="AL908">
        <v>1</v>
      </c>
      <c r="AM908">
        <v>0</v>
      </c>
      <c r="AN908">
        <v>0</v>
      </c>
      <c r="AO908">
        <v>0</v>
      </c>
      <c r="AP90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08" t="str">
        <f>IF(HRData[[#This Row],[Attrition]]="Yes","Left", IF(HRData[[#This Row],[Attrition_Risk_Score]]&gt;=6,"High",IF(HRData[[#This Row],[Attrition_Risk_Score]]&gt;=3,"Medium","Low")))</f>
        <v>Medium</v>
      </c>
      <c r="AR908" t="str">
        <f>IF(HRData[[#This Row],[Attrition_Risk_Level]]&lt;&gt;"High","",HRData[[#This Row],[Attrition_Risk_Score]]*10000-HRData[[#This Row],[EmployeeNumber]])</f>
        <v/>
      </c>
    </row>
    <row r="909" spans="1:44">
      <c r="A909">
        <v>44</v>
      </c>
      <c r="B909" t="str" cm="1">
        <f t="array" ref="B909">_xlfn.IFS(
HRData[[#This Row],[Age]]&lt;=24,"18-24",
HRData[[#This Row],[Age]]&lt;=34,"25-34",
HRData[[#This Row],[Age]]&lt;=44,"35-44",
HRData[[#This Row],[Age]]&lt;=54,"45-54",
HRData[[#This Row],[Age]]&gt;=55,"55+"
)</f>
        <v>35-44</v>
      </c>
      <c r="C909" t="s">
        <v>43</v>
      </c>
      <c r="D909">
        <f>IF(HRData[[#This Row],[Attrition]]="Yes",1,0)</f>
        <v>0</v>
      </c>
      <c r="E909" t="s">
        <v>36</v>
      </c>
      <c r="F909">
        <v>1099</v>
      </c>
      <c r="G909" t="s">
        <v>37</v>
      </c>
      <c r="H909">
        <v>5</v>
      </c>
      <c r="I909">
        <v>3</v>
      </c>
      <c r="J909" t="s">
        <v>59</v>
      </c>
      <c r="K909">
        <v>1</v>
      </c>
      <c r="L909">
        <v>1267</v>
      </c>
      <c r="M909">
        <v>2</v>
      </c>
      <c r="N909" t="str" cm="1">
        <f t="array" ref="N909">_xlfn.IFS(HRData[[#This Row],[EnvironmentSatisfaction]]=1,"Very Dissatisfied",
HRData[[#This Row],[EnvironmentSatisfaction]]=2,"Dissatisfied",
HRData[[#This Row],[EnvironmentSatisfaction]]=3,"Satisfied",
HRData[[#This Row],[EnvironmentSatisfaction]]=4,"Very Satisfied"
)</f>
        <v>Dissatisfied</v>
      </c>
      <c r="O909" t="s">
        <v>46</v>
      </c>
      <c r="P909">
        <v>88</v>
      </c>
      <c r="Q909">
        <v>3</v>
      </c>
      <c r="R909">
        <v>5</v>
      </c>
      <c r="S909" t="s">
        <v>56</v>
      </c>
      <c r="T909">
        <v>2</v>
      </c>
      <c r="U909" t="str" cm="1">
        <f t="array" ref="U909">_xlfn.IFS(
HRData[[#This Row],[JobSatisfaction]]=1,"Very Dissatisfied",
HRData[[#This Row],[JobSatisfaction]]=2,"Dissatisfied",
HRData[[#This Row],[JobSatisfaction]]=3,"Satisfied",
HRData[[#This Row],[JobSatisfaction]]=4,"Very Satisfied"
)</f>
        <v>Dissatisfied</v>
      </c>
      <c r="V909" t="s">
        <v>48</v>
      </c>
      <c r="W909">
        <v>18213</v>
      </c>
      <c r="X909" t="str" cm="1">
        <f t="array" ref="X909">_xlfn.IFS(
HRData[[#This Row],[MonthlyIncome]]&lt;=4000,"Very Low Income",
HRData[[#This Row],[MonthlyIncome]]&lt;=8000,"Low Income",
HRData[[#This Row],[MonthlyIncome]]&lt;=12000,"Moderate Income",
HRData[[#This Row],[MonthlyIncome]]&lt;=16000,"High Income",
HRData[[#This Row],[MonthlyIncome]]&gt;16000,"Very High Income"
)</f>
        <v>Very High Income</v>
      </c>
      <c r="Y909">
        <v>8751</v>
      </c>
      <c r="Z909">
        <v>7</v>
      </c>
      <c r="AA909" t="s">
        <v>42</v>
      </c>
      <c r="AB909" t="s">
        <v>43</v>
      </c>
      <c r="AC909">
        <v>11</v>
      </c>
      <c r="AD909" t="str" cm="1">
        <f t="array" ref="AD909">_xlfn.IFS(HRData[[#This Row],[PercentSalaryHike]]&lt;=15,"11-15",HRData[[#This Row],[PercentSalaryHike]]&lt;=20,"16-20",HRData[[#This Row],[PercentSalaryHike]]&gt;=21,"21+")</f>
        <v>11-15</v>
      </c>
      <c r="AE909">
        <v>3</v>
      </c>
      <c r="AF909">
        <v>3</v>
      </c>
      <c r="AG909">
        <v>80</v>
      </c>
      <c r="AH909">
        <v>1</v>
      </c>
      <c r="AI909">
        <v>26</v>
      </c>
      <c r="AJ909">
        <v>5</v>
      </c>
      <c r="AK909">
        <v>3</v>
      </c>
      <c r="AL909">
        <v>22</v>
      </c>
      <c r="AM909">
        <v>9</v>
      </c>
      <c r="AN909">
        <v>3</v>
      </c>
      <c r="AO909">
        <v>10</v>
      </c>
      <c r="AP90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909" t="str">
        <f>IF(HRData[[#This Row],[Attrition]]="Yes","Left", IF(HRData[[#This Row],[Attrition_Risk_Score]]&gt;=6,"High",IF(HRData[[#This Row],[Attrition_Risk_Score]]&gt;=3,"Medium","Low")))</f>
        <v>Low</v>
      </c>
      <c r="AR909" t="str">
        <f>IF(HRData[[#This Row],[Attrition_Risk_Level]]&lt;&gt;"High","",HRData[[#This Row],[Attrition_Risk_Score]]*10000-HRData[[#This Row],[EmployeeNumber]])</f>
        <v/>
      </c>
    </row>
    <row r="910" spans="1:44">
      <c r="A910">
        <v>33</v>
      </c>
      <c r="B910" t="str" cm="1">
        <f t="array" ref="B910">_xlfn.IFS(
HRData[[#This Row],[Age]]&lt;=24,"18-24",
HRData[[#This Row],[Age]]&lt;=34,"25-34",
HRData[[#This Row],[Age]]&lt;=44,"35-44",
HRData[[#This Row],[Age]]&lt;=54,"45-54",
HRData[[#This Row],[Age]]&gt;=55,"55+"
)</f>
        <v>25-34</v>
      </c>
      <c r="C910" t="s">
        <v>43</v>
      </c>
      <c r="D910">
        <f>IF(HRData[[#This Row],[Attrition]]="Yes",1,0)</f>
        <v>0</v>
      </c>
      <c r="E910" t="s">
        <v>36</v>
      </c>
      <c r="F910">
        <v>536</v>
      </c>
      <c r="G910" t="s">
        <v>37</v>
      </c>
      <c r="H910">
        <v>10</v>
      </c>
      <c r="I910">
        <v>5</v>
      </c>
      <c r="J910" t="s">
        <v>59</v>
      </c>
      <c r="K910">
        <v>1</v>
      </c>
      <c r="L910">
        <v>1268</v>
      </c>
      <c r="M910">
        <v>4</v>
      </c>
      <c r="N910" t="str" cm="1">
        <f t="array" ref="N910">_xlfn.IFS(HRData[[#This Row],[EnvironmentSatisfaction]]=1,"Very Dissatisfied",
HRData[[#This Row],[EnvironmentSatisfaction]]=2,"Dissatisfied",
HRData[[#This Row],[EnvironmentSatisfaction]]=3,"Satisfied",
HRData[[#This Row],[EnvironmentSatisfaction]]=4,"Very Satisfied"
)</f>
        <v>Very Satisfied</v>
      </c>
      <c r="O910" t="s">
        <v>46</v>
      </c>
      <c r="P910">
        <v>82</v>
      </c>
      <c r="Q910">
        <v>4</v>
      </c>
      <c r="R910">
        <v>3</v>
      </c>
      <c r="S910" t="s">
        <v>40</v>
      </c>
      <c r="T910">
        <v>3</v>
      </c>
      <c r="U910" t="str" cm="1">
        <f t="array" ref="U910">_xlfn.IFS(
HRData[[#This Row],[JobSatisfaction]]=1,"Very Dissatisfied",
HRData[[#This Row],[JobSatisfaction]]=2,"Dissatisfied",
HRData[[#This Row],[JobSatisfaction]]=3,"Satisfied",
HRData[[#This Row],[JobSatisfaction]]=4,"Very Satisfied"
)</f>
        <v>Satisfied</v>
      </c>
      <c r="V910" t="s">
        <v>52</v>
      </c>
      <c r="W910">
        <v>8380</v>
      </c>
      <c r="X910" t="str" cm="1">
        <f t="array" ref="X910">_xlfn.IFS(
HRData[[#This Row],[MonthlyIncome]]&lt;=4000,"Very Low Income",
HRData[[#This Row],[MonthlyIncome]]&lt;=8000,"Low Income",
HRData[[#This Row],[MonthlyIncome]]&lt;=12000,"Moderate Income",
HRData[[#This Row],[MonthlyIncome]]&lt;=16000,"High Income",
HRData[[#This Row],[MonthlyIncome]]&gt;16000,"Very High Income"
)</f>
        <v>Moderate Income</v>
      </c>
      <c r="Y910">
        <v>21708</v>
      </c>
      <c r="Z910">
        <v>0</v>
      </c>
      <c r="AA910" t="s">
        <v>42</v>
      </c>
      <c r="AB910" t="s">
        <v>35</v>
      </c>
      <c r="AC910">
        <v>14</v>
      </c>
      <c r="AD910" t="str" cm="1">
        <f t="array" ref="AD910">_xlfn.IFS(HRData[[#This Row],[PercentSalaryHike]]&lt;=15,"11-15",HRData[[#This Row],[PercentSalaryHike]]&lt;=20,"16-20",HRData[[#This Row],[PercentSalaryHike]]&gt;=21,"21+")</f>
        <v>11-15</v>
      </c>
      <c r="AE910">
        <v>3</v>
      </c>
      <c r="AF910">
        <v>4</v>
      </c>
      <c r="AG910">
        <v>80</v>
      </c>
      <c r="AH910">
        <v>2</v>
      </c>
      <c r="AI910">
        <v>10</v>
      </c>
      <c r="AJ910">
        <v>3</v>
      </c>
      <c r="AK910">
        <v>3</v>
      </c>
      <c r="AL910">
        <v>9</v>
      </c>
      <c r="AM910">
        <v>8</v>
      </c>
      <c r="AN910">
        <v>0</v>
      </c>
      <c r="AO910">
        <v>8</v>
      </c>
      <c r="AP91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10" t="str">
        <f>IF(HRData[[#This Row],[Attrition]]="Yes","Left", IF(HRData[[#This Row],[Attrition_Risk_Score]]&gt;=6,"High",IF(HRData[[#This Row],[Attrition_Risk_Score]]&gt;=3,"Medium","Low")))</f>
        <v>Medium</v>
      </c>
      <c r="AR910" t="str">
        <f>IF(HRData[[#This Row],[Attrition_Risk_Level]]&lt;&gt;"High","",HRData[[#This Row],[Attrition_Risk_Score]]*10000-HRData[[#This Row],[EmployeeNumber]])</f>
        <v/>
      </c>
    </row>
    <row r="911" spans="1:44">
      <c r="A911">
        <v>19</v>
      </c>
      <c r="B911" t="str" cm="1">
        <f t="array" ref="B911">_xlfn.IFS(
HRData[[#This Row],[Age]]&lt;=24,"18-24",
HRData[[#This Row],[Age]]&lt;=34,"25-34",
HRData[[#This Row],[Age]]&lt;=44,"35-44",
HRData[[#This Row],[Age]]&lt;=54,"45-54",
HRData[[#This Row],[Age]]&gt;=55,"55+"
)</f>
        <v>18-24</v>
      </c>
      <c r="C911" t="s">
        <v>43</v>
      </c>
      <c r="D911">
        <f>IF(HRData[[#This Row],[Attrition]]="Yes",1,0)</f>
        <v>0</v>
      </c>
      <c r="E911" t="s">
        <v>36</v>
      </c>
      <c r="F911">
        <v>265</v>
      </c>
      <c r="G911" t="s">
        <v>45</v>
      </c>
      <c r="H911">
        <v>25</v>
      </c>
      <c r="I911">
        <v>3</v>
      </c>
      <c r="J911" t="s">
        <v>38</v>
      </c>
      <c r="K911">
        <v>1</v>
      </c>
      <c r="L911">
        <v>1269</v>
      </c>
      <c r="M911">
        <v>2</v>
      </c>
      <c r="N911" t="str" cm="1">
        <f t="array" ref="N911">_xlfn.IFS(HRData[[#This Row],[EnvironmentSatisfaction]]=1,"Very Dissatisfied",
HRData[[#This Row],[EnvironmentSatisfaction]]=2,"Dissatisfied",
HRData[[#This Row],[EnvironmentSatisfaction]]=3,"Satisfied",
HRData[[#This Row],[EnvironmentSatisfaction]]=4,"Very Satisfied"
)</f>
        <v>Dissatisfied</v>
      </c>
      <c r="O911" t="s">
        <v>39</v>
      </c>
      <c r="P911">
        <v>57</v>
      </c>
      <c r="Q911">
        <v>4</v>
      </c>
      <c r="R911">
        <v>1</v>
      </c>
      <c r="S911" t="s">
        <v>47</v>
      </c>
      <c r="T911">
        <v>4</v>
      </c>
      <c r="U911" t="str" cm="1">
        <f t="array" ref="U911">_xlfn.IFS(
HRData[[#This Row],[JobSatisfaction]]=1,"Very Dissatisfied",
HRData[[#This Row],[JobSatisfaction]]=2,"Dissatisfied",
HRData[[#This Row],[JobSatisfaction]]=3,"Satisfied",
HRData[[#This Row],[JobSatisfaction]]=4,"Very Satisfied"
)</f>
        <v>Very Satisfied</v>
      </c>
      <c r="V911" t="s">
        <v>41</v>
      </c>
      <c r="W911">
        <v>2994</v>
      </c>
      <c r="X911" t="str" cm="1">
        <f t="array" ref="X911">_xlfn.IFS(
HRData[[#This Row],[MonthlyIncome]]&lt;=4000,"Very Low Income",
HRData[[#This Row],[MonthlyIncome]]&lt;=8000,"Low Income",
HRData[[#This Row],[MonthlyIncome]]&lt;=12000,"Moderate Income",
HRData[[#This Row],[MonthlyIncome]]&lt;=16000,"High Income",
HRData[[#This Row],[MonthlyIncome]]&gt;16000,"Very High Income"
)</f>
        <v>Very Low Income</v>
      </c>
      <c r="Y911">
        <v>21221</v>
      </c>
      <c r="Z911">
        <v>1</v>
      </c>
      <c r="AA911" t="s">
        <v>42</v>
      </c>
      <c r="AB911" t="s">
        <v>35</v>
      </c>
      <c r="AC911">
        <v>12</v>
      </c>
      <c r="AD911" t="str" cm="1">
        <f t="array" ref="AD911">_xlfn.IFS(HRData[[#This Row],[PercentSalaryHike]]&lt;=15,"11-15",HRData[[#This Row],[PercentSalaryHike]]&lt;=20,"16-20",HRData[[#This Row],[PercentSalaryHike]]&gt;=21,"21+")</f>
        <v>11-15</v>
      </c>
      <c r="AE911">
        <v>3</v>
      </c>
      <c r="AF911">
        <v>4</v>
      </c>
      <c r="AG911">
        <v>80</v>
      </c>
      <c r="AH911">
        <v>0</v>
      </c>
      <c r="AI911">
        <v>1</v>
      </c>
      <c r="AJ911">
        <v>2</v>
      </c>
      <c r="AK911">
        <v>3</v>
      </c>
      <c r="AL911">
        <v>1</v>
      </c>
      <c r="AM911">
        <v>0</v>
      </c>
      <c r="AN911">
        <v>0</v>
      </c>
      <c r="AO911">
        <v>1</v>
      </c>
      <c r="AP91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911" t="str">
        <f>IF(HRData[[#This Row],[Attrition]]="Yes","Left", IF(HRData[[#This Row],[Attrition_Risk_Score]]&gt;=6,"High",IF(HRData[[#This Row],[Attrition_Risk_Score]]&gt;=3,"Medium","Low")))</f>
        <v>High</v>
      </c>
      <c r="AR911">
        <f>IF(HRData[[#This Row],[Attrition_Risk_Level]]&lt;&gt;"High","",HRData[[#This Row],[Attrition_Risk_Score]]*10000-HRData[[#This Row],[EmployeeNumber]])</f>
        <v>58731</v>
      </c>
    </row>
    <row r="912" spans="1:44">
      <c r="A912">
        <v>23</v>
      </c>
      <c r="B912" t="str" cm="1">
        <f t="array" ref="B912">_xlfn.IFS(
HRData[[#This Row],[Age]]&lt;=24,"18-24",
HRData[[#This Row],[Age]]&lt;=34,"25-34",
HRData[[#This Row],[Age]]&lt;=44,"35-44",
HRData[[#This Row],[Age]]&lt;=54,"45-54",
HRData[[#This Row],[Age]]&gt;=55,"55+"
)</f>
        <v>18-24</v>
      </c>
      <c r="C912" t="s">
        <v>43</v>
      </c>
      <c r="D912">
        <f>IF(HRData[[#This Row],[Attrition]]="Yes",1,0)</f>
        <v>0</v>
      </c>
      <c r="E912" t="s">
        <v>36</v>
      </c>
      <c r="F912">
        <v>373</v>
      </c>
      <c r="G912" t="s">
        <v>45</v>
      </c>
      <c r="H912">
        <v>1</v>
      </c>
      <c r="I912">
        <v>2</v>
      </c>
      <c r="J912" t="s">
        <v>38</v>
      </c>
      <c r="K912">
        <v>1</v>
      </c>
      <c r="L912">
        <v>1270</v>
      </c>
      <c r="M912">
        <v>4</v>
      </c>
      <c r="N912" t="str" cm="1">
        <f t="array" ref="N912">_xlfn.IFS(HRData[[#This Row],[EnvironmentSatisfaction]]=1,"Very Dissatisfied",
HRData[[#This Row],[EnvironmentSatisfaction]]=2,"Dissatisfied",
HRData[[#This Row],[EnvironmentSatisfaction]]=3,"Satisfied",
HRData[[#This Row],[EnvironmentSatisfaction]]=4,"Very Satisfied"
)</f>
        <v>Very Satisfied</v>
      </c>
      <c r="O912" t="s">
        <v>46</v>
      </c>
      <c r="P912">
        <v>47</v>
      </c>
      <c r="Q912">
        <v>3</v>
      </c>
      <c r="R912">
        <v>1</v>
      </c>
      <c r="S912" t="s">
        <v>47</v>
      </c>
      <c r="T912">
        <v>3</v>
      </c>
      <c r="U912" t="str" cm="1">
        <f t="array" ref="U912">_xlfn.IFS(
HRData[[#This Row],[JobSatisfaction]]=1,"Very Dissatisfied",
HRData[[#This Row],[JobSatisfaction]]=2,"Dissatisfied",
HRData[[#This Row],[JobSatisfaction]]=3,"Satisfied",
HRData[[#This Row],[JobSatisfaction]]=4,"Very Satisfied"
)</f>
        <v>Satisfied</v>
      </c>
      <c r="V912" t="s">
        <v>48</v>
      </c>
      <c r="W912">
        <v>1223</v>
      </c>
      <c r="X912" t="str" cm="1">
        <f t="array" ref="X912">_xlfn.IFS(
HRData[[#This Row],[MonthlyIncome]]&lt;=4000,"Very Low Income",
HRData[[#This Row],[MonthlyIncome]]&lt;=8000,"Low Income",
HRData[[#This Row],[MonthlyIncome]]&lt;=12000,"Moderate Income",
HRData[[#This Row],[MonthlyIncome]]&lt;=16000,"High Income",
HRData[[#This Row],[MonthlyIncome]]&gt;16000,"Very High Income"
)</f>
        <v>Very Low Income</v>
      </c>
      <c r="Y912">
        <v>16901</v>
      </c>
      <c r="Z912">
        <v>1</v>
      </c>
      <c r="AA912" t="s">
        <v>42</v>
      </c>
      <c r="AB912" t="s">
        <v>43</v>
      </c>
      <c r="AC912">
        <v>22</v>
      </c>
      <c r="AD912" t="str" cm="1">
        <f t="array" ref="AD912">_xlfn.IFS(HRData[[#This Row],[PercentSalaryHike]]&lt;=15,"11-15",HRData[[#This Row],[PercentSalaryHike]]&lt;=20,"16-20",HRData[[#This Row],[PercentSalaryHike]]&gt;=21,"21+")</f>
        <v>21+</v>
      </c>
      <c r="AE912">
        <v>4</v>
      </c>
      <c r="AF912">
        <v>4</v>
      </c>
      <c r="AG912">
        <v>80</v>
      </c>
      <c r="AH912">
        <v>1</v>
      </c>
      <c r="AI912">
        <v>1</v>
      </c>
      <c r="AJ912">
        <v>2</v>
      </c>
      <c r="AK912">
        <v>3</v>
      </c>
      <c r="AL912">
        <v>1</v>
      </c>
      <c r="AM912">
        <v>0</v>
      </c>
      <c r="AN912">
        <v>0</v>
      </c>
      <c r="AO912">
        <v>1</v>
      </c>
      <c r="AP91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912" t="str">
        <f>IF(HRData[[#This Row],[Attrition]]="Yes","Left", IF(HRData[[#This Row],[Attrition_Risk_Score]]&gt;=6,"High",IF(HRData[[#This Row],[Attrition_Risk_Score]]&gt;=3,"Medium","Low")))</f>
        <v>Medium</v>
      </c>
      <c r="AR912" t="str">
        <f>IF(HRData[[#This Row],[Attrition_Risk_Level]]&lt;&gt;"High","",HRData[[#This Row],[Attrition_Risk_Score]]*10000-HRData[[#This Row],[EmployeeNumber]])</f>
        <v/>
      </c>
    </row>
    <row r="913" spans="1:44">
      <c r="A913">
        <v>25</v>
      </c>
      <c r="B913" t="str" cm="1">
        <f t="array" ref="B913">_xlfn.IFS(
HRData[[#This Row],[Age]]&lt;=24,"18-24",
HRData[[#This Row],[Age]]&lt;=34,"25-34",
HRData[[#This Row],[Age]]&lt;=44,"35-44",
HRData[[#This Row],[Age]]&lt;=54,"45-54",
HRData[[#This Row],[Age]]&gt;=55,"55+"
)</f>
        <v>25-34</v>
      </c>
      <c r="C913" t="s">
        <v>35</v>
      </c>
      <c r="D913">
        <f>IF(HRData[[#This Row],[Attrition]]="Yes",1,0)</f>
        <v>1</v>
      </c>
      <c r="E913" t="s">
        <v>44</v>
      </c>
      <c r="F913">
        <v>599</v>
      </c>
      <c r="G913" t="s">
        <v>37</v>
      </c>
      <c r="H913">
        <v>24</v>
      </c>
      <c r="I913">
        <v>1</v>
      </c>
      <c r="J913" t="s">
        <v>38</v>
      </c>
      <c r="K913">
        <v>1</v>
      </c>
      <c r="L913">
        <v>1273</v>
      </c>
      <c r="M913">
        <v>3</v>
      </c>
      <c r="N913" t="str" cm="1">
        <f t="array" ref="N913">_xlfn.IFS(HRData[[#This Row],[EnvironmentSatisfaction]]=1,"Very Dissatisfied",
HRData[[#This Row],[EnvironmentSatisfaction]]=2,"Dissatisfied",
HRData[[#This Row],[EnvironmentSatisfaction]]=3,"Satisfied",
HRData[[#This Row],[EnvironmentSatisfaction]]=4,"Very Satisfied"
)</f>
        <v>Satisfied</v>
      </c>
      <c r="O913" t="s">
        <v>46</v>
      </c>
      <c r="P913">
        <v>73</v>
      </c>
      <c r="Q913">
        <v>1</v>
      </c>
      <c r="R913">
        <v>1</v>
      </c>
      <c r="S913" t="s">
        <v>57</v>
      </c>
      <c r="T913">
        <v>4</v>
      </c>
      <c r="U913" t="str" cm="1">
        <f t="array" ref="U913">_xlfn.IFS(
HRData[[#This Row],[JobSatisfaction]]=1,"Very Dissatisfied",
HRData[[#This Row],[JobSatisfaction]]=2,"Dissatisfied",
HRData[[#This Row],[JobSatisfaction]]=3,"Satisfied",
HRData[[#This Row],[JobSatisfaction]]=4,"Very Satisfied"
)</f>
        <v>Very Satisfied</v>
      </c>
      <c r="V913" t="s">
        <v>41</v>
      </c>
      <c r="W913">
        <v>1118</v>
      </c>
      <c r="X913" t="str" cm="1">
        <f t="array" ref="X913">_xlfn.IFS(
HRData[[#This Row],[MonthlyIncome]]&lt;=4000,"Very Low Income",
HRData[[#This Row],[MonthlyIncome]]&lt;=8000,"Low Income",
HRData[[#This Row],[MonthlyIncome]]&lt;=12000,"Moderate Income",
HRData[[#This Row],[MonthlyIncome]]&lt;=16000,"High Income",
HRData[[#This Row],[MonthlyIncome]]&gt;16000,"Very High Income"
)</f>
        <v>Very Low Income</v>
      </c>
      <c r="Y913">
        <v>8040</v>
      </c>
      <c r="Z913">
        <v>1</v>
      </c>
      <c r="AA913" t="s">
        <v>42</v>
      </c>
      <c r="AB913" t="s">
        <v>35</v>
      </c>
      <c r="AC913">
        <v>14</v>
      </c>
      <c r="AD913" t="str" cm="1">
        <f t="array" ref="AD913">_xlfn.IFS(HRData[[#This Row],[PercentSalaryHike]]&lt;=15,"11-15",HRData[[#This Row],[PercentSalaryHike]]&lt;=20,"16-20",HRData[[#This Row],[PercentSalaryHike]]&gt;=21,"21+")</f>
        <v>11-15</v>
      </c>
      <c r="AE913">
        <v>3</v>
      </c>
      <c r="AF913">
        <v>4</v>
      </c>
      <c r="AG913">
        <v>80</v>
      </c>
      <c r="AH913">
        <v>0</v>
      </c>
      <c r="AI913">
        <v>1</v>
      </c>
      <c r="AJ913">
        <v>4</v>
      </c>
      <c r="AK913">
        <v>3</v>
      </c>
      <c r="AL913">
        <v>1</v>
      </c>
      <c r="AM913">
        <v>0</v>
      </c>
      <c r="AN913">
        <v>1</v>
      </c>
      <c r="AO913">
        <v>0</v>
      </c>
      <c r="AP91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13" t="str">
        <f>IF(HRData[[#This Row],[Attrition]]="Yes","Left", IF(HRData[[#This Row],[Attrition_Risk_Score]]&gt;=6,"High",IF(HRData[[#This Row],[Attrition_Risk_Score]]&gt;=3,"Medium","Low")))</f>
        <v>Left</v>
      </c>
      <c r="AR913" t="str">
        <f>IF(HRData[[#This Row],[Attrition_Risk_Level]]&lt;&gt;"High","",HRData[[#This Row],[Attrition_Risk_Score]]*10000-HRData[[#This Row],[EmployeeNumber]])</f>
        <v/>
      </c>
    </row>
    <row r="914" spans="1:44">
      <c r="A914">
        <v>26</v>
      </c>
      <c r="B914" t="str" cm="1">
        <f t="array" ref="B914">_xlfn.IFS(
HRData[[#This Row],[Age]]&lt;=24,"18-24",
HRData[[#This Row],[Age]]&lt;=34,"25-34",
HRData[[#This Row],[Age]]&lt;=44,"35-44",
HRData[[#This Row],[Age]]&lt;=54,"45-54",
HRData[[#This Row],[Age]]&gt;=55,"55+"
)</f>
        <v>25-34</v>
      </c>
      <c r="C914" t="s">
        <v>43</v>
      </c>
      <c r="D914">
        <f>IF(HRData[[#This Row],[Attrition]]="Yes",1,0)</f>
        <v>0</v>
      </c>
      <c r="E914" t="s">
        <v>36</v>
      </c>
      <c r="F914">
        <v>583</v>
      </c>
      <c r="G914" t="s">
        <v>45</v>
      </c>
      <c r="H914">
        <v>4</v>
      </c>
      <c r="I914">
        <v>2</v>
      </c>
      <c r="J914" t="s">
        <v>38</v>
      </c>
      <c r="K914">
        <v>1</v>
      </c>
      <c r="L914">
        <v>1275</v>
      </c>
      <c r="M914">
        <v>3</v>
      </c>
      <c r="N914" t="str" cm="1">
        <f t="array" ref="N914">_xlfn.IFS(HRData[[#This Row],[EnvironmentSatisfaction]]=1,"Very Dissatisfied",
HRData[[#This Row],[EnvironmentSatisfaction]]=2,"Dissatisfied",
HRData[[#This Row],[EnvironmentSatisfaction]]=3,"Satisfied",
HRData[[#This Row],[EnvironmentSatisfaction]]=4,"Very Satisfied"
)</f>
        <v>Satisfied</v>
      </c>
      <c r="O914" t="s">
        <v>46</v>
      </c>
      <c r="P914">
        <v>53</v>
      </c>
      <c r="Q914">
        <v>3</v>
      </c>
      <c r="R914">
        <v>1</v>
      </c>
      <c r="S914" t="s">
        <v>47</v>
      </c>
      <c r="T914">
        <v>4</v>
      </c>
      <c r="U914" t="str" cm="1">
        <f t="array" ref="U914">_xlfn.IFS(
HRData[[#This Row],[JobSatisfaction]]=1,"Very Dissatisfied",
HRData[[#This Row],[JobSatisfaction]]=2,"Dissatisfied",
HRData[[#This Row],[JobSatisfaction]]=3,"Satisfied",
HRData[[#This Row],[JobSatisfaction]]=4,"Very Satisfied"
)</f>
        <v>Very Satisfied</v>
      </c>
      <c r="V914" t="s">
        <v>41</v>
      </c>
      <c r="W914">
        <v>2875</v>
      </c>
      <c r="X914" t="str" cm="1">
        <f t="array" ref="X914">_xlfn.IFS(
HRData[[#This Row],[MonthlyIncome]]&lt;=4000,"Very Low Income",
HRData[[#This Row],[MonthlyIncome]]&lt;=8000,"Low Income",
HRData[[#This Row],[MonthlyIncome]]&lt;=12000,"Moderate Income",
HRData[[#This Row],[MonthlyIncome]]&lt;=16000,"High Income",
HRData[[#This Row],[MonthlyIncome]]&gt;16000,"Very High Income"
)</f>
        <v>Very Low Income</v>
      </c>
      <c r="Y914">
        <v>9973</v>
      </c>
      <c r="Z914">
        <v>1</v>
      </c>
      <c r="AA914" t="s">
        <v>42</v>
      </c>
      <c r="AB914" t="s">
        <v>35</v>
      </c>
      <c r="AC914">
        <v>20</v>
      </c>
      <c r="AD914" t="str" cm="1">
        <f t="array" ref="AD914">_xlfn.IFS(HRData[[#This Row],[PercentSalaryHike]]&lt;=15,"11-15",HRData[[#This Row],[PercentSalaryHike]]&lt;=20,"16-20",HRData[[#This Row],[PercentSalaryHike]]&gt;=21,"21+")</f>
        <v>16-20</v>
      </c>
      <c r="AE914">
        <v>4</v>
      </c>
      <c r="AF914">
        <v>2</v>
      </c>
      <c r="AG914">
        <v>80</v>
      </c>
      <c r="AH914">
        <v>0</v>
      </c>
      <c r="AI914">
        <v>8</v>
      </c>
      <c r="AJ914">
        <v>2</v>
      </c>
      <c r="AK914">
        <v>2</v>
      </c>
      <c r="AL914">
        <v>8</v>
      </c>
      <c r="AM914">
        <v>5</v>
      </c>
      <c r="AN914">
        <v>2</v>
      </c>
      <c r="AO914">
        <v>2</v>
      </c>
      <c r="AP91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914" t="str">
        <f>IF(HRData[[#This Row],[Attrition]]="Yes","Left", IF(HRData[[#This Row],[Attrition_Risk_Score]]&gt;=6,"High",IF(HRData[[#This Row],[Attrition_Risk_Score]]&gt;=3,"Medium","Low")))</f>
        <v>Medium</v>
      </c>
      <c r="AR914" t="str">
        <f>IF(HRData[[#This Row],[Attrition_Risk_Level]]&lt;&gt;"High","",HRData[[#This Row],[Attrition_Risk_Score]]*10000-HRData[[#This Row],[EmployeeNumber]])</f>
        <v/>
      </c>
    </row>
    <row r="915" spans="1:44">
      <c r="A915">
        <v>45</v>
      </c>
      <c r="B915" t="str" cm="1">
        <f t="array" ref="B915">_xlfn.IFS(
HRData[[#This Row],[Age]]&lt;=24,"18-24",
HRData[[#This Row],[Age]]&lt;=34,"25-34",
HRData[[#This Row],[Age]]&lt;=44,"35-44",
HRData[[#This Row],[Age]]&lt;=54,"45-54",
HRData[[#This Row],[Age]]&gt;=55,"55+"
)</f>
        <v>45-54</v>
      </c>
      <c r="C915" t="s">
        <v>35</v>
      </c>
      <c r="D915">
        <f>IF(HRData[[#This Row],[Attrition]]="Yes",1,0)</f>
        <v>1</v>
      </c>
      <c r="E915" t="s">
        <v>36</v>
      </c>
      <c r="F915">
        <v>1449</v>
      </c>
      <c r="G915" t="s">
        <v>37</v>
      </c>
      <c r="H915">
        <v>2</v>
      </c>
      <c r="I915">
        <v>3</v>
      </c>
      <c r="J915" t="s">
        <v>59</v>
      </c>
      <c r="K915">
        <v>1</v>
      </c>
      <c r="L915">
        <v>1277</v>
      </c>
      <c r="M915">
        <v>1</v>
      </c>
      <c r="N915" t="str" cm="1">
        <f t="array" ref="N915">_xlfn.IFS(HRData[[#This Row],[EnvironmentSatisfaction]]=1,"Very Dissatisfied",
HRData[[#This Row],[EnvironmentSatisfaction]]=2,"Dissatisfied",
HRData[[#This Row],[EnvironmentSatisfaction]]=3,"Satisfied",
HRData[[#This Row],[EnvironmentSatisfaction]]=4,"Very Satisfied"
)</f>
        <v>Very Dissatisfied</v>
      </c>
      <c r="O915" t="s">
        <v>39</v>
      </c>
      <c r="P915">
        <v>94</v>
      </c>
      <c r="Q915">
        <v>1</v>
      </c>
      <c r="R915">
        <v>5</v>
      </c>
      <c r="S915" t="s">
        <v>56</v>
      </c>
      <c r="T915">
        <v>2</v>
      </c>
      <c r="U915" t="str" cm="1">
        <f t="array" ref="U915">_xlfn.IFS(
HRData[[#This Row],[JobSatisfaction]]=1,"Very Dissatisfied",
HRData[[#This Row],[JobSatisfaction]]=2,"Dissatisfied",
HRData[[#This Row],[JobSatisfaction]]=3,"Satisfied",
HRData[[#This Row],[JobSatisfaction]]=4,"Very Satisfied"
)</f>
        <v>Dissatisfied</v>
      </c>
      <c r="V915" t="s">
        <v>41</v>
      </c>
      <c r="W915">
        <v>18824</v>
      </c>
      <c r="X915" t="str" cm="1">
        <f t="array" ref="X915">_xlfn.IFS(
HRData[[#This Row],[MonthlyIncome]]&lt;=4000,"Very Low Income",
HRData[[#This Row],[MonthlyIncome]]&lt;=8000,"Low Income",
HRData[[#This Row],[MonthlyIncome]]&lt;=12000,"Moderate Income",
HRData[[#This Row],[MonthlyIncome]]&lt;=16000,"High Income",
HRData[[#This Row],[MonthlyIncome]]&gt;16000,"Very High Income"
)</f>
        <v>Very High Income</v>
      </c>
      <c r="Y915">
        <v>2493</v>
      </c>
      <c r="Z915">
        <v>2</v>
      </c>
      <c r="AA915" t="s">
        <v>42</v>
      </c>
      <c r="AB915" t="s">
        <v>35</v>
      </c>
      <c r="AC915">
        <v>16</v>
      </c>
      <c r="AD915" t="str" cm="1">
        <f t="array" ref="AD915">_xlfn.IFS(HRData[[#This Row],[PercentSalaryHike]]&lt;=15,"11-15",HRData[[#This Row],[PercentSalaryHike]]&lt;=20,"16-20",HRData[[#This Row],[PercentSalaryHike]]&gt;=21,"21+")</f>
        <v>16-20</v>
      </c>
      <c r="AE915">
        <v>3</v>
      </c>
      <c r="AF915">
        <v>1</v>
      </c>
      <c r="AG915">
        <v>80</v>
      </c>
      <c r="AH915">
        <v>0</v>
      </c>
      <c r="AI915">
        <v>26</v>
      </c>
      <c r="AJ915">
        <v>2</v>
      </c>
      <c r="AK915">
        <v>3</v>
      </c>
      <c r="AL915">
        <v>24</v>
      </c>
      <c r="AM915">
        <v>10</v>
      </c>
      <c r="AN915">
        <v>1</v>
      </c>
      <c r="AO915">
        <v>11</v>
      </c>
      <c r="AP91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15" t="str">
        <f>IF(HRData[[#This Row],[Attrition]]="Yes","Left", IF(HRData[[#This Row],[Attrition_Risk_Score]]&gt;=6,"High",IF(HRData[[#This Row],[Attrition_Risk_Score]]&gt;=3,"Medium","Low")))</f>
        <v>Left</v>
      </c>
      <c r="AR915" t="str">
        <f>IF(HRData[[#This Row],[Attrition_Risk_Level]]&lt;&gt;"High","",HRData[[#This Row],[Attrition_Risk_Score]]*10000-HRData[[#This Row],[EmployeeNumber]])</f>
        <v/>
      </c>
    </row>
    <row r="916" spans="1:44">
      <c r="A916">
        <v>55</v>
      </c>
      <c r="B916" t="str" cm="1">
        <f t="array" ref="B916">_xlfn.IFS(
HRData[[#This Row],[Age]]&lt;=24,"18-24",
HRData[[#This Row],[Age]]&lt;=34,"25-34",
HRData[[#This Row],[Age]]&lt;=44,"35-44",
HRData[[#This Row],[Age]]&lt;=54,"45-54",
HRData[[#This Row],[Age]]&gt;=55,"55+"
)</f>
        <v>55+</v>
      </c>
      <c r="C916" t="s">
        <v>43</v>
      </c>
      <c r="D916">
        <f>IF(HRData[[#This Row],[Attrition]]="Yes",1,0)</f>
        <v>0</v>
      </c>
      <c r="E916" t="s">
        <v>55</v>
      </c>
      <c r="F916">
        <v>177</v>
      </c>
      <c r="G916" t="s">
        <v>45</v>
      </c>
      <c r="H916">
        <v>8</v>
      </c>
      <c r="I916">
        <v>1</v>
      </c>
      <c r="J916" t="s">
        <v>51</v>
      </c>
      <c r="K916">
        <v>1</v>
      </c>
      <c r="L916">
        <v>1278</v>
      </c>
      <c r="M916">
        <v>4</v>
      </c>
      <c r="N916" t="str" cm="1">
        <f t="array" ref="N916">_xlfn.IFS(HRData[[#This Row],[EnvironmentSatisfaction]]=1,"Very Dissatisfied",
HRData[[#This Row],[EnvironmentSatisfaction]]=2,"Dissatisfied",
HRData[[#This Row],[EnvironmentSatisfaction]]=3,"Satisfied",
HRData[[#This Row],[EnvironmentSatisfaction]]=4,"Very Satisfied"
)</f>
        <v>Very Satisfied</v>
      </c>
      <c r="O916" t="s">
        <v>46</v>
      </c>
      <c r="P916">
        <v>37</v>
      </c>
      <c r="Q916">
        <v>2</v>
      </c>
      <c r="R916">
        <v>4</v>
      </c>
      <c r="S916" t="s">
        <v>54</v>
      </c>
      <c r="T916">
        <v>2</v>
      </c>
      <c r="U916" t="str" cm="1">
        <f t="array" ref="U916">_xlfn.IFS(
HRData[[#This Row],[JobSatisfaction]]=1,"Very Dissatisfied",
HRData[[#This Row],[JobSatisfaction]]=2,"Dissatisfied",
HRData[[#This Row],[JobSatisfaction]]=3,"Satisfied",
HRData[[#This Row],[JobSatisfaction]]=4,"Very Satisfied"
)</f>
        <v>Dissatisfied</v>
      </c>
      <c r="V916" t="s">
        <v>52</v>
      </c>
      <c r="W916">
        <v>13577</v>
      </c>
      <c r="X916" t="str" cm="1">
        <f t="array" ref="X916">_xlfn.IFS(
HRData[[#This Row],[MonthlyIncome]]&lt;=4000,"Very Low Income",
HRData[[#This Row],[MonthlyIncome]]&lt;=8000,"Low Income",
HRData[[#This Row],[MonthlyIncome]]&lt;=12000,"Moderate Income",
HRData[[#This Row],[MonthlyIncome]]&lt;=16000,"High Income",
HRData[[#This Row],[MonthlyIncome]]&gt;16000,"Very High Income"
)</f>
        <v>High Income</v>
      </c>
      <c r="Y916">
        <v>25592</v>
      </c>
      <c r="Z916">
        <v>1</v>
      </c>
      <c r="AA916" t="s">
        <v>42</v>
      </c>
      <c r="AB916" t="s">
        <v>35</v>
      </c>
      <c r="AC916">
        <v>15</v>
      </c>
      <c r="AD916" t="str" cm="1">
        <f t="array" ref="AD916">_xlfn.IFS(HRData[[#This Row],[PercentSalaryHike]]&lt;=15,"11-15",HRData[[#This Row],[PercentSalaryHike]]&lt;=20,"16-20",HRData[[#This Row],[PercentSalaryHike]]&gt;=21,"21+")</f>
        <v>11-15</v>
      </c>
      <c r="AE916">
        <v>3</v>
      </c>
      <c r="AF916">
        <v>4</v>
      </c>
      <c r="AG916">
        <v>80</v>
      </c>
      <c r="AH916">
        <v>1</v>
      </c>
      <c r="AI916">
        <v>34</v>
      </c>
      <c r="AJ916">
        <v>3</v>
      </c>
      <c r="AK916">
        <v>3</v>
      </c>
      <c r="AL916">
        <v>33</v>
      </c>
      <c r="AM916">
        <v>9</v>
      </c>
      <c r="AN916">
        <v>15</v>
      </c>
      <c r="AO916">
        <v>0</v>
      </c>
      <c r="AP91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16" t="str">
        <f>IF(HRData[[#This Row],[Attrition]]="Yes","Left", IF(HRData[[#This Row],[Attrition_Risk_Score]]&gt;=6,"High",IF(HRData[[#This Row],[Attrition_Risk_Score]]&gt;=3,"Medium","Low")))</f>
        <v>Low</v>
      </c>
      <c r="AR916" t="str">
        <f>IF(HRData[[#This Row],[Attrition_Risk_Level]]&lt;&gt;"High","",HRData[[#This Row],[Attrition_Risk_Score]]*10000-HRData[[#This Row],[EmployeeNumber]])</f>
        <v/>
      </c>
    </row>
    <row r="917" spans="1:44">
      <c r="A917">
        <v>21</v>
      </c>
      <c r="B917" t="str" cm="1">
        <f t="array" ref="B917">_xlfn.IFS(
HRData[[#This Row],[Age]]&lt;=24,"18-24",
HRData[[#This Row],[Age]]&lt;=34,"25-34",
HRData[[#This Row],[Age]]&lt;=44,"35-44",
HRData[[#This Row],[Age]]&lt;=54,"45-54",
HRData[[#This Row],[Age]]&gt;=55,"55+"
)</f>
        <v>18-24</v>
      </c>
      <c r="C917" t="s">
        <v>35</v>
      </c>
      <c r="D917">
        <f>IF(HRData[[#This Row],[Attrition]]="Yes",1,0)</f>
        <v>1</v>
      </c>
      <c r="E917" t="s">
        <v>44</v>
      </c>
      <c r="F917">
        <v>251</v>
      </c>
      <c r="G917" t="s">
        <v>45</v>
      </c>
      <c r="H917">
        <v>10</v>
      </c>
      <c r="I917">
        <v>2</v>
      </c>
      <c r="J917" t="s">
        <v>38</v>
      </c>
      <c r="K917">
        <v>1</v>
      </c>
      <c r="L917">
        <v>1279</v>
      </c>
      <c r="M917">
        <v>1</v>
      </c>
      <c r="N917" t="str" cm="1">
        <f t="array" ref="N917">_xlfn.IFS(HRData[[#This Row],[EnvironmentSatisfaction]]=1,"Very Dissatisfied",
HRData[[#This Row],[EnvironmentSatisfaction]]=2,"Dissatisfied",
HRData[[#This Row],[EnvironmentSatisfaction]]=3,"Satisfied",
HRData[[#This Row],[EnvironmentSatisfaction]]=4,"Very Satisfied"
)</f>
        <v>Very Dissatisfied</v>
      </c>
      <c r="O917" t="s">
        <v>39</v>
      </c>
      <c r="P917">
        <v>45</v>
      </c>
      <c r="Q917">
        <v>2</v>
      </c>
      <c r="R917">
        <v>1</v>
      </c>
      <c r="S917" t="s">
        <v>50</v>
      </c>
      <c r="T917">
        <v>3</v>
      </c>
      <c r="U917" t="str" cm="1">
        <f t="array" ref="U917">_xlfn.IFS(
HRData[[#This Row],[JobSatisfaction]]=1,"Very Dissatisfied",
HRData[[#This Row],[JobSatisfaction]]=2,"Dissatisfied",
HRData[[#This Row],[JobSatisfaction]]=3,"Satisfied",
HRData[[#This Row],[JobSatisfaction]]=4,"Very Satisfied"
)</f>
        <v>Satisfied</v>
      </c>
      <c r="V917" t="s">
        <v>41</v>
      </c>
      <c r="W917">
        <v>2625</v>
      </c>
      <c r="X917" t="str" cm="1">
        <f t="array" ref="X917">_xlfn.IFS(
HRData[[#This Row],[MonthlyIncome]]&lt;=4000,"Very Low Income",
HRData[[#This Row],[MonthlyIncome]]&lt;=8000,"Low Income",
HRData[[#This Row],[MonthlyIncome]]&lt;=12000,"Moderate Income",
HRData[[#This Row],[MonthlyIncome]]&lt;=16000,"High Income",
HRData[[#This Row],[MonthlyIncome]]&gt;16000,"Very High Income"
)</f>
        <v>Very Low Income</v>
      </c>
      <c r="Y917">
        <v>25308</v>
      </c>
      <c r="Z917">
        <v>1</v>
      </c>
      <c r="AA917" t="s">
        <v>42</v>
      </c>
      <c r="AB917" t="s">
        <v>43</v>
      </c>
      <c r="AC917">
        <v>20</v>
      </c>
      <c r="AD917" t="str" cm="1">
        <f t="array" ref="AD917">_xlfn.IFS(HRData[[#This Row],[PercentSalaryHike]]&lt;=15,"11-15",HRData[[#This Row],[PercentSalaryHike]]&lt;=20,"16-20",HRData[[#This Row],[PercentSalaryHike]]&gt;=21,"21+")</f>
        <v>16-20</v>
      </c>
      <c r="AE917">
        <v>4</v>
      </c>
      <c r="AF917">
        <v>3</v>
      </c>
      <c r="AG917">
        <v>80</v>
      </c>
      <c r="AH917">
        <v>0</v>
      </c>
      <c r="AI917">
        <v>2</v>
      </c>
      <c r="AJ917">
        <v>2</v>
      </c>
      <c r="AK917">
        <v>1</v>
      </c>
      <c r="AL917">
        <v>2</v>
      </c>
      <c r="AM917">
        <v>2</v>
      </c>
      <c r="AN917">
        <v>2</v>
      </c>
      <c r="AO917">
        <v>2</v>
      </c>
      <c r="AP91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17" t="str">
        <f>IF(HRData[[#This Row],[Attrition]]="Yes","Left", IF(HRData[[#This Row],[Attrition_Risk_Score]]&gt;=6,"High",IF(HRData[[#This Row],[Attrition_Risk_Score]]&gt;=3,"Medium","Low")))</f>
        <v>Left</v>
      </c>
      <c r="AR917" t="str">
        <f>IF(HRData[[#This Row],[Attrition_Risk_Level]]&lt;&gt;"High","",HRData[[#This Row],[Attrition_Risk_Score]]*10000-HRData[[#This Row],[EmployeeNumber]])</f>
        <v/>
      </c>
    </row>
    <row r="918" spans="1:44">
      <c r="A918">
        <v>46</v>
      </c>
      <c r="B918" t="str" cm="1">
        <f t="array" ref="B918">_xlfn.IFS(
HRData[[#This Row],[Age]]&lt;=24,"18-24",
HRData[[#This Row],[Age]]&lt;=34,"25-34",
HRData[[#This Row],[Age]]&lt;=44,"35-44",
HRData[[#This Row],[Age]]&lt;=54,"45-54",
HRData[[#This Row],[Age]]&gt;=55,"55+"
)</f>
        <v>45-54</v>
      </c>
      <c r="C918" t="s">
        <v>43</v>
      </c>
      <c r="D918">
        <f>IF(HRData[[#This Row],[Attrition]]="Yes",1,0)</f>
        <v>0</v>
      </c>
      <c r="E918" t="s">
        <v>36</v>
      </c>
      <c r="F918">
        <v>168</v>
      </c>
      <c r="G918" t="s">
        <v>37</v>
      </c>
      <c r="H918">
        <v>4</v>
      </c>
      <c r="I918">
        <v>2</v>
      </c>
      <c r="J918" t="s">
        <v>59</v>
      </c>
      <c r="K918">
        <v>1</v>
      </c>
      <c r="L918">
        <v>1280</v>
      </c>
      <c r="M918">
        <v>4</v>
      </c>
      <c r="N918" t="str" cm="1">
        <f t="array" ref="N918">_xlfn.IFS(HRData[[#This Row],[EnvironmentSatisfaction]]=1,"Very Dissatisfied",
HRData[[#This Row],[EnvironmentSatisfaction]]=2,"Dissatisfied",
HRData[[#This Row],[EnvironmentSatisfaction]]=3,"Satisfied",
HRData[[#This Row],[EnvironmentSatisfaction]]=4,"Very Satisfied"
)</f>
        <v>Very Satisfied</v>
      </c>
      <c r="O918" t="s">
        <v>39</v>
      </c>
      <c r="P918">
        <v>33</v>
      </c>
      <c r="Q918">
        <v>2</v>
      </c>
      <c r="R918">
        <v>5</v>
      </c>
      <c r="S918" t="s">
        <v>56</v>
      </c>
      <c r="T918">
        <v>2</v>
      </c>
      <c r="U918" t="str" cm="1">
        <f t="array" ref="U918">_xlfn.IFS(
HRData[[#This Row],[JobSatisfaction]]=1,"Very Dissatisfied",
HRData[[#This Row],[JobSatisfaction]]=2,"Dissatisfied",
HRData[[#This Row],[JobSatisfaction]]=3,"Satisfied",
HRData[[#This Row],[JobSatisfaction]]=4,"Very Satisfied"
)</f>
        <v>Dissatisfied</v>
      </c>
      <c r="V918" t="s">
        <v>48</v>
      </c>
      <c r="W918">
        <v>18789</v>
      </c>
      <c r="X918" t="str" cm="1">
        <f t="array" ref="X918">_xlfn.IFS(
HRData[[#This Row],[MonthlyIncome]]&lt;=4000,"Very Low Income",
HRData[[#This Row],[MonthlyIncome]]&lt;=8000,"Low Income",
HRData[[#This Row],[MonthlyIncome]]&lt;=12000,"Moderate Income",
HRData[[#This Row],[MonthlyIncome]]&lt;=16000,"High Income",
HRData[[#This Row],[MonthlyIncome]]&gt;16000,"Very High Income"
)</f>
        <v>Very High Income</v>
      </c>
      <c r="Y918">
        <v>9946</v>
      </c>
      <c r="Z918">
        <v>2</v>
      </c>
      <c r="AA918" t="s">
        <v>42</v>
      </c>
      <c r="AB918" t="s">
        <v>43</v>
      </c>
      <c r="AC918">
        <v>14</v>
      </c>
      <c r="AD918" t="str" cm="1">
        <f t="array" ref="AD918">_xlfn.IFS(HRData[[#This Row],[PercentSalaryHike]]&lt;=15,"11-15",HRData[[#This Row],[PercentSalaryHike]]&lt;=20,"16-20",HRData[[#This Row],[PercentSalaryHike]]&gt;=21,"21+")</f>
        <v>11-15</v>
      </c>
      <c r="AE918">
        <v>3</v>
      </c>
      <c r="AF918">
        <v>3</v>
      </c>
      <c r="AG918">
        <v>80</v>
      </c>
      <c r="AH918">
        <v>1</v>
      </c>
      <c r="AI918">
        <v>26</v>
      </c>
      <c r="AJ918">
        <v>2</v>
      </c>
      <c r="AK918">
        <v>3</v>
      </c>
      <c r="AL918">
        <v>11</v>
      </c>
      <c r="AM918">
        <v>4</v>
      </c>
      <c r="AN918">
        <v>0</v>
      </c>
      <c r="AO918">
        <v>8</v>
      </c>
      <c r="AP91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918" t="str">
        <f>IF(HRData[[#This Row],[Attrition]]="Yes","Left", IF(HRData[[#This Row],[Attrition_Risk_Score]]&gt;=6,"High",IF(HRData[[#This Row],[Attrition_Risk_Score]]&gt;=3,"Medium","Low")))</f>
        <v>Low</v>
      </c>
      <c r="AR918" t="str">
        <f>IF(HRData[[#This Row],[Attrition_Risk_Level]]&lt;&gt;"High","",HRData[[#This Row],[Attrition_Risk_Score]]*10000-HRData[[#This Row],[EmployeeNumber]])</f>
        <v/>
      </c>
    </row>
    <row r="919" spans="1:44">
      <c r="A919">
        <v>34</v>
      </c>
      <c r="B919" t="str" cm="1">
        <f t="array" ref="B919">_xlfn.IFS(
HRData[[#This Row],[Age]]&lt;=24,"18-24",
HRData[[#This Row],[Age]]&lt;=34,"25-34",
HRData[[#This Row],[Age]]&lt;=44,"35-44",
HRData[[#This Row],[Age]]&lt;=54,"45-54",
HRData[[#This Row],[Age]]&gt;=55,"55+"
)</f>
        <v>25-34</v>
      </c>
      <c r="C919" t="s">
        <v>43</v>
      </c>
      <c r="D919">
        <f>IF(HRData[[#This Row],[Attrition]]="Yes",1,0)</f>
        <v>0</v>
      </c>
      <c r="E919" t="s">
        <v>36</v>
      </c>
      <c r="F919">
        <v>131</v>
      </c>
      <c r="G919" t="s">
        <v>37</v>
      </c>
      <c r="H919">
        <v>2</v>
      </c>
      <c r="I919">
        <v>3</v>
      </c>
      <c r="J919" t="s">
        <v>59</v>
      </c>
      <c r="K919">
        <v>1</v>
      </c>
      <c r="L919">
        <v>1281</v>
      </c>
      <c r="M919">
        <v>3</v>
      </c>
      <c r="N919" t="str" cm="1">
        <f t="array" ref="N919">_xlfn.IFS(HRData[[#This Row],[EnvironmentSatisfaction]]=1,"Very Dissatisfied",
HRData[[#This Row],[EnvironmentSatisfaction]]=2,"Dissatisfied",
HRData[[#This Row],[EnvironmentSatisfaction]]=3,"Satisfied",
HRData[[#This Row],[EnvironmentSatisfaction]]=4,"Very Satisfied"
)</f>
        <v>Satisfied</v>
      </c>
      <c r="O919" t="s">
        <v>39</v>
      </c>
      <c r="P919">
        <v>86</v>
      </c>
      <c r="Q919">
        <v>3</v>
      </c>
      <c r="R919">
        <v>2</v>
      </c>
      <c r="S919" t="s">
        <v>40</v>
      </c>
      <c r="T919">
        <v>1</v>
      </c>
      <c r="U919" t="str" cm="1">
        <f t="array" ref="U919">_xlfn.IFS(
HRData[[#This Row],[JobSatisfaction]]=1,"Very Dissatisfied",
HRData[[#This Row],[JobSatisfaction]]=2,"Dissatisfied",
HRData[[#This Row],[JobSatisfaction]]=3,"Satisfied",
HRData[[#This Row],[JobSatisfaction]]=4,"Very Satisfied"
)</f>
        <v>Very Dissatisfied</v>
      </c>
      <c r="V919" t="s">
        <v>41</v>
      </c>
      <c r="W919">
        <v>4538</v>
      </c>
      <c r="X919" t="str" cm="1">
        <f t="array" ref="X919">_xlfn.IFS(
HRData[[#This Row],[MonthlyIncome]]&lt;=4000,"Very Low Income",
HRData[[#This Row],[MonthlyIncome]]&lt;=8000,"Low Income",
HRData[[#This Row],[MonthlyIncome]]&lt;=12000,"Moderate Income",
HRData[[#This Row],[MonthlyIncome]]&lt;=16000,"High Income",
HRData[[#This Row],[MonthlyIncome]]&gt;16000,"Very High Income"
)</f>
        <v>Low Income</v>
      </c>
      <c r="Y919">
        <v>6039</v>
      </c>
      <c r="Z919">
        <v>0</v>
      </c>
      <c r="AA919" t="s">
        <v>42</v>
      </c>
      <c r="AB919" t="s">
        <v>35</v>
      </c>
      <c r="AC919">
        <v>12</v>
      </c>
      <c r="AD919" t="str" cm="1">
        <f t="array" ref="AD919">_xlfn.IFS(HRData[[#This Row],[PercentSalaryHike]]&lt;=15,"11-15",HRData[[#This Row],[PercentSalaryHike]]&lt;=20,"16-20",HRData[[#This Row],[PercentSalaryHike]]&gt;=21,"21+")</f>
        <v>11-15</v>
      </c>
      <c r="AE919">
        <v>3</v>
      </c>
      <c r="AF919">
        <v>4</v>
      </c>
      <c r="AG919">
        <v>80</v>
      </c>
      <c r="AH919">
        <v>0</v>
      </c>
      <c r="AI919">
        <v>4</v>
      </c>
      <c r="AJ919">
        <v>3</v>
      </c>
      <c r="AK919">
        <v>3</v>
      </c>
      <c r="AL919">
        <v>3</v>
      </c>
      <c r="AM919">
        <v>2</v>
      </c>
      <c r="AN919">
        <v>0</v>
      </c>
      <c r="AO919">
        <v>2</v>
      </c>
      <c r="AP91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919" t="str">
        <f>IF(HRData[[#This Row],[Attrition]]="Yes","Left", IF(HRData[[#This Row],[Attrition_Risk_Score]]&gt;=6,"High",IF(HRData[[#This Row],[Attrition_Risk_Score]]&gt;=3,"Medium","Low")))</f>
        <v>High</v>
      </c>
      <c r="AR919">
        <f>IF(HRData[[#This Row],[Attrition_Risk_Level]]&lt;&gt;"High","",HRData[[#This Row],[Attrition_Risk_Score]]*10000-HRData[[#This Row],[EmployeeNumber]])</f>
        <v>58719</v>
      </c>
    </row>
    <row r="920" spans="1:44">
      <c r="A920">
        <v>51</v>
      </c>
      <c r="B920" t="str" cm="1">
        <f t="array" ref="B920">_xlfn.IFS(
HRData[[#This Row],[Age]]&lt;=24,"18-24",
HRData[[#This Row],[Age]]&lt;=34,"25-34",
HRData[[#This Row],[Age]]&lt;=44,"35-44",
HRData[[#This Row],[Age]]&lt;=54,"45-54",
HRData[[#This Row],[Age]]&gt;=55,"55+"
)</f>
        <v>45-54</v>
      </c>
      <c r="C920" t="s">
        <v>43</v>
      </c>
      <c r="D920">
        <f>IF(HRData[[#This Row],[Attrition]]="Yes",1,0)</f>
        <v>0</v>
      </c>
      <c r="E920" t="s">
        <v>44</v>
      </c>
      <c r="F920">
        <v>237</v>
      </c>
      <c r="G920" t="s">
        <v>37</v>
      </c>
      <c r="H920">
        <v>9</v>
      </c>
      <c r="I920">
        <v>3</v>
      </c>
      <c r="J920" t="s">
        <v>38</v>
      </c>
      <c r="K920">
        <v>1</v>
      </c>
      <c r="L920">
        <v>1282</v>
      </c>
      <c r="M920">
        <v>4</v>
      </c>
      <c r="N920" t="str" cm="1">
        <f t="array" ref="N920">_xlfn.IFS(HRData[[#This Row],[EnvironmentSatisfaction]]=1,"Very Dissatisfied",
HRData[[#This Row],[EnvironmentSatisfaction]]=2,"Dissatisfied",
HRData[[#This Row],[EnvironmentSatisfaction]]=3,"Satisfied",
HRData[[#This Row],[EnvironmentSatisfaction]]=4,"Very Satisfied"
)</f>
        <v>Very Satisfied</v>
      </c>
      <c r="O920" t="s">
        <v>46</v>
      </c>
      <c r="P920">
        <v>83</v>
      </c>
      <c r="Q920">
        <v>3</v>
      </c>
      <c r="R920">
        <v>5</v>
      </c>
      <c r="S920" t="s">
        <v>56</v>
      </c>
      <c r="T920">
        <v>2</v>
      </c>
      <c r="U920" t="str" cm="1">
        <f t="array" ref="U920">_xlfn.IFS(
HRData[[#This Row],[JobSatisfaction]]=1,"Very Dissatisfied",
HRData[[#This Row],[JobSatisfaction]]=2,"Dissatisfied",
HRData[[#This Row],[JobSatisfaction]]=3,"Satisfied",
HRData[[#This Row],[JobSatisfaction]]=4,"Very Satisfied"
)</f>
        <v>Dissatisfied</v>
      </c>
      <c r="V920" t="s">
        <v>52</v>
      </c>
      <c r="W920">
        <v>19847</v>
      </c>
      <c r="X920" t="str" cm="1">
        <f t="array" ref="X920">_xlfn.IFS(
HRData[[#This Row],[MonthlyIncome]]&lt;=4000,"Very Low Income",
HRData[[#This Row],[MonthlyIncome]]&lt;=8000,"Low Income",
HRData[[#This Row],[MonthlyIncome]]&lt;=12000,"Moderate Income",
HRData[[#This Row],[MonthlyIncome]]&lt;=16000,"High Income",
HRData[[#This Row],[MonthlyIncome]]&gt;16000,"Very High Income"
)</f>
        <v>Very High Income</v>
      </c>
      <c r="Y920">
        <v>19196</v>
      </c>
      <c r="Z920">
        <v>4</v>
      </c>
      <c r="AA920" t="s">
        <v>42</v>
      </c>
      <c r="AB920" t="s">
        <v>35</v>
      </c>
      <c r="AC920">
        <v>24</v>
      </c>
      <c r="AD920" t="str" cm="1">
        <f t="array" ref="AD920">_xlfn.IFS(HRData[[#This Row],[PercentSalaryHike]]&lt;=15,"11-15",HRData[[#This Row],[PercentSalaryHike]]&lt;=20,"16-20",HRData[[#This Row],[PercentSalaryHike]]&gt;=21,"21+")</f>
        <v>21+</v>
      </c>
      <c r="AE920">
        <v>4</v>
      </c>
      <c r="AF920">
        <v>1</v>
      </c>
      <c r="AG920">
        <v>80</v>
      </c>
      <c r="AH920">
        <v>1</v>
      </c>
      <c r="AI920">
        <v>31</v>
      </c>
      <c r="AJ920">
        <v>5</v>
      </c>
      <c r="AK920">
        <v>2</v>
      </c>
      <c r="AL920">
        <v>29</v>
      </c>
      <c r="AM920">
        <v>10</v>
      </c>
      <c r="AN920">
        <v>11</v>
      </c>
      <c r="AO920">
        <v>10</v>
      </c>
      <c r="AP92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20" t="str">
        <f>IF(HRData[[#This Row],[Attrition]]="Yes","Left", IF(HRData[[#This Row],[Attrition_Risk_Score]]&gt;=6,"High",IF(HRData[[#This Row],[Attrition_Risk_Score]]&gt;=3,"Medium","Low")))</f>
        <v>Low</v>
      </c>
      <c r="AR920" t="str">
        <f>IF(HRData[[#This Row],[Attrition_Risk_Level]]&lt;&gt;"High","",HRData[[#This Row],[Attrition_Risk_Score]]*10000-HRData[[#This Row],[EmployeeNumber]])</f>
        <v/>
      </c>
    </row>
    <row r="921" spans="1:44">
      <c r="A921">
        <v>59</v>
      </c>
      <c r="B921" t="str" cm="1">
        <f t="array" ref="B921">_xlfn.IFS(
HRData[[#This Row],[Age]]&lt;=24,"18-24",
HRData[[#This Row],[Age]]&lt;=34,"25-34",
HRData[[#This Row],[Age]]&lt;=44,"35-44",
HRData[[#This Row],[Age]]&lt;=54,"45-54",
HRData[[#This Row],[Age]]&gt;=55,"55+"
)</f>
        <v>55+</v>
      </c>
      <c r="C921" t="s">
        <v>43</v>
      </c>
      <c r="D921">
        <f>IF(HRData[[#This Row],[Attrition]]="Yes",1,0)</f>
        <v>0</v>
      </c>
      <c r="E921" t="s">
        <v>36</v>
      </c>
      <c r="F921">
        <v>1429</v>
      </c>
      <c r="G921" t="s">
        <v>45</v>
      </c>
      <c r="H921">
        <v>18</v>
      </c>
      <c r="I921">
        <v>4</v>
      </c>
      <c r="J921" t="s">
        <v>51</v>
      </c>
      <c r="K921">
        <v>1</v>
      </c>
      <c r="L921">
        <v>1283</v>
      </c>
      <c r="M921">
        <v>4</v>
      </c>
      <c r="N921" t="str" cm="1">
        <f t="array" ref="N921">_xlfn.IFS(HRData[[#This Row],[EnvironmentSatisfaction]]=1,"Very Dissatisfied",
HRData[[#This Row],[EnvironmentSatisfaction]]=2,"Dissatisfied",
HRData[[#This Row],[EnvironmentSatisfaction]]=3,"Satisfied",
HRData[[#This Row],[EnvironmentSatisfaction]]=4,"Very Satisfied"
)</f>
        <v>Very Satisfied</v>
      </c>
      <c r="O921" t="s">
        <v>46</v>
      </c>
      <c r="P921">
        <v>67</v>
      </c>
      <c r="Q921">
        <v>3</v>
      </c>
      <c r="R921">
        <v>3</v>
      </c>
      <c r="S921" t="s">
        <v>53</v>
      </c>
      <c r="T921">
        <v>4</v>
      </c>
      <c r="U921" t="str" cm="1">
        <f t="array" ref="U921">_xlfn.IFS(
HRData[[#This Row],[JobSatisfaction]]=1,"Very Dissatisfied",
HRData[[#This Row],[JobSatisfaction]]=2,"Dissatisfied",
HRData[[#This Row],[JobSatisfaction]]=3,"Satisfied",
HRData[[#This Row],[JobSatisfaction]]=4,"Very Satisfied"
)</f>
        <v>Very Satisfied</v>
      </c>
      <c r="V921" t="s">
        <v>41</v>
      </c>
      <c r="W921">
        <v>10512</v>
      </c>
      <c r="X921" t="str" cm="1">
        <f t="array" ref="X921">_xlfn.IFS(
HRData[[#This Row],[MonthlyIncome]]&lt;=4000,"Very Low Income",
HRData[[#This Row],[MonthlyIncome]]&lt;=8000,"Low Income",
HRData[[#This Row],[MonthlyIncome]]&lt;=12000,"Moderate Income",
HRData[[#This Row],[MonthlyIncome]]&lt;=16000,"High Income",
HRData[[#This Row],[MonthlyIncome]]&gt;16000,"Very High Income"
)</f>
        <v>Moderate Income</v>
      </c>
      <c r="Y921">
        <v>20002</v>
      </c>
      <c r="Z921">
        <v>6</v>
      </c>
      <c r="AA921" t="s">
        <v>42</v>
      </c>
      <c r="AB921" t="s">
        <v>43</v>
      </c>
      <c r="AC921">
        <v>12</v>
      </c>
      <c r="AD921" t="str" cm="1">
        <f t="array" ref="AD921">_xlfn.IFS(HRData[[#This Row],[PercentSalaryHike]]&lt;=15,"11-15",HRData[[#This Row],[PercentSalaryHike]]&lt;=20,"16-20",HRData[[#This Row],[PercentSalaryHike]]&gt;=21,"21+")</f>
        <v>11-15</v>
      </c>
      <c r="AE921">
        <v>3</v>
      </c>
      <c r="AF921">
        <v>4</v>
      </c>
      <c r="AG921">
        <v>80</v>
      </c>
      <c r="AH921">
        <v>0</v>
      </c>
      <c r="AI921">
        <v>25</v>
      </c>
      <c r="AJ921">
        <v>6</v>
      </c>
      <c r="AK921">
        <v>2</v>
      </c>
      <c r="AL921">
        <v>9</v>
      </c>
      <c r="AM921">
        <v>7</v>
      </c>
      <c r="AN921">
        <v>5</v>
      </c>
      <c r="AO921">
        <v>4</v>
      </c>
      <c r="AP92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921" t="str">
        <f>IF(HRData[[#This Row],[Attrition]]="Yes","Left", IF(HRData[[#This Row],[Attrition_Risk_Score]]&gt;=6,"High",IF(HRData[[#This Row],[Attrition_Risk_Score]]&gt;=3,"Medium","Low")))</f>
        <v>Low</v>
      </c>
      <c r="AR921" t="str">
        <f>IF(HRData[[#This Row],[Attrition_Risk_Level]]&lt;&gt;"High","",HRData[[#This Row],[Attrition_Risk_Score]]*10000-HRData[[#This Row],[EmployeeNumber]])</f>
        <v/>
      </c>
    </row>
    <row r="922" spans="1:44">
      <c r="A922">
        <v>34</v>
      </c>
      <c r="B922" t="str" cm="1">
        <f t="array" ref="B922">_xlfn.IFS(
HRData[[#This Row],[Age]]&lt;=24,"18-24",
HRData[[#This Row],[Age]]&lt;=34,"25-34",
HRData[[#This Row],[Age]]&lt;=44,"35-44",
HRData[[#This Row],[Age]]&lt;=54,"45-54",
HRData[[#This Row],[Age]]&gt;=55,"55+"
)</f>
        <v>25-34</v>
      </c>
      <c r="C922" t="s">
        <v>43</v>
      </c>
      <c r="D922">
        <f>IF(HRData[[#This Row],[Attrition]]="Yes",1,0)</f>
        <v>0</v>
      </c>
      <c r="E922" t="s">
        <v>44</v>
      </c>
      <c r="F922">
        <v>135</v>
      </c>
      <c r="G922" t="s">
        <v>45</v>
      </c>
      <c r="H922">
        <v>19</v>
      </c>
      <c r="I922">
        <v>3</v>
      </c>
      <c r="J922" t="s">
        <v>51</v>
      </c>
      <c r="K922">
        <v>1</v>
      </c>
      <c r="L922">
        <v>1285</v>
      </c>
      <c r="M922">
        <v>3</v>
      </c>
      <c r="N922" t="str" cm="1">
        <f t="array" ref="N922">_xlfn.IFS(HRData[[#This Row],[EnvironmentSatisfaction]]=1,"Very Dissatisfied",
HRData[[#This Row],[EnvironmentSatisfaction]]=2,"Dissatisfied",
HRData[[#This Row],[EnvironmentSatisfaction]]=3,"Satisfied",
HRData[[#This Row],[EnvironmentSatisfaction]]=4,"Very Satisfied"
)</f>
        <v>Satisfied</v>
      </c>
      <c r="O922" t="s">
        <v>39</v>
      </c>
      <c r="P922">
        <v>46</v>
      </c>
      <c r="Q922">
        <v>3</v>
      </c>
      <c r="R922">
        <v>2</v>
      </c>
      <c r="S922" t="s">
        <v>50</v>
      </c>
      <c r="T922">
        <v>2</v>
      </c>
      <c r="U922" t="str" cm="1">
        <f t="array" ref="U922">_xlfn.IFS(
HRData[[#This Row],[JobSatisfaction]]=1,"Very Dissatisfied",
HRData[[#This Row],[JobSatisfaction]]=2,"Dissatisfied",
HRData[[#This Row],[JobSatisfaction]]=3,"Satisfied",
HRData[[#This Row],[JobSatisfaction]]=4,"Very Satisfied"
)</f>
        <v>Dissatisfied</v>
      </c>
      <c r="V922" t="s">
        <v>52</v>
      </c>
      <c r="W922">
        <v>4444</v>
      </c>
      <c r="X922" t="str" cm="1">
        <f t="array" ref="X922">_xlfn.IFS(
HRData[[#This Row],[MonthlyIncome]]&lt;=4000,"Very Low Income",
HRData[[#This Row],[MonthlyIncome]]&lt;=8000,"Low Income",
HRData[[#This Row],[MonthlyIncome]]&lt;=12000,"Moderate Income",
HRData[[#This Row],[MonthlyIncome]]&lt;=16000,"High Income",
HRData[[#This Row],[MonthlyIncome]]&gt;16000,"Very High Income"
)</f>
        <v>Low Income</v>
      </c>
      <c r="Y922">
        <v>22534</v>
      </c>
      <c r="Z922">
        <v>4</v>
      </c>
      <c r="AA922" t="s">
        <v>42</v>
      </c>
      <c r="AB922" t="s">
        <v>43</v>
      </c>
      <c r="AC922">
        <v>13</v>
      </c>
      <c r="AD922" t="str" cm="1">
        <f t="array" ref="AD922">_xlfn.IFS(HRData[[#This Row],[PercentSalaryHike]]&lt;=15,"11-15",HRData[[#This Row],[PercentSalaryHike]]&lt;=20,"16-20",HRData[[#This Row],[PercentSalaryHike]]&gt;=21,"21+")</f>
        <v>11-15</v>
      </c>
      <c r="AE922">
        <v>3</v>
      </c>
      <c r="AF922">
        <v>3</v>
      </c>
      <c r="AG922">
        <v>80</v>
      </c>
      <c r="AH922">
        <v>2</v>
      </c>
      <c r="AI922">
        <v>15</v>
      </c>
      <c r="AJ922">
        <v>2</v>
      </c>
      <c r="AK922">
        <v>4</v>
      </c>
      <c r="AL922">
        <v>11</v>
      </c>
      <c r="AM922">
        <v>8</v>
      </c>
      <c r="AN922">
        <v>5</v>
      </c>
      <c r="AO922">
        <v>10</v>
      </c>
      <c r="AP92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22" t="str">
        <f>IF(HRData[[#This Row],[Attrition]]="Yes","Left", IF(HRData[[#This Row],[Attrition_Risk_Score]]&gt;=6,"High",IF(HRData[[#This Row],[Attrition_Risk_Score]]&gt;=3,"Medium","Low")))</f>
        <v>Medium</v>
      </c>
      <c r="AR922" t="str">
        <f>IF(HRData[[#This Row],[Attrition_Risk_Level]]&lt;&gt;"High","",HRData[[#This Row],[Attrition_Risk_Score]]*10000-HRData[[#This Row],[EmployeeNumber]])</f>
        <v/>
      </c>
    </row>
    <row r="923" spans="1:44">
      <c r="A923">
        <v>28</v>
      </c>
      <c r="B923" t="str" cm="1">
        <f t="array" ref="B923">_xlfn.IFS(
HRData[[#This Row],[Age]]&lt;=24,"18-24",
HRData[[#This Row],[Age]]&lt;=34,"25-34",
HRData[[#This Row],[Age]]&lt;=44,"35-44",
HRData[[#This Row],[Age]]&lt;=54,"45-54",
HRData[[#This Row],[Age]]&gt;=55,"55+"
)</f>
        <v>25-34</v>
      </c>
      <c r="C923" t="s">
        <v>43</v>
      </c>
      <c r="D923">
        <f>IF(HRData[[#This Row],[Attrition]]="Yes",1,0)</f>
        <v>0</v>
      </c>
      <c r="E923" t="s">
        <v>44</v>
      </c>
      <c r="F923">
        <v>791</v>
      </c>
      <c r="G923" t="s">
        <v>45</v>
      </c>
      <c r="H923">
        <v>1</v>
      </c>
      <c r="I923">
        <v>4</v>
      </c>
      <c r="J923" t="s">
        <v>51</v>
      </c>
      <c r="K923">
        <v>1</v>
      </c>
      <c r="L923">
        <v>1286</v>
      </c>
      <c r="M923">
        <v>4</v>
      </c>
      <c r="N923" t="str" cm="1">
        <f t="array" ref="N923">_xlfn.IFS(HRData[[#This Row],[EnvironmentSatisfaction]]=1,"Very Dissatisfied",
HRData[[#This Row],[EnvironmentSatisfaction]]=2,"Dissatisfied",
HRData[[#This Row],[EnvironmentSatisfaction]]=3,"Satisfied",
HRData[[#This Row],[EnvironmentSatisfaction]]=4,"Very Satisfied"
)</f>
        <v>Very Satisfied</v>
      </c>
      <c r="O923" t="s">
        <v>46</v>
      </c>
      <c r="P923">
        <v>44</v>
      </c>
      <c r="Q923">
        <v>3</v>
      </c>
      <c r="R923">
        <v>1</v>
      </c>
      <c r="S923" t="s">
        <v>50</v>
      </c>
      <c r="T923">
        <v>3</v>
      </c>
      <c r="U923" t="str" cm="1">
        <f t="array" ref="U923">_xlfn.IFS(
HRData[[#This Row],[JobSatisfaction]]=1,"Very Dissatisfied",
HRData[[#This Row],[JobSatisfaction]]=2,"Dissatisfied",
HRData[[#This Row],[JobSatisfaction]]=3,"Satisfied",
HRData[[#This Row],[JobSatisfaction]]=4,"Very Satisfied"
)</f>
        <v>Satisfied</v>
      </c>
      <c r="V923" t="s">
        <v>41</v>
      </c>
      <c r="W923">
        <v>2154</v>
      </c>
      <c r="X923" t="str" cm="1">
        <f t="array" ref="X923">_xlfn.IFS(
HRData[[#This Row],[MonthlyIncome]]&lt;=4000,"Very Low Income",
HRData[[#This Row],[MonthlyIncome]]&lt;=8000,"Low Income",
HRData[[#This Row],[MonthlyIncome]]&lt;=12000,"Moderate Income",
HRData[[#This Row],[MonthlyIncome]]&lt;=16000,"High Income",
HRData[[#This Row],[MonthlyIncome]]&gt;16000,"Very High Income"
)</f>
        <v>Very Low Income</v>
      </c>
      <c r="Y923">
        <v>6842</v>
      </c>
      <c r="Z923">
        <v>0</v>
      </c>
      <c r="AA923" t="s">
        <v>42</v>
      </c>
      <c r="AB923" t="s">
        <v>35</v>
      </c>
      <c r="AC923">
        <v>11</v>
      </c>
      <c r="AD923" t="str" cm="1">
        <f t="array" ref="AD923">_xlfn.IFS(HRData[[#This Row],[PercentSalaryHike]]&lt;=15,"11-15",HRData[[#This Row],[PercentSalaryHike]]&lt;=20,"16-20",HRData[[#This Row],[PercentSalaryHike]]&gt;=21,"21+")</f>
        <v>11-15</v>
      </c>
      <c r="AE923">
        <v>3</v>
      </c>
      <c r="AF923">
        <v>3</v>
      </c>
      <c r="AG923">
        <v>80</v>
      </c>
      <c r="AH923">
        <v>0</v>
      </c>
      <c r="AI923">
        <v>5</v>
      </c>
      <c r="AJ923">
        <v>2</v>
      </c>
      <c r="AK923">
        <v>2</v>
      </c>
      <c r="AL923">
        <v>4</v>
      </c>
      <c r="AM923">
        <v>2</v>
      </c>
      <c r="AN923">
        <v>0</v>
      </c>
      <c r="AO923">
        <v>2</v>
      </c>
      <c r="AP92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923" t="str">
        <f>IF(HRData[[#This Row],[Attrition]]="Yes","Left", IF(HRData[[#This Row],[Attrition_Risk_Score]]&gt;=6,"High",IF(HRData[[#This Row],[Attrition_Risk_Score]]&gt;=3,"Medium","Low")))</f>
        <v>High</v>
      </c>
      <c r="AR923">
        <f>IF(HRData[[#This Row],[Attrition_Risk_Level]]&lt;&gt;"High","",HRData[[#This Row],[Attrition_Risk_Score]]*10000-HRData[[#This Row],[EmployeeNumber]])</f>
        <v>58714</v>
      </c>
    </row>
    <row r="924" spans="1:44">
      <c r="A924">
        <v>44</v>
      </c>
      <c r="B924" t="str" cm="1">
        <f t="array" ref="B924">_xlfn.IFS(
HRData[[#This Row],[Age]]&lt;=24,"18-24",
HRData[[#This Row],[Age]]&lt;=34,"25-34",
HRData[[#This Row],[Age]]&lt;=44,"35-44",
HRData[[#This Row],[Age]]&lt;=54,"45-54",
HRData[[#This Row],[Age]]&gt;=55,"55+"
)</f>
        <v>35-44</v>
      </c>
      <c r="C924" t="s">
        <v>43</v>
      </c>
      <c r="D924">
        <f>IF(HRData[[#This Row],[Attrition]]="Yes",1,0)</f>
        <v>0</v>
      </c>
      <c r="E924" t="s">
        <v>36</v>
      </c>
      <c r="F924">
        <v>1199</v>
      </c>
      <c r="G924" t="s">
        <v>45</v>
      </c>
      <c r="H924">
        <v>4</v>
      </c>
      <c r="I924">
        <v>2</v>
      </c>
      <c r="J924" t="s">
        <v>38</v>
      </c>
      <c r="K924">
        <v>1</v>
      </c>
      <c r="L924">
        <v>1288</v>
      </c>
      <c r="M924">
        <v>3</v>
      </c>
      <c r="N924" t="str" cm="1">
        <f t="array" ref="N924">_xlfn.IFS(HRData[[#This Row],[EnvironmentSatisfaction]]=1,"Very Dissatisfied",
HRData[[#This Row],[EnvironmentSatisfaction]]=2,"Dissatisfied",
HRData[[#This Row],[EnvironmentSatisfaction]]=3,"Satisfied",
HRData[[#This Row],[EnvironmentSatisfaction]]=4,"Very Satisfied"
)</f>
        <v>Satisfied</v>
      </c>
      <c r="O924" t="s">
        <v>46</v>
      </c>
      <c r="P924">
        <v>92</v>
      </c>
      <c r="Q924">
        <v>4</v>
      </c>
      <c r="R924">
        <v>5</v>
      </c>
      <c r="S924" t="s">
        <v>56</v>
      </c>
      <c r="T924">
        <v>1</v>
      </c>
      <c r="U924" t="str" cm="1">
        <f t="array" ref="U924">_xlfn.IFS(
HRData[[#This Row],[JobSatisfaction]]=1,"Very Dissatisfied",
HRData[[#This Row],[JobSatisfaction]]=2,"Dissatisfied",
HRData[[#This Row],[JobSatisfaction]]=3,"Satisfied",
HRData[[#This Row],[JobSatisfaction]]=4,"Very Satisfied"
)</f>
        <v>Very Dissatisfied</v>
      </c>
      <c r="V924" t="s">
        <v>52</v>
      </c>
      <c r="W924">
        <v>19190</v>
      </c>
      <c r="X924" t="str" cm="1">
        <f t="array" ref="X924">_xlfn.IFS(
HRData[[#This Row],[MonthlyIncome]]&lt;=4000,"Very Low Income",
HRData[[#This Row],[MonthlyIncome]]&lt;=8000,"Low Income",
HRData[[#This Row],[MonthlyIncome]]&lt;=12000,"Moderate Income",
HRData[[#This Row],[MonthlyIncome]]&lt;=16000,"High Income",
HRData[[#This Row],[MonthlyIncome]]&gt;16000,"Very High Income"
)</f>
        <v>Very High Income</v>
      </c>
      <c r="Y924">
        <v>17477</v>
      </c>
      <c r="Z924">
        <v>1</v>
      </c>
      <c r="AA924" t="s">
        <v>42</v>
      </c>
      <c r="AB924" t="s">
        <v>43</v>
      </c>
      <c r="AC924">
        <v>14</v>
      </c>
      <c r="AD924" t="str" cm="1">
        <f t="array" ref="AD924">_xlfn.IFS(HRData[[#This Row],[PercentSalaryHike]]&lt;=15,"11-15",HRData[[#This Row],[PercentSalaryHike]]&lt;=20,"16-20",HRData[[#This Row],[PercentSalaryHike]]&gt;=21,"21+")</f>
        <v>11-15</v>
      </c>
      <c r="AE924">
        <v>3</v>
      </c>
      <c r="AF924">
        <v>4</v>
      </c>
      <c r="AG924">
        <v>80</v>
      </c>
      <c r="AH924">
        <v>2</v>
      </c>
      <c r="AI924">
        <v>26</v>
      </c>
      <c r="AJ924">
        <v>4</v>
      </c>
      <c r="AK924">
        <v>2</v>
      </c>
      <c r="AL924">
        <v>25</v>
      </c>
      <c r="AM924">
        <v>9</v>
      </c>
      <c r="AN924">
        <v>14</v>
      </c>
      <c r="AO924">
        <v>13</v>
      </c>
      <c r="AP92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24" t="str">
        <f>IF(HRData[[#This Row],[Attrition]]="Yes","Left", IF(HRData[[#This Row],[Attrition_Risk_Score]]&gt;=6,"High",IF(HRData[[#This Row],[Attrition_Risk_Score]]&gt;=3,"Medium","Low")))</f>
        <v>Low</v>
      </c>
      <c r="AR924" t="str">
        <f>IF(HRData[[#This Row],[Attrition_Risk_Level]]&lt;&gt;"High","",HRData[[#This Row],[Attrition_Risk_Score]]*10000-HRData[[#This Row],[EmployeeNumber]])</f>
        <v/>
      </c>
    </row>
    <row r="925" spans="1:44">
      <c r="A925">
        <v>34</v>
      </c>
      <c r="B925" t="str" cm="1">
        <f t="array" ref="B925">_xlfn.IFS(
HRData[[#This Row],[Age]]&lt;=24,"18-24",
HRData[[#This Row],[Age]]&lt;=34,"25-34",
HRData[[#This Row],[Age]]&lt;=44,"35-44",
HRData[[#This Row],[Age]]&lt;=54,"45-54",
HRData[[#This Row],[Age]]&gt;=55,"55+"
)</f>
        <v>25-34</v>
      </c>
      <c r="C925" t="s">
        <v>43</v>
      </c>
      <c r="D925">
        <f>IF(HRData[[#This Row],[Attrition]]="Yes",1,0)</f>
        <v>0</v>
      </c>
      <c r="E925" t="s">
        <v>44</v>
      </c>
      <c r="F925">
        <v>648</v>
      </c>
      <c r="G925" t="s">
        <v>61</v>
      </c>
      <c r="H925">
        <v>11</v>
      </c>
      <c r="I925">
        <v>3</v>
      </c>
      <c r="J925" t="s">
        <v>38</v>
      </c>
      <c r="K925">
        <v>1</v>
      </c>
      <c r="L925">
        <v>1289</v>
      </c>
      <c r="M925">
        <v>3</v>
      </c>
      <c r="N925" t="str" cm="1">
        <f t="array" ref="N925">_xlfn.IFS(HRData[[#This Row],[EnvironmentSatisfaction]]=1,"Very Dissatisfied",
HRData[[#This Row],[EnvironmentSatisfaction]]=2,"Dissatisfied",
HRData[[#This Row],[EnvironmentSatisfaction]]=3,"Satisfied",
HRData[[#This Row],[EnvironmentSatisfaction]]=4,"Very Satisfied"
)</f>
        <v>Satisfied</v>
      </c>
      <c r="O925" t="s">
        <v>46</v>
      </c>
      <c r="P925">
        <v>56</v>
      </c>
      <c r="Q925">
        <v>2</v>
      </c>
      <c r="R925">
        <v>2</v>
      </c>
      <c r="S925" t="s">
        <v>61</v>
      </c>
      <c r="T925">
        <v>2</v>
      </c>
      <c r="U925" t="str" cm="1">
        <f t="array" ref="U925">_xlfn.IFS(
HRData[[#This Row],[JobSatisfaction]]=1,"Very Dissatisfied",
HRData[[#This Row],[JobSatisfaction]]=2,"Dissatisfied",
HRData[[#This Row],[JobSatisfaction]]=3,"Satisfied",
HRData[[#This Row],[JobSatisfaction]]=4,"Very Satisfied"
)</f>
        <v>Dissatisfied</v>
      </c>
      <c r="V925" t="s">
        <v>48</v>
      </c>
      <c r="W925">
        <v>4490</v>
      </c>
      <c r="X925" t="str" cm="1">
        <f t="array" ref="X925">_xlfn.IFS(
HRData[[#This Row],[MonthlyIncome]]&lt;=4000,"Very Low Income",
HRData[[#This Row],[MonthlyIncome]]&lt;=8000,"Low Income",
HRData[[#This Row],[MonthlyIncome]]&lt;=12000,"Moderate Income",
HRData[[#This Row],[MonthlyIncome]]&lt;=16000,"High Income",
HRData[[#This Row],[MonthlyIncome]]&gt;16000,"Very High Income"
)</f>
        <v>Low Income</v>
      </c>
      <c r="Y925">
        <v>21833</v>
      </c>
      <c r="Z925">
        <v>4</v>
      </c>
      <c r="AA925" t="s">
        <v>42</v>
      </c>
      <c r="AB925" t="s">
        <v>43</v>
      </c>
      <c r="AC925">
        <v>11</v>
      </c>
      <c r="AD925" t="str" cm="1">
        <f t="array" ref="AD925">_xlfn.IFS(HRData[[#This Row],[PercentSalaryHike]]&lt;=15,"11-15",HRData[[#This Row],[PercentSalaryHike]]&lt;=20,"16-20",HRData[[#This Row],[PercentSalaryHike]]&gt;=21,"21+")</f>
        <v>11-15</v>
      </c>
      <c r="AE925">
        <v>3</v>
      </c>
      <c r="AF925">
        <v>4</v>
      </c>
      <c r="AG925">
        <v>80</v>
      </c>
      <c r="AH925">
        <v>2</v>
      </c>
      <c r="AI925">
        <v>14</v>
      </c>
      <c r="AJ925">
        <v>5</v>
      </c>
      <c r="AK925">
        <v>4</v>
      </c>
      <c r="AL925">
        <v>10</v>
      </c>
      <c r="AM925">
        <v>9</v>
      </c>
      <c r="AN925">
        <v>1</v>
      </c>
      <c r="AO925">
        <v>8</v>
      </c>
      <c r="AP92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25" t="str">
        <f>IF(HRData[[#This Row],[Attrition]]="Yes","Left", IF(HRData[[#This Row],[Attrition_Risk_Score]]&gt;=6,"High",IF(HRData[[#This Row],[Attrition_Risk_Score]]&gt;=3,"Medium","Low")))</f>
        <v>Medium</v>
      </c>
      <c r="AR925" t="str">
        <f>IF(HRData[[#This Row],[Attrition_Risk_Level]]&lt;&gt;"High","",HRData[[#This Row],[Attrition_Risk_Score]]*10000-HRData[[#This Row],[EmployeeNumber]])</f>
        <v/>
      </c>
    </row>
    <row r="926" spans="1:44">
      <c r="A926">
        <v>35</v>
      </c>
      <c r="B926" t="str" cm="1">
        <f t="array" ref="B926">_xlfn.IFS(
HRData[[#This Row],[Age]]&lt;=24,"18-24",
HRData[[#This Row],[Age]]&lt;=34,"25-34",
HRData[[#This Row],[Age]]&lt;=44,"35-44",
HRData[[#This Row],[Age]]&lt;=54,"45-54",
HRData[[#This Row],[Age]]&gt;=55,"55+"
)</f>
        <v>35-44</v>
      </c>
      <c r="C926" t="s">
        <v>43</v>
      </c>
      <c r="D926">
        <f>IF(HRData[[#This Row],[Attrition]]="Yes",1,0)</f>
        <v>0</v>
      </c>
      <c r="E926" t="s">
        <v>36</v>
      </c>
      <c r="F926">
        <v>735</v>
      </c>
      <c r="G926" t="s">
        <v>45</v>
      </c>
      <c r="H926">
        <v>6</v>
      </c>
      <c r="I926">
        <v>1</v>
      </c>
      <c r="J926" t="s">
        <v>38</v>
      </c>
      <c r="K926">
        <v>1</v>
      </c>
      <c r="L926">
        <v>1291</v>
      </c>
      <c r="M926">
        <v>3</v>
      </c>
      <c r="N926" t="str" cm="1">
        <f t="array" ref="N926">_xlfn.IFS(HRData[[#This Row],[EnvironmentSatisfaction]]=1,"Very Dissatisfied",
HRData[[#This Row],[EnvironmentSatisfaction]]=2,"Dissatisfied",
HRData[[#This Row],[EnvironmentSatisfaction]]=3,"Satisfied",
HRData[[#This Row],[EnvironmentSatisfaction]]=4,"Very Satisfied"
)</f>
        <v>Satisfied</v>
      </c>
      <c r="O926" t="s">
        <v>46</v>
      </c>
      <c r="P926">
        <v>66</v>
      </c>
      <c r="Q926">
        <v>3</v>
      </c>
      <c r="R926">
        <v>1</v>
      </c>
      <c r="S926" t="s">
        <v>47</v>
      </c>
      <c r="T926">
        <v>3</v>
      </c>
      <c r="U926" t="str" cm="1">
        <f t="array" ref="U926">_xlfn.IFS(
HRData[[#This Row],[JobSatisfaction]]=1,"Very Dissatisfied",
HRData[[#This Row],[JobSatisfaction]]=2,"Dissatisfied",
HRData[[#This Row],[JobSatisfaction]]=3,"Satisfied",
HRData[[#This Row],[JobSatisfaction]]=4,"Very Satisfied"
)</f>
        <v>Satisfied</v>
      </c>
      <c r="V926" t="s">
        <v>48</v>
      </c>
      <c r="W926">
        <v>3506</v>
      </c>
      <c r="X926" t="str" cm="1">
        <f t="array" ref="X926">_xlfn.IFS(
HRData[[#This Row],[MonthlyIncome]]&lt;=4000,"Very Low Income",
HRData[[#This Row],[MonthlyIncome]]&lt;=8000,"Low Income",
HRData[[#This Row],[MonthlyIncome]]&lt;=12000,"Moderate Income",
HRData[[#This Row],[MonthlyIncome]]&lt;=16000,"High Income",
HRData[[#This Row],[MonthlyIncome]]&gt;16000,"Very High Income"
)</f>
        <v>Very Low Income</v>
      </c>
      <c r="Y926">
        <v>6020</v>
      </c>
      <c r="Z926">
        <v>0</v>
      </c>
      <c r="AA926" t="s">
        <v>42</v>
      </c>
      <c r="AB926" t="s">
        <v>35</v>
      </c>
      <c r="AC926">
        <v>14</v>
      </c>
      <c r="AD926" t="str" cm="1">
        <f t="array" ref="AD926">_xlfn.IFS(HRData[[#This Row],[PercentSalaryHike]]&lt;=15,"11-15",HRData[[#This Row],[PercentSalaryHike]]&lt;=20,"16-20",HRData[[#This Row],[PercentSalaryHike]]&gt;=21,"21+")</f>
        <v>11-15</v>
      </c>
      <c r="AE926">
        <v>3</v>
      </c>
      <c r="AF926">
        <v>4</v>
      </c>
      <c r="AG926">
        <v>80</v>
      </c>
      <c r="AH926">
        <v>0</v>
      </c>
      <c r="AI926">
        <v>4</v>
      </c>
      <c r="AJ926">
        <v>3</v>
      </c>
      <c r="AK926">
        <v>3</v>
      </c>
      <c r="AL926">
        <v>3</v>
      </c>
      <c r="AM926">
        <v>2</v>
      </c>
      <c r="AN926">
        <v>2</v>
      </c>
      <c r="AO926">
        <v>2</v>
      </c>
      <c r="AP92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926" t="str">
        <f>IF(HRData[[#This Row],[Attrition]]="Yes","Left", IF(HRData[[#This Row],[Attrition_Risk_Score]]&gt;=6,"High",IF(HRData[[#This Row],[Attrition_Risk_Score]]&gt;=3,"Medium","Low")))</f>
        <v>Medium</v>
      </c>
      <c r="AR926" t="str">
        <f>IF(HRData[[#This Row],[Attrition_Risk_Level]]&lt;&gt;"High","",HRData[[#This Row],[Attrition_Risk_Score]]*10000-HRData[[#This Row],[EmployeeNumber]])</f>
        <v/>
      </c>
    </row>
    <row r="927" spans="1:44">
      <c r="A927">
        <v>42</v>
      </c>
      <c r="B927" t="str" cm="1">
        <f t="array" ref="B927">_xlfn.IFS(
HRData[[#This Row],[Age]]&lt;=24,"18-24",
HRData[[#This Row],[Age]]&lt;=34,"25-34",
HRData[[#This Row],[Age]]&lt;=44,"35-44",
HRData[[#This Row],[Age]]&lt;=54,"45-54",
HRData[[#This Row],[Age]]&gt;=55,"55+"
)</f>
        <v>35-44</v>
      </c>
      <c r="C927" t="s">
        <v>43</v>
      </c>
      <c r="D927">
        <f>IF(HRData[[#This Row],[Attrition]]="Yes",1,0)</f>
        <v>0</v>
      </c>
      <c r="E927" t="s">
        <v>36</v>
      </c>
      <c r="F927">
        <v>603</v>
      </c>
      <c r="G927" t="s">
        <v>45</v>
      </c>
      <c r="H927">
        <v>7</v>
      </c>
      <c r="I927">
        <v>4</v>
      </c>
      <c r="J927" t="s">
        <v>51</v>
      </c>
      <c r="K927">
        <v>1</v>
      </c>
      <c r="L927">
        <v>1292</v>
      </c>
      <c r="M927">
        <v>2</v>
      </c>
      <c r="N927" t="str" cm="1">
        <f t="array" ref="N927">_xlfn.IFS(HRData[[#This Row],[EnvironmentSatisfaction]]=1,"Very Dissatisfied",
HRData[[#This Row],[EnvironmentSatisfaction]]=2,"Dissatisfied",
HRData[[#This Row],[EnvironmentSatisfaction]]=3,"Satisfied",
HRData[[#This Row],[EnvironmentSatisfaction]]=4,"Very Satisfied"
)</f>
        <v>Dissatisfied</v>
      </c>
      <c r="O927" t="s">
        <v>39</v>
      </c>
      <c r="P927">
        <v>78</v>
      </c>
      <c r="Q927">
        <v>4</v>
      </c>
      <c r="R927">
        <v>2</v>
      </c>
      <c r="S927" t="s">
        <v>47</v>
      </c>
      <c r="T927">
        <v>2</v>
      </c>
      <c r="U927" t="str" cm="1">
        <f t="array" ref="U927">_xlfn.IFS(
HRData[[#This Row],[JobSatisfaction]]=1,"Very Dissatisfied",
HRData[[#This Row],[JobSatisfaction]]=2,"Dissatisfied",
HRData[[#This Row],[JobSatisfaction]]=3,"Satisfied",
HRData[[#This Row],[JobSatisfaction]]=4,"Very Satisfied"
)</f>
        <v>Dissatisfied</v>
      </c>
      <c r="V927" t="s">
        <v>48</v>
      </c>
      <c r="W927">
        <v>2372</v>
      </c>
      <c r="X927" t="str" cm="1">
        <f t="array" ref="X927">_xlfn.IFS(
HRData[[#This Row],[MonthlyIncome]]&lt;=4000,"Very Low Income",
HRData[[#This Row],[MonthlyIncome]]&lt;=8000,"Low Income",
HRData[[#This Row],[MonthlyIncome]]&lt;=12000,"Moderate Income",
HRData[[#This Row],[MonthlyIncome]]&lt;=16000,"High Income",
HRData[[#This Row],[MonthlyIncome]]&gt;16000,"Very High Income"
)</f>
        <v>Very Low Income</v>
      </c>
      <c r="Y927">
        <v>5628</v>
      </c>
      <c r="Z927">
        <v>6</v>
      </c>
      <c r="AA927" t="s">
        <v>42</v>
      </c>
      <c r="AB927" t="s">
        <v>35</v>
      </c>
      <c r="AC927">
        <v>16</v>
      </c>
      <c r="AD927" t="str" cm="1">
        <f t="array" ref="AD927">_xlfn.IFS(HRData[[#This Row],[PercentSalaryHike]]&lt;=15,"11-15",HRData[[#This Row],[PercentSalaryHike]]&lt;=20,"16-20",HRData[[#This Row],[PercentSalaryHike]]&gt;=21,"21+")</f>
        <v>16-20</v>
      </c>
      <c r="AE927">
        <v>3</v>
      </c>
      <c r="AF927">
        <v>4</v>
      </c>
      <c r="AG927">
        <v>80</v>
      </c>
      <c r="AH927">
        <v>0</v>
      </c>
      <c r="AI927">
        <v>18</v>
      </c>
      <c r="AJ927">
        <v>2</v>
      </c>
      <c r="AK927">
        <v>3</v>
      </c>
      <c r="AL927">
        <v>1</v>
      </c>
      <c r="AM927">
        <v>0</v>
      </c>
      <c r="AN927">
        <v>0</v>
      </c>
      <c r="AO927">
        <v>0</v>
      </c>
      <c r="AP92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927" t="str">
        <f>IF(HRData[[#This Row],[Attrition]]="Yes","Left", IF(HRData[[#This Row],[Attrition_Risk_Score]]&gt;=6,"High",IF(HRData[[#This Row],[Attrition_Risk_Score]]&gt;=3,"Medium","Low")))</f>
        <v>Medium</v>
      </c>
      <c r="AR927" t="str">
        <f>IF(HRData[[#This Row],[Attrition_Risk_Level]]&lt;&gt;"High","",HRData[[#This Row],[Attrition_Risk_Score]]*10000-HRData[[#This Row],[EmployeeNumber]])</f>
        <v/>
      </c>
    </row>
    <row r="928" spans="1:44">
      <c r="A928">
        <v>43</v>
      </c>
      <c r="B928" t="str" cm="1">
        <f t="array" ref="B928">_xlfn.IFS(
HRData[[#This Row],[Age]]&lt;=24,"18-24",
HRData[[#This Row],[Age]]&lt;=34,"25-34",
HRData[[#This Row],[Age]]&lt;=44,"35-44",
HRData[[#This Row],[Age]]&lt;=54,"45-54",
HRData[[#This Row],[Age]]&gt;=55,"55+"
)</f>
        <v>35-44</v>
      </c>
      <c r="C928" t="s">
        <v>43</v>
      </c>
      <c r="D928">
        <f>IF(HRData[[#This Row],[Attrition]]="Yes",1,0)</f>
        <v>0</v>
      </c>
      <c r="E928" t="s">
        <v>36</v>
      </c>
      <c r="F928">
        <v>531</v>
      </c>
      <c r="G928" t="s">
        <v>37</v>
      </c>
      <c r="H928">
        <v>4</v>
      </c>
      <c r="I928">
        <v>4</v>
      </c>
      <c r="J928" t="s">
        <v>59</v>
      </c>
      <c r="K928">
        <v>1</v>
      </c>
      <c r="L928">
        <v>1293</v>
      </c>
      <c r="M928">
        <v>4</v>
      </c>
      <c r="N928" t="str" cm="1">
        <f t="array" ref="N928">_xlfn.IFS(HRData[[#This Row],[EnvironmentSatisfaction]]=1,"Very Dissatisfied",
HRData[[#This Row],[EnvironmentSatisfaction]]=2,"Dissatisfied",
HRData[[#This Row],[EnvironmentSatisfaction]]=3,"Satisfied",
HRData[[#This Row],[EnvironmentSatisfaction]]=4,"Very Satisfied"
)</f>
        <v>Very Satisfied</v>
      </c>
      <c r="O928" t="s">
        <v>39</v>
      </c>
      <c r="P928">
        <v>56</v>
      </c>
      <c r="Q928">
        <v>2</v>
      </c>
      <c r="R928">
        <v>3</v>
      </c>
      <c r="S928" t="s">
        <v>40</v>
      </c>
      <c r="T928">
        <v>4</v>
      </c>
      <c r="U928" t="str" cm="1">
        <f t="array" ref="U928">_xlfn.IFS(
HRData[[#This Row],[JobSatisfaction]]=1,"Very Dissatisfied",
HRData[[#This Row],[JobSatisfaction]]=2,"Dissatisfied",
HRData[[#This Row],[JobSatisfaction]]=3,"Satisfied",
HRData[[#This Row],[JobSatisfaction]]=4,"Very Satisfied"
)</f>
        <v>Very Satisfied</v>
      </c>
      <c r="V928" t="s">
        <v>41</v>
      </c>
      <c r="W928">
        <v>10231</v>
      </c>
      <c r="X928" t="str" cm="1">
        <f t="array" ref="X928">_xlfn.IFS(
HRData[[#This Row],[MonthlyIncome]]&lt;=4000,"Very Low Income",
HRData[[#This Row],[MonthlyIncome]]&lt;=8000,"Low Income",
HRData[[#This Row],[MonthlyIncome]]&lt;=12000,"Moderate Income",
HRData[[#This Row],[MonthlyIncome]]&lt;=16000,"High Income",
HRData[[#This Row],[MonthlyIncome]]&gt;16000,"Very High Income"
)</f>
        <v>Moderate Income</v>
      </c>
      <c r="Y928">
        <v>20364</v>
      </c>
      <c r="Z928">
        <v>3</v>
      </c>
      <c r="AA928" t="s">
        <v>42</v>
      </c>
      <c r="AB928" t="s">
        <v>43</v>
      </c>
      <c r="AC928">
        <v>14</v>
      </c>
      <c r="AD928" t="str" cm="1">
        <f t="array" ref="AD928">_xlfn.IFS(HRData[[#This Row],[PercentSalaryHike]]&lt;=15,"11-15",HRData[[#This Row],[PercentSalaryHike]]&lt;=20,"16-20",HRData[[#This Row],[PercentSalaryHike]]&gt;=21,"21+")</f>
        <v>11-15</v>
      </c>
      <c r="AE928">
        <v>3</v>
      </c>
      <c r="AF928">
        <v>4</v>
      </c>
      <c r="AG928">
        <v>80</v>
      </c>
      <c r="AH928">
        <v>0</v>
      </c>
      <c r="AI928">
        <v>23</v>
      </c>
      <c r="AJ928">
        <v>3</v>
      </c>
      <c r="AK928">
        <v>4</v>
      </c>
      <c r="AL928">
        <v>21</v>
      </c>
      <c r="AM928">
        <v>7</v>
      </c>
      <c r="AN928">
        <v>15</v>
      </c>
      <c r="AO928">
        <v>17</v>
      </c>
      <c r="AP92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928" t="str">
        <f>IF(HRData[[#This Row],[Attrition]]="Yes","Left", IF(HRData[[#This Row],[Attrition_Risk_Score]]&gt;=6,"High",IF(HRData[[#This Row],[Attrition_Risk_Score]]&gt;=3,"Medium","Low")))</f>
        <v>Low</v>
      </c>
      <c r="AR928" t="str">
        <f>IF(HRData[[#This Row],[Attrition_Risk_Level]]&lt;&gt;"High","",HRData[[#This Row],[Attrition_Risk_Score]]*10000-HRData[[#This Row],[EmployeeNumber]])</f>
        <v/>
      </c>
    </row>
    <row r="929" spans="1:44">
      <c r="A929">
        <v>36</v>
      </c>
      <c r="B929" t="str" cm="1">
        <f t="array" ref="B929">_xlfn.IFS(
HRData[[#This Row],[Age]]&lt;=24,"18-24",
HRData[[#This Row],[Age]]&lt;=34,"25-34",
HRData[[#This Row],[Age]]&lt;=44,"35-44",
HRData[[#This Row],[Age]]&lt;=54,"45-54",
HRData[[#This Row],[Age]]&gt;=55,"55+"
)</f>
        <v>35-44</v>
      </c>
      <c r="C929" t="s">
        <v>43</v>
      </c>
      <c r="D929">
        <f>IF(HRData[[#This Row],[Attrition]]="Yes",1,0)</f>
        <v>0</v>
      </c>
      <c r="E929" t="s">
        <v>36</v>
      </c>
      <c r="F929">
        <v>429</v>
      </c>
      <c r="G929" t="s">
        <v>45</v>
      </c>
      <c r="H929">
        <v>2</v>
      </c>
      <c r="I929">
        <v>4</v>
      </c>
      <c r="J929" t="s">
        <v>38</v>
      </c>
      <c r="K929">
        <v>1</v>
      </c>
      <c r="L929">
        <v>1294</v>
      </c>
      <c r="M929">
        <v>3</v>
      </c>
      <c r="N929" t="str" cm="1">
        <f t="array" ref="N929">_xlfn.IFS(HRData[[#This Row],[EnvironmentSatisfaction]]=1,"Very Dissatisfied",
HRData[[#This Row],[EnvironmentSatisfaction]]=2,"Dissatisfied",
HRData[[#This Row],[EnvironmentSatisfaction]]=3,"Satisfied",
HRData[[#This Row],[EnvironmentSatisfaction]]=4,"Very Satisfied"
)</f>
        <v>Satisfied</v>
      </c>
      <c r="O929" t="s">
        <v>39</v>
      </c>
      <c r="P929">
        <v>53</v>
      </c>
      <c r="Q929">
        <v>3</v>
      </c>
      <c r="R929">
        <v>2</v>
      </c>
      <c r="S929" t="s">
        <v>53</v>
      </c>
      <c r="T929">
        <v>2</v>
      </c>
      <c r="U929" t="str" cm="1">
        <f t="array" ref="U929">_xlfn.IFS(
HRData[[#This Row],[JobSatisfaction]]=1,"Very Dissatisfied",
HRData[[#This Row],[JobSatisfaction]]=2,"Dissatisfied",
HRData[[#This Row],[JobSatisfaction]]=3,"Satisfied",
HRData[[#This Row],[JobSatisfaction]]=4,"Very Satisfied"
)</f>
        <v>Dissatisfied</v>
      </c>
      <c r="V929" t="s">
        <v>41</v>
      </c>
      <c r="W929">
        <v>5410</v>
      </c>
      <c r="X929" t="str" cm="1">
        <f t="array" ref="X929">_xlfn.IFS(
HRData[[#This Row],[MonthlyIncome]]&lt;=4000,"Very Low Income",
HRData[[#This Row],[MonthlyIncome]]&lt;=8000,"Low Income",
HRData[[#This Row],[MonthlyIncome]]&lt;=12000,"Moderate Income",
HRData[[#This Row],[MonthlyIncome]]&lt;=16000,"High Income",
HRData[[#This Row],[MonthlyIncome]]&gt;16000,"Very High Income"
)</f>
        <v>Low Income</v>
      </c>
      <c r="Y929">
        <v>2323</v>
      </c>
      <c r="Z929">
        <v>9</v>
      </c>
      <c r="AA929" t="s">
        <v>42</v>
      </c>
      <c r="AB929" t="s">
        <v>35</v>
      </c>
      <c r="AC929">
        <v>11</v>
      </c>
      <c r="AD929" t="str" cm="1">
        <f t="array" ref="AD929">_xlfn.IFS(HRData[[#This Row],[PercentSalaryHike]]&lt;=15,"11-15",HRData[[#This Row],[PercentSalaryHike]]&lt;=20,"16-20",HRData[[#This Row],[PercentSalaryHike]]&gt;=21,"21+")</f>
        <v>11-15</v>
      </c>
      <c r="AE929">
        <v>3</v>
      </c>
      <c r="AF929">
        <v>4</v>
      </c>
      <c r="AG929">
        <v>80</v>
      </c>
      <c r="AH929">
        <v>0</v>
      </c>
      <c r="AI929">
        <v>18</v>
      </c>
      <c r="AJ929">
        <v>2</v>
      </c>
      <c r="AK929">
        <v>3</v>
      </c>
      <c r="AL929">
        <v>16</v>
      </c>
      <c r="AM929">
        <v>14</v>
      </c>
      <c r="AN929">
        <v>5</v>
      </c>
      <c r="AO929">
        <v>12</v>
      </c>
      <c r="AP92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29" t="str">
        <f>IF(HRData[[#This Row],[Attrition]]="Yes","Left", IF(HRData[[#This Row],[Attrition_Risk_Score]]&gt;=6,"High",IF(HRData[[#This Row],[Attrition_Risk_Score]]&gt;=3,"Medium","Low")))</f>
        <v>Medium</v>
      </c>
      <c r="AR929" t="str">
        <f>IF(HRData[[#This Row],[Attrition_Risk_Level]]&lt;&gt;"High","",HRData[[#This Row],[Attrition_Risk_Score]]*10000-HRData[[#This Row],[EmployeeNumber]])</f>
        <v/>
      </c>
    </row>
    <row r="930" spans="1:44">
      <c r="A930">
        <v>44</v>
      </c>
      <c r="B930" t="str" cm="1">
        <f t="array" ref="B930">_xlfn.IFS(
HRData[[#This Row],[Age]]&lt;=24,"18-24",
HRData[[#This Row],[Age]]&lt;=34,"25-34",
HRData[[#This Row],[Age]]&lt;=44,"35-44",
HRData[[#This Row],[Age]]&lt;=54,"45-54",
HRData[[#This Row],[Age]]&gt;=55,"55+"
)</f>
        <v>35-44</v>
      </c>
      <c r="C930" t="s">
        <v>35</v>
      </c>
      <c r="D930">
        <f>IF(HRData[[#This Row],[Attrition]]="Yes",1,0)</f>
        <v>1</v>
      </c>
      <c r="E930" t="s">
        <v>36</v>
      </c>
      <c r="F930">
        <v>621</v>
      </c>
      <c r="G930" t="s">
        <v>45</v>
      </c>
      <c r="H930">
        <v>15</v>
      </c>
      <c r="I930">
        <v>3</v>
      </c>
      <c r="J930" t="s">
        <v>51</v>
      </c>
      <c r="K930">
        <v>1</v>
      </c>
      <c r="L930">
        <v>1295</v>
      </c>
      <c r="M930">
        <v>1</v>
      </c>
      <c r="N930" t="str" cm="1">
        <f t="array" ref="N930">_xlfn.IFS(HRData[[#This Row],[EnvironmentSatisfaction]]=1,"Very Dissatisfied",
HRData[[#This Row],[EnvironmentSatisfaction]]=2,"Dissatisfied",
HRData[[#This Row],[EnvironmentSatisfaction]]=3,"Satisfied",
HRData[[#This Row],[EnvironmentSatisfaction]]=4,"Very Satisfied"
)</f>
        <v>Very Dissatisfied</v>
      </c>
      <c r="O930" t="s">
        <v>39</v>
      </c>
      <c r="P930">
        <v>73</v>
      </c>
      <c r="Q930">
        <v>3</v>
      </c>
      <c r="R930">
        <v>3</v>
      </c>
      <c r="S930" t="s">
        <v>54</v>
      </c>
      <c r="T930">
        <v>4</v>
      </c>
      <c r="U930" t="str" cm="1">
        <f t="array" ref="U930">_xlfn.IFS(
HRData[[#This Row],[JobSatisfaction]]=1,"Very Dissatisfied",
HRData[[#This Row],[JobSatisfaction]]=2,"Dissatisfied",
HRData[[#This Row],[JobSatisfaction]]=3,"Satisfied",
HRData[[#This Row],[JobSatisfaction]]=4,"Very Satisfied"
)</f>
        <v>Very Satisfied</v>
      </c>
      <c r="V930" t="s">
        <v>48</v>
      </c>
      <c r="W930">
        <v>7978</v>
      </c>
      <c r="X930" t="str" cm="1">
        <f t="array" ref="X930">_xlfn.IFS(
HRData[[#This Row],[MonthlyIncome]]&lt;=4000,"Very Low Income",
HRData[[#This Row],[MonthlyIncome]]&lt;=8000,"Low Income",
HRData[[#This Row],[MonthlyIncome]]&lt;=12000,"Moderate Income",
HRData[[#This Row],[MonthlyIncome]]&lt;=16000,"High Income",
HRData[[#This Row],[MonthlyIncome]]&gt;16000,"Very High Income"
)</f>
        <v>Low Income</v>
      </c>
      <c r="Y930">
        <v>14075</v>
      </c>
      <c r="Z930">
        <v>1</v>
      </c>
      <c r="AA930" t="s">
        <v>42</v>
      </c>
      <c r="AB930" t="s">
        <v>43</v>
      </c>
      <c r="AC930">
        <v>11</v>
      </c>
      <c r="AD930" t="str" cm="1">
        <f t="array" ref="AD930">_xlfn.IFS(HRData[[#This Row],[PercentSalaryHike]]&lt;=15,"11-15",HRData[[#This Row],[PercentSalaryHike]]&lt;=20,"16-20",HRData[[#This Row],[PercentSalaryHike]]&gt;=21,"21+")</f>
        <v>11-15</v>
      </c>
      <c r="AE930">
        <v>3</v>
      </c>
      <c r="AF930">
        <v>4</v>
      </c>
      <c r="AG930">
        <v>80</v>
      </c>
      <c r="AH930">
        <v>1</v>
      </c>
      <c r="AI930">
        <v>10</v>
      </c>
      <c r="AJ930">
        <v>2</v>
      </c>
      <c r="AK930">
        <v>3</v>
      </c>
      <c r="AL930">
        <v>10</v>
      </c>
      <c r="AM930">
        <v>7</v>
      </c>
      <c r="AN930">
        <v>0</v>
      </c>
      <c r="AO930">
        <v>5</v>
      </c>
      <c r="AP93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30" t="str">
        <f>IF(HRData[[#This Row],[Attrition]]="Yes","Left", IF(HRData[[#This Row],[Attrition_Risk_Score]]&gt;=6,"High",IF(HRData[[#This Row],[Attrition_Risk_Score]]&gt;=3,"Medium","Low")))</f>
        <v>Left</v>
      </c>
      <c r="AR930" t="str">
        <f>IF(HRData[[#This Row],[Attrition_Risk_Level]]&lt;&gt;"High","",HRData[[#This Row],[Attrition_Risk_Score]]*10000-HRData[[#This Row],[EmployeeNumber]])</f>
        <v/>
      </c>
    </row>
    <row r="931" spans="1:44">
      <c r="A931">
        <v>28</v>
      </c>
      <c r="B931" t="str" cm="1">
        <f t="array" ref="B931">_xlfn.IFS(
HRData[[#This Row],[Age]]&lt;=24,"18-24",
HRData[[#This Row],[Age]]&lt;=34,"25-34",
HRData[[#This Row],[Age]]&lt;=44,"35-44",
HRData[[#This Row],[Age]]&lt;=54,"45-54",
HRData[[#This Row],[Age]]&gt;=55,"55+"
)</f>
        <v>25-34</v>
      </c>
      <c r="C931" t="s">
        <v>43</v>
      </c>
      <c r="D931">
        <f>IF(HRData[[#This Row],[Attrition]]="Yes",1,0)</f>
        <v>0</v>
      </c>
      <c r="E931" t="s">
        <v>44</v>
      </c>
      <c r="F931">
        <v>193</v>
      </c>
      <c r="G931" t="s">
        <v>45</v>
      </c>
      <c r="H931">
        <v>2</v>
      </c>
      <c r="I931">
        <v>3</v>
      </c>
      <c r="J931" t="s">
        <v>38</v>
      </c>
      <c r="K931">
        <v>1</v>
      </c>
      <c r="L931">
        <v>1296</v>
      </c>
      <c r="M931">
        <v>4</v>
      </c>
      <c r="N931" t="str" cm="1">
        <f t="array" ref="N931">_xlfn.IFS(HRData[[#This Row],[EnvironmentSatisfaction]]=1,"Very Dissatisfied",
HRData[[#This Row],[EnvironmentSatisfaction]]=2,"Dissatisfied",
HRData[[#This Row],[EnvironmentSatisfaction]]=3,"Satisfied",
HRData[[#This Row],[EnvironmentSatisfaction]]=4,"Very Satisfied"
)</f>
        <v>Very Satisfied</v>
      </c>
      <c r="O931" t="s">
        <v>46</v>
      </c>
      <c r="P931">
        <v>52</v>
      </c>
      <c r="Q931">
        <v>2</v>
      </c>
      <c r="R931">
        <v>1</v>
      </c>
      <c r="S931" t="s">
        <v>50</v>
      </c>
      <c r="T931">
        <v>4</v>
      </c>
      <c r="U931" t="str" cm="1">
        <f t="array" ref="U931">_xlfn.IFS(
HRData[[#This Row],[JobSatisfaction]]=1,"Very Dissatisfied",
HRData[[#This Row],[JobSatisfaction]]=2,"Dissatisfied",
HRData[[#This Row],[JobSatisfaction]]=3,"Satisfied",
HRData[[#This Row],[JobSatisfaction]]=4,"Very Satisfied"
)</f>
        <v>Very Satisfied</v>
      </c>
      <c r="V931" t="s">
        <v>48</v>
      </c>
      <c r="W931">
        <v>3867</v>
      </c>
      <c r="X931" t="str" cm="1">
        <f t="array" ref="X931">_xlfn.IFS(
HRData[[#This Row],[MonthlyIncome]]&lt;=4000,"Very Low Income",
HRData[[#This Row],[MonthlyIncome]]&lt;=8000,"Low Income",
HRData[[#This Row],[MonthlyIncome]]&lt;=12000,"Moderate Income",
HRData[[#This Row],[MonthlyIncome]]&lt;=16000,"High Income",
HRData[[#This Row],[MonthlyIncome]]&gt;16000,"Very High Income"
)</f>
        <v>Very Low Income</v>
      </c>
      <c r="Y931">
        <v>14222</v>
      </c>
      <c r="Z931">
        <v>1</v>
      </c>
      <c r="AA931" t="s">
        <v>42</v>
      </c>
      <c r="AB931" t="s">
        <v>35</v>
      </c>
      <c r="AC931">
        <v>12</v>
      </c>
      <c r="AD931" t="str" cm="1">
        <f t="array" ref="AD931">_xlfn.IFS(HRData[[#This Row],[PercentSalaryHike]]&lt;=15,"11-15",HRData[[#This Row],[PercentSalaryHike]]&lt;=20,"16-20",HRData[[#This Row],[PercentSalaryHike]]&gt;=21,"21+")</f>
        <v>11-15</v>
      </c>
      <c r="AE931">
        <v>3</v>
      </c>
      <c r="AF931">
        <v>2</v>
      </c>
      <c r="AG931">
        <v>80</v>
      </c>
      <c r="AH931">
        <v>1</v>
      </c>
      <c r="AI931">
        <v>2</v>
      </c>
      <c r="AJ931">
        <v>2</v>
      </c>
      <c r="AK931">
        <v>3</v>
      </c>
      <c r="AL931">
        <v>2</v>
      </c>
      <c r="AM931">
        <v>2</v>
      </c>
      <c r="AN931">
        <v>2</v>
      </c>
      <c r="AO931">
        <v>2</v>
      </c>
      <c r="AP93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931" t="str">
        <f>IF(HRData[[#This Row],[Attrition]]="Yes","Left", IF(HRData[[#This Row],[Attrition_Risk_Score]]&gt;=6,"High",IF(HRData[[#This Row],[Attrition_Risk_Score]]&gt;=3,"Medium","Low")))</f>
        <v>High</v>
      </c>
      <c r="AR931">
        <f>IF(HRData[[#This Row],[Attrition_Risk_Level]]&lt;&gt;"High","",HRData[[#This Row],[Attrition_Risk_Score]]*10000-HRData[[#This Row],[EmployeeNumber]])</f>
        <v>58704</v>
      </c>
    </row>
    <row r="932" spans="1:44">
      <c r="A932">
        <v>51</v>
      </c>
      <c r="B932" t="str" cm="1">
        <f t="array" ref="B932">_xlfn.IFS(
HRData[[#This Row],[Age]]&lt;=24,"18-24",
HRData[[#This Row],[Age]]&lt;=34,"25-34",
HRData[[#This Row],[Age]]&lt;=44,"35-44",
HRData[[#This Row],[Age]]&lt;=54,"45-54",
HRData[[#This Row],[Age]]&gt;=55,"55+"
)</f>
        <v>45-54</v>
      </c>
      <c r="C932" t="s">
        <v>43</v>
      </c>
      <c r="D932">
        <f>IF(HRData[[#This Row],[Attrition]]="Yes",1,0)</f>
        <v>0</v>
      </c>
      <c r="E932" t="s">
        <v>44</v>
      </c>
      <c r="F932">
        <v>968</v>
      </c>
      <c r="G932" t="s">
        <v>45</v>
      </c>
      <c r="H932">
        <v>6</v>
      </c>
      <c r="I932">
        <v>2</v>
      </c>
      <c r="J932" t="s">
        <v>51</v>
      </c>
      <c r="K932">
        <v>1</v>
      </c>
      <c r="L932">
        <v>1297</v>
      </c>
      <c r="M932">
        <v>2</v>
      </c>
      <c r="N932" t="str" cm="1">
        <f t="array" ref="N932">_xlfn.IFS(HRData[[#This Row],[EnvironmentSatisfaction]]=1,"Very Dissatisfied",
HRData[[#This Row],[EnvironmentSatisfaction]]=2,"Dissatisfied",
HRData[[#This Row],[EnvironmentSatisfaction]]=3,"Satisfied",
HRData[[#This Row],[EnvironmentSatisfaction]]=4,"Very Satisfied"
)</f>
        <v>Dissatisfied</v>
      </c>
      <c r="O932" t="s">
        <v>39</v>
      </c>
      <c r="P932">
        <v>40</v>
      </c>
      <c r="Q932">
        <v>2</v>
      </c>
      <c r="R932">
        <v>1</v>
      </c>
      <c r="S932" t="s">
        <v>50</v>
      </c>
      <c r="T932">
        <v>3</v>
      </c>
      <c r="U932" t="str" cm="1">
        <f t="array" ref="U932">_xlfn.IFS(
HRData[[#This Row],[JobSatisfaction]]=1,"Very Dissatisfied",
HRData[[#This Row],[JobSatisfaction]]=2,"Dissatisfied",
HRData[[#This Row],[JobSatisfaction]]=3,"Satisfied",
HRData[[#This Row],[JobSatisfaction]]=4,"Very Satisfied"
)</f>
        <v>Satisfied</v>
      </c>
      <c r="V932" t="s">
        <v>41</v>
      </c>
      <c r="W932">
        <v>2838</v>
      </c>
      <c r="X932" t="str" cm="1">
        <f t="array" ref="X932">_xlfn.IFS(
HRData[[#This Row],[MonthlyIncome]]&lt;=4000,"Very Low Income",
HRData[[#This Row],[MonthlyIncome]]&lt;=8000,"Low Income",
HRData[[#This Row],[MonthlyIncome]]&lt;=12000,"Moderate Income",
HRData[[#This Row],[MonthlyIncome]]&lt;=16000,"High Income",
HRData[[#This Row],[MonthlyIncome]]&gt;16000,"Very High Income"
)</f>
        <v>Very Low Income</v>
      </c>
      <c r="Y932">
        <v>4257</v>
      </c>
      <c r="Z932">
        <v>0</v>
      </c>
      <c r="AA932" t="s">
        <v>42</v>
      </c>
      <c r="AB932" t="s">
        <v>43</v>
      </c>
      <c r="AC932">
        <v>14</v>
      </c>
      <c r="AD932" t="str" cm="1">
        <f t="array" ref="AD932">_xlfn.IFS(HRData[[#This Row],[PercentSalaryHike]]&lt;=15,"11-15",HRData[[#This Row],[PercentSalaryHike]]&lt;=20,"16-20",HRData[[#This Row],[PercentSalaryHike]]&gt;=21,"21+")</f>
        <v>11-15</v>
      </c>
      <c r="AE932">
        <v>3</v>
      </c>
      <c r="AF932">
        <v>2</v>
      </c>
      <c r="AG932">
        <v>80</v>
      </c>
      <c r="AH932">
        <v>0</v>
      </c>
      <c r="AI932">
        <v>8</v>
      </c>
      <c r="AJ932">
        <v>6</v>
      </c>
      <c r="AK932">
        <v>2</v>
      </c>
      <c r="AL932">
        <v>7</v>
      </c>
      <c r="AM932">
        <v>0</v>
      </c>
      <c r="AN932">
        <v>7</v>
      </c>
      <c r="AO932">
        <v>7</v>
      </c>
      <c r="AP93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32" t="str">
        <f>IF(HRData[[#This Row],[Attrition]]="Yes","Left", IF(HRData[[#This Row],[Attrition_Risk_Score]]&gt;=6,"High",IF(HRData[[#This Row],[Attrition_Risk_Score]]&gt;=3,"Medium","Low")))</f>
        <v>Medium</v>
      </c>
      <c r="AR932" t="str">
        <f>IF(HRData[[#This Row],[Attrition_Risk_Level]]&lt;&gt;"High","",HRData[[#This Row],[Attrition_Risk_Score]]*10000-HRData[[#This Row],[EmployeeNumber]])</f>
        <v/>
      </c>
    </row>
    <row r="933" spans="1:44">
      <c r="A933">
        <v>30</v>
      </c>
      <c r="B933" t="str" cm="1">
        <f t="array" ref="B933">_xlfn.IFS(
HRData[[#This Row],[Age]]&lt;=24,"18-24",
HRData[[#This Row],[Age]]&lt;=34,"25-34",
HRData[[#This Row],[Age]]&lt;=44,"35-44",
HRData[[#This Row],[Age]]&lt;=54,"45-54",
HRData[[#This Row],[Age]]&gt;=55,"55+"
)</f>
        <v>25-34</v>
      </c>
      <c r="C933" t="s">
        <v>43</v>
      </c>
      <c r="D933">
        <f>IF(HRData[[#This Row],[Attrition]]="Yes",1,0)</f>
        <v>0</v>
      </c>
      <c r="E933" t="s">
        <v>55</v>
      </c>
      <c r="F933">
        <v>879</v>
      </c>
      <c r="G933" t="s">
        <v>45</v>
      </c>
      <c r="H933">
        <v>9</v>
      </c>
      <c r="I933">
        <v>2</v>
      </c>
      <c r="J933" t="s">
        <v>51</v>
      </c>
      <c r="K933">
        <v>1</v>
      </c>
      <c r="L933">
        <v>1298</v>
      </c>
      <c r="M933">
        <v>3</v>
      </c>
      <c r="N933" t="str" cm="1">
        <f t="array" ref="N933">_xlfn.IFS(HRData[[#This Row],[EnvironmentSatisfaction]]=1,"Very Dissatisfied",
HRData[[#This Row],[EnvironmentSatisfaction]]=2,"Dissatisfied",
HRData[[#This Row],[EnvironmentSatisfaction]]=3,"Satisfied",
HRData[[#This Row],[EnvironmentSatisfaction]]=4,"Very Satisfied"
)</f>
        <v>Satisfied</v>
      </c>
      <c r="O933" t="s">
        <v>39</v>
      </c>
      <c r="P933">
        <v>72</v>
      </c>
      <c r="Q933">
        <v>3</v>
      </c>
      <c r="R933">
        <v>2</v>
      </c>
      <c r="S933" t="s">
        <v>53</v>
      </c>
      <c r="T933">
        <v>3</v>
      </c>
      <c r="U933" t="str" cm="1">
        <f t="array" ref="U933">_xlfn.IFS(
HRData[[#This Row],[JobSatisfaction]]=1,"Very Dissatisfied",
HRData[[#This Row],[JobSatisfaction]]=2,"Dissatisfied",
HRData[[#This Row],[JobSatisfaction]]=3,"Satisfied",
HRData[[#This Row],[JobSatisfaction]]=4,"Very Satisfied"
)</f>
        <v>Satisfied</v>
      </c>
      <c r="V933" t="s">
        <v>41</v>
      </c>
      <c r="W933">
        <v>4695</v>
      </c>
      <c r="X933" t="str" cm="1">
        <f t="array" ref="X933">_xlfn.IFS(
HRData[[#This Row],[MonthlyIncome]]&lt;=4000,"Very Low Income",
HRData[[#This Row],[MonthlyIncome]]&lt;=8000,"Low Income",
HRData[[#This Row],[MonthlyIncome]]&lt;=12000,"Moderate Income",
HRData[[#This Row],[MonthlyIncome]]&lt;=16000,"High Income",
HRData[[#This Row],[MonthlyIncome]]&gt;16000,"Very High Income"
)</f>
        <v>Low Income</v>
      </c>
      <c r="Y933">
        <v>12858</v>
      </c>
      <c r="Z933">
        <v>7</v>
      </c>
      <c r="AA933" t="s">
        <v>42</v>
      </c>
      <c r="AB933" t="s">
        <v>35</v>
      </c>
      <c r="AC933">
        <v>18</v>
      </c>
      <c r="AD933" t="str" cm="1">
        <f t="array" ref="AD933">_xlfn.IFS(HRData[[#This Row],[PercentSalaryHike]]&lt;=15,"11-15",HRData[[#This Row],[PercentSalaryHike]]&lt;=20,"16-20",HRData[[#This Row],[PercentSalaryHike]]&gt;=21,"21+")</f>
        <v>16-20</v>
      </c>
      <c r="AE933">
        <v>3</v>
      </c>
      <c r="AF933">
        <v>3</v>
      </c>
      <c r="AG933">
        <v>80</v>
      </c>
      <c r="AH933">
        <v>0</v>
      </c>
      <c r="AI933">
        <v>10</v>
      </c>
      <c r="AJ933">
        <v>3</v>
      </c>
      <c r="AK933">
        <v>3</v>
      </c>
      <c r="AL933">
        <v>8</v>
      </c>
      <c r="AM933">
        <v>4</v>
      </c>
      <c r="AN933">
        <v>1</v>
      </c>
      <c r="AO933">
        <v>7</v>
      </c>
      <c r="AP93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933" t="str">
        <f>IF(HRData[[#This Row],[Attrition]]="Yes","Left", IF(HRData[[#This Row],[Attrition_Risk_Score]]&gt;=6,"High",IF(HRData[[#This Row],[Attrition_Risk_Score]]&gt;=3,"Medium","Low")))</f>
        <v>Medium</v>
      </c>
      <c r="AR933" t="str">
        <f>IF(HRData[[#This Row],[Attrition_Risk_Level]]&lt;&gt;"High","",HRData[[#This Row],[Attrition_Risk_Score]]*10000-HRData[[#This Row],[EmployeeNumber]])</f>
        <v/>
      </c>
    </row>
    <row r="934" spans="1:44">
      <c r="A934">
        <v>29</v>
      </c>
      <c r="B934" t="str" cm="1">
        <f t="array" ref="B934">_xlfn.IFS(
HRData[[#This Row],[Age]]&lt;=24,"18-24",
HRData[[#This Row],[Age]]&lt;=34,"25-34",
HRData[[#This Row],[Age]]&lt;=44,"35-44",
HRData[[#This Row],[Age]]&lt;=54,"45-54",
HRData[[#This Row],[Age]]&gt;=55,"55+"
)</f>
        <v>25-34</v>
      </c>
      <c r="C934" t="s">
        <v>35</v>
      </c>
      <c r="D934">
        <f>IF(HRData[[#This Row],[Attrition]]="Yes",1,0)</f>
        <v>1</v>
      </c>
      <c r="E934" t="s">
        <v>36</v>
      </c>
      <c r="F934">
        <v>806</v>
      </c>
      <c r="G934" t="s">
        <v>45</v>
      </c>
      <c r="H934">
        <v>7</v>
      </c>
      <c r="I934">
        <v>3</v>
      </c>
      <c r="J934" t="s">
        <v>60</v>
      </c>
      <c r="K934">
        <v>1</v>
      </c>
      <c r="L934">
        <v>1299</v>
      </c>
      <c r="M934">
        <v>2</v>
      </c>
      <c r="N934" t="str" cm="1">
        <f t="array" ref="N934">_xlfn.IFS(HRData[[#This Row],[EnvironmentSatisfaction]]=1,"Very Dissatisfied",
HRData[[#This Row],[EnvironmentSatisfaction]]=2,"Dissatisfied",
HRData[[#This Row],[EnvironmentSatisfaction]]=3,"Satisfied",
HRData[[#This Row],[EnvironmentSatisfaction]]=4,"Very Satisfied"
)</f>
        <v>Dissatisfied</v>
      </c>
      <c r="O934" t="s">
        <v>39</v>
      </c>
      <c r="P934">
        <v>39</v>
      </c>
      <c r="Q934">
        <v>3</v>
      </c>
      <c r="R934">
        <v>1</v>
      </c>
      <c r="S934" t="s">
        <v>50</v>
      </c>
      <c r="T934">
        <v>3</v>
      </c>
      <c r="U934" t="str" cm="1">
        <f t="array" ref="U934">_xlfn.IFS(
HRData[[#This Row],[JobSatisfaction]]=1,"Very Dissatisfied",
HRData[[#This Row],[JobSatisfaction]]=2,"Dissatisfied",
HRData[[#This Row],[JobSatisfaction]]=3,"Satisfied",
HRData[[#This Row],[JobSatisfaction]]=4,"Very Satisfied"
)</f>
        <v>Satisfied</v>
      </c>
      <c r="V934" t="s">
        <v>52</v>
      </c>
      <c r="W934">
        <v>3339</v>
      </c>
      <c r="X934" t="str" cm="1">
        <f t="array" ref="X934">_xlfn.IFS(
HRData[[#This Row],[MonthlyIncome]]&lt;=4000,"Very Low Income",
HRData[[#This Row],[MonthlyIncome]]&lt;=8000,"Low Income",
HRData[[#This Row],[MonthlyIncome]]&lt;=12000,"Moderate Income",
HRData[[#This Row],[MonthlyIncome]]&lt;=16000,"High Income",
HRData[[#This Row],[MonthlyIncome]]&gt;16000,"Very High Income"
)</f>
        <v>Very Low Income</v>
      </c>
      <c r="Y934">
        <v>17285</v>
      </c>
      <c r="Z934">
        <v>3</v>
      </c>
      <c r="AA934" t="s">
        <v>42</v>
      </c>
      <c r="AB934" t="s">
        <v>35</v>
      </c>
      <c r="AC934">
        <v>13</v>
      </c>
      <c r="AD934" t="str" cm="1">
        <f t="array" ref="AD934">_xlfn.IFS(HRData[[#This Row],[PercentSalaryHike]]&lt;=15,"11-15",HRData[[#This Row],[PercentSalaryHike]]&lt;=20,"16-20",HRData[[#This Row],[PercentSalaryHike]]&gt;=21,"21+")</f>
        <v>11-15</v>
      </c>
      <c r="AE934">
        <v>3</v>
      </c>
      <c r="AF934">
        <v>1</v>
      </c>
      <c r="AG934">
        <v>80</v>
      </c>
      <c r="AH934">
        <v>2</v>
      </c>
      <c r="AI934">
        <v>10</v>
      </c>
      <c r="AJ934">
        <v>2</v>
      </c>
      <c r="AK934">
        <v>3</v>
      </c>
      <c r="AL934">
        <v>7</v>
      </c>
      <c r="AM934">
        <v>7</v>
      </c>
      <c r="AN934">
        <v>7</v>
      </c>
      <c r="AO934">
        <v>7</v>
      </c>
      <c r="AP93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34" t="str">
        <f>IF(HRData[[#This Row],[Attrition]]="Yes","Left", IF(HRData[[#This Row],[Attrition_Risk_Score]]&gt;=6,"High",IF(HRData[[#This Row],[Attrition_Risk_Score]]&gt;=3,"Medium","Low")))</f>
        <v>Left</v>
      </c>
      <c r="AR934" t="str">
        <f>IF(HRData[[#This Row],[Attrition_Risk_Level]]&lt;&gt;"High","",HRData[[#This Row],[Attrition_Risk_Score]]*10000-HRData[[#This Row],[EmployeeNumber]])</f>
        <v/>
      </c>
    </row>
    <row r="935" spans="1:44">
      <c r="A935">
        <v>28</v>
      </c>
      <c r="B935" t="str" cm="1">
        <f t="array" ref="B935">_xlfn.IFS(
HRData[[#This Row],[Age]]&lt;=24,"18-24",
HRData[[#This Row],[Age]]&lt;=34,"25-34",
HRData[[#This Row],[Age]]&lt;=44,"35-44",
HRData[[#This Row],[Age]]&lt;=54,"45-54",
HRData[[#This Row],[Age]]&gt;=55,"55+"
)</f>
        <v>25-34</v>
      </c>
      <c r="C935" t="s">
        <v>43</v>
      </c>
      <c r="D935">
        <f>IF(HRData[[#This Row],[Attrition]]="Yes",1,0)</f>
        <v>0</v>
      </c>
      <c r="E935" t="s">
        <v>36</v>
      </c>
      <c r="F935">
        <v>640</v>
      </c>
      <c r="G935" t="s">
        <v>45</v>
      </c>
      <c r="H935">
        <v>1</v>
      </c>
      <c r="I935">
        <v>3</v>
      </c>
      <c r="J935" t="s">
        <v>60</v>
      </c>
      <c r="K935">
        <v>1</v>
      </c>
      <c r="L935">
        <v>1301</v>
      </c>
      <c r="M935">
        <v>4</v>
      </c>
      <c r="N935" t="str" cm="1">
        <f t="array" ref="N935">_xlfn.IFS(HRData[[#This Row],[EnvironmentSatisfaction]]=1,"Very Dissatisfied",
HRData[[#This Row],[EnvironmentSatisfaction]]=2,"Dissatisfied",
HRData[[#This Row],[EnvironmentSatisfaction]]=3,"Satisfied",
HRData[[#This Row],[EnvironmentSatisfaction]]=4,"Very Satisfied"
)</f>
        <v>Very Satisfied</v>
      </c>
      <c r="O935" t="s">
        <v>46</v>
      </c>
      <c r="P935">
        <v>84</v>
      </c>
      <c r="Q935">
        <v>3</v>
      </c>
      <c r="R935">
        <v>1</v>
      </c>
      <c r="S935" t="s">
        <v>47</v>
      </c>
      <c r="T935">
        <v>1</v>
      </c>
      <c r="U935" t="str" cm="1">
        <f t="array" ref="U935">_xlfn.IFS(
HRData[[#This Row],[JobSatisfaction]]=1,"Very Dissatisfied",
HRData[[#This Row],[JobSatisfaction]]=2,"Dissatisfied",
HRData[[#This Row],[JobSatisfaction]]=3,"Satisfied",
HRData[[#This Row],[JobSatisfaction]]=4,"Very Satisfied"
)</f>
        <v>Very Dissatisfied</v>
      </c>
      <c r="V935" t="s">
        <v>41</v>
      </c>
      <c r="W935">
        <v>2080</v>
      </c>
      <c r="X935" t="str" cm="1">
        <f t="array" ref="X935">_xlfn.IFS(
HRData[[#This Row],[MonthlyIncome]]&lt;=4000,"Very Low Income",
HRData[[#This Row],[MonthlyIncome]]&lt;=8000,"Low Income",
HRData[[#This Row],[MonthlyIncome]]&lt;=12000,"Moderate Income",
HRData[[#This Row],[MonthlyIncome]]&lt;=16000,"High Income",
HRData[[#This Row],[MonthlyIncome]]&gt;16000,"Very High Income"
)</f>
        <v>Very Low Income</v>
      </c>
      <c r="Y935">
        <v>4732</v>
      </c>
      <c r="Z935">
        <v>2</v>
      </c>
      <c r="AA935" t="s">
        <v>42</v>
      </c>
      <c r="AB935" t="s">
        <v>43</v>
      </c>
      <c r="AC935">
        <v>11</v>
      </c>
      <c r="AD935" t="str" cm="1">
        <f t="array" ref="AD935">_xlfn.IFS(HRData[[#This Row],[PercentSalaryHike]]&lt;=15,"11-15",HRData[[#This Row],[PercentSalaryHike]]&lt;=20,"16-20",HRData[[#This Row],[PercentSalaryHike]]&gt;=21,"21+")</f>
        <v>11-15</v>
      </c>
      <c r="AE935">
        <v>3</v>
      </c>
      <c r="AF935">
        <v>2</v>
      </c>
      <c r="AG935">
        <v>80</v>
      </c>
      <c r="AH935">
        <v>0</v>
      </c>
      <c r="AI935">
        <v>5</v>
      </c>
      <c r="AJ935">
        <v>2</v>
      </c>
      <c r="AK935">
        <v>2</v>
      </c>
      <c r="AL935">
        <v>3</v>
      </c>
      <c r="AM935">
        <v>2</v>
      </c>
      <c r="AN935">
        <v>1</v>
      </c>
      <c r="AO935">
        <v>2</v>
      </c>
      <c r="AP93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935" t="str">
        <f>IF(HRData[[#This Row],[Attrition]]="Yes","Left", IF(HRData[[#This Row],[Attrition_Risk_Score]]&gt;=6,"High",IF(HRData[[#This Row],[Attrition_Risk_Score]]&gt;=3,"Medium","Low")))</f>
        <v>Medium</v>
      </c>
      <c r="AR935" t="str">
        <f>IF(HRData[[#This Row],[Attrition_Risk_Level]]&lt;&gt;"High","",HRData[[#This Row],[Attrition_Risk_Score]]*10000-HRData[[#This Row],[EmployeeNumber]])</f>
        <v/>
      </c>
    </row>
    <row r="936" spans="1:44">
      <c r="A936">
        <v>25</v>
      </c>
      <c r="B936" t="str" cm="1">
        <f t="array" ref="B936">_xlfn.IFS(
HRData[[#This Row],[Age]]&lt;=24,"18-24",
HRData[[#This Row],[Age]]&lt;=34,"25-34",
HRData[[#This Row],[Age]]&lt;=44,"35-44",
HRData[[#This Row],[Age]]&lt;=54,"45-54",
HRData[[#This Row],[Age]]&gt;=55,"55+"
)</f>
        <v>25-34</v>
      </c>
      <c r="C936" t="s">
        <v>43</v>
      </c>
      <c r="D936">
        <f>IF(HRData[[#This Row],[Attrition]]="Yes",1,0)</f>
        <v>0</v>
      </c>
      <c r="E936" t="s">
        <v>36</v>
      </c>
      <c r="F936">
        <v>266</v>
      </c>
      <c r="G936" t="s">
        <v>45</v>
      </c>
      <c r="H936">
        <v>1</v>
      </c>
      <c r="I936">
        <v>3</v>
      </c>
      <c r="J936" t="s">
        <v>51</v>
      </c>
      <c r="K936">
        <v>1</v>
      </c>
      <c r="L936">
        <v>1303</v>
      </c>
      <c r="M936">
        <v>4</v>
      </c>
      <c r="N936" t="str" cm="1">
        <f t="array" ref="N936">_xlfn.IFS(HRData[[#This Row],[EnvironmentSatisfaction]]=1,"Very Dissatisfied",
HRData[[#This Row],[EnvironmentSatisfaction]]=2,"Dissatisfied",
HRData[[#This Row],[EnvironmentSatisfaction]]=3,"Satisfied",
HRData[[#This Row],[EnvironmentSatisfaction]]=4,"Very Satisfied"
)</f>
        <v>Very Satisfied</v>
      </c>
      <c r="O936" t="s">
        <v>39</v>
      </c>
      <c r="P936">
        <v>40</v>
      </c>
      <c r="Q936">
        <v>3</v>
      </c>
      <c r="R936">
        <v>1</v>
      </c>
      <c r="S936" t="s">
        <v>47</v>
      </c>
      <c r="T936">
        <v>2</v>
      </c>
      <c r="U936" t="str" cm="1">
        <f t="array" ref="U936">_xlfn.IFS(
HRData[[#This Row],[JobSatisfaction]]=1,"Very Dissatisfied",
HRData[[#This Row],[JobSatisfaction]]=2,"Dissatisfied",
HRData[[#This Row],[JobSatisfaction]]=3,"Satisfied",
HRData[[#This Row],[JobSatisfaction]]=4,"Very Satisfied"
)</f>
        <v>Dissatisfied</v>
      </c>
      <c r="V936" t="s">
        <v>41</v>
      </c>
      <c r="W936">
        <v>2096</v>
      </c>
      <c r="X936" t="str" cm="1">
        <f t="array" ref="X936">_xlfn.IFS(
HRData[[#This Row],[MonthlyIncome]]&lt;=4000,"Very Low Income",
HRData[[#This Row],[MonthlyIncome]]&lt;=8000,"Low Income",
HRData[[#This Row],[MonthlyIncome]]&lt;=12000,"Moderate Income",
HRData[[#This Row],[MonthlyIncome]]&lt;=16000,"High Income",
HRData[[#This Row],[MonthlyIncome]]&gt;16000,"Very High Income"
)</f>
        <v>Very Low Income</v>
      </c>
      <c r="Y936">
        <v>18830</v>
      </c>
      <c r="Z936">
        <v>1</v>
      </c>
      <c r="AA936" t="s">
        <v>42</v>
      </c>
      <c r="AB936" t="s">
        <v>43</v>
      </c>
      <c r="AC936">
        <v>18</v>
      </c>
      <c r="AD936" t="str" cm="1">
        <f t="array" ref="AD936">_xlfn.IFS(HRData[[#This Row],[PercentSalaryHike]]&lt;=15,"11-15",HRData[[#This Row],[PercentSalaryHike]]&lt;=20,"16-20",HRData[[#This Row],[PercentSalaryHike]]&gt;=21,"21+")</f>
        <v>16-20</v>
      </c>
      <c r="AE936">
        <v>3</v>
      </c>
      <c r="AF936">
        <v>4</v>
      </c>
      <c r="AG936">
        <v>80</v>
      </c>
      <c r="AH936">
        <v>0</v>
      </c>
      <c r="AI936">
        <v>2</v>
      </c>
      <c r="AJ936">
        <v>3</v>
      </c>
      <c r="AK936">
        <v>2</v>
      </c>
      <c r="AL936">
        <v>2</v>
      </c>
      <c r="AM936">
        <v>2</v>
      </c>
      <c r="AN936">
        <v>2</v>
      </c>
      <c r="AO936">
        <v>1</v>
      </c>
      <c r="AP93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36" t="str">
        <f>IF(HRData[[#This Row],[Attrition]]="Yes","Left", IF(HRData[[#This Row],[Attrition_Risk_Score]]&gt;=6,"High",IF(HRData[[#This Row],[Attrition_Risk_Score]]&gt;=3,"Medium","Low")))</f>
        <v>Medium</v>
      </c>
      <c r="AR936" t="str">
        <f>IF(HRData[[#This Row],[Attrition_Risk_Level]]&lt;&gt;"High","",HRData[[#This Row],[Attrition_Risk_Score]]*10000-HRData[[#This Row],[EmployeeNumber]])</f>
        <v/>
      </c>
    </row>
    <row r="937" spans="1:44">
      <c r="A937">
        <v>32</v>
      </c>
      <c r="B937" t="str" cm="1">
        <f t="array" ref="B937">_xlfn.IFS(
HRData[[#This Row],[Age]]&lt;=24,"18-24",
HRData[[#This Row],[Age]]&lt;=34,"25-34",
HRData[[#This Row],[Age]]&lt;=44,"35-44",
HRData[[#This Row],[Age]]&lt;=54,"45-54",
HRData[[#This Row],[Age]]&gt;=55,"55+"
)</f>
        <v>25-34</v>
      </c>
      <c r="C937" t="s">
        <v>43</v>
      </c>
      <c r="D937">
        <f>IF(HRData[[#This Row],[Attrition]]="Yes",1,0)</f>
        <v>0</v>
      </c>
      <c r="E937" t="s">
        <v>36</v>
      </c>
      <c r="F937">
        <v>604</v>
      </c>
      <c r="G937" t="s">
        <v>37</v>
      </c>
      <c r="H937">
        <v>8</v>
      </c>
      <c r="I937">
        <v>3</v>
      </c>
      <c r="J937" t="s">
        <v>51</v>
      </c>
      <c r="K937">
        <v>1</v>
      </c>
      <c r="L937">
        <v>1304</v>
      </c>
      <c r="M937">
        <v>3</v>
      </c>
      <c r="N937" t="str" cm="1">
        <f t="array" ref="N937">_xlfn.IFS(HRData[[#This Row],[EnvironmentSatisfaction]]=1,"Very Dissatisfied",
HRData[[#This Row],[EnvironmentSatisfaction]]=2,"Dissatisfied",
HRData[[#This Row],[EnvironmentSatisfaction]]=3,"Satisfied",
HRData[[#This Row],[EnvironmentSatisfaction]]=4,"Very Satisfied"
)</f>
        <v>Satisfied</v>
      </c>
      <c r="O937" t="s">
        <v>46</v>
      </c>
      <c r="P937">
        <v>56</v>
      </c>
      <c r="Q937">
        <v>4</v>
      </c>
      <c r="R937">
        <v>2</v>
      </c>
      <c r="S937" t="s">
        <v>40</v>
      </c>
      <c r="T937">
        <v>4</v>
      </c>
      <c r="U937" t="str" cm="1">
        <f t="array" ref="U937">_xlfn.IFS(
HRData[[#This Row],[JobSatisfaction]]=1,"Very Dissatisfied",
HRData[[#This Row],[JobSatisfaction]]=2,"Dissatisfied",
HRData[[#This Row],[JobSatisfaction]]=3,"Satisfied",
HRData[[#This Row],[JobSatisfaction]]=4,"Very Satisfied"
)</f>
        <v>Very Satisfied</v>
      </c>
      <c r="V937" t="s">
        <v>48</v>
      </c>
      <c r="W937">
        <v>6209</v>
      </c>
      <c r="X937" t="str" cm="1">
        <f t="array" ref="X937">_xlfn.IFS(
HRData[[#This Row],[MonthlyIncome]]&lt;=4000,"Very Low Income",
HRData[[#This Row],[MonthlyIncome]]&lt;=8000,"Low Income",
HRData[[#This Row],[MonthlyIncome]]&lt;=12000,"Moderate Income",
HRData[[#This Row],[MonthlyIncome]]&lt;=16000,"High Income",
HRData[[#This Row],[MonthlyIncome]]&gt;16000,"Very High Income"
)</f>
        <v>Low Income</v>
      </c>
      <c r="Y937">
        <v>11693</v>
      </c>
      <c r="Z937">
        <v>1</v>
      </c>
      <c r="AA937" t="s">
        <v>42</v>
      </c>
      <c r="AB937" t="s">
        <v>43</v>
      </c>
      <c r="AC937">
        <v>15</v>
      </c>
      <c r="AD937" t="str" cm="1">
        <f t="array" ref="AD937">_xlfn.IFS(HRData[[#This Row],[PercentSalaryHike]]&lt;=15,"11-15",HRData[[#This Row],[PercentSalaryHike]]&lt;=20,"16-20",HRData[[#This Row],[PercentSalaryHike]]&gt;=21,"21+")</f>
        <v>11-15</v>
      </c>
      <c r="AE937">
        <v>3</v>
      </c>
      <c r="AF937">
        <v>3</v>
      </c>
      <c r="AG937">
        <v>80</v>
      </c>
      <c r="AH937">
        <v>2</v>
      </c>
      <c r="AI937">
        <v>10</v>
      </c>
      <c r="AJ937">
        <v>4</v>
      </c>
      <c r="AK937">
        <v>4</v>
      </c>
      <c r="AL937">
        <v>10</v>
      </c>
      <c r="AM937">
        <v>7</v>
      </c>
      <c r="AN937">
        <v>0</v>
      </c>
      <c r="AO937">
        <v>8</v>
      </c>
      <c r="AP93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37" t="str">
        <f>IF(HRData[[#This Row],[Attrition]]="Yes","Left", IF(HRData[[#This Row],[Attrition_Risk_Score]]&gt;=6,"High",IF(HRData[[#This Row],[Attrition_Risk_Score]]&gt;=3,"Medium","Low")))</f>
        <v>Low</v>
      </c>
      <c r="AR937" t="str">
        <f>IF(HRData[[#This Row],[Attrition_Risk_Level]]&lt;&gt;"High","",HRData[[#This Row],[Attrition_Risk_Score]]*10000-HRData[[#This Row],[EmployeeNumber]])</f>
        <v/>
      </c>
    </row>
    <row r="938" spans="1:44">
      <c r="A938">
        <v>45</v>
      </c>
      <c r="B938" t="str" cm="1">
        <f t="array" ref="B938">_xlfn.IFS(
HRData[[#This Row],[Age]]&lt;=24,"18-24",
HRData[[#This Row],[Age]]&lt;=34,"25-34",
HRData[[#This Row],[Age]]&lt;=44,"35-44",
HRData[[#This Row],[Age]]&lt;=54,"45-54",
HRData[[#This Row],[Age]]&gt;=55,"55+"
)</f>
        <v>45-54</v>
      </c>
      <c r="C938" t="s">
        <v>43</v>
      </c>
      <c r="D938">
        <f>IF(HRData[[#This Row],[Attrition]]="Yes",1,0)</f>
        <v>0</v>
      </c>
      <c r="E938" t="s">
        <v>44</v>
      </c>
      <c r="F938">
        <v>364</v>
      </c>
      <c r="G938" t="s">
        <v>45</v>
      </c>
      <c r="H938">
        <v>25</v>
      </c>
      <c r="I938">
        <v>3</v>
      </c>
      <c r="J938" t="s">
        <v>51</v>
      </c>
      <c r="K938">
        <v>1</v>
      </c>
      <c r="L938">
        <v>1306</v>
      </c>
      <c r="M938">
        <v>2</v>
      </c>
      <c r="N938" t="str" cm="1">
        <f t="array" ref="N938">_xlfn.IFS(HRData[[#This Row],[EnvironmentSatisfaction]]=1,"Very Dissatisfied",
HRData[[#This Row],[EnvironmentSatisfaction]]=2,"Dissatisfied",
HRData[[#This Row],[EnvironmentSatisfaction]]=3,"Satisfied",
HRData[[#This Row],[EnvironmentSatisfaction]]=4,"Very Satisfied"
)</f>
        <v>Dissatisfied</v>
      </c>
      <c r="O938" t="s">
        <v>39</v>
      </c>
      <c r="P938">
        <v>83</v>
      </c>
      <c r="Q938">
        <v>3</v>
      </c>
      <c r="R938">
        <v>5</v>
      </c>
      <c r="S938" t="s">
        <v>56</v>
      </c>
      <c r="T938">
        <v>2</v>
      </c>
      <c r="U938" t="str" cm="1">
        <f t="array" ref="U938">_xlfn.IFS(
HRData[[#This Row],[JobSatisfaction]]=1,"Very Dissatisfied",
HRData[[#This Row],[JobSatisfaction]]=2,"Dissatisfied",
HRData[[#This Row],[JobSatisfaction]]=3,"Satisfied",
HRData[[#This Row],[JobSatisfaction]]=4,"Very Satisfied"
)</f>
        <v>Dissatisfied</v>
      </c>
      <c r="V938" t="s">
        <v>41</v>
      </c>
      <c r="W938">
        <v>18061</v>
      </c>
      <c r="X938" t="str" cm="1">
        <f t="array" ref="X938">_xlfn.IFS(
HRData[[#This Row],[MonthlyIncome]]&lt;=4000,"Very Low Income",
HRData[[#This Row],[MonthlyIncome]]&lt;=8000,"Low Income",
HRData[[#This Row],[MonthlyIncome]]&lt;=12000,"Moderate Income",
HRData[[#This Row],[MonthlyIncome]]&lt;=16000,"High Income",
HRData[[#This Row],[MonthlyIncome]]&gt;16000,"Very High Income"
)</f>
        <v>Very High Income</v>
      </c>
      <c r="Y938">
        <v>13035</v>
      </c>
      <c r="Z938">
        <v>3</v>
      </c>
      <c r="AA938" t="s">
        <v>42</v>
      </c>
      <c r="AB938" t="s">
        <v>43</v>
      </c>
      <c r="AC938">
        <v>22</v>
      </c>
      <c r="AD938" t="str" cm="1">
        <f t="array" ref="AD938">_xlfn.IFS(HRData[[#This Row],[PercentSalaryHike]]&lt;=15,"11-15",HRData[[#This Row],[PercentSalaryHike]]&lt;=20,"16-20",HRData[[#This Row],[PercentSalaryHike]]&gt;=21,"21+")</f>
        <v>21+</v>
      </c>
      <c r="AE938">
        <v>4</v>
      </c>
      <c r="AF938">
        <v>3</v>
      </c>
      <c r="AG938">
        <v>80</v>
      </c>
      <c r="AH938">
        <v>0</v>
      </c>
      <c r="AI938">
        <v>22</v>
      </c>
      <c r="AJ938">
        <v>4</v>
      </c>
      <c r="AK938">
        <v>3</v>
      </c>
      <c r="AL938">
        <v>0</v>
      </c>
      <c r="AM938">
        <v>0</v>
      </c>
      <c r="AN938">
        <v>0</v>
      </c>
      <c r="AO938">
        <v>0</v>
      </c>
      <c r="AP93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938" t="str">
        <f>IF(HRData[[#This Row],[Attrition]]="Yes","Left", IF(HRData[[#This Row],[Attrition_Risk_Score]]&gt;=6,"High",IF(HRData[[#This Row],[Attrition_Risk_Score]]&gt;=3,"Medium","Low")))</f>
        <v>Low</v>
      </c>
      <c r="AR938" t="str">
        <f>IF(HRData[[#This Row],[Attrition_Risk_Level]]&lt;&gt;"High","",HRData[[#This Row],[Attrition_Risk_Score]]*10000-HRData[[#This Row],[EmployeeNumber]])</f>
        <v/>
      </c>
    </row>
    <row r="939" spans="1:44">
      <c r="A939">
        <v>39</v>
      </c>
      <c r="B939" t="str" cm="1">
        <f t="array" ref="B939">_xlfn.IFS(
HRData[[#This Row],[Age]]&lt;=24,"18-24",
HRData[[#This Row],[Age]]&lt;=34,"25-34",
HRData[[#This Row],[Age]]&lt;=44,"35-44",
HRData[[#This Row],[Age]]&lt;=54,"45-54",
HRData[[#This Row],[Age]]&gt;=55,"55+"
)</f>
        <v>35-44</v>
      </c>
      <c r="C939" t="s">
        <v>43</v>
      </c>
      <c r="D939">
        <f>IF(HRData[[#This Row],[Attrition]]="Yes",1,0)</f>
        <v>0</v>
      </c>
      <c r="E939" t="s">
        <v>36</v>
      </c>
      <c r="F939">
        <v>412</v>
      </c>
      <c r="G939" t="s">
        <v>45</v>
      </c>
      <c r="H939">
        <v>13</v>
      </c>
      <c r="I939">
        <v>4</v>
      </c>
      <c r="J939" t="s">
        <v>51</v>
      </c>
      <c r="K939">
        <v>1</v>
      </c>
      <c r="L939">
        <v>1307</v>
      </c>
      <c r="M939">
        <v>3</v>
      </c>
      <c r="N939" t="str" cm="1">
        <f t="array" ref="N939">_xlfn.IFS(HRData[[#This Row],[EnvironmentSatisfaction]]=1,"Very Dissatisfied",
HRData[[#This Row],[EnvironmentSatisfaction]]=2,"Dissatisfied",
HRData[[#This Row],[EnvironmentSatisfaction]]=3,"Satisfied",
HRData[[#This Row],[EnvironmentSatisfaction]]=4,"Very Satisfied"
)</f>
        <v>Satisfied</v>
      </c>
      <c r="O939" t="s">
        <v>39</v>
      </c>
      <c r="P939">
        <v>94</v>
      </c>
      <c r="Q939">
        <v>2</v>
      </c>
      <c r="R939">
        <v>4</v>
      </c>
      <c r="S939" t="s">
        <v>56</v>
      </c>
      <c r="T939">
        <v>2</v>
      </c>
      <c r="U939" t="str" cm="1">
        <f t="array" ref="U939">_xlfn.IFS(
HRData[[#This Row],[JobSatisfaction]]=1,"Very Dissatisfied",
HRData[[#This Row],[JobSatisfaction]]=2,"Dissatisfied",
HRData[[#This Row],[JobSatisfaction]]=3,"Satisfied",
HRData[[#This Row],[JobSatisfaction]]=4,"Very Satisfied"
)</f>
        <v>Dissatisfied</v>
      </c>
      <c r="V939" t="s">
        <v>52</v>
      </c>
      <c r="W939">
        <v>17123</v>
      </c>
      <c r="X939" t="str" cm="1">
        <f t="array" ref="X939">_xlfn.IFS(
HRData[[#This Row],[MonthlyIncome]]&lt;=4000,"Very Low Income",
HRData[[#This Row],[MonthlyIncome]]&lt;=8000,"Low Income",
HRData[[#This Row],[MonthlyIncome]]&lt;=12000,"Moderate Income",
HRData[[#This Row],[MonthlyIncome]]&lt;=16000,"High Income",
HRData[[#This Row],[MonthlyIncome]]&gt;16000,"Very High Income"
)</f>
        <v>Very High Income</v>
      </c>
      <c r="Y939">
        <v>17334</v>
      </c>
      <c r="Z939">
        <v>6</v>
      </c>
      <c r="AA939" t="s">
        <v>42</v>
      </c>
      <c r="AB939" t="s">
        <v>35</v>
      </c>
      <c r="AC939">
        <v>13</v>
      </c>
      <c r="AD939" t="str" cm="1">
        <f t="array" ref="AD939">_xlfn.IFS(HRData[[#This Row],[PercentSalaryHike]]&lt;=15,"11-15",HRData[[#This Row],[PercentSalaryHike]]&lt;=20,"16-20",HRData[[#This Row],[PercentSalaryHike]]&gt;=21,"21+")</f>
        <v>11-15</v>
      </c>
      <c r="AE939">
        <v>3</v>
      </c>
      <c r="AF939">
        <v>4</v>
      </c>
      <c r="AG939">
        <v>80</v>
      </c>
      <c r="AH939">
        <v>2</v>
      </c>
      <c r="AI939">
        <v>21</v>
      </c>
      <c r="AJ939">
        <v>4</v>
      </c>
      <c r="AK939">
        <v>3</v>
      </c>
      <c r="AL939">
        <v>19</v>
      </c>
      <c r="AM939">
        <v>9</v>
      </c>
      <c r="AN939">
        <v>15</v>
      </c>
      <c r="AO939">
        <v>2</v>
      </c>
      <c r="AP93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39" t="str">
        <f>IF(HRData[[#This Row],[Attrition]]="Yes","Left", IF(HRData[[#This Row],[Attrition_Risk_Score]]&gt;=6,"High",IF(HRData[[#This Row],[Attrition_Risk_Score]]&gt;=3,"Medium","Low")))</f>
        <v>Low</v>
      </c>
      <c r="AR939" t="str">
        <f>IF(HRData[[#This Row],[Attrition_Risk_Level]]&lt;&gt;"High","",HRData[[#This Row],[Attrition_Risk_Score]]*10000-HRData[[#This Row],[EmployeeNumber]])</f>
        <v/>
      </c>
    </row>
    <row r="940" spans="1:44">
      <c r="A940">
        <v>58</v>
      </c>
      <c r="B940" t="str" cm="1">
        <f t="array" ref="B940">_xlfn.IFS(
HRData[[#This Row],[Age]]&lt;=24,"18-24",
HRData[[#This Row],[Age]]&lt;=34,"25-34",
HRData[[#This Row],[Age]]&lt;=44,"35-44",
HRData[[#This Row],[Age]]&lt;=54,"45-54",
HRData[[#This Row],[Age]]&gt;=55,"55+"
)</f>
        <v>55+</v>
      </c>
      <c r="C940" t="s">
        <v>43</v>
      </c>
      <c r="D940">
        <f>IF(HRData[[#This Row],[Attrition]]="Yes",1,0)</f>
        <v>0</v>
      </c>
      <c r="E940" t="s">
        <v>36</v>
      </c>
      <c r="F940">
        <v>848</v>
      </c>
      <c r="G940" t="s">
        <v>45</v>
      </c>
      <c r="H940">
        <v>23</v>
      </c>
      <c r="I940">
        <v>4</v>
      </c>
      <c r="J940" t="s">
        <v>38</v>
      </c>
      <c r="K940">
        <v>1</v>
      </c>
      <c r="L940">
        <v>1308</v>
      </c>
      <c r="M940">
        <v>1</v>
      </c>
      <c r="N940" t="str" cm="1">
        <f t="array" ref="N940">_xlfn.IFS(HRData[[#This Row],[EnvironmentSatisfaction]]=1,"Very Dissatisfied",
HRData[[#This Row],[EnvironmentSatisfaction]]=2,"Dissatisfied",
HRData[[#This Row],[EnvironmentSatisfaction]]=3,"Satisfied",
HRData[[#This Row],[EnvironmentSatisfaction]]=4,"Very Satisfied"
)</f>
        <v>Very Dissatisfied</v>
      </c>
      <c r="O940" t="s">
        <v>46</v>
      </c>
      <c r="P940">
        <v>88</v>
      </c>
      <c r="Q940">
        <v>3</v>
      </c>
      <c r="R940">
        <v>1</v>
      </c>
      <c r="S940" t="s">
        <v>47</v>
      </c>
      <c r="T940">
        <v>3</v>
      </c>
      <c r="U940" t="str" cm="1">
        <f t="array" ref="U940">_xlfn.IFS(
HRData[[#This Row],[JobSatisfaction]]=1,"Very Dissatisfied",
HRData[[#This Row],[JobSatisfaction]]=2,"Dissatisfied",
HRData[[#This Row],[JobSatisfaction]]=3,"Satisfied",
HRData[[#This Row],[JobSatisfaction]]=4,"Very Satisfied"
)</f>
        <v>Satisfied</v>
      </c>
      <c r="V940" t="s">
        <v>52</v>
      </c>
      <c r="W940">
        <v>2372</v>
      </c>
      <c r="X940" t="str" cm="1">
        <f t="array" ref="X940">_xlfn.IFS(
HRData[[#This Row],[MonthlyIncome]]&lt;=4000,"Very Low Income",
HRData[[#This Row],[MonthlyIncome]]&lt;=8000,"Low Income",
HRData[[#This Row],[MonthlyIncome]]&lt;=12000,"Moderate Income",
HRData[[#This Row],[MonthlyIncome]]&lt;=16000,"High Income",
HRData[[#This Row],[MonthlyIncome]]&gt;16000,"Very High Income"
)</f>
        <v>Very Low Income</v>
      </c>
      <c r="Y940">
        <v>26076</v>
      </c>
      <c r="Z940">
        <v>1</v>
      </c>
      <c r="AA940" t="s">
        <v>42</v>
      </c>
      <c r="AB940" t="s">
        <v>43</v>
      </c>
      <c r="AC940">
        <v>12</v>
      </c>
      <c r="AD940" t="str" cm="1">
        <f t="array" ref="AD940">_xlfn.IFS(HRData[[#This Row],[PercentSalaryHike]]&lt;=15,"11-15",HRData[[#This Row],[PercentSalaryHike]]&lt;=20,"16-20",HRData[[#This Row],[PercentSalaryHike]]&gt;=21,"21+")</f>
        <v>11-15</v>
      </c>
      <c r="AE940">
        <v>3</v>
      </c>
      <c r="AF940">
        <v>4</v>
      </c>
      <c r="AG940">
        <v>80</v>
      </c>
      <c r="AH940">
        <v>2</v>
      </c>
      <c r="AI940">
        <v>2</v>
      </c>
      <c r="AJ940">
        <v>3</v>
      </c>
      <c r="AK940">
        <v>3</v>
      </c>
      <c r="AL940">
        <v>2</v>
      </c>
      <c r="AM940">
        <v>2</v>
      </c>
      <c r="AN940">
        <v>2</v>
      </c>
      <c r="AO940">
        <v>2</v>
      </c>
      <c r="AP94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40" t="str">
        <f>IF(HRData[[#This Row],[Attrition]]="Yes","Left", IF(HRData[[#This Row],[Attrition_Risk_Score]]&gt;=6,"High",IF(HRData[[#This Row],[Attrition_Risk_Score]]&gt;=3,"Medium","Low")))</f>
        <v>Low</v>
      </c>
      <c r="AR940" t="str">
        <f>IF(HRData[[#This Row],[Attrition_Risk_Level]]&lt;&gt;"High","",HRData[[#This Row],[Attrition_Risk_Score]]*10000-HRData[[#This Row],[EmployeeNumber]])</f>
        <v/>
      </c>
    </row>
    <row r="941" spans="1:44">
      <c r="A941">
        <v>32</v>
      </c>
      <c r="B941" t="str" cm="1">
        <f t="array" ref="B941">_xlfn.IFS(
HRData[[#This Row],[Age]]&lt;=24,"18-24",
HRData[[#This Row],[Age]]&lt;=34,"25-34",
HRData[[#This Row],[Age]]&lt;=44,"35-44",
HRData[[#This Row],[Age]]&lt;=54,"45-54",
HRData[[#This Row],[Age]]&gt;=55,"55+"
)</f>
        <v>25-34</v>
      </c>
      <c r="C941" t="s">
        <v>35</v>
      </c>
      <c r="D941">
        <f>IF(HRData[[#This Row],[Attrition]]="Yes",1,0)</f>
        <v>1</v>
      </c>
      <c r="E941" t="s">
        <v>36</v>
      </c>
      <c r="F941">
        <v>1089</v>
      </c>
      <c r="G941" t="s">
        <v>45</v>
      </c>
      <c r="H941">
        <v>7</v>
      </c>
      <c r="I941">
        <v>2</v>
      </c>
      <c r="J941" t="s">
        <v>38</v>
      </c>
      <c r="K941">
        <v>1</v>
      </c>
      <c r="L941">
        <v>1309</v>
      </c>
      <c r="M941">
        <v>4</v>
      </c>
      <c r="N941" t="str" cm="1">
        <f t="array" ref="N941">_xlfn.IFS(HRData[[#This Row],[EnvironmentSatisfaction]]=1,"Very Dissatisfied",
HRData[[#This Row],[EnvironmentSatisfaction]]=2,"Dissatisfied",
HRData[[#This Row],[EnvironmentSatisfaction]]=3,"Satisfied",
HRData[[#This Row],[EnvironmentSatisfaction]]=4,"Very Satisfied"
)</f>
        <v>Very Satisfied</v>
      </c>
      <c r="O941" t="s">
        <v>46</v>
      </c>
      <c r="P941">
        <v>79</v>
      </c>
      <c r="Q941">
        <v>3</v>
      </c>
      <c r="R941">
        <v>2</v>
      </c>
      <c r="S941" t="s">
        <v>50</v>
      </c>
      <c r="T941">
        <v>3</v>
      </c>
      <c r="U941" t="str" cm="1">
        <f t="array" ref="U941">_xlfn.IFS(
HRData[[#This Row],[JobSatisfaction]]=1,"Very Dissatisfied",
HRData[[#This Row],[JobSatisfaction]]=2,"Dissatisfied",
HRData[[#This Row],[JobSatisfaction]]=3,"Satisfied",
HRData[[#This Row],[JobSatisfaction]]=4,"Very Satisfied"
)</f>
        <v>Satisfied</v>
      </c>
      <c r="V941" t="s">
        <v>48</v>
      </c>
      <c r="W941">
        <v>4883</v>
      </c>
      <c r="X941" t="str" cm="1">
        <f t="array" ref="X941">_xlfn.IFS(
HRData[[#This Row],[MonthlyIncome]]&lt;=4000,"Very Low Income",
HRData[[#This Row],[MonthlyIncome]]&lt;=8000,"Low Income",
HRData[[#This Row],[MonthlyIncome]]&lt;=12000,"Moderate Income",
HRData[[#This Row],[MonthlyIncome]]&lt;=16000,"High Income",
HRData[[#This Row],[MonthlyIncome]]&gt;16000,"Very High Income"
)</f>
        <v>Low Income</v>
      </c>
      <c r="Y941">
        <v>22845</v>
      </c>
      <c r="Z941">
        <v>1</v>
      </c>
      <c r="AA941" t="s">
        <v>42</v>
      </c>
      <c r="AB941" t="s">
        <v>43</v>
      </c>
      <c r="AC941">
        <v>18</v>
      </c>
      <c r="AD941" t="str" cm="1">
        <f t="array" ref="AD941">_xlfn.IFS(HRData[[#This Row],[PercentSalaryHike]]&lt;=15,"11-15",HRData[[#This Row],[PercentSalaryHike]]&lt;=20,"16-20",HRData[[#This Row],[PercentSalaryHike]]&gt;=21,"21+")</f>
        <v>16-20</v>
      </c>
      <c r="AE941">
        <v>3</v>
      </c>
      <c r="AF941">
        <v>1</v>
      </c>
      <c r="AG941">
        <v>80</v>
      </c>
      <c r="AH941">
        <v>1</v>
      </c>
      <c r="AI941">
        <v>10</v>
      </c>
      <c r="AJ941">
        <v>3</v>
      </c>
      <c r="AK941">
        <v>3</v>
      </c>
      <c r="AL941">
        <v>10</v>
      </c>
      <c r="AM941">
        <v>4</v>
      </c>
      <c r="AN941">
        <v>1</v>
      </c>
      <c r="AO941">
        <v>1</v>
      </c>
      <c r="AP94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41" t="str">
        <f>IF(HRData[[#This Row],[Attrition]]="Yes","Left", IF(HRData[[#This Row],[Attrition_Risk_Score]]&gt;=6,"High",IF(HRData[[#This Row],[Attrition_Risk_Score]]&gt;=3,"Medium","Low")))</f>
        <v>Left</v>
      </c>
      <c r="AR941" t="str">
        <f>IF(HRData[[#This Row],[Attrition_Risk_Level]]&lt;&gt;"High","",HRData[[#This Row],[Attrition_Risk_Score]]*10000-HRData[[#This Row],[EmployeeNumber]])</f>
        <v/>
      </c>
    </row>
    <row r="942" spans="1:44">
      <c r="A942">
        <v>39</v>
      </c>
      <c r="B942" t="str" cm="1">
        <f t="array" ref="B942">_xlfn.IFS(
HRData[[#This Row],[Age]]&lt;=24,"18-24",
HRData[[#This Row],[Age]]&lt;=34,"25-34",
HRData[[#This Row],[Age]]&lt;=44,"35-44",
HRData[[#This Row],[Age]]&lt;=54,"45-54",
HRData[[#This Row],[Age]]&gt;=55,"55+"
)</f>
        <v>35-44</v>
      </c>
      <c r="C942" t="s">
        <v>35</v>
      </c>
      <c r="D942">
        <f>IF(HRData[[#This Row],[Attrition]]="Yes",1,0)</f>
        <v>1</v>
      </c>
      <c r="E942" t="s">
        <v>36</v>
      </c>
      <c r="F942">
        <v>360</v>
      </c>
      <c r="G942" t="s">
        <v>45</v>
      </c>
      <c r="H942">
        <v>23</v>
      </c>
      <c r="I942">
        <v>3</v>
      </c>
      <c r="J942" t="s">
        <v>51</v>
      </c>
      <c r="K942">
        <v>1</v>
      </c>
      <c r="L942">
        <v>1310</v>
      </c>
      <c r="M942">
        <v>3</v>
      </c>
      <c r="N942" t="str" cm="1">
        <f t="array" ref="N942">_xlfn.IFS(HRData[[#This Row],[EnvironmentSatisfaction]]=1,"Very Dissatisfied",
HRData[[#This Row],[EnvironmentSatisfaction]]=2,"Dissatisfied",
HRData[[#This Row],[EnvironmentSatisfaction]]=3,"Satisfied",
HRData[[#This Row],[EnvironmentSatisfaction]]=4,"Very Satisfied"
)</f>
        <v>Satisfied</v>
      </c>
      <c r="O942" t="s">
        <v>46</v>
      </c>
      <c r="P942">
        <v>93</v>
      </c>
      <c r="Q942">
        <v>3</v>
      </c>
      <c r="R942">
        <v>1</v>
      </c>
      <c r="S942" t="s">
        <v>47</v>
      </c>
      <c r="T942">
        <v>1</v>
      </c>
      <c r="U942" t="str" cm="1">
        <f t="array" ref="U942">_xlfn.IFS(
HRData[[#This Row],[JobSatisfaction]]=1,"Very Dissatisfied",
HRData[[#This Row],[JobSatisfaction]]=2,"Dissatisfied",
HRData[[#This Row],[JobSatisfaction]]=3,"Satisfied",
HRData[[#This Row],[JobSatisfaction]]=4,"Very Satisfied"
)</f>
        <v>Very Dissatisfied</v>
      </c>
      <c r="V942" t="s">
        <v>41</v>
      </c>
      <c r="W942">
        <v>3904</v>
      </c>
      <c r="X942" t="str" cm="1">
        <f t="array" ref="X942">_xlfn.IFS(
HRData[[#This Row],[MonthlyIncome]]&lt;=4000,"Very Low Income",
HRData[[#This Row],[MonthlyIncome]]&lt;=8000,"Low Income",
HRData[[#This Row],[MonthlyIncome]]&lt;=12000,"Moderate Income",
HRData[[#This Row],[MonthlyIncome]]&lt;=16000,"High Income",
HRData[[#This Row],[MonthlyIncome]]&gt;16000,"Very High Income"
)</f>
        <v>Very Low Income</v>
      </c>
      <c r="Y942">
        <v>22154</v>
      </c>
      <c r="Z942">
        <v>0</v>
      </c>
      <c r="AA942" t="s">
        <v>42</v>
      </c>
      <c r="AB942" t="s">
        <v>43</v>
      </c>
      <c r="AC942">
        <v>13</v>
      </c>
      <c r="AD942" t="str" cm="1">
        <f t="array" ref="AD942">_xlfn.IFS(HRData[[#This Row],[PercentSalaryHike]]&lt;=15,"11-15",HRData[[#This Row],[PercentSalaryHike]]&lt;=20,"16-20",HRData[[#This Row],[PercentSalaryHike]]&gt;=21,"21+")</f>
        <v>11-15</v>
      </c>
      <c r="AE942">
        <v>3</v>
      </c>
      <c r="AF942">
        <v>1</v>
      </c>
      <c r="AG942">
        <v>80</v>
      </c>
      <c r="AH942">
        <v>0</v>
      </c>
      <c r="AI942">
        <v>6</v>
      </c>
      <c r="AJ942">
        <v>2</v>
      </c>
      <c r="AK942">
        <v>3</v>
      </c>
      <c r="AL942">
        <v>5</v>
      </c>
      <c r="AM942">
        <v>2</v>
      </c>
      <c r="AN942">
        <v>0</v>
      </c>
      <c r="AO942">
        <v>3</v>
      </c>
      <c r="AP94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42" t="str">
        <f>IF(HRData[[#This Row],[Attrition]]="Yes","Left", IF(HRData[[#This Row],[Attrition_Risk_Score]]&gt;=6,"High",IF(HRData[[#This Row],[Attrition_Risk_Score]]&gt;=3,"Medium","Low")))</f>
        <v>Left</v>
      </c>
      <c r="AR942" t="str">
        <f>IF(HRData[[#This Row],[Attrition_Risk_Level]]&lt;&gt;"High","",HRData[[#This Row],[Attrition_Risk_Score]]*10000-HRData[[#This Row],[EmployeeNumber]])</f>
        <v/>
      </c>
    </row>
    <row r="943" spans="1:44">
      <c r="A943">
        <v>30</v>
      </c>
      <c r="B943" t="str" cm="1">
        <f t="array" ref="B943">_xlfn.IFS(
HRData[[#This Row],[Age]]&lt;=24,"18-24",
HRData[[#This Row],[Age]]&lt;=34,"25-34",
HRData[[#This Row],[Age]]&lt;=44,"35-44",
HRData[[#This Row],[Age]]&lt;=54,"45-54",
HRData[[#This Row],[Age]]&gt;=55,"55+"
)</f>
        <v>25-34</v>
      </c>
      <c r="C943" t="s">
        <v>43</v>
      </c>
      <c r="D943">
        <f>IF(HRData[[#This Row],[Attrition]]="Yes",1,0)</f>
        <v>0</v>
      </c>
      <c r="E943" t="s">
        <v>36</v>
      </c>
      <c r="F943">
        <v>1138</v>
      </c>
      <c r="G943" t="s">
        <v>45</v>
      </c>
      <c r="H943">
        <v>6</v>
      </c>
      <c r="I943">
        <v>3</v>
      </c>
      <c r="J943" t="s">
        <v>60</v>
      </c>
      <c r="K943">
        <v>1</v>
      </c>
      <c r="L943">
        <v>1311</v>
      </c>
      <c r="M943">
        <v>1</v>
      </c>
      <c r="N943" t="str" cm="1">
        <f t="array" ref="N943">_xlfn.IFS(HRData[[#This Row],[EnvironmentSatisfaction]]=1,"Very Dissatisfied",
HRData[[#This Row],[EnvironmentSatisfaction]]=2,"Dissatisfied",
HRData[[#This Row],[EnvironmentSatisfaction]]=3,"Satisfied",
HRData[[#This Row],[EnvironmentSatisfaction]]=4,"Very Satisfied"
)</f>
        <v>Very Dissatisfied</v>
      </c>
      <c r="O943" t="s">
        <v>39</v>
      </c>
      <c r="P943">
        <v>48</v>
      </c>
      <c r="Q943">
        <v>2</v>
      </c>
      <c r="R943">
        <v>2</v>
      </c>
      <c r="S943" t="s">
        <v>50</v>
      </c>
      <c r="T943">
        <v>4</v>
      </c>
      <c r="U943" t="str" cm="1">
        <f t="array" ref="U943">_xlfn.IFS(
HRData[[#This Row],[JobSatisfaction]]=1,"Very Dissatisfied",
HRData[[#This Row],[JobSatisfaction]]=2,"Dissatisfied",
HRData[[#This Row],[JobSatisfaction]]=3,"Satisfied",
HRData[[#This Row],[JobSatisfaction]]=4,"Very Satisfied"
)</f>
        <v>Very Satisfied</v>
      </c>
      <c r="V943" t="s">
        <v>48</v>
      </c>
      <c r="W943">
        <v>4627</v>
      </c>
      <c r="X943" t="str" cm="1">
        <f t="array" ref="X943">_xlfn.IFS(
HRData[[#This Row],[MonthlyIncome]]&lt;=4000,"Very Low Income",
HRData[[#This Row],[MonthlyIncome]]&lt;=8000,"Low Income",
HRData[[#This Row],[MonthlyIncome]]&lt;=12000,"Moderate Income",
HRData[[#This Row],[MonthlyIncome]]&lt;=16000,"High Income",
HRData[[#This Row],[MonthlyIncome]]&gt;16000,"Very High Income"
)</f>
        <v>Low Income</v>
      </c>
      <c r="Y943">
        <v>23631</v>
      </c>
      <c r="Z943">
        <v>0</v>
      </c>
      <c r="AA943" t="s">
        <v>42</v>
      </c>
      <c r="AB943" t="s">
        <v>43</v>
      </c>
      <c r="AC943">
        <v>12</v>
      </c>
      <c r="AD943" t="str" cm="1">
        <f t="array" ref="AD943">_xlfn.IFS(HRData[[#This Row],[PercentSalaryHike]]&lt;=15,"11-15",HRData[[#This Row],[PercentSalaryHike]]&lt;=20,"16-20",HRData[[#This Row],[PercentSalaryHike]]&gt;=21,"21+")</f>
        <v>11-15</v>
      </c>
      <c r="AE943">
        <v>3</v>
      </c>
      <c r="AF943">
        <v>1</v>
      </c>
      <c r="AG943">
        <v>80</v>
      </c>
      <c r="AH943">
        <v>1</v>
      </c>
      <c r="AI943">
        <v>10</v>
      </c>
      <c r="AJ943">
        <v>6</v>
      </c>
      <c r="AK943">
        <v>3</v>
      </c>
      <c r="AL943">
        <v>9</v>
      </c>
      <c r="AM943">
        <v>2</v>
      </c>
      <c r="AN943">
        <v>6</v>
      </c>
      <c r="AO943">
        <v>7</v>
      </c>
      <c r="AP94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43" t="str">
        <f>IF(HRData[[#This Row],[Attrition]]="Yes","Left", IF(HRData[[#This Row],[Attrition_Risk_Score]]&gt;=6,"High",IF(HRData[[#This Row],[Attrition_Risk_Score]]&gt;=3,"Medium","Low")))</f>
        <v>Medium</v>
      </c>
      <c r="AR943" t="str">
        <f>IF(HRData[[#This Row],[Attrition_Risk_Level]]&lt;&gt;"High","",HRData[[#This Row],[Attrition_Risk_Score]]*10000-HRData[[#This Row],[EmployeeNumber]])</f>
        <v/>
      </c>
    </row>
    <row r="944" spans="1:44">
      <c r="A944">
        <v>36</v>
      </c>
      <c r="B944" t="str" cm="1">
        <f t="array" ref="B944">_xlfn.IFS(
HRData[[#This Row],[Age]]&lt;=24,"18-24",
HRData[[#This Row],[Age]]&lt;=34,"25-34",
HRData[[#This Row],[Age]]&lt;=44,"35-44",
HRData[[#This Row],[Age]]&lt;=54,"45-54",
HRData[[#This Row],[Age]]&gt;=55,"55+"
)</f>
        <v>35-44</v>
      </c>
      <c r="C944" t="s">
        <v>43</v>
      </c>
      <c r="D944">
        <f>IF(HRData[[#This Row],[Attrition]]="Yes",1,0)</f>
        <v>0</v>
      </c>
      <c r="E944" t="s">
        <v>36</v>
      </c>
      <c r="F944">
        <v>325</v>
      </c>
      <c r="G944" t="s">
        <v>45</v>
      </c>
      <c r="H944">
        <v>10</v>
      </c>
      <c r="I944">
        <v>4</v>
      </c>
      <c r="J944" t="s">
        <v>60</v>
      </c>
      <c r="K944">
        <v>1</v>
      </c>
      <c r="L944">
        <v>1312</v>
      </c>
      <c r="M944">
        <v>4</v>
      </c>
      <c r="N944" t="str" cm="1">
        <f t="array" ref="N944">_xlfn.IFS(HRData[[#This Row],[EnvironmentSatisfaction]]=1,"Very Dissatisfied",
HRData[[#This Row],[EnvironmentSatisfaction]]=2,"Dissatisfied",
HRData[[#This Row],[EnvironmentSatisfaction]]=3,"Satisfied",
HRData[[#This Row],[EnvironmentSatisfaction]]=4,"Very Satisfied"
)</f>
        <v>Very Satisfied</v>
      </c>
      <c r="O944" t="s">
        <v>39</v>
      </c>
      <c r="P944">
        <v>63</v>
      </c>
      <c r="Q944">
        <v>3</v>
      </c>
      <c r="R944">
        <v>3</v>
      </c>
      <c r="S944" t="s">
        <v>54</v>
      </c>
      <c r="T944">
        <v>3</v>
      </c>
      <c r="U944" t="str" cm="1">
        <f t="array" ref="U944">_xlfn.IFS(
HRData[[#This Row],[JobSatisfaction]]=1,"Very Dissatisfied",
HRData[[#This Row],[JobSatisfaction]]=2,"Dissatisfied",
HRData[[#This Row],[JobSatisfaction]]=3,"Satisfied",
HRData[[#This Row],[JobSatisfaction]]=4,"Very Satisfied"
)</f>
        <v>Satisfied</v>
      </c>
      <c r="V944" t="s">
        <v>48</v>
      </c>
      <c r="W944">
        <v>7094</v>
      </c>
      <c r="X944" t="str" cm="1">
        <f t="array" ref="X944">_xlfn.IFS(
HRData[[#This Row],[MonthlyIncome]]&lt;=4000,"Very Low Income",
HRData[[#This Row],[MonthlyIncome]]&lt;=8000,"Low Income",
HRData[[#This Row],[MonthlyIncome]]&lt;=12000,"Moderate Income",
HRData[[#This Row],[MonthlyIncome]]&lt;=16000,"High Income",
HRData[[#This Row],[MonthlyIncome]]&gt;16000,"Very High Income"
)</f>
        <v>Low Income</v>
      </c>
      <c r="Y944">
        <v>5747</v>
      </c>
      <c r="Z944">
        <v>3</v>
      </c>
      <c r="AA944" t="s">
        <v>42</v>
      </c>
      <c r="AB944" t="s">
        <v>43</v>
      </c>
      <c r="AC944">
        <v>12</v>
      </c>
      <c r="AD944" t="str" cm="1">
        <f t="array" ref="AD944">_xlfn.IFS(HRData[[#This Row],[PercentSalaryHike]]&lt;=15,"11-15",HRData[[#This Row],[PercentSalaryHike]]&lt;=20,"16-20",HRData[[#This Row],[PercentSalaryHike]]&gt;=21,"21+")</f>
        <v>11-15</v>
      </c>
      <c r="AE944">
        <v>3</v>
      </c>
      <c r="AF944">
        <v>1</v>
      </c>
      <c r="AG944">
        <v>80</v>
      </c>
      <c r="AH944">
        <v>0</v>
      </c>
      <c r="AI944">
        <v>10</v>
      </c>
      <c r="AJ944">
        <v>0</v>
      </c>
      <c r="AK944">
        <v>3</v>
      </c>
      <c r="AL944">
        <v>7</v>
      </c>
      <c r="AM944">
        <v>7</v>
      </c>
      <c r="AN944">
        <v>1</v>
      </c>
      <c r="AO944">
        <v>7</v>
      </c>
      <c r="AP94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944" t="str">
        <f>IF(HRData[[#This Row],[Attrition]]="Yes","Left", IF(HRData[[#This Row],[Attrition_Risk_Score]]&gt;=6,"High",IF(HRData[[#This Row],[Attrition_Risk_Score]]&gt;=3,"Medium","Low")))</f>
        <v>Low</v>
      </c>
      <c r="AR944" t="str">
        <f>IF(HRData[[#This Row],[Attrition_Risk_Level]]&lt;&gt;"High","",HRData[[#This Row],[Attrition_Risk_Score]]*10000-HRData[[#This Row],[EmployeeNumber]])</f>
        <v/>
      </c>
    </row>
    <row r="945" spans="1:44">
      <c r="A945">
        <v>46</v>
      </c>
      <c r="B945" t="str" cm="1">
        <f t="array" ref="B945">_xlfn.IFS(
HRData[[#This Row],[Age]]&lt;=24,"18-24",
HRData[[#This Row],[Age]]&lt;=34,"25-34",
HRData[[#This Row],[Age]]&lt;=44,"35-44",
HRData[[#This Row],[Age]]&lt;=54,"45-54",
HRData[[#This Row],[Age]]&gt;=55,"55+"
)</f>
        <v>45-54</v>
      </c>
      <c r="C945" t="s">
        <v>43</v>
      </c>
      <c r="D945">
        <f>IF(HRData[[#This Row],[Attrition]]="Yes",1,0)</f>
        <v>0</v>
      </c>
      <c r="E945" t="s">
        <v>36</v>
      </c>
      <c r="F945">
        <v>991</v>
      </c>
      <c r="G945" t="s">
        <v>61</v>
      </c>
      <c r="H945">
        <v>1</v>
      </c>
      <c r="I945">
        <v>2</v>
      </c>
      <c r="J945" t="s">
        <v>38</v>
      </c>
      <c r="K945">
        <v>1</v>
      </c>
      <c r="L945">
        <v>1314</v>
      </c>
      <c r="M945">
        <v>4</v>
      </c>
      <c r="N945" t="str" cm="1">
        <f t="array" ref="N945">_xlfn.IFS(HRData[[#This Row],[EnvironmentSatisfaction]]=1,"Very Dissatisfied",
HRData[[#This Row],[EnvironmentSatisfaction]]=2,"Dissatisfied",
HRData[[#This Row],[EnvironmentSatisfaction]]=3,"Satisfied",
HRData[[#This Row],[EnvironmentSatisfaction]]=4,"Very Satisfied"
)</f>
        <v>Very Satisfied</v>
      </c>
      <c r="O945" t="s">
        <v>39</v>
      </c>
      <c r="P945">
        <v>44</v>
      </c>
      <c r="Q945">
        <v>3</v>
      </c>
      <c r="R945">
        <v>1</v>
      </c>
      <c r="S945" t="s">
        <v>61</v>
      </c>
      <c r="T945">
        <v>1</v>
      </c>
      <c r="U945" t="str" cm="1">
        <f t="array" ref="U945">_xlfn.IFS(
HRData[[#This Row],[JobSatisfaction]]=1,"Very Dissatisfied",
HRData[[#This Row],[JobSatisfaction]]=2,"Dissatisfied",
HRData[[#This Row],[JobSatisfaction]]=3,"Satisfied",
HRData[[#This Row],[JobSatisfaction]]=4,"Very Satisfied"
)</f>
        <v>Very Dissatisfied</v>
      </c>
      <c r="V945" t="s">
        <v>41</v>
      </c>
      <c r="W945">
        <v>3423</v>
      </c>
      <c r="X945" t="str" cm="1">
        <f t="array" ref="X945">_xlfn.IFS(
HRData[[#This Row],[MonthlyIncome]]&lt;=4000,"Very Low Income",
HRData[[#This Row],[MonthlyIncome]]&lt;=8000,"Low Income",
HRData[[#This Row],[MonthlyIncome]]&lt;=12000,"Moderate Income",
HRData[[#This Row],[MonthlyIncome]]&lt;=16000,"High Income",
HRData[[#This Row],[MonthlyIncome]]&gt;16000,"Very High Income"
)</f>
        <v>Very Low Income</v>
      </c>
      <c r="Y945">
        <v>22957</v>
      </c>
      <c r="Z945">
        <v>6</v>
      </c>
      <c r="AA945" t="s">
        <v>42</v>
      </c>
      <c r="AB945" t="s">
        <v>43</v>
      </c>
      <c r="AC945">
        <v>12</v>
      </c>
      <c r="AD945" t="str" cm="1">
        <f t="array" ref="AD945">_xlfn.IFS(HRData[[#This Row],[PercentSalaryHike]]&lt;=15,"11-15",HRData[[#This Row],[PercentSalaryHike]]&lt;=20,"16-20",HRData[[#This Row],[PercentSalaryHike]]&gt;=21,"21+")</f>
        <v>11-15</v>
      </c>
      <c r="AE945">
        <v>3</v>
      </c>
      <c r="AF945">
        <v>3</v>
      </c>
      <c r="AG945">
        <v>80</v>
      </c>
      <c r="AH945">
        <v>0</v>
      </c>
      <c r="AI945">
        <v>10</v>
      </c>
      <c r="AJ945">
        <v>3</v>
      </c>
      <c r="AK945">
        <v>4</v>
      </c>
      <c r="AL945">
        <v>7</v>
      </c>
      <c r="AM945">
        <v>6</v>
      </c>
      <c r="AN945">
        <v>5</v>
      </c>
      <c r="AO945">
        <v>7</v>
      </c>
      <c r="AP94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945" t="str">
        <f>IF(HRData[[#This Row],[Attrition]]="Yes","Left", IF(HRData[[#This Row],[Attrition_Risk_Score]]&gt;=6,"High",IF(HRData[[#This Row],[Attrition_Risk_Score]]&gt;=3,"Medium","Low")))</f>
        <v>Medium</v>
      </c>
      <c r="AR945" t="str">
        <f>IF(HRData[[#This Row],[Attrition_Risk_Level]]&lt;&gt;"High","",HRData[[#This Row],[Attrition_Risk_Score]]*10000-HRData[[#This Row],[EmployeeNumber]])</f>
        <v/>
      </c>
    </row>
    <row r="946" spans="1:44">
      <c r="A946">
        <v>28</v>
      </c>
      <c r="B946" t="str" cm="1">
        <f t="array" ref="B946">_xlfn.IFS(
HRData[[#This Row],[Age]]&lt;=24,"18-24",
HRData[[#This Row],[Age]]&lt;=34,"25-34",
HRData[[#This Row],[Age]]&lt;=44,"35-44",
HRData[[#This Row],[Age]]&lt;=54,"45-54",
HRData[[#This Row],[Age]]&gt;=55,"55+"
)</f>
        <v>25-34</v>
      </c>
      <c r="C946" t="s">
        <v>43</v>
      </c>
      <c r="D946">
        <f>IF(HRData[[#This Row],[Attrition]]="Yes",1,0)</f>
        <v>0</v>
      </c>
      <c r="E946" t="s">
        <v>55</v>
      </c>
      <c r="F946">
        <v>1476</v>
      </c>
      <c r="G946" t="s">
        <v>45</v>
      </c>
      <c r="H946">
        <v>1</v>
      </c>
      <c r="I946">
        <v>3</v>
      </c>
      <c r="J946" t="s">
        <v>38</v>
      </c>
      <c r="K946">
        <v>1</v>
      </c>
      <c r="L946">
        <v>1315</v>
      </c>
      <c r="M946">
        <v>3</v>
      </c>
      <c r="N946" t="str" cm="1">
        <f t="array" ref="N946">_xlfn.IFS(HRData[[#This Row],[EnvironmentSatisfaction]]=1,"Very Dissatisfied",
HRData[[#This Row],[EnvironmentSatisfaction]]=2,"Dissatisfied",
HRData[[#This Row],[EnvironmentSatisfaction]]=3,"Satisfied",
HRData[[#This Row],[EnvironmentSatisfaction]]=4,"Very Satisfied"
)</f>
        <v>Satisfied</v>
      </c>
      <c r="O946" t="s">
        <v>39</v>
      </c>
      <c r="P946">
        <v>55</v>
      </c>
      <c r="Q946">
        <v>1</v>
      </c>
      <c r="R946">
        <v>2</v>
      </c>
      <c r="S946" t="s">
        <v>50</v>
      </c>
      <c r="T946">
        <v>4</v>
      </c>
      <c r="U946" t="str" cm="1">
        <f t="array" ref="U946">_xlfn.IFS(
HRData[[#This Row],[JobSatisfaction]]=1,"Very Dissatisfied",
HRData[[#This Row],[JobSatisfaction]]=2,"Dissatisfied",
HRData[[#This Row],[JobSatisfaction]]=3,"Satisfied",
HRData[[#This Row],[JobSatisfaction]]=4,"Very Satisfied"
)</f>
        <v>Very Satisfied</v>
      </c>
      <c r="V946" t="s">
        <v>48</v>
      </c>
      <c r="W946">
        <v>6674</v>
      </c>
      <c r="X946" t="str" cm="1">
        <f t="array" ref="X946">_xlfn.IFS(
HRData[[#This Row],[MonthlyIncome]]&lt;=4000,"Very Low Income",
HRData[[#This Row],[MonthlyIncome]]&lt;=8000,"Low Income",
HRData[[#This Row],[MonthlyIncome]]&lt;=12000,"Moderate Income",
HRData[[#This Row],[MonthlyIncome]]&lt;=16000,"High Income",
HRData[[#This Row],[MonthlyIncome]]&gt;16000,"Very High Income"
)</f>
        <v>Low Income</v>
      </c>
      <c r="Y946">
        <v>16392</v>
      </c>
      <c r="Z946">
        <v>0</v>
      </c>
      <c r="AA946" t="s">
        <v>42</v>
      </c>
      <c r="AB946" t="s">
        <v>43</v>
      </c>
      <c r="AC946">
        <v>11</v>
      </c>
      <c r="AD946" t="str" cm="1">
        <f t="array" ref="AD946">_xlfn.IFS(HRData[[#This Row],[PercentSalaryHike]]&lt;=15,"11-15",HRData[[#This Row],[PercentSalaryHike]]&lt;=20,"16-20",HRData[[#This Row],[PercentSalaryHike]]&gt;=21,"21+")</f>
        <v>11-15</v>
      </c>
      <c r="AE946">
        <v>3</v>
      </c>
      <c r="AF946">
        <v>1</v>
      </c>
      <c r="AG946">
        <v>80</v>
      </c>
      <c r="AH946">
        <v>3</v>
      </c>
      <c r="AI946">
        <v>10</v>
      </c>
      <c r="AJ946">
        <v>6</v>
      </c>
      <c r="AK946">
        <v>3</v>
      </c>
      <c r="AL946">
        <v>9</v>
      </c>
      <c r="AM946">
        <v>8</v>
      </c>
      <c r="AN946">
        <v>7</v>
      </c>
      <c r="AO946">
        <v>5</v>
      </c>
      <c r="AP94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46" t="str">
        <f>IF(HRData[[#This Row],[Attrition]]="Yes","Left", IF(HRData[[#This Row],[Attrition_Risk_Score]]&gt;=6,"High",IF(HRData[[#This Row],[Attrition_Risk_Score]]&gt;=3,"Medium","Low")))</f>
        <v>Medium</v>
      </c>
      <c r="AR946" t="str">
        <f>IF(HRData[[#This Row],[Attrition_Risk_Level]]&lt;&gt;"High","",HRData[[#This Row],[Attrition_Risk_Score]]*10000-HRData[[#This Row],[EmployeeNumber]])</f>
        <v/>
      </c>
    </row>
    <row r="947" spans="1:44">
      <c r="A947">
        <v>50</v>
      </c>
      <c r="B947" t="str" cm="1">
        <f t="array" ref="B947">_xlfn.IFS(
HRData[[#This Row],[Age]]&lt;=24,"18-24",
HRData[[#This Row],[Age]]&lt;=34,"25-34",
HRData[[#This Row],[Age]]&lt;=44,"35-44",
HRData[[#This Row],[Age]]&lt;=54,"45-54",
HRData[[#This Row],[Age]]&gt;=55,"55+"
)</f>
        <v>45-54</v>
      </c>
      <c r="C947" t="s">
        <v>43</v>
      </c>
      <c r="D947">
        <f>IF(HRData[[#This Row],[Attrition]]="Yes",1,0)</f>
        <v>0</v>
      </c>
      <c r="E947" t="s">
        <v>36</v>
      </c>
      <c r="F947">
        <v>1322</v>
      </c>
      <c r="G947" t="s">
        <v>45</v>
      </c>
      <c r="H947">
        <v>28</v>
      </c>
      <c r="I947">
        <v>3</v>
      </c>
      <c r="J947" t="s">
        <v>38</v>
      </c>
      <c r="K947">
        <v>1</v>
      </c>
      <c r="L947">
        <v>1317</v>
      </c>
      <c r="M947">
        <v>4</v>
      </c>
      <c r="N947" t="str" cm="1">
        <f t="array" ref="N947">_xlfn.IFS(HRData[[#This Row],[EnvironmentSatisfaction]]=1,"Very Dissatisfied",
HRData[[#This Row],[EnvironmentSatisfaction]]=2,"Dissatisfied",
HRData[[#This Row],[EnvironmentSatisfaction]]=3,"Satisfied",
HRData[[#This Row],[EnvironmentSatisfaction]]=4,"Very Satisfied"
)</f>
        <v>Very Satisfied</v>
      </c>
      <c r="O947" t="s">
        <v>39</v>
      </c>
      <c r="P947">
        <v>43</v>
      </c>
      <c r="Q947">
        <v>3</v>
      </c>
      <c r="R947">
        <v>4</v>
      </c>
      <c r="S947" t="s">
        <v>58</v>
      </c>
      <c r="T947">
        <v>1</v>
      </c>
      <c r="U947" t="str" cm="1">
        <f t="array" ref="U947">_xlfn.IFS(
HRData[[#This Row],[JobSatisfaction]]=1,"Very Dissatisfied",
HRData[[#This Row],[JobSatisfaction]]=2,"Dissatisfied",
HRData[[#This Row],[JobSatisfaction]]=3,"Satisfied",
HRData[[#This Row],[JobSatisfaction]]=4,"Very Satisfied"
)</f>
        <v>Very Dissatisfied</v>
      </c>
      <c r="V947" t="s">
        <v>48</v>
      </c>
      <c r="W947">
        <v>16880</v>
      </c>
      <c r="X947" t="str" cm="1">
        <f t="array" ref="X947">_xlfn.IFS(
HRData[[#This Row],[MonthlyIncome]]&lt;=4000,"Very Low Income",
HRData[[#This Row],[MonthlyIncome]]&lt;=8000,"Low Income",
HRData[[#This Row],[MonthlyIncome]]&lt;=12000,"Moderate Income",
HRData[[#This Row],[MonthlyIncome]]&lt;=16000,"High Income",
HRData[[#This Row],[MonthlyIncome]]&gt;16000,"Very High Income"
)</f>
        <v>Very High Income</v>
      </c>
      <c r="Y947">
        <v>22422</v>
      </c>
      <c r="Z947">
        <v>4</v>
      </c>
      <c r="AA947" t="s">
        <v>42</v>
      </c>
      <c r="AB947" t="s">
        <v>35</v>
      </c>
      <c r="AC947">
        <v>11</v>
      </c>
      <c r="AD947" t="str" cm="1">
        <f t="array" ref="AD947">_xlfn.IFS(HRData[[#This Row],[PercentSalaryHike]]&lt;=15,"11-15",HRData[[#This Row],[PercentSalaryHike]]&lt;=20,"16-20",HRData[[#This Row],[PercentSalaryHike]]&gt;=21,"21+")</f>
        <v>11-15</v>
      </c>
      <c r="AE947">
        <v>3</v>
      </c>
      <c r="AF947">
        <v>2</v>
      </c>
      <c r="AG947">
        <v>80</v>
      </c>
      <c r="AH947">
        <v>0</v>
      </c>
      <c r="AI947">
        <v>25</v>
      </c>
      <c r="AJ947">
        <v>2</v>
      </c>
      <c r="AK947">
        <v>3</v>
      </c>
      <c r="AL947">
        <v>3</v>
      </c>
      <c r="AM947">
        <v>2</v>
      </c>
      <c r="AN947">
        <v>1</v>
      </c>
      <c r="AO947">
        <v>2</v>
      </c>
      <c r="AP94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947" t="str">
        <f>IF(HRData[[#This Row],[Attrition]]="Yes","Left", IF(HRData[[#This Row],[Attrition_Risk_Score]]&gt;=6,"High",IF(HRData[[#This Row],[Attrition_Risk_Score]]&gt;=3,"Medium","Low")))</f>
        <v>Medium</v>
      </c>
      <c r="AR947" t="str">
        <f>IF(HRData[[#This Row],[Attrition_Risk_Level]]&lt;&gt;"High","",HRData[[#This Row],[Attrition_Risk_Score]]*10000-HRData[[#This Row],[EmployeeNumber]])</f>
        <v/>
      </c>
    </row>
    <row r="948" spans="1:44">
      <c r="A948">
        <v>40</v>
      </c>
      <c r="B948" t="str" cm="1">
        <f t="array" ref="B948">_xlfn.IFS(
HRData[[#This Row],[Age]]&lt;=24,"18-24",
HRData[[#This Row],[Age]]&lt;=34,"25-34",
HRData[[#This Row],[Age]]&lt;=44,"35-44",
HRData[[#This Row],[Age]]&lt;=54,"45-54",
HRData[[#This Row],[Age]]&gt;=55,"55+"
)</f>
        <v>35-44</v>
      </c>
      <c r="C948" t="s">
        <v>35</v>
      </c>
      <c r="D948">
        <f>IF(HRData[[#This Row],[Attrition]]="Yes",1,0)</f>
        <v>1</v>
      </c>
      <c r="E948" t="s">
        <v>36</v>
      </c>
      <c r="F948">
        <v>299</v>
      </c>
      <c r="G948" t="s">
        <v>37</v>
      </c>
      <c r="H948">
        <v>25</v>
      </c>
      <c r="I948">
        <v>4</v>
      </c>
      <c r="J948" t="s">
        <v>59</v>
      </c>
      <c r="K948">
        <v>1</v>
      </c>
      <c r="L948">
        <v>1318</v>
      </c>
      <c r="M948">
        <v>4</v>
      </c>
      <c r="N948" t="str" cm="1">
        <f t="array" ref="N948">_xlfn.IFS(HRData[[#This Row],[EnvironmentSatisfaction]]=1,"Very Dissatisfied",
HRData[[#This Row],[EnvironmentSatisfaction]]=2,"Dissatisfied",
HRData[[#This Row],[EnvironmentSatisfaction]]=3,"Satisfied",
HRData[[#This Row],[EnvironmentSatisfaction]]=4,"Very Satisfied"
)</f>
        <v>Very Satisfied</v>
      </c>
      <c r="O948" t="s">
        <v>46</v>
      </c>
      <c r="P948">
        <v>57</v>
      </c>
      <c r="Q948">
        <v>2</v>
      </c>
      <c r="R948">
        <v>3</v>
      </c>
      <c r="S948" t="s">
        <v>40</v>
      </c>
      <c r="T948">
        <v>2</v>
      </c>
      <c r="U948" t="str" cm="1">
        <f t="array" ref="U948">_xlfn.IFS(
HRData[[#This Row],[JobSatisfaction]]=1,"Very Dissatisfied",
HRData[[#This Row],[JobSatisfaction]]=2,"Dissatisfied",
HRData[[#This Row],[JobSatisfaction]]=3,"Satisfied",
HRData[[#This Row],[JobSatisfaction]]=4,"Very Satisfied"
)</f>
        <v>Dissatisfied</v>
      </c>
      <c r="V948" t="s">
        <v>41</v>
      </c>
      <c r="W948">
        <v>9094</v>
      </c>
      <c r="X948" t="str" cm="1">
        <f t="array" ref="X948">_xlfn.IFS(
HRData[[#This Row],[MonthlyIncome]]&lt;=4000,"Very Low Income",
HRData[[#This Row],[MonthlyIncome]]&lt;=8000,"Low Income",
HRData[[#This Row],[MonthlyIncome]]&lt;=12000,"Moderate Income",
HRData[[#This Row],[MonthlyIncome]]&lt;=16000,"High Income",
HRData[[#This Row],[MonthlyIncome]]&gt;16000,"Very High Income"
)</f>
        <v>Moderate Income</v>
      </c>
      <c r="Y948">
        <v>17235</v>
      </c>
      <c r="Z948">
        <v>2</v>
      </c>
      <c r="AA948" t="s">
        <v>42</v>
      </c>
      <c r="AB948" t="s">
        <v>35</v>
      </c>
      <c r="AC948">
        <v>12</v>
      </c>
      <c r="AD948" t="str" cm="1">
        <f t="array" ref="AD948">_xlfn.IFS(HRData[[#This Row],[PercentSalaryHike]]&lt;=15,"11-15",HRData[[#This Row],[PercentSalaryHike]]&lt;=20,"16-20",HRData[[#This Row],[PercentSalaryHike]]&gt;=21,"21+")</f>
        <v>11-15</v>
      </c>
      <c r="AE948">
        <v>3</v>
      </c>
      <c r="AF948">
        <v>3</v>
      </c>
      <c r="AG948">
        <v>80</v>
      </c>
      <c r="AH948">
        <v>0</v>
      </c>
      <c r="AI948">
        <v>9</v>
      </c>
      <c r="AJ948">
        <v>2</v>
      </c>
      <c r="AK948">
        <v>3</v>
      </c>
      <c r="AL948">
        <v>5</v>
      </c>
      <c r="AM948">
        <v>4</v>
      </c>
      <c r="AN948">
        <v>1</v>
      </c>
      <c r="AO948">
        <v>0</v>
      </c>
      <c r="AP94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48" t="str">
        <f>IF(HRData[[#This Row],[Attrition]]="Yes","Left", IF(HRData[[#This Row],[Attrition_Risk_Score]]&gt;=6,"High",IF(HRData[[#This Row],[Attrition_Risk_Score]]&gt;=3,"Medium","Low")))</f>
        <v>Left</v>
      </c>
      <c r="AR948" t="str">
        <f>IF(HRData[[#This Row],[Attrition_Risk_Level]]&lt;&gt;"High","",HRData[[#This Row],[Attrition_Risk_Score]]*10000-HRData[[#This Row],[EmployeeNumber]])</f>
        <v/>
      </c>
    </row>
    <row r="949" spans="1:44">
      <c r="A949">
        <v>52</v>
      </c>
      <c r="B949" t="str" cm="1">
        <f t="array" ref="B949">_xlfn.IFS(
HRData[[#This Row],[Age]]&lt;=24,"18-24",
HRData[[#This Row],[Age]]&lt;=34,"25-34",
HRData[[#This Row],[Age]]&lt;=44,"35-44",
HRData[[#This Row],[Age]]&lt;=54,"45-54",
HRData[[#This Row],[Age]]&gt;=55,"55+"
)</f>
        <v>45-54</v>
      </c>
      <c r="C949" t="s">
        <v>35</v>
      </c>
      <c r="D949">
        <f>IF(HRData[[#This Row],[Attrition]]="Yes",1,0)</f>
        <v>1</v>
      </c>
      <c r="E949" t="s">
        <v>36</v>
      </c>
      <c r="F949">
        <v>1030</v>
      </c>
      <c r="G949" t="s">
        <v>37</v>
      </c>
      <c r="H949">
        <v>5</v>
      </c>
      <c r="I949">
        <v>3</v>
      </c>
      <c r="J949" t="s">
        <v>38</v>
      </c>
      <c r="K949">
        <v>1</v>
      </c>
      <c r="L949">
        <v>1319</v>
      </c>
      <c r="M949">
        <v>2</v>
      </c>
      <c r="N949" t="str" cm="1">
        <f t="array" ref="N949">_xlfn.IFS(HRData[[#This Row],[EnvironmentSatisfaction]]=1,"Very Dissatisfied",
HRData[[#This Row],[EnvironmentSatisfaction]]=2,"Dissatisfied",
HRData[[#This Row],[EnvironmentSatisfaction]]=3,"Satisfied",
HRData[[#This Row],[EnvironmentSatisfaction]]=4,"Very Satisfied"
)</f>
        <v>Dissatisfied</v>
      </c>
      <c r="O949" t="s">
        <v>46</v>
      </c>
      <c r="P949">
        <v>64</v>
      </c>
      <c r="Q949">
        <v>3</v>
      </c>
      <c r="R949">
        <v>3</v>
      </c>
      <c r="S949" t="s">
        <v>40</v>
      </c>
      <c r="T949">
        <v>2</v>
      </c>
      <c r="U949" t="str" cm="1">
        <f t="array" ref="U949">_xlfn.IFS(
HRData[[#This Row],[JobSatisfaction]]=1,"Very Dissatisfied",
HRData[[#This Row],[JobSatisfaction]]=2,"Dissatisfied",
HRData[[#This Row],[JobSatisfaction]]=3,"Satisfied",
HRData[[#This Row],[JobSatisfaction]]=4,"Very Satisfied"
)</f>
        <v>Dissatisfied</v>
      </c>
      <c r="V949" t="s">
        <v>41</v>
      </c>
      <c r="W949">
        <v>8446</v>
      </c>
      <c r="X949" t="str" cm="1">
        <f t="array" ref="X949">_xlfn.IFS(
HRData[[#This Row],[MonthlyIncome]]&lt;=4000,"Very Low Income",
HRData[[#This Row],[MonthlyIncome]]&lt;=8000,"Low Income",
HRData[[#This Row],[MonthlyIncome]]&lt;=12000,"Moderate Income",
HRData[[#This Row],[MonthlyIncome]]&lt;=16000,"High Income",
HRData[[#This Row],[MonthlyIncome]]&gt;16000,"Very High Income"
)</f>
        <v>Moderate Income</v>
      </c>
      <c r="Y949">
        <v>21534</v>
      </c>
      <c r="Z949">
        <v>9</v>
      </c>
      <c r="AA949" t="s">
        <v>42</v>
      </c>
      <c r="AB949" t="s">
        <v>35</v>
      </c>
      <c r="AC949">
        <v>19</v>
      </c>
      <c r="AD949" t="str" cm="1">
        <f t="array" ref="AD949">_xlfn.IFS(HRData[[#This Row],[PercentSalaryHike]]&lt;=15,"11-15",HRData[[#This Row],[PercentSalaryHike]]&lt;=20,"16-20",HRData[[#This Row],[PercentSalaryHike]]&gt;=21,"21+")</f>
        <v>16-20</v>
      </c>
      <c r="AE949">
        <v>3</v>
      </c>
      <c r="AF949">
        <v>3</v>
      </c>
      <c r="AG949">
        <v>80</v>
      </c>
      <c r="AH949">
        <v>0</v>
      </c>
      <c r="AI949">
        <v>10</v>
      </c>
      <c r="AJ949">
        <v>2</v>
      </c>
      <c r="AK949">
        <v>2</v>
      </c>
      <c r="AL949">
        <v>8</v>
      </c>
      <c r="AM949">
        <v>7</v>
      </c>
      <c r="AN949">
        <v>7</v>
      </c>
      <c r="AO949">
        <v>7</v>
      </c>
      <c r="AP94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49" t="str">
        <f>IF(HRData[[#This Row],[Attrition]]="Yes","Left", IF(HRData[[#This Row],[Attrition_Risk_Score]]&gt;=6,"High",IF(HRData[[#This Row],[Attrition_Risk_Score]]&gt;=3,"Medium","Low")))</f>
        <v>Left</v>
      </c>
      <c r="AR949" t="str">
        <f>IF(HRData[[#This Row],[Attrition_Risk_Level]]&lt;&gt;"High","",HRData[[#This Row],[Attrition_Risk_Score]]*10000-HRData[[#This Row],[EmployeeNumber]])</f>
        <v/>
      </c>
    </row>
    <row r="950" spans="1:44">
      <c r="A950">
        <v>30</v>
      </c>
      <c r="B950" t="str" cm="1">
        <f t="array" ref="B950">_xlfn.IFS(
HRData[[#This Row],[Age]]&lt;=24,"18-24",
HRData[[#This Row],[Age]]&lt;=34,"25-34",
HRData[[#This Row],[Age]]&lt;=44,"35-44",
HRData[[#This Row],[Age]]&lt;=54,"45-54",
HRData[[#This Row],[Age]]&gt;=55,"55+"
)</f>
        <v>25-34</v>
      </c>
      <c r="C950" t="s">
        <v>43</v>
      </c>
      <c r="D950">
        <f>IF(HRData[[#This Row],[Attrition]]="Yes",1,0)</f>
        <v>0</v>
      </c>
      <c r="E950" t="s">
        <v>36</v>
      </c>
      <c r="F950">
        <v>634</v>
      </c>
      <c r="G950" t="s">
        <v>45</v>
      </c>
      <c r="H950">
        <v>17</v>
      </c>
      <c r="I950">
        <v>4</v>
      </c>
      <c r="J950" t="s">
        <v>51</v>
      </c>
      <c r="K950">
        <v>1</v>
      </c>
      <c r="L950">
        <v>1321</v>
      </c>
      <c r="M950">
        <v>2</v>
      </c>
      <c r="N950" t="str" cm="1">
        <f t="array" ref="N950">_xlfn.IFS(HRData[[#This Row],[EnvironmentSatisfaction]]=1,"Very Dissatisfied",
HRData[[#This Row],[EnvironmentSatisfaction]]=2,"Dissatisfied",
HRData[[#This Row],[EnvironmentSatisfaction]]=3,"Satisfied",
HRData[[#This Row],[EnvironmentSatisfaction]]=4,"Very Satisfied"
)</f>
        <v>Dissatisfied</v>
      </c>
      <c r="O950" t="s">
        <v>39</v>
      </c>
      <c r="P950">
        <v>95</v>
      </c>
      <c r="Q950">
        <v>3</v>
      </c>
      <c r="R950">
        <v>3</v>
      </c>
      <c r="S950" t="s">
        <v>56</v>
      </c>
      <c r="T950">
        <v>1</v>
      </c>
      <c r="U950" t="str" cm="1">
        <f t="array" ref="U950">_xlfn.IFS(
HRData[[#This Row],[JobSatisfaction]]=1,"Very Dissatisfied",
HRData[[#This Row],[JobSatisfaction]]=2,"Dissatisfied",
HRData[[#This Row],[JobSatisfaction]]=3,"Satisfied",
HRData[[#This Row],[JobSatisfaction]]=4,"Very Satisfied"
)</f>
        <v>Very Dissatisfied</v>
      </c>
      <c r="V950" t="s">
        <v>48</v>
      </c>
      <c r="W950">
        <v>11916</v>
      </c>
      <c r="X950" t="str" cm="1">
        <f t="array" ref="X950">_xlfn.IFS(
HRData[[#This Row],[MonthlyIncome]]&lt;=4000,"Very Low Income",
HRData[[#This Row],[MonthlyIncome]]&lt;=8000,"Low Income",
HRData[[#This Row],[MonthlyIncome]]&lt;=12000,"Moderate Income",
HRData[[#This Row],[MonthlyIncome]]&lt;=16000,"High Income",
HRData[[#This Row],[MonthlyIncome]]&gt;16000,"Very High Income"
)</f>
        <v>Moderate Income</v>
      </c>
      <c r="Y950">
        <v>25927</v>
      </c>
      <c r="Z950">
        <v>1</v>
      </c>
      <c r="AA950" t="s">
        <v>42</v>
      </c>
      <c r="AB950" t="s">
        <v>35</v>
      </c>
      <c r="AC950">
        <v>23</v>
      </c>
      <c r="AD950" t="str" cm="1">
        <f t="array" ref="AD950">_xlfn.IFS(HRData[[#This Row],[PercentSalaryHike]]&lt;=15,"11-15",HRData[[#This Row],[PercentSalaryHike]]&lt;=20,"16-20",HRData[[#This Row],[PercentSalaryHike]]&gt;=21,"21+")</f>
        <v>21+</v>
      </c>
      <c r="AE950">
        <v>4</v>
      </c>
      <c r="AF950">
        <v>4</v>
      </c>
      <c r="AG950">
        <v>80</v>
      </c>
      <c r="AH950">
        <v>2</v>
      </c>
      <c r="AI950">
        <v>9</v>
      </c>
      <c r="AJ950">
        <v>2</v>
      </c>
      <c r="AK950">
        <v>3</v>
      </c>
      <c r="AL950">
        <v>9</v>
      </c>
      <c r="AM950">
        <v>1</v>
      </c>
      <c r="AN950">
        <v>0</v>
      </c>
      <c r="AO950">
        <v>8</v>
      </c>
      <c r="AP95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950" t="str">
        <f>IF(HRData[[#This Row],[Attrition]]="Yes","Left", IF(HRData[[#This Row],[Attrition_Risk_Score]]&gt;=6,"High",IF(HRData[[#This Row],[Attrition_Risk_Score]]&gt;=3,"Medium","Low")))</f>
        <v>Medium</v>
      </c>
      <c r="AR950" t="str">
        <f>IF(HRData[[#This Row],[Attrition_Risk_Level]]&lt;&gt;"High","",HRData[[#This Row],[Attrition_Risk_Score]]*10000-HRData[[#This Row],[EmployeeNumber]])</f>
        <v/>
      </c>
    </row>
    <row r="951" spans="1:44">
      <c r="A951">
        <v>39</v>
      </c>
      <c r="B951" t="str" cm="1">
        <f t="array" ref="B951">_xlfn.IFS(
HRData[[#This Row],[Age]]&lt;=24,"18-24",
HRData[[#This Row],[Age]]&lt;=34,"25-34",
HRData[[#This Row],[Age]]&lt;=44,"35-44",
HRData[[#This Row],[Age]]&lt;=54,"45-54",
HRData[[#This Row],[Age]]&gt;=55,"55+"
)</f>
        <v>35-44</v>
      </c>
      <c r="C951" t="s">
        <v>43</v>
      </c>
      <c r="D951">
        <f>IF(HRData[[#This Row],[Attrition]]="Yes",1,0)</f>
        <v>0</v>
      </c>
      <c r="E951" t="s">
        <v>36</v>
      </c>
      <c r="F951">
        <v>524</v>
      </c>
      <c r="G951" t="s">
        <v>45</v>
      </c>
      <c r="H951">
        <v>18</v>
      </c>
      <c r="I951">
        <v>2</v>
      </c>
      <c r="J951" t="s">
        <v>38</v>
      </c>
      <c r="K951">
        <v>1</v>
      </c>
      <c r="L951">
        <v>1322</v>
      </c>
      <c r="M951">
        <v>1</v>
      </c>
      <c r="N951" t="str" cm="1">
        <f t="array" ref="N951">_xlfn.IFS(HRData[[#This Row],[EnvironmentSatisfaction]]=1,"Very Dissatisfied",
HRData[[#This Row],[EnvironmentSatisfaction]]=2,"Dissatisfied",
HRData[[#This Row],[EnvironmentSatisfaction]]=3,"Satisfied",
HRData[[#This Row],[EnvironmentSatisfaction]]=4,"Very Satisfied"
)</f>
        <v>Very Dissatisfied</v>
      </c>
      <c r="O951" t="s">
        <v>46</v>
      </c>
      <c r="P951">
        <v>32</v>
      </c>
      <c r="Q951">
        <v>3</v>
      </c>
      <c r="R951">
        <v>2</v>
      </c>
      <c r="S951" t="s">
        <v>53</v>
      </c>
      <c r="T951">
        <v>3</v>
      </c>
      <c r="U951" t="str" cm="1">
        <f t="array" ref="U951">_xlfn.IFS(
HRData[[#This Row],[JobSatisfaction]]=1,"Very Dissatisfied",
HRData[[#This Row],[JobSatisfaction]]=2,"Dissatisfied",
HRData[[#This Row],[JobSatisfaction]]=3,"Satisfied",
HRData[[#This Row],[JobSatisfaction]]=4,"Very Satisfied"
)</f>
        <v>Satisfied</v>
      </c>
      <c r="V951" t="s">
        <v>41</v>
      </c>
      <c r="W951">
        <v>4534</v>
      </c>
      <c r="X951" t="str" cm="1">
        <f t="array" ref="X951">_xlfn.IFS(
HRData[[#This Row],[MonthlyIncome]]&lt;=4000,"Very Low Income",
HRData[[#This Row],[MonthlyIncome]]&lt;=8000,"Low Income",
HRData[[#This Row],[MonthlyIncome]]&lt;=12000,"Moderate Income",
HRData[[#This Row],[MonthlyIncome]]&lt;=16000,"High Income",
HRData[[#This Row],[MonthlyIncome]]&gt;16000,"Very High Income"
)</f>
        <v>Low Income</v>
      </c>
      <c r="Y951">
        <v>13352</v>
      </c>
      <c r="Z951">
        <v>0</v>
      </c>
      <c r="AA951" t="s">
        <v>42</v>
      </c>
      <c r="AB951" t="s">
        <v>43</v>
      </c>
      <c r="AC951">
        <v>11</v>
      </c>
      <c r="AD951" t="str" cm="1">
        <f t="array" ref="AD951">_xlfn.IFS(HRData[[#This Row],[PercentSalaryHike]]&lt;=15,"11-15",HRData[[#This Row],[PercentSalaryHike]]&lt;=20,"16-20",HRData[[#This Row],[PercentSalaryHike]]&gt;=21,"21+")</f>
        <v>11-15</v>
      </c>
      <c r="AE951">
        <v>3</v>
      </c>
      <c r="AF951">
        <v>1</v>
      </c>
      <c r="AG951">
        <v>80</v>
      </c>
      <c r="AH951">
        <v>0</v>
      </c>
      <c r="AI951">
        <v>9</v>
      </c>
      <c r="AJ951">
        <v>6</v>
      </c>
      <c r="AK951">
        <v>3</v>
      </c>
      <c r="AL951">
        <v>8</v>
      </c>
      <c r="AM951">
        <v>7</v>
      </c>
      <c r="AN951">
        <v>1</v>
      </c>
      <c r="AO951">
        <v>7</v>
      </c>
      <c r="AP95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951" t="str">
        <f>IF(HRData[[#This Row],[Attrition]]="Yes","Left", IF(HRData[[#This Row],[Attrition_Risk_Score]]&gt;=6,"High",IF(HRData[[#This Row],[Attrition_Risk_Score]]&gt;=3,"Medium","Low")))</f>
        <v>Low</v>
      </c>
      <c r="AR951" t="str">
        <f>IF(HRData[[#This Row],[Attrition_Risk_Level]]&lt;&gt;"High","",HRData[[#This Row],[Attrition_Risk_Score]]*10000-HRData[[#This Row],[EmployeeNumber]])</f>
        <v/>
      </c>
    </row>
    <row r="952" spans="1:44">
      <c r="A952">
        <v>31</v>
      </c>
      <c r="B952" t="str" cm="1">
        <f t="array" ref="B952">_xlfn.IFS(
HRData[[#This Row],[Age]]&lt;=24,"18-24",
HRData[[#This Row],[Age]]&lt;=34,"25-34",
HRData[[#This Row],[Age]]&lt;=44,"35-44",
HRData[[#This Row],[Age]]&lt;=54,"45-54",
HRData[[#This Row],[Age]]&gt;=55,"55+"
)</f>
        <v>25-34</v>
      </c>
      <c r="C952" t="s">
        <v>43</v>
      </c>
      <c r="D952">
        <f>IF(HRData[[#This Row],[Attrition]]="Yes",1,0)</f>
        <v>0</v>
      </c>
      <c r="E952" t="s">
        <v>55</v>
      </c>
      <c r="F952">
        <v>587</v>
      </c>
      <c r="G952" t="s">
        <v>37</v>
      </c>
      <c r="H952">
        <v>2</v>
      </c>
      <c r="I952">
        <v>4</v>
      </c>
      <c r="J952" t="s">
        <v>38</v>
      </c>
      <c r="K952">
        <v>1</v>
      </c>
      <c r="L952">
        <v>1324</v>
      </c>
      <c r="M952">
        <v>4</v>
      </c>
      <c r="N952" t="str" cm="1">
        <f t="array" ref="N952">_xlfn.IFS(HRData[[#This Row],[EnvironmentSatisfaction]]=1,"Very Dissatisfied",
HRData[[#This Row],[EnvironmentSatisfaction]]=2,"Dissatisfied",
HRData[[#This Row],[EnvironmentSatisfaction]]=3,"Satisfied",
HRData[[#This Row],[EnvironmentSatisfaction]]=4,"Very Satisfied"
)</f>
        <v>Very Satisfied</v>
      </c>
      <c r="O952" t="s">
        <v>39</v>
      </c>
      <c r="P952">
        <v>57</v>
      </c>
      <c r="Q952">
        <v>3</v>
      </c>
      <c r="R952">
        <v>3</v>
      </c>
      <c r="S952" t="s">
        <v>40</v>
      </c>
      <c r="T952">
        <v>3</v>
      </c>
      <c r="U952" t="str" cm="1">
        <f t="array" ref="U952">_xlfn.IFS(
HRData[[#This Row],[JobSatisfaction]]=1,"Very Dissatisfied",
HRData[[#This Row],[JobSatisfaction]]=2,"Dissatisfied",
HRData[[#This Row],[JobSatisfaction]]=3,"Satisfied",
HRData[[#This Row],[JobSatisfaction]]=4,"Very Satisfied"
)</f>
        <v>Satisfied</v>
      </c>
      <c r="V952" t="s">
        <v>52</v>
      </c>
      <c r="W952">
        <v>9852</v>
      </c>
      <c r="X952" t="str" cm="1">
        <f t="array" ref="X952">_xlfn.IFS(
HRData[[#This Row],[MonthlyIncome]]&lt;=4000,"Very Low Income",
HRData[[#This Row],[MonthlyIncome]]&lt;=8000,"Low Income",
HRData[[#This Row],[MonthlyIncome]]&lt;=12000,"Moderate Income",
HRData[[#This Row],[MonthlyIncome]]&lt;=16000,"High Income",
HRData[[#This Row],[MonthlyIncome]]&gt;16000,"Very High Income"
)</f>
        <v>Moderate Income</v>
      </c>
      <c r="Y952">
        <v>8935</v>
      </c>
      <c r="Z952">
        <v>1</v>
      </c>
      <c r="AA952" t="s">
        <v>42</v>
      </c>
      <c r="AB952" t="s">
        <v>35</v>
      </c>
      <c r="AC952">
        <v>19</v>
      </c>
      <c r="AD952" t="str" cm="1">
        <f t="array" ref="AD952">_xlfn.IFS(HRData[[#This Row],[PercentSalaryHike]]&lt;=15,"11-15",HRData[[#This Row],[PercentSalaryHike]]&lt;=20,"16-20",HRData[[#This Row],[PercentSalaryHike]]&gt;=21,"21+")</f>
        <v>16-20</v>
      </c>
      <c r="AE952">
        <v>3</v>
      </c>
      <c r="AF952">
        <v>1</v>
      </c>
      <c r="AG952">
        <v>80</v>
      </c>
      <c r="AH952">
        <v>1</v>
      </c>
      <c r="AI952">
        <v>10</v>
      </c>
      <c r="AJ952">
        <v>5</v>
      </c>
      <c r="AK952">
        <v>2</v>
      </c>
      <c r="AL952">
        <v>10</v>
      </c>
      <c r="AM952">
        <v>8</v>
      </c>
      <c r="AN952">
        <v>9</v>
      </c>
      <c r="AO952">
        <v>6</v>
      </c>
      <c r="AP95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52" t="str">
        <f>IF(HRData[[#This Row],[Attrition]]="Yes","Left", IF(HRData[[#This Row],[Attrition_Risk_Score]]&gt;=6,"High",IF(HRData[[#This Row],[Attrition_Risk_Score]]&gt;=3,"Medium","Low")))</f>
        <v>Medium</v>
      </c>
      <c r="AR952" t="str">
        <f>IF(HRData[[#This Row],[Attrition_Risk_Level]]&lt;&gt;"High","",HRData[[#This Row],[Attrition_Risk_Score]]*10000-HRData[[#This Row],[EmployeeNumber]])</f>
        <v/>
      </c>
    </row>
    <row r="953" spans="1:44">
      <c r="A953">
        <v>41</v>
      </c>
      <c r="B953" t="str" cm="1">
        <f t="array" ref="B953">_xlfn.IFS(
HRData[[#This Row],[Age]]&lt;=24,"18-24",
HRData[[#This Row],[Age]]&lt;=34,"25-34",
HRData[[#This Row],[Age]]&lt;=44,"35-44",
HRData[[#This Row],[Age]]&lt;=54,"45-54",
HRData[[#This Row],[Age]]&gt;=55,"55+"
)</f>
        <v>35-44</v>
      </c>
      <c r="C953" t="s">
        <v>43</v>
      </c>
      <c r="D953">
        <f>IF(HRData[[#This Row],[Attrition]]="Yes",1,0)</f>
        <v>0</v>
      </c>
      <c r="E953" t="s">
        <v>55</v>
      </c>
      <c r="F953">
        <v>256</v>
      </c>
      <c r="G953" t="s">
        <v>37</v>
      </c>
      <c r="H953">
        <v>10</v>
      </c>
      <c r="I953">
        <v>2</v>
      </c>
      <c r="J953" t="s">
        <v>51</v>
      </c>
      <c r="K953">
        <v>1</v>
      </c>
      <c r="L953">
        <v>1329</v>
      </c>
      <c r="M953">
        <v>3</v>
      </c>
      <c r="N953" t="str" cm="1">
        <f t="array" ref="N953">_xlfn.IFS(HRData[[#This Row],[EnvironmentSatisfaction]]=1,"Very Dissatisfied",
HRData[[#This Row],[EnvironmentSatisfaction]]=2,"Dissatisfied",
HRData[[#This Row],[EnvironmentSatisfaction]]=3,"Satisfied",
HRData[[#This Row],[EnvironmentSatisfaction]]=4,"Very Satisfied"
)</f>
        <v>Satisfied</v>
      </c>
      <c r="O953" t="s">
        <v>46</v>
      </c>
      <c r="P953">
        <v>40</v>
      </c>
      <c r="Q953">
        <v>1</v>
      </c>
      <c r="R953">
        <v>2</v>
      </c>
      <c r="S953" t="s">
        <v>40</v>
      </c>
      <c r="T953">
        <v>2</v>
      </c>
      <c r="U953" t="str" cm="1">
        <f t="array" ref="U953">_xlfn.IFS(
HRData[[#This Row],[JobSatisfaction]]=1,"Very Dissatisfied",
HRData[[#This Row],[JobSatisfaction]]=2,"Dissatisfied",
HRData[[#This Row],[JobSatisfaction]]=3,"Satisfied",
HRData[[#This Row],[JobSatisfaction]]=4,"Very Satisfied"
)</f>
        <v>Dissatisfied</v>
      </c>
      <c r="V953" t="s">
        <v>41</v>
      </c>
      <c r="W953">
        <v>6151</v>
      </c>
      <c r="X953" t="str" cm="1">
        <f t="array" ref="X953">_xlfn.IFS(
HRData[[#This Row],[MonthlyIncome]]&lt;=4000,"Very Low Income",
HRData[[#This Row],[MonthlyIncome]]&lt;=8000,"Low Income",
HRData[[#This Row],[MonthlyIncome]]&lt;=12000,"Moderate Income",
HRData[[#This Row],[MonthlyIncome]]&lt;=16000,"High Income",
HRData[[#This Row],[MonthlyIncome]]&gt;16000,"Very High Income"
)</f>
        <v>Low Income</v>
      </c>
      <c r="Y953">
        <v>22074</v>
      </c>
      <c r="Z953">
        <v>1</v>
      </c>
      <c r="AA953" t="s">
        <v>42</v>
      </c>
      <c r="AB953" t="s">
        <v>43</v>
      </c>
      <c r="AC953">
        <v>13</v>
      </c>
      <c r="AD953" t="str" cm="1">
        <f t="array" ref="AD953">_xlfn.IFS(HRData[[#This Row],[PercentSalaryHike]]&lt;=15,"11-15",HRData[[#This Row],[PercentSalaryHike]]&lt;=20,"16-20",HRData[[#This Row],[PercentSalaryHike]]&gt;=21,"21+")</f>
        <v>11-15</v>
      </c>
      <c r="AE953">
        <v>3</v>
      </c>
      <c r="AF953">
        <v>1</v>
      </c>
      <c r="AG953">
        <v>80</v>
      </c>
      <c r="AH953">
        <v>0</v>
      </c>
      <c r="AI953">
        <v>19</v>
      </c>
      <c r="AJ953">
        <v>4</v>
      </c>
      <c r="AK953">
        <v>3</v>
      </c>
      <c r="AL953">
        <v>19</v>
      </c>
      <c r="AM953">
        <v>2</v>
      </c>
      <c r="AN953">
        <v>11</v>
      </c>
      <c r="AO953">
        <v>9</v>
      </c>
      <c r="AP95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953" t="str">
        <f>IF(HRData[[#This Row],[Attrition]]="Yes","Left", IF(HRData[[#This Row],[Attrition_Risk_Score]]&gt;=6,"High",IF(HRData[[#This Row],[Attrition_Risk_Score]]&gt;=3,"Medium","Low")))</f>
        <v>Low</v>
      </c>
      <c r="AR953" t="str">
        <f>IF(HRData[[#This Row],[Attrition_Risk_Level]]&lt;&gt;"High","",HRData[[#This Row],[Attrition_Risk_Score]]*10000-HRData[[#This Row],[EmployeeNumber]])</f>
        <v/>
      </c>
    </row>
    <row r="954" spans="1:44">
      <c r="A954">
        <v>31</v>
      </c>
      <c r="B954" t="str" cm="1">
        <f t="array" ref="B954">_xlfn.IFS(
HRData[[#This Row],[Age]]&lt;=24,"18-24",
HRData[[#This Row],[Age]]&lt;=34,"25-34",
HRData[[#This Row],[Age]]&lt;=44,"35-44",
HRData[[#This Row],[Age]]&lt;=54,"45-54",
HRData[[#This Row],[Age]]&gt;=55,"55+"
)</f>
        <v>25-34</v>
      </c>
      <c r="C954" t="s">
        <v>35</v>
      </c>
      <c r="D954">
        <f>IF(HRData[[#This Row],[Attrition]]="Yes",1,0)</f>
        <v>1</v>
      </c>
      <c r="E954" t="s">
        <v>44</v>
      </c>
      <c r="F954">
        <v>1060</v>
      </c>
      <c r="G954" t="s">
        <v>37</v>
      </c>
      <c r="H954">
        <v>1</v>
      </c>
      <c r="I954">
        <v>3</v>
      </c>
      <c r="J954" t="s">
        <v>38</v>
      </c>
      <c r="K954">
        <v>1</v>
      </c>
      <c r="L954">
        <v>1331</v>
      </c>
      <c r="M954">
        <v>4</v>
      </c>
      <c r="N954" t="str" cm="1">
        <f t="array" ref="N954">_xlfn.IFS(HRData[[#This Row],[EnvironmentSatisfaction]]=1,"Very Dissatisfied",
HRData[[#This Row],[EnvironmentSatisfaction]]=2,"Dissatisfied",
HRData[[#This Row],[EnvironmentSatisfaction]]=3,"Satisfied",
HRData[[#This Row],[EnvironmentSatisfaction]]=4,"Very Satisfied"
)</f>
        <v>Very Satisfied</v>
      </c>
      <c r="O954" t="s">
        <v>39</v>
      </c>
      <c r="P954">
        <v>54</v>
      </c>
      <c r="Q954">
        <v>3</v>
      </c>
      <c r="R954">
        <v>1</v>
      </c>
      <c r="S954" t="s">
        <v>57</v>
      </c>
      <c r="T954">
        <v>2</v>
      </c>
      <c r="U954" t="str" cm="1">
        <f t="array" ref="U954">_xlfn.IFS(
HRData[[#This Row],[JobSatisfaction]]=1,"Very Dissatisfied",
HRData[[#This Row],[JobSatisfaction]]=2,"Dissatisfied",
HRData[[#This Row],[JobSatisfaction]]=3,"Satisfied",
HRData[[#This Row],[JobSatisfaction]]=4,"Very Satisfied"
)</f>
        <v>Dissatisfied</v>
      </c>
      <c r="V954" t="s">
        <v>41</v>
      </c>
      <c r="W954">
        <v>2302</v>
      </c>
      <c r="X954" t="str" cm="1">
        <f t="array" ref="X954">_xlfn.IFS(
HRData[[#This Row],[MonthlyIncome]]&lt;=4000,"Very Low Income",
HRData[[#This Row],[MonthlyIncome]]&lt;=8000,"Low Income",
HRData[[#This Row],[MonthlyIncome]]&lt;=12000,"Moderate Income",
HRData[[#This Row],[MonthlyIncome]]&lt;=16000,"High Income",
HRData[[#This Row],[MonthlyIncome]]&gt;16000,"Very High Income"
)</f>
        <v>Very Low Income</v>
      </c>
      <c r="Y954">
        <v>8319</v>
      </c>
      <c r="Z954">
        <v>1</v>
      </c>
      <c r="AA954" t="s">
        <v>42</v>
      </c>
      <c r="AB954" t="s">
        <v>35</v>
      </c>
      <c r="AC954">
        <v>11</v>
      </c>
      <c r="AD954" t="str" cm="1">
        <f t="array" ref="AD954">_xlfn.IFS(HRData[[#This Row],[PercentSalaryHike]]&lt;=15,"11-15",HRData[[#This Row],[PercentSalaryHike]]&lt;=20,"16-20",HRData[[#This Row],[PercentSalaryHike]]&gt;=21,"21+")</f>
        <v>11-15</v>
      </c>
      <c r="AE954">
        <v>3</v>
      </c>
      <c r="AF954">
        <v>1</v>
      </c>
      <c r="AG954">
        <v>80</v>
      </c>
      <c r="AH954">
        <v>0</v>
      </c>
      <c r="AI954">
        <v>3</v>
      </c>
      <c r="AJ954">
        <v>2</v>
      </c>
      <c r="AK954">
        <v>4</v>
      </c>
      <c r="AL954">
        <v>3</v>
      </c>
      <c r="AM954">
        <v>2</v>
      </c>
      <c r="AN954">
        <v>2</v>
      </c>
      <c r="AO954">
        <v>2</v>
      </c>
      <c r="AP95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54" t="str">
        <f>IF(HRData[[#This Row],[Attrition]]="Yes","Left", IF(HRData[[#This Row],[Attrition_Risk_Score]]&gt;=6,"High",IF(HRData[[#This Row],[Attrition_Risk_Score]]&gt;=3,"Medium","Low")))</f>
        <v>Left</v>
      </c>
      <c r="AR954" t="str">
        <f>IF(HRData[[#This Row],[Attrition_Risk_Level]]&lt;&gt;"High","",HRData[[#This Row],[Attrition_Risk_Score]]*10000-HRData[[#This Row],[EmployeeNumber]])</f>
        <v/>
      </c>
    </row>
    <row r="955" spans="1:44">
      <c r="A955">
        <v>44</v>
      </c>
      <c r="B955" t="str" cm="1">
        <f t="array" ref="B955">_xlfn.IFS(
HRData[[#This Row],[Age]]&lt;=24,"18-24",
HRData[[#This Row],[Age]]&lt;=34,"25-34",
HRData[[#This Row],[Age]]&lt;=44,"35-44",
HRData[[#This Row],[Age]]&lt;=54,"45-54",
HRData[[#This Row],[Age]]&gt;=55,"55+"
)</f>
        <v>35-44</v>
      </c>
      <c r="C955" t="s">
        <v>35</v>
      </c>
      <c r="D955">
        <f>IF(HRData[[#This Row],[Attrition]]="Yes",1,0)</f>
        <v>1</v>
      </c>
      <c r="E955" t="s">
        <v>36</v>
      </c>
      <c r="F955">
        <v>935</v>
      </c>
      <c r="G955" t="s">
        <v>45</v>
      </c>
      <c r="H955">
        <v>3</v>
      </c>
      <c r="I955">
        <v>3</v>
      </c>
      <c r="J955" t="s">
        <v>38</v>
      </c>
      <c r="K955">
        <v>1</v>
      </c>
      <c r="L955">
        <v>1333</v>
      </c>
      <c r="M955">
        <v>1</v>
      </c>
      <c r="N955" t="str" cm="1">
        <f t="array" ref="N955">_xlfn.IFS(HRData[[#This Row],[EnvironmentSatisfaction]]=1,"Very Dissatisfied",
HRData[[#This Row],[EnvironmentSatisfaction]]=2,"Dissatisfied",
HRData[[#This Row],[EnvironmentSatisfaction]]=3,"Satisfied",
HRData[[#This Row],[EnvironmentSatisfaction]]=4,"Very Satisfied"
)</f>
        <v>Very Dissatisfied</v>
      </c>
      <c r="O955" t="s">
        <v>46</v>
      </c>
      <c r="P955">
        <v>89</v>
      </c>
      <c r="Q955">
        <v>3</v>
      </c>
      <c r="R955">
        <v>1</v>
      </c>
      <c r="S955" t="s">
        <v>50</v>
      </c>
      <c r="T955">
        <v>1</v>
      </c>
      <c r="U955" t="str" cm="1">
        <f t="array" ref="U955">_xlfn.IFS(
HRData[[#This Row],[JobSatisfaction]]=1,"Very Dissatisfied",
HRData[[#This Row],[JobSatisfaction]]=2,"Dissatisfied",
HRData[[#This Row],[JobSatisfaction]]=3,"Satisfied",
HRData[[#This Row],[JobSatisfaction]]=4,"Very Satisfied"
)</f>
        <v>Very Dissatisfied</v>
      </c>
      <c r="V955" t="s">
        <v>48</v>
      </c>
      <c r="W955">
        <v>2362</v>
      </c>
      <c r="X955" t="str" cm="1">
        <f t="array" ref="X955">_xlfn.IFS(
HRData[[#This Row],[MonthlyIncome]]&lt;=4000,"Very Low Income",
HRData[[#This Row],[MonthlyIncome]]&lt;=8000,"Low Income",
HRData[[#This Row],[MonthlyIncome]]&lt;=12000,"Moderate Income",
HRData[[#This Row],[MonthlyIncome]]&lt;=16000,"High Income",
HRData[[#This Row],[MonthlyIncome]]&gt;16000,"Very High Income"
)</f>
        <v>Very Low Income</v>
      </c>
      <c r="Y955">
        <v>14669</v>
      </c>
      <c r="Z955">
        <v>4</v>
      </c>
      <c r="AA955" t="s">
        <v>42</v>
      </c>
      <c r="AB955" t="s">
        <v>43</v>
      </c>
      <c r="AC955">
        <v>12</v>
      </c>
      <c r="AD955" t="str" cm="1">
        <f t="array" ref="AD955">_xlfn.IFS(HRData[[#This Row],[PercentSalaryHike]]&lt;=15,"11-15",HRData[[#This Row],[PercentSalaryHike]]&lt;=20,"16-20",HRData[[#This Row],[PercentSalaryHike]]&gt;=21,"21+")</f>
        <v>11-15</v>
      </c>
      <c r="AE955">
        <v>3</v>
      </c>
      <c r="AF955">
        <v>3</v>
      </c>
      <c r="AG955">
        <v>80</v>
      </c>
      <c r="AH955">
        <v>0</v>
      </c>
      <c r="AI955">
        <v>10</v>
      </c>
      <c r="AJ955">
        <v>4</v>
      </c>
      <c r="AK955">
        <v>4</v>
      </c>
      <c r="AL955">
        <v>3</v>
      </c>
      <c r="AM955">
        <v>2</v>
      </c>
      <c r="AN955">
        <v>1</v>
      </c>
      <c r="AO955">
        <v>2</v>
      </c>
      <c r="AP95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55" t="str">
        <f>IF(HRData[[#This Row],[Attrition]]="Yes","Left", IF(HRData[[#This Row],[Attrition_Risk_Score]]&gt;=6,"High",IF(HRData[[#This Row],[Attrition_Risk_Score]]&gt;=3,"Medium","Low")))</f>
        <v>Left</v>
      </c>
      <c r="AR955" t="str">
        <f>IF(HRData[[#This Row],[Attrition_Risk_Level]]&lt;&gt;"High","",HRData[[#This Row],[Attrition_Risk_Score]]*10000-HRData[[#This Row],[EmployeeNumber]])</f>
        <v/>
      </c>
    </row>
    <row r="956" spans="1:44">
      <c r="A956">
        <v>42</v>
      </c>
      <c r="B956" t="str" cm="1">
        <f t="array" ref="B956">_xlfn.IFS(
HRData[[#This Row],[Age]]&lt;=24,"18-24",
HRData[[#This Row],[Age]]&lt;=34,"25-34",
HRData[[#This Row],[Age]]&lt;=44,"35-44",
HRData[[#This Row],[Age]]&lt;=54,"45-54",
HRData[[#This Row],[Age]]&gt;=55,"55+"
)</f>
        <v>35-44</v>
      </c>
      <c r="C956" t="s">
        <v>43</v>
      </c>
      <c r="D956">
        <f>IF(HRData[[#This Row],[Attrition]]="Yes",1,0)</f>
        <v>0</v>
      </c>
      <c r="E956" t="s">
        <v>55</v>
      </c>
      <c r="F956">
        <v>495</v>
      </c>
      <c r="G956" t="s">
        <v>45</v>
      </c>
      <c r="H956">
        <v>2</v>
      </c>
      <c r="I956">
        <v>1</v>
      </c>
      <c r="J956" t="s">
        <v>38</v>
      </c>
      <c r="K956">
        <v>1</v>
      </c>
      <c r="L956">
        <v>1334</v>
      </c>
      <c r="M956">
        <v>3</v>
      </c>
      <c r="N956" t="str" cm="1">
        <f t="array" ref="N956">_xlfn.IFS(HRData[[#This Row],[EnvironmentSatisfaction]]=1,"Very Dissatisfied",
HRData[[#This Row],[EnvironmentSatisfaction]]=2,"Dissatisfied",
HRData[[#This Row],[EnvironmentSatisfaction]]=3,"Satisfied",
HRData[[#This Row],[EnvironmentSatisfaction]]=4,"Very Satisfied"
)</f>
        <v>Satisfied</v>
      </c>
      <c r="O956" t="s">
        <v>46</v>
      </c>
      <c r="P956">
        <v>37</v>
      </c>
      <c r="Q956">
        <v>3</v>
      </c>
      <c r="R956">
        <v>4</v>
      </c>
      <c r="S956" t="s">
        <v>56</v>
      </c>
      <c r="T956">
        <v>3</v>
      </c>
      <c r="U956" t="str" cm="1">
        <f t="array" ref="U956">_xlfn.IFS(
HRData[[#This Row],[JobSatisfaction]]=1,"Very Dissatisfied",
HRData[[#This Row],[JobSatisfaction]]=2,"Dissatisfied",
HRData[[#This Row],[JobSatisfaction]]=3,"Satisfied",
HRData[[#This Row],[JobSatisfaction]]=4,"Very Satisfied"
)</f>
        <v>Satisfied</v>
      </c>
      <c r="V956" t="s">
        <v>48</v>
      </c>
      <c r="W956">
        <v>17861</v>
      </c>
      <c r="X956" t="str" cm="1">
        <f t="array" ref="X956">_xlfn.IFS(
HRData[[#This Row],[MonthlyIncome]]&lt;=4000,"Very Low Income",
HRData[[#This Row],[MonthlyIncome]]&lt;=8000,"Low Income",
HRData[[#This Row],[MonthlyIncome]]&lt;=12000,"Moderate Income",
HRData[[#This Row],[MonthlyIncome]]&lt;=16000,"High Income",
HRData[[#This Row],[MonthlyIncome]]&gt;16000,"Very High Income"
)</f>
        <v>Very High Income</v>
      </c>
      <c r="Y956">
        <v>26582</v>
      </c>
      <c r="Z956">
        <v>0</v>
      </c>
      <c r="AA956" t="s">
        <v>42</v>
      </c>
      <c r="AB956" t="s">
        <v>35</v>
      </c>
      <c r="AC956">
        <v>13</v>
      </c>
      <c r="AD956" t="str" cm="1">
        <f t="array" ref="AD956">_xlfn.IFS(HRData[[#This Row],[PercentSalaryHike]]&lt;=15,"11-15",HRData[[#This Row],[PercentSalaryHike]]&lt;=20,"16-20",HRData[[#This Row],[PercentSalaryHike]]&gt;=21,"21+")</f>
        <v>11-15</v>
      </c>
      <c r="AE956">
        <v>3</v>
      </c>
      <c r="AF956">
        <v>4</v>
      </c>
      <c r="AG956">
        <v>80</v>
      </c>
      <c r="AH956">
        <v>0</v>
      </c>
      <c r="AI956">
        <v>21</v>
      </c>
      <c r="AJ956">
        <v>3</v>
      </c>
      <c r="AK956">
        <v>2</v>
      </c>
      <c r="AL956">
        <v>20</v>
      </c>
      <c r="AM956">
        <v>8</v>
      </c>
      <c r="AN956">
        <v>2</v>
      </c>
      <c r="AO956">
        <v>10</v>
      </c>
      <c r="AP95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56" t="str">
        <f>IF(HRData[[#This Row],[Attrition]]="Yes","Left", IF(HRData[[#This Row],[Attrition_Risk_Score]]&gt;=6,"High",IF(HRData[[#This Row],[Attrition_Risk_Score]]&gt;=3,"Medium","Low")))</f>
        <v>Low</v>
      </c>
      <c r="AR956" t="str">
        <f>IF(HRData[[#This Row],[Attrition_Risk_Level]]&lt;&gt;"High","",HRData[[#This Row],[Attrition_Risk_Score]]*10000-HRData[[#This Row],[EmployeeNumber]])</f>
        <v/>
      </c>
    </row>
    <row r="957" spans="1:44">
      <c r="A957">
        <v>55</v>
      </c>
      <c r="B957" t="str" cm="1">
        <f t="array" ref="B957">_xlfn.IFS(
HRData[[#This Row],[Age]]&lt;=24,"18-24",
HRData[[#This Row],[Age]]&lt;=34,"25-34",
HRData[[#This Row],[Age]]&lt;=44,"35-44",
HRData[[#This Row],[Age]]&lt;=54,"45-54",
HRData[[#This Row],[Age]]&gt;=55,"55+"
)</f>
        <v>55+</v>
      </c>
      <c r="C957" t="s">
        <v>43</v>
      </c>
      <c r="D957">
        <f>IF(HRData[[#This Row],[Attrition]]="Yes",1,0)</f>
        <v>0</v>
      </c>
      <c r="E957" t="s">
        <v>36</v>
      </c>
      <c r="F957">
        <v>282</v>
      </c>
      <c r="G957" t="s">
        <v>45</v>
      </c>
      <c r="H957">
        <v>2</v>
      </c>
      <c r="I957">
        <v>2</v>
      </c>
      <c r="J957" t="s">
        <v>51</v>
      </c>
      <c r="K957">
        <v>1</v>
      </c>
      <c r="L957">
        <v>1336</v>
      </c>
      <c r="M957">
        <v>4</v>
      </c>
      <c r="N957" t="str" cm="1">
        <f t="array" ref="N957">_xlfn.IFS(HRData[[#This Row],[EnvironmentSatisfaction]]=1,"Very Dissatisfied",
HRData[[#This Row],[EnvironmentSatisfaction]]=2,"Dissatisfied",
HRData[[#This Row],[EnvironmentSatisfaction]]=3,"Satisfied",
HRData[[#This Row],[EnvironmentSatisfaction]]=4,"Very Satisfied"
)</f>
        <v>Very Satisfied</v>
      </c>
      <c r="O957" t="s">
        <v>39</v>
      </c>
      <c r="P957">
        <v>58</v>
      </c>
      <c r="Q957">
        <v>1</v>
      </c>
      <c r="R957">
        <v>5</v>
      </c>
      <c r="S957" t="s">
        <v>56</v>
      </c>
      <c r="T957">
        <v>3</v>
      </c>
      <c r="U957" t="str" cm="1">
        <f t="array" ref="U957">_xlfn.IFS(
HRData[[#This Row],[JobSatisfaction]]=1,"Very Dissatisfied",
HRData[[#This Row],[JobSatisfaction]]=2,"Dissatisfied",
HRData[[#This Row],[JobSatisfaction]]=3,"Satisfied",
HRData[[#This Row],[JobSatisfaction]]=4,"Very Satisfied"
)</f>
        <v>Satisfied</v>
      </c>
      <c r="V957" t="s">
        <v>48</v>
      </c>
      <c r="W957">
        <v>19187</v>
      </c>
      <c r="X957" t="str" cm="1">
        <f t="array" ref="X957">_xlfn.IFS(
HRData[[#This Row],[MonthlyIncome]]&lt;=4000,"Very Low Income",
HRData[[#This Row],[MonthlyIncome]]&lt;=8000,"Low Income",
HRData[[#This Row],[MonthlyIncome]]&lt;=12000,"Moderate Income",
HRData[[#This Row],[MonthlyIncome]]&lt;=16000,"High Income",
HRData[[#This Row],[MonthlyIncome]]&gt;16000,"Very High Income"
)</f>
        <v>Very High Income</v>
      </c>
      <c r="Y957">
        <v>6992</v>
      </c>
      <c r="Z957">
        <v>4</v>
      </c>
      <c r="AA957" t="s">
        <v>42</v>
      </c>
      <c r="AB957" t="s">
        <v>43</v>
      </c>
      <c r="AC957">
        <v>14</v>
      </c>
      <c r="AD957" t="str" cm="1">
        <f t="array" ref="AD957">_xlfn.IFS(HRData[[#This Row],[PercentSalaryHike]]&lt;=15,"11-15",HRData[[#This Row],[PercentSalaryHike]]&lt;=20,"16-20",HRData[[#This Row],[PercentSalaryHike]]&gt;=21,"21+")</f>
        <v>11-15</v>
      </c>
      <c r="AE957">
        <v>3</v>
      </c>
      <c r="AF957">
        <v>4</v>
      </c>
      <c r="AG957">
        <v>80</v>
      </c>
      <c r="AH957">
        <v>1</v>
      </c>
      <c r="AI957">
        <v>23</v>
      </c>
      <c r="AJ957">
        <v>5</v>
      </c>
      <c r="AK957">
        <v>3</v>
      </c>
      <c r="AL957">
        <v>19</v>
      </c>
      <c r="AM957">
        <v>9</v>
      </c>
      <c r="AN957">
        <v>9</v>
      </c>
      <c r="AO957">
        <v>11</v>
      </c>
      <c r="AP95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957" t="str">
        <f>IF(HRData[[#This Row],[Attrition]]="Yes","Left", IF(HRData[[#This Row],[Attrition_Risk_Score]]&gt;=6,"High",IF(HRData[[#This Row],[Attrition_Risk_Score]]&gt;=3,"Medium","Low")))</f>
        <v>Low</v>
      </c>
      <c r="AR957" t="str">
        <f>IF(HRData[[#This Row],[Attrition_Risk_Level]]&lt;&gt;"High","",HRData[[#This Row],[Attrition_Risk_Score]]*10000-HRData[[#This Row],[EmployeeNumber]])</f>
        <v/>
      </c>
    </row>
    <row r="958" spans="1:44">
      <c r="A958">
        <v>56</v>
      </c>
      <c r="B958" t="str" cm="1">
        <f t="array" ref="B958">_xlfn.IFS(
HRData[[#This Row],[Age]]&lt;=24,"18-24",
HRData[[#This Row],[Age]]&lt;=34,"25-34",
HRData[[#This Row],[Age]]&lt;=44,"35-44",
HRData[[#This Row],[Age]]&lt;=54,"45-54",
HRData[[#This Row],[Age]]&gt;=55,"55+"
)</f>
        <v>55+</v>
      </c>
      <c r="C958" t="s">
        <v>43</v>
      </c>
      <c r="D958">
        <f>IF(HRData[[#This Row],[Attrition]]="Yes",1,0)</f>
        <v>0</v>
      </c>
      <c r="E958" t="s">
        <v>36</v>
      </c>
      <c r="F958">
        <v>206</v>
      </c>
      <c r="G958" t="s">
        <v>61</v>
      </c>
      <c r="H958">
        <v>8</v>
      </c>
      <c r="I958">
        <v>4</v>
      </c>
      <c r="J958" t="s">
        <v>38</v>
      </c>
      <c r="K958">
        <v>1</v>
      </c>
      <c r="L958">
        <v>1338</v>
      </c>
      <c r="M958">
        <v>4</v>
      </c>
      <c r="N958" t="str" cm="1">
        <f t="array" ref="N958">_xlfn.IFS(HRData[[#This Row],[EnvironmentSatisfaction]]=1,"Very Dissatisfied",
HRData[[#This Row],[EnvironmentSatisfaction]]=2,"Dissatisfied",
HRData[[#This Row],[EnvironmentSatisfaction]]=3,"Satisfied",
HRData[[#This Row],[EnvironmentSatisfaction]]=4,"Very Satisfied"
)</f>
        <v>Very Satisfied</v>
      </c>
      <c r="O958" t="s">
        <v>46</v>
      </c>
      <c r="P958">
        <v>99</v>
      </c>
      <c r="Q958">
        <v>3</v>
      </c>
      <c r="R958">
        <v>5</v>
      </c>
      <c r="S958" t="s">
        <v>56</v>
      </c>
      <c r="T958">
        <v>2</v>
      </c>
      <c r="U958" t="str" cm="1">
        <f t="array" ref="U958">_xlfn.IFS(
HRData[[#This Row],[JobSatisfaction]]=1,"Very Dissatisfied",
HRData[[#This Row],[JobSatisfaction]]=2,"Dissatisfied",
HRData[[#This Row],[JobSatisfaction]]=3,"Satisfied",
HRData[[#This Row],[JobSatisfaction]]=4,"Very Satisfied"
)</f>
        <v>Dissatisfied</v>
      </c>
      <c r="V958" t="s">
        <v>41</v>
      </c>
      <c r="W958">
        <v>19717</v>
      </c>
      <c r="X958" t="str" cm="1">
        <f t="array" ref="X958">_xlfn.IFS(
HRData[[#This Row],[MonthlyIncome]]&lt;=4000,"Very Low Income",
HRData[[#This Row],[MonthlyIncome]]&lt;=8000,"Low Income",
HRData[[#This Row],[MonthlyIncome]]&lt;=12000,"Moderate Income",
HRData[[#This Row],[MonthlyIncome]]&lt;=16000,"High Income",
HRData[[#This Row],[MonthlyIncome]]&gt;16000,"Very High Income"
)</f>
        <v>Very High Income</v>
      </c>
      <c r="Y958">
        <v>4022</v>
      </c>
      <c r="Z958">
        <v>6</v>
      </c>
      <c r="AA958" t="s">
        <v>42</v>
      </c>
      <c r="AB958" t="s">
        <v>43</v>
      </c>
      <c r="AC958">
        <v>14</v>
      </c>
      <c r="AD958" t="str" cm="1">
        <f t="array" ref="AD958">_xlfn.IFS(HRData[[#This Row],[PercentSalaryHike]]&lt;=15,"11-15",HRData[[#This Row],[PercentSalaryHike]]&lt;=20,"16-20",HRData[[#This Row],[PercentSalaryHike]]&gt;=21,"21+")</f>
        <v>11-15</v>
      </c>
      <c r="AE958">
        <v>3</v>
      </c>
      <c r="AF958">
        <v>1</v>
      </c>
      <c r="AG958">
        <v>80</v>
      </c>
      <c r="AH958">
        <v>0</v>
      </c>
      <c r="AI958">
        <v>36</v>
      </c>
      <c r="AJ958">
        <v>4</v>
      </c>
      <c r="AK958">
        <v>3</v>
      </c>
      <c r="AL958">
        <v>7</v>
      </c>
      <c r="AM958">
        <v>3</v>
      </c>
      <c r="AN958">
        <v>7</v>
      </c>
      <c r="AO958">
        <v>7</v>
      </c>
      <c r="AP95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958" t="str">
        <f>IF(HRData[[#This Row],[Attrition]]="Yes","Left", IF(HRData[[#This Row],[Attrition_Risk_Score]]&gt;=6,"High",IF(HRData[[#This Row],[Attrition_Risk_Score]]&gt;=3,"Medium","Low")))</f>
        <v>Low</v>
      </c>
      <c r="AR958" t="str">
        <f>IF(HRData[[#This Row],[Attrition_Risk_Level]]&lt;&gt;"High","",HRData[[#This Row],[Attrition_Risk_Score]]*10000-HRData[[#This Row],[EmployeeNumber]])</f>
        <v/>
      </c>
    </row>
    <row r="959" spans="1:44">
      <c r="A959">
        <v>40</v>
      </c>
      <c r="B959" t="str" cm="1">
        <f t="array" ref="B959">_xlfn.IFS(
HRData[[#This Row],[Age]]&lt;=24,"18-24",
HRData[[#This Row],[Age]]&lt;=34,"25-34",
HRData[[#This Row],[Age]]&lt;=44,"35-44",
HRData[[#This Row],[Age]]&lt;=54,"45-54",
HRData[[#This Row],[Age]]&gt;=55,"55+"
)</f>
        <v>35-44</v>
      </c>
      <c r="C959" t="s">
        <v>43</v>
      </c>
      <c r="D959">
        <f>IF(HRData[[#This Row],[Attrition]]="Yes",1,0)</f>
        <v>0</v>
      </c>
      <c r="E959" t="s">
        <v>55</v>
      </c>
      <c r="F959">
        <v>458</v>
      </c>
      <c r="G959" t="s">
        <v>45</v>
      </c>
      <c r="H959">
        <v>16</v>
      </c>
      <c r="I959">
        <v>2</v>
      </c>
      <c r="J959" t="s">
        <v>38</v>
      </c>
      <c r="K959">
        <v>1</v>
      </c>
      <c r="L959">
        <v>1340</v>
      </c>
      <c r="M959">
        <v>3</v>
      </c>
      <c r="N959" t="str" cm="1">
        <f t="array" ref="N959">_xlfn.IFS(HRData[[#This Row],[EnvironmentSatisfaction]]=1,"Very Dissatisfied",
HRData[[#This Row],[EnvironmentSatisfaction]]=2,"Dissatisfied",
HRData[[#This Row],[EnvironmentSatisfaction]]=3,"Satisfied",
HRData[[#This Row],[EnvironmentSatisfaction]]=4,"Very Satisfied"
)</f>
        <v>Satisfied</v>
      </c>
      <c r="O959" t="s">
        <v>46</v>
      </c>
      <c r="P959">
        <v>74</v>
      </c>
      <c r="Q959">
        <v>3</v>
      </c>
      <c r="R959">
        <v>1</v>
      </c>
      <c r="S959" t="s">
        <v>47</v>
      </c>
      <c r="T959">
        <v>3</v>
      </c>
      <c r="U959" t="str" cm="1">
        <f t="array" ref="U959">_xlfn.IFS(
HRData[[#This Row],[JobSatisfaction]]=1,"Very Dissatisfied",
HRData[[#This Row],[JobSatisfaction]]=2,"Dissatisfied",
HRData[[#This Row],[JobSatisfaction]]=3,"Satisfied",
HRData[[#This Row],[JobSatisfaction]]=4,"Very Satisfied"
)</f>
        <v>Satisfied</v>
      </c>
      <c r="V959" t="s">
        <v>52</v>
      </c>
      <c r="W959">
        <v>3544</v>
      </c>
      <c r="X959" t="str" cm="1">
        <f t="array" ref="X959">_xlfn.IFS(
HRData[[#This Row],[MonthlyIncome]]&lt;=4000,"Very Low Income",
HRData[[#This Row],[MonthlyIncome]]&lt;=8000,"Low Income",
HRData[[#This Row],[MonthlyIncome]]&lt;=12000,"Moderate Income",
HRData[[#This Row],[MonthlyIncome]]&lt;=16000,"High Income",
HRData[[#This Row],[MonthlyIncome]]&gt;16000,"Very High Income"
)</f>
        <v>Very Low Income</v>
      </c>
      <c r="Y959">
        <v>8532</v>
      </c>
      <c r="Z959">
        <v>9</v>
      </c>
      <c r="AA959" t="s">
        <v>42</v>
      </c>
      <c r="AB959" t="s">
        <v>43</v>
      </c>
      <c r="AC959">
        <v>16</v>
      </c>
      <c r="AD959" t="str" cm="1">
        <f t="array" ref="AD959">_xlfn.IFS(HRData[[#This Row],[PercentSalaryHike]]&lt;=15,"11-15",HRData[[#This Row],[PercentSalaryHike]]&lt;=20,"16-20",HRData[[#This Row],[PercentSalaryHike]]&gt;=21,"21+")</f>
        <v>16-20</v>
      </c>
      <c r="AE959">
        <v>3</v>
      </c>
      <c r="AF959">
        <v>2</v>
      </c>
      <c r="AG959">
        <v>80</v>
      </c>
      <c r="AH959">
        <v>1</v>
      </c>
      <c r="AI959">
        <v>6</v>
      </c>
      <c r="AJ959">
        <v>0</v>
      </c>
      <c r="AK959">
        <v>3</v>
      </c>
      <c r="AL959">
        <v>4</v>
      </c>
      <c r="AM959">
        <v>2</v>
      </c>
      <c r="AN959">
        <v>0</v>
      </c>
      <c r="AO959">
        <v>0</v>
      </c>
      <c r="AP95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59" t="str">
        <f>IF(HRData[[#This Row],[Attrition]]="Yes","Left", IF(HRData[[#This Row],[Attrition_Risk_Score]]&gt;=6,"High",IF(HRData[[#This Row],[Attrition_Risk_Score]]&gt;=3,"Medium","Low")))</f>
        <v>Low</v>
      </c>
      <c r="AR959" t="str">
        <f>IF(HRData[[#This Row],[Attrition_Risk_Level]]&lt;&gt;"High","",HRData[[#This Row],[Attrition_Risk_Score]]*10000-HRData[[#This Row],[EmployeeNumber]])</f>
        <v/>
      </c>
    </row>
    <row r="960" spans="1:44">
      <c r="A960">
        <v>34</v>
      </c>
      <c r="B960" t="str" cm="1">
        <f t="array" ref="B960">_xlfn.IFS(
HRData[[#This Row],[Age]]&lt;=24,"18-24",
HRData[[#This Row],[Age]]&lt;=34,"25-34",
HRData[[#This Row],[Age]]&lt;=44,"35-44",
HRData[[#This Row],[Age]]&lt;=54,"45-54",
HRData[[#This Row],[Age]]&gt;=55,"55+"
)</f>
        <v>25-34</v>
      </c>
      <c r="C960" t="s">
        <v>43</v>
      </c>
      <c r="D960">
        <f>IF(HRData[[#This Row],[Attrition]]="Yes",1,0)</f>
        <v>0</v>
      </c>
      <c r="E960" t="s">
        <v>36</v>
      </c>
      <c r="F960">
        <v>943</v>
      </c>
      <c r="G960" t="s">
        <v>45</v>
      </c>
      <c r="H960">
        <v>9</v>
      </c>
      <c r="I960">
        <v>3</v>
      </c>
      <c r="J960" t="s">
        <v>38</v>
      </c>
      <c r="K960">
        <v>1</v>
      </c>
      <c r="L960">
        <v>1344</v>
      </c>
      <c r="M960">
        <v>4</v>
      </c>
      <c r="N960" t="str" cm="1">
        <f t="array" ref="N960">_xlfn.IFS(HRData[[#This Row],[EnvironmentSatisfaction]]=1,"Very Dissatisfied",
HRData[[#This Row],[EnvironmentSatisfaction]]=2,"Dissatisfied",
HRData[[#This Row],[EnvironmentSatisfaction]]=3,"Satisfied",
HRData[[#This Row],[EnvironmentSatisfaction]]=4,"Very Satisfied"
)</f>
        <v>Very Satisfied</v>
      </c>
      <c r="O960" t="s">
        <v>46</v>
      </c>
      <c r="P960">
        <v>86</v>
      </c>
      <c r="Q960">
        <v>3</v>
      </c>
      <c r="R960">
        <v>3</v>
      </c>
      <c r="S960" t="s">
        <v>54</v>
      </c>
      <c r="T960">
        <v>4</v>
      </c>
      <c r="U960" t="str" cm="1">
        <f t="array" ref="U960">_xlfn.IFS(
HRData[[#This Row],[JobSatisfaction]]=1,"Very Dissatisfied",
HRData[[#This Row],[JobSatisfaction]]=2,"Dissatisfied",
HRData[[#This Row],[JobSatisfaction]]=3,"Satisfied",
HRData[[#This Row],[JobSatisfaction]]=4,"Very Satisfied"
)</f>
        <v>Very Satisfied</v>
      </c>
      <c r="V960" t="s">
        <v>52</v>
      </c>
      <c r="W960">
        <v>8500</v>
      </c>
      <c r="X960" t="str" cm="1">
        <f t="array" ref="X960">_xlfn.IFS(
HRData[[#This Row],[MonthlyIncome]]&lt;=4000,"Very Low Income",
HRData[[#This Row],[MonthlyIncome]]&lt;=8000,"Low Income",
HRData[[#This Row],[MonthlyIncome]]&lt;=12000,"Moderate Income",
HRData[[#This Row],[MonthlyIncome]]&lt;=16000,"High Income",
HRData[[#This Row],[MonthlyIncome]]&gt;16000,"Very High Income"
)</f>
        <v>Moderate Income</v>
      </c>
      <c r="Y960">
        <v>5494</v>
      </c>
      <c r="Z960">
        <v>0</v>
      </c>
      <c r="AA960" t="s">
        <v>42</v>
      </c>
      <c r="AB960" t="s">
        <v>43</v>
      </c>
      <c r="AC960">
        <v>11</v>
      </c>
      <c r="AD960" t="str" cm="1">
        <f t="array" ref="AD960">_xlfn.IFS(HRData[[#This Row],[PercentSalaryHike]]&lt;=15,"11-15",HRData[[#This Row],[PercentSalaryHike]]&lt;=20,"16-20",HRData[[#This Row],[PercentSalaryHike]]&gt;=21,"21+")</f>
        <v>11-15</v>
      </c>
      <c r="AE960">
        <v>3</v>
      </c>
      <c r="AF960">
        <v>4</v>
      </c>
      <c r="AG960">
        <v>80</v>
      </c>
      <c r="AH960">
        <v>1</v>
      </c>
      <c r="AI960">
        <v>10</v>
      </c>
      <c r="AJ960">
        <v>0</v>
      </c>
      <c r="AK960">
        <v>2</v>
      </c>
      <c r="AL960">
        <v>9</v>
      </c>
      <c r="AM960">
        <v>7</v>
      </c>
      <c r="AN960">
        <v>1</v>
      </c>
      <c r="AO960">
        <v>6</v>
      </c>
      <c r="AP96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960" t="str">
        <f>IF(HRData[[#This Row],[Attrition]]="Yes","Left", IF(HRData[[#This Row],[Attrition_Risk_Score]]&gt;=6,"High",IF(HRData[[#This Row],[Attrition_Risk_Score]]&gt;=3,"Medium","Low")))</f>
        <v>Low</v>
      </c>
      <c r="AR960" t="str">
        <f>IF(HRData[[#This Row],[Attrition_Risk_Level]]&lt;&gt;"High","",HRData[[#This Row],[Attrition_Risk_Score]]*10000-HRData[[#This Row],[EmployeeNumber]])</f>
        <v/>
      </c>
    </row>
    <row r="961" spans="1:44">
      <c r="A961">
        <v>40</v>
      </c>
      <c r="B961" t="str" cm="1">
        <f t="array" ref="B961">_xlfn.IFS(
HRData[[#This Row],[Age]]&lt;=24,"18-24",
HRData[[#This Row],[Age]]&lt;=34,"25-34",
HRData[[#This Row],[Age]]&lt;=44,"35-44",
HRData[[#This Row],[Age]]&lt;=54,"45-54",
HRData[[#This Row],[Age]]&gt;=55,"55+"
)</f>
        <v>35-44</v>
      </c>
      <c r="C961" t="s">
        <v>43</v>
      </c>
      <c r="D961">
        <f>IF(HRData[[#This Row],[Attrition]]="Yes",1,0)</f>
        <v>0</v>
      </c>
      <c r="E961" t="s">
        <v>36</v>
      </c>
      <c r="F961">
        <v>523</v>
      </c>
      <c r="G961" t="s">
        <v>45</v>
      </c>
      <c r="H961">
        <v>2</v>
      </c>
      <c r="I961">
        <v>3</v>
      </c>
      <c r="J961" t="s">
        <v>38</v>
      </c>
      <c r="K961">
        <v>1</v>
      </c>
      <c r="L961">
        <v>1346</v>
      </c>
      <c r="M961">
        <v>3</v>
      </c>
      <c r="N961" t="str" cm="1">
        <f t="array" ref="N961">_xlfn.IFS(HRData[[#This Row],[EnvironmentSatisfaction]]=1,"Very Dissatisfied",
HRData[[#This Row],[EnvironmentSatisfaction]]=2,"Dissatisfied",
HRData[[#This Row],[EnvironmentSatisfaction]]=3,"Satisfied",
HRData[[#This Row],[EnvironmentSatisfaction]]=4,"Very Satisfied"
)</f>
        <v>Satisfied</v>
      </c>
      <c r="O961" t="s">
        <v>46</v>
      </c>
      <c r="P961">
        <v>98</v>
      </c>
      <c r="Q961">
        <v>3</v>
      </c>
      <c r="R961">
        <v>2</v>
      </c>
      <c r="S961" t="s">
        <v>47</v>
      </c>
      <c r="T961">
        <v>4</v>
      </c>
      <c r="U961" t="str" cm="1">
        <f t="array" ref="U961">_xlfn.IFS(
HRData[[#This Row],[JobSatisfaction]]=1,"Very Dissatisfied",
HRData[[#This Row],[JobSatisfaction]]=2,"Dissatisfied",
HRData[[#This Row],[JobSatisfaction]]=3,"Satisfied",
HRData[[#This Row],[JobSatisfaction]]=4,"Very Satisfied"
)</f>
        <v>Very Satisfied</v>
      </c>
      <c r="V961" t="s">
        <v>41</v>
      </c>
      <c r="W961">
        <v>4661</v>
      </c>
      <c r="X961" t="str" cm="1">
        <f t="array" ref="X961">_xlfn.IFS(
HRData[[#This Row],[MonthlyIncome]]&lt;=4000,"Very Low Income",
HRData[[#This Row],[MonthlyIncome]]&lt;=8000,"Low Income",
HRData[[#This Row],[MonthlyIncome]]&lt;=12000,"Moderate Income",
HRData[[#This Row],[MonthlyIncome]]&lt;=16000,"High Income",
HRData[[#This Row],[MonthlyIncome]]&gt;16000,"Very High Income"
)</f>
        <v>Low Income</v>
      </c>
      <c r="Y961">
        <v>22455</v>
      </c>
      <c r="Z961">
        <v>1</v>
      </c>
      <c r="AA961" t="s">
        <v>42</v>
      </c>
      <c r="AB961" t="s">
        <v>43</v>
      </c>
      <c r="AC961">
        <v>13</v>
      </c>
      <c r="AD961" t="str" cm="1">
        <f t="array" ref="AD961">_xlfn.IFS(HRData[[#This Row],[PercentSalaryHike]]&lt;=15,"11-15",HRData[[#This Row],[PercentSalaryHike]]&lt;=20,"16-20",HRData[[#This Row],[PercentSalaryHike]]&gt;=21,"21+")</f>
        <v>11-15</v>
      </c>
      <c r="AE961">
        <v>3</v>
      </c>
      <c r="AF961">
        <v>3</v>
      </c>
      <c r="AG961">
        <v>80</v>
      </c>
      <c r="AH961">
        <v>0</v>
      </c>
      <c r="AI961">
        <v>9</v>
      </c>
      <c r="AJ961">
        <v>4</v>
      </c>
      <c r="AK961">
        <v>3</v>
      </c>
      <c r="AL961">
        <v>9</v>
      </c>
      <c r="AM961">
        <v>8</v>
      </c>
      <c r="AN961">
        <v>8</v>
      </c>
      <c r="AO961">
        <v>8</v>
      </c>
      <c r="AP96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961" t="str">
        <f>IF(HRData[[#This Row],[Attrition]]="Yes","Left", IF(HRData[[#This Row],[Attrition_Risk_Score]]&gt;=6,"High",IF(HRData[[#This Row],[Attrition_Risk_Score]]&gt;=3,"Medium","Low")))</f>
        <v>Low</v>
      </c>
      <c r="AR961" t="str">
        <f>IF(HRData[[#This Row],[Attrition_Risk_Level]]&lt;&gt;"High","",HRData[[#This Row],[Attrition_Risk_Score]]*10000-HRData[[#This Row],[EmployeeNumber]])</f>
        <v/>
      </c>
    </row>
    <row r="962" spans="1:44">
      <c r="A962">
        <v>41</v>
      </c>
      <c r="B962" t="str" cm="1">
        <f t="array" ref="B962">_xlfn.IFS(
HRData[[#This Row],[Age]]&lt;=24,"18-24",
HRData[[#This Row],[Age]]&lt;=34,"25-34",
HRData[[#This Row],[Age]]&lt;=44,"35-44",
HRData[[#This Row],[Age]]&lt;=54,"45-54",
HRData[[#This Row],[Age]]&gt;=55,"55+"
)</f>
        <v>35-44</v>
      </c>
      <c r="C962" t="s">
        <v>43</v>
      </c>
      <c r="D962">
        <f>IF(HRData[[#This Row],[Attrition]]="Yes",1,0)</f>
        <v>0</v>
      </c>
      <c r="E962" t="s">
        <v>44</v>
      </c>
      <c r="F962">
        <v>1018</v>
      </c>
      <c r="G962" t="s">
        <v>37</v>
      </c>
      <c r="H962">
        <v>1</v>
      </c>
      <c r="I962">
        <v>3</v>
      </c>
      <c r="J962" t="s">
        <v>59</v>
      </c>
      <c r="K962">
        <v>1</v>
      </c>
      <c r="L962">
        <v>1349</v>
      </c>
      <c r="M962">
        <v>3</v>
      </c>
      <c r="N962" t="str" cm="1">
        <f t="array" ref="N962">_xlfn.IFS(HRData[[#This Row],[EnvironmentSatisfaction]]=1,"Very Dissatisfied",
HRData[[#This Row],[EnvironmentSatisfaction]]=2,"Dissatisfied",
HRData[[#This Row],[EnvironmentSatisfaction]]=3,"Satisfied",
HRData[[#This Row],[EnvironmentSatisfaction]]=4,"Very Satisfied"
)</f>
        <v>Satisfied</v>
      </c>
      <c r="O962" t="s">
        <v>39</v>
      </c>
      <c r="P962">
        <v>66</v>
      </c>
      <c r="Q962">
        <v>3</v>
      </c>
      <c r="R962">
        <v>2</v>
      </c>
      <c r="S962" t="s">
        <v>40</v>
      </c>
      <c r="T962">
        <v>1</v>
      </c>
      <c r="U962" t="str" cm="1">
        <f t="array" ref="U962">_xlfn.IFS(
HRData[[#This Row],[JobSatisfaction]]=1,"Very Dissatisfied",
HRData[[#This Row],[JobSatisfaction]]=2,"Dissatisfied",
HRData[[#This Row],[JobSatisfaction]]=3,"Satisfied",
HRData[[#This Row],[JobSatisfaction]]=4,"Very Satisfied"
)</f>
        <v>Very Dissatisfied</v>
      </c>
      <c r="V962" t="s">
        <v>52</v>
      </c>
      <c r="W962">
        <v>4103</v>
      </c>
      <c r="X962" t="str" cm="1">
        <f t="array" ref="X962">_xlfn.IFS(
HRData[[#This Row],[MonthlyIncome]]&lt;=4000,"Very Low Income",
HRData[[#This Row],[MonthlyIncome]]&lt;=8000,"Low Income",
HRData[[#This Row],[MonthlyIncome]]&lt;=12000,"Moderate Income",
HRData[[#This Row],[MonthlyIncome]]&lt;=16000,"High Income",
HRData[[#This Row],[MonthlyIncome]]&gt;16000,"Very High Income"
)</f>
        <v>Low Income</v>
      </c>
      <c r="Y962">
        <v>4297</v>
      </c>
      <c r="Z962">
        <v>0</v>
      </c>
      <c r="AA962" t="s">
        <v>42</v>
      </c>
      <c r="AB962" t="s">
        <v>43</v>
      </c>
      <c r="AC962">
        <v>17</v>
      </c>
      <c r="AD962" t="str" cm="1">
        <f t="array" ref="AD962">_xlfn.IFS(HRData[[#This Row],[PercentSalaryHike]]&lt;=15,"11-15",HRData[[#This Row],[PercentSalaryHike]]&lt;=20,"16-20",HRData[[#This Row],[PercentSalaryHike]]&gt;=21,"21+")</f>
        <v>16-20</v>
      </c>
      <c r="AE962">
        <v>3</v>
      </c>
      <c r="AF962">
        <v>4</v>
      </c>
      <c r="AG962">
        <v>80</v>
      </c>
      <c r="AH962">
        <v>1</v>
      </c>
      <c r="AI962">
        <v>10</v>
      </c>
      <c r="AJ962">
        <v>2</v>
      </c>
      <c r="AK962">
        <v>3</v>
      </c>
      <c r="AL962">
        <v>9</v>
      </c>
      <c r="AM962">
        <v>3</v>
      </c>
      <c r="AN962">
        <v>1</v>
      </c>
      <c r="AO962">
        <v>7</v>
      </c>
      <c r="AP96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62" t="str">
        <f>IF(HRData[[#This Row],[Attrition]]="Yes","Left", IF(HRData[[#This Row],[Attrition_Risk_Score]]&gt;=6,"High",IF(HRData[[#This Row],[Attrition_Risk_Score]]&gt;=3,"Medium","Low")))</f>
        <v>Medium</v>
      </c>
      <c r="AR962" t="str">
        <f>IF(HRData[[#This Row],[Attrition_Risk_Level]]&lt;&gt;"High","",HRData[[#This Row],[Attrition_Risk_Score]]*10000-HRData[[#This Row],[EmployeeNumber]])</f>
        <v/>
      </c>
    </row>
    <row r="963" spans="1:44">
      <c r="A963">
        <v>35</v>
      </c>
      <c r="B963" t="str" cm="1">
        <f t="array" ref="B963">_xlfn.IFS(
HRData[[#This Row],[Age]]&lt;=24,"18-24",
HRData[[#This Row],[Age]]&lt;=34,"25-34",
HRData[[#This Row],[Age]]&lt;=44,"35-44",
HRData[[#This Row],[Age]]&lt;=54,"45-54",
HRData[[#This Row],[Age]]&gt;=55,"55+"
)</f>
        <v>35-44</v>
      </c>
      <c r="C963" t="s">
        <v>43</v>
      </c>
      <c r="D963">
        <f>IF(HRData[[#This Row],[Attrition]]="Yes",1,0)</f>
        <v>0</v>
      </c>
      <c r="E963" t="s">
        <v>44</v>
      </c>
      <c r="F963">
        <v>482</v>
      </c>
      <c r="G963" t="s">
        <v>45</v>
      </c>
      <c r="H963">
        <v>4</v>
      </c>
      <c r="I963">
        <v>4</v>
      </c>
      <c r="J963" t="s">
        <v>38</v>
      </c>
      <c r="K963">
        <v>1</v>
      </c>
      <c r="L963">
        <v>1350</v>
      </c>
      <c r="M963">
        <v>3</v>
      </c>
      <c r="N963" t="str" cm="1">
        <f t="array" ref="N963">_xlfn.IFS(HRData[[#This Row],[EnvironmentSatisfaction]]=1,"Very Dissatisfied",
HRData[[#This Row],[EnvironmentSatisfaction]]=2,"Dissatisfied",
HRData[[#This Row],[EnvironmentSatisfaction]]=3,"Satisfied",
HRData[[#This Row],[EnvironmentSatisfaction]]=4,"Very Satisfied"
)</f>
        <v>Satisfied</v>
      </c>
      <c r="O963" t="s">
        <v>46</v>
      </c>
      <c r="P963">
        <v>87</v>
      </c>
      <c r="Q963">
        <v>3</v>
      </c>
      <c r="R963">
        <v>2</v>
      </c>
      <c r="S963" t="s">
        <v>47</v>
      </c>
      <c r="T963">
        <v>3</v>
      </c>
      <c r="U963" t="str" cm="1">
        <f t="array" ref="U963">_xlfn.IFS(
HRData[[#This Row],[JobSatisfaction]]=1,"Very Dissatisfied",
HRData[[#This Row],[JobSatisfaction]]=2,"Dissatisfied",
HRData[[#This Row],[JobSatisfaction]]=3,"Satisfied",
HRData[[#This Row],[JobSatisfaction]]=4,"Very Satisfied"
)</f>
        <v>Satisfied</v>
      </c>
      <c r="V963" t="s">
        <v>41</v>
      </c>
      <c r="W963">
        <v>4249</v>
      </c>
      <c r="X963" t="str" cm="1">
        <f t="array" ref="X963">_xlfn.IFS(
HRData[[#This Row],[MonthlyIncome]]&lt;=4000,"Very Low Income",
HRData[[#This Row],[MonthlyIncome]]&lt;=8000,"Low Income",
HRData[[#This Row],[MonthlyIncome]]&lt;=12000,"Moderate Income",
HRData[[#This Row],[MonthlyIncome]]&lt;=16000,"High Income",
HRData[[#This Row],[MonthlyIncome]]&gt;16000,"Very High Income"
)</f>
        <v>Low Income</v>
      </c>
      <c r="Y963">
        <v>2690</v>
      </c>
      <c r="Z963">
        <v>1</v>
      </c>
      <c r="AA963" t="s">
        <v>42</v>
      </c>
      <c r="AB963" t="s">
        <v>35</v>
      </c>
      <c r="AC963">
        <v>11</v>
      </c>
      <c r="AD963" t="str" cm="1">
        <f t="array" ref="AD963">_xlfn.IFS(HRData[[#This Row],[PercentSalaryHike]]&lt;=15,"11-15",HRData[[#This Row],[PercentSalaryHike]]&lt;=20,"16-20",HRData[[#This Row],[PercentSalaryHike]]&gt;=21,"21+")</f>
        <v>11-15</v>
      </c>
      <c r="AE963">
        <v>3</v>
      </c>
      <c r="AF963">
        <v>2</v>
      </c>
      <c r="AG963">
        <v>80</v>
      </c>
      <c r="AH963">
        <v>0</v>
      </c>
      <c r="AI963">
        <v>9</v>
      </c>
      <c r="AJ963">
        <v>3</v>
      </c>
      <c r="AK963">
        <v>3</v>
      </c>
      <c r="AL963">
        <v>9</v>
      </c>
      <c r="AM963">
        <v>6</v>
      </c>
      <c r="AN963">
        <v>1</v>
      </c>
      <c r="AO963">
        <v>1</v>
      </c>
      <c r="AP96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63" t="str">
        <f>IF(HRData[[#This Row],[Attrition]]="Yes","Left", IF(HRData[[#This Row],[Attrition_Risk_Score]]&gt;=6,"High",IF(HRData[[#This Row],[Attrition_Risk_Score]]&gt;=3,"Medium","Low")))</f>
        <v>Medium</v>
      </c>
      <c r="AR963" t="str">
        <f>IF(HRData[[#This Row],[Attrition_Risk_Level]]&lt;&gt;"High","",HRData[[#This Row],[Attrition_Risk_Score]]*10000-HRData[[#This Row],[EmployeeNumber]])</f>
        <v/>
      </c>
    </row>
    <row r="964" spans="1:44">
      <c r="A964">
        <v>51</v>
      </c>
      <c r="B964" t="str" cm="1">
        <f t="array" ref="B964">_xlfn.IFS(
HRData[[#This Row],[Age]]&lt;=24,"18-24",
HRData[[#This Row],[Age]]&lt;=34,"25-34",
HRData[[#This Row],[Age]]&lt;=44,"35-44",
HRData[[#This Row],[Age]]&lt;=54,"45-54",
HRData[[#This Row],[Age]]&gt;=55,"55+"
)</f>
        <v>45-54</v>
      </c>
      <c r="C964" t="s">
        <v>43</v>
      </c>
      <c r="D964">
        <f>IF(HRData[[#This Row],[Attrition]]="Yes",1,0)</f>
        <v>0</v>
      </c>
      <c r="E964" t="s">
        <v>36</v>
      </c>
      <c r="F964">
        <v>770</v>
      </c>
      <c r="G964" t="s">
        <v>61</v>
      </c>
      <c r="H964">
        <v>5</v>
      </c>
      <c r="I964">
        <v>3</v>
      </c>
      <c r="J964" t="s">
        <v>38</v>
      </c>
      <c r="K964">
        <v>1</v>
      </c>
      <c r="L964">
        <v>1352</v>
      </c>
      <c r="M964">
        <v>3</v>
      </c>
      <c r="N964" t="str" cm="1">
        <f t="array" ref="N964">_xlfn.IFS(HRData[[#This Row],[EnvironmentSatisfaction]]=1,"Very Dissatisfied",
HRData[[#This Row],[EnvironmentSatisfaction]]=2,"Dissatisfied",
HRData[[#This Row],[EnvironmentSatisfaction]]=3,"Satisfied",
HRData[[#This Row],[EnvironmentSatisfaction]]=4,"Very Satisfied"
)</f>
        <v>Satisfied</v>
      </c>
      <c r="O964" t="s">
        <v>46</v>
      </c>
      <c r="P964">
        <v>84</v>
      </c>
      <c r="Q964">
        <v>3</v>
      </c>
      <c r="R964">
        <v>4</v>
      </c>
      <c r="S964" t="s">
        <v>56</v>
      </c>
      <c r="T964">
        <v>2</v>
      </c>
      <c r="U964" t="str" cm="1">
        <f t="array" ref="U964">_xlfn.IFS(
HRData[[#This Row],[JobSatisfaction]]=1,"Very Dissatisfied",
HRData[[#This Row],[JobSatisfaction]]=2,"Dissatisfied",
HRData[[#This Row],[JobSatisfaction]]=3,"Satisfied",
HRData[[#This Row],[JobSatisfaction]]=4,"Very Satisfied"
)</f>
        <v>Dissatisfied</v>
      </c>
      <c r="V964" t="s">
        <v>52</v>
      </c>
      <c r="W964">
        <v>14026</v>
      </c>
      <c r="X964" t="str" cm="1">
        <f t="array" ref="X964">_xlfn.IFS(
HRData[[#This Row],[MonthlyIncome]]&lt;=4000,"Very Low Income",
HRData[[#This Row],[MonthlyIncome]]&lt;=8000,"Low Income",
HRData[[#This Row],[MonthlyIncome]]&lt;=12000,"Moderate Income",
HRData[[#This Row],[MonthlyIncome]]&lt;=16000,"High Income",
HRData[[#This Row],[MonthlyIncome]]&gt;16000,"Very High Income"
)</f>
        <v>High Income</v>
      </c>
      <c r="Y964">
        <v>17588</v>
      </c>
      <c r="Z964">
        <v>1</v>
      </c>
      <c r="AA964" t="s">
        <v>42</v>
      </c>
      <c r="AB964" t="s">
        <v>35</v>
      </c>
      <c r="AC964">
        <v>11</v>
      </c>
      <c r="AD964" t="str" cm="1">
        <f t="array" ref="AD964">_xlfn.IFS(HRData[[#This Row],[PercentSalaryHike]]&lt;=15,"11-15",HRData[[#This Row],[PercentSalaryHike]]&lt;=20,"16-20",HRData[[#This Row],[PercentSalaryHike]]&gt;=21,"21+")</f>
        <v>11-15</v>
      </c>
      <c r="AE964">
        <v>3</v>
      </c>
      <c r="AF964">
        <v>2</v>
      </c>
      <c r="AG964">
        <v>80</v>
      </c>
      <c r="AH964">
        <v>1</v>
      </c>
      <c r="AI964">
        <v>33</v>
      </c>
      <c r="AJ964">
        <v>2</v>
      </c>
      <c r="AK964">
        <v>3</v>
      </c>
      <c r="AL964">
        <v>33</v>
      </c>
      <c r="AM964">
        <v>9</v>
      </c>
      <c r="AN964">
        <v>0</v>
      </c>
      <c r="AO964">
        <v>10</v>
      </c>
      <c r="AP96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64" t="str">
        <f>IF(HRData[[#This Row],[Attrition]]="Yes","Left", IF(HRData[[#This Row],[Attrition_Risk_Score]]&gt;=6,"High",IF(HRData[[#This Row],[Attrition_Risk_Score]]&gt;=3,"Medium","Low")))</f>
        <v>Low</v>
      </c>
      <c r="AR964" t="str">
        <f>IF(HRData[[#This Row],[Attrition_Risk_Level]]&lt;&gt;"High","",HRData[[#This Row],[Attrition_Risk_Score]]*10000-HRData[[#This Row],[EmployeeNumber]])</f>
        <v/>
      </c>
    </row>
    <row r="965" spans="1:44">
      <c r="A965">
        <v>38</v>
      </c>
      <c r="B965" t="str" cm="1">
        <f t="array" ref="B965">_xlfn.IFS(
HRData[[#This Row],[Age]]&lt;=24,"18-24",
HRData[[#This Row],[Age]]&lt;=34,"25-34",
HRData[[#This Row],[Age]]&lt;=44,"35-44",
HRData[[#This Row],[Age]]&lt;=54,"45-54",
HRData[[#This Row],[Age]]&gt;=55,"55+"
)</f>
        <v>35-44</v>
      </c>
      <c r="C965" t="s">
        <v>43</v>
      </c>
      <c r="D965">
        <f>IF(HRData[[#This Row],[Attrition]]="Yes",1,0)</f>
        <v>0</v>
      </c>
      <c r="E965" t="s">
        <v>36</v>
      </c>
      <c r="F965">
        <v>1009</v>
      </c>
      <c r="G965" t="s">
        <v>37</v>
      </c>
      <c r="H965">
        <v>2</v>
      </c>
      <c r="I965">
        <v>2</v>
      </c>
      <c r="J965" t="s">
        <v>38</v>
      </c>
      <c r="K965">
        <v>1</v>
      </c>
      <c r="L965">
        <v>1355</v>
      </c>
      <c r="M965">
        <v>2</v>
      </c>
      <c r="N965" t="str" cm="1">
        <f t="array" ref="N965">_xlfn.IFS(HRData[[#This Row],[EnvironmentSatisfaction]]=1,"Very Dissatisfied",
HRData[[#This Row],[EnvironmentSatisfaction]]=2,"Dissatisfied",
HRData[[#This Row],[EnvironmentSatisfaction]]=3,"Satisfied",
HRData[[#This Row],[EnvironmentSatisfaction]]=4,"Very Satisfied"
)</f>
        <v>Dissatisfied</v>
      </c>
      <c r="O965" t="s">
        <v>39</v>
      </c>
      <c r="P965">
        <v>31</v>
      </c>
      <c r="Q965">
        <v>3</v>
      </c>
      <c r="R965">
        <v>2</v>
      </c>
      <c r="S965" t="s">
        <v>40</v>
      </c>
      <c r="T965">
        <v>1</v>
      </c>
      <c r="U965" t="str" cm="1">
        <f t="array" ref="U965">_xlfn.IFS(
HRData[[#This Row],[JobSatisfaction]]=1,"Very Dissatisfied",
HRData[[#This Row],[JobSatisfaction]]=2,"Dissatisfied",
HRData[[#This Row],[JobSatisfaction]]=3,"Satisfied",
HRData[[#This Row],[JobSatisfaction]]=4,"Very Satisfied"
)</f>
        <v>Very Dissatisfied</v>
      </c>
      <c r="V965" t="s">
        <v>52</v>
      </c>
      <c r="W965">
        <v>6893</v>
      </c>
      <c r="X965" t="str" cm="1">
        <f t="array" ref="X965">_xlfn.IFS(
HRData[[#This Row],[MonthlyIncome]]&lt;=4000,"Very Low Income",
HRData[[#This Row],[MonthlyIncome]]&lt;=8000,"Low Income",
HRData[[#This Row],[MonthlyIncome]]&lt;=12000,"Moderate Income",
HRData[[#This Row],[MonthlyIncome]]&lt;=16000,"High Income",
HRData[[#This Row],[MonthlyIncome]]&gt;16000,"Very High Income"
)</f>
        <v>Low Income</v>
      </c>
      <c r="Y965">
        <v>19461</v>
      </c>
      <c r="Z965">
        <v>3</v>
      </c>
      <c r="AA965" t="s">
        <v>42</v>
      </c>
      <c r="AB965" t="s">
        <v>43</v>
      </c>
      <c r="AC965">
        <v>15</v>
      </c>
      <c r="AD965" t="str" cm="1">
        <f t="array" ref="AD965">_xlfn.IFS(HRData[[#This Row],[PercentSalaryHike]]&lt;=15,"11-15",HRData[[#This Row],[PercentSalaryHike]]&lt;=20,"16-20",HRData[[#This Row],[PercentSalaryHike]]&gt;=21,"21+")</f>
        <v>11-15</v>
      </c>
      <c r="AE965">
        <v>3</v>
      </c>
      <c r="AF965">
        <v>4</v>
      </c>
      <c r="AG965">
        <v>80</v>
      </c>
      <c r="AH965">
        <v>1</v>
      </c>
      <c r="AI965">
        <v>11</v>
      </c>
      <c r="AJ965">
        <v>3</v>
      </c>
      <c r="AK965">
        <v>3</v>
      </c>
      <c r="AL965">
        <v>7</v>
      </c>
      <c r="AM965">
        <v>7</v>
      </c>
      <c r="AN965">
        <v>1</v>
      </c>
      <c r="AO965">
        <v>7</v>
      </c>
      <c r="AP96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65" t="str">
        <f>IF(HRData[[#This Row],[Attrition]]="Yes","Left", IF(HRData[[#This Row],[Attrition_Risk_Score]]&gt;=6,"High",IF(HRData[[#This Row],[Attrition_Risk_Score]]&gt;=3,"Medium","Low")))</f>
        <v>Medium</v>
      </c>
      <c r="AR965" t="str">
        <f>IF(HRData[[#This Row],[Attrition_Risk_Level]]&lt;&gt;"High","",HRData[[#This Row],[Attrition_Risk_Score]]*10000-HRData[[#This Row],[EmployeeNumber]])</f>
        <v/>
      </c>
    </row>
    <row r="966" spans="1:44">
      <c r="A966">
        <v>34</v>
      </c>
      <c r="B966" t="str" cm="1">
        <f t="array" ref="B966">_xlfn.IFS(
HRData[[#This Row],[Age]]&lt;=24,"18-24",
HRData[[#This Row],[Age]]&lt;=34,"25-34",
HRData[[#This Row],[Age]]&lt;=44,"35-44",
HRData[[#This Row],[Age]]&lt;=54,"45-54",
HRData[[#This Row],[Age]]&gt;=55,"55+"
)</f>
        <v>25-34</v>
      </c>
      <c r="C966" t="s">
        <v>43</v>
      </c>
      <c r="D966">
        <f>IF(HRData[[#This Row],[Attrition]]="Yes",1,0)</f>
        <v>0</v>
      </c>
      <c r="E966" t="s">
        <v>36</v>
      </c>
      <c r="F966">
        <v>507</v>
      </c>
      <c r="G966" t="s">
        <v>37</v>
      </c>
      <c r="H966">
        <v>15</v>
      </c>
      <c r="I966">
        <v>2</v>
      </c>
      <c r="J966" t="s">
        <v>51</v>
      </c>
      <c r="K966">
        <v>1</v>
      </c>
      <c r="L966">
        <v>1356</v>
      </c>
      <c r="M966">
        <v>3</v>
      </c>
      <c r="N966" t="str" cm="1">
        <f t="array" ref="N966">_xlfn.IFS(HRData[[#This Row],[EnvironmentSatisfaction]]=1,"Very Dissatisfied",
HRData[[#This Row],[EnvironmentSatisfaction]]=2,"Dissatisfied",
HRData[[#This Row],[EnvironmentSatisfaction]]=3,"Satisfied",
HRData[[#This Row],[EnvironmentSatisfaction]]=4,"Very Satisfied"
)</f>
        <v>Satisfied</v>
      </c>
      <c r="O966" t="s">
        <v>39</v>
      </c>
      <c r="P966">
        <v>66</v>
      </c>
      <c r="Q966">
        <v>3</v>
      </c>
      <c r="R966">
        <v>2</v>
      </c>
      <c r="S966" t="s">
        <v>40</v>
      </c>
      <c r="T966">
        <v>1</v>
      </c>
      <c r="U966" t="str" cm="1">
        <f t="array" ref="U966">_xlfn.IFS(
HRData[[#This Row],[JobSatisfaction]]=1,"Very Dissatisfied",
HRData[[#This Row],[JobSatisfaction]]=2,"Dissatisfied",
HRData[[#This Row],[JobSatisfaction]]=3,"Satisfied",
HRData[[#This Row],[JobSatisfaction]]=4,"Very Satisfied"
)</f>
        <v>Very Dissatisfied</v>
      </c>
      <c r="V966" t="s">
        <v>41</v>
      </c>
      <c r="W966">
        <v>6125</v>
      </c>
      <c r="X966" t="str" cm="1">
        <f t="array" ref="X966">_xlfn.IFS(
HRData[[#This Row],[MonthlyIncome]]&lt;=4000,"Very Low Income",
HRData[[#This Row],[MonthlyIncome]]&lt;=8000,"Low Income",
HRData[[#This Row],[MonthlyIncome]]&lt;=12000,"Moderate Income",
HRData[[#This Row],[MonthlyIncome]]&lt;=16000,"High Income",
HRData[[#This Row],[MonthlyIncome]]&gt;16000,"Very High Income"
)</f>
        <v>Low Income</v>
      </c>
      <c r="Y966">
        <v>23553</v>
      </c>
      <c r="Z966">
        <v>1</v>
      </c>
      <c r="AA966" t="s">
        <v>42</v>
      </c>
      <c r="AB966" t="s">
        <v>43</v>
      </c>
      <c r="AC966">
        <v>12</v>
      </c>
      <c r="AD966" t="str" cm="1">
        <f t="array" ref="AD966">_xlfn.IFS(HRData[[#This Row],[PercentSalaryHike]]&lt;=15,"11-15",HRData[[#This Row],[PercentSalaryHike]]&lt;=20,"16-20",HRData[[#This Row],[PercentSalaryHike]]&gt;=21,"21+")</f>
        <v>11-15</v>
      </c>
      <c r="AE966">
        <v>3</v>
      </c>
      <c r="AF966">
        <v>4</v>
      </c>
      <c r="AG966">
        <v>80</v>
      </c>
      <c r="AH966">
        <v>0</v>
      </c>
      <c r="AI966">
        <v>10</v>
      </c>
      <c r="AJ966">
        <v>6</v>
      </c>
      <c r="AK966">
        <v>4</v>
      </c>
      <c r="AL966">
        <v>10</v>
      </c>
      <c r="AM966">
        <v>8</v>
      </c>
      <c r="AN966">
        <v>9</v>
      </c>
      <c r="AO966">
        <v>6</v>
      </c>
      <c r="AP96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966" t="str">
        <f>IF(HRData[[#This Row],[Attrition]]="Yes","Left", IF(HRData[[#This Row],[Attrition_Risk_Score]]&gt;=6,"High",IF(HRData[[#This Row],[Attrition_Risk_Score]]&gt;=3,"Medium","Low")))</f>
        <v>Medium</v>
      </c>
      <c r="AR966" t="str">
        <f>IF(HRData[[#This Row],[Attrition_Risk_Level]]&lt;&gt;"High","",HRData[[#This Row],[Attrition_Risk_Score]]*10000-HRData[[#This Row],[EmployeeNumber]])</f>
        <v/>
      </c>
    </row>
    <row r="967" spans="1:44">
      <c r="A967">
        <v>25</v>
      </c>
      <c r="B967" t="str" cm="1">
        <f t="array" ref="B967">_xlfn.IFS(
HRData[[#This Row],[Age]]&lt;=24,"18-24",
HRData[[#This Row],[Age]]&lt;=34,"25-34",
HRData[[#This Row],[Age]]&lt;=44,"35-44",
HRData[[#This Row],[Age]]&lt;=54,"45-54",
HRData[[#This Row],[Age]]&gt;=55,"55+"
)</f>
        <v>25-34</v>
      </c>
      <c r="C967" t="s">
        <v>43</v>
      </c>
      <c r="D967">
        <f>IF(HRData[[#This Row],[Attrition]]="Yes",1,0)</f>
        <v>0</v>
      </c>
      <c r="E967" t="s">
        <v>36</v>
      </c>
      <c r="F967">
        <v>882</v>
      </c>
      <c r="G967" t="s">
        <v>45</v>
      </c>
      <c r="H967">
        <v>19</v>
      </c>
      <c r="I967">
        <v>1</v>
      </c>
      <c r="J967" t="s">
        <v>51</v>
      </c>
      <c r="K967">
        <v>1</v>
      </c>
      <c r="L967">
        <v>1358</v>
      </c>
      <c r="M967">
        <v>4</v>
      </c>
      <c r="N967" t="str" cm="1">
        <f t="array" ref="N967">_xlfn.IFS(HRData[[#This Row],[EnvironmentSatisfaction]]=1,"Very Dissatisfied",
HRData[[#This Row],[EnvironmentSatisfaction]]=2,"Dissatisfied",
HRData[[#This Row],[EnvironmentSatisfaction]]=3,"Satisfied",
HRData[[#This Row],[EnvironmentSatisfaction]]=4,"Very Satisfied"
)</f>
        <v>Very Satisfied</v>
      </c>
      <c r="O967" t="s">
        <v>46</v>
      </c>
      <c r="P967">
        <v>67</v>
      </c>
      <c r="Q967">
        <v>3</v>
      </c>
      <c r="R967">
        <v>1</v>
      </c>
      <c r="S967" t="s">
        <v>50</v>
      </c>
      <c r="T967">
        <v>4</v>
      </c>
      <c r="U967" t="str" cm="1">
        <f t="array" ref="U967">_xlfn.IFS(
HRData[[#This Row],[JobSatisfaction]]=1,"Very Dissatisfied",
HRData[[#This Row],[JobSatisfaction]]=2,"Dissatisfied",
HRData[[#This Row],[JobSatisfaction]]=3,"Satisfied",
HRData[[#This Row],[JobSatisfaction]]=4,"Very Satisfied"
)</f>
        <v>Very Satisfied</v>
      </c>
      <c r="V967" t="s">
        <v>48</v>
      </c>
      <c r="W967">
        <v>3669</v>
      </c>
      <c r="X967" t="str" cm="1">
        <f t="array" ref="X967">_xlfn.IFS(
HRData[[#This Row],[MonthlyIncome]]&lt;=4000,"Very Low Income",
HRData[[#This Row],[MonthlyIncome]]&lt;=8000,"Low Income",
HRData[[#This Row],[MonthlyIncome]]&lt;=12000,"Moderate Income",
HRData[[#This Row],[MonthlyIncome]]&lt;=16000,"High Income",
HRData[[#This Row],[MonthlyIncome]]&gt;16000,"Very High Income"
)</f>
        <v>Very Low Income</v>
      </c>
      <c r="Y967">
        <v>9075</v>
      </c>
      <c r="Z967">
        <v>3</v>
      </c>
      <c r="AA967" t="s">
        <v>42</v>
      </c>
      <c r="AB967" t="s">
        <v>43</v>
      </c>
      <c r="AC967">
        <v>11</v>
      </c>
      <c r="AD967" t="str" cm="1">
        <f t="array" ref="AD967">_xlfn.IFS(HRData[[#This Row],[PercentSalaryHike]]&lt;=15,"11-15",HRData[[#This Row],[PercentSalaryHike]]&lt;=20,"16-20",HRData[[#This Row],[PercentSalaryHike]]&gt;=21,"21+")</f>
        <v>11-15</v>
      </c>
      <c r="AE967">
        <v>3</v>
      </c>
      <c r="AF967">
        <v>3</v>
      </c>
      <c r="AG967">
        <v>80</v>
      </c>
      <c r="AH967">
        <v>3</v>
      </c>
      <c r="AI967">
        <v>7</v>
      </c>
      <c r="AJ967">
        <v>6</v>
      </c>
      <c r="AK967">
        <v>2</v>
      </c>
      <c r="AL967">
        <v>3</v>
      </c>
      <c r="AM967">
        <v>2</v>
      </c>
      <c r="AN967">
        <v>1</v>
      </c>
      <c r="AO967">
        <v>2</v>
      </c>
      <c r="AP96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967" t="str">
        <f>IF(HRData[[#This Row],[Attrition]]="Yes","Left", IF(HRData[[#This Row],[Attrition_Risk_Score]]&gt;=6,"High",IF(HRData[[#This Row],[Attrition_Risk_Score]]&gt;=3,"Medium","Low")))</f>
        <v>Medium</v>
      </c>
      <c r="AR967" t="str">
        <f>IF(HRData[[#This Row],[Attrition_Risk_Level]]&lt;&gt;"High","",HRData[[#This Row],[Attrition_Risk_Score]]*10000-HRData[[#This Row],[EmployeeNumber]])</f>
        <v/>
      </c>
    </row>
    <row r="968" spans="1:44">
      <c r="A968">
        <v>58</v>
      </c>
      <c r="B968" t="str" cm="1">
        <f t="array" ref="B968">_xlfn.IFS(
HRData[[#This Row],[Age]]&lt;=24,"18-24",
HRData[[#This Row],[Age]]&lt;=34,"25-34",
HRData[[#This Row],[Age]]&lt;=44,"35-44",
HRData[[#This Row],[Age]]&lt;=54,"45-54",
HRData[[#This Row],[Age]]&gt;=55,"55+"
)</f>
        <v>55+</v>
      </c>
      <c r="C968" t="s">
        <v>35</v>
      </c>
      <c r="D968">
        <f>IF(HRData[[#This Row],[Attrition]]="Yes",1,0)</f>
        <v>1</v>
      </c>
      <c r="E968" t="s">
        <v>36</v>
      </c>
      <c r="F968">
        <v>601</v>
      </c>
      <c r="G968" t="s">
        <v>45</v>
      </c>
      <c r="H968">
        <v>7</v>
      </c>
      <c r="I968">
        <v>4</v>
      </c>
      <c r="J968" t="s">
        <v>51</v>
      </c>
      <c r="K968">
        <v>1</v>
      </c>
      <c r="L968">
        <v>1360</v>
      </c>
      <c r="M968">
        <v>3</v>
      </c>
      <c r="N968" t="str" cm="1">
        <f t="array" ref="N968">_xlfn.IFS(HRData[[#This Row],[EnvironmentSatisfaction]]=1,"Very Dissatisfied",
HRData[[#This Row],[EnvironmentSatisfaction]]=2,"Dissatisfied",
HRData[[#This Row],[EnvironmentSatisfaction]]=3,"Satisfied",
HRData[[#This Row],[EnvironmentSatisfaction]]=4,"Very Satisfied"
)</f>
        <v>Satisfied</v>
      </c>
      <c r="O968" t="s">
        <v>39</v>
      </c>
      <c r="P968">
        <v>53</v>
      </c>
      <c r="Q968">
        <v>2</v>
      </c>
      <c r="R968">
        <v>3</v>
      </c>
      <c r="S968" t="s">
        <v>53</v>
      </c>
      <c r="T968">
        <v>1</v>
      </c>
      <c r="U968" t="str" cm="1">
        <f t="array" ref="U968">_xlfn.IFS(
HRData[[#This Row],[JobSatisfaction]]=1,"Very Dissatisfied",
HRData[[#This Row],[JobSatisfaction]]=2,"Dissatisfied",
HRData[[#This Row],[JobSatisfaction]]=3,"Satisfied",
HRData[[#This Row],[JobSatisfaction]]=4,"Very Satisfied"
)</f>
        <v>Very Dissatisfied</v>
      </c>
      <c r="V968" t="s">
        <v>48</v>
      </c>
      <c r="W968">
        <v>10008</v>
      </c>
      <c r="X968" t="str" cm="1">
        <f t="array" ref="X968">_xlfn.IFS(
HRData[[#This Row],[MonthlyIncome]]&lt;=4000,"Very Low Income",
HRData[[#This Row],[MonthlyIncome]]&lt;=8000,"Low Income",
HRData[[#This Row],[MonthlyIncome]]&lt;=12000,"Moderate Income",
HRData[[#This Row],[MonthlyIncome]]&lt;=16000,"High Income",
HRData[[#This Row],[MonthlyIncome]]&gt;16000,"Very High Income"
)</f>
        <v>Moderate Income</v>
      </c>
      <c r="Y968">
        <v>12023</v>
      </c>
      <c r="Z968">
        <v>7</v>
      </c>
      <c r="AA968" t="s">
        <v>42</v>
      </c>
      <c r="AB968" t="s">
        <v>35</v>
      </c>
      <c r="AC968">
        <v>14</v>
      </c>
      <c r="AD968" t="str" cm="1">
        <f t="array" ref="AD968">_xlfn.IFS(HRData[[#This Row],[PercentSalaryHike]]&lt;=15,"11-15",HRData[[#This Row],[PercentSalaryHike]]&lt;=20,"16-20",HRData[[#This Row],[PercentSalaryHike]]&gt;=21,"21+")</f>
        <v>11-15</v>
      </c>
      <c r="AE968">
        <v>3</v>
      </c>
      <c r="AF968">
        <v>4</v>
      </c>
      <c r="AG968">
        <v>80</v>
      </c>
      <c r="AH968">
        <v>0</v>
      </c>
      <c r="AI968">
        <v>31</v>
      </c>
      <c r="AJ968">
        <v>0</v>
      </c>
      <c r="AK968">
        <v>2</v>
      </c>
      <c r="AL968">
        <v>10</v>
      </c>
      <c r="AM968">
        <v>9</v>
      </c>
      <c r="AN968">
        <v>5</v>
      </c>
      <c r="AO968">
        <v>9</v>
      </c>
      <c r="AP96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68" t="str">
        <f>IF(HRData[[#This Row],[Attrition]]="Yes","Left", IF(HRData[[#This Row],[Attrition_Risk_Score]]&gt;=6,"High",IF(HRData[[#This Row],[Attrition_Risk_Score]]&gt;=3,"Medium","Low")))</f>
        <v>Left</v>
      </c>
      <c r="AR968" t="str">
        <f>IF(HRData[[#This Row],[Attrition_Risk_Level]]&lt;&gt;"High","",HRData[[#This Row],[Attrition_Risk_Score]]*10000-HRData[[#This Row],[EmployeeNumber]])</f>
        <v/>
      </c>
    </row>
    <row r="969" spans="1:44">
      <c r="A969">
        <v>40</v>
      </c>
      <c r="B969" t="str" cm="1">
        <f t="array" ref="B969">_xlfn.IFS(
HRData[[#This Row],[Age]]&lt;=24,"18-24",
HRData[[#This Row],[Age]]&lt;=34,"25-34",
HRData[[#This Row],[Age]]&lt;=44,"35-44",
HRData[[#This Row],[Age]]&lt;=54,"45-54",
HRData[[#This Row],[Age]]&gt;=55,"55+"
)</f>
        <v>35-44</v>
      </c>
      <c r="C969" t="s">
        <v>43</v>
      </c>
      <c r="D969">
        <f>IF(HRData[[#This Row],[Attrition]]="Yes",1,0)</f>
        <v>0</v>
      </c>
      <c r="E969" t="s">
        <v>36</v>
      </c>
      <c r="F969">
        <v>329</v>
      </c>
      <c r="G969" t="s">
        <v>45</v>
      </c>
      <c r="H969">
        <v>1</v>
      </c>
      <c r="I969">
        <v>4</v>
      </c>
      <c r="J969" t="s">
        <v>38</v>
      </c>
      <c r="K969">
        <v>1</v>
      </c>
      <c r="L969">
        <v>1361</v>
      </c>
      <c r="M969">
        <v>2</v>
      </c>
      <c r="N969" t="str" cm="1">
        <f t="array" ref="N969">_xlfn.IFS(HRData[[#This Row],[EnvironmentSatisfaction]]=1,"Very Dissatisfied",
HRData[[#This Row],[EnvironmentSatisfaction]]=2,"Dissatisfied",
HRData[[#This Row],[EnvironmentSatisfaction]]=3,"Satisfied",
HRData[[#This Row],[EnvironmentSatisfaction]]=4,"Very Satisfied"
)</f>
        <v>Dissatisfied</v>
      </c>
      <c r="O969" t="s">
        <v>46</v>
      </c>
      <c r="P969">
        <v>88</v>
      </c>
      <c r="Q969">
        <v>3</v>
      </c>
      <c r="R969">
        <v>1</v>
      </c>
      <c r="S969" t="s">
        <v>50</v>
      </c>
      <c r="T969">
        <v>2</v>
      </c>
      <c r="U969" t="str" cm="1">
        <f t="array" ref="U969">_xlfn.IFS(
HRData[[#This Row],[JobSatisfaction]]=1,"Very Dissatisfied",
HRData[[#This Row],[JobSatisfaction]]=2,"Dissatisfied",
HRData[[#This Row],[JobSatisfaction]]=3,"Satisfied",
HRData[[#This Row],[JobSatisfaction]]=4,"Very Satisfied"
)</f>
        <v>Dissatisfied</v>
      </c>
      <c r="V969" t="s">
        <v>48</v>
      </c>
      <c r="W969">
        <v>2387</v>
      </c>
      <c r="X969" t="str" cm="1">
        <f t="array" ref="X969">_xlfn.IFS(
HRData[[#This Row],[MonthlyIncome]]&lt;=4000,"Very Low Income",
HRData[[#This Row],[MonthlyIncome]]&lt;=8000,"Low Income",
HRData[[#This Row],[MonthlyIncome]]&lt;=12000,"Moderate Income",
HRData[[#This Row],[MonthlyIncome]]&lt;=16000,"High Income",
HRData[[#This Row],[MonthlyIncome]]&gt;16000,"Very High Income"
)</f>
        <v>Very Low Income</v>
      </c>
      <c r="Y969">
        <v>6762</v>
      </c>
      <c r="Z969">
        <v>3</v>
      </c>
      <c r="AA969" t="s">
        <v>42</v>
      </c>
      <c r="AB969" t="s">
        <v>43</v>
      </c>
      <c r="AC969">
        <v>22</v>
      </c>
      <c r="AD969" t="str" cm="1">
        <f t="array" ref="AD969">_xlfn.IFS(HRData[[#This Row],[PercentSalaryHike]]&lt;=15,"11-15",HRData[[#This Row],[PercentSalaryHike]]&lt;=20,"16-20",HRData[[#This Row],[PercentSalaryHike]]&gt;=21,"21+")</f>
        <v>21+</v>
      </c>
      <c r="AE969">
        <v>4</v>
      </c>
      <c r="AF969">
        <v>3</v>
      </c>
      <c r="AG969">
        <v>80</v>
      </c>
      <c r="AH969">
        <v>1</v>
      </c>
      <c r="AI969">
        <v>7</v>
      </c>
      <c r="AJ969">
        <v>3</v>
      </c>
      <c r="AK969">
        <v>3</v>
      </c>
      <c r="AL969">
        <v>4</v>
      </c>
      <c r="AM969">
        <v>2</v>
      </c>
      <c r="AN969">
        <v>0</v>
      </c>
      <c r="AO969">
        <v>3</v>
      </c>
      <c r="AP96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69" t="str">
        <f>IF(HRData[[#This Row],[Attrition]]="Yes","Left", IF(HRData[[#This Row],[Attrition_Risk_Score]]&gt;=6,"High",IF(HRData[[#This Row],[Attrition_Risk_Score]]&gt;=3,"Medium","Low")))</f>
        <v>Medium</v>
      </c>
      <c r="AR969" t="str">
        <f>IF(HRData[[#This Row],[Attrition_Risk_Level]]&lt;&gt;"High","",HRData[[#This Row],[Attrition_Risk_Score]]*10000-HRData[[#This Row],[EmployeeNumber]])</f>
        <v/>
      </c>
    </row>
    <row r="970" spans="1:44">
      <c r="A970">
        <v>36</v>
      </c>
      <c r="B970" t="str" cm="1">
        <f t="array" ref="B970">_xlfn.IFS(
HRData[[#This Row],[Age]]&lt;=24,"18-24",
HRData[[#This Row],[Age]]&lt;=34,"25-34",
HRData[[#This Row],[Age]]&lt;=44,"35-44",
HRData[[#This Row],[Age]]&lt;=54,"45-54",
HRData[[#This Row],[Age]]&gt;=55,"55+"
)</f>
        <v>35-44</v>
      </c>
      <c r="C970" t="s">
        <v>43</v>
      </c>
      <c r="D970">
        <f>IF(HRData[[#This Row],[Attrition]]="Yes",1,0)</f>
        <v>0</v>
      </c>
      <c r="E970" t="s">
        <v>44</v>
      </c>
      <c r="F970">
        <v>607</v>
      </c>
      <c r="G970" t="s">
        <v>37</v>
      </c>
      <c r="H970">
        <v>7</v>
      </c>
      <c r="I970">
        <v>3</v>
      </c>
      <c r="J970" t="s">
        <v>59</v>
      </c>
      <c r="K970">
        <v>1</v>
      </c>
      <c r="L970">
        <v>1362</v>
      </c>
      <c r="M970">
        <v>1</v>
      </c>
      <c r="N970" t="str" cm="1">
        <f t="array" ref="N970">_xlfn.IFS(HRData[[#This Row],[EnvironmentSatisfaction]]=1,"Very Dissatisfied",
HRData[[#This Row],[EnvironmentSatisfaction]]=2,"Dissatisfied",
HRData[[#This Row],[EnvironmentSatisfaction]]=3,"Satisfied",
HRData[[#This Row],[EnvironmentSatisfaction]]=4,"Very Satisfied"
)</f>
        <v>Very Dissatisfied</v>
      </c>
      <c r="O970" t="s">
        <v>39</v>
      </c>
      <c r="P970">
        <v>83</v>
      </c>
      <c r="Q970">
        <v>4</v>
      </c>
      <c r="R970">
        <v>2</v>
      </c>
      <c r="S970" t="s">
        <v>40</v>
      </c>
      <c r="T970">
        <v>1</v>
      </c>
      <c r="U970" t="str" cm="1">
        <f t="array" ref="U970">_xlfn.IFS(
HRData[[#This Row],[JobSatisfaction]]=1,"Very Dissatisfied",
HRData[[#This Row],[JobSatisfaction]]=2,"Dissatisfied",
HRData[[#This Row],[JobSatisfaction]]=3,"Satisfied",
HRData[[#This Row],[JobSatisfaction]]=4,"Very Satisfied"
)</f>
        <v>Very Dissatisfied</v>
      </c>
      <c r="V970" t="s">
        <v>48</v>
      </c>
      <c r="W970">
        <v>4639</v>
      </c>
      <c r="X970" t="str" cm="1">
        <f t="array" ref="X970">_xlfn.IFS(
HRData[[#This Row],[MonthlyIncome]]&lt;=4000,"Very Low Income",
HRData[[#This Row],[MonthlyIncome]]&lt;=8000,"Low Income",
HRData[[#This Row],[MonthlyIncome]]&lt;=12000,"Moderate Income",
HRData[[#This Row],[MonthlyIncome]]&lt;=16000,"High Income",
HRData[[#This Row],[MonthlyIncome]]&gt;16000,"Very High Income"
)</f>
        <v>Low Income</v>
      </c>
      <c r="Y970">
        <v>2261</v>
      </c>
      <c r="Z970">
        <v>2</v>
      </c>
      <c r="AA970" t="s">
        <v>42</v>
      </c>
      <c r="AB970" t="s">
        <v>43</v>
      </c>
      <c r="AC970">
        <v>16</v>
      </c>
      <c r="AD970" t="str" cm="1">
        <f t="array" ref="AD970">_xlfn.IFS(HRData[[#This Row],[PercentSalaryHike]]&lt;=15,"11-15",HRData[[#This Row],[PercentSalaryHike]]&lt;=20,"16-20",HRData[[#This Row],[PercentSalaryHike]]&gt;=21,"21+")</f>
        <v>16-20</v>
      </c>
      <c r="AE970">
        <v>3</v>
      </c>
      <c r="AF970">
        <v>4</v>
      </c>
      <c r="AG970">
        <v>80</v>
      </c>
      <c r="AH970">
        <v>1</v>
      </c>
      <c r="AI970">
        <v>17</v>
      </c>
      <c r="AJ970">
        <v>2</v>
      </c>
      <c r="AK970">
        <v>2</v>
      </c>
      <c r="AL970">
        <v>15</v>
      </c>
      <c r="AM970">
        <v>7</v>
      </c>
      <c r="AN970">
        <v>6</v>
      </c>
      <c r="AO970">
        <v>13</v>
      </c>
      <c r="AP97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70" t="str">
        <f>IF(HRData[[#This Row],[Attrition]]="Yes","Left", IF(HRData[[#This Row],[Attrition_Risk_Score]]&gt;=6,"High",IF(HRData[[#This Row],[Attrition_Risk_Score]]&gt;=3,"Medium","Low")))</f>
        <v>Medium</v>
      </c>
      <c r="AR970" t="str">
        <f>IF(HRData[[#This Row],[Attrition_Risk_Level]]&lt;&gt;"High","",HRData[[#This Row],[Attrition_Risk_Score]]*10000-HRData[[#This Row],[EmployeeNumber]])</f>
        <v/>
      </c>
    </row>
    <row r="971" spans="1:44">
      <c r="A971">
        <v>48</v>
      </c>
      <c r="B971" t="str" cm="1">
        <f t="array" ref="B971">_xlfn.IFS(
HRData[[#This Row],[Age]]&lt;=24,"18-24",
HRData[[#This Row],[Age]]&lt;=34,"25-34",
HRData[[#This Row],[Age]]&lt;=44,"35-44",
HRData[[#This Row],[Age]]&lt;=54,"45-54",
HRData[[#This Row],[Age]]&gt;=55,"55+"
)</f>
        <v>45-54</v>
      </c>
      <c r="C971" t="s">
        <v>43</v>
      </c>
      <c r="D971">
        <f>IF(HRData[[#This Row],[Attrition]]="Yes",1,0)</f>
        <v>0</v>
      </c>
      <c r="E971" t="s">
        <v>36</v>
      </c>
      <c r="F971">
        <v>855</v>
      </c>
      <c r="G971" t="s">
        <v>45</v>
      </c>
      <c r="H971">
        <v>4</v>
      </c>
      <c r="I971">
        <v>3</v>
      </c>
      <c r="J971" t="s">
        <v>38</v>
      </c>
      <c r="K971">
        <v>1</v>
      </c>
      <c r="L971">
        <v>1363</v>
      </c>
      <c r="M971">
        <v>4</v>
      </c>
      <c r="N971" t="str" cm="1">
        <f t="array" ref="N971">_xlfn.IFS(HRData[[#This Row],[EnvironmentSatisfaction]]=1,"Very Dissatisfied",
HRData[[#This Row],[EnvironmentSatisfaction]]=2,"Dissatisfied",
HRData[[#This Row],[EnvironmentSatisfaction]]=3,"Satisfied",
HRData[[#This Row],[EnvironmentSatisfaction]]=4,"Very Satisfied"
)</f>
        <v>Very Satisfied</v>
      </c>
      <c r="O971" t="s">
        <v>46</v>
      </c>
      <c r="P971">
        <v>54</v>
      </c>
      <c r="Q971">
        <v>3</v>
      </c>
      <c r="R971">
        <v>3</v>
      </c>
      <c r="S971" t="s">
        <v>53</v>
      </c>
      <c r="T971">
        <v>4</v>
      </c>
      <c r="U971" t="str" cm="1">
        <f t="array" ref="U971">_xlfn.IFS(
HRData[[#This Row],[JobSatisfaction]]=1,"Very Dissatisfied",
HRData[[#This Row],[JobSatisfaction]]=2,"Dissatisfied",
HRData[[#This Row],[JobSatisfaction]]=3,"Satisfied",
HRData[[#This Row],[JobSatisfaction]]=4,"Very Satisfied"
)</f>
        <v>Very Satisfied</v>
      </c>
      <c r="V971" t="s">
        <v>41</v>
      </c>
      <c r="W971">
        <v>7898</v>
      </c>
      <c r="X971" t="str" cm="1">
        <f t="array" ref="X971">_xlfn.IFS(
HRData[[#This Row],[MonthlyIncome]]&lt;=4000,"Very Low Income",
HRData[[#This Row],[MonthlyIncome]]&lt;=8000,"Low Income",
HRData[[#This Row],[MonthlyIncome]]&lt;=12000,"Moderate Income",
HRData[[#This Row],[MonthlyIncome]]&lt;=16000,"High Income",
HRData[[#This Row],[MonthlyIncome]]&gt;16000,"Very High Income"
)</f>
        <v>Low Income</v>
      </c>
      <c r="Y971">
        <v>18706</v>
      </c>
      <c r="Z971">
        <v>1</v>
      </c>
      <c r="AA971" t="s">
        <v>42</v>
      </c>
      <c r="AB971" t="s">
        <v>43</v>
      </c>
      <c r="AC971">
        <v>11</v>
      </c>
      <c r="AD971" t="str" cm="1">
        <f t="array" ref="AD971">_xlfn.IFS(HRData[[#This Row],[PercentSalaryHike]]&lt;=15,"11-15",HRData[[#This Row],[PercentSalaryHike]]&lt;=20,"16-20",HRData[[#This Row],[PercentSalaryHike]]&gt;=21,"21+")</f>
        <v>11-15</v>
      </c>
      <c r="AE971">
        <v>3</v>
      </c>
      <c r="AF971">
        <v>3</v>
      </c>
      <c r="AG971">
        <v>80</v>
      </c>
      <c r="AH971">
        <v>0</v>
      </c>
      <c r="AI971">
        <v>11</v>
      </c>
      <c r="AJ971">
        <v>2</v>
      </c>
      <c r="AK971">
        <v>3</v>
      </c>
      <c r="AL971">
        <v>10</v>
      </c>
      <c r="AM971">
        <v>9</v>
      </c>
      <c r="AN971">
        <v>0</v>
      </c>
      <c r="AO971">
        <v>8</v>
      </c>
      <c r="AP97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971" t="str">
        <f>IF(HRData[[#This Row],[Attrition]]="Yes","Left", IF(HRData[[#This Row],[Attrition_Risk_Score]]&gt;=6,"High",IF(HRData[[#This Row],[Attrition_Risk_Score]]&gt;=3,"Medium","Low")))</f>
        <v>Low</v>
      </c>
      <c r="AR971" t="str">
        <f>IF(HRData[[#This Row],[Attrition_Risk_Level]]&lt;&gt;"High","",HRData[[#This Row],[Attrition_Risk_Score]]*10000-HRData[[#This Row],[EmployeeNumber]])</f>
        <v/>
      </c>
    </row>
    <row r="972" spans="1:44">
      <c r="A972">
        <v>27</v>
      </c>
      <c r="B972" t="str" cm="1">
        <f t="array" ref="B972">_xlfn.IFS(
HRData[[#This Row],[Age]]&lt;=24,"18-24",
HRData[[#This Row],[Age]]&lt;=34,"25-34",
HRData[[#This Row],[Age]]&lt;=44,"35-44",
HRData[[#This Row],[Age]]&lt;=54,"45-54",
HRData[[#This Row],[Age]]&gt;=55,"55+"
)</f>
        <v>25-34</v>
      </c>
      <c r="C972" t="s">
        <v>43</v>
      </c>
      <c r="D972">
        <f>IF(HRData[[#This Row],[Attrition]]="Yes",1,0)</f>
        <v>0</v>
      </c>
      <c r="E972" t="s">
        <v>36</v>
      </c>
      <c r="F972">
        <v>1291</v>
      </c>
      <c r="G972" t="s">
        <v>37</v>
      </c>
      <c r="H972">
        <v>11</v>
      </c>
      <c r="I972">
        <v>3</v>
      </c>
      <c r="J972" t="s">
        <v>51</v>
      </c>
      <c r="K972">
        <v>1</v>
      </c>
      <c r="L972">
        <v>1364</v>
      </c>
      <c r="M972">
        <v>3</v>
      </c>
      <c r="N972" t="str" cm="1">
        <f t="array" ref="N972">_xlfn.IFS(HRData[[#This Row],[EnvironmentSatisfaction]]=1,"Very Dissatisfied",
HRData[[#This Row],[EnvironmentSatisfaction]]=2,"Dissatisfied",
HRData[[#This Row],[EnvironmentSatisfaction]]=3,"Satisfied",
HRData[[#This Row],[EnvironmentSatisfaction]]=4,"Very Satisfied"
)</f>
        <v>Satisfied</v>
      </c>
      <c r="O972" t="s">
        <v>39</v>
      </c>
      <c r="P972">
        <v>98</v>
      </c>
      <c r="Q972">
        <v>4</v>
      </c>
      <c r="R972">
        <v>1</v>
      </c>
      <c r="S972" t="s">
        <v>57</v>
      </c>
      <c r="T972">
        <v>4</v>
      </c>
      <c r="U972" t="str" cm="1">
        <f t="array" ref="U972">_xlfn.IFS(
HRData[[#This Row],[JobSatisfaction]]=1,"Very Dissatisfied",
HRData[[#This Row],[JobSatisfaction]]=2,"Dissatisfied",
HRData[[#This Row],[JobSatisfaction]]=3,"Satisfied",
HRData[[#This Row],[JobSatisfaction]]=4,"Very Satisfied"
)</f>
        <v>Very Satisfied</v>
      </c>
      <c r="V972" t="s">
        <v>48</v>
      </c>
      <c r="W972">
        <v>2534</v>
      </c>
      <c r="X972" t="str" cm="1">
        <f t="array" ref="X972">_xlfn.IFS(
HRData[[#This Row],[MonthlyIncome]]&lt;=4000,"Very Low Income",
HRData[[#This Row],[MonthlyIncome]]&lt;=8000,"Low Income",
HRData[[#This Row],[MonthlyIncome]]&lt;=12000,"Moderate Income",
HRData[[#This Row],[MonthlyIncome]]&lt;=16000,"High Income",
HRData[[#This Row],[MonthlyIncome]]&gt;16000,"Very High Income"
)</f>
        <v>Very Low Income</v>
      </c>
      <c r="Y972">
        <v>6527</v>
      </c>
      <c r="Z972">
        <v>8</v>
      </c>
      <c r="AA972" t="s">
        <v>42</v>
      </c>
      <c r="AB972" t="s">
        <v>43</v>
      </c>
      <c r="AC972">
        <v>14</v>
      </c>
      <c r="AD972" t="str" cm="1">
        <f t="array" ref="AD972">_xlfn.IFS(HRData[[#This Row],[PercentSalaryHike]]&lt;=15,"11-15",HRData[[#This Row],[PercentSalaryHike]]&lt;=20,"16-20",HRData[[#This Row],[PercentSalaryHike]]&gt;=21,"21+")</f>
        <v>11-15</v>
      </c>
      <c r="AE972">
        <v>3</v>
      </c>
      <c r="AF972">
        <v>2</v>
      </c>
      <c r="AG972">
        <v>80</v>
      </c>
      <c r="AH972">
        <v>1</v>
      </c>
      <c r="AI972">
        <v>5</v>
      </c>
      <c r="AJ972">
        <v>4</v>
      </c>
      <c r="AK972">
        <v>3</v>
      </c>
      <c r="AL972">
        <v>1</v>
      </c>
      <c r="AM972">
        <v>0</v>
      </c>
      <c r="AN972">
        <v>0</v>
      </c>
      <c r="AO972">
        <v>0</v>
      </c>
      <c r="AP97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972" t="str">
        <f>IF(HRData[[#This Row],[Attrition]]="Yes","Left", IF(HRData[[#This Row],[Attrition_Risk_Score]]&gt;=6,"High",IF(HRData[[#This Row],[Attrition_Risk_Score]]&gt;=3,"Medium","Low")))</f>
        <v>Medium</v>
      </c>
      <c r="AR972" t="str">
        <f>IF(HRData[[#This Row],[Attrition_Risk_Level]]&lt;&gt;"High","",HRData[[#This Row],[Attrition_Risk_Score]]*10000-HRData[[#This Row],[EmployeeNumber]])</f>
        <v/>
      </c>
    </row>
    <row r="973" spans="1:44">
      <c r="A973">
        <v>51</v>
      </c>
      <c r="B973" t="str" cm="1">
        <f t="array" ref="B973">_xlfn.IFS(
HRData[[#This Row],[Age]]&lt;=24,"18-24",
HRData[[#This Row],[Age]]&lt;=34,"25-34",
HRData[[#This Row],[Age]]&lt;=44,"35-44",
HRData[[#This Row],[Age]]&lt;=54,"45-54",
HRData[[#This Row],[Age]]&gt;=55,"55+"
)</f>
        <v>45-54</v>
      </c>
      <c r="C973" t="s">
        <v>43</v>
      </c>
      <c r="D973">
        <f>IF(HRData[[#This Row],[Attrition]]="Yes",1,0)</f>
        <v>0</v>
      </c>
      <c r="E973" t="s">
        <v>36</v>
      </c>
      <c r="F973">
        <v>1405</v>
      </c>
      <c r="G973" t="s">
        <v>45</v>
      </c>
      <c r="H973">
        <v>11</v>
      </c>
      <c r="I973">
        <v>2</v>
      </c>
      <c r="J973" t="s">
        <v>60</v>
      </c>
      <c r="K973">
        <v>1</v>
      </c>
      <c r="L973">
        <v>1367</v>
      </c>
      <c r="M973">
        <v>4</v>
      </c>
      <c r="N973" t="str" cm="1">
        <f t="array" ref="N973">_xlfn.IFS(HRData[[#This Row],[EnvironmentSatisfaction]]=1,"Very Dissatisfied",
HRData[[#This Row],[EnvironmentSatisfaction]]=2,"Dissatisfied",
HRData[[#This Row],[EnvironmentSatisfaction]]=3,"Satisfied",
HRData[[#This Row],[EnvironmentSatisfaction]]=4,"Very Satisfied"
)</f>
        <v>Very Satisfied</v>
      </c>
      <c r="O973" t="s">
        <v>39</v>
      </c>
      <c r="P973">
        <v>82</v>
      </c>
      <c r="Q973">
        <v>2</v>
      </c>
      <c r="R973">
        <v>4</v>
      </c>
      <c r="S973" t="s">
        <v>53</v>
      </c>
      <c r="T973">
        <v>2</v>
      </c>
      <c r="U973" t="str" cm="1">
        <f t="array" ref="U973">_xlfn.IFS(
HRData[[#This Row],[JobSatisfaction]]=1,"Very Dissatisfied",
HRData[[#This Row],[JobSatisfaction]]=2,"Dissatisfied",
HRData[[#This Row],[JobSatisfaction]]=3,"Satisfied",
HRData[[#This Row],[JobSatisfaction]]=4,"Very Satisfied"
)</f>
        <v>Dissatisfied</v>
      </c>
      <c r="V973" t="s">
        <v>41</v>
      </c>
      <c r="W973">
        <v>13142</v>
      </c>
      <c r="X973" t="str" cm="1">
        <f t="array" ref="X973">_xlfn.IFS(
HRData[[#This Row],[MonthlyIncome]]&lt;=4000,"Very Low Income",
HRData[[#This Row],[MonthlyIncome]]&lt;=8000,"Low Income",
HRData[[#This Row],[MonthlyIncome]]&lt;=12000,"Moderate Income",
HRData[[#This Row],[MonthlyIncome]]&lt;=16000,"High Income",
HRData[[#This Row],[MonthlyIncome]]&gt;16000,"Very High Income"
)</f>
        <v>High Income</v>
      </c>
      <c r="Y973">
        <v>24439</v>
      </c>
      <c r="Z973">
        <v>3</v>
      </c>
      <c r="AA973" t="s">
        <v>42</v>
      </c>
      <c r="AB973" t="s">
        <v>43</v>
      </c>
      <c r="AC973">
        <v>16</v>
      </c>
      <c r="AD973" t="str" cm="1">
        <f t="array" ref="AD973">_xlfn.IFS(HRData[[#This Row],[PercentSalaryHike]]&lt;=15,"11-15",HRData[[#This Row],[PercentSalaryHike]]&lt;=20,"16-20",HRData[[#This Row],[PercentSalaryHike]]&gt;=21,"21+")</f>
        <v>16-20</v>
      </c>
      <c r="AE973">
        <v>3</v>
      </c>
      <c r="AF973">
        <v>2</v>
      </c>
      <c r="AG973">
        <v>80</v>
      </c>
      <c r="AH973">
        <v>0</v>
      </c>
      <c r="AI973">
        <v>29</v>
      </c>
      <c r="AJ973">
        <v>1</v>
      </c>
      <c r="AK973">
        <v>2</v>
      </c>
      <c r="AL973">
        <v>5</v>
      </c>
      <c r="AM973">
        <v>2</v>
      </c>
      <c r="AN973">
        <v>0</v>
      </c>
      <c r="AO973">
        <v>3</v>
      </c>
      <c r="AP97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973" t="str">
        <f>IF(HRData[[#This Row],[Attrition]]="Yes","Left", IF(HRData[[#This Row],[Attrition_Risk_Score]]&gt;=6,"High",IF(HRData[[#This Row],[Attrition_Risk_Score]]&gt;=3,"Medium","Low")))</f>
        <v>Low</v>
      </c>
      <c r="AR973" t="str">
        <f>IF(HRData[[#This Row],[Attrition_Risk_Level]]&lt;&gt;"High","",HRData[[#This Row],[Attrition_Risk_Score]]*10000-HRData[[#This Row],[EmployeeNumber]])</f>
        <v/>
      </c>
    </row>
    <row r="974" spans="1:44">
      <c r="A974">
        <v>18</v>
      </c>
      <c r="B974" t="str" cm="1">
        <f t="array" ref="B974">_xlfn.IFS(
HRData[[#This Row],[Age]]&lt;=24,"18-24",
HRData[[#This Row],[Age]]&lt;=34,"25-34",
HRData[[#This Row],[Age]]&lt;=44,"35-44",
HRData[[#This Row],[Age]]&lt;=54,"45-54",
HRData[[#This Row],[Age]]&gt;=55,"55+"
)</f>
        <v>18-24</v>
      </c>
      <c r="C974" t="s">
        <v>43</v>
      </c>
      <c r="D974">
        <f>IF(HRData[[#This Row],[Attrition]]="Yes",1,0)</f>
        <v>0</v>
      </c>
      <c r="E974" t="s">
        <v>55</v>
      </c>
      <c r="F974">
        <v>1124</v>
      </c>
      <c r="G974" t="s">
        <v>45</v>
      </c>
      <c r="H974">
        <v>1</v>
      </c>
      <c r="I974">
        <v>3</v>
      </c>
      <c r="J974" t="s">
        <v>38</v>
      </c>
      <c r="K974">
        <v>1</v>
      </c>
      <c r="L974">
        <v>1368</v>
      </c>
      <c r="M974">
        <v>4</v>
      </c>
      <c r="N974" t="str" cm="1">
        <f t="array" ref="N974">_xlfn.IFS(HRData[[#This Row],[EnvironmentSatisfaction]]=1,"Very Dissatisfied",
HRData[[#This Row],[EnvironmentSatisfaction]]=2,"Dissatisfied",
HRData[[#This Row],[EnvironmentSatisfaction]]=3,"Satisfied",
HRData[[#This Row],[EnvironmentSatisfaction]]=4,"Very Satisfied"
)</f>
        <v>Very Satisfied</v>
      </c>
      <c r="O974" t="s">
        <v>39</v>
      </c>
      <c r="P974">
        <v>97</v>
      </c>
      <c r="Q974">
        <v>3</v>
      </c>
      <c r="R974">
        <v>1</v>
      </c>
      <c r="S974" t="s">
        <v>50</v>
      </c>
      <c r="T974">
        <v>4</v>
      </c>
      <c r="U974" t="str" cm="1">
        <f t="array" ref="U974">_xlfn.IFS(
HRData[[#This Row],[JobSatisfaction]]=1,"Very Dissatisfied",
HRData[[#This Row],[JobSatisfaction]]=2,"Dissatisfied",
HRData[[#This Row],[JobSatisfaction]]=3,"Satisfied",
HRData[[#This Row],[JobSatisfaction]]=4,"Very Satisfied"
)</f>
        <v>Very Satisfied</v>
      </c>
      <c r="V974" t="s">
        <v>41</v>
      </c>
      <c r="W974">
        <v>1611</v>
      </c>
      <c r="X974" t="str" cm="1">
        <f t="array" ref="X974">_xlfn.IFS(
HRData[[#This Row],[MonthlyIncome]]&lt;=4000,"Very Low Income",
HRData[[#This Row],[MonthlyIncome]]&lt;=8000,"Low Income",
HRData[[#This Row],[MonthlyIncome]]&lt;=12000,"Moderate Income",
HRData[[#This Row],[MonthlyIncome]]&lt;=16000,"High Income",
HRData[[#This Row],[MonthlyIncome]]&gt;16000,"Very High Income"
)</f>
        <v>Very Low Income</v>
      </c>
      <c r="Y974">
        <v>19305</v>
      </c>
      <c r="Z974">
        <v>1</v>
      </c>
      <c r="AA974" t="s">
        <v>42</v>
      </c>
      <c r="AB974" t="s">
        <v>43</v>
      </c>
      <c r="AC974">
        <v>15</v>
      </c>
      <c r="AD974" t="str" cm="1">
        <f t="array" ref="AD974">_xlfn.IFS(HRData[[#This Row],[PercentSalaryHike]]&lt;=15,"11-15",HRData[[#This Row],[PercentSalaryHike]]&lt;=20,"16-20",HRData[[#This Row],[PercentSalaryHike]]&gt;=21,"21+")</f>
        <v>11-15</v>
      </c>
      <c r="AE974">
        <v>3</v>
      </c>
      <c r="AF974">
        <v>3</v>
      </c>
      <c r="AG974">
        <v>80</v>
      </c>
      <c r="AH974">
        <v>0</v>
      </c>
      <c r="AI974">
        <v>0</v>
      </c>
      <c r="AJ974">
        <v>5</v>
      </c>
      <c r="AK974">
        <v>4</v>
      </c>
      <c r="AL974">
        <v>0</v>
      </c>
      <c r="AM974">
        <v>0</v>
      </c>
      <c r="AN974">
        <v>0</v>
      </c>
      <c r="AO974">
        <v>0</v>
      </c>
      <c r="AP97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974" t="str">
        <f>IF(HRData[[#This Row],[Attrition]]="Yes","Left", IF(HRData[[#This Row],[Attrition_Risk_Score]]&gt;=6,"High",IF(HRData[[#This Row],[Attrition_Risk_Score]]&gt;=3,"Medium","Low")))</f>
        <v>Medium</v>
      </c>
      <c r="AR974" t="str">
        <f>IF(HRData[[#This Row],[Attrition_Risk_Level]]&lt;&gt;"High","",HRData[[#This Row],[Attrition_Risk_Score]]*10000-HRData[[#This Row],[EmployeeNumber]])</f>
        <v/>
      </c>
    </row>
    <row r="975" spans="1:44">
      <c r="A975">
        <v>35</v>
      </c>
      <c r="B975" t="str" cm="1">
        <f t="array" ref="B975">_xlfn.IFS(
HRData[[#This Row],[Age]]&lt;=24,"18-24",
HRData[[#This Row],[Age]]&lt;=34,"25-34",
HRData[[#This Row],[Age]]&lt;=44,"35-44",
HRData[[#This Row],[Age]]&lt;=54,"45-54",
HRData[[#This Row],[Age]]&gt;=55,"55+"
)</f>
        <v>35-44</v>
      </c>
      <c r="C975" t="s">
        <v>43</v>
      </c>
      <c r="D975">
        <f>IF(HRData[[#This Row],[Attrition]]="Yes",1,0)</f>
        <v>0</v>
      </c>
      <c r="E975" t="s">
        <v>36</v>
      </c>
      <c r="F975">
        <v>817</v>
      </c>
      <c r="G975" t="s">
        <v>45</v>
      </c>
      <c r="H975">
        <v>1</v>
      </c>
      <c r="I975">
        <v>3</v>
      </c>
      <c r="J975" t="s">
        <v>51</v>
      </c>
      <c r="K975">
        <v>1</v>
      </c>
      <c r="L975">
        <v>1369</v>
      </c>
      <c r="M975">
        <v>4</v>
      </c>
      <c r="N975" t="str" cm="1">
        <f t="array" ref="N975">_xlfn.IFS(HRData[[#This Row],[EnvironmentSatisfaction]]=1,"Very Dissatisfied",
HRData[[#This Row],[EnvironmentSatisfaction]]=2,"Dissatisfied",
HRData[[#This Row],[EnvironmentSatisfaction]]=3,"Satisfied",
HRData[[#This Row],[EnvironmentSatisfaction]]=4,"Very Satisfied"
)</f>
        <v>Very Satisfied</v>
      </c>
      <c r="O975" t="s">
        <v>39</v>
      </c>
      <c r="P975">
        <v>60</v>
      </c>
      <c r="Q975">
        <v>2</v>
      </c>
      <c r="R975">
        <v>2</v>
      </c>
      <c r="S975" t="s">
        <v>50</v>
      </c>
      <c r="T975">
        <v>4</v>
      </c>
      <c r="U975" t="str" cm="1">
        <f t="array" ref="U975">_xlfn.IFS(
HRData[[#This Row],[JobSatisfaction]]=1,"Very Dissatisfied",
HRData[[#This Row],[JobSatisfaction]]=2,"Dissatisfied",
HRData[[#This Row],[JobSatisfaction]]=3,"Satisfied",
HRData[[#This Row],[JobSatisfaction]]=4,"Very Satisfied"
)</f>
        <v>Very Satisfied</v>
      </c>
      <c r="V975" t="s">
        <v>48</v>
      </c>
      <c r="W975">
        <v>5363</v>
      </c>
      <c r="X975" t="str" cm="1">
        <f t="array" ref="X975">_xlfn.IFS(
HRData[[#This Row],[MonthlyIncome]]&lt;=4000,"Very Low Income",
HRData[[#This Row],[MonthlyIncome]]&lt;=8000,"Low Income",
HRData[[#This Row],[MonthlyIncome]]&lt;=12000,"Moderate Income",
HRData[[#This Row],[MonthlyIncome]]&lt;=16000,"High Income",
HRData[[#This Row],[MonthlyIncome]]&gt;16000,"Very High Income"
)</f>
        <v>Low Income</v>
      </c>
      <c r="Y975">
        <v>10846</v>
      </c>
      <c r="Z975">
        <v>0</v>
      </c>
      <c r="AA975" t="s">
        <v>42</v>
      </c>
      <c r="AB975" t="s">
        <v>43</v>
      </c>
      <c r="AC975">
        <v>12</v>
      </c>
      <c r="AD975" t="str" cm="1">
        <f t="array" ref="AD975">_xlfn.IFS(HRData[[#This Row],[PercentSalaryHike]]&lt;=15,"11-15",HRData[[#This Row],[PercentSalaryHike]]&lt;=20,"16-20",HRData[[#This Row],[PercentSalaryHike]]&gt;=21,"21+")</f>
        <v>11-15</v>
      </c>
      <c r="AE975">
        <v>3</v>
      </c>
      <c r="AF975">
        <v>2</v>
      </c>
      <c r="AG975">
        <v>80</v>
      </c>
      <c r="AH975">
        <v>1</v>
      </c>
      <c r="AI975">
        <v>10</v>
      </c>
      <c r="AJ975">
        <v>0</v>
      </c>
      <c r="AK975">
        <v>3</v>
      </c>
      <c r="AL975">
        <v>9</v>
      </c>
      <c r="AM975">
        <v>7</v>
      </c>
      <c r="AN975">
        <v>0</v>
      </c>
      <c r="AO975">
        <v>0</v>
      </c>
      <c r="AP97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75" t="str">
        <f>IF(HRData[[#This Row],[Attrition]]="Yes","Left", IF(HRData[[#This Row],[Attrition_Risk_Score]]&gt;=6,"High",IF(HRData[[#This Row],[Attrition_Risk_Score]]&gt;=3,"Medium","Low")))</f>
        <v>Low</v>
      </c>
      <c r="AR975" t="str">
        <f>IF(HRData[[#This Row],[Attrition_Risk_Level]]&lt;&gt;"High","",HRData[[#This Row],[Attrition_Risk_Score]]*10000-HRData[[#This Row],[EmployeeNumber]])</f>
        <v/>
      </c>
    </row>
    <row r="976" spans="1:44">
      <c r="A976">
        <v>27</v>
      </c>
      <c r="B976" t="str" cm="1">
        <f t="array" ref="B976">_xlfn.IFS(
HRData[[#This Row],[Age]]&lt;=24,"18-24",
HRData[[#This Row],[Age]]&lt;=34,"25-34",
HRData[[#This Row],[Age]]&lt;=44,"35-44",
HRData[[#This Row],[Age]]&lt;=54,"45-54",
HRData[[#This Row],[Age]]&gt;=55,"55+"
)</f>
        <v>25-34</v>
      </c>
      <c r="C976" t="s">
        <v>43</v>
      </c>
      <c r="D976">
        <f>IF(HRData[[#This Row],[Attrition]]="Yes",1,0)</f>
        <v>0</v>
      </c>
      <c r="E976" t="s">
        <v>44</v>
      </c>
      <c r="F976">
        <v>793</v>
      </c>
      <c r="G976" t="s">
        <v>37</v>
      </c>
      <c r="H976">
        <v>2</v>
      </c>
      <c r="I976">
        <v>1</v>
      </c>
      <c r="J976" t="s">
        <v>38</v>
      </c>
      <c r="K976">
        <v>1</v>
      </c>
      <c r="L976">
        <v>1371</v>
      </c>
      <c r="M976">
        <v>4</v>
      </c>
      <c r="N976" t="str" cm="1">
        <f t="array" ref="N976">_xlfn.IFS(HRData[[#This Row],[EnvironmentSatisfaction]]=1,"Very Dissatisfied",
HRData[[#This Row],[EnvironmentSatisfaction]]=2,"Dissatisfied",
HRData[[#This Row],[EnvironmentSatisfaction]]=3,"Satisfied",
HRData[[#This Row],[EnvironmentSatisfaction]]=4,"Very Satisfied"
)</f>
        <v>Very Satisfied</v>
      </c>
      <c r="O976" t="s">
        <v>46</v>
      </c>
      <c r="P976">
        <v>43</v>
      </c>
      <c r="Q976">
        <v>1</v>
      </c>
      <c r="R976">
        <v>2</v>
      </c>
      <c r="S976" t="s">
        <v>40</v>
      </c>
      <c r="T976">
        <v>4</v>
      </c>
      <c r="U976" t="str" cm="1">
        <f t="array" ref="U976">_xlfn.IFS(
HRData[[#This Row],[JobSatisfaction]]=1,"Very Dissatisfied",
HRData[[#This Row],[JobSatisfaction]]=2,"Dissatisfied",
HRData[[#This Row],[JobSatisfaction]]=3,"Satisfied",
HRData[[#This Row],[JobSatisfaction]]=4,"Very Satisfied"
)</f>
        <v>Very Satisfied</v>
      </c>
      <c r="V976" t="s">
        <v>41</v>
      </c>
      <c r="W976">
        <v>5071</v>
      </c>
      <c r="X976" t="str" cm="1">
        <f t="array" ref="X976">_xlfn.IFS(
HRData[[#This Row],[MonthlyIncome]]&lt;=4000,"Very Low Income",
HRData[[#This Row],[MonthlyIncome]]&lt;=8000,"Low Income",
HRData[[#This Row],[MonthlyIncome]]&lt;=12000,"Moderate Income",
HRData[[#This Row],[MonthlyIncome]]&lt;=16000,"High Income",
HRData[[#This Row],[MonthlyIncome]]&gt;16000,"Very High Income"
)</f>
        <v>Low Income</v>
      </c>
      <c r="Y976">
        <v>20392</v>
      </c>
      <c r="Z976">
        <v>3</v>
      </c>
      <c r="AA976" t="s">
        <v>42</v>
      </c>
      <c r="AB976" t="s">
        <v>43</v>
      </c>
      <c r="AC976">
        <v>20</v>
      </c>
      <c r="AD976" t="str" cm="1">
        <f t="array" ref="AD976">_xlfn.IFS(HRData[[#This Row],[PercentSalaryHike]]&lt;=15,"11-15",HRData[[#This Row],[PercentSalaryHike]]&lt;=20,"16-20",HRData[[#This Row],[PercentSalaryHike]]&gt;=21,"21+")</f>
        <v>16-20</v>
      </c>
      <c r="AE976">
        <v>4</v>
      </c>
      <c r="AF976">
        <v>2</v>
      </c>
      <c r="AG976">
        <v>80</v>
      </c>
      <c r="AH976">
        <v>0</v>
      </c>
      <c r="AI976">
        <v>8</v>
      </c>
      <c r="AJ976">
        <v>3</v>
      </c>
      <c r="AK976">
        <v>3</v>
      </c>
      <c r="AL976">
        <v>6</v>
      </c>
      <c r="AM976">
        <v>2</v>
      </c>
      <c r="AN976">
        <v>0</v>
      </c>
      <c r="AO976">
        <v>0</v>
      </c>
      <c r="AP97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76" t="str">
        <f>IF(HRData[[#This Row],[Attrition]]="Yes","Left", IF(HRData[[#This Row],[Attrition_Risk_Score]]&gt;=6,"High",IF(HRData[[#This Row],[Attrition_Risk_Score]]&gt;=3,"Medium","Low")))</f>
        <v>Low</v>
      </c>
      <c r="AR976" t="str">
        <f>IF(HRData[[#This Row],[Attrition_Risk_Level]]&lt;&gt;"High","",HRData[[#This Row],[Attrition_Risk_Score]]*10000-HRData[[#This Row],[EmployeeNumber]])</f>
        <v/>
      </c>
    </row>
    <row r="977" spans="1:44">
      <c r="A977">
        <v>55</v>
      </c>
      <c r="B977" t="str" cm="1">
        <f t="array" ref="B977">_xlfn.IFS(
HRData[[#This Row],[Age]]&lt;=24,"18-24",
HRData[[#This Row],[Age]]&lt;=34,"25-34",
HRData[[#This Row],[Age]]&lt;=44,"35-44",
HRData[[#This Row],[Age]]&lt;=54,"45-54",
HRData[[#This Row],[Age]]&gt;=55,"55+"
)</f>
        <v>55+</v>
      </c>
      <c r="C977" t="s">
        <v>35</v>
      </c>
      <c r="D977">
        <f>IF(HRData[[#This Row],[Attrition]]="Yes",1,0)</f>
        <v>1</v>
      </c>
      <c r="E977" t="s">
        <v>36</v>
      </c>
      <c r="F977">
        <v>267</v>
      </c>
      <c r="G977" t="s">
        <v>37</v>
      </c>
      <c r="H977">
        <v>13</v>
      </c>
      <c r="I977">
        <v>4</v>
      </c>
      <c r="J977" t="s">
        <v>59</v>
      </c>
      <c r="K977">
        <v>1</v>
      </c>
      <c r="L977">
        <v>1372</v>
      </c>
      <c r="M977">
        <v>1</v>
      </c>
      <c r="N977" t="str" cm="1">
        <f t="array" ref="N977">_xlfn.IFS(HRData[[#This Row],[EnvironmentSatisfaction]]=1,"Very Dissatisfied",
HRData[[#This Row],[EnvironmentSatisfaction]]=2,"Dissatisfied",
HRData[[#This Row],[EnvironmentSatisfaction]]=3,"Satisfied",
HRData[[#This Row],[EnvironmentSatisfaction]]=4,"Very Satisfied"
)</f>
        <v>Very Dissatisfied</v>
      </c>
      <c r="O977" t="s">
        <v>46</v>
      </c>
      <c r="P977">
        <v>85</v>
      </c>
      <c r="Q977">
        <v>4</v>
      </c>
      <c r="R977">
        <v>4</v>
      </c>
      <c r="S977" t="s">
        <v>40</v>
      </c>
      <c r="T977">
        <v>3</v>
      </c>
      <c r="U977" t="str" cm="1">
        <f t="array" ref="U977">_xlfn.IFS(
HRData[[#This Row],[JobSatisfaction]]=1,"Very Dissatisfied",
HRData[[#This Row],[JobSatisfaction]]=2,"Dissatisfied",
HRData[[#This Row],[JobSatisfaction]]=3,"Satisfied",
HRData[[#This Row],[JobSatisfaction]]=4,"Very Satisfied"
)</f>
        <v>Satisfied</v>
      </c>
      <c r="V977" t="s">
        <v>41</v>
      </c>
      <c r="W977">
        <v>13695</v>
      </c>
      <c r="X977" t="str" cm="1">
        <f t="array" ref="X977">_xlfn.IFS(
HRData[[#This Row],[MonthlyIncome]]&lt;=4000,"Very Low Income",
HRData[[#This Row],[MonthlyIncome]]&lt;=8000,"Low Income",
HRData[[#This Row],[MonthlyIncome]]&lt;=12000,"Moderate Income",
HRData[[#This Row],[MonthlyIncome]]&lt;=16000,"High Income",
HRData[[#This Row],[MonthlyIncome]]&gt;16000,"Very High Income"
)</f>
        <v>High Income</v>
      </c>
      <c r="Y977">
        <v>9277</v>
      </c>
      <c r="Z977">
        <v>6</v>
      </c>
      <c r="AA977" t="s">
        <v>42</v>
      </c>
      <c r="AB977" t="s">
        <v>35</v>
      </c>
      <c r="AC977">
        <v>17</v>
      </c>
      <c r="AD977" t="str" cm="1">
        <f t="array" ref="AD977">_xlfn.IFS(HRData[[#This Row],[PercentSalaryHike]]&lt;=15,"11-15",HRData[[#This Row],[PercentSalaryHike]]&lt;=20,"16-20",HRData[[#This Row],[PercentSalaryHike]]&gt;=21,"21+")</f>
        <v>16-20</v>
      </c>
      <c r="AE977">
        <v>3</v>
      </c>
      <c r="AF977">
        <v>3</v>
      </c>
      <c r="AG977">
        <v>80</v>
      </c>
      <c r="AH977">
        <v>0</v>
      </c>
      <c r="AI977">
        <v>24</v>
      </c>
      <c r="AJ977">
        <v>2</v>
      </c>
      <c r="AK977">
        <v>2</v>
      </c>
      <c r="AL977">
        <v>19</v>
      </c>
      <c r="AM977">
        <v>7</v>
      </c>
      <c r="AN977">
        <v>3</v>
      </c>
      <c r="AO977">
        <v>8</v>
      </c>
      <c r="AP97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77" t="str">
        <f>IF(HRData[[#This Row],[Attrition]]="Yes","Left", IF(HRData[[#This Row],[Attrition_Risk_Score]]&gt;=6,"High",IF(HRData[[#This Row],[Attrition_Risk_Score]]&gt;=3,"Medium","Low")))</f>
        <v>Left</v>
      </c>
      <c r="AR977" t="str">
        <f>IF(HRData[[#This Row],[Attrition_Risk_Level]]&lt;&gt;"High","",HRData[[#This Row],[Attrition_Risk_Score]]*10000-HRData[[#This Row],[EmployeeNumber]])</f>
        <v/>
      </c>
    </row>
    <row r="978" spans="1:44">
      <c r="A978">
        <v>56</v>
      </c>
      <c r="B978" t="str" cm="1">
        <f t="array" ref="B978">_xlfn.IFS(
HRData[[#This Row],[Age]]&lt;=24,"18-24",
HRData[[#This Row],[Age]]&lt;=34,"25-34",
HRData[[#This Row],[Age]]&lt;=44,"35-44",
HRData[[#This Row],[Age]]&lt;=54,"45-54",
HRData[[#This Row],[Age]]&gt;=55,"55+"
)</f>
        <v>55+</v>
      </c>
      <c r="C978" t="s">
        <v>43</v>
      </c>
      <c r="D978">
        <f>IF(HRData[[#This Row],[Attrition]]="Yes",1,0)</f>
        <v>0</v>
      </c>
      <c r="E978" t="s">
        <v>36</v>
      </c>
      <c r="F978">
        <v>1369</v>
      </c>
      <c r="G978" t="s">
        <v>45</v>
      </c>
      <c r="H978">
        <v>23</v>
      </c>
      <c r="I978">
        <v>3</v>
      </c>
      <c r="J978" t="s">
        <v>38</v>
      </c>
      <c r="K978">
        <v>1</v>
      </c>
      <c r="L978">
        <v>1373</v>
      </c>
      <c r="M978">
        <v>4</v>
      </c>
      <c r="N978" t="str" cm="1">
        <f t="array" ref="N978">_xlfn.IFS(HRData[[#This Row],[EnvironmentSatisfaction]]=1,"Very Dissatisfied",
HRData[[#This Row],[EnvironmentSatisfaction]]=2,"Dissatisfied",
HRData[[#This Row],[EnvironmentSatisfaction]]=3,"Satisfied",
HRData[[#This Row],[EnvironmentSatisfaction]]=4,"Very Satisfied"
)</f>
        <v>Very Satisfied</v>
      </c>
      <c r="O978" t="s">
        <v>46</v>
      </c>
      <c r="P978">
        <v>68</v>
      </c>
      <c r="Q978">
        <v>3</v>
      </c>
      <c r="R978">
        <v>4</v>
      </c>
      <c r="S978" t="s">
        <v>53</v>
      </c>
      <c r="T978">
        <v>2</v>
      </c>
      <c r="U978" t="str" cm="1">
        <f t="array" ref="U978">_xlfn.IFS(
HRData[[#This Row],[JobSatisfaction]]=1,"Very Dissatisfied",
HRData[[#This Row],[JobSatisfaction]]=2,"Dissatisfied",
HRData[[#This Row],[JobSatisfaction]]=3,"Satisfied",
HRData[[#This Row],[JobSatisfaction]]=4,"Very Satisfied"
)</f>
        <v>Dissatisfied</v>
      </c>
      <c r="V978" t="s">
        <v>48</v>
      </c>
      <c r="W978">
        <v>13402</v>
      </c>
      <c r="X978" t="str" cm="1">
        <f t="array" ref="X978">_xlfn.IFS(
HRData[[#This Row],[MonthlyIncome]]&lt;=4000,"Very Low Income",
HRData[[#This Row],[MonthlyIncome]]&lt;=8000,"Low Income",
HRData[[#This Row],[MonthlyIncome]]&lt;=12000,"Moderate Income",
HRData[[#This Row],[MonthlyIncome]]&lt;=16000,"High Income",
HRData[[#This Row],[MonthlyIncome]]&gt;16000,"Very High Income"
)</f>
        <v>High Income</v>
      </c>
      <c r="Y978">
        <v>18235</v>
      </c>
      <c r="Z978">
        <v>4</v>
      </c>
      <c r="AA978" t="s">
        <v>42</v>
      </c>
      <c r="AB978" t="s">
        <v>35</v>
      </c>
      <c r="AC978">
        <v>12</v>
      </c>
      <c r="AD978" t="str" cm="1">
        <f t="array" ref="AD978">_xlfn.IFS(HRData[[#This Row],[PercentSalaryHike]]&lt;=15,"11-15",HRData[[#This Row],[PercentSalaryHike]]&lt;=20,"16-20",HRData[[#This Row],[PercentSalaryHike]]&gt;=21,"21+")</f>
        <v>11-15</v>
      </c>
      <c r="AE978">
        <v>3</v>
      </c>
      <c r="AF978">
        <v>1</v>
      </c>
      <c r="AG978">
        <v>80</v>
      </c>
      <c r="AH978">
        <v>1</v>
      </c>
      <c r="AI978">
        <v>33</v>
      </c>
      <c r="AJ978">
        <v>0</v>
      </c>
      <c r="AK978">
        <v>3</v>
      </c>
      <c r="AL978">
        <v>19</v>
      </c>
      <c r="AM978">
        <v>16</v>
      </c>
      <c r="AN978">
        <v>15</v>
      </c>
      <c r="AO978">
        <v>9</v>
      </c>
      <c r="AP97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78" t="str">
        <f>IF(HRData[[#This Row],[Attrition]]="Yes","Left", IF(HRData[[#This Row],[Attrition_Risk_Score]]&gt;=6,"High",IF(HRData[[#This Row],[Attrition_Risk_Score]]&gt;=3,"Medium","Low")))</f>
        <v>Low</v>
      </c>
      <c r="AR978" t="str">
        <f>IF(HRData[[#This Row],[Attrition_Risk_Level]]&lt;&gt;"High","",HRData[[#This Row],[Attrition_Risk_Score]]*10000-HRData[[#This Row],[EmployeeNumber]])</f>
        <v/>
      </c>
    </row>
    <row r="979" spans="1:44">
      <c r="A979">
        <v>34</v>
      </c>
      <c r="B979" t="str" cm="1">
        <f t="array" ref="B979">_xlfn.IFS(
HRData[[#This Row],[Age]]&lt;=24,"18-24",
HRData[[#This Row],[Age]]&lt;=34,"25-34",
HRData[[#This Row],[Age]]&lt;=44,"35-44",
HRData[[#This Row],[Age]]&lt;=54,"45-54",
HRData[[#This Row],[Age]]&gt;=55,"55+"
)</f>
        <v>25-34</v>
      </c>
      <c r="C979" t="s">
        <v>43</v>
      </c>
      <c r="D979">
        <f>IF(HRData[[#This Row],[Attrition]]="Yes",1,0)</f>
        <v>0</v>
      </c>
      <c r="E979" t="s">
        <v>55</v>
      </c>
      <c r="F979">
        <v>999</v>
      </c>
      <c r="G979" t="s">
        <v>45</v>
      </c>
      <c r="H979">
        <v>26</v>
      </c>
      <c r="I979">
        <v>1</v>
      </c>
      <c r="J979" t="s">
        <v>60</v>
      </c>
      <c r="K979">
        <v>1</v>
      </c>
      <c r="L979">
        <v>1374</v>
      </c>
      <c r="M979">
        <v>1</v>
      </c>
      <c r="N979" t="str" cm="1">
        <f t="array" ref="N979">_xlfn.IFS(HRData[[#This Row],[EnvironmentSatisfaction]]=1,"Very Dissatisfied",
HRData[[#This Row],[EnvironmentSatisfaction]]=2,"Dissatisfied",
HRData[[#This Row],[EnvironmentSatisfaction]]=3,"Satisfied",
HRData[[#This Row],[EnvironmentSatisfaction]]=4,"Very Satisfied"
)</f>
        <v>Very Dissatisfied</v>
      </c>
      <c r="O979" t="s">
        <v>39</v>
      </c>
      <c r="P979">
        <v>92</v>
      </c>
      <c r="Q979">
        <v>2</v>
      </c>
      <c r="R979">
        <v>1</v>
      </c>
      <c r="S979" t="s">
        <v>47</v>
      </c>
      <c r="T979">
        <v>3</v>
      </c>
      <c r="U979" t="str" cm="1">
        <f t="array" ref="U979">_xlfn.IFS(
HRData[[#This Row],[JobSatisfaction]]=1,"Very Dissatisfied",
HRData[[#This Row],[JobSatisfaction]]=2,"Dissatisfied",
HRData[[#This Row],[JobSatisfaction]]=3,"Satisfied",
HRData[[#This Row],[JobSatisfaction]]=4,"Very Satisfied"
)</f>
        <v>Satisfied</v>
      </c>
      <c r="V979" t="s">
        <v>52</v>
      </c>
      <c r="W979">
        <v>2029</v>
      </c>
      <c r="X979" t="str" cm="1">
        <f t="array" ref="X979">_xlfn.IFS(
HRData[[#This Row],[MonthlyIncome]]&lt;=4000,"Very Low Income",
HRData[[#This Row],[MonthlyIncome]]&lt;=8000,"Low Income",
HRData[[#This Row],[MonthlyIncome]]&lt;=12000,"Moderate Income",
HRData[[#This Row],[MonthlyIncome]]&lt;=16000,"High Income",
HRData[[#This Row],[MonthlyIncome]]&gt;16000,"Very High Income"
)</f>
        <v>Very Low Income</v>
      </c>
      <c r="Y979">
        <v>15891</v>
      </c>
      <c r="Z979">
        <v>1</v>
      </c>
      <c r="AA979" t="s">
        <v>42</v>
      </c>
      <c r="AB979" t="s">
        <v>43</v>
      </c>
      <c r="AC979">
        <v>20</v>
      </c>
      <c r="AD979" t="str" cm="1">
        <f t="array" ref="AD979">_xlfn.IFS(HRData[[#This Row],[PercentSalaryHike]]&lt;=15,"11-15",HRData[[#This Row],[PercentSalaryHike]]&lt;=20,"16-20",HRData[[#This Row],[PercentSalaryHike]]&gt;=21,"21+")</f>
        <v>16-20</v>
      </c>
      <c r="AE979">
        <v>4</v>
      </c>
      <c r="AF979">
        <v>3</v>
      </c>
      <c r="AG979">
        <v>80</v>
      </c>
      <c r="AH979">
        <v>3</v>
      </c>
      <c r="AI979">
        <v>5</v>
      </c>
      <c r="AJ979">
        <v>2</v>
      </c>
      <c r="AK979">
        <v>3</v>
      </c>
      <c r="AL979">
        <v>5</v>
      </c>
      <c r="AM979">
        <v>4</v>
      </c>
      <c r="AN979">
        <v>0</v>
      </c>
      <c r="AO979">
        <v>0</v>
      </c>
      <c r="AP97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79" t="str">
        <f>IF(HRData[[#This Row],[Attrition]]="Yes","Left", IF(HRData[[#This Row],[Attrition_Risk_Score]]&gt;=6,"High",IF(HRData[[#This Row],[Attrition_Risk_Score]]&gt;=3,"Medium","Low")))</f>
        <v>Medium</v>
      </c>
      <c r="AR979" t="str">
        <f>IF(HRData[[#This Row],[Attrition_Risk_Level]]&lt;&gt;"High","",HRData[[#This Row],[Attrition_Risk_Score]]*10000-HRData[[#This Row],[EmployeeNumber]])</f>
        <v/>
      </c>
    </row>
    <row r="980" spans="1:44">
      <c r="A980">
        <v>40</v>
      </c>
      <c r="B980" t="str" cm="1">
        <f t="array" ref="B980">_xlfn.IFS(
HRData[[#This Row],[Age]]&lt;=24,"18-24",
HRData[[#This Row],[Age]]&lt;=34,"25-34",
HRData[[#This Row],[Age]]&lt;=44,"35-44",
HRData[[#This Row],[Age]]&lt;=54,"45-54",
HRData[[#This Row],[Age]]&gt;=55,"55+"
)</f>
        <v>35-44</v>
      </c>
      <c r="C980" t="s">
        <v>43</v>
      </c>
      <c r="D980">
        <f>IF(HRData[[#This Row],[Attrition]]="Yes",1,0)</f>
        <v>0</v>
      </c>
      <c r="E980" t="s">
        <v>36</v>
      </c>
      <c r="F980">
        <v>1202</v>
      </c>
      <c r="G980" t="s">
        <v>45</v>
      </c>
      <c r="H980">
        <v>2</v>
      </c>
      <c r="I980">
        <v>1</v>
      </c>
      <c r="J980" t="s">
        <v>51</v>
      </c>
      <c r="K980">
        <v>1</v>
      </c>
      <c r="L980">
        <v>1375</v>
      </c>
      <c r="M980">
        <v>2</v>
      </c>
      <c r="N980" t="str" cm="1">
        <f t="array" ref="N980">_xlfn.IFS(HRData[[#This Row],[EnvironmentSatisfaction]]=1,"Very Dissatisfied",
HRData[[#This Row],[EnvironmentSatisfaction]]=2,"Dissatisfied",
HRData[[#This Row],[EnvironmentSatisfaction]]=3,"Satisfied",
HRData[[#This Row],[EnvironmentSatisfaction]]=4,"Very Satisfied"
)</f>
        <v>Dissatisfied</v>
      </c>
      <c r="O980" t="s">
        <v>39</v>
      </c>
      <c r="P980">
        <v>89</v>
      </c>
      <c r="Q980">
        <v>4</v>
      </c>
      <c r="R980">
        <v>2</v>
      </c>
      <c r="S980" t="s">
        <v>54</v>
      </c>
      <c r="T980">
        <v>3</v>
      </c>
      <c r="U980" t="str" cm="1">
        <f t="array" ref="U980">_xlfn.IFS(
HRData[[#This Row],[JobSatisfaction]]=1,"Very Dissatisfied",
HRData[[#This Row],[JobSatisfaction]]=2,"Dissatisfied",
HRData[[#This Row],[JobSatisfaction]]=3,"Satisfied",
HRData[[#This Row],[JobSatisfaction]]=4,"Very Satisfied"
)</f>
        <v>Satisfied</v>
      </c>
      <c r="V980" t="s">
        <v>52</v>
      </c>
      <c r="W980">
        <v>6377</v>
      </c>
      <c r="X980" t="str" cm="1">
        <f t="array" ref="X980">_xlfn.IFS(
HRData[[#This Row],[MonthlyIncome]]&lt;=4000,"Very Low Income",
HRData[[#This Row],[MonthlyIncome]]&lt;=8000,"Low Income",
HRData[[#This Row],[MonthlyIncome]]&lt;=12000,"Moderate Income",
HRData[[#This Row],[MonthlyIncome]]&lt;=16000,"High Income",
HRData[[#This Row],[MonthlyIncome]]&gt;16000,"Very High Income"
)</f>
        <v>Low Income</v>
      </c>
      <c r="Y980">
        <v>13888</v>
      </c>
      <c r="Z980">
        <v>5</v>
      </c>
      <c r="AA980" t="s">
        <v>42</v>
      </c>
      <c r="AB980" t="s">
        <v>43</v>
      </c>
      <c r="AC980">
        <v>20</v>
      </c>
      <c r="AD980" t="str" cm="1">
        <f t="array" ref="AD980">_xlfn.IFS(HRData[[#This Row],[PercentSalaryHike]]&lt;=15,"11-15",HRData[[#This Row],[PercentSalaryHike]]&lt;=20,"16-20",HRData[[#This Row],[PercentSalaryHike]]&gt;=21,"21+")</f>
        <v>16-20</v>
      </c>
      <c r="AE980">
        <v>4</v>
      </c>
      <c r="AF980">
        <v>2</v>
      </c>
      <c r="AG980">
        <v>80</v>
      </c>
      <c r="AH980">
        <v>3</v>
      </c>
      <c r="AI980">
        <v>15</v>
      </c>
      <c r="AJ980">
        <v>0</v>
      </c>
      <c r="AK980">
        <v>3</v>
      </c>
      <c r="AL980">
        <v>12</v>
      </c>
      <c r="AM980">
        <v>11</v>
      </c>
      <c r="AN980">
        <v>11</v>
      </c>
      <c r="AO980">
        <v>8</v>
      </c>
      <c r="AP98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980" t="str">
        <f>IF(HRData[[#This Row],[Attrition]]="Yes","Left", IF(HRData[[#This Row],[Attrition_Risk_Score]]&gt;=6,"High",IF(HRData[[#This Row],[Attrition_Risk_Score]]&gt;=3,"Medium","Low")))</f>
        <v>Low</v>
      </c>
      <c r="AR980" t="str">
        <f>IF(HRData[[#This Row],[Attrition_Risk_Level]]&lt;&gt;"High","",HRData[[#This Row],[Attrition_Risk_Score]]*10000-HRData[[#This Row],[EmployeeNumber]])</f>
        <v/>
      </c>
    </row>
    <row r="981" spans="1:44">
      <c r="A981">
        <v>34</v>
      </c>
      <c r="B981" t="str" cm="1">
        <f t="array" ref="B981">_xlfn.IFS(
HRData[[#This Row],[Age]]&lt;=24,"18-24",
HRData[[#This Row],[Age]]&lt;=34,"25-34",
HRData[[#This Row],[Age]]&lt;=44,"35-44",
HRData[[#This Row],[Age]]&lt;=54,"45-54",
HRData[[#This Row],[Age]]&gt;=55,"55+"
)</f>
        <v>25-34</v>
      </c>
      <c r="C981" t="s">
        <v>43</v>
      </c>
      <c r="D981">
        <f>IF(HRData[[#This Row],[Attrition]]="Yes",1,0)</f>
        <v>0</v>
      </c>
      <c r="E981" t="s">
        <v>36</v>
      </c>
      <c r="F981">
        <v>285</v>
      </c>
      <c r="G981" t="s">
        <v>45</v>
      </c>
      <c r="H981">
        <v>29</v>
      </c>
      <c r="I981">
        <v>3</v>
      </c>
      <c r="J981" t="s">
        <v>51</v>
      </c>
      <c r="K981">
        <v>1</v>
      </c>
      <c r="L981">
        <v>1377</v>
      </c>
      <c r="M981">
        <v>2</v>
      </c>
      <c r="N981" t="str" cm="1">
        <f t="array" ref="N981">_xlfn.IFS(HRData[[#This Row],[EnvironmentSatisfaction]]=1,"Very Dissatisfied",
HRData[[#This Row],[EnvironmentSatisfaction]]=2,"Dissatisfied",
HRData[[#This Row],[EnvironmentSatisfaction]]=3,"Satisfied",
HRData[[#This Row],[EnvironmentSatisfaction]]=4,"Very Satisfied"
)</f>
        <v>Dissatisfied</v>
      </c>
      <c r="O981" t="s">
        <v>46</v>
      </c>
      <c r="P981">
        <v>86</v>
      </c>
      <c r="Q981">
        <v>3</v>
      </c>
      <c r="R981">
        <v>2</v>
      </c>
      <c r="S981" t="s">
        <v>50</v>
      </c>
      <c r="T981">
        <v>3</v>
      </c>
      <c r="U981" t="str" cm="1">
        <f t="array" ref="U981">_xlfn.IFS(
HRData[[#This Row],[JobSatisfaction]]=1,"Very Dissatisfied",
HRData[[#This Row],[JobSatisfaction]]=2,"Dissatisfied",
HRData[[#This Row],[JobSatisfaction]]=3,"Satisfied",
HRData[[#This Row],[JobSatisfaction]]=4,"Very Satisfied"
)</f>
        <v>Satisfied</v>
      </c>
      <c r="V981" t="s">
        <v>48</v>
      </c>
      <c r="W981">
        <v>5429</v>
      </c>
      <c r="X981" t="str" cm="1">
        <f t="array" ref="X981">_xlfn.IFS(
HRData[[#This Row],[MonthlyIncome]]&lt;=4000,"Very Low Income",
HRData[[#This Row],[MonthlyIncome]]&lt;=8000,"Low Income",
HRData[[#This Row],[MonthlyIncome]]&lt;=12000,"Moderate Income",
HRData[[#This Row],[MonthlyIncome]]&lt;=16000,"High Income",
HRData[[#This Row],[MonthlyIncome]]&gt;16000,"Very High Income"
)</f>
        <v>Low Income</v>
      </c>
      <c r="Y981">
        <v>17491</v>
      </c>
      <c r="Z981">
        <v>4</v>
      </c>
      <c r="AA981" t="s">
        <v>42</v>
      </c>
      <c r="AB981" t="s">
        <v>43</v>
      </c>
      <c r="AC981">
        <v>13</v>
      </c>
      <c r="AD981" t="str" cm="1">
        <f t="array" ref="AD981">_xlfn.IFS(HRData[[#This Row],[PercentSalaryHike]]&lt;=15,"11-15",HRData[[#This Row],[PercentSalaryHike]]&lt;=20,"16-20",HRData[[#This Row],[PercentSalaryHike]]&gt;=21,"21+")</f>
        <v>11-15</v>
      </c>
      <c r="AE981">
        <v>3</v>
      </c>
      <c r="AF981">
        <v>1</v>
      </c>
      <c r="AG981">
        <v>80</v>
      </c>
      <c r="AH981">
        <v>2</v>
      </c>
      <c r="AI981">
        <v>10</v>
      </c>
      <c r="AJ981">
        <v>1</v>
      </c>
      <c r="AK981">
        <v>3</v>
      </c>
      <c r="AL981">
        <v>8</v>
      </c>
      <c r="AM981">
        <v>7</v>
      </c>
      <c r="AN981">
        <v>7</v>
      </c>
      <c r="AO981">
        <v>7</v>
      </c>
      <c r="AP98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81" t="str">
        <f>IF(HRData[[#This Row],[Attrition]]="Yes","Left", IF(HRData[[#This Row],[Attrition_Risk_Score]]&gt;=6,"High",IF(HRData[[#This Row],[Attrition_Risk_Score]]&gt;=3,"Medium","Low")))</f>
        <v>Medium</v>
      </c>
      <c r="AR981" t="str">
        <f>IF(HRData[[#This Row],[Attrition_Risk_Level]]&lt;&gt;"High","",HRData[[#This Row],[Attrition_Risk_Score]]*10000-HRData[[#This Row],[EmployeeNumber]])</f>
        <v/>
      </c>
    </row>
    <row r="982" spans="1:44">
      <c r="A982">
        <v>31</v>
      </c>
      <c r="B982" t="str" cm="1">
        <f t="array" ref="B982">_xlfn.IFS(
HRData[[#This Row],[Age]]&lt;=24,"18-24",
HRData[[#This Row],[Age]]&lt;=34,"25-34",
HRData[[#This Row],[Age]]&lt;=44,"35-44",
HRData[[#This Row],[Age]]&lt;=54,"45-54",
HRData[[#This Row],[Age]]&gt;=55,"55+"
)</f>
        <v>25-34</v>
      </c>
      <c r="C982" t="s">
        <v>35</v>
      </c>
      <c r="D982">
        <f>IF(HRData[[#This Row],[Attrition]]="Yes",1,0)</f>
        <v>1</v>
      </c>
      <c r="E982" t="s">
        <v>44</v>
      </c>
      <c r="F982">
        <v>703</v>
      </c>
      <c r="G982" t="s">
        <v>37</v>
      </c>
      <c r="H982">
        <v>2</v>
      </c>
      <c r="I982">
        <v>3</v>
      </c>
      <c r="J982" t="s">
        <v>38</v>
      </c>
      <c r="K982">
        <v>1</v>
      </c>
      <c r="L982">
        <v>1379</v>
      </c>
      <c r="M982">
        <v>3</v>
      </c>
      <c r="N982" t="str" cm="1">
        <f t="array" ref="N982">_xlfn.IFS(HRData[[#This Row],[EnvironmentSatisfaction]]=1,"Very Dissatisfied",
HRData[[#This Row],[EnvironmentSatisfaction]]=2,"Dissatisfied",
HRData[[#This Row],[EnvironmentSatisfaction]]=3,"Satisfied",
HRData[[#This Row],[EnvironmentSatisfaction]]=4,"Very Satisfied"
)</f>
        <v>Satisfied</v>
      </c>
      <c r="O982" t="s">
        <v>39</v>
      </c>
      <c r="P982">
        <v>90</v>
      </c>
      <c r="Q982">
        <v>2</v>
      </c>
      <c r="R982">
        <v>1</v>
      </c>
      <c r="S982" t="s">
        <v>57</v>
      </c>
      <c r="T982">
        <v>4</v>
      </c>
      <c r="U982" t="str" cm="1">
        <f t="array" ref="U982">_xlfn.IFS(
HRData[[#This Row],[JobSatisfaction]]=1,"Very Dissatisfied",
HRData[[#This Row],[JobSatisfaction]]=2,"Dissatisfied",
HRData[[#This Row],[JobSatisfaction]]=3,"Satisfied",
HRData[[#This Row],[JobSatisfaction]]=4,"Very Satisfied"
)</f>
        <v>Very Satisfied</v>
      </c>
      <c r="V982" t="s">
        <v>41</v>
      </c>
      <c r="W982">
        <v>2785</v>
      </c>
      <c r="X982" t="str" cm="1">
        <f t="array" ref="X982">_xlfn.IFS(
HRData[[#This Row],[MonthlyIncome]]&lt;=4000,"Very Low Income",
HRData[[#This Row],[MonthlyIncome]]&lt;=8000,"Low Income",
HRData[[#This Row],[MonthlyIncome]]&lt;=12000,"Moderate Income",
HRData[[#This Row],[MonthlyIncome]]&lt;=16000,"High Income",
HRData[[#This Row],[MonthlyIncome]]&gt;16000,"Very High Income"
)</f>
        <v>Very Low Income</v>
      </c>
      <c r="Y982">
        <v>11882</v>
      </c>
      <c r="Z982">
        <v>7</v>
      </c>
      <c r="AA982" t="s">
        <v>42</v>
      </c>
      <c r="AB982" t="s">
        <v>43</v>
      </c>
      <c r="AC982">
        <v>14</v>
      </c>
      <c r="AD982" t="str" cm="1">
        <f t="array" ref="AD982">_xlfn.IFS(HRData[[#This Row],[PercentSalaryHike]]&lt;=15,"11-15",HRData[[#This Row],[PercentSalaryHike]]&lt;=20,"16-20",HRData[[#This Row],[PercentSalaryHike]]&gt;=21,"21+")</f>
        <v>11-15</v>
      </c>
      <c r="AE982">
        <v>3</v>
      </c>
      <c r="AF982">
        <v>3</v>
      </c>
      <c r="AG982">
        <v>80</v>
      </c>
      <c r="AH982">
        <v>0</v>
      </c>
      <c r="AI982">
        <v>3</v>
      </c>
      <c r="AJ982">
        <v>3</v>
      </c>
      <c r="AK982">
        <v>4</v>
      </c>
      <c r="AL982">
        <v>1</v>
      </c>
      <c r="AM982">
        <v>0</v>
      </c>
      <c r="AN982">
        <v>0</v>
      </c>
      <c r="AO982">
        <v>0</v>
      </c>
      <c r="AP98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82" t="str">
        <f>IF(HRData[[#This Row],[Attrition]]="Yes","Left", IF(HRData[[#This Row],[Attrition_Risk_Score]]&gt;=6,"High",IF(HRData[[#This Row],[Attrition_Risk_Score]]&gt;=3,"Medium","Low")))</f>
        <v>Left</v>
      </c>
      <c r="AR982" t="str">
        <f>IF(HRData[[#This Row],[Attrition_Risk_Level]]&lt;&gt;"High","",HRData[[#This Row],[Attrition_Risk_Score]]*10000-HRData[[#This Row],[EmployeeNumber]])</f>
        <v/>
      </c>
    </row>
    <row r="983" spans="1:44">
      <c r="A983">
        <v>35</v>
      </c>
      <c r="B983" t="str" cm="1">
        <f t="array" ref="B983">_xlfn.IFS(
HRData[[#This Row],[Age]]&lt;=24,"18-24",
HRData[[#This Row],[Age]]&lt;=34,"25-34",
HRData[[#This Row],[Age]]&lt;=44,"35-44",
HRData[[#This Row],[Age]]&lt;=54,"45-54",
HRData[[#This Row],[Age]]&gt;=55,"55+"
)</f>
        <v>35-44</v>
      </c>
      <c r="C983" t="s">
        <v>35</v>
      </c>
      <c r="D983">
        <f>IF(HRData[[#This Row],[Attrition]]="Yes",1,0)</f>
        <v>1</v>
      </c>
      <c r="E983" t="s">
        <v>44</v>
      </c>
      <c r="F983">
        <v>662</v>
      </c>
      <c r="G983" t="s">
        <v>37</v>
      </c>
      <c r="H983">
        <v>18</v>
      </c>
      <c r="I983">
        <v>4</v>
      </c>
      <c r="J983" t="s">
        <v>59</v>
      </c>
      <c r="K983">
        <v>1</v>
      </c>
      <c r="L983">
        <v>1380</v>
      </c>
      <c r="M983">
        <v>4</v>
      </c>
      <c r="N983" t="str" cm="1">
        <f t="array" ref="N983">_xlfn.IFS(HRData[[#This Row],[EnvironmentSatisfaction]]=1,"Very Dissatisfied",
HRData[[#This Row],[EnvironmentSatisfaction]]=2,"Dissatisfied",
HRData[[#This Row],[EnvironmentSatisfaction]]=3,"Satisfied",
HRData[[#This Row],[EnvironmentSatisfaction]]=4,"Very Satisfied"
)</f>
        <v>Very Satisfied</v>
      </c>
      <c r="O983" t="s">
        <v>39</v>
      </c>
      <c r="P983">
        <v>67</v>
      </c>
      <c r="Q983">
        <v>3</v>
      </c>
      <c r="R983">
        <v>2</v>
      </c>
      <c r="S983" t="s">
        <v>40</v>
      </c>
      <c r="T983">
        <v>3</v>
      </c>
      <c r="U983" t="str" cm="1">
        <f t="array" ref="U983">_xlfn.IFS(
HRData[[#This Row],[JobSatisfaction]]=1,"Very Dissatisfied",
HRData[[#This Row],[JobSatisfaction]]=2,"Dissatisfied",
HRData[[#This Row],[JobSatisfaction]]=3,"Satisfied",
HRData[[#This Row],[JobSatisfaction]]=4,"Very Satisfied"
)</f>
        <v>Satisfied</v>
      </c>
      <c r="V983" t="s">
        <v>48</v>
      </c>
      <c r="W983">
        <v>4614</v>
      </c>
      <c r="X983" t="str" cm="1">
        <f t="array" ref="X983">_xlfn.IFS(
HRData[[#This Row],[MonthlyIncome]]&lt;=4000,"Very Low Income",
HRData[[#This Row],[MonthlyIncome]]&lt;=8000,"Low Income",
HRData[[#This Row],[MonthlyIncome]]&lt;=12000,"Moderate Income",
HRData[[#This Row],[MonthlyIncome]]&lt;=16000,"High Income",
HRData[[#This Row],[MonthlyIncome]]&gt;16000,"Very High Income"
)</f>
        <v>Low Income</v>
      </c>
      <c r="Y983">
        <v>23288</v>
      </c>
      <c r="Z983">
        <v>0</v>
      </c>
      <c r="AA983" t="s">
        <v>42</v>
      </c>
      <c r="AB983" t="s">
        <v>35</v>
      </c>
      <c r="AC983">
        <v>18</v>
      </c>
      <c r="AD983" t="str" cm="1">
        <f t="array" ref="AD983">_xlfn.IFS(HRData[[#This Row],[PercentSalaryHike]]&lt;=15,"11-15",HRData[[#This Row],[PercentSalaryHike]]&lt;=20,"16-20",HRData[[#This Row],[PercentSalaryHike]]&gt;=21,"21+")</f>
        <v>16-20</v>
      </c>
      <c r="AE983">
        <v>3</v>
      </c>
      <c r="AF983">
        <v>3</v>
      </c>
      <c r="AG983">
        <v>80</v>
      </c>
      <c r="AH983">
        <v>1</v>
      </c>
      <c r="AI983">
        <v>5</v>
      </c>
      <c r="AJ983">
        <v>0</v>
      </c>
      <c r="AK983">
        <v>2</v>
      </c>
      <c r="AL983">
        <v>4</v>
      </c>
      <c r="AM983">
        <v>2</v>
      </c>
      <c r="AN983">
        <v>3</v>
      </c>
      <c r="AO983">
        <v>2</v>
      </c>
      <c r="AP98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83" t="str">
        <f>IF(HRData[[#This Row],[Attrition]]="Yes","Left", IF(HRData[[#This Row],[Attrition_Risk_Score]]&gt;=6,"High",IF(HRData[[#This Row],[Attrition_Risk_Score]]&gt;=3,"Medium","Low")))</f>
        <v>Left</v>
      </c>
      <c r="AR983" t="str">
        <f>IF(HRData[[#This Row],[Attrition_Risk_Level]]&lt;&gt;"High","",HRData[[#This Row],[Attrition_Risk_Score]]*10000-HRData[[#This Row],[EmployeeNumber]])</f>
        <v/>
      </c>
    </row>
    <row r="984" spans="1:44">
      <c r="A984">
        <v>38</v>
      </c>
      <c r="B984" t="str" cm="1">
        <f t="array" ref="B984">_xlfn.IFS(
HRData[[#This Row],[Age]]&lt;=24,"18-24",
HRData[[#This Row],[Age]]&lt;=34,"25-34",
HRData[[#This Row],[Age]]&lt;=44,"35-44",
HRData[[#This Row],[Age]]&lt;=54,"45-54",
HRData[[#This Row],[Age]]&gt;=55,"55+"
)</f>
        <v>35-44</v>
      </c>
      <c r="C984" t="s">
        <v>43</v>
      </c>
      <c r="D984">
        <f>IF(HRData[[#This Row],[Attrition]]="Yes",1,0)</f>
        <v>0</v>
      </c>
      <c r="E984" t="s">
        <v>44</v>
      </c>
      <c r="F984">
        <v>693</v>
      </c>
      <c r="G984" t="s">
        <v>45</v>
      </c>
      <c r="H984">
        <v>7</v>
      </c>
      <c r="I984">
        <v>3</v>
      </c>
      <c r="J984" t="s">
        <v>38</v>
      </c>
      <c r="K984">
        <v>1</v>
      </c>
      <c r="L984">
        <v>1382</v>
      </c>
      <c r="M984">
        <v>4</v>
      </c>
      <c r="N984" t="str" cm="1">
        <f t="array" ref="N984">_xlfn.IFS(HRData[[#This Row],[EnvironmentSatisfaction]]=1,"Very Dissatisfied",
HRData[[#This Row],[EnvironmentSatisfaction]]=2,"Dissatisfied",
HRData[[#This Row],[EnvironmentSatisfaction]]=3,"Satisfied",
HRData[[#This Row],[EnvironmentSatisfaction]]=4,"Very Satisfied"
)</f>
        <v>Very Satisfied</v>
      </c>
      <c r="O984" t="s">
        <v>46</v>
      </c>
      <c r="P984">
        <v>57</v>
      </c>
      <c r="Q984">
        <v>4</v>
      </c>
      <c r="R984">
        <v>1</v>
      </c>
      <c r="S984" t="s">
        <v>47</v>
      </c>
      <c r="T984">
        <v>3</v>
      </c>
      <c r="U984" t="str" cm="1">
        <f t="array" ref="U984">_xlfn.IFS(
HRData[[#This Row],[JobSatisfaction]]=1,"Very Dissatisfied",
HRData[[#This Row],[JobSatisfaction]]=2,"Dissatisfied",
HRData[[#This Row],[JobSatisfaction]]=3,"Satisfied",
HRData[[#This Row],[JobSatisfaction]]=4,"Very Satisfied"
)</f>
        <v>Satisfied</v>
      </c>
      <c r="V984" t="s">
        <v>52</v>
      </c>
      <c r="W984">
        <v>2610</v>
      </c>
      <c r="X984" t="str" cm="1">
        <f t="array" ref="X984">_xlfn.IFS(
HRData[[#This Row],[MonthlyIncome]]&lt;=4000,"Very Low Income",
HRData[[#This Row],[MonthlyIncome]]&lt;=8000,"Low Income",
HRData[[#This Row],[MonthlyIncome]]&lt;=12000,"Moderate Income",
HRData[[#This Row],[MonthlyIncome]]&lt;=16000,"High Income",
HRData[[#This Row],[MonthlyIncome]]&gt;16000,"Very High Income"
)</f>
        <v>Very Low Income</v>
      </c>
      <c r="Y984">
        <v>15748</v>
      </c>
      <c r="Z984">
        <v>1</v>
      </c>
      <c r="AA984" t="s">
        <v>42</v>
      </c>
      <c r="AB984" t="s">
        <v>43</v>
      </c>
      <c r="AC984">
        <v>11</v>
      </c>
      <c r="AD984" t="str" cm="1">
        <f t="array" ref="AD984">_xlfn.IFS(HRData[[#This Row],[PercentSalaryHike]]&lt;=15,"11-15",HRData[[#This Row],[PercentSalaryHike]]&lt;=20,"16-20",HRData[[#This Row],[PercentSalaryHike]]&gt;=21,"21+")</f>
        <v>11-15</v>
      </c>
      <c r="AE984">
        <v>3</v>
      </c>
      <c r="AF984">
        <v>4</v>
      </c>
      <c r="AG984">
        <v>80</v>
      </c>
      <c r="AH984">
        <v>3</v>
      </c>
      <c r="AI984">
        <v>4</v>
      </c>
      <c r="AJ984">
        <v>2</v>
      </c>
      <c r="AK984">
        <v>3</v>
      </c>
      <c r="AL984">
        <v>4</v>
      </c>
      <c r="AM984">
        <v>2</v>
      </c>
      <c r="AN984">
        <v>0</v>
      </c>
      <c r="AO984">
        <v>3</v>
      </c>
      <c r="AP98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84" t="str">
        <f>IF(HRData[[#This Row],[Attrition]]="Yes","Left", IF(HRData[[#This Row],[Attrition_Risk_Score]]&gt;=6,"High",IF(HRData[[#This Row],[Attrition_Risk_Score]]&gt;=3,"Medium","Low")))</f>
        <v>Low</v>
      </c>
      <c r="AR984" t="str">
        <f>IF(HRData[[#This Row],[Attrition_Risk_Level]]&lt;&gt;"High","",HRData[[#This Row],[Attrition_Risk_Score]]*10000-HRData[[#This Row],[EmployeeNumber]])</f>
        <v/>
      </c>
    </row>
    <row r="985" spans="1:44">
      <c r="A985">
        <v>34</v>
      </c>
      <c r="B985" t="str" cm="1">
        <f t="array" ref="B985">_xlfn.IFS(
HRData[[#This Row],[Age]]&lt;=24,"18-24",
HRData[[#This Row],[Age]]&lt;=34,"25-34",
HRData[[#This Row],[Age]]&lt;=44,"35-44",
HRData[[#This Row],[Age]]&lt;=54,"45-54",
HRData[[#This Row],[Age]]&gt;=55,"55+"
)</f>
        <v>25-34</v>
      </c>
      <c r="C985" t="s">
        <v>43</v>
      </c>
      <c r="D985">
        <f>IF(HRData[[#This Row],[Attrition]]="Yes",1,0)</f>
        <v>0</v>
      </c>
      <c r="E985" t="s">
        <v>36</v>
      </c>
      <c r="F985">
        <v>404</v>
      </c>
      <c r="G985" t="s">
        <v>45</v>
      </c>
      <c r="H985">
        <v>2</v>
      </c>
      <c r="I985">
        <v>4</v>
      </c>
      <c r="J985" t="s">
        <v>60</v>
      </c>
      <c r="K985">
        <v>1</v>
      </c>
      <c r="L985">
        <v>1383</v>
      </c>
      <c r="M985">
        <v>3</v>
      </c>
      <c r="N985" t="str" cm="1">
        <f t="array" ref="N985">_xlfn.IFS(HRData[[#This Row],[EnvironmentSatisfaction]]=1,"Very Dissatisfied",
HRData[[#This Row],[EnvironmentSatisfaction]]=2,"Dissatisfied",
HRData[[#This Row],[EnvironmentSatisfaction]]=3,"Satisfied",
HRData[[#This Row],[EnvironmentSatisfaction]]=4,"Very Satisfied"
)</f>
        <v>Satisfied</v>
      </c>
      <c r="O985" t="s">
        <v>39</v>
      </c>
      <c r="P985">
        <v>98</v>
      </c>
      <c r="Q985">
        <v>3</v>
      </c>
      <c r="R985">
        <v>2</v>
      </c>
      <c r="S985" t="s">
        <v>54</v>
      </c>
      <c r="T985">
        <v>4</v>
      </c>
      <c r="U985" t="str" cm="1">
        <f t="array" ref="U985">_xlfn.IFS(
HRData[[#This Row],[JobSatisfaction]]=1,"Very Dissatisfied",
HRData[[#This Row],[JobSatisfaction]]=2,"Dissatisfied",
HRData[[#This Row],[JobSatisfaction]]=3,"Satisfied",
HRData[[#This Row],[JobSatisfaction]]=4,"Very Satisfied"
)</f>
        <v>Very Satisfied</v>
      </c>
      <c r="V985" t="s">
        <v>41</v>
      </c>
      <c r="W985">
        <v>6687</v>
      </c>
      <c r="X985" t="str" cm="1">
        <f t="array" ref="X985">_xlfn.IFS(
HRData[[#This Row],[MonthlyIncome]]&lt;=4000,"Very Low Income",
HRData[[#This Row],[MonthlyIncome]]&lt;=8000,"Low Income",
HRData[[#This Row],[MonthlyIncome]]&lt;=12000,"Moderate Income",
HRData[[#This Row],[MonthlyIncome]]&lt;=16000,"High Income",
HRData[[#This Row],[MonthlyIncome]]&gt;16000,"Very High Income"
)</f>
        <v>Low Income</v>
      </c>
      <c r="Y985">
        <v>6163</v>
      </c>
      <c r="Z985">
        <v>1</v>
      </c>
      <c r="AA985" t="s">
        <v>42</v>
      </c>
      <c r="AB985" t="s">
        <v>43</v>
      </c>
      <c r="AC985">
        <v>11</v>
      </c>
      <c r="AD985" t="str" cm="1">
        <f t="array" ref="AD985">_xlfn.IFS(HRData[[#This Row],[PercentSalaryHike]]&lt;=15,"11-15",HRData[[#This Row],[PercentSalaryHike]]&lt;=20,"16-20",HRData[[#This Row],[PercentSalaryHike]]&gt;=21,"21+")</f>
        <v>11-15</v>
      </c>
      <c r="AE985">
        <v>3</v>
      </c>
      <c r="AF985">
        <v>4</v>
      </c>
      <c r="AG985">
        <v>80</v>
      </c>
      <c r="AH985">
        <v>0</v>
      </c>
      <c r="AI985">
        <v>14</v>
      </c>
      <c r="AJ985">
        <v>2</v>
      </c>
      <c r="AK985">
        <v>4</v>
      </c>
      <c r="AL985">
        <v>14</v>
      </c>
      <c r="AM985">
        <v>11</v>
      </c>
      <c r="AN985">
        <v>4</v>
      </c>
      <c r="AO985">
        <v>11</v>
      </c>
      <c r="AP98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85" t="str">
        <f>IF(HRData[[#This Row],[Attrition]]="Yes","Left", IF(HRData[[#This Row],[Attrition_Risk_Score]]&gt;=6,"High",IF(HRData[[#This Row],[Attrition_Risk_Score]]&gt;=3,"Medium","Low")))</f>
        <v>Low</v>
      </c>
      <c r="AR985" t="str">
        <f>IF(HRData[[#This Row],[Attrition_Risk_Level]]&lt;&gt;"High","",HRData[[#This Row],[Attrition_Risk_Score]]*10000-HRData[[#This Row],[EmployeeNumber]])</f>
        <v/>
      </c>
    </row>
    <row r="986" spans="1:44">
      <c r="A986">
        <v>28</v>
      </c>
      <c r="B986" t="str" cm="1">
        <f t="array" ref="B986">_xlfn.IFS(
HRData[[#This Row],[Age]]&lt;=24,"18-24",
HRData[[#This Row],[Age]]&lt;=34,"25-34",
HRData[[#This Row],[Age]]&lt;=44,"35-44",
HRData[[#This Row],[Age]]&lt;=54,"45-54",
HRData[[#This Row],[Age]]&gt;=55,"55+"
)</f>
        <v>25-34</v>
      </c>
      <c r="C986" t="s">
        <v>43</v>
      </c>
      <c r="D986">
        <f>IF(HRData[[#This Row],[Attrition]]="Yes",1,0)</f>
        <v>0</v>
      </c>
      <c r="E986" t="s">
        <v>36</v>
      </c>
      <c r="F986">
        <v>736</v>
      </c>
      <c r="G986" t="s">
        <v>37</v>
      </c>
      <c r="H986">
        <v>26</v>
      </c>
      <c r="I986">
        <v>3</v>
      </c>
      <c r="J986" t="s">
        <v>38</v>
      </c>
      <c r="K986">
        <v>1</v>
      </c>
      <c r="L986">
        <v>1387</v>
      </c>
      <c r="M986">
        <v>3</v>
      </c>
      <c r="N986" t="str" cm="1">
        <f t="array" ref="N986">_xlfn.IFS(HRData[[#This Row],[EnvironmentSatisfaction]]=1,"Very Dissatisfied",
HRData[[#This Row],[EnvironmentSatisfaction]]=2,"Dissatisfied",
HRData[[#This Row],[EnvironmentSatisfaction]]=3,"Satisfied",
HRData[[#This Row],[EnvironmentSatisfaction]]=4,"Very Satisfied"
)</f>
        <v>Satisfied</v>
      </c>
      <c r="O986" t="s">
        <v>46</v>
      </c>
      <c r="P986">
        <v>48</v>
      </c>
      <c r="Q986">
        <v>2</v>
      </c>
      <c r="R986">
        <v>2</v>
      </c>
      <c r="S986" t="s">
        <v>40</v>
      </c>
      <c r="T986">
        <v>1</v>
      </c>
      <c r="U986" t="str" cm="1">
        <f t="array" ref="U986">_xlfn.IFS(
HRData[[#This Row],[JobSatisfaction]]=1,"Very Dissatisfied",
HRData[[#This Row],[JobSatisfaction]]=2,"Dissatisfied",
HRData[[#This Row],[JobSatisfaction]]=3,"Satisfied",
HRData[[#This Row],[JobSatisfaction]]=4,"Very Satisfied"
)</f>
        <v>Very Dissatisfied</v>
      </c>
      <c r="V986" t="s">
        <v>48</v>
      </c>
      <c r="W986">
        <v>4724</v>
      </c>
      <c r="X986" t="str" cm="1">
        <f t="array" ref="X986">_xlfn.IFS(
HRData[[#This Row],[MonthlyIncome]]&lt;=4000,"Very Low Income",
HRData[[#This Row],[MonthlyIncome]]&lt;=8000,"Low Income",
HRData[[#This Row],[MonthlyIncome]]&lt;=12000,"Moderate Income",
HRData[[#This Row],[MonthlyIncome]]&lt;=16000,"High Income",
HRData[[#This Row],[MonthlyIncome]]&gt;16000,"Very High Income"
)</f>
        <v>Low Income</v>
      </c>
      <c r="Y986">
        <v>24232</v>
      </c>
      <c r="Z986">
        <v>1</v>
      </c>
      <c r="AA986" t="s">
        <v>42</v>
      </c>
      <c r="AB986" t="s">
        <v>43</v>
      </c>
      <c r="AC986">
        <v>11</v>
      </c>
      <c r="AD986" t="str" cm="1">
        <f t="array" ref="AD986">_xlfn.IFS(HRData[[#This Row],[PercentSalaryHike]]&lt;=15,"11-15",HRData[[#This Row],[PercentSalaryHike]]&lt;=20,"16-20",HRData[[#This Row],[PercentSalaryHike]]&gt;=21,"21+")</f>
        <v>11-15</v>
      </c>
      <c r="AE986">
        <v>3</v>
      </c>
      <c r="AF986">
        <v>3</v>
      </c>
      <c r="AG986">
        <v>80</v>
      </c>
      <c r="AH986">
        <v>1</v>
      </c>
      <c r="AI986">
        <v>5</v>
      </c>
      <c r="AJ986">
        <v>0</v>
      </c>
      <c r="AK986">
        <v>3</v>
      </c>
      <c r="AL986">
        <v>5</v>
      </c>
      <c r="AM986">
        <v>3</v>
      </c>
      <c r="AN986">
        <v>0</v>
      </c>
      <c r="AO986">
        <v>4</v>
      </c>
      <c r="AP98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986" t="str">
        <f>IF(HRData[[#This Row],[Attrition]]="Yes","Left", IF(HRData[[#This Row],[Attrition_Risk_Score]]&gt;=6,"High",IF(HRData[[#This Row],[Attrition_Risk_Score]]&gt;=3,"Medium","Low")))</f>
        <v>Medium</v>
      </c>
      <c r="AR986" t="str">
        <f>IF(HRData[[#This Row],[Attrition_Risk_Level]]&lt;&gt;"High","",HRData[[#This Row],[Attrition_Risk_Score]]*10000-HRData[[#This Row],[EmployeeNumber]])</f>
        <v/>
      </c>
    </row>
    <row r="987" spans="1:44">
      <c r="A987">
        <v>31</v>
      </c>
      <c r="B987" t="str" cm="1">
        <f t="array" ref="B987">_xlfn.IFS(
HRData[[#This Row],[Age]]&lt;=24,"18-24",
HRData[[#This Row],[Age]]&lt;=34,"25-34",
HRData[[#This Row],[Age]]&lt;=44,"35-44",
HRData[[#This Row],[Age]]&lt;=54,"45-54",
HRData[[#This Row],[Age]]&gt;=55,"55+"
)</f>
        <v>25-34</v>
      </c>
      <c r="C987" t="s">
        <v>35</v>
      </c>
      <c r="D987">
        <f>IF(HRData[[#This Row],[Attrition]]="Yes",1,0)</f>
        <v>1</v>
      </c>
      <c r="E987" t="s">
        <v>36</v>
      </c>
      <c r="F987">
        <v>330</v>
      </c>
      <c r="G987" t="s">
        <v>45</v>
      </c>
      <c r="H987">
        <v>22</v>
      </c>
      <c r="I987">
        <v>4</v>
      </c>
      <c r="J987" t="s">
        <v>51</v>
      </c>
      <c r="K987">
        <v>1</v>
      </c>
      <c r="L987">
        <v>1389</v>
      </c>
      <c r="M987">
        <v>4</v>
      </c>
      <c r="N987" t="str" cm="1">
        <f t="array" ref="N987">_xlfn.IFS(HRData[[#This Row],[EnvironmentSatisfaction]]=1,"Very Dissatisfied",
HRData[[#This Row],[EnvironmentSatisfaction]]=2,"Dissatisfied",
HRData[[#This Row],[EnvironmentSatisfaction]]=3,"Satisfied",
HRData[[#This Row],[EnvironmentSatisfaction]]=4,"Very Satisfied"
)</f>
        <v>Very Satisfied</v>
      </c>
      <c r="O987" t="s">
        <v>46</v>
      </c>
      <c r="P987">
        <v>98</v>
      </c>
      <c r="Q987">
        <v>3</v>
      </c>
      <c r="R987">
        <v>2</v>
      </c>
      <c r="S987" t="s">
        <v>53</v>
      </c>
      <c r="T987">
        <v>3</v>
      </c>
      <c r="U987" t="str" cm="1">
        <f t="array" ref="U987">_xlfn.IFS(
HRData[[#This Row],[JobSatisfaction]]=1,"Very Dissatisfied",
HRData[[#This Row],[JobSatisfaction]]=2,"Dissatisfied",
HRData[[#This Row],[JobSatisfaction]]=3,"Satisfied",
HRData[[#This Row],[JobSatisfaction]]=4,"Very Satisfied"
)</f>
        <v>Satisfied</v>
      </c>
      <c r="V987" t="s">
        <v>48</v>
      </c>
      <c r="W987">
        <v>6179</v>
      </c>
      <c r="X987" t="str" cm="1">
        <f t="array" ref="X987">_xlfn.IFS(
HRData[[#This Row],[MonthlyIncome]]&lt;=4000,"Very Low Income",
HRData[[#This Row],[MonthlyIncome]]&lt;=8000,"Low Income",
HRData[[#This Row],[MonthlyIncome]]&lt;=12000,"Moderate Income",
HRData[[#This Row],[MonthlyIncome]]&lt;=16000,"High Income",
HRData[[#This Row],[MonthlyIncome]]&gt;16000,"Very High Income"
)</f>
        <v>Low Income</v>
      </c>
      <c r="Y987">
        <v>21057</v>
      </c>
      <c r="Z987">
        <v>1</v>
      </c>
      <c r="AA987" t="s">
        <v>42</v>
      </c>
      <c r="AB987" t="s">
        <v>35</v>
      </c>
      <c r="AC987">
        <v>15</v>
      </c>
      <c r="AD987" t="str" cm="1">
        <f t="array" ref="AD987">_xlfn.IFS(HRData[[#This Row],[PercentSalaryHike]]&lt;=15,"11-15",HRData[[#This Row],[PercentSalaryHike]]&lt;=20,"16-20",HRData[[#This Row],[PercentSalaryHike]]&gt;=21,"21+")</f>
        <v>11-15</v>
      </c>
      <c r="AE987">
        <v>3</v>
      </c>
      <c r="AF987">
        <v>4</v>
      </c>
      <c r="AG987">
        <v>80</v>
      </c>
      <c r="AH987">
        <v>2</v>
      </c>
      <c r="AI987">
        <v>10</v>
      </c>
      <c r="AJ987">
        <v>3</v>
      </c>
      <c r="AK987">
        <v>2</v>
      </c>
      <c r="AL987">
        <v>10</v>
      </c>
      <c r="AM987">
        <v>2</v>
      </c>
      <c r="AN987">
        <v>6</v>
      </c>
      <c r="AO987">
        <v>7</v>
      </c>
      <c r="AP98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87" t="str">
        <f>IF(HRData[[#This Row],[Attrition]]="Yes","Left", IF(HRData[[#This Row],[Attrition_Risk_Score]]&gt;=6,"High",IF(HRData[[#This Row],[Attrition_Risk_Score]]&gt;=3,"Medium","Low")))</f>
        <v>Left</v>
      </c>
      <c r="AR987" t="str">
        <f>IF(HRData[[#This Row],[Attrition_Risk_Level]]&lt;&gt;"High","",HRData[[#This Row],[Attrition_Risk_Score]]*10000-HRData[[#This Row],[EmployeeNumber]])</f>
        <v/>
      </c>
    </row>
    <row r="988" spans="1:44">
      <c r="A988">
        <v>39</v>
      </c>
      <c r="B988" t="str" cm="1">
        <f t="array" ref="B988">_xlfn.IFS(
HRData[[#This Row],[Age]]&lt;=24,"18-24",
HRData[[#This Row],[Age]]&lt;=34,"25-34",
HRData[[#This Row],[Age]]&lt;=44,"35-44",
HRData[[#This Row],[Age]]&lt;=54,"45-54",
HRData[[#This Row],[Age]]&gt;=55,"55+"
)</f>
        <v>35-44</v>
      </c>
      <c r="C988" t="s">
        <v>43</v>
      </c>
      <c r="D988">
        <f>IF(HRData[[#This Row],[Attrition]]="Yes",1,0)</f>
        <v>0</v>
      </c>
      <c r="E988" t="s">
        <v>36</v>
      </c>
      <c r="F988">
        <v>1498</v>
      </c>
      <c r="G988" t="s">
        <v>37</v>
      </c>
      <c r="H988">
        <v>21</v>
      </c>
      <c r="I988">
        <v>4</v>
      </c>
      <c r="J988" t="s">
        <v>38</v>
      </c>
      <c r="K988">
        <v>1</v>
      </c>
      <c r="L988">
        <v>1390</v>
      </c>
      <c r="M988">
        <v>1</v>
      </c>
      <c r="N988" t="str" cm="1">
        <f t="array" ref="N988">_xlfn.IFS(HRData[[#This Row],[EnvironmentSatisfaction]]=1,"Very Dissatisfied",
HRData[[#This Row],[EnvironmentSatisfaction]]=2,"Dissatisfied",
HRData[[#This Row],[EnvironmentSatisfaction]]=3,"Satisfied",
HRData[[#This Row],[EnvironmentSatisfaction]]=4,"Very Satisfied"
)</f>
        <v>Very Dissatisfied</v>
      </c>
      <c r="O988" t="s">
        <v>46</v>
      </c>
      <c r="P988">
        <v>44</v>
      </c>
      <c r="Q988">
        <v>2</v>
      </c>
      <c r="R988">
        <v>2</v>
      </c>
      <c r="S988" t="s">
        <v>40</v>
      </c>
      <c r="T988">
        <v>4</v>
      </c>
      <c r="U988" t="str" cm="1">
        <f t="array" ref="U988">_xlfn.IFS(
HRData[[#This Row],[JobSatisfaction]]=1,"Very Dissatisfied",
HRData[[#This Row],[JobSatisfaction]]=2,"Dissatisfied",
HRData[[#This Row],[JobSatisfaction]]=3,"Satisfied",
HRData[[#This Row],[JobSatisfaction]]=4,"Very Satisfied"
)</f>
        <v>Very Satisfied</v>
      </c>
      <c r="V988" t="s">
        <v>48</v>
      </c>
      <c r="W988">
        <v>6120</v>
      </c>
      <c r="X988" t="str" cm="1">
        <f t="array" ref="X988">_xlfn.IFS(
HRData[[#This Row],[MonthlyIncome]]&lt;=4000,"Very Low Income",
HRData[[#This Row],[MonthlyIncome]]&lt;=8000,"Low Income",
HRData[[#This Row],[MonthlyIncome]]&lt;=12000,"Moderate Income",
HRData[[#This Row],[MonthlyIncome]]&lt;=16000,"High Income",
HRData[[#This Row],[MonthlyIncome]]&gt;16000,"Very High Income"
)</f>
        <v>Low Income</v>
      </c>
      <c r="Y988">
        <v>3567</v>
      </c>
      <c r="Z988">
        <v>3</v>
      </c>
      <c r="AA988" t="s">
        <v>42</v>
      </c>
      <c r="AB988" t="s">
        <v>35</v>
      </c>
      <c r="AC988">
        <v>12</v>
      </c>
      <c r="AD988" t="str" cm="1">
        <f t="array" ref="AD988">_xlfn.IFS(HRData[[#This Row],[PercentSalaryHike]]&lt;=15,"11-15",HRData[[#This Row],[PercentSalaryHike]]&lt;=20,"16-20",HRData[[#This Row],[PercentSalaryHike]]&gt;=21,"21+")</f>
        <v>11-15</v>
      </c>
      <c r="AE988">
        <v>3</v>
      </c>
      <c r="AF988">
        <v>4</v>
      </c>
      <c r="AG988">
        <v>80</v>
      </c>
      <c r="AH988">
        <v>2</v>
      </c>
      <c r="AI988">
        <v>8</v>
      </c>
      <c r="AJ988">
        <v>2</v>
      </c>
      <c r="AK988">
        <v>4</v>
      </c>
      <c r="AL988">
        <v>5</v>
      </c>
      <c r="AM988">
        <v>4</v>
      </c>
      <c r="AN988">
        <v>1</v>
      </c>
      <c r="AO988">
        <v>4</v>
      </c>
      <c r="AP98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88" t="str">
        <f>IF(HRData[[#This Row],[Attrition]]="Yes","Left", IF(HRData[[#This Row],[Attrition_Risk_Score]]&gt;=6,"High",IF(HRData[[#This Row],[Attrition_Risk_Score]]&gt;=3,"Medium","Low")))</f>
        <v>Medium</v>
      </c>
      <c r="AR988" t="str">
        <f>IF(HRData[[#This Row],[Attrition_Risk_Level]]&lt;&gt;"High","",HRData[[#This Row],[Attrition_Risk_Score]]*10000-HRData[[#This Row],[EmployeeNumber]])</f>
        <v/>
      </c>
    </row>
    <row r="989" spans="1:44">
      <c r="A989">
        <v>51</v>
      </c>
      <c r="B989" t="str" cm="1">
        <f t="array" ref="B989">_xlfn.IFS(
HRData[[#This Row],[Age]]&lt;=24,"18-24",
HRData[[#This Row],[Age]]&lt;=34,"25-34",
HRData[[#This Row],[Age]]&lt;=44,"35-44",
HRData[[#This Row],[Age]]&lt;=54,"45-54",
HRData[[#This Row],[Age]]&gt;=55,"55+"
)</f>
        <v>45-54</v>
      </c>
      <c r="C989" t="s">
        <v>43</v>
      </c>
      <c r="D989">
        <f>IF(HRData[[#This Row],[Attrition]]="Yes",1,0)</f>
        <v>0</v>
      </c>
      <c r="E989" t="s">
        <v>44</v>
      </c>
      <c r="F989">
        <v>541</v>
      </c>
      <c r="G989" t="s">
        <v>37</v>
      </c>
      <c r="H989">
        <v>2</v>
      </c>
      <c r="I989">
        <v>3</v>
      </c>
      <c r="J989" t="s">
        <v>59</v>
      </c>
      <c r="K989">
        <v>1</v>
      </c>
      <c r="L989">
        <v>1391</v>
      </c>
      <c r="M989">
        <v>2</v>
      </c>
      <c r="N989" t="str" cm="1">
        <f t="array" ref="N989">_xlfn.IFS(HRData[[#This Row],[EnvironmentSatisfaction]]=1,"Very Dissatisfied",
HRData[[#This Row],[EnvironmentSatisfaction]]=2,"Dissatisfied",
HRData[[#This Row],[EnvironmentSatisfaction]]=3,"Satisfied",
HRData[[#This Row],[EnvironmentSatisfaction]]=4,"Very Satisfied"
)</f>
        <v>Dissatisfied</v>
      </c>
      <c r="O989" t="s">
        <v>46</v>
      </c>
      <c r="P989">
        <v>52</v>
      </c>
      <c r="Q989">
        <v>3</v>
      </c>
      <c r="R989">
        <v>3</v>
      </c>
      <c r="S989" t="s">
        <v>40</v>
      </c>
      <c r="T989">
        <v>2</v>
      </c>
      <c r="U989" t="str" cm="1">
        <f t="array" ref="U989">_xlfn.IFS(
HRData[[#This Row],[JobSatisfaction]]=1,"Very Dissatisfied",
HRData[[#This Row],[JobSatisfaction]]=2,"Dissatisfied",
HRData[[#This Row],[JobSatisfaction]]=3,"Satisfied",
HRData[[#This Row],[JobSatisfaction]]=4,"Very Satisfied"
)</f>
        <v>Dissatisfied</v>
      </c>
      <c r="V989" t="s">
        <v>48</v>
      </c>
      <c r="W989">
        <v>10596</v>
      </c>
      <c r="X989" t="str" cm="1">
        <f t="array" ref="X989">_xlfn.IFS(
HRData[[#This Row],[MonthlyIncome]]&lt;=4000,"Very Low Income",
HRData[[#This Row],[MonthlyIncome]]&lt;=8000,"Low Income",
HRData[[#This Row],[MonthlyIncome]]&lt;=12000,"Moderate Income",
HRData[[#This Row],[MonthlyIncome]]&lt;=16000,"High Income",
HRData[[#This Row],[MonthlyIncome]]&gt;16000,"Very High Income"
)</f>
        <v>Moderate Income</v>
      </c>
      <c r="Y989">
        <v>15395</v>
      </c>
      <c r="Z989">
        <v>2</v>
      </c>
      <c r="AA989" t="s">
        <v>42</v>
      </c>
      <c r="AB989" t="s">
        <v>43</v>
      </c>
      <c r="AC989">
        <v>11</v>
      </c>
      <c r="AD989" t="str" cm="1">
        <f t="array" ref="AD989">_xlfn.IFS(HRData[[#This Row],[PercentSalaryHike]]&lt;=15,"11-15",HRData[[#This Row],[PercentSalaryHike]]&lt;=20,"16-20",HRData[[#This Row],[PercentSalaryHike]]&gt;=21,"21+")</f>
        <v>11-15</v>
      </c>
      <c r="AE989">
        <v>3</v>
      </c>
      <c r="AF989">
        <v>2</v>
      </c>
      <c r="AG989">
        <v>80</v>
      </c>
      <c r="AH989">
        <v>0</v>
      </c>
      <c r="AI989">
        <v>14</v>
      </c>
      <c r="AJ989">
        <v>5</v>
      </c>
      <c r="AK989">
        <v>3</v>
      </c>
      <c r="AL989">
        <v>4</v>
      </c>
      <c r="AM989">
        <v>2</v>
      </c>
      <c r="AN989">
        <v>3</v>
      </c>
      <c r="AO989">
        <v>2</v>
      </c>
      <c r="AP98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989" t="str">
        <f>IF(HRData[[#This Row],[Attrition]]="Yes","Left", IF(HRData[[#This Row],[Attrition_Risk_Score]]&gt;=6,"High",IF(HRData[[#This Row],[Attrition_Risk_Score]]&gt;=3,"Medium","Low")))</f>
        <v>Low</v>
      </c>
      <c r="AR989" t="str">
        <f>IF(HRData[[#This Row],[Attrition_Risk_Level]]&lt;&gt;"High","",HRData[[#This Row],[Attrition_Risk_Score]]*10000-HRData[[#This Row],[EmployeeNumber]])</f>
        <v/>
      </c>
    </row>
    <row r="990" spans="1:44">
      <c r="A990">
        <v>41</v>
      </c>
      <c r="B990" t="str" cm="1">
        <f t="array" ref="B990">_xlfn.IFS(
HRData[[#This Row],[Age]]&lt;=24,"18-24",
HRData[[#This Row],[Age]]&lt;=34,"25-34",
HRData[[#This Row],[Age]]&lt;=44,"35-44",
HRData[[#This Row],[Age]]&lt;=54,"45-54",
HRData[[#This Row],[Age]]&gt;=55,"55+"
)</f>
        <v>35-44</v>
      </c>
      <c r="C990" t="s">
        <v>43</v>
      </c>
      <c r="D990">
        <f>IF(HRData[[#This Row],[Attrition]]="Yes",1,0)</f>
        <v>0</v>
      </c>
      <c r="E990" t="s">
        <v>44</v>
      </c>
      <c r="F990">
        <v>1200</v>
      </c>
      <c r="G990" t="s">
        <v>45</v>
      </c>
      <c r="H990">
        <v>22</v>
      </c>
      <c r="I990">
        <v>3</v>
      </c>
      <c r="J990" t="s">
        <v>38</v>
      </c>
      <c r="K990">
        <v>1</v>
      </c>
      <c r="L990">
        <v>1392</v>
      </c>
      <c r="M990">
        <v>4</v>
      </c>
      <c r="N990" t="str" cm="1">
        <f t="array" ref="N990">_xlfn.IFS(HRData[[#This Row],[EnvironmentSatisfaction]]=1,"Very Dissatisfied",
HRData[[#This Row],[EnvironmentSatisfaction]]=2,"Dissatisfied",
HRData[[#This Row],[EnvironmentSatisfaction]]=3,"Satisfied",
HRData[[#This Row],[EnvironmentSatisfaction]]=4,"Very Satisfied"
)</f>
        <v>Very Satisfied</v>
      </c>
      <c r="O990" t="s">
        <v>39</v>
      </c>
      <c r="P990">
        <v>75</v>
      </c>
      <c r="Q990">
        <v>3</v>
      </c>
      <c r="R990">
        <v>2</v>
      </c>
      <c r="S990" t="s">
        <v>47</v>
      </c>
      <c r="T990">
        <v>4</v>
      </c>
      <c r="U990" t="str" cm="1">
        <f t="array" ref="U990">_xlfn.IFS(
HRData[[#This Row],[JobSatisfaction]]=1,"Very Dissatisfied",
HRData[[#This Row],[JobSatisfaction]]=2,"Dissatisfied",
HRData[[#This Row],[JobSatisfaction]]=3,"Satisfied",
HRData[[#This Row],[JobSatisfaction]]=4,"Very Satisfied"
)</f>
        <v>Very Satisfied</v>
      </c>
      <c r="V990" t="s">
        <v>52</v>
      </c>
      <c r="W990">
        <v>5467</v>
      </c>
      <c r="X990" t="str" cm="1">
        <f t="array" ref="X990">_xlfn.IFS(
HRData[[#This Row],[MonthlyIncome]]&lt;=4000,"Very Low Income",
HRData[[#This Row],[MonthlyIncome]]&lt;=8000,"Low Income",
HRData[[#This Row],[MonthlyIncome]]&lt;=12000,"Moderate Income",
HRData[[#This Row],[MonthlyIncome]]&lt;=16000,"High Income",
HRData[[#This Row],[MonthlyIncome]]&gt;16000,"Very High Income"
)</f>
        <v>Low Income</v>
      </c>
      <c r="Y990">
        <v>13953</v>
      </c>
      <c r="Z990">
        <v>3</v>
      </c>
      <c r="AA990" t="s">
        <v>42</v>
      </c>
      <c r="AB990" t="s">
        <v>35</v>
      </c>
      <c r="AC990">
        <v>14</v>
      </c>
      <c r="AD990" t="str" cm="1">
        <f t="array" ref="AD990">_xlfn.IFS(HRData[[#This Row],[PercentSalaryHike]]&lt;=15,"11-15",HRData[[#This Row],[PercentSalaryHike]]&lt;=20,"16-20",HRData[[#This Row],[PercentSalaryHike]]&gt;=21,"21+")</f>
        <v>11-15</v>
      </c>
      <c r="AE990">
        <v>3</v>
      </c>
      <c r="AF990">
        <v>1</v>
      </c>
      <c r="AG990">
        <v>80</v>
      </c>
      <c r="AH990">
        <v>2</v>
      </c>
      <c r="AI990">
        <v>12</v>
      </c>
      <c r="AJ990">
        <v>4</v>
      </c>
      <c r="AK990">
        <v>2</v>
      </c>
      <c r="AL990">
        <v>6</v>
      </c>
      <c r="AM990">
        <v>2</v>
      </c>
      <c r="AN990">
        <v>3</v>
      </c>
      <c r="AO990">
        <v>3</v>
      </c>
      <c r="AP99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90" t="str">
        <f>IF(HRData[[#This Row],[Attrition]]="Yes","Left", IF(HRData[[#This Row],[Attrition_Risk_Score]]&gt;=6,"High",IF(HRData[[#This Row],[Attrition_Risk_Score]]&gt;=3,"Medium","Low")))</f>
        <v>Medium</v>
      </c>
      <c r="AR990" t="str">
        <f>IF(HRData[[#This Row],[Attrition_Risk_Level]]&lt;&gt;"High","",HRData[[#This Row],[Attrition_Risk_Score]]*10000-HRData[[#This Row],[EmployeeNumber]])</f>
        <v/>
      </c>
    </row>
    <row r="991" spans="1:44">
      <c r="A991">
        <v>37</v>
      </c>
      <c r="B991" t="str" cm="1">
        <f t="array" ref="B991">_xlfn.IFS(
HRData[[#This Row],[Age]]&lt;=24,"18-24",
HRData[[#This Row],[Age]]&lt;=34,"25-34",
HRData[[#This Row],[Age]]&lt;=44,"35-44",
HRData[[#This Row],[Age]]&lt;=54,"45-54",
HRData[[#This Row],[Age]]&gt;=55,"55+"
)</f>
        <v>35-44</v>
      </c>
      <c r="C991" t="s">
        <v>43</v>
      </c>
      <c r="D991">
        <f>IF(HRData[[#This Row],[Attrition]]="Yes",1,0)</f>
        <v>0</v>
      </c>
      <c r="E991" t="s">
        <v>36</v>
      </c>
      <c r="F991">
        <v>1439</v>
      </c>
      <c r="G991" t="s">
        <v>45</v>
      </c>
      <c r="H991">
        <v>4</v>
      </c>
      <c r="I991">
        <v>1</v>
      </c>
      <c r="J991" t="s">
        <v>38</v>
      </c>
      <c r="K991">
        <v>1</v>
      </c>
      <c r="L991">
        <v>1394</v>
      </c>
      <c r="M991">
        <v>3</v>
      </c>
      <c r="N991" t="str" cm="1">
        <f t="array" ref="N991">_xlfn.IFS(HRData[[#This Row],[EnvironmentSatisfaction]]=1,"Very Dissatisfied",
HRData[[#This Row],[EnvironmentSatisfaction]]=2,"Dissatisfied",
HRData[[#This Row],[EnvironmentSatisfaction]]=3,"Satisfied",
HRData[[#This Row],[EnvironmentSatisfaction]]=4,"Very Satisfied"
)</f>
        <v>Satisfied</v>
      </c>
      <c r="O991" t="s">
        <v>46</v>
      </c>
      <c r="P991">
        <v>54</v>
      </c>
      <c r="Q991">
        <v>3</v>
      </c>
      <c r="R991">
        <v>1</v>
      </c>
      <c r="S991" t="s">
        <v>47</v>
      </c>
      <c r="T991">
        <v>3</v>
      </c>
      <c r="U991" t="str" cm="1">
        <f t="array" ref="U991">_xlfn.IFS(
HRData[[#This Row],[JobSatisfaction]]=1,"Very Dissatisfied",
HRData[[#This Row],[JobSatisfaction]]=2,"Dissatisfied",
HRData[[#This Row],[JobSatisfaction]]=3,"Satisfied",
HRData[[#This Row],[JobSatisfaction]]=4,"Very Satisfied"
)</f>
        <v>Satisfied</v>
      </c>
      <c r="V991" t="s">
        <v>48</v>
      </c>
      <c r="W991">
        <v>2996</v>
      </c>
      <c r="X991" t="str" cm="1">
        <f t="array" ref="X991">_xlfn.IFS(
HRData[[#This Row],[MonthlyIncome]]&lt;=4000,"Very Low Income",
HRData[[#This Row],[MonthlyIncome]]&lt;=8000,"Low Income",
HRData[[#This Row],[MonthlyIncome]]&lt;=12000,"Moderate Income",
HRData[[#This Row],[MonthlyIncome]]&lt;=16000,"High Income",
HRData[[#This Row],[MonthlyIncome]]&gt;16000,"Very High Income"
)</f>
        <v>Very Low Income</v>
      </c>
      <c r="Y991">
        <v>5182</v>
      </c>
      <c r="Z991">
        <v>7</v>
      </c>
      <c r="AA991" t="s">
        <v>42</v>
      </c>
      <c r="AB991" t="s">
        <v>35</v>
      </c>
      <c r="AC991">
        <v>15</v>
      </c>
      <c r="AD991" t="str" cm="1">
        <f t="array" ref="AD991">_xlfn.IFS(HRData[[#This Row],[PercentSalaryHike]]&lt;=15,"11-15",HRData[[#This Row],[PercentSalaryHike]]&lt;=20,"16-20",HRData[[#This Row],[PercentSalaryHike]]&gt;=21,"21+")</f>
        <v>11-15</v>
      </c>
      <c r="AE991">
        <v>3</v>
      </c>
      <c r="AF991">
        <v>4</v>
      </c>
      <c r="AG991">
        <v>80</v>
      </c>
      <c r="AH991">
        <v>0</v>
      </c>
      <c r="AI991">
        <v>8</v>
      </c>
      <c r="AJ991">
        <v>2</v>
      </c>
      <c r="AK991">
        <v>3</v>
      </c>
      <c r="AL991">
        <v>6</v>
      </c>
      <c r="AM991">
        <v>4</v>
      </c>
      <c r="AN991">
        <v>1</v>
      </c>
      <c r="AO991">
        <v>3</v>
      </c>
      <c r="AP99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991" t="str">
        <f>IF(HRData[[#This Row],[Attrition]]="Yes","Left", IF(HRData[[#This Row],[Attrition_Risk_Score]]&gt;=6,"High",IF(HRData[[#This Row],[Attrition_Risk_Score]]&gt;=3,"Medium","Low")))</f>
        <v>Medium</v>
      </c>
      <c r="AR991" t="str">
        <f>IF(HRData[[#This Row],[Attrition_Risk_Level]]&lt;&gt;"High","",HRData[[#This Row],[Attrition_Risk_Score]]*10000-HRData[[#This Row],[EmployeeNumber]])</f>
        <v/>
      </c>
    </row>
    <row r="992" spans="1:44">
      <c r="A992">
        <v>33</v>
      </c>
      <c r="B992" t="str" cm="1">
        <f t="array" ref="B992">_xlfn.IFS(
HRData[[#This Row],[Age]]&lt;=24,"18-24",
HRData[[#This Row],[Age]]&lt;=34,"25-34",
HRData[[#This Row],[Age]]&lt;=44,"35-44",
HRData[[#This Row],[Age]]&lt;=54,"45-54",
HRData[[#This Row],[Age]]&gt;=55,"55+"
)</f>
        <v>25-34</v>
      </c>
      <c r="C992" t="s">
        <v>43</v>
      </c>
      <c r="D992">
        <f>IF(HRData[[#This Row],[Attrition]]="Yes",1,0)</f>
        <v>0</v>
      </c>
      <c r="E992" t="s">
        <v>44</v>
      </c>
      <c r="F992">
        <v>1111</v>
      </c>
      <c r="G992" t="s">
        <v>37</v>
      </c>
      <c r="H992">
        <v>5</v>
      </c>
      <c r="I992">
        <v>1</v>
      </c>
      <c r="J992" t="s">
        <v>38</v>
      </c>
      <c r="K992">
        <v>1</v>
      </c>
      <c r="L992">
        <v>1395</v>
      </c>
      <c r="M992">
        <v>2</v>
      </c>
      <c r="N992" t="str" cm="1">
        <f t="array" ref="N992">_xlfn.IFS(HRData[[#This Row],[EnvironmentSatisfaction]]=1,"Very Dissatisfied",
HRData[[#This Row],[EnvironmentSatisfaction]]=2,"Dissatisfied",
HRData[[#This Row],[EnvironmentSatisfaction]]=3,"Satisfied",
HRData[[#This Row],[EnvironmentSatisfaction]]=4,"Very Satisfied"
)</f>
        <v>Dissatisfied</v>
      </c>
      <c r="O992" t="s">
        <v>46</v>
      </c>
      <c r="P992">
        <v>61</v>
      </c>
      <c r="Q992">
        <v>3</v>
      </c>
      <c r="R992">
        <v>2</v>
      </c>
      <c r="S992" t="s">
        <v>40</v>
      </c>
      <c r="T992">
        <v>4</v>
      </c>
      <c r="U992" t="str" cm="1">
        <f t="array" ref="U992">_xlfn.IFS(
HRData[[#This Row],[JobSatisfaction]]=1,"Very Dissatisfied",
HRData[[#This Row],[JobSatisfaction]]=2,"Dissatisfied",
HRData[[#This Row],[JobSatisfaction]]=3,"Satisfied",
HRData[[#This Row],[JobSatisfaction]]=4,"Very Satisfied"
)</f>
        <v>Very Satisfied</v>
      </c>
      <c r="V992" t="s">
        <v>48</v>
      </c>
      <c r="W992">
        <v>9998</v>
      </c>
      <c r="X992" t="str" cm="1">
        <f t="array" ref="X992">_xlfn.IFS(
HRData[[#This Row],[MonthlyIncome]]&lt;=4000,"Very Low Income",
HRData[[#This Row],[MonthlyIncome]]&lt;=8000,"Low Income",
HRData[[#This Row],[MonthlyIncome]]&lt;=12000,"Moderate Income",
HRData[[#This Row],[MonthlyIncome]]&lt;=16000,"High Income",
HRData[[#This Row],[MonthlyIncome]]&gt;16000,"Very High Income"
)</f>
        <v>Moderate Income</v>
      </c>
      <c r="Y992">
        <v>19293</v>
      </c>
      <c r="Z992">
        <v>6</v>
      </c>
      <c r="AA992" t="s">
        <v>42</v>
      </c>
      <c r="AB992" t="s">
        <v>43</v>
      </c>
      <c r="AC992">
        <v>13</v>
      </c>
      <c r="AD992" t="str" cm="1">
        <f t="array" ref="AD992">_xlfn.IFS(HRData[[#This Row],[PercentSalaryHike]]&lt;=15,"11-15",HRData[[#This Row],[PercentSalaryHike]]&lt;=20,"16-20",HRData[[#This Row],[PercentSalaryHike]]&gt;=21,"21+")</f>
        <v>11-15</v>
      </c>
      <c r="AE992">
        <v>3</v>
      </c>
      <c r="AF992">
        <v>1</v>
      </c>
      <c r="AG992">
        <v>80</v>
      </c>
      <c r="AH992">
        <v>0</v>
      </c>
      <c r="AI992">
        <v>8</v>
      </c>
      <c r="AJ992">
        <v>2</v>
      </c>
      <c r="AK992">
        <v>4</v>
      </c>
      <c r="AL992">
        <v>5</v>
      </c>
      <c r="AM992">
        <v>4</v>
      </c>
      <c r="AN992">
        <v>1</v>
      </c>
      <c r="AO992">
        <v>2</v>
      </c>
      <c r="AP99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992" t="str">
        <f>IF(HRData[[#This Row],[Attrition]]="Yes","Left", IF(HRData[[#This Row],[Attrition_Risk_Score]]&gt;=6,"High",IF(HRData[[#This Row],[Attrition_Risk_Score]]&gt;=3,"Medium","Low")))</f>
        <v>Low</v>
      </c>
      <c r="AR992" t="str">
        <f>IF(HRData[[#This Row],[Attrition_Risk_Level]]&lt;&gt;"High","",HRData[[#This Row],[Attrition_Risk_Score]]*10000-HRData[[#This Row],[EmployeeNumber]])</f>
        <v/>
      </c>
    </row>
    <row r="993" spans="1:44">
      <c r="A993">
        <v>32</v>
      </c>
      <c r="B993" t="str" cm="1">
        <f t="array" ref="B993">_xlfn.IFS(
HRData[[#This Row],[Age]]&lt;=24,"18-24",
HRData[[#This Row],[Age]]&lt;=34,"25-34",
HRData[[#This Row],[Age]]&lt;=44,"35-44",
HRData[[#This Row],[Age]]&lt;=54,"45-54",
HRData[[#This Row],[Age]]&gt;=55,"55+"
)</f>
        <v>25-34</v>
      </c>
      <c r="C993" t="s">
        <v>43</v>
      </c>
      <c r="D993">
        <f>IF(HRData[[#This Row],[Attrition]]="Yes",1,0)</f>
        <v>0</v>
      </c>
      <c r="E993" t="s">
        <v>36</v>
      </c>
      <c r="F993">
        <v>499</v>
      </c>
      <c r="G993" t="s">
        <v>37</v>
      </c>
      <c r="H993">
        <v>2</v>
      </c>
      <c r="I993">
        <v>1</v>
      </c>
      <c r="J993" t="s">
        <v>59</v>
      </c>
      <c r="K993">
        <v>1</v>
      </c>
      <c r="L993">
        <v>1396</v>
      </c>
      <c r="M993">
        <v>3</v>
      </c>
      <c r="N993" t="str" cm="1">
        <f t="array" ref="N993">_xlfn.IFS(HRData[[#This Row],[EnvironmentSatisfaction]]=1,"Very Dissatisfied",
HRData[[#This Row],[EnvironmentSatisfaction]]=2,"Dissatisfied",
HRData[[#This Row],[EnvironmentSatisfaction]]=3,"Satisfied",
HRData[[#This Row],[EnvironmentSatisfaction]]=4,"Very Satisfied"
)</f>
        <v>Satisfied</v>
      </c>
      <c r="O993" t="s">
        <v>46</v>
      </c>
      <c r="P993">
        <v>36</v>
      </c>
      <c r="Q993">
        <v>3</v>
      </c>
      <c r="R993">
        <v>2</v>
      </c>
      <c r="S993" t="s">
        <v>40</v>
      </c>
      <c r="T993">
        <v>2</v>
      </c>
      <c r="U993" t="str" cm="1">
        <f t="array" ref="U993">_xlfn.IFS(
HRData[[#This Row],[JobSatisfaction]]=1,"Very Dissatisfied",
HRData[[#This Row],[JobSatisfaction]]=2,"Dissatisfied",
HRData[[#This Row],[JobSatisfaction]]=3,"Satisfied",
HRData[[#This Row],[JobSatisfaction]]=4,"Very Satisfied"
)</f>
        <v>Dissatisfied</v>
      </c>
      <c r="V993" t="s">
        <v>48</v>
      </c>
      <c r="W993">
        <v>4078</v>
      </c>
      <c r="X993" t="str" cm="1">
        <f t="array" ref="X993">_xlfn.IFS(
HRData[[#This Row],[MonthlyIncome]]&lt;=4000,"Very Low Income",
HRData[[#This Row],[MonthlyIncome]]&lt;=8000,"Low Income",
HRData[[#This Row],[MonthlyIncome]]&lt;=12000,"Moderate Income",
HRData[[#This Row],[MonthlyIncome]]&lt;=16000,"High Income",
HRData[[#This Row],[MonthlyIncome]]&gt;16000,"Very High Income"
)</f>
        <v>Low Income</v>
      </c>
      <c r="Y993">
        <v>20497</v>
      </c>
      <c r="Z993">
        <v>0</v>
      </c>
      <c r="AA993" t="s">
        <v>42</v>
      </c>
      <c r="AB993" t="s">
        <v>35</v>
      </c>
      <c r="AC993">
        <v>13</v>
      </c>
      <c r="AD993" t="str" cm="1">
        <f t="array" ref="AD993">_xlfn.IFS(HRData[[#This Row],[PercentSalaryHike]]&lt;=15,"11-15",HRData[[#This Row],[PercentSalaryHike]]&lt;=20,"16-20",HRData[[#This Row],[PercentSalaryHike]]&gt;=21,"21+")</f>
        <v>11-15</v>
      </c>
      <c r="AE993">
        <v>3</v>
      </c>
      <c r="AF993">
        <v>1</v>
      </c>
      <c r="AG993">
        <v>80</v>
      </c>
      <c r="AH993">
        <v>3</v>
      </c>
      <c r="AI993">
        <v>4</v>
      </c>
      <c r="AJ993">
        <v>3</v>
      </c>
      <c r="AK993">
        <v>2</v>
      </c>
      <c r="AL993">
        <v>3</v>
      </c>
      <c r="AM993">
        <v>2</v>
      </c>
      <c r="AN993">
        <v>1</v>
      </c>
      <c r="AO993">
        <v>2</v>
      </c>
      <c r="AP99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993" t="str">
        <f>IF(HRData[[#This Row],[Attrition]]="Yes","Left", IF(HRData[[#This Row],[Attrition_Risk_Score]]&gt;=6,"High",IF(HRData[[#This Row],[Attrition_Risk_Score]]&gt;=3,"Medium","Low")))</f>
        <v>Medium</v>
      </c>
      <c r="AR993" t="str">
        <f>IF(HRData[[#This Row],[Attrition_Risk_Level]]&lt;&gt;"High","",HRData[[#This Row],[Attrition_Risk_Score]]*10000-HRData[[#This Row],[EmployeeNumber]])</f>
        <v/>
      </c>
    </row>
    <row r="994" spans="1:44">
      <c r="A994">
        <v>39</v>
      </c>
      <c r="B994" t="str" cm="1">
        <f t="array" ref="B994">_xlfn.IFS(
HRData[[#This Row],[Age]]&lt;=24,"18-24",
HRData[[#This Row],[Age]]&lt;=34,"25-34",
HRData[[#This Row],[Age]]&lt;=44,"35-44",
HRData[[#This Row],[Age]]&lt;=54,"45-54",
HRData[[#This Row],[Age]]&gt;=55,"55+"
)</f>
        <v>35-44</v>
      </c>
      <c r="C994" t="s">
        <v>43</v>
      </c>
      <c r="D994">
        <f>IF(HRData[[#This Row],[Attrition]]="Yes",1,0)</f>
        <v>0</v>
      </c>
      <c r="E994" t="s">
        <v>55</v>
      </c>
      <c r="F994">
        <v>1485</v>
      </c>
      <c r="G994" t="s">
        <v>45</v>
      </c>
      <c r="H994">
        <v>25</v>
      </c>
      <c r="I994">
        <v>2</v>
      </c>
      <c r="J994" t="s">
        <v>38</v>
      </c>
      <c r="K994">
        <v>1</v>
      </c>
      <c r="L994">
        <v>1397</v>
      </c>
      <c r="M994">
        <v>3</v>
      </c>
      <c r="N994" t="str" cm="1">
        <f t="array" ref="N994">_xlfn.IFS(HRData[[#This Row],[EnvironmentSatisfaction]]=1,"Very Dissatisfied",
HRData[[#This Row],[EnvironmentSatisfaction]]=2,"Dissatisfied",
HRData[[#This Row],[EnvironmentSatisfaction]]=3,"Satisfied",
HRData[[#This Row],[EnvironmentSatisfaction]]=4,"Very Satisfied"
)</f>
        <v>Satisfied</v>
      </c>
      <c r="O994" t="s">
        <v>46</v>
      </c>
      <c r="P994">
        <v>71</v>
      </c>
      <c r="Q994">
        <v>3</v>
      </c>
      <c r="R994">
        <v>3</v>
      </c>
      <c r="S994" t="s">
        <v>54</v>
      </c>
      <c r="T994">
        <v>3</v>
      </c>
      <c r="U994" t="str" cm="1">
        <f t="array" ref="U994">_xlfn.IFS(
HRData[[#This Row],[JobSatisfaction]]=1,"Very Dissatisfied",
HRData[[#This Row],[JobSatisfaction]]=2,"Dissatisfied",
HRData[[#This Row],[JobSatisfaction]]=3,"Satisfied",
HRData[[#This Row],[JobSatisfaction]]=4,"Very Satisfied"
)</f>
        <v>Satisfied</v>
      </c>
      <c r="V994" t="s">
        <v>48</v>
      </c>
      <c r="W994">
        <v>10920</v>
      </c>
      <c r="X994" t="str" cm="1">
        <f t="array" ref="X994">_xlfn.IFS(
HRData[[#This Row],[MonthlyIncome]]&lt;=4000,"Very Low Income",
HRData[[#This Row],[MonthlyIncome]]&lt;=8000,"Low Income",
HRData[[#This Row],[MonthlyIncome]]&lt;=12000,"Moderate Income",
HRData[[#This Row],[MonthlyIncome]]&lt;=16000,"High Income",
HRData[[#This Row],[MonthlyIncome]]&gt;16000,"Very High Income"
)</f>
        <v>Moderate Income</v>
      </c>
      <c r="Y994">
        <v>3449</v>
      </c>
      <c r="Z994">
        <v>3</v>
      </c>
      <c r="AA994" t="s">
        <v>42</v>
      </c>
      <c r="AB994" t="s">
        <v>43</v>
      </c>
      <c r="AC994">
        <v>21</v>
      </c>
      <c r="AD994" t="str" cm="1">
        <f t="array" ref="AD994">_xlfn.IFS(HRData[[#This Row],[PercentSalaryHike]]&lt;=15,"11-15",HRData[[#This Row],[PercentSalaryHike]]&lt;=20,"16-20",HRData[[#This Row],[PercentSalaryHike]]&gt;=21,"21+")</f>
        <v>21+</v>
      </c>
      <c r="AE994">
        <v>4</v>
      </c>
      <c r="AF994">
        <v>2</v>
      </c>
      <c r="AG994">
        <v>80</v>
      </c>
      <c r="AH994">
        <v>1</v>
      </c>
      <c r="AI994">
        <v>13</v>
      </c>
      <c r="AJ994">
        <v>2</v>
      </c>
      <c r="AK994">
        <v>3</v>
      </c>
      <c r="AL994">
        <v>6</v>
      </c>
      <c r="AM994">
        <v>4</v>
      </c>
      <c r="AN994">
        <v>0</v>
      </c>
      <c r="AO994">
        <v>5</v>
      </c>
      <c r="AP99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994" t="str">
        <f>IF(HRData[[#This Row],[Attrition]]="Yes","Left", IF(HRData[[#This Row],[Attrition_Risk_Score]]&gt;=6,"High",IF(HRData[[#This Row],[Attrition_Risk_Score]]&gt;=3,"Medium","Low")))</f>
        <v>Low</v>
      </c>
      <c r="AR994" t="str">
        <f>IF(HRData[[#This Row],[Attrition_Risk_Level]]&lt;&gt;"High","",HRData[[#This Row],[Attrition_Risk_Score]]*10000-HRData[[#This Row],[EmployeeNumber]])</f>
        <v/>
      </c>
    </row>
    <row r="995" spans="1:44">
      <c r="A995">
        <v>25</v>
      </c>
      <c r="B995" t="str" cm="1">
        <f t="array" ref="B995">_xlfn.IFS(
HRData[[#This Row],[Age]]&lt;=24,"18-24",
HRData[[#This Row],[Age]]&lt;=34,"25-34",
HRData[[#This Row],[Age]]&lt;=44,"35-44",
HRData[[#This Row],[Age]]&lt;=54,"45-54",
HRData[[#This Row],[Age]]&gt;=55,"55+"
)</f>
        <v>25-34</v>
      </c>
      <c r="C995" t="s">
        <v>43</v>
      </c>
      <c r="D995">
        <f>IF(HRData[[#This Row],[Attrition]]="Yes",1,0)</f>
        <v>0</v>
      </c>
      <c r="E995" t="s">
        <v>36</v>
      </c>
      <c r="F995">
        <v>1372</v>
      </c>
      <c r="G995" t="s">
        <v>37</v>
      </c>
      <c r="H995">
        <v>18</v>
      </c>
      <c r="I995">
        <v>1</v>
      </c>
      <c r="J995" t="s">
        <v>38</v>
      </c>
      <c r="K995">
        <v>1</v>
      </c>
      <c r="L995">
        <v>1399</v>
      </c>
      <c r="M995">
        <v>1</v>
      </c>
      <c r="N995" t="str" cm="1">
        <f t="array" ref="N995">_xlfn.IFS(HRData[[#This Row],[EnvironmentSatisfaction]]=1,"Very Dissatisfied",
HRData[[#This Row],[EnvironmentSatisfaction]]=2,"Dissatisfied",
HRData[[#This Row],[EnvironmentSatisfaction]]=3,"Satisfied",
HRData[[#This Row],[EnvironmentSatisfaction]]=4,"Very Satisfied"
)</f>
        <v>Very Dissatisfied</v>
      </c>
      <c r="O995" t="s">
        <v>46</v>
      </c>
      <c r="P995">
        <v>93</v>
      </c>
      <c r="Q995">
        <v>4</v>
      </c>
      <c r="R995">
        <v>2</v>
      </c>
      <c r="S995" t="s">
        <v>40</v>
      </c>
      <c r="T995">
        <v>3</v>
      </c>
      <c r="U995" t="str" cm="1">
        <f t="array" ref="U995">_xlfn.IFS(
HRData[[#This Row],[JobSatisfaction]]=1,"Very Dissatisfied",
HRData[[#This Row],[JobSatisfaction]]=2,"Dissatisfied",
HRData[[#This Row],[JobSatisfaction]]=3,"Satisfied",
HRData[[#This Row],[JobSatisfaction]]=4,"Very Satisfied"
)</f>
        <v>Satisfied</v>
      </c>
      <c r="V995" t="s">
        <v>48</v>
      </c>
      <c r="W995">
        <v>6232</v>
      </c>
      <c r="X995" t="str" cm="1">
        <f t="array" ref="X995">_xlfn.IFS(
HRData[[#This Row],[MonthlyIncome]]&lt;=4000,"Very Low Income",
HRData[[#This Row],[MonthlyIncome]]&lt;=8000,"Low Income",
HRData[[#This Row],[MonthlyIncome]]&lt;=12000,"Moderate Income",
HRData[[#This Row],[MonthlyIncome]]&lt;=16000,"High Income",
HRData[[#This Row],[MonthlyIncome]]&gt;16000,"Very High Income"
)</f>
        <v>Low Income</v>
      </c>
      <c r="Y995">
        <v>12477</v>
      </c>
      <c r="Z995">
        <v>2</v>
      </c>
      <c r="AA995" t="s">
        <v>42</v>
      </c>
      <c r="AB995" t="s">
        <v>43</v>
      </c>
      <c r="AC995">
        <v>11</v>
      </c>
      <c r="AD995" t="str" cm="1">
        <f t="array" ref="AD995">_xlfn.IFS(HRData[[#This Row],[PercentSalaryHike]]&lt;=15,"11-15",HRData[[#This Row],[PercentSalaryHike]]&lt;=20,"16-20",HRData[[#This Row],[PercentSalaryHike]]&gt;=21,"21+")</f>
        <v>11-15</v>
      </c>
      <c r="AE995">
        <v>3</v>
      </c>
      <c r="AF995">
        <v>2</v>
      </c>
      <c r="AG995">
        <v>80</v>
      </c>
      <c r="AH995">
        <v>0</v>
      </c>
      <c r="AI995">
        <v>6</v>
      </c>
      <c r="AJ995">
        <v>3</v>
      </c>
      <c r="AK995">
        <v>2</v>
      </c>
      <c r="AL995">
        <v>3</v>
      </c>
      <c r="AM995">
        <v>2</v>
      </c>
      <c r="AN995">
        <v>1</v>
      </c>
      <c r="AO995">
        <v>2</v>
      </c>
      <c r="AP99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95" t="str">
        <f>IF(HRData[[#This Row],[Attrition]]="Yes","Left", IF(HRData[[#This Row],[Attrition_Risk_Score]]&gt;=6,"High",IF(HRData[[#This Row],[Attrition_Risk_Score]]&gt;=3,"Medium","Low")))</f>
        <v>Low</v>
      </c>
      <c r="AR995" t="str">
        <f>IF(HRData[[#This Row],[Attrition_Risk_Level]]&lt;&gt;"High","",HRData[[#This Row],[Attrition_Risk_Score]]*10000-HRData[[#This Row],[EmployeeNumber]])</f>
        <v/>
      </c>
    </row>
    <row r="996" spans="1:44">
      <c r="A996">
        <v>52</v>
      </c>
      <c r="B996" t="str" cm="1">
        <f t="array" ref="B996">_xlfn.IFS(
HRData[[#This Row],[Age]]&lt;=24,"18-24",
HRData[[#This Row],[Age]]&lt;=34,"25-34",
HRData[[#This Row],[Age]]&lt;=44,"35-44",
HRData[[#This Row],[Age]]&lt;=54,"45-54",
HRData[[#This Row],[Age]]&gt;=55,"55+"
)</f>
        <v>45-54</v>
      </c>
      <c r="C996" t="s">
        <v>43</v>
      </c>
      <c r="D996">
        <f>IF(HRData[[#This Row],[Attrition]]="Yes",1,0)</f>
        <v>0</v>
      </c>
      <c r="E996" t="s">
        <v>44</v>
      </c>
      <c r="F996">
        <v>322</v>
      </c>
      <c r="G996" t="s">
        <v>45</v>
      </c>
      <c r="H996">
        <v>28</v>
      </c>
      <c r="I996">
        <v>2</v>
      </c>
      <c r="J996" t="s">
        <v>51</v>
      </c>
      <c r="K996">
        <v>1</v>
      </c>
      <c r="L996">
        <v>1401</v>
      </c>
      <c r="M996">
        <v>4</v>
      </c>
      <c r="N996" t="str" cm="1">
        <f t="array" ref="N996">_xlfn.IFS(HRData[[#This Row],[EnvironmentSatisfaction]]=1,"Very Dissatisfied",
HRData[[#This Row],[EnvironmentSatisfaction]]=2,"Dissatisfied",
HRData[[#This Row],[EnvironmentSatisfaction]]=3,"Satisfied",
HRData[[#This Row],[EnvironmentSatisfaction]]=4,"Very Satisfied"
)</f>
        <v>Very Satisfied</v>
      </c>
      <c r="O996" t="s">
        <v>39</v>
      </c>
      <c r="P996">
        <v>59</v>
      </c>
      <c r="Q996">
        <v>4</v>
      </c>
      <c r="R996">
        <v>4</v>
      </c>
      <c r="S996" t="s">
        <v>53</v>
      </c>
      <c r="T996">
        <v>3</v>
      </c>
      <c r="U996" t="str" cm="1">
        <f t="array" ref="U996">_xlfn.IFS(
HRData[[#This Row],[JobSatisfaction]]=1,"Very Dissatisfied",
HRData[[#This Row],[JobSatisfaction]]=2,"Dissatisfied",
HRData[[#This Row],[JobSatisfaction]]=3,"Satisfied",
HRData[[#This Row],[JobSatisfaction]]=4,"Very Satisfied"
)</f>
        <v>Satisfied</v>
      </c>
      <c r="V996" t="s">
        <v>48</v>
      </c>
      <c r="W996">
        <v>13247</v>
      </c>
      <c r="X996" t="str" cm="1">
        <f t="array" ref="X996">_xlfn.IFS(
HRData[[#This Row],[MonthlyIncome]]&lt;=4000,"Very Low Income",
HRData[[#This Row],[MonthlyIncome]]&lt;=8000,"Low Income",
HRData[[#This Row],[MonthlyIncome]]&lt;=12000,"Moderate Income",
HRData[[#This Row],[MonthlyIncome]]&lt;=16000,"High Income",
HRData[[#This Row],[MonthlyIncome]]&gt;16000,"Very High Income"
)</f>
        <v>High Income</v>
      </c>
      <c r="Y996">
        <v>9731</v>
      </c>
      <c r="Z996">
        <v>2</v>
      </c>
      <c r="AA996" t="s">
        <v>42</v>
      </c>
      <c r="AB996" t="s">
        <v>35</v>
      </c>
      <c r="AC996">
        <v>11</v>
      </c>
      <c r="AD996" t="str" cm="1">
        <f t="array" ref="AD996">_xlfn.IFS(HRData[[#This Row],[PercentSalaryHike]]&lt;=15,"11-15",HRData[[#This Row],[PercentSalaryHike]]&lt;=20,"16-20",HRData[[#This Row],[PercentSalaryHike]]&gt;=21,"21+")</f>
        <v>11-15</v>
      </c>
      <c r="AE996">
        <v>3</v>
      </c>
      <c r="AF996">
        <v>2</v>
      </c>
      <c r="AG996">
        <v>80</v>
      </c>
      <c r="AH996">
        <v>1</v>
      </c>
      <c r="AI996">
        <v>24</v>
      </c>
      <c r="AJ996">
        <v>3</v>
      </c>
      <c r="AK996">
        <v>2</v>
      </c>
      <c r="AL996">
        <v>5</v>
      </c>
      <c r="AM996">
        <v>3</v>
      </c>
      <c r="AN996">
        <v>0</v>
      </c>
      <c r="AO996">
        <v>2</v>
      </c>
      <c r="AP99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96" t="str">
        <f>IF(HRData[[#This Row],[Attrition]]="Yes","Left", IF(HRData[[#This Row],[Attrition_Risk_Score]]&gt;=6,"High",IF(HRData[[#This Row],[Attrition_Risk_Score]]&gt;=3,"Medium","Low")))</f>
        <v>Low</v>
      </c>
      <c r="AR996" t="str">
        <f>IF(HRData[[#This Row],[Attrition_Risk_Level]]&lt;&gt;"High","",HRData[[#This Row],[Attrition_Risk_Score]]*10000-HRData[[#This Row],[EmployeeNumber]])</f>
        <v/>
      </c>
    </row>
    <row r="997" spans="1:44">
      <c r="A997">
        <v>43</v>
      </c>
      <c r="B997" t="str" cm="1">
        <f t="array" ref="B997">_xlfn.IFS(
HRData[[#This Row],[Age]]&lt;=24,"18-24",
HRData[[#This Row],[Age]]&lt;=34,"25-34",
HRData[[#This Row],[Age]]&lt;=44,"35-44",
HRData[[#This Row],[Age]]&lt;=54,"45-54",
HRData[[#This Row],[Age]]&gt;=55,"55+"
)</f>
        <v>35-44</v>
      </c>
      <c r="C997" t="s">
        <v>43</v>
      </c>
      <c r="D997">
        <f>IF(HRData[[#This Row],[Attrition]]="Yes",1,0)</f>
        <v>0</v>
      </c>
      <c r="E997" t="s">
        <v>36</v>
      </c>
      <c r="F997">
        <v>930</v>
      </c>
      <c r="G997" t="s">
        <v>45</v>
      </c>
      <c r="H997">
        <v>6</v>
      </c>
      <c r="I997">
        <v>3</v>
      </c>
      <c r="J997" t="s">
        <v>51</v>
      </c>
      <c r="K997">
        <v>1</v>
      </c>
      <c r="L997">
        <v>1402</v>
      </c>
      <c r="M997">
        <v>1</v>
      </c>
      <c r="N997" t="str" cm="1">
        <f t="array" ref="N997">_xlfn.IFS(HRData[[#This Row],[EnvironmentSatisfaction]]=1,"Very Dissatisfied",
HRData[[#This Row],[EnvironmentSatisfaction]]=2,"Dissatisfied",
HRData[[#This Row],[EnvironmentSatisfaction]]=3,"Satisfied",
HRData[[#This Row],[EnvironmentSatisfaction]]=4,"Very Satisfied"
)</f>
        <v>Very Dissatisfied</v>
      </c>
      <c r="O997" t="s">
        <v>39</v>
      </c>
      <c r="P997">
        <v>73</v>
      </c>
      <c r="Q997">
        <v>2</v>
      </c>
      <c r="R997">
        <v>2</v>
      </c>
      <c r="S997" t="s">
        <v>47</v>
      </c>
      <c r="T997">
        <v>3</v>
      </c>
      <c r="U997" t="str" cm="1">
        <f t="array" ref="U997">_xlfn.IFS(
HRData[[#This Row],[JobSatisfaction]]=1,"Very Dissatisfied",
HRData[[#This Row],[JobSatisfaction]]=2,"Dissatisfied",
HRData[[#This Row],[JobSatisfaction]]=3,"Satisfied",
HRData[[#This Row],[JobSatisfaction]]=4,"Very Satisfied"
)</f>
        <v>Satisfied</v>
      </c>
      <c r="V997" t="s">
        <v>41</v>
      </c>
      <c r="W997">
        <v>4081</v>
      </c>
      <c r="X997" t="str" cm="1">
        <f t="array" ref="X997">_xlfn.IFS(
HRData[[#This Row],[MonthlyIncome]]&lt;=4000,"Very Low Income",
HRData[[#This Row],[MonthlyIncome]]&lt;=8000,"Low Income",
HRData[[#This Row],[MonthlyIncome]]&lt;=12000,"Moderate Income",
HRData[[#This Row],[MonthlyIncome]]&lt;=16000,"High Income",
HRData[[#This Row],[MonthlyIncome]]&gt;16000,"Very High Income"
)</f>
        <v>Low Income</v>
      </c>
      <c r="Y997">
        <v>20003</v>
      </c>
      <c r="Z997">
        <v>1</v>
      </c>
      <c r="AA997" t="s">
        <v>42</v>
      </c>
      <c r="AB997" t="s">
        <v>35</v>
      </c>
      <c r="AC997">
        <v>14</v>
      </c>
      <c r="AD997" t="str" cm="1">
        <f t="array" ref="AD997">_xlfn.IFS(HRData[[#This Row],[PercentSalaryHike]]&lt;=15,"11-15",HRData[[#This Row],[PercentSalaryHike]]&lt;=20,"16-20",HRData[[#This Row],[PercentSalaryHike]]&gt;=21,"21+")</f>
        <v>11-15</v>
      </c>
      <c r="AE997">
        <v>3</v>
      </c>
      <c r="AF997">
        <v>1</v>
      </c>
      <c r="AG997">
        <v>80</v>
      </c>
      <c r="AH997">
        <v>0</v>
      </c>
      <c r="AI997">
        <v>20</v>
      </c>
      <c r="AJ997">
        <v>3</v>
      </c>
      <c r="AK997">
        <v>1</v>
      </c>
      <c r="AL997">
        <v>20</v>
      </c>
      <c r="AM997">
        <v>7</v>
      </c>
      <c r="AN997">
        <v>1</v>
      </c>
      <c r="AO997">
        <v>8</v>
      </c>
      <c r="AP99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97" t="str">
        <f>IF(HRData[[#This Row],[Attrition]]="Yes","Left", IF(HRData[[#This Row],[Attrition_Risk_Score]]&gt;=6,"High",IF(HRData[[#This Row],[Attrition_Risk_Score]]&gt;=3,"Medium","Low")))</f>
        <v>Medium</v>
      </c>
      <c r="AR997" t="str">
        <f>IF(HRData[[#This Row],[Attrition_Risk_Level]]&lt;&gt;"High","",HRData[[#This Row],[Attrition_Risk_Score]]*10000-HRData[[#This Row],[EmployeeNumber]])</f>
        <v/>
      </c>
    </row>
    <row r="998" spans="1:44">
      <c r="A998">
        <v>27</v>
      </c>
      <c r="B998" t="str" cm="1">
        <f t="array" ref="B998">_xlfn.IFS(
HRData[[#This Row],[Age]]&lt;=24,"18-24",
HRData[[#This Row],[Age]]&lt;=34,"25-34",
HRData[[#This Row],[Age]]&lt;=44,"35-44",
HRData[[#This Row],[Age]]&lt;=54,"45-54",
HRData[[#This Row],[Age]]&gt;=55,"55+"
)</f>
        <v>25-34</v>
      </c>
      <c r="C998" t="s">
        <v>43</v>
      </c>
      <c r="D998">
        <f>IF(HRData[[#This Row],[Attrition]]="Yes",1,0)</f>
        <v>0</v>
      </c>
      <c r="E998" t="s">
        <v>36</v>
      </c>
      <c r="F998">
        <v>205</v>
      </c>
      <c r="G998" t="s">
        <v>37</v>
      </c>
      <c r="H998">
        <v>10</v>
      </c>
      <c r="I998">
        <v>3</v>
      </c>
      <c r="J998" t="s">
        <v>59</v>
      </c>
      <c r="K998">
        <v>1</v>
      </c>
      <c r="L998">
        <v>1403</v>
      </c>
      <c r="M998">
        <v>4</v>
      </c>
      <c r="N998" t="str" cm="1">
        <f t="array" ref="N998">_xlfn.IFS(HRData[[#This Row],[EnvironmentSatisfaction]]=1,"Very Dissatisfied",
HRData[[#This Row],[EnvironmentSatisfaction]]=2,"Dissatisfied",
HRData[[#This Row],[EnvironmentSatisfaction]]=3,"Satisfied",
HRData[[#This Row],[EnvironmentSatisfaction]]=4,"Very Satisfied"
)</f>
        <v>Very Satisfied</v>
      </c>
      <c r="O998" t="s">
        <v>39</v>
      </c>
      <c r="P998">
        <v>98</v>
      </c>
      <c r="Q998">
        <v>2</v>
      </c>
      <c r="R998">
        <v>2</v>
      </c>
      <c r="S998" t="s">
        <v>40</v>
      </c>
      <c r="T998">
        <v>4</v>
      </c>
      <c r="U998" t="str" cm="1">
        <f t="array" ref="U998">_xlfn.IFS(
HRData[[#This Row],[JobSatisfaction]]=1,"Very Dissatisfied",
HRData[[#This Row],[JobSatisfaction]]=2,"Dissatisfied",
HRData[[#This Row],[JobSatisfaction]]=3,"Satisfied",
HRData[[#This Row],[JobSatisfaction]]=4,"Very Satisfied"
)</f>
        <v>Very Satisfied</v>
      </c>
      <c r="V998" t="s">
        <v>48</v>
      </c>
      <c r="W998">
        <v>5769</v>
      </c>
      <c r="X998" t="str" cm="1">
        <f t="array" ref="X998">_xlfn.IFS(
HRData[[#This Row],[MonthlyIncome]]&lt;=4000,"Very Low Income",
HRData[[#This Row],[MonthlyIncome]]&lt;=8000,"Low Income",
HRData[[#This Row],[MonthlyIncome]]&lt;=12000,"Moderate Income",
HRData[[#This Row],[MonthlyIncome]]&lt;=16000,"High Income",
HRData[[#This Row],[MonthlyIncome]]&gt;16000,"Very High Income"
)</f>
        <v>Low Income</v>
      </c>
      <c r="Y998">
        <v>7100</v>
      </c>
      <c r="Z998">
        <v>1</v>
      </c>
      <c r="AA998" t="s">
        <v>42</v>
      </c>
      <c r="AB998" t="s">
        <v>35</v>
      </c>
      <c r="AC998">
        <v>11</v>
      </c>
      <c r="AD998" t="str" cm="1">
        <f t="array" ref="AD998">_xlfn.IFS(HRData[[#This Row],[PercentSalaryHike]]&lt;=15,"11-15",HRData[[#This Row],[PercentSalaryHike]]&lt;=20,"16-20",HRData[[#This Row],[PercentSalaryHike]]&gt;=21,"21+")</f>
        <v>11-15</v>
      </c>
      <c r="AE998">
        <v>3</v>
      </c>
      <c r="AF998">
        <v>4</v>
      </c>
      <c r="AG998">
        <v>80</v>
      </c>
      <c r="AH998">
        <v>0</v>
      </c>
      <c r="AI998">
        <v>6</v>
      </c>
      <c r="AJ998">
        <v>3</v>
      </c>
      <c r="AK998">
        <v>3</v>
      </c>
      <c r="AL998">
        <v>6</v>
      </c>
      <c r="AM998">
        <v>2</v>
      </c>
      <c r="AN998">
        <v>4</v>
      </c>
      <c r="AO998">
        <v>4</v>
      </c>
      <c r="AP99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998" t="str">
        <f>IF(HRData[[#This Row],[Attrition]]="Yes","Left", IF(HRData[[#This Row],[Attrition_Risk_Score]]&gt;=6,"High",IF(HRData[[#This Row],[Attrition_Risk_Score]]&gt;=3,"Medium","Low")))</f>
        <v>Medium</v>
      </c>
      <c r="AR998" t="str">
        <f>IF(HRData[[#This Row],[Attrition_Risk_Level]]&lt;&gt;"High","",HRData[[#This Row],[Attrition_Risk_Score]]*10000-HRData[[#This Row],[EmployeeNumber]])</f>
        <v/>
      </c>
    </row>
    <row r="999" spans="1:44">
      <c r="A999">
        <v>27</v>
      </c>
      <c r="B999" t="str" cm="1">
        <f t="array" ref="B999">_xlfn.IFS(
HRData[[#This Row],[Age]]&lt;=24,"18-24",
HRData[[#This Row],[Age]]&lt;=34,"25-34",
HRData[[#This Row],[Age]]&lt;=44,"35-44",
HRData[[#This Row],[Age]]&lt;=54,"45-54",
HRData[[#This Row],[Age]]&gt;=55,"55+"
)</f>
        <v>25-34</v>
      </c>
      <c r="C999" t="s">
        <v>35</v>
      </c>
      <c r="D999">
        <f>IF(HRData[[#This Row],[Attrition]]="Yes",1,0)</f>
        <v>1</v>
      </c>
      <c r="E999" t="s">
        <v>36</v>
      </c>
      <c r="F999">
        <v>135</v>
      </c>
      <c r="G999" t="s">
        <v>45</v>
      </c>
      <c r="H999">
        <v>17</v>
      </c>
      <c r="I999">
        <v>4</v>
      </c>
      <c r="J999" t="s">
        <v>38</v>
      </c>
      <c r="K999">
        <v>1</v>
      </c>
      <c r="L999">
        <v>1405</v>
      </c>
      <c r="M999">
        <v>4</v>
      </c>
      <c r="N999" t="str" cm="1">
        <f t="array" ref="N999">_xlfn.IFS(HRData[[#This Row],[EnvironmentSatisfaction]]=1,"Very Dissatisfied",
HRData[[#This Row],[EnvironmentSatisfaction]]=2,"Dissatisfied",
HRData[[#This Row],[EnvironmentSatisfaction]]=3,"Satisfied",
HRData[[#This Row],[EnvironmentSatisfaction]]=4,"Very Satisfied"
)</f>
        <v>Very Satisfied</v>
      </c>
      <c r="O999" t="s">
        <v>39</v>
      </c>
      <c r="P999">
        <v>51</v>
      </c>
      <c r="Q999">
        <v>3</v>
      </c>
      <c r="R999">
        <v>1</v>
      </c>
      <c r="S999" t="s">
        <v>47</v>
      </c>
      <c r="T999">
        <v>3</v>
      </c>
      <c r="U999" t="str" cm="1">
        <f t="array" ref="U999">_xlfn.IFS(
HRData[[#This Row],[JobSatisfaction]]=1,"Very Dissatisfied",
HRData[[#This Row],[JobSatisfaction]]=2,"Dissatisfied",
HRData[[#This Row],[JobSatisfaction]]=3,"Satisfied",
HRData[[#This Row],[JobSatisfaction]]=4,"Very Satisfied"
)</f>
        <v>Satisfied</v>
      </c>
      <c r="V999" t="s">
        <v>41</v>
      </c>
      <c r="W999">
        <v>2394</v>
      </c>
      <c r="X999" t="str" cm="1">
        <f t="array" ref="X999">_xlfn.IFS(
HRData[[#This Row],[MonthlyIncome]]&lt;=4000,"Very Low Income",
HRData[[#This Row],[MonthlyIncome]]&lt;=8000,"Low Income",
HRData[[#This Row],[MonthlyIncome]]&lt;=12000,"Moderate Income",
HRData[[#This Row],[MonthlyIncome]]&lt;=16000,"High Income",
HRData[[#This Row],[MonthlyIncome]]&gt;16000,"Very High Income"
)</f>
        <v>Very Low Income</v>
      </c>
      <c r="Y999">
        <v>25681</v>
      </c>
      <c r="Z999">
        <v>1</v>
      </c>
      <c r="AA999" t="s">
        <v>42</v>
      </c>
      <c r="AB999" t="s">
        <v>35</v>
      </c>
      <c r="AC999">
        <v>13</v>
      </c>
      <c r="AD999" t="str" cm="1">
        <f t="array" ref="AD999">_xlfn.IFS(HRData[[#This Row],[PercentSalaryHike]]&lt;=15,"11-15",HRData[[#This Row],[PercentSalaryHike]]&lt;=20,"16-20",HRData[[#This Row],[PercentSalaryHike]]&gt;=21,"21+")</f>
        <v>11-15</v>
      </c>
      <c r="AE999">
        <v>3</v>
      </c>
      <c r="AF999">
        <v>4</v>
      </c>
      <c r="AG999">
        <v>80</v>
      </c>
      <c r="AH999">
        <v>0</v>
      </c>
      <c r="AI999">
        <v>8</v>
      </c>
      <c r="AJ999">
        <v>2</v>
      </c>
      <c r="AK999">
        <v>3</v>
      </c>
      <c r="AL999">
        <v>8</v>
      </c>
      <c r="AM999">
        <v>2</v>
      </c>
      <c r="AN999">
        <v>7</v>
      </c>
      <c r="AO999">
        <v>7</v>
      </c>
      <c r="AP99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99" t="str">
        <f>IF(HRData[[#This Row],[Attrition]]="Yes","Left", IF(HRData[[#This Row],[Attrition_Risk_Score]]&gt;=6,"High",IF(HRData[[#This Row],[Attrition_Risk_Score]]&gt;=3,"Medium","Low")))</f>
        <v>Left</v>
      </c>
      <c r="AR999" t="str">
        <f>IF(HRData[[#This Row],[Attrition_Risk_Level]]&lt;&gt;"High","",HRData[[#This Row],[Attrition_Risk_Score]]*10000-HRData[[#This Row],[EmployeeNumber]])</f>
        <v/>
      </c>
    </row>
    <row r="1000" spans="1:44">
      <c r="A1000">
        <v>26</v>
      </c>
      <c r="B1000" t="str" cm="1">
        <f t="array" ref="B1000">_xlfn.IFS(
HRData[[#This Row],[Age]]&lt;=24,"18-24",
HRData[[#This Row],[Age]]&lt;=34,"25-34",
HRData[[#This Row],[Age]]&lt;=44,"35-44",
HRData[[#This Row],[Age]]&lt;=54,"45-54",
HRData[[#This Row],[Age]]&gt;=55,"55+"
)</f>
        <v>25-34</v>
      </c>
      <c r="C1000" t="s">
        <v>43</v>
      </c>
      <c r="D1000">
        <f>IF(HRData[[#This Row],[Attrition]]="Yes",1,0)</f>
        <v>0</v>
      </c>
      <c r="E1000" t="s">
        <v>36</v>
      </c>
      <c r="F1000">
        <v>683</v>
      </c>
      <c r="G1000" t="s">
        <v>45</v>
      </c>
      <c r="H1000">
        <v>2</v>
      </c>
      <c r="I1000">
        <v>1</v>
      </c>
      <c r="J1000" t="s">
        <v>51</v>
      </c>
      <c r="K1000">
        <v>1</v>
      </c>
      <c r="L1000">
        <v>1407</v>
      </c>
      <c r="M1000">
        <v>1</v>
      </c>
      <c r="N1000" t="str" cm="1">
        <f t="array" ref="N1000">_xlfn.IFS(HRData[[#This Row],[EnvironmentSatisfaction]]=1,"Very Dissatisfied",
HRData[[#This Row],[EnvironmentSatisfaction]]=2,"Dissatisfied",
HRData[[#This Row],[EnvironmentSatisfaction]]=3,"Satisfied",
HRData[[#This Row],[EnvironmentSatisfaction]]=4,"Very Satisfied"
)</f>
        <v>Very Dissatisfied</v>
      </c>
      <c r="O1000" t="s">
        <v>46</v>
      </c>
      <c r="P1000">
        <v>36</v>
      </c>
      <c r="Q1000">
        <v>2</v>
      </c>
      <c r="R1000">
        <v>1</v>
      </c>
      <c r="S1000" t="s">
        <v>47</v>
      </c>
      <c r="T1000">
        <v>4</v>
      </c>
      <c r="U1000" t="str" cm="1">
        <f t="array" ref="U1000">_xlfn.IFS(
HRData[[#This Row],[JobSatisfaction]]=1,"Very Dissatisfied",
HRData[[#This Row],[JobSatisfaction]]=2,"Dissatisfied",
HRData[[#This Row],[JobSatisfaction]]=3,"Satisfied",
HRData[[#This Row],[JobSatisfaction]]=4,"Very Satisfied"
)</f>
        <v>Very Satisfied</v>
      </c>
      <c r="V1000" t="s">
        <v>41</v>
      </c>
      <c r="W1000">
        <v>3904</v>
      </c>
      <c r="X1000" t="str" cm="1">
        <f t="array" ref="X1000">_xlfn.IFS(
HRData[[#This Row],[MonthlyIncome]]&lt;=4000,"Very Low Income",
HRData[[#This Row],[MonthlyIncome]]&lt;=8000,"Low Income",
HRData[[#This Row],[MonthlyIncome]]&lt;=12000,"Moderate Income",
HRData[[#This Row],[MonthlyIncome]]&lt;=16000,"High Income",
HRData[[#This Row],[MonthlyIncome]]&gt;16000,"Very High Income"
)</f>
        <v>Very Low Income</v>
      </c>
      <c r="Y1000">
        <v>4050</v>
      </c>
      <c r="Z1000">
        <v>0</v>
      </c>
      <c r="AA1000" t="s">
        <v>42</v>
      </c>
      <c r="AB1000" t="s">
        <v>43</v>
      </c>
      <c r="AC1000">
        <v>12</v>
      </c>
      <c r="AD1000" t="str" cm="1">
        <f t="array" ref="AD1000">_xlfn.IFS(HRData[[#This Row],[PercentSalaryHike]]&lt;=15,"11-15",HRData[[#This Row],[PercentSalaryHike]]&lt;=20,"16-20",HRData[[#This Row],[PercentSalaryHike]]&gt;=21,"21+")</f>
        <v>11-15</v>
      </c>
      <c r="AE1000">
        <v>3</v>
      </c>
      <c r="AF1000">
        <v>4</v>
      </c>
      <c r="AG1000">
        <v>80</v>
      </c>
      <c r="AH1000">
        <v>0</v>
      </c>
      <c r="AI1000">
        <v>5</v>
      </c>
      <c r="AJ1000">
        <v>2</v>
      </c>
      <c r="AK1000">
        <v>3</v>
      </c>
      <c r="AL1000">
        <v>4</v>
      </c>
      <c r="AM1000">
        <v>3</v>
      </c>
      <c r="AN1000">
        <v>1</v>
      </c>
      <c r="AO1000">
        <v>1</v>
      </c>
      <c r="AP100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00" t="str">
        <f>IF(HRData[[#This Row],[Attrition]]="Yes","Left", IF(HRData[[#This Row],[Attrition_Risk_Score]]&gt;=6,"High",IF(HRData[[#This Row],[Attrition_Risk_Score]]&gt;=3,"Medium","Low")))</f>
        <v>Medium</v>
      </c>
      <c r="AR1000" t="str">
        <f>IF(HRData[[#This Row],[Attrition_Risk_Level]]&lt;&gt;"High","",HRData[[#This Row],[Attrition_Risk_Score]]*10000-HRData[[#This Row],[EmployeeNumber]])</f>
        <v/>
      </c>
    </row>
    <row r="1001" spans="1:44">
      <c r="A1001">
        <v>42</v>
      </c>
      <c r="B1001" t="str" cm="1">
        <f t="array" ref="B1001">_xlfn.IFS(
HRData[[#This Row],[Age]]&lt;=24,"18-24",
HRData[[#This Row],[Age]]&lt;=34,"25-34",
HRData[[#This Row],[Age]]&lt;=44,"35-44",
HRData[[#This Row],[Age]]&lt;=54,"45-54",
HRData[[#This Row],[Age]]&gt;=55,"55+"
)</f>
        <v>35-44</v>
      </c>
      <c r="C1001" t="s">
        <v>43</v>
      </c>
      <c r="D1001">
        <f>IF(HRData[[#This Row],[Attrition]]="Yes",1,0)</f>
        <v>0</v>
      </c>
      <c r="E1001" t="s">
        <v>36</v>
      </c>
      <c r="F1001">
        <v>1147</v>
      </c>
      <c r="G1001" t="s">
        <v>61</v>
      </c>
      <c r="H1001">
        <v>10</v>
      </c>
      <c r="I1001">
        <v>3</v>
      </c>
      <c r="J1001" t="s">
        <v>61</v>
      </c>
      <c r="K1001">
        <v>1</v>
      </c>
      <c r="L1001">
        <v>1408</v>
      </c>
      <c r="M1001">
        <v>3</v>
      </c>
      <c r="N1001" t="str" cm="1">
        <f t="array" ref="N1001">_xlfn.IFS(HRData[[#This Row],[EnvironmentSatisfaction]]=1,"Very Dissatisfied",
HRData[[#This Row],[EnvironmentSatisfaction]]=2,"Dissatisfied",
HRData[[#This Row],[EnvironmentSatisfaction]]=3,"Satisfied",
HRData[[#This Row],[EnvironmentSatisfaction]]=4,"Very Satisfied"
)</f>
        <v>Satisfied</v>
      </c>
      <c r="O1001" t="s">
        <v>39</v>
      </c>
      <c r="P1001">
        <v>31</v>
      </c>
      <c r="Q1001">
        <v>3</v>
      </c>
      <c r="R1001">
        <v>4</v>
      </c>
      <c r="S1001" t="s">
        <v>56</v>
      </c>
      <c r="T1001">
        <v>1</v>
      </c>
      <c r="U1001" t="str" cm="1">
        <f t="array" ref="U1001">_xlfn.IFS(
HRData[[#This Row],[JobSatisfaction]]=1,"Very Dissatisfied",
HRData[[#This Row],[JobSatisfaction]]=2,"Dissatisfied",
HRData[[#This Row],[JobSatisfaction]]=3,"Satisfied",
HRData[[#This Row],[JobSatisfaction]]=4,"Very Satisfied"
)</f>
        <v>Very Dissatisfied</v>
      </c>
      <c r="V1001" t="s">
        <v>48</v>
      </c>
      <c r="W1001">
        <v>16799</v>
      </c>
      <c r="X1001" t="str" cm="1">
        <f t="array" ref="X1001">_xlfn.IFS(
HRData[[#This Row],[MonthlyIncome]]&lt;=4000,"Very Low Income",
HRData[[#This Row],[MonthlyIncome]]&lt;=8000,"Low Income",
HRData[[#This Row],[MonthlyIncome]]&lt;=12000,"Moderate Income",
HRData[[#This Row],[MonthlyIncome]]&lt;=16000,"High Income",
HRData[[#This Row],[MonthlyIncome]]&gt;16000,"Very High Income"
)</f>
        <v>Very High Income</v>
      </c>
      <c r="Y1001">
        <v>16616</v>
      </c>
      <c r="Z1001">
        <v>0</v>
      </c>
      <c r="AA1001" t="s">
        <v>42</v>
      </c>
      <c r="AB1001" t="s">
        <v>43</v>
      </c>
      <c r="AC1001">
        <v>14</v>
      </c>
      <c r="AD1001" t="str" cm="1">
        <f t="array" ref="AD1001">_xlfn.IFS(HRData[[#This Row],[PercentSalaryHike]]&lt;=15,"11-15",HRData[[#This Row],[PercentSalaryHike]]&lt;=20,"16-20",HRData[[#This Row],[PercentSalaryHike]]&gt;=21,"21+")</f>
        <v>11-15</v>
      </c>
      <c r="AE1001">
        <v>3</v>
      </c>
      <c r="AF1001">
        <v>3</v>
      </c>
      <c r="AG1001">
        <v>80</v>
      </c>
      <c r="AH1001">
        <v>1</v>
      </c>
      <c r="AI1001">
        <v>21</v>
      </c>
      <c r="AJ1001">
        <v>5</v>
      </c>
      <c r="AK1001">
        <v>3</v>
      </c>
      <c r="AL1001">
        <v>20</v>
      </c>
      <c r="AM1001">
        <v>7</v>
      </c>
      <c r="AN1001">
        <v>0</v>
      </c>
      <c r="AO1001">
        <v>9</v>
      </c>
      <c r="AP100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01" t="str">
        <f>IF(HRData[[#This Row],[Attrition]]="Yes","Left", IF(HRData[[#This Row],[Attrition_Risk_Score]]&gt;=6,"High",IF(HRData[[#This Row],[Attrition_Risk_Score]]&gt;=3,"Medium","Low")))</f>
        <v>Low</v>
      </c>
      <c r="AR1001" t="str">
        <f>IF(HRData[[#This Row],[Attrition_Risk_Level]]&lt;&gt;"High","",HRData[[#This Row],[Attrition_Risk_Score]]*10000-HRData[[#This Row],[EmployeeNumber]])</f>
        <v/>
      </c>
    </row>
    <row r="1002" spans="1:44">
      <c r="A1002">
        <v>52</v>
      </c>
      <c r="B1002" t="str" cm="1">
        <f t="array" ref="B1002">_xlfn.IFS(
HRData[[#This Row],[Age]]&lt;=24,"18-24",
HRData[[#This Row],[Age]]&lt;=34,"25-34",
HRData[[#This Row],[Age]]&lt;=44,"35-44",
HRData[[#This Row],[Age]]&lt;=54,"45-54",
HRData[[#This Row],[Age]]&gt;=55,"55+"
)</f>
        <v>45-54</v>
      </c>
      <c r="C1002" t="s">
        <v>43</v>
      </c>
      <c r="D1002">
        <f>IF(HRData[[#This Row],[Attrition]]="Yes",1,0)</f>
        <v>0</v>
      </c>
      <c r="E1002" t="s">
        <v>36</v>
      </c>
      <c r="F1002">
        <v>258</v>
      </c>
      <c r="G1002" t="s">
        <v>45</v>
      </c>
      <c r="H1002">
        <v>8</v>
      </c>
      <c r="I1002">
        <v>4</v>
      </c>
      <c r="J1002" t="s">
        <v>49</v>
      </c>
      <c r="K1002">
        <v>1</v>
      </c>
      <c r="L1002">
        <v>1409</v>
      </c>
      <c r="M1002">
        <v>3</v>
      </c>
      <c r="N1002" t="str" cm="1">
        <f t="array" ref="N1002">_xlfn.IFS(HRData[[#This Row],[EnvironmentSatisfaction]]=1,"Very Dissatisfied",
HRData[[#This Row],[EnvironmentSatisfaction]]=2,"Dissatisfied",
HRData[[#This Row],[EnvironmentSatisfaction]]=3,"Satisfied",
HRData[[#This Row],[EnvironmentSatisfaction]]=4,"Very Satisfied"
)</f>
        <v>Satisfied</v>
      </c>
      <c r="O1002" t="s">
        <v>39</v>
      </c>
      <c r="P1002">
        <v>54</v>
      </c>
      <c r="Q1002">
        <v>3</v>
      </c>
      <c r="R1002">
        <v>1</v>
      </c>
      <c r="S1002" t="s">
        <v>50</v>
      </c>
      <c r="T1002">
        <v>1</v>
      </c>
      <c r="U1002" t="str" cm="1">
        <f t="array" ref="U1002">_xlfn.IFS(
HRData[[#This Row],[JobSatisfaction]]=1,"Very Dissatisfied",
HRData[[#This Row],[JobSatisfaction]]=2,"Dissatisfied",
HRData[[#This Row],[JobSatisfaction]]=3,"Satisfied",
HRData[[#This Row],[JobSatisfaction]]=4,"Very Satisfied"
)</f>
        <v>Very Dissatisfied</v>
      </c>
      <c r="V1002" t="s">
        <v>48</v>
      </c>
      <c r="W1002">
        <v>2950</v>
      </c>
      <c r="X1002" t="str" cm="1">
        <f t="array" ref="X1002">_xlfn.IFS(
HRData[[#This Row],[MonthlyIncome]]&lt;=4000,"Very Low Income",
HRData[[#This Row],[MonthlyIncome]]&lt;=8000,"Low Income",
HRData[[#This Row],[MonthlyIncome]]&lt;=12000,"Moderate Income",
HRData[[#This Row],[MonthlyIncome]]&lt;=16000,"High Income",
HRData[[#This Row],[MonthlyIncome]]&gt;16000,"Very High Income"
)</f>
        <v>Very Low Income</v>
      </c>
      <c r="Y1002">
        <v>17363</v>
      </c>
      <c r="Z1002">
        <v>9</v>
      </c>
      <c r="AA1002" t="s">
        <v>42</v>
      </c>
      <c r="AB1002" t="s">
        <v>43</v>
      </c>
      <c r="AC1002">
        <v>13</v>
      </c>
      <c r="AD1002" t="str" cm="1">
        <f t="array" ref="AD1002">_xlfn.IFS(HRData[[#This Row],[PercentSalaryHike]]&lt;=15,"11-15",HRData[[#This Row],[PercentSalaryHike]]&lt;=20,"16-20",HRData[[#This Row],[PercentSalaryHike]]&gt;=21,"21+")</f>
        <v>11-15</v>
      </c>
      <c r="AE1002">
        <v>3</v>
      </c>
      <c r="AF1002">
        <v>3</v>
      </c>
      <c r="AG1002">
        <v>80</v>
      </c>
      <c r="AH1002">
        <v>0</v>
      </c>
      <c r="AI1002">
        <v>12</v>
      </c>
      <c r="AJ1002">
        <v>2</v>
      </c>
      <c r="AK1002">
        <v>1</v>
      </c>
      <c r="AL1002">
        <v>5</v>
      </c>
      <c r="AM1002">
        <v>4</v>
      </c>
      <c r="AN1002">
        <v>0</v>
      </c>
      <c r="AO1002">
        <v>4</v>
      </c>
      <c r="AP100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002" t="str">
        <f>IF(HRData[[#This Row],[Attrition]]="Yes","Left", IF(HRData[[#This Row],[Attrition_Risk_Score]]&gt;=6,"High",IF(HRData[[#This Row],[Attrition_Risk_Score]]&gt;=3,"Medium","Low")))</f>
        <v>Medium</v>
      </c>
      <c r="AR1002" t="str">
        <f>IF(HRData[[#This Row],[Attrition_Risk_Level]]&lt;&gt;"High","",HRData[[#This Row],[Attrition_Risk_Score]]*10000-HRData[[#This Row],[EmployeeNumber]])</f>
        <v/>
      </c>
    </row>
    <row r="1003" spans="1:44">
      <c r="A1003">
        <v>37</v>
      </c>
      <c r="B1003" t="str" cm="1">
        <f t="array" ref="B1003">_xlfn.IFS(
HRData[[#This Row],[Age]]&lt;=24,"18-24",
HRData[[#This Row],[Age]]&lt;=34,"25-34",
HRData[[#This Row],[Age]]&lt;=44,"35-44",
HRData[[#This Row],[Age]]&lt;=54,"45-54",
HRData[[#This Row],[Age]]&gt;=55,"55+"
)</f>
        <v>35-44</v>
      </c>
      <c r="C1003" t="s">
        <v>43</v>
      </c>
      <c r="D1003">
        <f>IF(HRData[[#This Row],[Attrition]]="Yes",1,0)</f>
        <v>0</v>
      </c>
      <c r="E1003" t="s">
        <v>36</v>
      </c>
      <c r="F1003">
        <v>1462</v>
      </c>
      <c r="G1003" t="s">
        <v>45</v>
      </c>
      <c r="H1003">
        <v>11</v>
      </c>
      <c r="I1003">
        <v>3</v>
      </c>
      <c r="J1003" t="s">
        <v>51</v>
      </c>
      <c r="K1003">
        <v>1</v>
      </c>
      <c r="L1003">
        <v>1411</v>
      </c>
      <c r="M1003">
        <v>1</v>
      </c>
      <c r="N1003" t="str" cm="1">
        <f t="array" ref="N1003">_xlfn.IFS(HRData[[#This Row],[EnvironmentSatisfaction]]=1,"Very Dissatisfied",
HRData[[#This Row],[EnvironmentSatisfaction]]=2,"Dissatisfied",
HRData[[#This Row],[EnvironmentSatisfaction]]=3,"Satisfied",
HRData[[#This Row],[EnvironmentSatisfaction]]=4,"Very Satisfied"
)</f>
        <v>Very Dissatisfied</v>
      </c>
      <c r="O1003" t="s">
        <v>39</v>
      </c>
      <c r="P1003">
        <v>94</v>
      </c>
      <c r="Q1003">
        <v>3</v>
      </c>
      <c r="R1003">
        <v>1</v>
      </c>
      <c r="S1003" t="s">
        <v>50</v>
      </c>
      <c r="T1003">
        <v>3</v>
      </c>
      <c r="U1003" t="str" cm="1">
        <f t="array" ref="U1003">_xlfn.IFS(
HRData[[#This Row],[JobSatisfaction]]=1,"Very Dissatisfied",
HRData[[#This Row],[JobSatisfaction]]=2,"Dissatisfied",
HRData[[#This Row],[JobSatisfaction]]=3,"Satisfied",
HRData[[#This Row],[JobSatisfaction]]=4,"Very Satisfied"
)</f>
        <v>Satisfied</v>
      </c>
      <c r="V1003" t="s">
        <v>41</v>
      </c>
      <c r="W1003">
        <v>3629</v>
      </c>
      <c r="X1003" t="str" cm="1">
        <f t="array" ref="X1003">_xlfn.IFS(
HRData[[#This Row],[MonthlyIncome]]&lt;=4000,"Very Low Income",
HRData[[#This Row],[MonthlyIncome]]&lt;=8000,"Low Income",
HRData[[#This Row],[MonthlyIncome]]&lt;=12000,"Moderate Income",
HRData[[#This Row],[MonthlyIncome]]&lt;=16000,"High Income",
HRData[[#This Row],[MonthlyIncome]]&gt;16000,"Very High Income"
)</f>
        <v>Very Low Income</v>
      </c>
      <c r="Y1003">
        <v>19106</v>
      </c>
      <c r="Z1003">
        <v>4</v>
      </c>
      <c r="AA1003" t="s">
        <v>42</v>
      </c>
      <c r="AB1003" t="s">
        <v>43</v>
      </c>
      <c r="AC1003">
        <v>18</v>
      </c>
      <c r="AD1003" t="str" cm="1">
        <f t="array" ref="AD1003">_xlfn.IFS(HRData[[#This Row],[PercentSalaryHike]]&lt;=15,"11-15",HRData[[#This Row],[PercentSalaryHike]]&lt;=20,"16-20",HRData[[#This Row],[PercentSalaryHike]]&gt;=21,"21+")</f>
        <v>16-20</v>
      </c>
      <c r="AE1003">
        <v>3</v>
      </c>
      <c r="AF1003">
        <v>1</v>
      </c>
      <c r="AG1003">
        <v>80</v>
      </c>
      <c r="AH1003">
        <v>0</v>
      </c>
      <c r="AI1003">
        <v>8</v>
      </c>
      <c r="AJ1003">
        <v>6</v>
      </c>
      <c r="AK1003">
        <v>3</v>
      </c>
      <c r="AL1003">
        <v>3</v>
      </c>
      <c r="AM1003">
        <v>2</v>
      </c>
      <c r="AN1003">
        <v>0</v>
      </c>
      <c r="AO1003">
        <v>2</v>
      </c>
      <c r="AP100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03" t="str">
        <f>IF(HRData[[#This Row],[Attrition]]="Yes","Left", IF(HRData[[#This Row],[Attrition_Risk_Score]]&gt;=6,"High",IF(HRData[[#This Row],[Attrition_Risk_Score]]&gt;=3,"Medium","Low")))</f>
        <v>Medium</v>
      </c>
      <c r="AR1003" t="str">
        <f>IF(HRData[[#This Row],[Attrition_Risk_Level]]&lt;&gt;"High","",HRData[[#This Row],[Attrition_Risk_Score]]*10000-HRData[[#This Row],[EmployeeNumber]])</f>
        <v/>
      </c>
    </row>
    <row r="1004" spans="1:44">
      <c r="A1004">
        <v>35</v>
      </c>
      <c r="B1004" t="str" cm="1">
        <f t="array" ref="B1004">_xlfn.IFS(
HRData[[#This Row],[Age]]&lt;=24,"18-24",
HRData[[#This Row],[Age]]&lt;=34,"25-34",
HRData[[#This Row],[Age]]&lt;=44,"35-44",
HRData[[#This Row],[Age]]&lt;=54,"45-54",
HRData[[#This Row],[Age]]&gt;=55,"55+"
)</f>
        <v>35-44</v>
      </c>
      <c r="C1004" t="s">
        <v>43</v>
      </c>
      <c r="D1004">
        <f>IF(HRData[[#This Row],[Attrition]]="Yes",1,0)</f>
        <v>0</v>
      </c>
      <c r="E1004" t="s">
        <v>44</v>
      </c>
      <c r="F1004">
        <v>200</v>
      </c>
      <c r="G1004" t="s">
        <v>45</v>
      </c>
      <c r="H1004">
        <v>18</v>
      </c>
      <c r="I1004">
        <v>2</v>
      </c>
      <c r="J1004" t="s">
        <v>38</v>
      </c>
      <c r="K1004">
        <v>1</v>
      </c>
      <c r="L1004">
        <v>1412</v>
      </c>
      <c r="M1004">
        <v>3</v>
      </c>
      <c r="N1004" t="str" cm="1">
        <f t="array" ref="N1004">_xlfn.IFS(HRData[[#This Row],[EnvironmentSatisfaction]]=1,"Very Dissatisfied",
HRData[[#This Row],[EnvironmentSatisfaction]]=2,"Dissatisfied",
HRData[[#This Row],[EnvironmentSatisfaction]]=3,"Satisfied",
HRData[[#This Row],[EnvironmentSatisfaction]]=4,"Very Satisfied"
)</f>
        <v>Satisfied</v>
      </c>
      <c r="O1004" t="s">
        <v>46</v>
      </c>
      <c r="P1004">
        <v>60</v>
      </c>
      <c r="Q1004">
        <v>3</v>
      </c>
      <c r="R1004">
        <v>3</v>
      </c>
      <c r="S1004" t="s">
        <v>53</v>
      </c>
      <c r="T1004">
        <v>4</v>
      </c>
      <c r="U1004" t="str" cm="1">
        <f t="array" ref="U1004">_xlfn.IFS(
HRData[[#This Row],[JobSatisfaction]]=1,"Very Dissatisfied",
HRData[[#This Row],[JobSatisfaction]]=2,"Dissatisfied",
HRData[[#This Row],[JobSatisfaction]]=3,"Satisfied",
HRData[[#This Row],[JobSatisfaction]]=4,"Very Satisfied"
)</f>
        <v>Very Satisfied</v>
      </c>
      <c r="V1004" t="s">
        <v>41</v>
      </c>
      <c r="W1004">
        <v>9362</v>
      </c>
      <c r="X1004" t="str" cm="1">
        <f t="array" ref="X1004">_xlfn.IFS(
HRData[[#This Row],[MonthlyIncome]]&lt;=4000,"Very Low Income",
HRData[[#This Row],[MonthlyIncome]]&lt;=8000,"Low Income",
HRData[[#This Row],[MonthlyIncome]]&lt;=12000,"Moderate Income",
HRData[[#This Row],[MonthlyIncome]]&lt;=16000,"High Income",
HRData[[#This Row],[MonthlyIncome]]&gt;16000,"Very High Income"
)</f>
        <v>Moderate Income</v>
      </c>
      <c r="Y1004">
        <v>19944</v>
      </c>
      <c r="Z1004">
        <v>2</v>
      </c>
      <c r="AA1004" t="s">
        <v>42</v>
      </c>
      <c r="AB1004" t="s">
        <v>43</v>
      </c>
      <c r="AC1004">
        <v>11</v>
      </c>
      <c r="AD1004" t="str" cm="1">
        <f t="array" ref="AD1004">_xlfn.IFS(HRData[[#This Row],[PercentSalaryHike]]&lt;=15,"11-15",HRData[[#This Row],[PercentSalaryHike]]&lt;=20,"16-20",HRData[[#This Row],[PercentSalaryHike]]&gt;=21,"21+")</f>
        <v>11-15</v>
      </c>
      <c r="AE1004">
        <v>3</v>
      </c>
      <c r="AF1004">
        <v>3</v>
      </c>
      <c r="AG1004">
        <v>80</v>
      </c>
      <c r="AH1004">
        <v>0</v>
      </c>
      <c r="AI1004">
        <v>10</v>
      </c>
      <c r="AJ1004">
        <v>2</v>
      </c>
      <c r="AK1004">
        <v>3</v>
      </c>
      <c r="AL1004">
        <v>2</v>
      </c>
      <c r="AM1004">
        <v>2</v>
      </c>
      <c r="AN1004">
        <v>2</v>
      </c>
      <c r="AO1004">
        <v>2</v>
      </c>
      <c r="AP100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004" t="str">
        <f>IF(HRData[[#This Row],[Attrition]]="Yes","Left", IF(HRData[[#This Row],[Attrition_Risk_Score]]&gt;=6,"High",IF(HRData[[#This Row],[Attrition_Risk_Score]]&gt;=3,"Medium","Low")))</f>
        <v>Low</v>
      </c>
      <c r="AR1004" t="str">
        <f>IF(HRData[[#This Row],[Attrition_Risk_Level]]&lt;&gt;"High","",HRData[[#This Row],[Attrition_Risk_Score]]*10000-HRData[[#This Row],[EmployeeNumber]])</f>
        <v/>
      </c>
    </row>
    <row r="1005" spans="1:44">
      <c r="A1005">
        <v>25</v>
      </c>
      <c r="B1005" t="str" cm="1">
        <f t="array" ref="B1005">_xlfn.IFS(
HRData[[#This Row],[Age]]&lt;=24,"18-24",
HRData[[#This Row],[Age]]&lt;=34,"25-34",
HRData[[#This Row],[Age]]&lt;=44,"35-44",
HRData[[#This Row],[Age]]&lt;=54,"45-54",
HRData[[#This Row],[Age]]&gt;=55,"55+"
)</f>
        <v>25-34</v>
      </c>
      <c r="C1005" t="s">
        <v>43</v>
      </c>
      <c r="D1005">
        <f>IF(HRData[[#This Row],[Attrition]]="Yes",1,0)</f>
        <v>0</v>
      </c>
      <c r="E1005" t="s">
        <v>36</v>
      </c>
      <c r="F1005">
        <v>949</v>
      </c>
      <c r="G1005" t="s">
        <v>45</v>
      </c>
      <c r="H1005">
        <v>1</v>
      </c>
      <c r="I1005">
        <v>3</v>
      </c>
      <c r="J1005" t="s">
        <v>60</v>
      </c>
      <c r="K1005">
        <v>1</v>
      </c>
      <c r="L1005">
        <v>1415</v>
      </c>
      <c r="M1005">
        <v>1</v>
      </c>
      <c r="N1005" t="str" cm="1">
        <f t="array" ref="N1005">_xlfn.IFS(HRData[[#This Row],[EnvironmentSatisfaction]]=1,"Very Dissatisfied",
HRData[[#This Row],[EnvironmentSatisfaction]]=2,"Dissatisfied",
HRData[[#This Row],[EnvironmentSatisfaction]]=3,"Satisfied",
HRData[[#This Row],[EnvironmentSatisfaction]]=4,"Very Satisfied"
)</f>
        <v>Very Dissatisfied</v>
      </c>
      <c r="O1005" t="s">
        <v>46</v>
      </c>
      <c r="P1005">
        <v>81</v>
      </c>
      <c r="Q1005">
        <v>3</v>
      </c>
      <c r="R1005">
        <v>1</v>
      </c>
      <c r="S1005" t="s">
        <v>50</v>
      </c>
      <c r="T1005">
        <v>4</v>
      </c>
      <c r="U1005" t="str" cm="1">
        <f t="array" ref="U1005">_xlfn.IFS(
HRData[[#This Row],[JobSatisfaction]]=1,"Very Dissatisfied",
HRData[[#This Row],[JobSatisfaction]]=2,"Dissatisfied",
HRData[[#This Row],[JobSatisfaction]]=3,"Satisfied",
HRData[[#This Row],[JobSatisfaction]]=4,"Very Satisfied"
)</f>
        <v>Very Satisfied</v>
      </c>
      <c r="V1005" t="s">
        <v>48</v>
      </c>
      <c r="W1005">
        <v>3229</v>
      </c>
      <c r="X1005" t="str" cm="1">
        <f t="array" ref="X1005">_xlfn.IFS(
HRData[[#This Row],[MonthlyIncome]]&lt;=4000,"Very Low Income",
HRData[[#This Row],[MonthlyIncome]]&lt;=8000,"Low Income",
HRData[[#This Row],[MonthlyIncome]]&lt;=12000,"Moderate Income",
HRData[[#This Row],[MonthlyIncome]]&lt;=16000,"High Income",
HRData[[#This Row],[MonthlyIncome]]&gt;16000,"Very High Income"
)</f>
        <v>Very Low Income</v>
      </c>
      <c r="Y1005">
        <v>4910</v>
      </c>
      <c r="Z1005">
        <v>4</v>
      </c>
      <c r="AA1005" t="s">
        <v>42</v>
      </c>
      <c r="AB1005" t="s">
        <v>43</v>
      </c>
      <c r="AC1005">
        <v>11</v>
      </c>
      <c r="AD1005" t="str" cm="1">
        <f t="array" ref="AD1005">_xlfn.IFS(HRData[[#This Row],[PercentSalaryHike]]&lt;=15,"11-15",HRData[[#This Row],[PercentSalaryHike]]&lt;=20,"16-20",HRData[[#This Row],[PercentSalaryHike]]&gt;=21,"21+")</f>
        <v>11-15</v>
      </c>
      <c r="AE1005">
        <v>3</v>
      </c>
      <c r="AF1005">
        <v>2</v>
      </c>
      <c r="AG1005">
        <v>80</v>
      </c>
      <c r="AH1005">
        <v>1</v>
      </c>
      <c r="AI1005">
        <v>7</v>
      </c>
      <c r="AJ1005">
        <v>2</v>
      </c>
      <c r="AK1005">
        <v>2</v>
      </c>
      <c r="AL1005">
        <v>3</v>
      </c>
      <c r="AM1005">
        <v>2</v>
      </c>
      <c r="AN1005">
        <v>0</v>
      </c>
      <c r="AO1005">
        <v>2</v>
      </c>
      <c r="AP100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05" t="str">
        <f>IF(HRData[[#This Row],[Attrition]]="Yes","Left", IF(HRData[[#This Row],[Attrition_Risk_Score]]&gt;=6,"High",IF(HRData[[#This Row],[Attrition_Risk_Score]]&gt;=3,"Medium","Low")))</f>
        <v>Medium</v>
      </c>
      <c r="AR1005" t="str">
        <f>IF(HRData[[#This Row],[Attrition_Risk_Level]]&lt;&gt;"High","",HRData[[#This Row],[Attrition_Risk_Score]]*10000-HRData[[#This Row],[EmployeeNumber]])</f>
        <v/>
      </c>
    </row>
    <row r="1006" spans="1:44">
      <c r="A1006">
        <v>26</v>
      </c>
      <c r="B1006" t="str" cm="1">
        <f t="array" ref="B1006">_xlfn.IFS(
HRData[[#This Row],[Age]]&lt;=24,"18-24",
HRData[[#This Row],[Age]]&lt;=34,"25-34",
HRData[[#This Row],[Age]]&lt;=44,"35-44",
HRData[[#This Row],[Age]]&lt;=54,"45-54",
HRData[[#This Row],[Age]]&gt;=55,"55+"
)</f>
        <v>25-34</v>
      </c>
      <c r="C1006" t="s">
        <v>43</v>
      </c>
      <c r="D1006">
        <f>IF(HRData[[#This Row],[Attrition]]="Yes",1,0)</f>
        <v>0</v>
      </c>
      <c r="E1006" t="s">
        <v>36</v>
      </c>
      <c r="F1006">
        <v>652</v>
      </c>
      <c r="G1006" t="s">
        <v>45</v>
      </c>
      <c r="H1006">
        <v>7</v>
      </c>
      <c r="I1006">
        <v>3</v>
      </c>
      <c r="J1006" t="s">
        <v>49</v>
      </c>
      <c r="K1006">
        <v>1</v>
      </c>
      <c r="L1006">
        <v>1417</v>
      </c>
      <c r="M1006">
        <v>3</v>
      </c>
      <c r="N1006" t="str" cm="1">
        <f t="array" ref="N1006">_xlfn.IFS(HRData[[#This Row],[EnvironmentSatisfaction]]=1,"Very Dissatisfied",
HRData[[#This Row],[EnvironmentSatisfaction]]=2,"Dissatisfied",
HRData[[#This Row],[EnvironmentSatisfaction]]=3,"Satisfied",
HRData[[#This Row],[EnvironmentSatisfaction]]=4,"Very Satisfied"
)</f>
        <v>Satisfied</v>
      </c>
      <c r="O1006" t="s">
        <v>46</v>
      </c>
      <c r="P1006">
        <v>100</v>
      </c>
      <c r="Q1006">
        <v>4</v>
      </c>
      <c r="R1006">
        <v>1</v>
      </c>
      <c r="S1006" t="s">
        <v>50</v>
      </c>
      <c r="T1006">
        <v>1</v>
      </c>
      <c r="U1006" t="str" cm="1">
        <f t="array" ref="U1006">_xlfn.IFS(
HRData[[#This Row],[JobSatisfaction]]=1,"Very Dissatisfied",
HRData[[#This Row],[JobSatisfaction]]=2,"Dissatisfied",
HRData[[#This Row],[JobSatisfaction]]=3,"Satisfied",
HRData[[#This Row],[JobSatisfaction]]=4,"Very Satisfied"
)</f>
        <v>Very Dissatisfied</v>
      </c>
      <c r="V1006" t="s">
        <v>41</v>
      </c>
      <c r="W1006">
        <v>3578</v>
      </c>
      <c r="X1006" t="str" cm="1">
        <f t="array" ref="X1006">_xlfn.IFS(
HRData[[#This Row],[MonthlyIncome]]&lt;=4000,"Very Low Income",
HRData[[#This Row],[MonthlyIncome]]&lt;=8000,"Low Income",
HRData[[#This Row],[MonthlyIncome]]&lt;=12000,"Moderate Income",
HRData[[#This Row],[MonthlyIncome]]&lt;=16000,"High Income",
HRData[[#This Row],[MonthlyIncome]]&gt;16000,"Very High Income"
)</f>
        <v>Very Low Income</v>
      </c>
      <c r="Y1006">
        <v>23577</v>
      </c>
      <c r="Z1006">
        <v>0</v>
      </c>
      <c r="AA1006" t="s">
        <v>42</v>
      </c>
      <c r="AB1006" t="s">
        <v>43</v>
      </c>
      <c r="AC1006">
        <v>12</v>
      </c>
      <c r="AD1006" t="str" cm="1">
        <f t="array" ref="AD1006">_xlfn.IFS(HRData[[#This Row],[PercentSalaryHike]]&lt;=15,"11-15",HRData[[#This Row],[PercentSalaryHike]]&lt;=20,"16-20",HRData[[#This Row],[PercentSalaryHike]]&gt;=21,"21+")</f>
        <v>11-15</v>
      </c>
      <c r="AE1006">
        <v>3</v>
      </c>
      <c r="AF1006">
        <v>4</v>
      </c>
      <c r="AG1006">
        <v>80</v>
      </c>
      <c r="AH1006">
        <v>0</v>
      </c>
      <c r="AI1006">
        <v>8</v>
      </c>
      <c r="AJ1006">
        <v>2</v>
      </c>
      <c r="AK1006">
        <v>3</v>
      </c>
      <c r="AL1006">
        <v>7</v>
      </c>
      <c r="AM1006">
        <v>7</v>
      </c>
      <c r="AN1006">
        <v>0</v>
      </c>
      <c r="AO1006">
        <v>7</v>
      </c>
      <c r="AP100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006" t="str">
        <f>IF(HRData[[#This Row],[Attrition]]="Yes","Left", IF(HRData[[#This Row],[Attrition_Risk_Score]]&gt;=6,"High",IF(HRData[[#This Row],[Attrition_Risk_Score]]&gt;=3,"Medium","Low")))</f>
        <v>High</v>
      </c>
      <c r="AR1006">
        <f>IF(HRData[[#This Row],[Attrition_Risk_Level]]&lt;&gt;"High","",HRData[[#This Row],[Attrition_Risk_Score]]*10000-HRData[[#This Row],[EmployeeNumber]])</f>
        <v>58583</v>
      </c>
    </row>
    <row r="1007" spans="1:44">
      <c r="A1007">
        <v>29</v>
      </c>
      <c r="B1007" t="str" cm="1">
        <f t="array" ref="B1007">_xlfn.IFS(
HRData[[#This Row],[Age]]&lt;=24,"18-24",
HRData[[#This Row],[Age]]&lt;=34,"25-34",
HRData[[#This Row],[Age]]&lt;=44,"35-44",
HRData[[#This Row],[Age]]&lt;=54,"45-54",
HRData[[#This Row],[Age]]&gt;=55,"55+"
)</f>
        <v>25-34</v>
      </c>
      <c r="C1007" t="s">
        <v>43</v>
      </c>
      <c r="D1007">
        <f>IF(HRData[[#This Row],[Attrition]]="Yes",1,0)</f>
        <v>0</v>
      </c>
      <c r="E1007" t="s">
        <v>36</v>
      </c>
      <c r="F1007">
        <v>332</v>
      </c>
      <c r="G1007" t="s">
        <v>61</v>
      </c>
      <c r="H1007">
        <v>17</v>
      </c>
      <c r="I1007">
        <v>3</v>
      </c>
      <c r="J1007" t="s">
        <v>49</v>
      </c>
      <c r="K1007">
        <v>1</v>
      </c>
      <c r="L1007">
        <v>1419</v>
      </c>
      <c r="M1007">
        <v>2</v>
      </c>
      <c r="N1007" t="str" cm="1">
        <f t="array" ref="N1007">_xlfn.IFS(HRData[[#This Row],[EnvironmentSatisfaction]]=1,"Very Dissatisfied",
HRData[[#This Row],[EnvironmentSatisfaction]]=2,"Dissatisfied",
HRData[[#This Row],[EnvironmentSatisfaction]]=3,"Satisfied",
HRData[[#This Row],[EnvironmentSatisfaction]]=4,"Very Satisfied"
)</f>
        <v>Dissatisfied</v>
      </c>
      <c r="O1007" t="s">
        <v>46</v>
      </c>
      <c r="P1007">
        <v>51</v>
      </c>
      <c r="Q1007">
        <v>2</v>
      </c>
      <c r="R1007">
        <v>3</v>
      </c>
      <c r="S1007" t="s">
        <v>61</v>
      </c>
      <c r="T1007">
        <v>1</v>
      </c>
      <c r="U1007" t="str" cm="1">
        <f t="array" ref="U1007">_xlfn.IFS(
HRData[[#This Row],[JobSatisfaction]]=1,"Very Dissatisfied",
HRData[[#This Row],[JobSatisfaction]]=2,"Dissatisfied",
HRData[[#This Row],[JobSatisfaction]]=3,"Satisfied",
HRData[[#This Row],[JobSatisfaction]]=4,"Very Satisfied"
)</f>
        <v>Very Dissatisfied</v>
      </c>
      <c r="V1007" t="s">
        <v>41</v>
      </c>
      <c r="W1007">
        <v>7988</v>
      </c>
      <c r="X1007" t="str" cm="1">
        <f t="array" ref="X1007">_xlfn.IFS(
HRData[[#This Row],[MonthlyIncome]]&lt;=4000,"Very Low Income",
HRData[[#This Row],[MonthlyIncome]]&lt;=8000,"Low Income",
HRData[[#This Row],[MonthlyIncome]]&lt;=12000,"Moderate Income",
HRData[[#This Row],[MonthlyIncome]]&lt;=16000,"High Income",
HRData[[#This Row],[MonthlyIncome]]&gt;16000,"Very High Income"
)</f>
        <v>Low Income</v>
      </c>
      <c r="Y1007">
        <v>9769</v>
      </c>
      <c r="Z1007">
        <v>1</v>
      </c>
      <c r="AA1007" t="s">
        <v>42</v>
      </c>
      <c r="AB1007" t="s">
        <v>43</v>
      </c>
      <c r="AC1007">
        <v>13</v>
      </c>
      <c r="AD1007" t="str" cm="1">
        <f t="array" ref="AD1007">_xlfn.IFS(HRData[[#This Row],[PercentSalaryHike]]&lt;=15,"11-15",HRData[[#This Row],[PercentSalaryHike]]&lt;=20,"16-20",HRData[[#This Row],[PercentSalaryHike]]&gt;=21,"21+")</f>
        <v>11-15</v>
      </c>
      <c r="AE1007">
        <v>3</v>
      </c>
      <c r="AF1007">
        <v>1</v>
      </c>
      <c r="AG1007">
        <v>80</v>
      </c>
      <c r="AH1007">
        <v>0</v>
      </c>
      <c r="AI1007">
        <v>10</v>
      </c>
      <c r="AJ1007">
        <v>3</v>
      </c>
      <c r="AK1007">
        <v>2</v>
      </c>
      <c r="AL1007">
        <v>10</v>
      </c>
      <c r="AM1007">
        <v>9</v>
      </c>
      <c r="AN1007">
        <v>0</v>
      </c>
      <c r="AO1007">
        <v>9</v>
      </c>
      <c r="AP100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007" t="str">
        <f>IF(HRData[[#This Row],[Attrition]]="Yes","Left", IF(HRData[[#This Row],[Attrition_Risk_Score]]&gt;=6,"High",IF(HRData[[#This Row],[Attrition_Risk_Score]]&gt;=3,"Medium","Low")))</f>
        <v>Medium</v>
      </c>
      <c r="AR1007" t="str">
        <f>IF(HRData[[#This Row],[Attrition_Risk_Level]]&lt;&gt;"High","",HRData[[#This Row],[Attrition_Risk_Score]]*10000-HRData[[#This Row],[EmployeeNumber]])</f>
        <v/>
      </c>
    </row>
    <row r="1008" spans="1:44">
      <c r="A1008">
        <v>49</v>
      </c>
      <c r="B1008" t="str" cm="1">
        <f t="array" ref="B1008">_xlfn.IFS(
HRData[[#This Row],[Age]]&lt;=24,"18-24",
HRData[[#This Row],[Age]]&lt;=34,"25-34",
HRData[[#This Row],[Age]]&lt;=44,"35-44",
HRData[[#This Row],[Age]]&lt;=54,"45-54",
HRData[[#This Row],[Age]]&gt;=55,"55+"
)</f>
        <v>45-54</v>
      </c>
      <c r="C1008" t="s">
        <v>35</v>
      </c>
      <c r="D1008">
        <f>IF(HRData[[#This Row],[Attrition]]="Yes",1,0)</f>
        <v>1</v>
      </c>
      <c r="E1008" t="s">
        <v>44</v>
      </c>
      <c r="F1008">
        <v>1475</v>
      </c>
      <c r="G1008" t="s">
        <v>45</v>
      </c>
      <c r="H1008">
        <v>28</v>
      </c>
      <c r="I1008">
        <v>2</v>
      </c>
      <c r="J1008" t="s">
        <v>38</v>
      </c>
      <c r="K1008">
        <v>1</v>
      </c>
      <c r="L1008">
        <v>1420</v>
      </c>
      <c r="M1008">
        <v>1</v>
      </c>
      <c r="N1008" t="str" cm="1">
        <f t="array" ref="N1008">_xlfn.IFS(HRData[[#This Row],[EnvironmentSatisfaction]]=1,"Very Dissatisfied",
HRData[[#This Row],[EnvironmentSatisfaction]]=2,"Dissatisfied",
HRData[[#This Row],[EnvironmentSatisfaction]]=3,"Satisfied",
HRData[[#This Row],[EnvironmentSatisfaction]]=4,"Very Satisfied"
)</f>
        <v>Very Dissatisfied</v>
      </c>
      <c r="O1008" t="s">
        <v>46</v>
      </c>
      <c r="P1008">
        <v>97</v>
      </c>
      <c r="Q1008">
        <v>2</v>
      </c>
      <c r="R1008">
        <v>2</v>
      </c>
      <c r="S1008" t="s">
        <v>50</v>
      </c>
      <c r="T1008">
        <v>1</v>
      </c>
      <c r="U1008" t="str" cm="1">
        <f t="array" ref="U1008">_xlfn.IFS(
HRData[[#This Row],[JobSatisfaction]]=1,"Very Dissatisfied",
HRData[[#This Row],[JobSatisfaction]]=2,"Dissatisfied",
HRData[[#This Row],[JobSatisfaction]]=3,"Satisfied",
HRData[[#This Row],[JobSatisfaction]]=4,"Very Satisfied"
)</f>
        <v>Very Dissatisfied</v>
      </c>
      <c r="V1008" t="s">
        <v>41</v>
      </c>
      <c r="W1008">
        <v>4284</v>
      </c>
      <c r="X1008" t="str" cm="1">
        <f t="array" ref="X1008">_xlfn.IFS(
HRData[[#This Row],[MonthlyIncome]]&lt;=4000,"Very Low Income",
HRData[[#This Row],[MonthlyIncome]]&lt;=8000,"Low Income",
HRData[[#This Row],[MonthlyIncome]]&lt;=12000,"Moderate Income",
HRData[[#This Row],[MonthlyIncome]]&lt;=16000,"High Income",
HRData[[#This Row],[MonthlyIncome]]&gt;16000,"Very High Income"
)</f>
        <v>Low Income</v>
      </c>
      <c r="Y1008">
        <v>22710</v>
      </c>
      <c r="Z1008">
        <v>3</v>
      </c>
      <c r="AA1008" t="s">
        <v>42</v>
      </c>
      <c r="AB1008" t="s">
        <v>43</v>
      </c>
      <c r="AC1008">
        <v>20</v>
      </c>
      <c r="AD1008" t="str" cm="1">
        <f t="array" ref="AD1008">_xlfn.IFS(HRData[[#This Row],[PercentSalaryHike]]&lt;=15,"11-15",HRData[[#This Row],[PercentSalaryHike]]&lt;=20,"16-20",HRData[[#This Row],[PercentSalaryHike]]&gt;=21,"21+")</f>
        <v>16-20</v>
      </c>
      <c r="AE1008">
        <v>4</v>
      </c>
      <c r="AF1008">
        <v>1</v>
      </c>
      <c r="AG1008">
        <v>80</v>
      </c>
      <c r="AH1008">
        <v>0</v>
      </c>
      <c r="AI1008">
        <v>20</v>
      </c>
      <c r="AJ1008">
        <v>2</v>
      </c>
      <c r="AK1008">
        <v>3</v>
      </c>
      <c r="AL1008">
        <v>4</v>
      </c>
      <c r="AM1008">
        <v>3</v>
      </c>
      <c r="AN1008">
        <v>1</v>
      </c>
      <c r="AO1008">
        <v>3</v>
      </c>
      <c r="AP100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08" t="str">
        <f>IF(HRData[[#This Row],[Attrition]]="Yes","Left", IF(HRData[[#This Row],[Attrition_Risk_Score]]&gt;=6,"High",IF(HRData[[#This Row],[Attrition_Risk_Score]]&gt;=3,"Medium","Low")))</f>
        <v>Left</v>
      </c>
      <c r="AR1008" t="str">
        <f>IF(HRData[[#This Row],[Attrition_Risk_Level]]&lt;&gt;"High","",HRData[[#This Row],[Attrition_Risk_Score]]*10000-HRData[[#This Row],[EmployeeNumber]])</f>
        <v/>
      </c>
    </row>
    <row r="1009" spans="1:44">
      <c r="A1009">
        <v>29</v>
      </c>
      <c r="B1009" t="str" cm="1">
        <f t="array" ref="B1009">_xlfn.IFS(
HRData[[#This Row],[Age]]&lt;=24,"18-24",
HRData[[#This Row],[Age]]&lt;=34,"25-34",
HRData[[#This Row],[Age]]&lt;=44,"35-44",
HRData[[#This Row],[Age]]&lt;=54,"45-54",
HRData[[#This Row],[Age]]&gt;=55,"55+"
)</f>
        <v>25-34</v>
      </c>
      <c r="C1009" t="s">
        <v>35</v>
      </c>
      <c r="D1009">
        <f>IF(HRData[[#This Row],[Attrition]]="Yes",1,0)</f>
        <v>1</v>
      </c>
      <c r="E1009" t="s">
        <v>44</v>
      </c>
      <c r="F1009">
        <v>337</v>
      </c>
      <c r="G1009" t="s">
        <v>45</v>
      </c>
      <c r="H1009">
        <v>14</v>
      </c>
      <c r="I1009">
        <v>1</v>
      </c>
      <c r="J1009" t="s">
        <v>49</v>
      </c>
      <c r="K1009">
        <v>1</v>
      </c>
      <c r="L1009">
        <v>1421</v>
      </c>
      <c r="M1009">
        <v>3</v>
      </c>
      <c r="N1009" t="str" cm="1">
        <f t="array" ref="N1009">_xlfn.IFS(HRData[[#This Row],[EnvironmentSatisfaction]]=1,"Very Dissatisfied",
HRData[[#This Row],[EnvironmentSatisfaction]]=2,"Dissatisfied",
HRData[[#This Row],[EnvironmentSatisfaction]]=3,"Satisfied",
HRData[[#This Row],[EnvironmentSatisfaction]]=4,"Very Satisfied"
)</f>
        <v>Satisfied</v>
      </c>
      <c r="O1009" t="s">
        <v>39</v>
      </c>
      <c r="P1009">
        <v>84</v>
      </c>
      <c r="Q1009">
        <v>3</v>
      </c>
      <c r="R1009">
        <v>3</v>
      </c>
      <c r="S1009" t="s">
        <v>54</v>
      </c>
      <c r="T1009">
        <v>4</v>
      </c>
      <c r="U1009" t="str" cm="1">
        <f t="array" ref="U1009">_xlfn.IFS(
HRData[[#This Row],[JobSatisfaction]]=1,"Very Dissatisfied",
HRData[[#This Row],[JobSatisfaction]]=2,"Dissatisfied",
HRData[[#This Row],[JobSatisfaction]]=3,"Satisfied",
HRData[[#This Row],[JobSatisfaction]]=4,"Very Satisfied"
)</f>
        <v>Very Satisfied</v>
      </c>
      <c r="V1009" t="s">
        <v>41</v>
      </c>
      <c r="W1009">
        <v>7553</v>
      </c>
      <c r="X1009" t="str" cm="1">
        <f t="array" ref="X1009">_xlfn.IFS(
HRData[[#This Row],[MonthlyIncome]]&lt;=4000,"Very Low Income",
HRData[[#This Row],[MonthlyIncome]]&lt;=8000,"Low Income",
HRData[[#This Row],[MonthlyIncome]]&lt;=12000,"Moderate Income",
HRData[[#This Row],[MonthlyIncome]]&lt;=16000,"High Income",
HRData[[#This Row],[MonthlyIncome]]&gt;16000,"Very High Income"
)</f>
        <v>Low Income</v>
      </c>
      <c r="Y1009">
        <v>22930</v>
      </c>
      <c r="Z1009">
        <v>0</v>
      </c>
      <c r="AA1009" t="s">
        <v>42</v>
      </c>
      <c r="AB1009" t="s">
        <v>35</v>
      </c>
      <c r="AC1009">
        <v>12</v>
      </c>
      <c r="AD1009" t="str" cm="1">
        <f t="array" ref="AD1009">_xlfn.IFS(HRData[[#This Row],[PercentSalaryHike]]&lt;=15,"11-15",HRData[[#This Row],[PercentSalaryHike]]&lt;=20,"16-20",HRData[[#This Row],[PercentSalaryHike]]&gt;=21,"21+")</f>
        <v>11-15</v>
      </c>
      <c r="AE1009">
        <v>3</v>
      </c>
      <c r="AF1009">
        <v>1</v>
      </c>
      <c r="AG1009">
        <v>80</v>
      </c>
      <c r="AH1009">
        <v>0</v>
      </c>
      <c r="AI1009">
        <v>9</v>
      </c>
      <c r="AJ1009">
        <v>1</v>
      </c>
      <c r="AK1009">
        <v>3</v>
      </c>
      <c r="AL1009">
        <v>8</v>
      </c>
      <c r="AM1009">
        <v>7</v>
      </c>
      <c r="AN1009">
        <v>7</v>
      </c>
      <c r="AO1009">
        <v>7</v>
      </c>
      <c r="AP100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09" t="str">
        <f>IF(HRData[[#This Row],[Attrition]]="Yes","Left", IF(HRData[[#This Row],[Attrition_Risk_Score]]&gt;=6,"High",IF(HRData[[#This Row],[Attrition_Risk_Score]]&gt;=3,"Medium","Low")))</f>
        <v>Left</v>
      </c>
      <c r="AR1009" t="str">
        <f>IF(HRData[[#This Row],[Attrition_Risk_Level]]&lt;&gt;"High","",HRData[[#This Row],[Attrition_Risk_Score]]*10000-HRData[[#This Row],[EmployeeNumber]])</f>
        <v/>
      </c>
    </row>
    <row r="1010" spans="1:44">
      <c r="A1010">
        <v>54</v>
      </c>
      <c r="B1010" t="str" cm="1">
        <f t="array" ref="B1010">_xlfn.IFS(
HRData[[#This Row],[Age]]&lt;=24,"18-24",
HRData[[#This Row],[Age]]&lt;=34,"25-34",
HRData[[#This Row],[Age]]&lt;=44,"35-44",
HRData[[#This Row],[Age]]&lt;=54,"45-54",
HRData[[#This Row],[Age]]&gt;=55,"55+"
)</f>
        <v>45-54</v>
      </c>
      <c r="C1010" t="s">
        <v>43</v>
      </c>
      <c r="D1010">
        <f>IF(HRData[[#This Row],[Attrition]]="Yes",1,0)</f>
        <v>0</v>
      </c>
      <c r="E1010" t="s">
        <v>36</v>
      </c>
      <c r="F1010">
        <v>971</v>
      </c>
      <c r="G1010" t="s">
        <v>45</v>
      </c>
      <c r="H1010">
        <v>1</v>
      </c>
      <c r="I1010">
        <v>3</v>
      </c>
      <c r="J1010" t="s">
        <v>51</v>
      </c>
      <c r="K1010">
        <v>1</v>
      </c>
      <c r="L1010">
        <v>1422</v>
      </c>
      <c r="M1010">
        <v>4</v>
      </c>
      <c r="N1010" t="str" cm="1">
        <f t="array" ref="N1010">_xlfn.IFS(HRData[[#This Row],[EnvironmentSatisfaction]]=1,"Very Dissatisfied",
HRData[[#This Row],[EnvironmentSatisfaction]]=2,"Dissatisfied",
HRData[[#This Row],[EnvironmentSatisfaction]]=3,"Satisfied",
HRData[[#This Row],[EnvironmentSatisfaction]]=4,"Very Satisfied"
)</f>
        <v>Very Satisfied</v>
      </c>
      <c r="O1010" t="s">
        <v>39</v>
      </c>
      <c r="P1010">
        <v>54</v>
      </c>
      <c r="Q1010">
        <v>3</v>
      </c>
      <c r="R1010">
        <v>4</v>
      </c>
      <c r="S1010" t="s">
        <v>58</v>
      </c>
      <c r="T1010">
        <v>4</v>
      </c>
      <c r="U1010" t="str" cm="1">
        <f t="array" ref="U1010">_xlfn.IFS(
HRData[[#This Row],[JobSatisfaction]]=1,"Very Dissatisfied",
HRData[[#This Row],[JobSatisfaction]]=2,"Dissatisfied",
HRData[[#This Row],[JobSatisfaction]]=3,"Satisfied",
HRData[[#This Row],[JobSatisfaction]]=4,"Very Satisfied"
)</f>
        <v>Very Satisfied</v>
      </c>
      <c r="V1010" t="s">
        <v>41</v>
      </c>
      <c r="W1010">
        <v>17328</v>
      </c>
      <c r="X1010" t="str" cm="1">
        <f t="array" ref="X1010">_xlfn.IFS(
HRData[[#This Row],[MonthlyIncome]]&lt;=4000,"Very Low Income",
HRData[[#This Row],[MonthlyIncome]]&lt;=8000,"Low Income",
HRData[[#This Row],[MonthlyIncome]]&lt;=12000,"Moderate Income",
HRData[[#This Row],[MonthlyIncome]]&lt;=16000,"High Income",
HRData[[#This Row],[MonthlyIncome]]&gt;16000,"Very High Income"
)</f>
        <v>Very High Income</v>
      </c>
      <c r="Y1010">
        <v>5652</v>
      </c>
      <c r="Z1010">
        <v>6</v>
      </c>
      <c r="AA1010" t="s">
        <v>42</v>
      </c>
      <c r="AB1010" t="s">
        <v>43</v>
      </c>
      <c r="AC1010">
        <v>19</v>
      </c>
      <c r="AD1010" t="str" cm="1">
        <f t="array" ref="AD1010">_xlfn.IFS(HRData[[#This Row],[PercentSalaryHike]]&lt;=15,"11-15",HRData[[#This Row],[PercentSalaryHike]]&lt;=20,"16-20",HRData[[#This Row],[PercentSalaryHike]]&gt;=21,"21+")</f>
        <v>16-20</v>
      </c>
      <c r="AE1010">
        <v>3</v>
      </c>
      <c r="AF1010">
        <v>4</v>
      </c>
      <c r="AG1010">
        <v>80</v>
      </c>
      <c r="AH1010">
        <v>0</v>
      </c>
      <c r="AI1010">
        <v>29</v>
      </c>
      <c r="AJ1010">
        <v>3</v>
      </c>
      <c r="AK1010">
        <v>2</v>
      </c>
      <c r="AL1010">
        <v>20</v>
      </c>
      <c r="AM1010">
        <v>7</v>
      </c>
      <c r="AN1010">
        <v>12</v>
      </c>
      <c r="AO1010">
        <v>7</v>
      </c>
      <c r="AP101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010" t="str">
        <f>IF(HRData[[#This Row],[Attrition]]="Yes","Left", IF(HRData[[#This Row],[Attrition_Risk_Score]]&gt;=6,"High",IF(HRData[[#This Row],[Attrition_Risk_Score]]&gt;=3,"Medium","Low")))</f>
        <v>Low</v>
      </c>
      <c r="AR1010" t="str">
        <f>IF(HRData[[#This Row],[Attrition_Risk_Level]]&lt;&gt;"High","",HRData[[#This Row],[Attrition_Risk_Score]]*10000-HRData[[#This Row],[EmployeeNumber]])</f>
        <v/>
      </c>
    </row>
    <row r="1011" spans="1:44">
      <c r="A1011">
        <v>58</v>
      </c>
      <c r="B1011" t="str" cm="1">
        <f t="array" ref="B1011">_xlfn.IFS(
HRData[[#This Row],[Age]]&lt;=24,"18-24",
HRData[[#This Row],[Age]]&lt;=34,"25-34",
HRData[[#This Row],[Age]]&lt;=44,"35-44",
HRData[[#This Row],[Age]]&lt;=54,"45-54",
HRData[[#This Row],[Age]]&gt;=55,"55+"
)</f>
        <v>55+</v>
      </c>
      <c r="C1011" t="s">
        <v>43</v>
      </c>
      <c r="D1011">
        <f>IF(HRData[[#This Row],[Attrition]]="Yes",1,0)</f>
        <v>0</v>
      </c>
      <c r="E1011" t="s">
        <v>36</v>
      </c>
      <c r="F1011">
        <v>1055</v>
      </c>
      <c r="G1011" t="s">
        <v>45</v>
      </c>
      <c r="H1011">
        <v>1</v>
      </c>
      <c r="I1011">
        <v>3</v>
      </c>
      <c r="J1011" t="s">
        <v>51</v>
      </c>
      <c r="K1011">
        <v>1</v>
      </c>
      <c r="L1011">
        <v>1423</v>
      </c>
      <c r="M1011">
        <v>4</v>
      </c>
      <c r="N1011" t="str" cm="1">
        <f t="array" ref="N1011">_xlfn.IFS(HRData[[#This Row],[EnvironmentSatisfaction]]=1,"Very Dissatisfied",
HRData[[#This Row],[EnvironmentSatisfaction]]=2,"Dissatisfied",
HRData[[#This Row],[EnvironmentSatisfaction]]=3,"Satisfied",
HRData[[#This Row],[EnvironmentSatisfaction]]=4,"Very Satisfied"
)</f>
        <v>Very Satisfied</v>
      </c>
      <c r="O1011" t="s">
        <v>39</v>
      </c>
      <c r="P1011">
        <v>76</v>
      </c>
      <c r="Q1011">
        <v>3</v>
      </c>
      <c r="R1011">
        <v>5</v>
      </c>
      <c r="S1011" t="s">
        <v>58</v>
      </c>
      <c r="T1011">
        <v>1</v>
      </c>
      <c r="U1011" t="str" cm="1">
        <f t="array" ref="U1011">_xlfn.IFS(
HRData[[#This Row],[JobSatisfaction]]=1,"Very Dissatisfied",
HRData[[#This Row],[JobSatisfaction]]=2,"Dissatisfied",
HRData[[#This Row],[JobSatisfaction]]=3,"Satisfied",
HRData[[#This Row],[JobSatisfaction]]=4,"Very Satisfied"
)</f>
        <v>Very Dissatisfied</v>
      </c>
      <c r="V1011" t="s">
        <v>48</v>
      </c>
      <c r="W1011">
        <v>19701</v>
      </c>
      <c r="X1011" t="str" cm="1">
        <f t="array" ref="X1011">_xlfn.IFS(
HRData[[#This Row],[MonthlyIncome]]&lt;=4000,"Very Low Income",
HRData[[#This Row],[MonthlyIncome]]&lt;=8000,"Low Income",
HRData[[#This Row],[MonthlyIncome]]&lt;=12000,"Moderate Income",
HRData[[#This Row],[MonthlyIncome]]&lt;=16000,"High Income",
HRData[[#This Row],[MonthlyIncome]]&gt;16000,"Very High Income"
)</f>
        <v>Very High Income</v>
      </c>
      <c r="Y1011">
        <v>22456</v>
      </c>
      <c r="Z1011">
        <v>3</v>
      </c>
      <c r="AA1011" t="s">
        <v>42</v>
      </c>
      <c r="AB1011" t="s">
        <v>35</v>
      </c>
      <c r="AC1011">
        <v>21</v>
      </c>
      <c r="AD1011" t="str" cm="1">
        <f t="array" ref="AD1011">_xlfn.IFS(HRData[[#This Row],[PercentSalaryHike]]&lt;=15,"11-15",HRData[[#This Row],[PercentSalaryHike]]&lt;=20,"16-20",HRData[[#This Row],[PercentSalaryHike]]&gt;=21,"21+")</f>
        <v>21+</v>
      </c>
      <c r="AE1011">
        <v>4</v>
      </c>
      <c r="AF1011">
        <v>3</v>
      </c>
      <c r="AG1011">
        <v>80</v>
      </c>
      <c r="AH1011">
        <v>1</v>
      </c>
      <c r="AI1011">
        <v>32</v>
      </c>
      <c r="AJ1011">
        <v>3</v>
      </c>
      <c r="AK1011">
        <v>3</v>
      </c>
      <c r="AL1011">
        <v>9</v>
      </c>
      <c r="AM1011">
        <v>8</v>
      </c>
      <c r="AN1011">
        <v>1</v>
      </c>
      <c r="AO1011">
        <v>5</v>
      </c>
      <c r="AP101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11" t="str">
        <f>IF(HRData[[#This Row],[Attrition]]="Yes","Left", IF(HRData[[#This Row],[Attrition_Risk_Score]]&gt;=6,"High",IF(HRData[[#This Row],[Attrition_Risk_Score]]&gt;=3,"Medium","Low")))</f>
        <v>Medium</v>
      </c>
      <c r="AR1011" t="str">
        <f>IF(HRData[[#This Row],[Attrition_Risk_Level]]&lt;&gt;"High","",HRData[[#This Row],[Attrition_Risk_Score]]*10000-HRData[[#This Row],[EmployeeNumber]])</f>
        <v/>
      </c>
    </row>
    <row r="1012" spans="1:44">
      <c r="A1012">
        <v>55</v>
      </c>
      <c r="B1012" t="str" cm="1">
        <f t="array" ref="B1012">_xlfn.IFS(
HRData[[#This Row],[Age]]&lt;=24,"18-24",
HRData[[#This Row],[Age]]&lt;=34,"25-34",
HRData[[#This Row],[Age]]&lt;=44,"35-44",
HRData[[#This Row],[Age]]&lt;=54,"45-54",
HRData[[#This Row],[Age]]&gt;=55,"55+"
)</f>
        <v>55+</v>
      </c>
      <c r="C1012" t="s">
        <v>43</v>
      </c>
      <c r="D1012">
        <f>IF(HRData[[#This Row],[Attrition]]="Yes",1,0)</f>
        <v>0</v>
      </c>
      <c r="E1012" t="s">
        <v>36</v>
      </c>
      <c r="F1012">
        <v>1136</v>
      </c>
      <c r="G1012" t="s">
        <v>45</v>
      </c>
      <c r="H1012">
        <v>1</v>
      </c>
      <c r="I1012">
        <v>4</v>
      </c>
      <c r="J1012" t="s">
        <v>51</v>
      </c>
      <c r="K1012">
        <v>1</v>
      </c>
      <c r="L1012">
        <v>1424</v>
      </c>
      <c r="M1012">
        <v>2</v>
      </c>
      <c r="N1012" t="str" cm="1">
        <f t="array" ref="N1012">_xlfn.IFS(HRData[[#This Row],[EnvironmentSatisfaction]]=1,"Very Dissatisfied",
HRData[[#This Row],[EnvironmentSatisfaction]]=2,"Dissatisfied",
HRData[[#This Row],[EnvironmentSatisfaction]]=3,"Satisfied",
HRData[[#This Row],[EnvironmentSatisfaction]]=4,"Very Satisfied"
)</f>
        <v>Dissatisfied</v>
      </c>
      <c r="O1012" t="s">
        <v>46</v>
      </c>
      <c r="P1012">
        <v>81</v>
      </c>
      <c r="Q1012">
        <v>4</v>
      </c>
      <c r="R1012">
        <v>4</v>
      </c>
      <c r="S1012" t="s">
        <v>58</v>
      </c>
      <c r="T1012">
        <v>4</v>
      </c>
      <c r="U1012" t="str" cm="1">
        <f t="array" ref="U1012">_xlfn.IFS(
HRData[[#This Row],[JobSatisfaction]]=1,"Very Dissatisfied",
HRData[[#This Row],[JobSatisfaction]]=2,"Dissatisfied",
HRData[[#This Row],[JobSatisfaction]]=3,"Satisfied",
HRData[[#This Row],[JobSatisfaction]]=4,"Very Satisfied"
)</f>
        <v>Very Satisfied</v>
      </c>
      <c r="V1012" t="s">
        <v>52</v>
      </c>
      <c r="W1012">
        <v>14732</v>
      </c>
      <c r="X1012" t="str" cm="1">
        <f t="array" ref="X1012">_xlfn.IFS(
HRData[[#This Row],[MonthlyIncome]]&lt;=4000,"Very Low Income",
HRData[[#This Row],[MonthlyIncome]]&lt;=8000,"Low Income",
HRData[[#This Row],[MonthlyIncome]]&lt;=12000,"Moderate Income",
HRData[[#This Row],[MonthlyIncome]]&lt;=16000,"High Income",
HRData[[#This Row],[MonthlyIncome]]&gt;16000,"Very High Income"
)</f>
        <v>High Income</v>
      </c>
      <c r="Y1012">
        <v>12414</v>
      </c>
      <c r="Z1012">
        <v>2</v>
      </c>
      <c r="AA1012" t="s">
        <v>42</v>
      </c>
      <c r="AB1012" t="s">
        <v>43</v>
      </c>
      <c r="AC1012">
        <v>13</v>
      </c>
      <c r="AD1012" t="str" cm="1">
        <f t="array" ref="AD1012">_xlfn.IFS(HRData[[#This Row],[PercentSalaryHike]]&lt;=15,"11-15",HRData[[#This Row],[PercentSalaryHike]]&lt;=20,"16-20",HRData[[#This Row],[PercentSalaryHike]]&gt;=21,"21+")</f>
        <v>11-15</v>
      </c>
      <c r="AE1012">
        <v>3</v>
      </c>
      <c r="AF1012">
        <v>4</v>
      </c>
      <c r="AG1012">
        <v>80</v>
      </c>
      <c r="AH1012">
        <v>2</v>
      </c>
      <c r="AI1012">
        <v>31</v>
      </c>
      <c r="AJ1012">
        <v>4</v>
      </c>
      <c r="AK1012">
        <v>4</v>
      </c>
      <c r="AL1012">
        <v>7</v>
      </c>
      <c r="AM1012">
        <v>7</v>
      </c>
      <c r="AN1012">
        <v>0</v>
      </c>
      <c r="AO1012">
        <v>0</v>
      </c>
      <c r="AP101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012" t="str">
        <f>IF(HRData[[#This Row],[Attrition]]="Yes","Left", IF(HRData[[#This Row],[Attrition_Risk_Score]]&gt;=6,"High",IF(HRData[[#This Row],[Attrition_Risk_Score]]&gt;=3,"Medium","Low")))</f>
        <v>Low</v>
      </c>
      <c r="AR1012" t="str">
        <f>IF(HRData[[#This Row],[Attrition_Risk_Level]]&lt;&gt;"High","",HRData[[#This Row],[Attrition_Risk_Score]]*10000-HRData[[#This Row],[EmployeeNumber]])</f>
        <v/>
      </c>
    </row>
    <row r="1013" spans="1:44">
      <c r="A1013">
        <v>36</v>
      </c>
      <c r="B1013" t="str" cm="1">
        <f t="array" ref="B1013">_xlfn.IFS(
HRData[[#This Row],[Age]]&lt;=24,"18-24",
HRData[[#This Row],[Age]]&lt;=34,"25-34",
HRData[[#This Row],[Age]]&lt;=44,"35-44",
HRData[[#This Row],[Age]]&lt;=54,"45-54",
HRData[[#This Row],[Age]]&gt;=55,"55+"
)</f>
        <v>35-44</v>
      </c>
      <c r="C1013" t="s">
        <v>43</v>
      </c>
      <c r="D1013">
        <f>IF(HRData[[#This Row],[Attrition]]="Yes",1,0)</f>
        <v>0</v>
      </c>
      <c r="E1013" t="s">
        <v>36</v>
      </c>
      <c r="F1013">
        <v>1174</v>
      </c>
      <c r="G1013" t="s">
        <v>37</v>
      </c>
      <c r="H1013">
        <v>3</v>
      </c>
      <c r="I1013">
        <v>4</v>
      </c>
      <c r="J1013" t="s">
        <v>59</v>
      </c>
      <c r="K1013">
        <v>1</v>
      </c>
      <c r="L1013">
        <v>1425</v>
      </c>
      <c r="M1013">
        <v>1</v>
      </c>
      <c r="N1013" t="str" cm="1">
        <f t="array" ref="N1013">_xlfn.IFS(HRData[[#This Row],[EnvironmentSatisfaction]]=1,"Very Dissatisfied",
HRData[[#This Row],[EnvironmentSatisfaction]]=2,"Dissatisfied",
HRData[[#This Row],[EnvironmentSatisfaction]]=3,"Satisfied",
HRData[[#This Row],[EnvironmentSatisfaction]]=4,"Very Satisfied"
)</f>
        <v>Very Dissatisfied</v>
      </c>
      <c r="O1013" t="s">
        <v>39</v>
      </c>
      <c r="P1013">
        <v>99</v>
      </c>
      <c r="Q1013">
        <v>3</v>
      </c>
      <c r="R1013">
        <v>2</v>
      </c>
      <c r="S1013" t="s">
        <v>40</v>
      </c>
      <c r="T1013">
        <v>2</v>
      </c>
      <c r="U1013" t="str" cm="1">
        <f t="array" ref="U1013">_xlfn.IFS(
HRData[[#This Row],[JobSatisfaction]]=1,"Very Dissatisfied",
HRData[[#This Row],[JobSatisfaction]]=2,"Dissatisfied",
HRData[[#This Row],[JobSatisfaction]]=3,"Satisfied",
HRData[[#This Row],[JobSatisfaction]]=4,"Very Satisfied"
)</f>
        <v>Dissatisfied</v>
      </c>
      <c r="V1013" t="s">
        <v>41</v>
      </c>
      <c r="W1013">
        <v>9278</v>
      </c>
      <c r="X1013" t="str" cm="1">
        <f t="array" ref="X1013">_xlfn.IFS(
HRData[[#This Row],[MonthlyIncome]]&lt;=4000,"Very Low Income",
HRData[[#This Row],[MonthlyIncome]]&lt;=8000,"Low Income",
HRData[[#This Row],[MonthlyIncome]]&lt;=12000,"Moderate Income",
HRData[[#This Row],[MonthlyIncome]]&lt;=16000,"High Income",
HRData[[#This Row],[MonthlyIncome]]&gt;16000,"Very High Income"
)</f>
        <v>Moderate Income</v>
      </c>
      <c r="Y1013">
        <v>20763</v>
      </c>
      <c r="Z1013">
        <v>3</v>
      </c>
      <c r="AA1013" t="s">
        <v>42</v>
      </c>
      <c r="AB1013" t="s">
        <v>35</v>
      </c>
      <c r="AC1013">
        <v>16</v>
      </c>
      <c r="AD1013" t="str" cm="1">
        <f t="array" ref="AD1013">_xlfn.IFS(HRData[[#This Row],[PercentSalaryHike]]&lt;=15,"11-15",HRData[[#This Row],[PercentSalaryHike]]&lt;=20,"16-20",HRData[[#This Row],[PercentSalaryHike]]&gt;=21,"21+")</f>
        <v>16-20</v>
      </c>
      <c r="AE1013">
        <v>3</v>
      </c>
      <c r="AF1013">
        <v>4</v>
      </c>
      <c r="AG1013">
        <v>80</v>
      </c>
      <c r="AH1013">
        <v>0</v>
      </c>
      <c r="AI1013">
        <v>15</v>
      </c>
      <c r="AJ1013">
        <v>3</v>
      </c>
      <c r="AK1013">
        <v>3</v>
      </c>
      <c r="AL1013">
        <v>5</v>
      </c>
      <c r="AM1013">
        <v>4</v>
      </c>
      <c r="AN1013">
        <v>0</v>
      </c>
      <c r="AO1013">
        <v>1</v>
      </c>
      <c r="AP101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13" t="str">
        <f>IF(HRData[[#This Row],[Attrition]]="Yes","Left", IF(HRData[[#This Row],[Attrition_Risk_Score]]&gt;=6,"High",IF(HRData[[#This Row],[Attrition_Risk_Score]]&gt;=3,"Medium","Low")))</f>
        <v>Low</v>
      </c>
      <c r="AR1013" t="str">
        <f>IF(HRData[[#This Row],[Attrition_Risk_Level]]&lt;&gt;"High","",HRData[[#This Row],[Attrition_Risk_Score]]*10000-HRData[[#This Row],[EmployeeNumber]])</f>
        <v/>
      </c>
    </row>
    <row r="1014" spans="1:44">
      <c r="A1014">
        <v>31</v>
      </c>
      <c r="B1014" t="str" cm="1">
        <f t="array" ref="B1014">_xlfn.IFS(
HRData[[#This Row],[Age]]&lt;=24,"18-24",
HRData[[#This Row],[Age]]&lt;=34,"25-34",
HRData[[#This Row],[Age]]&lt;=44,"35-44",
HRData[[#This Row],[Age]]&lt;=54,"45-54",
HRData[[#This Row],[Age]]&gt;=55,"55+"
)</f>
        <v>25-34</v>
      </c>
      <c r="C1014" t="s">
        <v>35</v>
      </c>
      <c r="D1014">
        <f>IF(HRData[[#This Row],[Attrition]]="Yes",1,0)</f>
        <v>1</v>
      </c>
      <c r="E1014" t="s">
        <v>44</v>
      </c>
      <c r="F1014">
        <v>667</v>
      </c>
      <c r="G1014" t="s">
        <v>37</v>
      </c>
      <c r="H1014">
        <v>1</v>
      </c>
      <c r="I1014">
        <v>4</v>
      </c>
      <c r="J1014" t="s">
        <v>38</v>
      </c>
      <c r="K1014">
        <v>1</v>
      </c>
      <c r="L1014">
        <v>1427</v>
      </c>
      <c r="M1014">
        <v>2</v>
      </c>
      <c r="N1014" t="str" cm="1">
        <f t="array" ref="N1014">_xlfn.IFS(HRData[[#This Row],[EnvironmentSatisfaction]]=1,"Very Dissatisfied",
HRData[[#This Row],[EnvironmentSatisfaction]]=2,"Dissatisfied",
HRData[[#This Row],[EnvironmentSatisfaction]]=3,"Satisfied",
HRData[[#This Row],[EnvironmentSatisfaction]]=4,"Very Satisfied"
)</f>
        <v>Dissatisfied</v>
      </c>
      <c r="O1014" t="s">
        <v>39</v>
      </c>
      <c r="P1014">
        <v>50</v>
      </c>
      <c r="Q1014">
        <v>1</v>
      </c>
      <c r="R1014">
        <v>1</v>
      </c>
      <c r="S1014" t="s">
        <v>57</v>
      </c>
      <c r="T1014">
        <v>3</v>
      </c>
      <c r="U1014" t="str" cm="1">
        <f t="array" ref="U1014">_xlfn.IFS(
HRData[[#This Row],[JobSatisfaction]]=1,"Very Dissatisfied",
HRData[[#This Row],[JobSatisfaction]]=2,"Dissatisfied",
HRData[[#This Row],[JobSatisfaction]]=3,"Satisfied",
HRData[[#This Row],[JobSatisfaction]]=4,"Very Satisfied"
)</f>
        <v>Satisfied</v>
      </c>
      <c r="V1014" t="s">
        <v>41</v>
      </c>
      <c r="W1014">
        <v>1359</v>
      </c>
      <c r="X1014" t="str" cm="1">
        <f t="array" ref="X1014">_xlfn.IFS(
HRData[[#This Row],[MonthlyIncome]]&lt;=4000,"Very Low Income",
HRData[[#This Row],[MonthlyIncome]]&lt;=8000,"Low Income",
HRData[[#This Row],[MonthlyIncome]]&lt;=12000,"Moderate Income",
HRData[[#This Row],[MonthlyIncome]]&lt;=16000,"High Income",
HRData[[#This Row],[MonthlyIncome]]&gt;16000,"Very High Income"
)</f>
        <v>Very Low Income</v>
      </c>
      <c r="Y1014">
        <v>16154</v>
      </c>
      <c r="Z1014">
        <v>1</v>
      </c>
      <c r="AA1014" t="s">
        <v>42</v>
      </c>
      <c r="AB1014" t="s">
        <v>43</v>
      </c>
      <c r="AC1014">
        <v>12</v>
      </c>
      <c r="AD1014" t="str" cm="1">
        <f t="array" ref="AD1014">_xlfn.IFS(HRData[[#This Row],[PercentSalaryHike]]&lt;=15,"11-15",HRData[[#This Row],[PercentSalaryHike]]&lt;=20,"16-20",HRData[[#This Row],[PercentSalaryHike]]&gt;=21,"21+")</f>
        <v>11-15</v>
      </c>
      <c r="AE1014">
        <v>3</v>
      </c>
      <c r="AF1014">
        <v>2</v>
      </c>
      <c r="AG1014">
        <v>80</v>
      </c>
      <c r="AH1014">
        <v>0</v>
      </c>
      <c r="AI1014">
        <v>1</v>
      </c>
      <c r="AJ1014">
        <v>3</v>
      </c>
      <c r="AK1014">
        <v>3</v>
      </c>
      <c r="AL1014">
        <v>1</v>
      </c>
      <c r="AM1014">
        <v>0</v>
      </c>
      <c r="AN1014">
        <v>0</v>
      </c>
      <c r="AO1014">
        <v>0</v>
      </c>
      <c r="AP101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14" t="str">
        <f>IF(HRData[[#This Row],[Attrition]]="Yes","Left", IF(HRData[[#This Row],[Attrition_Risk_Score]]&gt;=6,"High",IF(HRData[[#This Row],[Attrition_Risk_Score]]&gt;=3,"Medium","Low")))</f>
        <v>Left</v>
      </c>
      <c r="AR1014" t="str">
        <f>IF(HRData[[#This Row],[Attrition_Risk_Level]]&lt;&gt;"High","",HRData[[#This Row],[Attrition_Risk_Score]]*10000-HRData[[#This Row],[EmployeeNumber]])</f>
        <v/>
      </c>
    </row>
    <row r="1015" spans="1:44">
      <c r="A1015">
        <v>30</v>
      </c>
      <c r="B1015" t="str" cm="1">
        <f t="array" ref="B1015">_xlfn.IFS(
HRData[[#This Row],[Age]]&lt;=24,"18-24",
HRData[[#This Row],[Age]]&lt;=34,"25-34",
HRData[[#This Row],[Age]]&lt;=44,"35-44",
HRData[[#This Row],[Age]]&lt;=54,"45-54",
HRData[[#This Row],[Age]]&gt;=55,"55+"
)</f>
        <v>25-34</v>
      </c>
      <c r="C1015" t="s">
        <v>43</v>
      </c>
      <c r="D1015">
        <f>IF(HRData[[#This Row],[Attrition]]="Yes",1,0)</f>
        <v>0</v>
      </c>
      <c r="E1015" t="s">
        <v>36</v>
      </c>
      <c r="F1015">
        <v>855</v>
      </c>
      <c r="G1015" t="s">
        <v>37</v>
      </c>
      <c r="H1015">
        <v>7</v>
      </c>
      <c r="I1015">
        <v>4</v>
      </c>
      <c r="J1015" t="s">
        <v>59</v>
      </c>
      <c r="K1015">
        <v>1</v>
      </c>
      <c r="L1015">
        <v>1428</v>
      </c>
      <c r="M1015">
        <v>4</v>
      </c>
      <c r="N1015" t="str" cm="1">
        <f t="array" ref="N1015">_xlfn.IFS(HRData[[#This Row],[EnvironmentSatisfaction]]=1,"Very Dissatisfied",
HRData[[#This Row],[EnvironmentSatisfaction]]=2,"Dissatisfied",
HRData[[#This Row],[EnvironmentSatisfaction]]=3,"Satisfied",
HRData[[#This Row],[EnvironmentSatisfaction]]=4,"Very Satisfied"
)</f>
        <v>Very Satisfied</v>
      </c>
      <c r="O1015" t="s">
        <v>39</v>
      </c>
      <c r="P1015">
        <v>73</v>
      </c>
      <c r="Q1015">
        <v>3</v>
      </c>
      <c r="R1015">
        <v>2</v>
      </c>
      <c r="S1015" t="s">
        <v>40</v>
      </c>
      <c r="T1015">
        <v>1</v>
      </c>
      <c r="U1015" t="str" cm="1">
        <f t="array" ref="U1015">_xlfn.IFS(
HRData[[#This Row],[JobSatisfaction]]=1,"Very Dissatisfied",
HRData[[#This Row],[JobSatisfaction]]=2,"Dissatisfied",
HRData[[#This Row],[JobSatisfaction]]=3,"Satisfied",
HRData[[#This Row],[JobSatisfaction]]=4,"Very Satisfied"
)</f>
        <v>Very Dissatisfied</v>
      </c>
      <c r="V1015" t="s">
        <v>52</v>
      </c>
      <c r="W1015">
        <v>4779</v>
      </c>
      <c r="X1015" t="str" cm="1">
        <f t="array" ref="X1015">_xlfn.IFS(
HRData[[#This Row],[MonthlyIncome]]&lt;=4000,"Very Low Income",
HRData[[#This Row],[MonthlyIncome]]&lt;=8000,"Low Income",
HRData[[#This Row],[MonthlyIncome]]&lt;=12000,"Moderate Income",
HRData[[#This Row],[MonthlyIncome]]&lt;=16000,"High Income",
HRData[[#This Row],[MonthlyIncome]]&gt;16000,"Very High Income"
)</f>
        <v>Low Income</v>
      </c>
      <c r="Y1015">
        <v>12761</v>
      </c>
      <c r="Z1015">
        <v>7</v>
      </c>
      <c r="AA1015" t="s">
        <v>42</v>
      </c>
      <c r="AB1015" t="s">
        <v>43</v>
      </c>
      <c r="AC1015">
        <v>14</v>
      </c>
      <c r="AD1015" t="str" cm="1">
        <f t="array" ref="AD1015">_xlfn.IFS(HRData[[#This Row],[PercentSalaryHike]]&lt;=15,"11-15",HRData[[#This Row],[PercentSalaryHike]]&lt;=20,"16-20",HRData[[#This Row],[PercentSalaryHike]]&gt;=21,"21+")</f>
        <v>11-15</v>
      </c>
      <c r="AE1015">
        <v>3</v>
      </c>
      <c r="AF1015">
        <v>2</v>
      </c>
      <c r="AG1015">
        <v>80</v>
      </c>
      <c r="AH1015">
        <v>2</v>
      </c>
      <c r="AI1015">
        <v>8</v>
      </c>
      <c r="AJ1015">
        <v>3</v>
      </c>
      <c r="AK1015">
        <v>3</v>
      </c>
      <c r="AL1015">
        <v>3</v>
      </c>
      <c r="AM1015">
        <v>2</v>
      </c>
      <c r="AN1015">
        <v>0</v>
      </c>
      <c r="AO1015">
        <v>2</v>
      </c>
      <c r="AP101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15" t="str">
        <f>IF(HRData[[#This Row],[Attrition]]="Yes","Left", IF(HRData[[#This Row],[Attrition_Risk_Score]]&gt;=6,"High",IF(HRData[[#This Row],[Attrition_Risk_Score]]&gt;=3,"Medium","Low")))</f>
        <v>Medium</v>
      </c>
      <c r="AR1015" t="str">
        <f>IF(HRData[[#This Row],[Attrition_Risk_Level]]&lt;&gt;"High","",HRData[[#This Row],[Attrition_Risk_Score]]*10000-HRData[[#This Row],[EmployeeNumber]])</f>
        <v/>
      </c>
    </row>
    <row r="1016" spans="1:44">
      <c r="A1016">
        <v>31</v>
      </c>
      <c r="B1016" t="str" cm="1">
        <f t="array" ref="B1016">_xlfn.IFS(
HRData[[#This Row],[Age]]&lt;=24,"18-24",
HRData[[#This Row],[Age]]&lt;=34,"25-34",
HRData[[#This Row],[Age]]&lt;=44,"35-44",
HRData[[#This Row],[Age]]&lt;=54,"45-54",
HRData[[#This Row],[Age]]&gt;=55,"55+"
)</f>
        <v>25-34</v>
      </c>
      <c r="C1016" t="s">
        <v>43</v>
      </c>
      <c r="D1016">
        <f>IF(HRData[[#This Row],[Attrition]]="Yes",1,0)</f>
        <v>0</v>
      </c>
      <c r="E1016" t="s">
        <v>36</v>
      </c>
      <c r="F1016">
        <v>182</v>
      </c>
      <c r="G1016" t="s">
        <v>45</v>
      </c>
      <c r="H1016">
        <v>8</v>
      </c>
      <c r="I1016">
        <v>5</v>
      </c>
      <c r="J1016" t="s">
        <v>38</v>
      </c>
      <c r="K1016">
        <v>1</v>
      </c>
      <c r="L1016">
        <v>1430</v>
      </c>
      <c r="M1016">
        <v>1</v>
      </c>
      <c r="N1016" t="str" cm="1">
        <f t="array" ref="N1016">_xlfn.IFS(HRData[[#This Row],[EnvironmentSatisfaction]]=1,"Very Dissatisfied",
HRData[[#This Row],[EnvironmentSatisfaction]]=2,"Dissatisfied",
HRData[[#This Row],[EnvironmentSatisfaction]]=3,"Satisfied",
HRData[[#This Row],[EnvironmentSatisfaction]]=4,"Very Satisfied"
)</f>
        <v>Very Dissatisfied</v>
      </c>
      <c r="O1016" t="s">
        <v>39</v>
      </c>
      <c r="P1016">
        <v>93</v>
      </c>
      <c r="Q1016">
        <v>3</v>
      </c>
      <c r="R1016">
        <v>4</v>
      </c>
      <c r="S1016" t="s">
        <v>58</v>
      </c>
      <c r="T1016">
        <v>2</v>
      </c>
      <c r="U1016" t="str" cm="1">
        <f t="array" ref="U1016">_xlfn.IFS(
HRData[[#This Row],[JobSatisfaction]]=1,"Very Dissatisfied",
HRData[[#This Row],[JobSatisfaction]]=2,"Dissatisfied",
HRData[[#This Row],[JobSatisfaction]]=3,"Satisfied",
HRData[[#This Row],[JobSatisfaction]]=4,"Very Satisfied"
)</f>
        <v>Dissatisfied</v>
      </c>
      <c r="V1016" t="s">
        <v>41</v>
      </c>
      <c r="W1016">
        <v>16422</v>
      </c>
      <c r="X1016" t="str" cm="1">
        <f t="array" ref="X1016">_xlfn.IFS(
HRData[[#This Row],[MonthlyIncome]]&lt;=4000,"Very Low Income",
HRData[[#This Row],[MonthlyIncome]]&lt;=8000,"Low Income",
HRData[[#This Row],[MonthlyIncome]]&lt;=12000,"Moderate Income",
HRData[[#This Row],[MonthlyIncome]]&lt;=16000,"High Income",
HRData[[#This Row],[MonthlyIncome]]&gt;16000,"Very High Income"
)</f>
        <v>Very High Income</v>
      </c>
      <c r="Y1016">
        <v>8847</v>
      </c>
      <c r="Z1016">
        <v>3</v>
      </c>
      <c r="AA1016" t="s">
        <v>42</v>
      </c>
      <c r="AB1016" t="s">
        <v>43</v>
      </c>
      <c r="AC1016">
        <v>11</v>
      </c>
      <c r="AD1016" t="str" cm="1">
        <f t="array" ref="AD1016">_xlfn.IFS(HRData[[#This Row],[PercentSalaryHike]]&lt;=15,"11-15",HRData[[#This Row],[PercentSalaryHike]]&lt;=20,"16-20",HRData[[#This Row],[PercentSalaryHike]]&gt;=21,"21+")</f>
        <v>11-15</v>
      </c>
      <c r="AE1016">
        <v>3</v>
      </c>
      <c r="AF1016">
        <v>3</v>
      </c>
      <c r="AG1016">
        <v>80</v>
      </c>
      <c r="AH1016">
        <v>0</v>
      </c>
      <c r="AI1016">
        <v>9</v>
      </c>
      <c r="AJ1016">
        <v>3</v>
      </c>
      <c r="AK1016">
        <v>4</v>
      </c>
      <c r="AL1016">
        <v>3</v>
      </c>
      <c r="AM1016">
        <v>2</v>
      </c>
      <c r="AN1016">
        <v>1</v>
      </c>
      <c r="AO1016">
        <v>0</v>
      </c>
      <c r="AP101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016" t="str">
        <f>IF(HRData[[#This Row],[Attrition]]="Yes","Left", IF(HRData[[#This Row],[Attrition_Risk_Score]]&gt;=6,"High",IF(HRData[[#This Row],[Attrition_Risk_Score]]&gt;=3,"Medium","Low")))</f>
        <v>Low</v>
      </c>
      <c r="AR1016" t="str">
        <f>IF(HRData[[#This Row],[Attrition_Risk_Level]]&lt;&gt;"High","",HRData[[#This Row],[Attrition_Risk_Score]]*10000-HRData[[#This Row],[EmployeeNumber]])</f>
        <v/>
      </c>
    </row>
    <row r="1017" spans="1:44">
      <c r="A1017">
        <v>34</v>
      </c>
      <c r="B1017" t="str" cm="1">
        <f t="array" ref="B1017">_xlfn.IFS(
HRData[[#This Row],[Age]]&lt;=24,"18-24",
HRData[[#This Row],[Age]]&lt;=34,"25-34",
HRData[[#This Row],[Age]]&lt;=44,"35-44",
HRData[[#This Row],[Age]]&lt;=54,"45-54",
HRData[[#This Row],[Age]]&gt;=55,"55+"
)</f>
        <v>25-34</v>
      </c>
      <c r="C1017" t="s">
        <v>43</v>
      </c>
      <c r="D1017">
        <f>IF(HRData[[#This Row],[Attrition]]="Yes",1,0)</f>
        <v>0</v>
      </c>
      <c r="E1017" t="s">
        <v>44</v>
      </c>
      <c r="F1017">
        <v>560</v>
      </c>
      <c r="G1017" t="s">
        <v>45</v>
      </c>
      <c r="H1017">
        <v>1</v>
      </c>
      <c r="I1017">
        <v>4</v>
      </c>
      <c r="J1017" t="s">
        <v>49</v>
      </c>
      <c r="K1017">
        <v>1</v>
      </c>
      <c r="L1017">
        <v>1431</v>
      </c>
      <c r="M1017">
        <v>4</v>
      </c>
      <c r="N1017" t="str" cm="1">
        <f t="array" ref="N1017">_xlfn.IFS(HRData[[#This Row],[EnvironmentSatisfaction]]=1,"Very Dissatisfied",
HRData[[#This Row],[EnvironmentSatisfaction]]=2,"Dissatisfied",
HRData[[#This Row],[EnvironmentSatisfaction]]=3,"Satisfied",
HRData[[#This Row],[EnvironmentSatisfaction]]=4,"Very Satisfied"
)</f>
        <v>Very Satisfied</v>
      </c>
      <c r="O1017" t="s">
        <v>46</v>
      </c>
      <c r="P1017">
        <v>91</v>
      </c>
      <c r="Q1017">
        <v>3</v>
      </c>
      <c r="R1017">
        <v>1</v>
      </c>
      <c r="S1017" t="s">
        <v>47</v>
      </c>
      <c r="T1017">
        <v>1</v>
      </c>
      <c r="U1017" t="str" cm="1">
        <f t="array" ref="U1017">_xlfn.IFS(
HRData[[#This Row],[JobSatisfaction]]=1,"Very Dissatisfied",
HRData[[#This Row],[JobSatisfaction]]=2,"Dissatisfied",
HRData[[#This Row],[JobSatisfaction]]=3,"Satisfied",
HRData[[#This Row],[JobSatisfaction]]=4,"Very Satisfied"
)</f>
        <v>Very Dissatisfied</v>
      </c>
      <c r="V1017" t="s">
        <v>52</v>
      </c>
      <c r="W1017">
        <v>2996</v>
      </c>
      <c r="X1017" t="str" cm="1">
        <f t="array" ref="X1017">_xlfn.IFS(
HRData[[#This Row],[MonthlyIncome]]&lt;=4000,"Very Low Income",
HRData[[#This Row],[MonthlyIncome]]&lt;=8000,"Low Income",
HRData[[#This Row],[MonthlyIncome]]&lt;=12000,"Moderate Income",
HRData[[#This Row],[MonthlyIncome]]&lt;=16000,"High Income",
HRData[[#This Row],[MonthlyIncome]]&gt;16000,"Very High Income"
)</f>
        <v>Very Low Income</v>
      </c>
      <c r="Y1017">
        <v>20284</v>
      </c>
      <c r="Z1017">
        <v>5</v>
      </c>
      <c r="AA1017" t="s">
        <v>42</v>
      </c>
      <c r="AB1017" t="s">
        <v>43</v>
      </c>
      <c r="AC1017">
        <v>14</v>
      </c>
      <c r="AD1017" t="str" cm="1">
        <f t="array" ref="AD1017">_xlfn.IFS(HRData[[#This Row],[PercentSalaryHike]]&lt;=15,"11-15",HRData[[#This Row],[PercentSalaryHike]]&lt;=20,"16-20",HRData[[#This Row],[PercentSalaryHike]]&gt;=21,"21+")</f>
        <v>11-15</v>
      </c>
      <c r="AE1017">
        <v>3</v>
      </c>
      <c r="AF1017">
        <v>3</v>
      </c>
      <c r="AG1017">
        <v>80</v>
      </c>
      <c r="AH1017">
        <v>2</v>
      </c>
      <c r="AI1017">
        <v>10</v>
      </c>
      <c r="AJ1017">
        <v>2</v>
      </c>
      <c r="AK1017">
        <v>3</v>
      </c>
      <c r="AL1017">
        <v>4</v>
      </c>
      <c r="AM1017">
        <v>3</v>
      </c>
      <c r="AN1017">
        <v>1</v>
      </c>
      <c r="AO1017">
        <v>3</v>
      </c>
      <c r="AP101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017" t="str">
        <f>IF(HRData[[#This Row],[Attrition]]="Yes","Left", IF(HRData[[#This Row],[Attrition_Risk_Score]]&gt;=6,"High",IF(HRData[[#This Row],[Attrition_Risk_Score]]&gt;=3,"Medium","Low")))</f>
        <v>Medium</v>
      </c>
      <c r="AR1017" t="str">
        <f>IF(HRData[[#This Row],[Attrition_Risk_Level]]&lt;&gt;"High","",HRData[[#This Row],[Attrition_Risk_Score]]*10000-HRData[[#This Row],[EmployeeNumber]])</f>
        <v/>
      </c>
    </row>
    <row r="1018" spans="1:44">
      <c r="A1018">
        <v>31</v>
      </c>
      <c r="B1018" t="str" cm="1">
        <f t="array" ref="B1018">_xlfn.IFS(
HRData[[#This Row],[Age]]&lt;=24,"18-24",
HRData[[#This Row],[Age]]&lt;=34,"25-34",
HRData[[#This Row],[Age]]&lt;=44,"35-44",
HRData[[#This Row],[Age]]&lt;=54,"45-54",
HRData[[#This Row],[Age]]&gt;=55,"55+"
)</f>
        <v>25-34</v>
      </c>
      <c r="C1018" t="s">
        <v>35</v>
      </c>
      <c r="D1018">
        <f>IF(HRData[[#This Row],[Attrition]]="Yes",1,0)</f>
        <v>1</v>
      </c>
      <c r="E1018" t="s">
        <v>36</v>
      </c>
      <c r="F1018">
        <v>202</v>
      </c>
      <c r="G1018" t="s">
        <v>45</v>
      </c>
      <c r="H1018">
        <v>8</v>
      </c>
      <c r="I1018">
        <v>3</v>
      </c>
      <c r="J1018" t="s">
        <v>38</v>
      </c>
      <c r="K1018">
        <v>1</v>
      </c>
      <c r="L1018">
        <v>1433</v>
      </c>
      <c r="M1018">
        <v>1</v>
      </c>
      <c r="N1018" t="str" cm="1">
        <f t="array" ref="N1018">_xlfn.IFS(HRData[[#This Row],[EnvironmentSatisfaction]]=1,"Very Dissatisfied",
HRData[[#This Row],[EnvironmentSatisfaction]]=2,"Dissatisfied",
HRData[[#This Row],[EnvironmentSatisfaction]]=3,"Satisfied",
HRData[[#This Row],[EnvironmentSatisfaction]]=4,"Very Satisfied"
)</f>
        <v>Very Dissatisfied</v>
      </c>
      <c r="O1018" t="s">
        <v>39</v>
      </c>
      <c r="P1018">
        <v>34</v>
      </c>
      <c r="Q1018">
        <v>2</v>
      </c>
      <c r="R1018">
        <v>1</v>
      </c>
      <c r="S1018" t="s">
        <v>47</v>
      </c>
      <c r="T1018">
        <v>2</v>
      </c>
      <c r="U1018" t="str" cm="1">
        <f t="array" ref="U1018">_xlfn.IFS(
HRData[[#This Row],[JobSatisfaction]]=1,"Very Dissatisfied",
HRData[[#This Row],[JobSatisfaction]]=2,"Dissatisfied",
HRData[[#This Row],[JobSatisfaction]]=3,"Satisfied",
HRData[[#This Row],[JobSatisfaction]]=4,"Very Satisfied"
)</f>
        <v>Dissatisfied</v>
      </c>
      <c r="V1018" t="s">
        <v>41</v>
      </c>
      <c r="W1018">
        <v>1261</v>
      </c>
      <c r="X1018" t="str" cm="1">
        <f t="array" ref="X1018">_xlfn.IFS(
HRData[[#This Row],[MonthlyIncome]]&lt;=4000,"Very Low Income",
HRData[[#This Row],[MonthlyIncome]]&lt;=8000,"Low Income",
HRData[[#This Row],[MonthlyIncome]]&lt;=12000,"Moderate Income",
HRData[[#This Row],[MonthlyIncome]]&lt;=16000,"High Income",
HRData[[#This Row],[MonthlyIncome]]&gt;16000,"Very High Income"
)</f>
        <v>Very Low Income</v>
      </c>
      <c r="Y1018">
        <v>22262</v>
      </c>
      <c r="Z1018">
        <v>1</v>
      </c>
      <c r="AA1018" t="s">
        <v>42</v>
      </c>
      <c r="AB1018" t="s">
        <v>43</v>
      </c>
      <c r="AC1018">
        <v>12</v>
      </c>
      <c r="AD1018" t="str" cm="1">
        <f t="array" ref="AD1018">_xlfn.IFS(HRData[[#This Row],[PercentSalaryHike]]&lt;=15,"11-15",HRData[[#This Row],[PercentSalaryHike]]&lt;=20,"16-20",HRData[[#This Row],[PercentSalaryHike]]&gt;=21,"21+")</f>
        <v>11-15</v>
      </c>
      <c r="AE1018">
        <v>3</v>
      </c>
      <c r="AF1018">
        <v>3</v>
      </c>
      <c r="AG1018">
        <v>80</v>
      </c>
      <c r="AH1018">
        <v>0</v>
      </c>
      <c r="AI1018">
        <v>1</v>
      </c>
      <c r="AJ1018">
        <v>3</v>
      </c>
      <c r="AK1018">
        <v>4</v>
      </c>
      <c r="AL1018">
        <v>1</v>
      </c>
      <c r="AM1018">
        <v>0</v>
      </c>
      <c r="AN1018">
        <v>0</v>
      </c>
      <c r="AO1018">
        <v>0</v>
      </c>
      <c r="AP101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18" t="str">
        <f>IF(HRData[[#This Row],[Attrition]]="Yes","Left", IF(HRData[[#This Row],[Attrition_Risk_Score]]&gt;=6,"High",IF(HRData[[#This Row],[Attrition_Risk_Score]]&gt;=3,"Medium","Low")))</f>
        <v>Left</v>
      </c>
      <c r="AR1018" t="str">
        <f>IF(HRData[[#This Row],[Attrition_Risk_Level]]&lt;&gt;"High","",HRData[[#This Row],[Attrition_Risk_Score]]*10000-HRData[[#This Row],[EmployeeNumber]])</f>
        <v/>
      </c>
    </row>
    <row r="1019" spans="1:44">
      <c r="A1019">
        <v>27</v>
      </c>
      <c r="B1019" t="str" cm="1">
        <f t="array" ref="B1019">_xlfn.IFS(
HRData[[#This Row],[Age]]&lt;=24,"18-24",
HRData[[#This Row],[Age]]&lt;=34,"25-34",
HRData[[#This Row],[Age]]&lt;=44,"35-44",
HRData[[#This Row],[Age]]&lt;=54,"45-54",
HRData[[#This Row],[Age]]&gt;=55,"55+"
)</f>
        <v>25-34</v>
      </c>
      <c r="C1019" t="s">
        <v>43</v>
      </c>
      <c r="D1019">
        <f>IF(HRData[[#This Row],[Attrition]]="Yes",1,0)</f>
        <v>0</v>
      </c>
      <c r="E1019" t="s">
        <v>36</v>
      </c>
      <c r="F1019">
        <v>1377</v>
      </c>
      <c r="G1019" t="s">
        <v>45</v>
      </c>
      <c r="H1019">
        <v>11</v>
      </c>
      <c r="I1019">
        <v>1</v>
      </c>
      <c r="J1019" t="s">
        <v>38</v>
      </c>
      <c r="K1019">
        <v>1</v>
      </c>
      <c r="L1019">
        <v>1434</v>
      </c>
      <c r="M1019">
        <v>2</v>
      </c>
      <c r="N1019" t="str" cm="1">
        <f t="array" ref="N1019">_xlfn.IFS(HRData[[#This Row],[EnvironmentSatisfaction]]=1,"Very Dissatisfied",
HRData[[#This Row],[EnvironmentSatisfaction]]=2,"Dissatisfied",
HRData[[#This Row],[EnvironmentSatisfaction]]=3,"Satisfied",
HRData[[#This Row],[EnvironmentSatisfaction]]=4,"Very Satisfied"
)</f>
        <v>Dissatisfied</v>
      </c>
      <c r="O1019" t="s">
        <v>46</v>
      </c>
      <c r="P1019">
        <v>91</v>
      </c>
      <c r="Q1019">
        <v>3</v>
      </c>
      <c r="R1019">
        <v>1</v>
      </c>
      <c r="S1019" t="s">
        <v>50</v>
      </c>
      <c r="T1019">
        <v>1</v>
      </c>
      <c r="U1019" t="str" cm="1">
        <f t="array" ref="U1019">_xlfn.IFS(
HRData[[#This Row],[JobSatisfaction]]=1,"Very Dissatisfied",
HRData[[#This Row],[JobSatisfaction]]=2,"Dissatisfied",
HRData[[#This Row],[JobSatisfaction]]=3,"Satisfied",
HRData[[#This Row],[JobSatisfaction]]=4,"Very Satisfied"
)</f>
        <v>Very Dissatisfied</v>
      </c>
      <c r="V1019" t="s">
        <v>48</v>
      </c>
      <c r="W1019">
        <v>2099</v>
      </c>
      <c r="X1019" t="str" cm="1">
        <f t="array" ref="X1019">_xlfn.IFS(
HRData[[#This Row],[MonthlyIncome]]&lt;=4000,"Very Low Income",
HRData[[#This Row],[MonthlyIncome]]&lt;=8000,"Low Income",
HRData[[#This Row],[MonthlyIncome]]&lt;=12000,"Moderate Income",
HRData[[#This Row],[MonthlyIncome]]&lt;=16000,"High Income",
HRData[[#This Row],[MonthlyIncome]]&gt;16000,"Very High Income"
)</f>
        <v>Very Low Income</v>
      </c>
      <c r="Y1019">
        <v>7679</v>
      </c>
      <c r="Z1019">
        <v>0</v>
      </c>
      <c r="AA1019" t="s">
        <v>42</v>
      </c>
      <c r="AB1019" t="s">
        <v>43</v>
      </c>
      <c r="AC1019">
        <v>14</v>
      </c>
      <c r="AD1019" t="str" cm="1">
        <f t="array" ref="AD1019">_xlfn.IFS(HRData[[#This Row],[PercentSalaryHike]]&lt;=15,"11-15",HRData[[#This Row],[PercentSalaryHike]]&lt;=20,"16-20",HRData[[#This Row],[PercentSalaryHike]]&gt;=21,"21+")</f>
        <v>11-15</v>
      </c>
      <c r="AE1019">
        <v>3</v>
      </c>
      <c r="AF1019">
        <v>2</v>
      </c>
      <c r="AG1019">
        <v>80</v>
      </c>
      <c r="AH1019">
        <v>0</v>
      </c>
      <c r="AI1019">
        <v>6</v>
      </c>
      <c r="AJ1019">
        <v>3</v>
      </c>
      <c r="AK1019">
        <v>4</v>
      </c>
      <c r="AL1019">
        <v>5</v>
      </c>
      <c r="AM1019">
        <v>0</v>
      </c>
      <c r="AN1019">
        <v>1</v>
      </c>
      <c r="AO1019">
        <v>4</v>
      </c>
      <c r="AP101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019" t="str">
        <f>IF(HRData[[#This Row],[Attrition]]="Yes","Left", IF(HRData[[#This Row],[Attrition_Risk_Score]]&gt;=6,"High",IF(HRData[[#This Row],[Attrition_Risk_Score]]&gt;=3,"Medium","Low")))</f>
        <v>High</v>
      </c>
      <c r="AR1019">
        <f>IF(HRData[[#This Row],[Attrition_Risk_Level]]&lt;&gt;"High","",HRData[[#This Row],[Attrition_Risk_Score]]*10000-HRData[[#This Row],[EmployeeNumber]])</f>
        <v>58566</v>
      </c>
    </row>
    <row r="1020" spans="1:44">
      <c r="A1020">
        <v>36</v>
      </c>
      <c r="B1020" t="str" cm="1">
        <f t="array" ref="B1020">_xlfn.IFS(
HRData[[#This Row],[Age]]&lt;=24,"18-24",
HRData[[#This Row],[Age]]&lt;=34,"25-34",
HRData[[#This Row],[Age]]&lt;=44,"35-44",
HRData[[#This Row],[Age]]&lt;=54,"45-54",
HRData[[#This Row],[Age]]&gt;=55,"55+"
)</f>
        <v>35-44</v>
      </c>
      <c r="C1020" t="s">
        <v>43</v>
      </c>
      <c r="D1020">
        <f>IF(HRData[[#This Row],[Attrition]]="Yes",1,0)</f>
        <v>0</v>
      </c>
      <c r="E1020" t="s">
        <v>36</v>
      </c>
      <c r="F1020">
        <v>172</v>
      </c>
      <c r="G1020" t="s">
        <v>45</v>
      </c>
      <c r="H1020">
        <v>4</v>
      </c>
      <c r="I1020">
        <v>4</v>
      </c>
      <c r="J1020" t="s">
        <v>38</v>
      </c>
      <c r="K1020">
        <v>1</v>
      </c>
      <c r="L1020">
        <v>1435</v>
      </c>
      <c r="M1020">
        <v>1</v>
      </c>
      <c r="N1020" t="str" cm="1">
        <f t="array" ref="N1020">_xlfn.IFS(HRData[[#This Row],[EnvironmentSatisfaction]]=1,"Very Dissatisfied",
HRData[[#This Row],[EnvironmentSatisfaction]]=2,"Dissatisfied",
HRData[[#This Row],[EnvironmentSatisfaction]]=3,"Satisfied",
HRData[[#This Row],[EnvironmentSatisfaction]]=4,"Very Satisfied"
)</f>
        <v>Very Dissatisfied</v>
      </c>
      <c r="O1020" t="s">
        <v>46</v>
      </c>
      <c r="P1020">
        <v>37</v>
      </c>
      <c r="Q1020">
        <v>2</v>
      </c>
      <c r="R1020">
        <v>2</v>
      </c>
      <c r="S1020" t="s">
        <v>50</v>
      </c>
      <c r="T1020">
        <v>4</v>
      </c>
      <c r="U1020" t="str" cm="1">
        <f t="array" ref="U1020">_xlfn.IFS(
HRData[[#This Row],[JobSatisfaction]]=1,"Very Dissatisfied",
HRData[[#This Row],[JobSatisfaction]]=2,"Dissatisfied",
HRData[[#This Row],[JobSatisfaction]]=3,"Satisfied",
HRData[[#This Row],[JobSatisfaction]]=4,"Very Satisfied"
)</f>
        <v>Very Satisfied</v>
      </c>
      <c r="V1020" t="s">
        <v>41</v>
      </c>
      <c r="W1020">
        <v>5810</v>
      </c>
      <c r="X1020" t="str" cm="1">
        <f t="array" ref="X1020">_xlfn.IFS(
HRData[[#This Row],[MonthlyIncome]]&lt;=4000,"Very Low Income",
HRData[[#This Row],[MonthlyIncome]]&lt;=8000,"Low Income",
HRData[[#This Row],[MonthlyIncome]]&lt;=12000,"Moderate Income",
HRData[[#This Row],[MonthlyIncome]]&lt;=16000,"High Income",
HRData[[#This Row],[MonthlyIncome]]&gt;16000,"Very High Income"
)</f>
        <v>Low Income</v>
      </c>
      <c r="Y1020">
        <v>22604</v>
      </c>
      <c r="Z1020">
        <v>1</v>
      </c>
      <c r="AA1020" t="s">
        <v>42</v>
      </c>
      <c r="AB1020" t="s">
        <v>43</v>
      </c>
      <c r="AC1020">
        <v>16</v>
      </c>
      <c r="AD1020" t="str" cm="1">
        <f t="array" ref="AD1020">_xlfn.IFS(HRData[[#This Row],[PercentSalaryHike]]&lt;=15,"11-15",HRData[[#This Row],[PercentSalaryHike]]&lt;=20,"16-20",HRData[[#This Row],[PercentSalaryHike]]&gt;=21,"21+")</f>
        <v>16-20</v>
      </c>
      <c r="AE1020">
        <v>3</v>
      </c>
      <c r="AF1020">
        <v>3</v>
      </c>
      <c r="AG1020">
        <v>80</v>
      </c>
      <c r="AH1020">
        <v>0</v>
      </c>
      <c r="AI1020">
        <v>10</v>
      </c>
      <c r="AJ1020">
        <v>2</v>
      </c>
      <c r="AK1020">
        <v>2</v>
      </c>
      <c r="AL1020">
        <v>10</v>
      </c>
      <c r="AM1020">
        <v>4</v>
      </c>
      <c r="AN1020">
        <v>1</v>
      </c>
      <c r="AO1020">
        <v>8</v>
      </c>
      <c r="AP102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20" t="str">
        <f>IF(HRData[[#This Row],[Attrition]]="Yes","Left", IF(HRData[[#This Row],[Attrition_Risk_Score]]&gt;=6,"High",IF(HRData[[#This Row],[Attrition_Risk_Score]]&gt;=3,"Medium","Low")))</f>
        <v>Low</v>
      </c>
      <c r="AR1020" t="str">
        <f>IF(HRData[[#This Row],[Attrition_Risk_Level]]&lt;&gt;"High","",HRData[[#This Row],[Attrition_Risk_Score]]*10000-HRData[[#This Row],[EmployeeNumber]])</f>
        <v/>
      </c>
    </row>
    <row r="1021" spans="1:44">
      <c r="A1021">
        <v>36</v>
      </c>
      <c r="B1021" t="str" cm="1">
        <f t="array" ref="B1021">_xlfn.IFS(
HRData[[#This Row],[Age]]&lt;=24,"18-24",
HRData[[#This Row],[Age]]&lt;=34,"25-34",
HRData[[#This Row],[Age]]&lt;=44,"35-44",
HRData[[#This Row],[Age]]&lt;=54,"45-54",
HRData[[#This Row],[Age]]&gt;=55,"55+"
)</f>
        <v>35-44</v>
      </c>
      <c r="C1021" t="s">
        <v>43</v>
      </c>
      <c r="D1021">
        <f>IF(HRData[[#This Row],[Attrition]]="Yes",1,0)</f>
        <v>0</v>
      </c>
      <c r="E1021" t="s">
        <v>36</v>
      </c>
      <c r="F1021">
        <v>329</v>
      </c>
      <c r="G1021" t="s">
        <v>37</v>
      </c>
      <c r="H1021">
        <v>16</v>
      </c>
      <c r="I1021">
        <v>4</v>
      </c>
      <c r="J1021" t="s">
        <v>59</v>
      </c>
      <c r="K1021">
        <v>1</v>
      </c>
      <c r="L1021">
        <v>1436</v>
      </c>
      <c r="M1021">
        <v>3</v>
      </c>
      <c r="N1021" t="str" cm="1">
        <f t="array" ref="N1021">_xlfn.IFS(HRData[[#This Row],[EnvironmentSatisfaction]]=1,"Very Dissatisfied",
HRData[[#This Row],[EnvironmentSatisfaction]]=2,"Dissatisfied",
HRData[[#This Row],[EnvironmentSatisfaction]]=3,"Satisfied",
HRData[[#This Row],[EnvironmentSatisfaction]]=4,"Very Satisfied"
)</f>
        <v>Satisfied</v>
      </c>
      <c r="O1021" t="s">
        <v>39</v>
      </c>
      <c r="P1021">
        <v>98</v>
      </c>
      <c r="Q1021">
        <v>2</v>
      </c>
      <c r="R1021">
        <v>2</v>
      </c>
      <c r="S1021" t="s">
        <v>40</v>
      </c>
      <c r="T1021">
        <v>1</v>
      </c>
      <c r="U1021" t="str" cm="1">
        <f t="array" ref="U1021">_xlfn.IFS(
HRData[[#This Row],[JobSatisfaction]]=1,"Very Dissatisfied",
HRData[[#This Row],[JobSatisfaction]]=2,"Dissatisfied",
HRData[[#This Row],[JobSatisfaction]]=3,"Satisfied",
HRData[[#This Row],[JobSatisfaction]]=4,"Very Satisfied"
)</f>
        <v>Very Dissatisfied</v>
      </c>
      <c r="V1021" t="s">
        <v>48</v>
      </c>
      <c r="W1021">
        <v>5647</v>
      </c>
      <c r="X1021" t="str" cm="1">
        <f t="array" ref="X1021">_xlfn.IFS(
HRData[[#This Row],[MonthlyIncome]]&lt;=4000,"Very Low Income",
HRData[[#This Row],[MonthlyIncome]]&lt;=8000,"Low Income",
HRData[[#This Row],[MonthlyIncome]]&lt;=12000,"Moderate Income",
HRData[[#This Row],[MonthlyIncome]]&lt;=16000,"High Income",
HRData[[#This Row],[MonthlyIncome]]&gt;16000,"Very High Income"
)</f>
        <v>Low Income</v>
      </c>
      <c r="Y1021">
        <v>13494</v>
      </c>
      <c r="Z1021">
        <v>4</v>
      </c>
      <c r="AA1021" t="s">
        <v>42</v>
      </c>
      <c r="AB1021" t="s">
        <v>43</v>
      </c>
      <c r="AC1021">
        <v>13</v>
      </c>
      <c r="AD1021" t="str" cm="1">
        <f t="array" ref="AD1021">_xlfn.IFS(HRData[[#This Row],[PercentSalaryHike]]&lt;=15,"11-15",HRData[[#This Row],[PercentSalaryHike]]&lt;=20,"16-20",HRData[[#This Row],[PercentSalaryHike]]&gt;=21,"21+")</f>
        <v>11-15</v>
      </c>
      <c r="AE1021">
        <v>3</v>
      </c>
      <c r="AF1021">
        <v>1</v>
      </c>
      <c r="AG1021">
        <v>80</v>
      </c>
      <c r="AH1021">
        <v>2</v>
      </c>
      <c r="AI1021">
        <v>11</v>
      </c>
      <c r="AJ1021">
        <v>3</v>
      </c>
      <c r="AK1021">
        <v>2</v>
      </c>
      <c r="AL1021">
        <v>3</v>
      </c>
      <c r="AM1021">
        <v>2</v>
      </c>
      <c r="AN1021">
        <v>0</v>
      </c>
      <c r="AO1021">
        <v>2</v>
      </c>
      <c r="AP102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21" t="str">
        <f>IF(HRData[[#This Row],[Attrition]]="Yes","Left", IF(HRData[[#This Row],[Attrition_Risk_Score]]&gt;=6,"High",IF(HRData[[#This Row],[Attrition_Risk_Score]]&gt;=3,"Medium","Low")))</f>
        <v>Medium</v>
      </c>
      <c r="AR1021" t="str">
        <f>IF(HRData[[#This Row],[Attrition_Risk_Level]]&lt;&gt;"High","",HRData[[#This Row],[Attrition_Risk_Score]]*10000-HRData[[#This Row],[EmployeeNumber]])</f>
        <v/>
      </c>
    </row>
    <row r="1022" spans="1:44">
      <c r="A1022">
        <v>47</v>
      </c>
      <c r="B1022" t="str" cm="1">
        <f t="array" ref="B1022">_xlfn.IFS(
HRData[[#This Row],[Age]]&lt;=24,"18-24",
HRData[[#This Row],[Age]]&lt;=34,"25-34",
HRData[[#This Row],[Age]]&lt;=44,"35-44",
HRData[[#This Row],[Age]]&lt;=54,"45-54",
HRData[[#This Row],[Age]]&gt;=55,"55+"
)</f>
        <v>45-54</v>
      </c>
      <c r="C1022" t="s">
        <v>43</v>
      </c>
      <c r="D1022">
        <f>IF(HRData[[#This Row],[Attrition]]="Yes",1,0)</f>
        <v>0</v>
      </c>
      <c r="E1022" t="s">
        <v>36</v>
      </c>
      <c r="F1022">
        <v>465</v>
      </c>
      <c r="G1022" t="s">
        <v>45</v>
      </c>
      <c r="H1022">
        <v>1</v>
      </c>
      <c r="I1022">
        <v>3</v>
      </c>
      <c r="J1022" t="s">
        <v>60</v>
      </c>
      <c r="K1022">
        <v>1</v>
      </c>
      <c r="L1022">
        <v>1438</v>
      </c>
      <c r="M1022">
        <v>1</v>
      </c>
      <c r="N1022" t="str" cm="1">
        <f t="array" ref="N1022">_xlfn.IFS(HRData[[#This Row],[EnvironmentSatisfaction]]=1,"Very Dissatisfied",
HRData[[#This Row],[EnvironmentSatisfaction]]=2,"Dissatisfied",
HRData[[#This Row],[EnvironmentSatisfaction]]=3,"Satisfied",
HRData[[#This Row],[EnvironmentSatisfaction]]=4,"Very Satisfied"
)</f>
        <v>Very Dissatisfied</v>
      </c>
      <c r="O1022" t="s">
        <v>46</v>
      </c>
      <c r="P1022">
        <v>74</v>
      </c>
      <c r="Q1022">
        <v>3</v>
      </c>
      <c r="R1022">
        <v>1</v>
      </c>
      <c r="S1022" t="s">
        <v>47</v>
      </c>
      <c r="T1022">
        <v>4</v>
      </c>
      <c r="U1022" t="str" cm="1">
        <f t="array" ref="U1022">_xlfn.IFS(
HRData[[#This Row],[JobSatisfaction]]=1,"Very Dissatisfied",
HRData[[#This Row],[JobSatisfaction]]=2,"Dissatisfied",
HRData[[#This Row],[JobSatisfaction]]=3,"Satisfied",
HRData[[#This Row],[JobSatisfaction]]=4,"Very Satisfied"
)</f>
        <v>Very Satisfied</v>
      </c>
      <c r="V1022" t="s">
        <v>48</v>
      </c>
      <c r="W1022">
        <v>3420</v>
      </c>
      <c r="X1022" t="str" cm="1">
        <f t="array" ref="X1022">_xlfn.IFS(
HRData[[#This Row],[MonthlyIncome]]&lt;=4000,"Very Low Income",
HRData[[#This Row],[MonthlyIncome]]&lt;=8000,"Low Income",
HRData[[#This Row],[MonthlyIncome]]&lt;=12000,"Moderate Income",
HRData[[#This Row],[MonthlyIncome]]&lt;=16000,"High Income",
HRData[[#This Row],[MonthlyIncome]]&gt;16000,"Very High Income"
)</f>
        <v>Very Low Income</v>
      </c>
      <c r="Y1022">
        <v>10205</v>
      </c>
      <c r="Z1022">
        <v>7</v>
      </c>
      <c r="AA1022" t="s">
        <v>42</v>
      </c>
      <c r="AB1022" t="s">
        <v>43</v>
      </c>
      <c r="AC1022">
        <v>12</v>
      </c>
      <c r="AD1022" t="str" cm="1">
        <f t="array" ref="AD1022">_xlfn.IFS(HRData[[#This Row],[PercentSalaryHike]]&lt;=15,"11-15",HRData[[#This Row],[PercentSalaryHike]]&lt;=20,"16-20",HRData[[#This Row],[PercentSalaryHike]]&gt;=21,"21+")</f>
        <v>11-15</v>
      </c>
      <c r="AE1022">
        <v>3</v>
      </c>
      <c r="AF1022">
        <v>3</v>
      </c>
      <c r="AG1022">
        <v>80</v>
      </c>
      <c r="AH1022">
        <v>1</v>
      </c>
      <c r="AI1022">
        <v>17</v>
      </c>
      <c r="AJ1022">
        <v>2</v>
      </c>
      <c r="AK1022">
        <v>2</v>
      </c>
      <c r="AL1022">
        <v>6</v>
      </c>
      <c r="AM1022">
        <v>5</v>
      </c>
      <c r="AN1022">
        <v>1</v>
      </c>
      <c r="AO1022">
        <v>2</v>
      </c>
      <c r="AP102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22" t="str">
        <f>IF(HRData[[#This Row],[Attrition]]="Yes","Left", IF(HRData[[#This Row],[Attrition_Risk_Score]]&gt;=6,"High",IF(HRData[[#This Row],[Attrition_Risk_Score]]&gt;=3,"Medium","Low")))</f>
        <v>Low</v>
      </c>
      <c r="AR1022" t="str">
        <f>IF(HRData[[#This Row],[Attrition_Risk_Level]]&lt;&gt;"High","",HRData[[#This Row],[Attrition_Risk_Score]]*10000-HRData[[#This Row],[EmployeeNumber]])</f>
        <v/>
      </c>
    </row>
    <row r="1023" spans="1:44">
      <c r="A1023">
        <v>25</v>
      </c>
      <c r="B1023" t="str" cm="1">
        <f t="array" ref="B1023">_xlfn.IFS(
HRData[[#This Row],[Age]]&lt;=24,"18-24",
HRData[[#This Row],[Age]]&lt;=34,"25-34",
HRData[[#This Row],[Age]]&lt;=44,"35-44",
HRData[[#This Row],[Age]]&lt;=54,"45-54",
HRData[[#This Row],[Age]]&gt;=55,"55+"
)</f>
        <v>25-34</v>
      </c>
      <c r="C1023" t="s">
        <v>35</v>
      </c>
      <c r="D1023">
        <f>IF(HRData[[#This Row],[Attrition]]="Yes",1,0)</f>
        <v>1</v>
      </c>
      <c r="E1023" t="s">
        <v>36</v>
      </c>
      <c r="F1023">
        <v>383</v>
      </c>
      <c r="G1023" t="s">
        <v>37</v>
      </c>
      <c r="H1023">
        <v>9</v>
      </c>
      <c r="I1023">
        <v>2</v>
      </c>
      <c r="J1023" t="s">
        <v>38</v>
      </c>
      <c r="K1023">
        <v>1</v>
      </c>
      <c r="L1023">
        <v>1439</v>
      </c>
      <c r="M1023">
        <v>1</v>
      </c>
      <c r="N1023" t="str" cm="1">
        <f t="array" ref="N1023">_xlfn.IFS(HRData[[#This Row],[EnvironmentSatisfaction]]=1,"Very Dissatisfied",
HRData[[#This Row],[EnvironmentSatisfaction]]=2,"Dissatisfied",
HRData[[#This Row],[EnvironmentSatisfaction]]=3,"Satisfied",
HRData[[#This Row],[EnvironmentSatisfaction]]=4,"Very Satisfied"
)</f>
        <v>Very Dissatisfied</v>
      </c>
      <c r="O1023" t="s">
        <v>46</v>
      </c>
      <c r="P1023">
        <v>68</v>
      </c>
      <c r="Q1023">
        <v>2</v>
      </c>
      <c r="R1023">
        <v>1</v>
      </c>
      <c r="S1023" t="s">
        <v>57</v>
      </c>
      <c r="T1023">
        <v>1</v>
      </c>
      <c r="U1023" t="str" cm="1">
        <f t="array" ref="U1023">_xlfn.IFS(
HRData[[#This Row],[JobSatisfaction]]=1,"Very Dissatisfied",
HRData[[#This Row],[JobSatisfaction]]=2,"Dissatisfied",
HRData[[#This Row],[JobSatisfaction]]=3,"Satisfied",
HRData[[#This Row],[JobSatisfaction]]=4,"Very Satisfied"
)</f>
        <v>Very Dissatisfied</v>
      </c>
      <c r="V1023" t="s">
        <v>48</v>
      </c>
      <c r="W1023">
        <v>4400</v>
      </c>
      <c r="X1023" t="str" cm="1">
        <f t="array" ref="X1023">_xlfn.IFS(
HRData[[#This Row],[MonthlyIncome]]&lt;=4000,"Very Low Income",
HRData[[#This Row],[MonthlyIncome]]&lt;=8000,"Low Income",
HRData[[#This Row],[MonthlyIncome]]&lt;=12000,"Moderate Income",
HRData[[#This Row],[MonthlyIncome]]&lt;=16000,"High Income",
HRData[[#This Row],[MonthlyIncome]]&gt;16000,"Very High Income"
)</f>
        <v>Low Income</v>
      </c>
      <c r="Y1023">
        <v>15182</v>
      </c>
      <c r="Z1023">
        <v>3</v>
      </c>
      <c r="AA1023" t="s">
        <v>42</v>
      </c>
      <c r="AB1023" t="s">
        <v>43</v>
      </c>
      <c r="AC1023">
        <v>12</v>
      </c>
      <c r="AD1023" t="str" cm="1">
        <f t="array" ref="AD1023">_xlfn.IFS(HRData[[#This Row],[PercentSalaryHike]]&lt;=15,"11-15",HRData[[#This Row],[PercentSalaryHike]]&lt;=20,"16-20",HRData[[#This Row],[PercentSalaryHike]]&gt;=21,"21+")</f>
        <v>11-15</v>
      </c>
      <c r="AE1023">
        <v>3</v>
      </c>
      <c r="AF1023">
        <v>1</v>
      </c>
      <c r="AG1023">
        <v>80</v>
      </c>
      <c r="AH1023">
        <v>0</v>
      </c>
      <c r="AI1023">
        <v>6</v>
      </c>
      <c r="AJ1023">
        <v>2</v>
      </c>
      <c r="AK1023">
        <v>3</v>
      </c>
      <c r="AL1023">
        <v>3</v>
      </c>
      <c r="AM1023">
        <v>2</v>
      </c>
      <c r="AN1023">
        <v>2</v>
      </c>
      <c r="AO1023">
        <v>2</v>
      </c>
      <c r="AP102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23" t="str">
        <f>IF(HRData[[#This Row],[Attrition]]="Yes","Left", IF(HRData[[#This Row],[Attrition_Risk_Score]]&gt;=6,"High",IF(HRData[[#This Row],[Attrition_Risk_Score]]&gt;=3,"Medium","Low")))</f>
        <v>Left</v>
      </c>
      <c r="AR1023" t="str">
        <f>IF(HRData[[#This Row],[Attrition_Risk_Level]]&lt;&gt;"High","",HRData[[#This Row],[Attrition_Risk_Score]]*10000-HRData[[#This Row],[EmployeeNumber]])</f>
        <v/>
      </c>
    </row>
    <row r="1024" spans="1:44">
      <c r="A1024">
        <v>37</v>
      </c>
      <c r="B1024" t="str" cm="1">
        <f t="array" ref="B1024">_xlfn.IFS(
HRData[[#This Row],[Age]]&lt;=24,"18-24",
HRData[[#This Row],[Age]]&lt;=34,"25-34",
HRData[[#This Row],[Age]]&lt;=44,"35-44",
HRData[[#This Row],[Age]]&lt;=54,"45-54",
HRData[[#This Row],[Age]]&gt;=55,"55+"
)</f>
        <v>35-44</v>
      </c>
      <c r="C1024" t="s">
        <v>43</v>
      </c>
      <c r="D1024">
        <f>IF(HRData[[#This Row],[Attrition]]="Yes",1,0)</f>
        <v>0</v>
      </c>
      <c r="E1024" t="s">
        <v>55</v>
      </c>
      <c r="F1024">
        <v>1413</v>
      </c>
      <c r="G1024" t="s">
        <v>45</v>
      </c>
      <c r="H1024">
        <v>5</v>
      </c>
      <c r="I1024">
        <v>2</v>
      </c>
      <c r="J1024" t="s">
        <v>60</v>
      </c>
      <c r="K1024">
        <v>1</v>
      </c>
      <c r="L1024">
        <v>1440</v>
      </c>
      <c r="M1024">
        <v>3</v>
      </c>
      <c r="N1024" t="str" cm="1">
        <f t="array" ref="N1024">_xlfn.IFS(HRData[[#This Row],[EnvironmentSatisfaction]]=1,"Very Dissatisfied",
HRData[[#This Row],[EnvironmentSatisfaction]]=2,"Dissatisfied",
HRData[[#This Row],[EnvironmentSatisfaction]]=3,"Satisfied",
HRData[[#This Row],[EnvironmentSatisfaction]]=4,"Very Satisfied"
)</f>
        <v>Satisfied</v>
      </c>
      <c r="O1024" t="s">
        <v>46</v>
      </c>
      <c r="P1024">
        <v>84</v>
      </c>
      <c r="Q1024">
        <v>4</v>
      </c>
      <c r="R1024">
        <v>1</v>
      </c>
      <c r="S1024" t="s">
        <v>50</v>
      </c>
      <c r="T1024">
        <v>3</v>
      </c>
      <c r="U1024" t="str" cm="1">
        <f t="array" ref="U1024">_xlfn.IFS(
HRData[[#This Row],[JobSatisfaction]]=1,"Very Dissatisfied",
HRData[[#This Row],[JobSatisfaction]]=2,"Dissatisfied",
HRData[[#This Row],[JobSatisfaction]]=3,"Satisfied",
HRData[[#This Row],[JobSatisfaction]]=4,"Very Satisfied"
)</f>
        <v>Satisfied</v>
      </c>
      <c r="V1024" t="s">
        <v>41</v>
      </c>
      <c r="W1024">
        <v>3500</v>
      </c>
      <c r="X1024" t="str" cm="1">
        <f t="array" ref="X1024">_xlfn.IFS(
HRData[[#This Row],[MonthlyIncome]]&lt;=4000,"Very Low Income",
HRData[[#This Row],[MonthlyIncome]]&lt;=8000,"Low Income",
HRData[[#This Row],[MonthlyIncome]]&lt;=12000,"Moderate Income",
HRData[[#This Row],[MonthlyIncome]]&lt;=16000,"High Income",
HRData[[#This Row],[MonthlyIncome]]&gt;16000,"Very High Income"
)</f>
        <v>Very Low Income</v>
      </c>
      <c r="Y1024">
        <v>25470</v>
      </c>
      <c r="Z1024">
        <v>0</v>
      </c>
      <c r="AA1024" t="s">
        <v>42</v>
      </c>
      <c r="AB1024" t="s">
        <v>43</v>
      </c>
      <c r="AC1024">
        <v>14</v>
      </c>
      <c r="AD1024" t="str" cm="1">
        <f t="array" ref="AD1024">_xlfn.IFS(HRData[[#This Row],[PercentSalaryHike]]&lt;=15,"11-15",HRData[[#This Row],[PercentSalaryHike]]&lt;=20,"16-20",HRData[[#This Row],[PercentSalaryHike]]&gt;=21,"21+")</f>
        <v>11-15</v>
      </c>
      <c r="AE1024">
        <v>3</v>
      </c>
      <c r="AF1024">
        <v>1</v>
      </c>
      <c r="AG1024">
        <v>80</v>
      </c>
      <c r="AH1024">
        <v>0</v>
      </c>
      <c r="AI1024">
        <v>7</v>
      </c>
      <c r="AJ1024">
        <v>2</v>
      </c>
      <c r="AK1024">
        <v>1</v>
      </c>
      <c r="AL1024">
        <v>6</v>
      </c>
      <c r="AM1024">
        <v>5</v>
      </c>
      <c r="AN1024">
        <v>1</v>
      </c>
      <c r="AO1024">
        <v>3</v>
      </c>
      <c r="AP102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24" t="str">
        <f>IF(HRData[[#This Row],[Attrition]]="Yes","Left", IF(HRData[[#This Row],[Attrition_Risk_Score]]&gt;=6,"High",IF(HRData[[#This Row],[Attrition_Risk_Score]]&gt;=3,"Medium","Low")))</f>
        <v>Medium</v>
      </c>
      <c r="AR1024" t="str">
        <f>IF(HRData[[#This Row],[Attrition_Risk_Level]]&lt;&gt;"High","",HRData[[#This Row],[Attrition_Risk_Score]]*10000-HRData[[#This Row],[EmployeeNumber]])</f>
        <v/>
      </c>
    </row>
    <row r="1025" spans="1:44">
      <c r="A1025">
        <v>56</v>
      </c>
      <c r="B1025" t="str" cm="1">
        <f t="array" ref="B1025">_xlfn.IFS(
HRData[[#This Row],[Age]]&lt;=24,"18-24",
HRData[[#This Row],[Age]]&lt;=34,"25-34",
HRData[[#This Row],[Age]]&lt;=44,"35-44",
HRData[[#This Row],[Age]]&lt;=54,"45-54",
HRData[[#This Row],[Age]]&gt;=55,"55+"
)</f>
        <v>55+</v>
      </c>
      <c r="C1025" t="s">
        <v>43</v>
      </c>
      <c r="D1025">
        <f>IF(HRData[[#This Row],[Attrition]]="Yes",1,0)</f>
        <v>0</v>
      </c>
      <c r="E1025" t="s">
        <v>36</v>
      </c>
      <c r="F1025">
        <v>1255</v>
      </c>
      <c r="G1025" t="s">
        <v>45</v>
      </c>
      <c r="H1025">
        <v>1</v>
      </c>
      <c r="I1025">
        <v>2</v>
      </c>
      <c r="J1025" t="s">
        <v>38</v>
      </c>
      <c r="K1025">
        <v>1</v>
      </c>
      <c r="L1025">
        <v>1441</v>
      </c>
      <c r="M1025">
        <v>1</v>
      </c>
      <c r="N1025" t="str" cm="1">
        <f t="array" ref="N1025">_xlfn.IFS(HRData[[#This Row],[EnvironmentSatisfaction]]=1,"Very Dissatisfied",
HRData[[#This Row],[EnvironmentSatisfaction]]=2,"Dissatisfied",
HRData[[#This Row],[EnvironmentSatisfaction]]=3,"Satisfied",
HRData[[#This Row],[EnvironmentSatisfaction]]=4,"Very Satisfied"
)</f>
        <v>Very Dissatisfied</v>
      </c>
      <c r="O1025" t="s">
        <v>39</v>
      </c>
      <c r="P1025">
        <v>90</v>
      </c>
      <c r="Q1025">
        <v>3</v>
      </c>
      <c r="R1025">
        <v>1</v>
      </c>
      <c r="S1025" t="s">
        <v>47</v>
      </c>
      <c r="T1025">
        <v>1</v>
      </c>
      <c r="U1025" t="str" cm="1">
        <f t="array" ref="U1025">_xlfn.IFS(
HRData[[#This Row],[JobSatisfaction]]=1,"Very Dissatisfied",
HRData[[#This Row],[JobSatisfaction]]=2,"Dissatisfied",
HRData[[#This Row],[JobSatisfaction]]=3,"Satisfied",
HRData[[#This Row],[JobSatisfaction]]=4,"Very Satisfied"
)</f>
        <v>Very Dissatisfied</v>
      </c>
      <c r="V1025" t="s">
        <v>48</v>
      </c>
      <c r="W1025">
        <v>2066</v>
      </c>
      <c r="X1025" t="str" cm="1">
        <f t="array" ref="X1025">_xlfn.IFS(
HRData[[#This Row],[MonthlyIncome]]&lt;=4000,"Very Low Income",
HRData[[#This Row],[MonthlyIncome]]&lt;=8000,"Low Income",
HRData[[#This Row],[MonthlyIncome]]&lt;=12000,"Moderate Income",
HRData[[#This Row],[MonthlyIncome]]&lt;=16000,"High Income",
HRData[[#This Row],[MonthlyIncome]]&gt;16000,"Very High Income"
)</f>
        <v>Very Low Income</v>
      </c>
      <c r="Y1025">
        <v>10494</v>
      </c>
      <c r="Z1025">
        <v>2</v>
      </c>
      <c r="AA1025" t="s">
        <v>42</v>
      </c>
      <c r="AB1025" t="s">
        <v>43</v>
      </c>
      <c r="AC1025">
        <v>22</v>
      </c>
      <c r="AD1025" t="str" cm="1">
        <f t="array" ref="AD1025">_xlfn.IFS(HRData[[#This Row],[PercentSalaryHike]]&lt;=15,"11-15",HRData[[#This Row],[PercentSalaryHike]]&lt;=20,"16-20",HRData[[#This Row],[PercentSalaryHike]]&gt;=21,"21+")</f>
        <v>21+</v>
      </c>
      <c r="AE1025">
        <v>4</v>
      </c>
      <c r="AF1025">
        <v>4</v>
      </c>
      <c r="AG1025">
        <v>80</v>
      </c>
      <c r="AH1025">
        <v>1</v>
      </c>
      <c r="AI1025">
        <v>5</v>
      </c>
      <c r="AJ1025">
        <v>3</v>
      </c>
      <c r="AK1025">
        <v>4</v>
      </c>
      <c r="AL1025">
        <v>3</v>
      </c>
      <c r="AM1025">
        <v>2</v>
      </c>
      <c r="AN1025">
        <v>1</v>
      </c>
      <c r="AO1025">
        <v>0</v>
      </c>
      <c r="AP102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25" t="str">
        <f>IF(HRData[[#This Row],[Attrition]]="Yes","Left", IF(HRData[[#This Row],[Attrition_Risk_Score]]&gt;=6,"High",IF(HRData[[#This Row],[Attrition_Risk_Score]]&gt;=3,"Medium","Low")))</f>
        <v>Medium</v>
      </c>
      <c r="AR1025" t="str">
        <f>IF(HRData[[#This Row],[Attrition_Risk_Level]]&lt;&gt;"High","",HRData[[#This Row],[Attrition_Risk_Score]]*10000-HRData[[#This Row],[EmployeeNumber]])</f>
        <v/>
      </c>
    </row>
    <row r="1026" spans="1:44">
      <c r="A1026">
        <v>47</v>
      </c>
      <c r="B1026" t="str" cm="1">
        <f t="array" ref="B1026">_xlfn.IFS(
HRData[[#This Row],[Age]]&lt;=24,"18-24",
HRData[[#This Row],[Age]]&lt;=34,"25-34",
HRData[[#This Row],[Age]]&lt;=44,"35-44",
HRData[[#This Row],[Age]]&lt;=54,"45-54",
HRData[[#This Row],[Age]]&gt;=55,"55+"
)</f>
        <v>45-54</v>
      </c>
      <c r="C1026" t="s">
        <v>43</v>
      </c>
      <c r="D1026">
        <f>IF(HRData[[#This Row],[Attrition]]="Yes",1,0)</f>
        <v>0</v>
      </c>
      <c r="E1026" t="s">
        <v>36</v>
      </c>
      <c r="F1026">
        <v>359</v>
      </c>
      <c r="G1026" t="s">
        <v>45</v>
      </c>
      <c r="H1026">
        <v>2</v>
      </c>
      <c r="I1026">
        <v>4</v>
      </c>
      <c r="J1026" t="s">
        <v>51</v>
      </c>
      <c r="K1026">
        <v>1</v>
      </c>
      <c r="L1026">
        <v>1443</v>
      </c>
      <c r="M1026">
        <v>1</v>
      </c>
      <c r="N1026" t="str" cm="1">
        <f t="array" ref="N1026">_xlfn.IFS(HRData[[#This Row],[EnvironmentSatisfaction]]=1,"Very Dissatisfied",
HRData[[#This Row],[EnvironmentSatisfaction]]=2,"Dissatisfied",
HRData[[#This Row],[EnvironmentSatisfaction]]=3,"Satisfied",
HRData[[#This Row],[EnvironmentSatisfaction]]=4,"Very Satisfied"
)</f>
        <v>Very Dissatisfied</v>
      </c>
      <c r="O1026" t="s">
        <v>39</v>
      </c>
      <c r="P1026">
        <v>82</v>
      </c>
      <c r="Q1026">
        <v>3</v>
      </c>
      <c r="R1026">
        <v>4</v>
      </c>
      <c r="S1026" t="s">
        <v>58</v>
      </c>
      <c r="T1026">
        <v>3</v>
      </c>
      <c r="U1026" t="str" cm="1">
        <f t="array" ref="U1026">_xlfn.IFS(
HRData[[#This Row],[JobSatisfaction]]=1,"Very Dissatisfied",
HRData[[#This Row],[JobSatisfaction]]=2,"Dissatisfied",
HRData[[#This Row],[JobSatisfaction]]=3,"Satisfied",
HRData[[#This Row],[JobSatisfaction]]=4,"Very Satisfied"
)</f>
        <v>Satisfied</v>
      </c>
      <c r="V1026" t="s">
        <v>48</v>
      </c>
      <c r="W1026">
        <v>17169</v>
      </c>
      <c r="X1026" t="str" cm="1">
        <f t="array" ref="X1026">_xlfn.IFS(
HRData[[#This Row],[MonthlyIncome]]&lt;=4000,"Very Low Income",
HRData[[#This Row],[MonthlyIncome]]&lt;=8000,"Low Income",
HRData[[#This Row],[MonthlyIncome]]&lt;=12000,"Moderate Income",
HRData[[#This Row],[MonthlyIncome]]&lt;=16000,"High Income",
HRData[[#This Row],[MonthlyIncome]]&gt;16000,"Very High Income"
)</f>
        <v>Very High Income</v>
      </c>
      <c r="Y1026">
        <v>26703</v>
      </c>
      <c r="Z1026">
        <v>3</v>
      </c>
      <c r="AA1026" t="s">
        <v>42</v>
      </c>
      <c r="AB1026" t="s">
        <v>43</v>
      </c>
      <c r="AC1026">
        <v>19</v>
      </c>
      <c r="AD1026" t="str" cm="1">
        <f t="array" ref="AD1026">_xlfn.IFS(HRData[[#This Row],[PercentSalaryHike]]&lt;=15,"11-15",HRData[[#This Row],[PercentSalaryHike]]&lt;=20,"16-20",HRData[[#This Row],[PercentSalaryHike]]&gt;=21,"21+")</f>
        <v>16-20</v>
      </c>
      <c r="AE1026">
        <v>3</v>
      </c>
      <c r="AF1026">
        <v>2</v>
      </c>
      <c r="AG1026">
        <v>80</v>
      </c>
      <c r="AH1026">
        <v>2</v>
      </c>
      <c r="AI1026">
        <v>26</v>
      </c>
      <c r="AJ1026">
        <v>2</v>
      </c>
      <c r="AK1026">
        <v>4</v>
      </c>
      <c r="AL1026">
        <v>20</v>
      </c>
      <c r="AM1026">
        <v>17</v>
      </c>
      <c r="AN1026">
        <v>5</v>
      </c>
      <c r="AO1026">
        <v>6</v>
      </c>
      <c r="AP102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026" t="str">
        <f>IF(HRData[[#This Row],[Attrition]]="Yes","Left", IF(HRData[[#This Row],[Attrition_Risk_Score]]&gt;=6,"High",IF(HRData[[#This Row],[Attrition_Risk_Score]]&gt;=3,"Medium","Low")))</f>
        <v>Low</v>
      </c>
      <c r="AR1026" t="str">
        <f>IF(HRData[[#This Row],[Attrition_Risk_Level]]&lt;&gt;"High","",HRData[[#This Row],[Attrition_Risk_Score]]*10000-HRData[[#This Row],[EmployeeNumber]])</f>
        <v/>
      </c>
    </row>
    <row r="1027" spans="1:44">
      <c r="A1027">
        <v>24</v>
      </c>
      <c r="B1027" t="str" cm="1">
        <f t="array" ref="B1027">_xlfn.IFS(
HRData[[#This Row],[Age]]&lt;=24,"18-24",
HRData[[#This Row],[Age]]&lt;=34,"25-34",
HRData[[#This Row],[Age]]&lt;=44,"35-44",
HRData[[#This Row],[Age]]&lt;=54,"45-54",
HRData[[#This Row],[Age]]&gt;=55,"55+"
)</f>
        <v>18-24</v>
      </c>
      <c r="C1027" t="s">
        <v>43</v>
      </c>
      <c r="D1027">
        <f>IF(HRData[[#This Row],[Attrition]]="Yes",1,0)</f>
        <v>0</v>
      </c>
      <c r="E1027" t="s">
        <v>36</v>
      </c>
      <c r="F1027">
        <v>1476</v>
      </c>
      <c r="G1027" t="s">
        <v>37</v>
      </c>
      <c r="H1027">
        <v>4</v>
      </c>
      <c r="I1027">
        <v>1</v>
      </c>
      <c r="J1027" t="s">
        <v>51</v>
      </c>
      <c r="K1027">
        <v>1</v>
      </c>
      <c r="L1027">
        <v>1445</v>
      </c>
      <c r="M1027">
        <v>4</v>
      </c>
      <c r="N1027" t="str" cm="1">
        <f t="array" ref="N1027">_xlfn.IFS(HRData[[#This Row],[EnvironmentSatisfaction]]=1,"Very Dissatisfied",
HRData[[#This Row],[EnvironmentSatisfaction]]=2,"Dissatisfied",
HRData[[#This Row],[EnvironmentSatisfaction]]=3,"Satisfied",
HRData[[#This Row],[EnvironmentSatisfaction]]=4,"Very Satisfied"
)</f>
        <v>Very Satisfied</v>
      </c>
      <c r="O1027" t="s">
        <v>39</v>
      </c>
      <c r="P1027">
        <v>42</v>
      </c>
      <c r="Q1027">
        <v>3</v>
      </c>
      <c r="R1027">
        <v>2</v>
      </c>
      <c r="S1027" t="s">
        <v>40</v>
      </c>
      <c r="T1027">
        <v>3</v>
      </c>
      <c r="U1027" t="str" cm="1">
        <f t="array" ref="U1027">_xlfn.IFS(
HRData[[#This Row],[JobSatisfaction]]=1,"Very Dissatisfied",
HRData[[#This Row],[JobSatisfaction]]=2,"Dissatisfied",
HRData[[#This Row],[JobSatisfaction]]=3,"Satisfied",
HRData[[#This Row],[JobSatisfaction]]=4,"Very Satisfied"
)</f>
        <v>Satisfied</v>
      </c>
      <c r="V1027" t="s">
        <v>48</v>
      </c>
      <c r="W1027">
        <v>4162</v>
      </c>
      <c r="X1027" t="str" cm="1">
        <f t="array" ref="X1027">_xlfn.IFS(
HRData[[#This Row],[MonthlyIncome]]&lt;=4000,"Very Low Income",
HRData[[#This Row],[MonthlyIncome]]&lt;=8000,"Low Income",
HRData[[#This Row],[MonthlyIncome]]&lt;=12000,"Moderate Income",
HRData[[#This Row],[MonthlyIncome]]&lt;=16000,"High Income",
HRData[[#This Row],[MonthlyIncome]]&gt;16000,"Very High Income"
)</f>
        <v>Low Income</v>
      </c>
      <c r="Y1027">
        <v>15211</v>
      </c>
      <c r="Z1027">
        <v>1</v>
      </c>
      <c r="AA1027" t="s">
        <v>42</v>
      </c>
      <c r="AB1027" t="s">
        <v>35</v>
      </c>
      <c r="AC1027">
        <v>12</v>
      </c>
      <c r="AD1027" t="str" cm="1">
        <f t="array" ref="AD1027">_xlfn.IFS(HRData[[#This Row],[PercentSalaryHike]]&lt;=15,"11-15",HRData[[#This Row],[PercentSalaryHike]]&lt;=20,"16-20",HRData[[#This Row],[PercentSalaryHike]]&gt;=21,"21+")</f>
        <v>11-15</v>
      </c>
      <c r="AE1027">
        <v>3</v>
      </c>
      <c r="AF1027">
        <v>3</v>
      </c>
      <c r="AG1027">
        <v>80</v>
      </c>
      <c r="AH1027">
        <v>2</v>
      </c>
      <c r="AI1027">
        <v>5</v>
      </c>
      <c r="AJ1027">
        <v>3</v>
      </c>
      <c r="AK1027">
        <v>3</v>
      </c>
      <c r="AL1027">
        <v>5</v>
      </c>
      <c r="AM1027">
        <v>4</v>
      </c>
      <c r="AN1027">
        <v>0</v>
      </c>
      <c r="AO1027">
        <v>3</v>
      </c>
      <c r="AP102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027" t="str">
        <f>IF(HRData[[#This Row],[Attrition]]="Yes","Left", IF(HRData[[#This Row],[Attrition_Risk_Score]]&gt;=6,"High",IF(HRData[[#This Row],[Attrition_Risk_Score]]&gt;=3,"Medium","Low")))</f>
        <v>Medium</v>
      </c>
      <c r="AR1027" t="str">
        <f>IF(HRData[[#This Row],[Attrition_Risk_Level]]&lt;&gt;"High","",HRData[[#This Row],[Attrition_Risk_Score]]*10000-HRData[[#This Row],[EmployeeNumber]])</f>
        <v/>
      </c>
    </row>
    <row r="1028" spans="1:44">
      <c r="A1028">
        <v>32</v>
      </c>
      <c r="B1028" t="str" cm="1">
        <f t="array" ref="B1028">_xlfn.IFS(
HRData[[#This Row],[Age]]&lt;=24,"18-24",
HRData[[#This Row],[Age]]&lt;=34,"25-34",
HRData[[#This Row],[Age]]&lt;=44,"35-44",
HRData[[#This Row],[Age]]&lt;=54,"45-54",
HRData[[#This Row],[Age]]&gt;=55,"55+"
)</f>
        <v>25-34</v>
      </c>
      <c r="C1028" t="s">
        <v>43</v>
      </c>
      <c r="D1028">
        <f>IF(HRData[[#This Row],[Attrition]]="Yes",1,0)</f>
        <v>0</v>
      </c>
      <c r="E1028" t="s">
        <v>36</v>
      </c>
      <c r="F1028">
        <v>601</v>
      </c>
      <c r="G1028" t="s">
        <v>37</v>
      </c>
      <c r="H1028">
        <v>7</v>
      </c>
      <c r="I1028">
        <v>5</v>
      </c>
      <c r="J1028" t="s">
        <v>59</v>
      </c>
      <c r="K1028">
        <v>1</v>
      </c>
      <c r="L1028">
        <v>1446</v>
      </c>
      <c r="M1028">
        <v>4</v>
      </c>
      <c r="N1028" t="str" cm="1">
        <f t="array" ref="N1028">_xlfn.IFS(HRData[[#This Row],[EnvironmentSatisfaction]]=1,"Very Dissatisfied",
HRData[[#This Row],[EnvironmentSatisfaction]]=2,"Dissatisfied",
HRData[[#This Row],[EnvironmentSatisfaction]]=3,"Satisfied",
HRData[[#This Row],[EnvironmentSatisfaction]]=4,"Very Satisfied"
)</f>
        <v>Very Satisfied</v>
      </c>
      <c r="O1028" t="s">
        <v>46</v>
      </c>
      <c r="P1028">
        <v>97</v>
      </c>
      <c r="Q1028">
        <v>3</v>
      </c>
      <c r="R1028">
        <v>2</v>
      </c>
      <c r="S1028" t="s">
        <v>40</v>
      </c>
      <c r="T1028">
        <v>4</v>
      </c>
      <c r="U1028" t="str" cm="1">
        <f t="array" ref="U1028">_xlfn.IFS(
HRData[[#This Row],[JobSatisfaction]]=1,"Very Dissatisfied",
HRData[[#This Row],[JobSatisfaction]]=2,"Dissatisfied",
HRData[[#This Row],[JobSatisfaction]]=3,"Satisfied",
HRData[[#This Row],[JobSatisfaction]]=4,"Very Satisfied"
)</f>
        <v>Very Satisfied</v>
      </c>
      <c r="V1028" t="s">
        <v>48</v>
      </c>
      <c r="W1028">
        <v>9204</v>
      </c>
      <c r="X1028" t="str" cm="1">
        <f t="array" ref="X1028">_xlfn.IFS(
HRData[[#This Row],[MonthlyIncome]]&lt;=4000,"Very Low Income",
HRData[[#This Row],[MonthlyIncome]]&lt;=8000,"Low Income",
HRData[[#This Row],[MonthlyIncome]]&lt;=12000,"Moderate Income",
HRData[[#This Row],[MonthlyIncome]]&lt;=16000,"High Income",
HRData[[#This Row],[MonthlyIncome]]&gt;16000,"Very High Income"
)</f>
        <v>Moderate Income</v>
      </c>
      <c r="Y1028">
        <v>23343</v>
      </c>
      <c r="Z1028">
        <v>4</v>
      </c>
      <c r="AA1028" t="s">
        <v>42</v>
      </c>
      <c r="AB1028" t="s">
        <v>43</v>
      </c>
      <c r="AC1028">
        <v>12</v>
      </c>
      <c r="AD1028" t="str" cm="1">
        <f t="array" ref="AD1028">_xlfn.IFS(HRData[[#This Row],[PercentSalaryHike]]&lt;=15,"11-15",HRData[[#This Row],[PercentSalaryHike]]&lt;=20,"16-20",HRData[[#This Row],[PercentSalaryHike]]&gt;=21,"21+")</f>
        <v>11-15</v>
      </c>
      <c r="AE1028">
        <v>3</v>
      </c>
      <c r="AF1028">
        <v>3</v>
      </c>
      <c r="AG1028">
        <v>80</v>
      </c>
      <c r="AH1028">
        <v>1</v>
      </c>
      <c r="AI1028">
        <v>7</v>
      </c>
      <c r="AJ1028">
        <v>3</v>
      </c>
      <c r="AK1028">
        <v>2</v>
      </c>
      <c r="AL1028">
        <v>4</v>
      </c>
      <c r="AM1028">
        <v>3</v>
      </c>
      <c r="AN1028">
        <v>0</v>
      </c>
      <c r="AO1028">
        <v>3</v>
      </c>
      <c r="AP102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028" t="str">
        <f>IF(HRData[[#This Row],[Attrition]]="Yes","Left", IF(HRData[[#This Row],[Attrition_Risk_Score]]&gt;=6,"High",IF(HRData[[#This Row],[Attrition_Risk_Score]]&gt;=3,"Medium","Low")))</f>
        <v>Low</v>
      </c>
      <c r="AR1028" t="str">
        <f>IF(HRData[[#This Row],[Attrition_Risk_Level]]&lt;&gt;"High","",HRData[[#This Row],[Attrition_Risk_Score]]*10000-HRData[[#This Row],[EmployeeNumber]])</f>
        <v/>
      </c>
    </row>
    <row r="1029" spans="1:44">
      <c r="A1029">
        <v>34</v>
      </c>
      <c r="B1029" t="str" cm="1">
        <f t="array" ref="B1029">_xlfn.IFS(
HRData[[#This Row],[Age]]&lt;=24,"18-24",
HRData[[#This Row],[Age]]&lt;=34,"25-34",
HRData[[#This Row],[Age]]&lt;=44,"35-44",
HRData[[#This Row],[Age]]&lt;=54,"45-54",
HRData[[#This Row],[Age]]&gt;=55,"55+"
)</f>
        <v>25-34</v>
      </c>
      <c r="C1029" t="s">
        <v>43</v>
      </c>
      <c r="D1029">
        <f>IF(HRData[[#This Row],[Attrition]]="Yes",1,0)</f>
        <v>0</v>
      </c>
      <c r="E1029" t="s">
        <v>36</v>
      </c>
      <c r="F1029">
        <v>401</v>
      </c>
      <c r="G1029" t="s">
        <v>45</v>
      </c>
      <c r="H1029">
        <v>1</v>
      </c>
      <c r="I1029">
        <v>3</v>
      </c>
      <c r="J1029" t="s">
        <v>38</v>
      </c>
      <c r="K1029">
        <v>1</v>
      </c>
      <c r="L1029">
        <v>1447</v>
      </c>
      <c r="M1029">
        <v>4</v>
      </c>
      <c r="N1029" t="str" cm="1">
        <f t="array" ref="N1029">_xlfn.IFS(HRData[[#This Row],[EnvironmentSatisfaction]]=1,"Very Dissatisfied",
HRData[[#This Row],[EnvironmentSatisfaction]]=2,"Dissatisfied",
HRData[[#This Row],[EnvironmentSatisfaction]]=3,"Satisfied",
HRData[[#This Row],[EnvironmentSatisfaction]]=4,"Very Satisfied"
)</f>
        <v>Very Satisfied</v>
      </c>
      <c r="O1029" t="s">
        <v>39</v>
      </c>
      <c r="P1029">
        <v>86</v>
      </c>
      <c r="Q1029">
        <v>2</v>
      </c>
      <c r="R1029">
        <v>1</v>
      </c>
      <c r="S1029" t="s">
        <v>50</v>
      </c>
      <c r="T1029">
        <v>2</v>
      </c>
      <c r="U1029" t="str" cm="1">
        <f t="array" ref="U1029">_xlfn.IFS(
HRData[[#This Row],[JobSatisfaction]]=1,"Very Dissatisfied",
HRData[[#This Row],[JobSatisfaction]]=2,"Dissatisfied",
HRData[[#This Row],[JobSatisfaction]]=3,"Satisfied",
HRData[[#This Row],[JobSatisfaction]]=4,"Very Satisfied"
)</f>
        <v>Dissatisfied</v>
      </c>
      <c r="V1029" t="s">
        <v>48</v>
      </c>
      <c r="W1029">
        <v>3294</v>
      </c>
      <c r="X1029" t="str" cm="1">
        <f t="array" ref="X1029">_xlfn.IFS(
HRData[[#This Row],[MonthlyIncome]]&lt;=4000,"Very Low Income",
HRData[[#This Row],[MonthlyIncome]]&lt;=8000,"Low Income",
HRData[[#This Row],[MonthlyIncome]]&lt;=12000,"Moderate Income",
HRData[[#This Row],[MonthlyIncome]]&lt;=16000,"High Income",
HRData[[#This Row],[MonthlyIncome]]&gt;16000,"Very High Income"
)</f>
        <v>Very Low Income</v>
      </c>
      <c r="Y1029">
        <v>3708</v>
      </c>
      <c r="Z1029">
        <v>5</v>
      </c>
      <c r="AA1029" t="s">
        <v>42</v>
      </c>
      <c r="AB1029" t="s">
        <v>43</v>
      </c>
      <c r="AC1029">
        <v>17</v>
      </c>
      <c r="AD1029" t="str" cm="1">
        <f t="array" ref="AD1029">_xlfn.IFS(HRData[[#This Row],[PercentSalaryHike]]&lt;=15,"11-15",HRData[[#This Row],[PercentSalaryHike]]&lt;=20,"16-20",HRData[[#This Row],[PercentSalaryHike]]&gt;=21,"21+")</f>
        <v>16-20</v>
      </c>
      <c r="AE1029">
        <v>3</v>
      </c>
      <c r="AF1029">
        <v>1</v>
      </c>
      <c r="AG1029">
        <v>80</v>
      </c>
      <c r="AH1029">
        <v>1</v>
      </c>
      <c r="AI1029">
        <v>7</v>
      </c>
      <c r="AJ1029">
        <v>2</v>
      </c>
      <c r="AK1029">
        <v>2</v>
      </c>
      <c r="AL1029">
        <v>5</v>
      </c>
      <c r="AM1029">
        <v>4</v>
      </c>
      <c r="AN1029">
        <v>0</v>
      </c>
      <c r="AO1029">
        <v>2</v>
      </c>
      <c r="AP102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29" t="str">
        <f>IF(HRData[[#This Row],[Attrition]]="Yes","Left", IF(HRData[[#This Row],[Attrition_Risk_Score]]&gt;=6,"High",IF(HRData[[#This Row],[Attrition_Risk_Score]]&gt;=3,"Medium","Low")))</f>
        <v>Medium</v>
      </c>
      <c r="AR1029" t="str">
        <f>IF(HRData[[#This Row],[Attrition_Risk_Level]]&lt;&gt;"High","",HRData[[#This Row],[Attrition_Risk_Score]]*10000-HRData[[#This Row],[EmployeeNumber]])</f>
        <v/>
      </c>
    </row>
    <row r="1030" spans="1:44">
      <c r="A1030">
        <v>41</v>
      </c>
      <c r="B1030" t="str" cm="1">
        <f t="array" ref="B1030">_xlfn.IFS(
HRData[[#This Row],[Age]]&lt;=24,"18-24",
HRData[[#This Row],[Age]]&lt;=34,"25-34",
HRData[[#This Row],[Age]]&lt;=44,"35-44",
HRData[[#This Row],[Age]]&lt;=54,"45-54",
HRData[[#This Row],[Age]]&gt;=55,"55+"
)</f>
        <v>35-44</v>
      </c>
      <c r="C1030" t="s">
        <v>43</v>
      </c>
      <c r="D1030">
        <f>IF(HRData[[#This Row],[Attrition]]="Yes",1,0)</f>
        <v>0</v>
      </c>
      <c r="E1030" t="s">
        <v>36</v>
      </c>
      <c r="F1030">
        <v>1283</v>
      </c>
      <c r="G1030" t="s">
        <v>45</v>
      </c>
      <c r="H1030">
        <v>5</v>
      </c>
      <c r="I1030">
        <v>5</v>
      </c>
      <c r="J1030" t="s">
        <v>51</v>
      </c>
      <c r="K1030">
        <v>1</v>
      </c>
      <c r="L1030">
        <v>1448</v>
      </c>
      <c r="M1030">
        <v>2</v>
      </c>
      <c r="N1030" t="str" cm="1">
        <f t="array" ref="N1030">_xlfn.IFS(HRData[[#This Row],[EnvironmentSatisfaction]]=1,"Very Dissatisfied",
HRData[[#This Row],[EnvironmentSatisfaction]]=2,"Dissatisfied",
HRData[[#This Row],[EnvironmentSatisfaction]]=3,"Satisfied",
HRData[[#This Row],[EnvironmentSatisfaction]]=4,"Very Satisfied"
)</f>
        <v>Dissatisfied</v>
      </c>
      <c r="O1030" t="s">
        <v>46</v>
      </c>
      <c r="P1030">
        <v>90</v>
      </c>
      <c r="Q1030">
        <v>4</v>
      </c>
      <c r="R1030">
        <v>1</v>
      </c>
      <c r="S1030" t="s">
        <v>47</v>
      </c>
      <c r="T1030">
        <v>3</v>
      </c>
      <c r="U1030" t="str" cm="1">
        <f t="array" ref="U1030">_xlfn.IFS(
HRData[[#This Row],[JobSatisfaction]]=1,"Very Dissatisfied",
HRData[[#This Row],[JobSatisfaction]]=2,"Dissatisfied",
HRData[[#This Row],[JobSatisfaction]]=3,"Satisfied",
HRData[[#This Row],[JobSatisfaction]]=4,"Very Satisfied"
)</f>
        <v>Satisfied</v>
      </c>
      <c r="V1030" t="s">
        <v>48</v>
      </c>
      <c r="W1030">
        <v>2127</v>
      </c>
      <c r="X1030" t="str" cm="1">
        <f t="array" ref="X1030">_xlfn.IFS(
HRData[[#This Row],[MonthlyIncome]]&lt;=4000,"Very Low Income",
HRData[[#This Row],[MonthlyIncome]]&lt;=8000,"Low Income",
HRData[[#This Row],[MonthlyIncome]]&lt;=12000,"Moderate Income",
HRData[[#This Row],[MonthlyIncome]]&lt;=16000,"High Income",
HRData[[#This Row],[MonthlyIncome]]&gt;16000,"Very High Income"
)</f>
        <v>Very Low Income</v>
      </c>
      <c r="Y1030">
        <v>5561</v>
      </c>
      <c r="Z1030">
        <v>2</v>
      </c>
      <c r="AA1030" t="s">
        <v>42</v>
      </c>
      <c r="AB1030" t="s">
        <v>35</v>
      </c>
      <c r="AC1030">
        <v>12</v>
      </c>
      <c r="AD1030" t="str" cm="1">
        <f t="array" ref="AD1030">_xlfn.IFS(HRData[[#This Row],[PercentSalaryHike]]&lt;=15,"11-15",HRData[[#This Row],[PercentSalaryHike]]&lt;=20,"16-20",HRData[[#This Row],[PercentSalaryHike]]&gt;=21,"21+")</f>
        <v>11-15</v>
      </c>
      <c r="AE1030">
        <v>3</v>
      </c>
      <c r="AF1030">
        <v>1</v>
      </c>
      <c r="AG1030">
        <v>80</v>
      </c>
      <c r="AH1030">
        <v>0</v>
      </c>
      <c r="AI1030">
        <v>7</v>
      </c>
      <c r="AJ1030">
        <v>5</v>
      </c>
      <c r="AK1030">
        <v>2</v>
      </c>
      <c r="AL1030">
        <v>4</v>
      </c>
      <c r="AM1030">
        <v>2</v>
      </c>
      <c r="AN1030">
        <v>0</v>
      </c>
      <c r="AO1030">
        <v>3</v>
      </c>
      <c r="AP103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30" t="str">
        <f>IF(HRData[[#This Row],[Attrition]]="Yes","Left", IF(HRData[[#This Row],[Attrition_Risk_Score]]&gt;=6,"High",IF(HRData[[#This Row],[Attrition_Risk_Score]]&gt;=3,"Medium","Low")))</f>
        <v>Medium</v>
      </c>
      <c r="AR1030" t="str">
        <f>IF(HRData[[#This Row],[Attrition_Risk_Level]]&lt;&gt;"High","",HRData[[#This Row],[Attrition_Risk_Score]]*10000-HRData[[#This Row],[EmployeeNumber]])</f>
        <v/>
      </c>
    </row>
    <row r="1031" spans="1:44">
      <c r="A1031">
        <v>40</v>
      </c>
      <c r="B1031" t="str" cm="1">
        <f t="array" ref="B1031">_xlfn.IFS(
HRData[[#This Row],[Age]]&lt;=24,"18-24",
HRData[[#This Row],[Age]]&lt;=34,"25-34",
HRData[[#This Row],[Age]]&lt;=44,"35-44",
HRData[[#This Row],[Age]]&lt;=54,"45-54",
HRData[[#This Row],[Age]]&gt;=55,"55+"
)</f>
        <v>35-44</v>
      </c>
      <c r="C1031" t="s">
        <v>43</v>
      </c>
      <c r="D1031">
        <f>IF(HRData[[#This Row],[Attrition]]="Yes",1,0)</f>
        <v>0</v>
      </c>
      <c r="E1031" t="s">
        <v>55</v>
      </c>
      <c r="F1031">
        <v>663</v>
      </c>
      <c r="G1031" t="s">
        <v>45</v>
      </c>
      <c r="H1031">
        <v>9</v>
      </c>
      <c r="I1031">
        <v>4</v>
      </c>
      <c r="J1031" t="s">
        <v>49</v>
      </c>
      <c r="K1031">
        <v>1</v>
      </c>
      <c r="L1031">
        <v>1449</v>
      </c>
      <c r="M1031">
        <v>3</v>
      </c>
      <c r="N1031" t="str" cm="1">
        <f t="array" ref="N1031">_xlfn.IFS(HRData[[#This Row],[EnvironmentSatisfaction]]=1,"Very Dissatisfied",
HRData[[#This Row],[EnvironmentSatisfaction]]=2,"Dissatisfied",
HRData[[#This Row],[EnvironmentSatisfaction]]=3,"Satisfied",
HRData[[#This Row],[EnvironmentSatisfaction]]=4,"Very Satisfied"
)</f>
        <v>Satisfied</v>
      </c>
      <c r="O1031" t="s">
        <v>46</v>
      </c>
      <c r="P1031">
        <v>81</v>
      </c>
      <c r="Q1031">
        <v>3</v>
      </c>
      <c r="R1031">
        <v>2</v>
      </c>
      <c r="S1031" t="s">
        <v>50</v>
      </c>
      <c r="T1031">
        <v>3</v>
      </c>
      <c r="U1031" t="str" cm="1">
        <f t="array" ref="U1031">_xlfn.IFS(
HRData[[#This Row],[JobSatisfaction]]=1,"Very Dissatisfied",
HRData[[#This Row],[JobSatisfaction]]=2,"Dissatisfied",
HRData[[#This Row],[JobSatisfaction]]=3,"Satisfied",
HRData[[#This Row],[JobSatisfaction]]=4,"Very Satisfied"
)</f>
        <v>Satisfied</v>
      </c>
      <c r="V1031" t="s">
        <v>52</v>
      </c>
      <c r="W1031">
        <v>3975</v>
      </c>
      <c r="X1031" t="str" cm="1">
        <f t="array" ref="X1031">_xlfn.IFS(
HRData[[#This Row],[MonthlyIncome]]&lt;=4000,"Very Low Income",
HRData[[#This Row],[MonthlyIncome]]&lt;=8000,"Low Income",
HRData[[#This Row],[MonthlyIncome]]&lt;=12000,"Moderate Income",
HRData[[#This Row],[MonthlyIncome]]&lt;=16000,"High Income",
HRData[[#This Row],[MonthlyIncome]]&gt;16000,"Very High Income"
)</f>
        <v>Very Low Income</v>
      </c>
      <c r="Y1031">
        <v>23099</v>
      </c>
      <c r="Z1031">
        <v>3</v>
      </c>
      <c r="AA1031" t="s">
        <v>42</v>
      </c>
      <c r="AB1031" t="s">
        <v>43</v>
      </c>
      <c r="AC1031">
        <v>11</v>
      </c>
      <c r="AD1031" t="str" cm="1">
        <f t="array" ref="AD1031">_xlfn.IFS(HRData[[#This Row],[PercentSalaryHike]]&lt;=15,"11-15",HRData[[#This Row],[PercentSalaryHike]]&lt;=20,"16-20",HRData[[#This Row],[PercentSalaryHike]]&gt;=21,"21+")</f>
        <v>11-15</v>
      </c>
      <c r="AE1031">
        <v>3</v>
      </c>
      <c r="AF1031">
        <v>3</v>
      </c>
      <c r="AG1031">
        <v>80</v>
      </c>
      <c r="AH1031">
        <v>2</v>
      </c>
      <c r="AI1031">
        <v>11</v>
      </c>
      <c r="AJ1031">
        <v>2</v>
      </c>
      <c r="AK1031">
        <v>4</v>
      </c>
      <c r="AL1031">
        <v>8</v>
      </c>
      <c r="AM1031">
        <v>7</v>
      </c>
      <c r="AN1031">
        <v>0</v>
      </c>
      <c r="AO1031">
        <v>7</v>
      </c>
      <c r="AP103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31" t="str">
        <f>IF(HRData[[#This Row],[Attrition]]="Yes","Left", IF(HRData[[#This Row],[Attrition_Risk_Score]]&gt;=6,"High",IF(HRData[[#This Row],[Attrition_Risk_Score]]&gt;=3,"Medium","Low")))</f>
        <v>Medium</v>
      </c>
      <c r="AR1031" t="str">
        <f>IF(HRData[[#This Row],[Attrition_Risk_Level]]&lt;&gt;"High","",HRData[[#This Row],[Attrition_Risk_Score]]*10000-HRData[[#This Row],[EmployeeNumber]])</f>
        <v/>
      </c>
    </row>
    <row r="1032" spans="1:44">
      <c r="A1032">
        <v>31</v>
      </c>
      <c r="B1032" t="str" cm="1">
        <f t="array" ref="B1032">_xlfn.IFS(
HRData[[#This Row],[Age]]&lt;=24,"18-24",
HRData[[#This Row],[Age]]&lt;=34,"25-34",
HRData[[#This Row],[Age]]&lt;=44,"35-44",
HRData[[#This Row],[Age]]&lt;=54,"45-54",
HRData[[#This Row],[Age]]&gt;=55,"55+"
)</f>
        <v>25-34</v>
      </c>
      <c r="C1032" t="s">
        <v>43</v>
      </c>
      <c r="D1032">
        <f>IF(HRData[[#This Row],[Attrition]]="Yes",1,0)</f>
        <v>0</v>
      </c>
      <c r="E1032" t="s">
        <v>36</v>
      </c>
      <c r="F1032">
        <v>326</v>
      </c>
      <c r="G1032" t="s">
        <v>37</v>
      </c>
      <c r="H1032">
        <v>8</v>
      </c>
      <c r="I1032">
        <v>2</v>
      </c>
      <c r="J1032" t="s">
        <v>38</v>
      </c>
      <c r="K1032">
        <v>1</v>
      </c>
      <c r="L1032">
        <v>1453</v>
      </c>
      <c r="M1032">
        <v>1</v>
      </c>
      <c r="N1032" t="str" cm="1">
        <f t="array" ref="N1032">_xlfn.IFS(HRData[[#This Row],[EnvironmentSatisfaction]]=1,"Very Dissatisfied",
HRData[[#This Row],[EnvironmentSatisfaction]]=2,"Dissatisfied",
HRData[[#This Row],[EnvironmentSatisfaction]]=3,"Satisfied",
HRData[[#This Row],[EnvironmentSatisfaction]]=4,"Very Satisfied"
)</f>
        <v>Very Dissatisfied</v>
      </c>
      <c r="O1032" t="s">
        <v>46</v>
      </c>
      <c r="P1032">
        <v>31</v>
      </c>
      <c r="Q1032">
        <v>3</v>
      </c>
      <c r="R1032">
        <v>3</v>
      </c>
      <c r="S1032" t="s">
        <v>40</v>
      </c>
      <c r="T1032">
        <v>4</v>
      </c>
      <c r="U1032" t="str" cm="1">
        <f t="array" ref="U1032">_xlfn.IFS(
HRData[[#This Row],[JobSatisfaction]]=1,"Very Dissatisfied",
HRData[[#This Row],[JobSatisfaction]]=2,"Dissatisfied",
HRData[[#This Row],[JobSatisfaction]]=3,"Satisfied",
HRData[[#This Row],[JobSatisfaction]]=4,"Very Satisfied"
)</f>
        <v>Very Satisfied</v>
      </c>
      <c r="V1032" t="s">
        <v>52</v>
      </c>
      <c r="W1032">
        <v>10793</v>
      </c>
      <c r="X1032" t="str" cm="1">
        <f t="array" ref="X1032">_xlfn.IFS(
HRData[[#This Row],[MonthlyIncome]]&lt;=4000,"Very Low Income",
HRData[[#This Row],[MonthlyIncome]]&lt;=8000,"Low Income",
HRData[[#This Row],[MonthlyIncome]]&lt;=12000,"Moderate Income",
HRData[[#This Row],[MonthlyIncome]]&lt;=16000,"High Income",
HRData[[#This Row],[MonthlyIncome]]&gt;16000,"Very High Income"
)</f>
        <v>Moderate Income</v>
      </c>
      <c r="Y1032">
        <v>8386</v>
      </c>
      <c r="Z1032">
        <v>1</v>
      </c>
      <c r="AA1032" t="s">
        <v>42</v>
      </c>
      <c r="AB1032" t="s">
        <v>43</v>
      </c>
      <c r="AC1032">
        <v>18</v>
      </c>
      <c r="AD1032" t="str" cm="1">
        <f t="array" ref="AD1032">_xlfn.IFS(HRData[[#This Row],[PercentSalaryHike]]&lt;=15,"11-15",HRData[[#This Row],[PercentSalaryHike]]&lt;=20,"16-20",HRData[[#This Row],[PercentSalaryHike]]&gt;=21,"21+")</f>
        <v>16-20</v>
      </c>
      <c r="AE1032">
        <v>3</v>
      </c>
      <c r="AF1032">
        <v>1</v>
      </c>
      <c r="AG1032">
        <v>80</v>
      </c>
      <c r="AH1032">
        <v>1</v>
      </c>
      <c r="AI1032">
        <v>13</v>
      </c>
      <c r="AJ1032">
        <v>5</v>
      </c>
      <c r="AK1032">
        <v>3</v>
      </c>
      <c r="AL1032">
        <v>13</v>
      </c>
      <c r="AM1032">
        <v>7</v>
      </c>
      <c r="AN1032">
        <v>9</v>
      </c>
      <c r="AO1032">
        <v>9</v>
      </c>
      <c r="AP103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032" t="str">
        <f>IF(HRData[[#This Row],[Attrition]]="Yes","Left", IF(HRData[[#This Row],[Attrition_Risk_Score]]&gt;=6,"High",IF(HRData[[#This Row],[Attrition_Risk_Score]]&gt;=3,"Medium","Low")))</f>
        <v>Low</v>
      </c>
      <c r="AR1032" t="str">
        <f>IF(HRData[[#This Row],[Attrition_Risk_Level]]&lt;&gt;"High","",HRData[[#This Row],[Attrition_Risk_Score]]*10000-HRData[[#This Row],[EmployeeNumber]])</f>
        <v/>
      </c>
    </row>
    <row r="1033" spans="1:44">
      <c r="A1033">
        <v>46</v>
      </c>
      <c r="B1033" t="str" cm="1">
        <f t="array" ref="B1033">_xlfn.IFS(
HRData[[#This Row],[Age]]&lt;=24,"18-24",
HRData[[#This Row],[Age]]&lt;=34,"25-34",
HRData[[#This Row],[Age]]&lt;=44,"35-44",
HRData[[#This Row],[Age]]&lt;=54,"45-54",
HRData[[#This Row],[Age]]&gt;=55,"55+"
)</f>
        <v>45-54</v>
      </c>
      <c r="C1033" t="s">
        <v>35</v>
      </c>
      <c r="D1033">
        <f>IF(HRData[[#This Row],[Attrition]]="Yes",1,0)</f>
        <v>1</v>
      </c>
      <c r="E1033" t="s">
        <v>36</v>
      </c>
      <c r="F1033">
        <v>377</v>
      </c>
      <c r="G1033" t="s">
        <v>37</v>
      </c>
      <c r="H1033">
        <v>9</v>
      </c>
      <c r="I1033">
        <v>3</v>
      </c>
      <c r="J1033" t="s">
        <v>59</v>
      </c>
      <c r="K1033">
        <v>1</v>
      </c>
      <c r="L1033">
        <v>1457</v>
      </c>
      <c r="M1033">
        <v>1</v>
      </c>
      <c r="N1033" t="str" cm="1">
        <f t="array" ref="N1033">_xlfn.IFS(HRData[[#This Row],[EnvironmentSatisfaction]]=1,"Very Dissatisfied",
HRData[[#This Row],[EnvironmentSatisfaction]]=2,"Dissatisfied",
HRData[[#This Row],[EnvironmentSatisfaction]]=3,"Satisfied",
HRData[[#This Row],[EnvironmentSatisfaction]]=4,"Very Satisfied"
)</f>
        <v>Very Dissatisfied</v>
      </c>
      <c r="O1033" t="s">
        <v>46</v>
      </c>
      <c r="P1033">
        <v>52</v>
      </c>
      <c r="Q1033">
        <v>3</v>
      </c>
      <c r="R1033">
        <v>3</v>
      </c>
      <c r="S1033" t="s">
        <v>40</v>
      </c>
      <c r="T1033">
        <v>4</v>
      </c>
      <c r="U1033" t="str" cm="1">
        <f t="array" ref="U1033">_xlfn.IFS(
HRData[[#This Row],[JobSatisfaction]]=1,"Very Dissatisfied",
HRData[[#This Row],[JobSatisfaction]]=2,"Dissatisfied",
HRData[[#This Row],[JobSatisfaction]]=3,"Satisfied",
HRData[[#This Row],[JobSatisfaction]]=4,"Very Satisfied"
)</f>
        <v>Very Satisfied</v>
      </c>
      <c r="V1033" t="s">
        <v>52</v>
      </c>
      <c r="W1033">
        <v>10096</v>
      </c>
      <c r="X1033" t="str" cm="1">
        <f t="array" ref="X1033">_xlfn.IFS(
HRData[[#This Row],[MonthlyIncome]]&lt;=4000,"Very Low Income",
HRData[[#This Row],[MonthlyIncome]]&lt;=8000,"Low Income",
HRData[[#This Row],[MonthlyIncome]]&lt;=12000,"Moderate Income",
HRData[[#This Row],[MonthlyIncome]]&lt;=16000,"High Income",
HRData[[#This Row],[MonthlyIncome]]&gt;16000,"Very High Income"
)</f>
        <v>Moderate Income</v>
      </c>
      <c r="Y1033">
        <v>15986</v>
      </c>
      <c r="Z1033">
        <v>4</v>
      </c>
      <c r="AA1033" t="s">
        <v>42</v>
      </c>
      <c r="AB1033" t="s">
        <v>43</v>
      </c>
      <c r="AC1033">
        <v>11</v>
      </c>
      <c r="AD1033" t="str" cm="1">
        <f t="array" ref="AD1033">_xlfn.IFS(HRData[[#This Row],[PercentSalaryHike]]&lt;=15,"11-15",HRData[[#This Row],[PercentSalaryHike]]&lt;=20,"16-20",HRData[[#This Row],[PercentSalaryHike]]&gt;=21,"21+")</f>
        <v>11-15</v>
      </c>
      <c r="AE1033">
        <v>3</v>
      </c>
      <c r="AF1033">
        <v>1</v>
      </c>
      <c r="AG1033">
        <v>80</v>
      </c>
      <c r="AH1033">
        <v>1</v>
      </c>
      <c r="AI1033">
        <v>28</v>
      </c>
      <c r="AJ1033">
        <v>1</v>
      </c>
      <c r="AK1033">
        <v>4</v>
      </c>
      <c r="AL1033">
        <v>7</v>
      </c>
      <c r="AM1033">
        <v>7</v>
      </c>
      <c r="AN1033">
        <v>4</v>
      </c>
      <c r="AO1033">
        <v>3</v>
      </c>
      <c r="AP103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33" t="str">
        <f>IF(HRData[[#This Row],[Attrition]]="Yes","Left", IF(HRData[[#This Row],[Attrition_Risk_Score]]&gt;=6,"High",IF(HRData[[#This Row],[Attrition_Risk_Score]]&gt;=3,"Medium","Low")))</f>
        <v>Left</v>
      </c>
      <c r="AR1033" t="str">
        <f>IF(HRData[[#This Row],[Attrition_Risk_Level]]&lt;&gt;"High","",HRData[[#This Row],[Attrition_Risk_Score]]*10000-HRData[[#This Row],[EmployeeNumber]])</f>
        <v/>
      </c>
    </row>
    <row r="1034" spans="1:44">
      <c r="A1034">
        <v>39</v>
      </c>
      <c r="B1034" t="str" cm="1">
        <f t="array" ref="B1034">_xlfn.IFS(
HRData[[#This Row],[Age]]&lt;=24,"18-24",
HRData[[#This Row],[Age]]&lt;=34,"25-34",
HRData[[#This Row],[Age]]&lt;=44,"35-44",
HRData[[#This Row],[Age]]&lt;=54,"45-54",
HRData[[#This Row],[Age]]&gt;=55,"55+"
)</f>
        <v>35-44</v>
      </c>
      <c r="C1034" t="s">
        <v>35</v>
      </c>
      <c r="D1034">
        <f>IF(HRData[[#This Row],[Attrition]]="Yes",1,0)</f>
        <v>1</v>
      </c>
      <c r="E1034" t="s">
        <v>55</v>
      </c>
      <c r="F1034">
        <v>592</v>
      </c>
      <c r="G1034" t="s">
        <v>45</v>
      </c>
      <c r="H1034">
        <v>2</v>
      </c>
      <c r="I1034">
        <v>3</v>
      </c>
      <c r="J1034" t="s">
        <v>38</v>
      </c>
      <c r="K1034">
        <v>1</v>
      </c>
      <c r="L1034">
        <v>1458</v>
      </c>
      <c r="M1034">
        <v>1</v>
      </c>
      <c r="N1034" t="str" cm="1">
        <f t="array" ref="N1034">_xlfn.IFS(HRData[[#This Row],[EnvironmentSatisfaction]]=1,"Very Dissatisfied",
HRData[[#This Row],[EnvironmentSatisfaction]]=2,"Dissatisfied",
HRData[[#This Row],[EnvironmentSatisfaction]]=3,"Satisfied",
HRData[[#This Row],[EnvironmentSatisfaction]]=4,"Very Satisfied"
)</f>
        <v>Very Dissatisfied</v>
      </c>
      <c r="O1034" t="s">
        <v>39</v>
      </c>
      <c r="P1034">
        <v>54</v>
      </c>
      <c r="Q1034">
        <v>2</v>
      </c>
      <c r="R1034">
        <v>1</v>
      </c>
      <c r="S1034" t="s">
        <v>50</v>
      </c>
      <c r="T1034">
        <v>1</v>
      </c>
      <c r="U1034" t="str" cm="1">
        <f t="array" ref="U1034">_xlfn.IFS(
HRData[[#This Row],[JobSatisfaction]]=1,"Very Dissatisfied",
HRData[[#This Row],[JobSatisfaction]]=2,"Dissatisfied",
HRData[[#This Row],[JobSatisfaction]]=3,"Satisfied",
HRData[[#This Row],[JobSatisfaction]]=4,"Very Satisfied"
)</f>
        <v>Very Dissatisfied</v>
      </c>
      <c r="V1034" t="s">
        <v>41</v>
      </c>
      <c r="W1034">
        <v>3646</v>
      </c>
      <c r="X1034" t="str" cm="1">
        <f t="array" ref="X1034">_xlfn.IFS(
HRData[[#This Row],[MonthlyIncome]]&lt;=4000,"Very Low Income",
HRData[[#This Row],[MonthlyIncome]]&lt;=8000,"Low Income",
HRData[[#This Row],[MonthlyIncome]]&lt;=12000,"Moderate Income",
HRData[[#This Row],[MonthlyIncome]]&lt;=16000,"High Income",
HRData[[#This Row],[MonthlyIncome]]&gt;16000,"Very High Income"
)</f>
        <v>Very Low Income</v>
      </c>
      <c r="Y1034">
        <v>17181</v>
      </c>
      <c r="Z1034">
        <v>2</v>
      </c>
      <c r="AA1034" t="s">
        <v>42</v>
      </c>
      <c r="AB1034" t="s">
        <v>35</v>
      </c>
      <c r="AC1034">
        <v>23</v>
      </c>
      <c r="AD1034" t="str" cm="1">
        <f t="array" ref="AD1034">_xlfn.IFS(HRData[[#This Row],[PercentSalaryHike]]&lt;=15,"11-15",HRData[[#This Row],[PercentSalaryHike]]&lt;=20,"16-20",HRData[[#This Row],[PercentSalaryHike]]&gt;=21,"21+")</f>
        <v>21+</v>
      </c>
      <c r="AE1034">
        <v>4</v>
      </c>
      <c r="AF1034">
        <v>2</v>
      </c>
      <c r="AG1034">
        <v>80</v>
      </c>
      <c r="AH1034">
        <v>0</v>
      </c>
      <c r="AI1034">
        <v>11</v>
      </c>
      <c r="AJ1034">
        <v>2</v>
      </c>
      <c r="AK1034">
        <v>4</v>
      </c>
      <c r="AL1034">
        <v>1</v>
      </c>
      <c r="AM1034">
        <v>0</v>
      </c>
      <c r="AN1034">
        <v>0</v>
      </c>
      <c r="AO1034">
        <v>0</v>
      </c>
      <c r="AP103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34" t="str">
        <f>IF(HRData[[#This Row],[Attrition]]="Yes","Left", IF(HRData[[#This Row],[Attrition_Risk_Score]]&gt;=6,"High",IF(HRData[[#This Row],[Attrition_Risk_Score]]&gt;=3,"Medium","Low")))</f>
        <v>Left</v>
      </c>
      <c r="AR1034" t="str">
        <f>IF(HRData[[#This Row],[Attrition_Risk_Level]]&lt;&gt;"High","",HRData[[#This Row],[Attrition_Risk_Score]]*10000-HRData[[#This Row],[EmployeeNumber]])</f>
        <v/>
      </c>
    </row>
    <row r="1035" spans="1:44">
      <c r="A1035">
        <v>31</v>
      </c>
      <c r="B1035" t="str" cm="1">
        <f t="array" ref="B1035">_xlfn.IFS(
HRData[[#This Row],[Age]]&lt;=24,"18-24",
HRData[[#This Row],[Age]]&lt;=34,"25-34",
HRData[[#This Row],[Age]]&lt;=44,"35-44",
HRData[[#This Row],[Age]]&lt;=54,"45-54",
HRData[[#This Row],[Age]]&gt;=55,"55+"
)</f>
        <v>25-34</v>
      </c>
      <c r="C1035" t="s">
        <v>35</v>
      </c>
      <c r="D1035">
        <f>IF(HRData[[#This Row],[Attrition]]="Yes",1,0)</f>
        <v>1</v>
      </c>
      <c r="E1035" t="s">
        <v>44</v>
      </c>
      <c r="F1035">
        <v>1445</v>
      </c>
      <c r="G1035" t="s">
        <v>45</v>
      </c>
      <c r="H1035">
        <v>1</v>
      </c>
      <c r="I1035">
        <v>5</v>
      </c>
      <c r="J1035" t="s">
        <v>38</v>
      </c>
      <c r="K1035">
        <v>1</v>
      </c>
      <c r="L1035">
        <v>1459</v>
      </c>
      <c r="M1035">
        <v>3</v>
      </c>
      <c r="N1035" t="str" cm="1">
        <f t="array" ref="N1035">_xlfn.IFS(HRData[[#This Row],[EnvironmentSatisfaction]]=1,"Very Dissatisfied",
HRData[[#This Row],[EnvironmentSatisfaction]]=2,"Dissatisfied",
HRData[[#This Row],[EnvironmentSatisfaction]]=3,"Satisfied",
HRData[[#This Row],[EnvironmentSatisfaction]]=4,"Very Satisfied"
)</f>
        <v>Satisfied</v>
      </c>
      <c r="O1035" t="s">
        <v>39</v>
      </c>
      <c r="P1035">
        <v>100</v>
      </c>
      <c r="Q1035">
        <v>4</v>
      </c>
      <c r="R1035">
        <v>3</v>
      </c>
      <c r="S1035" t="s">
        <v>53</v>
      </c>
      <c r="T1035">
        <v>2</v>
      </c>
      <c r="U1035" t="str" cm="1">
        <f t="array" ref="U1035">_xlfn.IFS(
HRData[[#This Row],[JobSatisfaction]]=1,"Very Dissatisfied",
HRData[[#This Row],[JobSatisfaction]]=2,"Dissatisfied",
HRData[[#This Row],[JobSatisfaction]]=3,"Satisfied",
HRData[[#This Row],[JobSatisfaction]]=4,"Very Satisfied"
)</f>
        <v>Dissatisfied</v>
      </c>
      <c r="V1035" t="s">
        <v>41</v>
      </c>
      <c r="W1035">
        <v>7446</v>
      </c>
      <c r="X1035" t="str" cm="1">
        <f t="array" ref="X1035">_xlfn.IFS(
HRData[[#This Row],[MonthlyIncome]]&lt;=4000,"Very Low Income",
HRData[[#This Row],[MonthlyIncome]]&lt;=8000,"Low Income",
HRData[[#This Row],[MonthlyIncome]]&lt;=12000,"Moderate Income",
HRData[[#This Row],[MonthlyIncome]]&lt;=16000,"High Income",
HRData[[#This Row],[MonthlyIncome]]&gt;16000,"Very High Income"
)</f>
        <v>Low Income</v>
      </c>
      <c r="Y1035">
        <v>8931</v>
      </c>
      <c r="Z1035">
        <v>1</v>
      </c>
      <c r="AA1035" t="s">
        <v>42</v>
      </c>
      <c r="AB1035" t="s">
        <v>43</v>
      </c>
      <c r="AC1035">
        <v>11</v>
      </c>
      <c r="AD1035" t="str" cm="1">
        <f t="array" ref="AD1035">_xlfn.IFS(HRData[[#This Row],[PercentSalaryHike]]&lt;=15,"11-15",HRData[[#This Row],[PercentSalaryHike]]&lt;=20,"16-20",HRData[[#This Row],[PercentSalaryHike]]&gt;=21,"21+")</f>
        <v>11-15</v>
      </c>
      <c r="AE1035">
        <v>3</v>
      </c>
      <c r="AF1035">
        <v>1</v>
      </c>
      <c r="AG1035">
        <v>80</v>
      </c>
      <c r="AH1035">
        <v>0</v>
      </c>
      <c r="AI1035">
        <v>10</v>
      </c>
      <c r="AJ1035">
        <v>2</v>
      </c>
      <c r="AK1035">
        <v>3</v>
      </c>
      <c r="AL1035">
        <v>10</v>
      </c>
      <c r="AM1035">
        <v>8</v>
      </c>
      <c r="AN1035">
        <v>4</v>
      </c>
      <c r="AO1035">
        <v>7</v>
      </c>
      <c r="AP103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35" t="str">
        <f>IF(HRData[[#This Row],[Attrition]]="Yes","Left", IF(HRData[[#This Row],[Attrition_Risk_Score]]&gt;=6,"High",IF(HRData[[#This Row],[Attrition_Risk_Score]]&gt;=3,"Medium","Low")))</f>
        <v>Left</v>
      </c>
      <c r="AR1035" t="str">
        <f>IF(HRData[[#This Row],[Attrition_Risk_Level]]&lt;&gt;"High","",HRData[[#This Row],[Attrition_Risk_Score]]*10000-HRData[[#This Row],[EmployeeNumber]])</f>
        <v/>
      </c>
    </row>
    <row r="1036" spans="1:44">
      <c r="A1036">
        <v>45</v>
      </c>
      <c r="B1036" t="str" cm="1">
        <f t="array" ref="B1036">_xlfn.IFS(
HRData[[#This Row],[Age]]&lt;=24,"18-24",
HRData[[#This Row],[Age]]&lt;=34,"25-34",
HRData[[#This Row],[Age]]&lt;=44,"35-44",
HRData[[#This Row],[Age]]&lt;=54,"45-54",
HRData[[#This Row],[Age]]&gt;=55,"55+"
)</f>
        <v>45-54</v>
      </c>
      <c r="C1036" t="s">
        <v>43</v>
      </c>
      <c r="D1036">
        <f>IF(HRData[[#This Row],[Attrition]]="Yes",1,0)</f>
        <v>0</v>
      </c>
      <c r="E1036" t="s">
        <v>36</v>
      </c>
      <c r="F1036">
        <v>1038</v>
      </c>
      <c r="G1036" t="s">
        <v>45</v>
      </c>
      <c r="H1036">
        <v>20</v>
      </c>
      <c r="I1036">
        <v>3</v>
      </c>
      <c r="J1036" t="s">
        <v>51</v>
      </c>
      <c r="K1036">
        <v>1</v>
      </c>
      <c r="L1036">
        <v>1460</v>
      </c>
      <c r="M1036">
        <v>2</v>
      </c>
      <c r="N1036" t="str" cm="1">
        <f t="array" ref="N1036">_xlfn.IFS(HRData[[#This Row],[EnvironmentSatisfaction]]=1,"Very Dissatisfied",
HRData[[#This Row],[EnvironmentSatisfaction]]=2,"Dissatisfied",
HRData[[#This Row],[EnvironmentSatisfaction]]=3,"Satisfied",
HRData[[#This Row],[EnvironmentSatisfaction]]=4,"Very Satisfied"
)</f>
        <v>Dissatisfied</v>
      </c>
      <c r="O1036" t="s">
        <v>46</v>
      </c>
      <c r="P1036">
        <v>95</v>
      </c>
      <c r="Q1036">
        <v>1</v>
      </c>
      <c r="R1036">
        <v>3</v>
      </c>
      <c r="S1036" t="s">
        <v>54</v>
      </c>
      <c r="T1036">
        <v>1</v>
      </c>
      <c r="U1036" t="str" cm="1">
        <f t="array" ref="U1036">_xlfn.IFS(
HRData[[#This Row],[JobSatisfaction]]=1,"Very Dissatisfied",
HRData[[#This Row],[JobSatisfaction]]=2,"Dissatisfied",
HRData[[#This Row],[JobSatisfaction]]=3,"Satisfied",
HRData[[#This Row],[JobSatisfaction]]=4,"Very Satisfied"
)</f>
        <v>Very Dissatisfied</v>
      </c>
      <c r="V1036" t="s">
        <v>52</v>
      </c>
      <c r="W1036">
        <v>10851</v>
      </c>
      <c r="X1036" t="str" cm="1">
        <f t="array" ref="X1036">_xlfn.IFS(
HRData[[#This Row],[MonthlyIncome]]&lt;=4000,"Very Low Income",
HRData[[#This Row],[MonthlyIncome]]&lt;=8000,"Low Income",
HRData[[#This Row],[MonthlyIncome]]&lt;=12000,"Moderate Income",
HRData[[#This Row],[MonthlyIncome]]&lt;=16000,"High Income",
HRData[[#This Row],[MonthlyIncome]]&gt;16000,"Very High Income"
)</f>
        <v>Moderate Income</v>
      </c>
      <c r="Y1036">
        <v>19863</v>
      </c>
      <c r="Z1036">
        <v>2</v>
      </c>
      <c r="AA1036" t="s">
        <v>42</v>
      </c>
      <c r="AB1036" t="s">
        <v>35</v>
      </c>
      <c r="AC1036">
        <v>18</v>
      </c>
      <c r="AD1036" t="str" cm="1">
        <f t="array" ref="AD1036">_xlfn.IFS(HRData[[#This Row],[PercentSalaryHike]]&lt;=15,"11-15",HRData[[#This Row],[PercentSalaryHike]]&lt;=20,"16-20",HRData[[#This Row],[PercentSalaryHike]]&gt;=21,"21+")</f>
        <v>16-20</v>
      </c>
      <c r="AE1036">
        <v>3</v>
      </c>
      <c r="AF1036">
        <v>2</v>
      </c>
      <c r="AG1036">
        <v>80</v>
      </c>
      <c r="AH1036">
        <v>1</v>
      </c>
      <c r="AI1036">
        <v>24</v>
      </c>
      <c r="AJ1036">
        <v>2</v>
      </c>
      <c r="AK1036">
        <v>3</v>
      </c>
      <c r="AL1036">
        <v>7</v>
      </c>
      <c r="AM1036">
        <v>7</v>
      </c>
      <c r="AN1036">
        <v>0</v>
      </c>
      <c r="AO1036">
        <v>7</v>
      </c>
      <c r="AP103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36" t="str">
        <f>IF(HRData[[#This Row],[Attrition]]="Yes","Left", IF(HRData[[#This Row],[Attrition_Risk_Score]]&gt;=6,"High",IF(HRData[[#This Row],[Attrition_Risk_Score]]&gt;=3,"Medium","Low")))</f>
        <v>Medium</v>
      </c>
      <c r="AR1036" t="str">
        <f>IF(HRData[[#This Row],[Attrition_Risk_Level]]&lt;&gt;"High","",HRData[[#This Row],[Attrition_Risk_Score]]*10000-HRData[[#This Row],[EmployeeNumber]])</f>
        <v/>
      </c>
    </row>
    <row r="1037" spans="1:44">
      <c r="A1037">
        <v>31</v>
      </c>
      <c r="B1037" t="str" cm="1">
        <f t="array" ref="B1037">_xlfn.IFS(
HRData[[#This Row],[Age]]&lt;=24,"18-24",
HRData[[#This Row],[Age]]&lt;=34,"25-34",
HRData[[#This Row],[Age]]&lt;=44,"35-44",
HRData[[#This Row],[Age]]&lt;=54,"45-54",
HRData[[#This Row],[Age]]&gt;=55,"55+"
)</f>
        <v>25-34</v>
      </c>
      <c r="C1037" t="s">
        <v>43</v>
      </c>
      <c r="D1037">
        <f>IF(HRData[[#This Row],[Attrition]]="Yes",1,0)</f>
        <v>0</v>
      </c>
      <c r="E1037" t="s">
        <v>36</v>
      </c>
      <c r="F1037">
        <v>1398</v>
      </c>
      <c r="G1037" t="s">
        <v>61</v>
      </c>
      <c r="H1037">
        <v>8</v>
      </c>
      <c r="I1037">
        <v>2</v>
      </c>
      <c r="J1037" t="s">
        <v>51</v>
      </c>
      <c r="K1037">
        <v>1</v>
      </c>
      <c r="L1037">
        <v>1461</v>
      </c>
      <c r="M1037">
        <v>4</v>
      </c>
      <c r="N1037" t="str" cm="1">
        <f t="array" ref="N1037">_xlfn.IFS(HRData[[#This Row],[EnvironmentSatisfaction]]=1,"Very Dissatisfied",
HRData[[#This Row],[EnvironmentSatisfaction]]=2,"Dissatisfied",
HRData[[#This Row],[EnvironmentSatisfaction]]=3,"Satisfied",
HRData[[#This Row],[EnvironmentSatisfaction]]=4,"Very Satisfied"
)</f>
        <v>Very Satisfied</v>
      </c>
      <c r="O1037" t="s">
        <v>39</v>
      </c>
      <c r="P1037">
        <v>96</v>
      </c>
      <c r="Q1037">
        <v>4</v>
      </c>
      <c r="R1037">
        <v>1</v>
      </c>
      <c r="S1037" t="s">
        <v>61</v>
      </c>
      <c r="T1037">
        <v>2</v>
      </c>
      <c r="U1037" t="str" cm="1">
        <f t="array" ref="U1037">_xlfn.IFS(
HRData[[#This Row],[JobSatisfaction]]=1,"Very Dissatisfied",
HRData[[#This Row],[JobSatisfaction]]=2,"Dissatisfied",
HRData[[#This Row],[JobSatisfaction]]=3,"Satisfied",
HRData[[#This Row],[JobSatisfaction]]=4,"Very Satisfied"
)</f>
        <v>Dissatisfied</v>
      </c>
      <c r="V1037" t="s">
        <v>41</v>
      </c>
      <c r="W1037">
        <v>2109</v>
      </c>
      <c r="X1037" t="str" cm="1">
        <f t="array" ref="X1037">_xlfn.IFS(
HRData[[#This Row],[MonthlyIncome]]&lt;=4000,"Very Low Income",
HRData[[#This Row],[MonthlyIncome]]&lt;=8000,"Low Income",
HRData[[#This Row],[MonthlyIncome]]&lt;=12000,"Moderate Income",
HRData[[#This Row],[MonthlyIncome]]&lt;=16000,"High Income",
HRData[[#This Row],[MonthlyIncome]]&gt;16000,"Very High Income"
)</f>
        <v>Very Low Income</v>
      </c>
      <c r="Y1037">
        <v>24609</v>
      </c>
      <c r="Z1037">
        <v>9</v>
      </c>
      <c r="AA1037" t="s">
        <v>42</v>
      </c>
      <c r="AB1037" t="s">
        <v>43</v>
      </c>
      <c r="AC1037">
        <v>18</v>
      </c>
      <c r="AD1037" t="str" cm="1">
        <f t="array" ref="AD1037">_xlfn.IFS(HRData[[#This Row],[PercentSalaryHike]]&lt;=15,"11-15",HRData[[#This Row],[PercentSalaryHike]]&lt;=20,"16-20",HRData[[#This Row],[PercentSalaryHike]]&gt;=21,"21+")</f>
        <v>16-20</v>
      </c>
      <c r="AE1037">
        <v>3</v>
      </c>
      <c r="AF1037">
        <v>4</v>
      </c>
      <c r="AG1037">
        <v>80</v>
      </c>
      <c r="AH1037">
        <v>0</v>
      </c>
      <c r="AI1037">
        <v>8</v>
      </c>
      <c r="AJ1037">
        <v>3</v>
      </c>
      <c r="AK1037">
        <v>3</v>
      </c>
      <c r="AL1037">
        <v>3</v>
      </c>
      <c r="AM1037">
        <v>2</v>
      </c>
      <c r="AN1037">
        <v>0</v>
      </c>
      <c r="AO1037">
        <v>2</v>
      </c>
      <c r="AP103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37" t="str">
        <f>IF(HRData[[#This Row],[Attrition]]="Yes","Left", IF(HRData[[#This Row],[Attrition_Risk_Score]]&gt;=6,"High",IF(HRData[[#This Row],[Attrition_Risk_Score]]&gt;=3,"Medium","Low")))</f>
        <v>Medium</v>
      </c>
      <c r="AR1037" t="str">
        <f>IF(HRData[[#This Row],[Attrition_Risk_Level]]&lt;&gt;"High","",HRData[[#This Row],[Attrition_Risk_Score]]*10000-HRData[[#This Row],[EmployeeNumber]])</f>
        <v/>
      </c>
    </row>
    <row r="1038" spans="1:44">
      <c r="A1038">
        <v>31</v>
      </c>
      <c r="B1038" t="str" cm="1">
        <f t="array" ref="B1038">_xlfn.IFS(
HRData[[#This Row],[Age]]&lt;=24,"18-24",
HRData[[#This Row],[Age]]&lt;=34,"25-34",
HRData[[#This Row],[Age]]&lt;=44,"35-44",
HRData[[#This Row],[Age]]&lt;=54,"45-54",
HRData[[#This Row],[Age]]&gt;=55,"55+"
)</f>
        <v>25-34</v>
      </c>
      <c r="C1038" t="s">
        <v>35</v>
      </c>
      <c r="D1038">
        <f>IF(HRData[[#This Row],[Attrition]]="Yes",1,0)</f>
        <v>1</v>
      </c>
      <c r="E1038" t="s">
        <v>44</v>
      </c>
      <c r="F1038">
        <v>523</v>
      </c>
      <c r="G1038" t="s">
        <v>45</v>
      </c>
      <c r="H1038">
        <v>2</v>
      </c>
      <c r="I1038">
        <v>3</v>
      </c>
      <c r="J1038" t="s">
        <v>38</v>
      </c>
      <c r="K1038">
        <v>1</v>
      </c>
      <c r="L1038">
        <v>1464</v>
      </c>
      <c r="M1038">
        <v>2</v>
      </c>
      <c r="N1038" t="str" cm="1">
        <f t="array" ref="N1038">_xlfn.IFS(HRData[[#This Row],[EnvironmentSatisfaction]]=1,"Very Dissatisfied",
HRData[[#This Row],[EnvironmentSatisfaction]]=2,"Dissatisfied",
HRData[[#This Row],[EnvironmentSatisfaction]]=3,"Satisfied",
HRData[[#This Row],[EnvironmentSatisfaction]]=4,"Very Satisfied"
)</f>
        <v>Dissatisfied</v>
      </c>
      <c r="O1038" t="s">
        <v>46</v>
      </c>
      <c r="P1038">
        <v>94</v>
      </c>
      <c r="Q1038">
        <v>3</v>
      </c>
      <c r="R1038">
        <v>1</v>
      </c>
      <c r="S1038" t="s">
        <v>50</v>
      </c>
      <c r="T1038">
        <v>4</v>
      </c>
      <c r="U1038" t="str" cm="1">
        <f t="array" ref="U1038">_xlfn.IFS(
HRData[[#This Row],[JobSatisfaction]]=1,"Very Dissatisfied",
HRData[[#This Row],[JobSatisfaction]]=2,"Dissatisfied",
HRData[[#This Row],[JobSatisfaction]]=3,"Satisfied",
HRData[[#This Row],[JobSatisfaction]]=4,"Very Satisfied"
)</f>
        <v>Very Satisfied</v>
      </c>
      <c r="V1038" t="s">
        <v>48</v>
      </c>
      <c r="W1038">
        <v>3722</v>
      </c>
      <c r="X1038" t="str" cm="1">
        <f t="array" ref="X1038">_xlfn.IFS(
HRData[[#This Row],[MonthlyIncome]]&lt;=4000,"Very Low Income",
HRData[[#This Row],[MonthlyIncome]]&lt;=8000,"Low Income",
HRData[[#This Row],[MonthlyIncome]]&lt;=12000,"Moderate Income",
HRData[[#This Row],[MonthlyIncome]]&lt;=16000,"High Income",
HRData[[#This Row],[MonthlyIncome]]&gt;16000,"Very High Income"
)</f>
        <v>Very Low Income</v>
      </c>
      <c r="Y1038">
        <v>21081</v>
      </c>
      <c r="Z1038">
        <v>6</v>
      </c>
      <c r="AA1038" t="s">
        <v>42</v>
      </c>
      <c r="AB1038" t="s">
        <v>35</v>
      </c>
      <c r="AC1038">
        <v>13</v>
      </c>
      <c r="AD1038" t="str" cm="1">
        <f t="array" ref="AD1038">_xlfn.IFS(HRData[[#This Row],[PercentSalaryHike]]&lt;=15,"11-15",HRData[[#This Row],[PercentSalaryHike]]&lt;=20,"16-20",HRData[[#This Row],[PercentSalaryHike]]&gt;=21,"21+")</f>
        <v>11-15</v>
      </c>
      <c r="AE1038">
        <v>3</v>
      </c>
      <c r="AF1038">
        <v>3</v>
      </c>
      <c r="AG1038">
        <v>80</v>
      </c>
      <c r="AH1038">
        <v>1</v>
      </c>
      <c r="AI1038">
        <v>7</v>
      </c>
      <c r="AJ1038">
        <v>2</v>
      </c>
      <c r="AK1038">
        <v>1</v>
      </c>
      <c r="AL1038">
        <v>2</v>
      </c>
      <c r="AM1038">
        <v>2</v>
      </c>
      <c r="AN1038">
        <v>2</v>
      </c>
      <c r="AO1038">
        <v>2</v>
      </c>
      <c r="AP103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38" t="str">
        <f>IF(HRData[[#This Row],[Attrition]]="Yes","Left", IF(HRData[[#This Row],[Attrition_Risk_Score]]&gt;=6,"High",IF(HRData[[#This Row],[Attrition_Risk_Score]]&gt;=3,"Medium","Low")))</f>
        <v>Left</v>
      </c>
      <c r="AR1038" t="str">
        <f>IF(HRData[[#This Row],[Attrition_Risk_Level]]&lt;&gt;"High","",HRData[[#This Row],[Attrition_Risk_Score]]*10000-HRData[[#This Row],[EmployeeNumber]])</f>
        <v/>
      </c>
    </row>
    <row r="1039" spans="1:44">
      <c r="A1039">
        <v>45</v>
      </c>
      <c r="B1039" t="str" cm="1">
        <f t="array" ref="B1039">_xlfn.IFS(
HRData[[#This Row],[Age]]&lt;=24,"18-24",
HRData[[#This Row],[Age]]&lt;=34,"25-34",
HRData[[#This Row],[Age]]&lt;=44,"35-44",
HRData[[#This Row],[Age]]&lt;=54,"45-54",
HRData[[#This Row],[Age]]&gt;=55,"55+"
)</f>
        <v>45-54</v>
      </c>
      <c r="C1039" t="s">
        <v>43</v>
      </c>
      <c r="D1039">
        <f>IF(HRData[[#This Row],[Attrition]]="Yes",1,0)</f>
        <v>0</v>
      </c>
      <c r="E1039" t="s">
        <v>36</v>
      </c>
      <c r="F1039">
        <v>1448</v>
      </c>
      <c r="G1039" t="s">
        <v>45</v>
      </c>
      <c r="H1039">
        <v>29</v>
      </c>
      <c r="I1039">
        <v>3</v>
      </c>
      <c r="J1039" t="s">
        <v>60</v>
      </c>
      <c r="K1039">
        <v>1</v>
      </c>
      <c r="L1039">
        <v>1465</v>
      </c>
      <c r="M1039">
        <v>2</v>
      </c>
      <c r="N1039" t="str" cm="1">
        <f t="array" ref="N1039">_xlfn.IFS(HRData[[#This Row],[EnvironmentSatisfaction]]=1,"Very Dissatisfied",
HRData[[#This Row],[EnvironmentSatisfaction]]=2,"Dissatisfied",
HRData[[#This Row],[EnvironmentSatisfaction]]=3,"Satisfied",
HRData[[#This Row],[EnvironmentSatisfaction]]=4,"Very Satisfied"
)</f>
        <v>Dissatisfied</v>
      </c>
      <c r="O1039" t="s">
        <v>46</v>
      </c>
      <c r="P1039">
        <v>55</v>
      </c>
      <c r="Q1039">
        <v>3</v>
      </c>
      <c r="R1039">
        <v>3</v>
      </c>
      <c r="S1039" t="s">
        <v>53</v>
      </c>
      <c r="T1039">
        <v>4</v>
      </c>
      <c r="U1039" t="str" cm="1">
        <f t="array" ref="U1039">_xlfn.IFS(
HRData[[#This Row],[JobSatisfaction]]=1,"Very Dissatisfied",
HRData[[#This Row],[JobSatisfaction]]=2,"Dissatisfied",
HRData[[#This Row],[JobSatisfaction]]=3,"Satisfied",
HRData[[#This Row],[JobSatisfaction]]=4,"Very Satisfied"
)</f>
        <v>Very Satisfied</v>
      </c>
      <c r="V1039" t="s">
        <v>48</v>
      </c>
      <c r="W1039">
        <v>9380</v>
      </c>
      <c r="X1039" t="str" cm="1">
        <f t="array" ref="X1039">_xlfn.IFS(
HRData[[#This Row],[MonthlyIncome]]&lt;=4000,"Very Low Income",
HRData[[#This Row],[MonthlyIncome]]&lt;=8000,"Low Income",
HRData[[#This Row],[MonthlyIncome]]&lt;=12000,"Moderate Income",
HRData[[#This Row],[MonthlyIncome]]&lt;=16000,"High Income",
HRData[[#This Row],[MonthlyIncome]]&gt;16000,"Very High Income"
)</f>
        <v>Moderate Income</v>
      </c>
      <c r="Y1039">
        <v>14720</v>
      </c>
      <c r="Z1039">
        <v>4</v>
      </c>
      <c r="AA1039" t="s">
        <v>42</v>
      </c>
      <c r="AB1039" t="s">
        <v>35</v>
      </c>
      <c r="AC1039">
        <v>18</v>
      </c>
      <c r="AD1039" t="str" cm="1">
        <f t="array" ref="AD1039">_xlfn.IFS(HRData[[#This Row],[PercentSalaryHike]]&lt;=15,"11-15",HRData[[#This Row],[PercentSalaryHike]]&lt;=20,"16-20",HRData[[#This Row],[PercentSalaryHike]]&gt;=21,"21+")</f>
        <v>16-20</v>
      </c>
      <c r="AE1039">
        <v>3</v>
      </c>
      <c r="AF1039">
        <v>4</v>
      </c>
      <c r="AG1039">
        <v>80</v>
      </c>
      <c r="AH1039">
        <v>2</v>
      </c>
      <c r="AI1039">
        <v>10</v>
      </c>
      <c r="AJ1039">
        <v>4</v>
      </c>
      <c r="AK1039">
        <v>4</v>
      </c>
      <c r="AL1039">
        <v>3</v>
      </c>
      <c r="AM1039">
        <v>1</v>
      </c>
      <c r="AN1039">
        <v>1</v>
      </c>
      <c r="AO1039">
        <v>2</v>
      </c>
      <c r="AP103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39" t="str">
        <f>IF(HRData[[#This Row],[Attrition]]="Yes","Left", IF(HRData[[#This Row],[Attrition_Risk_Score]]&gt;=6,"High",IF(HRData[[#This Row],[Attrition_Risk_Score]]&gt;=3,"Medium","Low")))</f>
        <v>Low</v>
      </c>
      <c r="AR1039" t="str">
        <f>IF(HRData[[#This Row],[Attrition_Risk_Level]]&lt;&gt;"High","",HRData[[#This Row],[Attrition_Risk_Score]]*10000-HRData[[#This Row],[EmployeeNumber]])</f>
        <v/>
      </c>
    </row>
    <row r="1040" spans="1:44">
      <c r="A1040">
        <v>48</v>
      </c>
      <c r="B1040" t="str" cm="1">
        <f t="array" ref="B1040">_xlfn.IFS(
HRData[[#This Row],[Age]]&lt;=24,"18-24",
HRData[[#This Row],[Age]]&lt;=34,"25-34",
HRData[[#This Row],[Age]]&lt;=44,"35-44",
HRData[[#This Row],[Age]]&lt;=54,"45-54",
HRData[[#This Row],[Age]]&gt;=55,"55+"
)</f>
        <v>45-54</v>
      </c>
      <c r="C1040" t="s">
        <v>43</v>
      </c>
      <c r="D1040">
        <f>IF(HRData[[#This Row],[Attrition]]="Yes",1,0)</f>
        <v>0</v>
      </c>
      <c r="E1040" t="s">
        <v>36</v>
      </c>
      <c r="F1040">
        <v>1221</v>
      </c>
      <c r="G1040" t="s">
        <v>37</v>
      </c>
      <c r="H1040">
        <v>7</v>
      </c>
      <c r="I1040">
        <v>3</v>
      </c>
      <c r="J1040" t="s">
        <v>59</v>
      </c>
      <c r="K1040">
        <v>1</v>
      </c>
      <c r="L1040">
        <v>1466</v>
      </c>
      <c r="M1040">
        <v>3</v>
      </c>
      <c r="N1040" t="str" cm="1">
        <f t="array" ref="N1040">_xlfn.IFS(HRData[[#This Row],[EnvironmentSatisfaction]]=1,"Very Dissatisfied",
HRData[[#This Row],[EnvironmentSatisfaction]]=2,"Dissatisfied",
HRData[[#This Row],[EnvironmentSatisfaction]]=3,"Satisfied",
HRData[[#This Row],[EnvironmentSatisfaction]]=4,"Very Satisfied"
)</f>
        <v>Satisfied</v>
      </c>
      <c r="O1040" t="s">
        <v>46</v>
      </c>
      <c r="P1040">
        <v>96</v>
      </c>
      <c r="Q1040">
        <v>3</v>
      </c>
      <c r="R1040">
        <v>2</v>
      </c>
      <c r="S1040" t="s">
        <v>40</v>
      </c>
      <c r="T1040">
        <v>1</v>
      </c>
      <c r="U1040" t="str" cm="1">
        <f t="array" ref="U1040">_xlfn.IFS(
HRData[[#This Row],[JobSatisfaction]]=1,"Very Dissatisfied",
HRData[[#This Row],[JobSatisfaction]]=2,"Dissatisfied",
HRData[[#This Row],[JobSatisfaction]]=3,"Satisfied",
HRData[[#This Row],[JobSatisfaction]]=4,"Very Satisfied"
)</f>
        <v>Very Dissatisfied</v>
      </c>
      <c r="V1040" t="s">
        <v>52</v>
      </c>
      <c r="W1040">
        <v>5486</v>
      </c>
      <c r="X1040" t="str" cm="1">
        <f t="array" ref="X1040">_xlfn.IFS(
HRData[[#This Row],[MonthlyIncome]]&lt;=4000,"Very Low Income",
HRData[[#This Row],[MonthlyIncome]]&lt;=8000,"Low Income",
HRData[[#This Row],[MonthlyIncome]]&lt;=12000,"Moderate Income",
HRData[[#This Row],[MonthlyIncome]]&lt;=16000,"High Income",
HRData[[#This Row],[MonthlyIncome]]&gt;16000,"Very High Income"
)</f>
        <v>Low Income</v>
      </c>
      <c r="Y1040">
        <v>24795</v>
      </c>
      <c r="Z1040">
        <v>4</v>
      </c>
      <c r="AA1040" t="s">
        <v>42</v>
      </c>
      <c r="AB1040" t="s">
        <v>43</v>
      </c>
      <c r="AC1040">
        <v>11</v>
      </c>
      <c r="AD1040" t="str" cm="1">
        <f t="array" ref="AD1040">_xlfn.IFS(HRData[[#This Row],[PercentSalaryHike]]&lt;=15,"11-15",HRData[[#This Row],[PercentSalaryHike]]&lt;=20,"16-20",HRData[[#This Row],[PercentSalaryHike]]&gt;=21,"21+")</f>
        <v>11-15</v>
      </c>
      <c r="AE1040">
        <v>3</v>
      </c>
      <c r="AF1040">
        <v>1</v>
      </c>
      <c r="AG1040">
        <v>80</v>
      </c>
      <c r="AH1040">
        <v>3</v>
      </c>
      <c r="AI1040">
        <v>15</v>
      </c>
      <c r="AJ1040">
        <v>3</v>
      </c>
      <c r="AK1040">
        <v>3</v>
      </c>
      <c r="AL1040">
        <v>2</v>
      </c>
      <c r="AM1040">
        <v>2</v>
      </c>
      <c r="AN1040">
        <v>2</v>
      </c>
      <c r="AO1040">
        <v>2</v>
      </c>
      <c r="AP104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40" t="str">
        <f>IF(HRData[[#This Row],[Attrition]]="Yes","Left", IF(HRData[[#This Row],[Attrition_Risk_Score]]&gt;=6,"High",IF(HRData[[#This Row],[Attrition_Risk_Score]]&gt;=3,"Medium","Low")))</f>
        <v>Medium</v>
      </c>
      <c r="AR1040" t="str">
        <f>IF(HRData[[#This Row],[Attrition_Risk_Level]]&lt;&gt;"High","",HRData[[#This Row],[Attrition_Risk_Score]]*10000-HRData[[#This Row],[EmployeeNumber]])</f>
        <v/>
      </c>
    </row>
    <row r="1041" spans="1:44">
      <c r="A1041">
        <v>34</v>
      </c>
      <c r="B1041" t="str" cm="1">
        <f t="array" ref="B1041">_xlfn.IFS(
HRData[[#This Row],[Age]]&lt;=24,"18-24",
HRData[[#This Row],[Age]]&lt;=34,"25-34",
HRData[[#This Row],[Age]]&lt;=44,"35-44",
HRData[[#This Row],[Age]]&lt;=54,"45-54",
HRData[[#This Row],[Age]]&gt;=55,"55+"
)</f>
        <v>25-34</v>
      </c>
      <c r="C1041" t="s">
        <v>35</v>
      </c>
      <c r="D1041">
        <f>IF(HRData[[#This Row],[Attrition]]="Yes",1,0)</f>
        <v>1</v>
      </c>
      <c r="E1041" t="s">
        <v>36</v>
      </c>
      <c r="F1041">
        <v>1107</v>
      </c>
      <c r="G1041" t="s">
        <v>61</v>
      </c>
      <c r="H1041">
        <v>9</v>
      </c>
      <c r="I1041">
        <v>4</v>
      </c>
      <c r="J1041" t="s">
        <v>60</v>
      </c>
      <c r="K1041">
        <v>1</v>
      </c>
      <c r="L1041">
        <v>1467</v>
      </c>
      <c r="M1041">
        <v>1</v>
      </c>
      <c r="N1041" t="str" cm="1">
        <f t="array" ref="N1041">_xlfn.IFS(HRData[[#This Row],[EnvironmentSatisfaction]]=1,"Very Dissatisfied",
HRData[[#This Row],[EnvironmentSatisfaction]]=2,"Dissatisfied",
HRData[[#This Row],[EnvironmentSatisfaction]]=3,"Satisfied",
HRData[[#This Row],[EnvironmentSatisfaction]]=4,"Very Satisfied"
)</f>
        <v>Very Dissatisfied</v>
      </c>
      <c r="O1041" t="s">
        <v>39</v>
      </c>
      <c r="P1041">
        <v>52</v>
      </c>
      <c r="Q1041">
        <v>3</v>
      </c>
      <c r="R1041">
        <v>1</v>
      </c>
      <c r="S1041" t="s">
        <v>61</v>
      </c>
      <c r="T1041">
        <v>3</v>
      </c>
      <c r="U1041" t="str" cm="1">
        <f t="array" ref="U1041">_xlfn.IFS(
HRData[[#This Row],[JobSatisfaction]]=1,"Very Dissatisfied",
HRData[[#This Row],[JobSatisfaction]]=2,"Dissatisfied",
HRData[[#This Row],[JobSatisfaction]]=3,"Satisfied",
HRData[[#This Row],[JobSatisfaction]]=4,"Very Satisfied"
)</f>
        <v>Satisfied</v>
      </c>
      <c r="V1041" t="s">
        <v>48</v>
      </c>
      <c r="W1041">
        <v>2742</v>
      </c>
      <c r="X1041" t="str" cm="1">
        <f t="array" ref="X1041">_xlfn.IFS(
HRData[[#This Row],[MonthlyIncome]]&lt;=4000,"Very Low Income",
HRData[[#This Row],[MonthlyIncome]]&lt;=8000,"Low Income",
HRData[[#This Row],[MonthlyIncome]]&lt;=12000,"Moderate Income",
HRData[[#This Row],[MonthlyIncome]]&lt;=16000,"High Income",
HRData[[#This Row],[MonthlyIncome]]&gt;16000,"Very High Income"
)</f>
        <v>Very Low Income</v>
      </c>
      <c r="Y1041">
        <v>3072</v>
      </c>
      <c r="Z1041">
        <v>1</v>
      </c>
      <c r="AA1041" t="s">
        <v>42</v>
      </c>
      <c r="AB1041" t="s">
        <v>43</v>
      </c>
      <c r="AC1041">
        <v>15</v>
      </c>
      <c r="AD1041" t="str" cm="1">
        <f t="array" ref="AD1041">_xlfn.IFS(HRData[[#This Row],[PercentSalaryHike]]&lt;=15,"11-15",HRData[[#This Row],[PercentSalaryHike]]&lt;=20,"16-20",HRData[[#This Row],[PercentSalaryHike]]&gt;=21,"21+")</f>
        <v>11-15</v>
      </c>
      <c r="AE1041">
        <v>3</v>
      </c>
      <c r="AF1041">
        <v>4</v>
      </c>
      <c r="AG1041">
        <v>80</v>
      </c>
      <c r="AH1041">
        <v>0</v>
      </c>
      <c r="AI1041">
        <v>2</v>
      </c>
      <c r="AJ1041">
        <v>0</v>
      </c>
      <c r="AK1041">
        <v>3</v>
      </c>
      <c r="AL1041">
        <v>2</v>
      </c>
      <c r="AM1041">
        <v>2</v>
      </c>
      <c r="AN1041">
        <v>2</v>
      </c>
      <c r="AO1041">
        <v>2</v>
      </c>
      <c r="AP104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41" t="str">
        <f>IF(HRData[[#This Row],[Attrition]]="Yes","Left", IF(HRData[[#This Row],[Attrition_Risk_Score]]&gt;=6,"High",IF(HRData[[#This Row],[Attrition_Risk_Score]]&gt;=3,"Medium","Low")))</f>
        <v>Left</v>
      </c>
      <c r="AR1041" t="str">
        <f>IF(HRData[[#This Row],[Attrition_Risk_Level]]&lt;&gt;"High","",HRData[[#This Row],[Attrition_Risk_Score]]*10000-HRData[[#This Row],[EmployeeNumber]])</f>
        <v/>
      </c>
    </row>
    <row r="1042" spans="1:44">
      <c r="A1042">
        <v>40</v>
      </c>
      <c r="B1042" t="str" cm="1">
        <f t="array" ref="B1042">_xlfn.IFS(
HRData[[#This Row],[Age]]&lt;=24,"18-24",
HRData[[#This Row],[Age]]&lt;=34,"25-34",
HRData[[#This Row],[Age]]&lt;=44,"35-44",
HRData[[#This Row],[Age]]&lt;=54,"45-54",
HRData[[#This Row],[Age]]&gt;=55,"55+"
)</f>
        <v>35-44</v>
      </c>
      <c r="C1042" t="s">
        <v>43</v>
      </c>
      <c r="D1042">
        <f>IF(HRData[[#This Row],[Attrition]]="Yes",1,0)</f>
        <v>0</v>
      </c>
      <c r="E1042" t="s">
        <v>55</v>
      </c>
      <c r="F1042">
        <v>218</v>
      </c>
      <c r="G1042" t="s">
        <v>45</v>
      </c>
      <c r="H1042">
        <v>8</v>
      </c>
      <c r="I1042">
        <v>1</v>
      </c>
      <c r="J1042" t="s">
        <v>51</v>
      </c>
      <c r="K1042">
        <v>1</v>
      </c>
      <c r="L1042">
        <v>1468</v>
      </c>
      <c r="M1042">
        <v>4</v>
      </c>
      <c r="N1042" t="str" cm="1">
        <f t="array" ref="N1042">_xlfn.IFS(HRData[[#This Row],[EnvironmentSatisfaction]]=1,"Very Dissatisfied",
HRData[[#This Row],[EnvironmentSatisfaction]]=2,"Dissatisfied",
HRData[[#This Row],[EnvironmentSatisfaction]]=3,"Satisfied",
HRData[[#This Row],[EnvironmentSatisfaction]]=4,"Very Satisfied"
)</f>
        <v>Very Satisfied</v>
      </c>
      <c r="O1042" t="s">
        <v>46</v>
      </c>
      <c r="P1042">
        <v>55</v>
      </c>
      <c r="Q1042">
        <v>2</v>
      </c>
      <c r="R1042">
        <v>3</v>
      </c>
      <c r="S1042" t="s">
        <v>58</v>
      </c>
      <c r="T1042">
        <v>2</v>
      </c>
      <c r="U1042" t="str" cm="1">
        <f t="array" ref="U1042">_xlfn.IFS(
HRData[[#This Row],[JobSatisfaction]]=1,"Very Dissatisfied",
HRData[[#This Row],[JobSatisfaction]]=2,"Dissatisfied",
HRData[[#This Row],[JobSatisfaction]]=3,"Satisfied",
HRData[[#This Row],[JobSatisfaction]]=4,"Very Satisfied"
)</f>
        <v>Dissatisfied</v>
      </c>
      <c r="V1042" t="s">
        <v>52</v>
      </c>
      <c r="W1042">
        <v>13757</v>
      </c>
      <c r="X1042" t="str" cm="1">
        <f t="array" ref="X1042">_xlfn.IFS(
HRData[[#This Row],[MonthlyIncome]]&lt;=4000,"Very Low Income",
HRData[[#This Row],[MonthlyIncome]]&lt;=8000,"Low Income",
HRData[[#This Row],[MonthlyIncome]]&lt;=12000,"Moderate Income",
HRData[[#This Row],[MonthlyIncome]]&lt;=16000,"High Income",
HRData[[#This Row],[MonthlyIncome]]&gt;16000,"Very High Income"
)</f>
        <v>High Income</v>
      </c>
      <c r="Y1042">
        <v>25178</v>
      </c>
      <c r="Z1042">
        <v>2</v>
      </c>
      <c r="AA1042" t="s">
        <v>42</v>
      </c>
      <c r="AB1042" t="s">
        <v>43</v>
      </c>
      <c r="AC1042">
        <v>11</v>
      </c>
      <c r="AD1042" t="str" cm="1">
        <f t="array" ref="AD1042">_xlfn.IFS(HRData[[#This Row],[PercentSalaryHike]]&lt;=15,"11-15",HRData[[#This Row],[PercentSalaryHike]]&lt;=20,"16-20",HRData[[#This Row],[PercentSalaryHike]]&gt;=21,"21+")</f>
        <v>11-15</v>
      </c>
      <c r="AE1042">
        <v>3</v>
      </c>
      <c r="AF1042">
        <v>3</v>
      </c>
      <c r="AG1042">
        <v>80</v>
      </c>
      <c r="AH1042">
        <v>1</v>
      </c>
      <c r="AI1042">
        <v>16</v>
      </c>
      <c r="AJ1042">
        <v>5</v>
      </c>
      <c r="AK1042">
        <v>3</v>
      </c>
      <c r="AL1042">
        <v>9</v>
      </c>
      <c r="AM1042">
        <v>8</v>
      </c>
      <c r="AN1042">
        <v>4</v>
      </c>
      <c r="AO1042">
        <v>8</v>
      </c>
      <c r="AP104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042" t="str">
        <f>IF(HRData[[#This Row],[Attrition]]="Yes","Left", IF(HRData[[#This Row],[Attrition_Risk_Score]]&gt;=6,"High",IF(HRData[[#This Row],[Attrition_Risk_Score]]&gt;=3,"Medium","Low")))</f>
        <v>Low</v>
      </c>
      <c r="AR1042" t="str">
        <f>IF(HRData[[#This Row],[Attrition_Risk_Level]]&lt;&gt;"High","",HRData[[#This Row],[Attrition_Risk_Score]]*10000-HRData[[#This Row],[EmployeeNumber]])</f>
        <v/>
      </c>
    </row>
    <row r="1043" spans="1:44">
      <c r="A1043">
        <v>28</v>
      </c>
      <c r="B1043" t="str" cm="1">
        <f t="array" ref="B1043">_xlfn.IFS(
HRData[[#This Row],[Age]]&lt;=24,"18-24",
HRData[[#This Row],[Age]]&lt;=34,"25-34",
HRData[[#This Row],[Age]]&lt;=44,"35-44",
HRData[[#This Row],[Age]]&lt;=54,"45-54",
HRData[[#This Row],[Age]]&gt;=55,"55+"
)</f>
        <v>25-34</v>
      </c>
      <c r="C1043" t="s">
        <v>43</v>
      </c>
      <c r="D1043">
        <f>IF(HRData[[#This Row],[Attrition]]="Yes",1,0)</f>
        <v>0</v>
      </c>
      <c r="E1043" t="s">
        <v>36</v>
      </c>
      <c r="F1043">
        <v>866</v>
      </c>
      <c r="G1043" t="s">
        <v>37</v>
      </c>
      <c r="H1043">
        <v>5</v>
      </c>
      <c r="I1043">
        <v>3</v>
      </c>
      <c r="J1043" t="s">
        <v>51</v>
      </c>
      <c r="K1043">
        <v>1</v>
      </c>
      <c r="L1043">
        <v>1469</v>
      </c>
      <c r="M1043">
        <v>4</v>
      </c>
      <c r="N1043" t="str" cm="1">
        <f t="array" ref="N1043">_xlfn.IFS(HRData[[#This Row],[EnvironmentSatisfaction]]=1,"Very Dissatisfied",
HRData[[#This Row],[EnvironmentSatisfaction]]=2,"Dissatisfied",
HRData[[#This Row],[EnvironmentSatisfaction]]=3,"Satisfied",
HRData[[#This Row],[EnvironmentSatisfaction]]=4,"Very Satisfied"
)</f>
        <v>Very Satisfied</v>
      </c>
      <c r="O1043" t="s">
        <v>46</v>
      </c>
      <c r="P1043">
        <v>84</v>
      </c>
      <c r="Q1043">
        <v>3</v>
      </c>
      <c r="R1043">
        <v>2</v>
      </c>
      <c r="S1043" t="s">
        <v>40</v>
      </c>
      <c r="T1043">
        <v>1</v>
      </c>
      <c r="U1043" t="str" cm="1">
        <f t="array" ref="U1043">_xlfn.IFS(
HRData[[#This Row],[JobSatisfaction]]=1,"Very Dissatisfied",
HRData[[#This Row],[JobSatisfaction]]=2,"Dissatisfied",
HRData[[#This Row],[JobSatisfaction]]=3,"Satisfied",
HRData[[#This Row],[JobSatisfaction]]=4,"Very Satisfied"
)</f>
        <v>Very Dissatisfied</v>
      </c>
      <c r="V1043" t="s">
        <v>41</v>
      </c>
      <c r="W1043">
        <v>8463</v>
      </c>
      <c r="X1043" t="str" cm="1">
        <f t="array" ref="X1043">_xlfn.IFS(
HRData[[#This Row],[MonthlyIncome]]&lt;=4000,"Very Low Income",
HRData[[#This Row],[MonthlyIncome]]&lt;=8000,"Low Income",
HRData[[#This Row],[MonthlyIncome]]&lt;=12000,"Moderate Income",
HRData[[#This Row],[MonthlyIncome]]&lt;=16000,"High Income",
HRData[[#This Row],[MonthlyIncome]]&gt;16000,"Very High Income"
)</f>
        <v>Moderate Income</v>
      </c>
      <c r="Y1043">
        <v>23490</v>
      </c>
      <c r="Z1043">
        <v>0</v>
      </c>
      <c r="AA1043" t="s">
        <v>42</v>
      </c>
      <c r="AB1043" t="s">
        <v>43</v>
      </c>
      <c r="AC1043">
        <v>18</v>
      </c>
      <c r="AD1043" t="str" cm="1">
        <f t="array" ref="AD1043">_xlfn.IFS(HRData[[#This Row],[PercentSalaryHike]]&lt;=15,"11-15",HRData[[#This Row],[PercentSalaryHike]]&lt;=20,"16-20",HRData[[#This Row],[PercentSalaryHike]]&gt;=21,"21+")</f>
        <v>16-20</v>
      </c>
      <c r="AE1043">
        <v>3</v>
      </c>
      <c r="AF1043">
        <v>4</v>
      </c>
      <c r="AG1043">
        <v>80</v>
      </c>
      <c r="AH1043">
        <v>0</v>
      </c>
      <c r="AI1043">
        <v>6</v>
      </c>
      <c r="AJ1043">
        <v>4</v>
      </c>
      <c r="AK1043">
        <v>3</v>
      </c>
      <c r="AL1043">
        <v>5</v>
      </c>
      <c r="AM1043">
        <v>4</v>
      </c>
      <c r="AN1043">
        <v>1</v>
      </c>
      <c r="AO1043">
        <v>3</v>
      </c>
      <c r="AP104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43" t="str">
        <f>IF(HRData[[#This Row],[Attrition]]="Yes","Left", IF(HRData[[#This Row],[Attrition_Risk_Score]]&gt;=6,"High",IF(HRData[[#This Row],[Attrition_Risk_Score]]&gt;=3,"Medium","Low")))</f>
        <v>Medium</v>
      </c>
      <c r="AR1043" t="str">
        <f>IF(HRData[[#This Row],[Attrition_Risk_Level]]&lt;&gt;"High","",HRData[[#This Row],[Attrition_Risk_Score]]*10000-HRData[[#This Row],[EmployeeNumber]])</f>
        <v/>
      </c>
    </row>
    <row r="1044" spans="1:44">
      <c r="A1044">
        <v>44</v>
      </c>
      <c r="B1044" t="str" cm="1">
        <f t="array" ref="B1044">_xlfn.IFS(
HRData[[#This Row],[Age]]&lt;=24,"18-24",
HRData[[#This Row],[Age]]&lt;=34,"25-34",
HRData[[#This Row],[Age]]&lt;=44,"35-44",
HRData[[#This Row],[Age]]&lt;=54,"45-54",
HRData[[#This Row],[Age]]&gt;=55,"55+"
)</f>
        <v>35-44</v>
      </c>
      <c r="C1044" t="s">
        <v>43</v>
      </c>
      <c r="D1044">
        <f>IF(HRData[[#This Row],[Attrition]]="Yes",1,0)</f>
        <v>0</v>
      </c>
      <c r="E1044" t="s">
        <v>55</v>
      </c>
      <c r="F1044">
        <v>981</v>
      </c>
      <c r="G1044" t="s">
        <v>45</v>
      </c>
      <c r="H1044">
        <v>5</v>
      </c>
      <c r="I1044">
        <v>3</v>
      </c>
      <c r="J1044" t="s">
        <v>38</v>
      </c>
      <c r="K1044">
        <v>1</v>
      </c>
      <c r="L1044">
        <v>1471</v>
      </c>
      <c r="M1044">
        <v>3</v>
      </c>
      <c r="N1044" t="str" cm="1">
        <f t="array" ref="N1044">_xlfn.IFS(HRData[[#This Row],[EnvironmentSatisfaction]]=1,"Very Dissatisfied",
HRData[[#This Row],[EnvironmentSatisfaction]]=2,"Dissatisfied",
HRData[[#This Row],[EnvironmentSatisfaction]]=3,"Satisfied",
HRData[[#This Row],[EnvironmentSatisfaction]]=4,"Very Satisfied"
)</f>
        <v>Satisfied</v>
      </c>
      <c r="O1044" t="s">
        <v>46</v>
      </c>
      <c r="P1044">
        <v>90</v>
      </c>
      <c r="Q1044">
        <v>2</v>
      </c>
      <c r="R1044">
        <v>1</v>
      </c>
      <c r="S1044" t="s">
        <v>50</v>
      </c>
      <c r="T1044">
        <v>3</v>
      </c>
      <c r="U1044" t="str" cm="1">
        <f t="array" ref="U1044">_xlfn.IFS(
HRData[[#This Row],[JobSatisfaction]]=1,"Very Dissatisfied",
HRData[[#This Row],[JobSatisfaction]]=2,"Dissatisfied",
HRData[[#This Row],[JobSatisfaction]]=3,"Satisfied",
HRData[[#This Row],[JobSatisfaction]]=4,"Very Satisfied"
)</f>
        <v>Satisfied</v>
      </c>
      <c r="V1044" t="s">
        <v>41</v>
      </c>
      <c r="W1044">
        <v>3162</v>
      </c>
      <c r="X1044" t="str" cm="1">
        <f t="array" ref="X1044">_xlfn.IFS(
HRData[[#This Row],[MonthlyIncome]]&lt;=4000,"Very Low Income",
HRData[[#This Row],[MonthlyIncome]]&lt;=8000,"Low Income",
HRData[[#This Row],[MonthlyIncome]]&lt;=12000,"Moderate Income",
HRData[[#This Row],[MonthlyIncome]]&lt;=16000,"High Income",
HRData[[#This Row],[MonthlyIncome]]&gt;16000,"Very High Income"
)</f>
        <v>Very Low Income</v>
      </c>
      <c r="Y1044">
        <v>7973</v>
      </c>
      <c r="Z1044">
        <v>3</v>
      </c>
      <c r="AA1044" t="s">
        <v>42</v>
      </c>
      <c r="AB1044" t="s">
        <v>43</v>
      </c>
      <c r="AC1044">
        <v>14</v>
      </c>
      <c r="AD1044" t="str" cm="1">
        <f t="array" ref="AD1044">_xlfn.IFS(HRData[[#This Row],[PercentSalaryHike]]&lt;=15,"11-15",HRData[[#This Row],[PercentSalaryHike]]&lt;=20,"16-20",HRData[[#This Row],[PercentSalaryHike]]&gt;=21,"21+")</f>
        <v>11-15</v>
      </c>
      <c r="AE1044">
        <v>3</v>
      </c>
      <c r="AF1044">
        <v>4</v>
      </c>
      <c r="AG1044">
        <v>80</v>
      </c>
      <c r="AH1044">
        <v>0</v>
      </c>
      <c r="AI1044">
        <v>7</v>
      </c>
      <c r="AJ1044">
        <v>5</v>
      </c>
      <c r="AK1044">
        <v>3</v>
      </c>
      <c r="AL1044">
        <v>5</v>
      </c>
      <c r="AM1044">
        <v>2</v>
      </c>
      <c r="AN1044">
        <v>0</v>
      </c>
      <c r="AO1044">
        <v>3</v>
      </c>
      <c r="AP104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44" t="str">
        <f>IF(HRData[[#This Row],[Attrition]]="Yes","Left", IF(HRData[[#This Row],[Attrition_Risk_Score]]&gt;=6,"High",IF(HRData[[#This Row],[Attrition_Risk_Score]]&gt;=3,"Medium","Low")))</f>
        <v>Medium</v>
      </c>
      <c r="AR1044" t="str">
        <f>IF(HRData[[#This Row],[Attrition_Risk_Level]]&lt;&gt;"High","",HRData[[#This Row],[Attrition_Risk_Score]]*10000-HRData[[#This Row],[EmployeeNumber]])</f>
        <v/>
      </c>
    </row>
    <row r="1045" spans="1:44">
      <c r="A1045">
        <v>53</v>
      </c>
      <c r="B1045" t="str" cm="1">
        <f t="array" ref="B1045">_xlfn.IFS(
HRData[[#This Row],[Age]]&lt;=24,"18-24",
HRData[[#This Row],[Age]]&lt;=34,"25-34",
HRData[[#This Row],[Age]]&lt;=44,"35-44",
HRData[[#This Row],[Age]]&lt;=54,"45-54",
HRData[[#This Row],[Age]]&gt;=55,"55+"
)</f>
        <v>45-54</v>
      </c>
      <c r="C1045" t="s">
        <v>43</v>
      </c>
      <c r="D1045">
        <f>IF(HRData[[#This Row],[Attrition]]="Yes",1,0)</f>
        <v>0</v>
      </c>
      <c r="E1045" t="s">
        <v>36</v>
      </c>
      <c r="F1045">
        <v>447</v>
      </c>
      <c r="G1045" t="s">
        <v>45</v>
      </c>
      <c r="H1045">
        <v>2</v>
      </c>
      <c r="I1045">
        <v>3</v>
      </c>
      <c r="J1045" t="s">
        <v>51</v>
      </c>
      <c r="K1045">
        <v>1</v>
      </c>
      <c r="L1045">
        <v>1472</v>
      </c>
      <c r="M1045">
        <v>4</v>
      </c>
      <c r="N1045" t="str" cm="1">
        <f t="array" ref="N1045">_xlfn.IFS(HRData[[#This Row],[EnvironmentSatisfaction]]=1,"Very Dissatisfied",
HRData[[#This Row],[EnvironmentSatisfaction]]=2,"Dissatisfied",
HRData[[#This Row],[EnvironmentSatisfaction]]=3,"Satisfied",
HRData[[#This Row],[EnvironmentSatisfaction]]=4,"Very Satisfied"
)</f>
        <v>Very Satisfied</v>
      </c>
      <c r="O1045" t="s">
        <v>46</v>
      </c>
      <c r="P1045">
        <v>39</v>
      </c>
      <c r="Q1045">
        <v>4</v>
      </c>
      <c r="R1045">
        <v>4</v>
      </c>
      <c r="S1045" t="s">
        <v>58</v>
      </c>
      <c r="T1045">
        <v>2</v>
      </c>
      <c r="U1045" t="str" cm="1">
        <f t="array" ref="U1045">_xlfn.IFS(
HRData[[#This Row],[JobSatisfaction]]=1,"Very Dissatisfied",
HRData[[#This Row],[JobSatisfaction]]=2,"Dissatisfied",
HRData[[#This Row],[JobSatisfaction]]=3,"Satisfied",
HRData[[#This Row],[JobSatisfaction]]=4,"Very Satisfied"
)</f>
        <v>Dissatisfied</v>
      </c>
      <c r="V1045" t="s">
        <v>41</v>
      </c>
      <c r="W1045">
        <v>16598</v>
      </c>
      <c r="X1045" t="str" cm="1">
        <f t="array" ref="X1045">_xlfn.IFS(
HRData[[#This Row],[MonthlyIncome]]&lt;=4000,"Very Low Income",
HRData[[#This Row],[MonthlyIncome]]&lt;=8000,"Low Income",
HRData[[#This Row],[MonthlyIncome]]&lt;=12000,"Moderate Income",
HRData[[#This Row],[MonthlyIncome]]&lt;=16000,"High Income",
HRData[[#This Row],[MonthlyIncome]]&gt;16000,"Very High Income"
)</f>
        <v>Very High Income</v>
      </c>
      <c r="Y1045">
        <v>19764</v>
      </c>
      <c r="Z1045">
        <v>4</v>
      </c>
      <c r="AA1045" t="s">
        <v>42</v>
      </c>
      <c r="AB1045" t="s">
        <v>43</v>
      </c>
      <c r="AC1045">
        <v>12</v>
      </c>
      <c r="AD1045" t="str" cm="1">
        <f t="array" ref="AD1045">_xlfn.IFS(HRData[[#This Row],[PercentSalaryHike]]&lt;=15,"11-15",HRData[[#This Row],[PercentSalaryHike]]&lt;=20,"16-20",HRData[[#This Row],[PercentSalaryHike]]&gt;=21,"21+")</f>
        <v>11-15</v>
      </c>
      <c r="AE1045">
        <v>3</v>
      </c>
      <c r="AF1045">
        <v>2</v>
      </c>
      <c r="AG1045">
        <v>80</v>
      </c>
      <c r="AH1045">
        <v>0</v>
      </c>
      <c r="AI1045">
        <v>35</v>
      </c>
      <c r="AJ1045">
        <v>2</v>
      </c>
      <c r="AK1045">
        <v>2</v>
      </c>
      <c r="AL1045">
        <v>9</v>
      </c>
      <c r="AM1045">
        <v>8</v>
      </c>
      <c r="AN1045">
        <v>8</v>
      </c>
      <c r="AO1045">
        <v>8</v>
      </c>
      <c r="AP104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045" t="str">
        <f>IF(HRData[[#This Row],[Attrition]]="Yes","Left", IF(HRData[[#This Row],[Attrition_Risk_Score]]&gt;=6,"High",IF(HRData[[#This Row],[Attrition_Risk_Score]]&gt;=3,"Medium","Low")))</f>
        <v>Low</v>
      </c>
      <c r="AR1045" t="str">
        <f>IF(HRData[[#This Row],[Attrition_Risk_Level]]&lt;&gt;"High","",HRData[[#This Row],[Attrition_Risk_Score]]*10000-HRData[[#This Row],[EmployeeNumber]])</f>
        <v/>
      </c>
    </row>
    <row r="1046" spans="1:44">
      <c r="A1046">
        <v>49</v>
      </c>
      <c r="B1046" t="str" cm="1">
        <f t="array" ref="B1046">_xlfn.IFS(
HRData[[#This Row],[Age]]&lt;=24,"18-24",
HRData[[#This Row],[Age]]&lt;=34,"25-34",
HRData[[#This Row],[Age]]&lt;=44,"35-44",
HRData[[#This Row],[Age]]&lt;=54,"45-54",
HRData[[#This Row],[Age]]&gt;=55,"55+"
)</f>
        <v>45-54</v>
      </c>
      <c r="C1046" t="s">
        <v>43</v>
      </c>
      <c r="D1046">
        <f>IF(HRData[[#This Row],[Attrition]]="Yes",1,0)</f>
        <v>0</v>
      </c>
      <c r="E1046" t="s">
        <v>36</v>
      </c>
      <c r="F1046">
        <v>1495</v>
      </c>
      <c r="G1046" t="s">
        <v>45</v>
      </c>
      <c r="H1046">
        <v>5</v>
      </c>
      <c r="I1046">
        <v>4</v>
      </c>
      <c r="J1046" t="s">
        <v>60</v>
      </c>
      <c r="K1046">
        <v>1</v>
      </c>
      <c r="L1046">
        <v>1473</v>
      </c>
      <c r="M1046">
        <v>1</v>
      </c>
      <c r="N1046" t="str" cm="1">
        <f t="array" ref="N1046">_xlfn.IFS(HRData[[#This Row],[EnvironmentSatisfaction]]=1,"Very Dissatisfied",
HRData[[#This Row],[EnvironmentSatisfaction]]=2,"Dissatisfied",
HRData[[#This Row],[EnvironmentSatisfaction]]=3,"Satisfied",
HRData[[#This Row],[EnvironmentSatisfaction]]=4,"Very Satisfied"
)</f>
        <v>Very Dissatisfied</v>
      </c>
      <c r="O1046" t="s">
        <v>46</v>
      </c>
      <c r="P1046">
        <v>96</v>
      </c>
      <c r="Q1046">
        <v>3</v>
      </c>
      <c r="R1046">
        <v>2</v>
      </c>
      <c r="S1046" t="s">
        <v>54</v>
      </c>
      <c r="T1046">
        <v>3</v>
      </c>
      <c r="U1046" t="str" cm="1">
        <f t="array" ref="U1046">_xlfn.IFS(
HRData[[#This Row],[JobSatisfaction]]=1,"Very Dissatisfied",
HRData[[#This Row],[JobSatisfaction]]=2,"Dissatisfied",
HRData[[#This Row],[JobSatisfaction]]=3,"Satisfied",
HRData[[#This Row],[JobSatisfaction]]=4,"Very Satisfied"
)</f>
        <v>Satisfied</v>
      </c>
      <c r="V1046" t="s">
        <v>48</v>
      </c>
      <c r="W1046">
        <v>6651</v>
      </c>
      <c r="X1046" t="str" cm="1">
        <f t="array" ref="X1046">_xlfn.IFS(
HRData[[#This Row],[MonthlyIncome]]&lt;=4000,"Very Low Income",
HRData[[#This Row],[MonthlyIncome]]&lt;=8000,"Low Income",
HRData[[#This Row],[MonthlyIncome]]&lt;=12000,"Moderate Income",
HRData[[#This Row],[MonthlyIncome]]&lt;=16000,"High Income",
HRData[[#This Row],[MonthlyIncome]]&gt;16000,"Very High Income"
)</f>
        <v>Low Income</v>
      </c>
      <c r="Y1046">
        <v>21534</v>
      </c>
      <c r="Z1046">
        <v>2</v>
      </c>
      <c r="AA1046" t="s">
        <v>42</v>
      </c>
      <c r="AB1046" t="s">
        <v>43</v>
      </c>
      <c r="AC1046">
        <v>14</v>
      </c>
      <c r="AD1046" t="str" cm="1">
        <f t="array" ref="AD1046">_xlfn.IFS(HRData[[#This Row],[PercentSalaryHike]]&lt;=15,"11-15",HRData[[#This Row],[PercentSalaryHike]]&lt;=20,"16-20",HRData[[#This Row],[PercentSalaryHike]]&gt;=21,"21+")</f>
        <v>11-15</v>
      </c>
      <c r="AE1046">
        <v>3</v>
      </c>
      <c r="AF1046">
        <v>2</v>
      </c>
      <c r="AG1046">
        <v>80</v>
      </c>
      <c r="AH1046">
        <v>1</v>
      </c>
      <c r="AI1046">
        <v>20</v>
      </c>
      <c r="AJ1046">
        <v>0</v>
      </c>
      <c r="AK1046">
        <v>2</v>
      </c>
      <c r="AL1046">
        <v>3</v>
      </c>
      <c r="AM1046">
        <v>2</v>
      </c>
      <c r="AN1046">
        <v>1</v>
      </c>
      <c r="AO1046">
        <v>2</v>
      </c>
      <c r="AP104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046" t="str">
        <f>IF(HRData[[#This Row],[Attrition]]="Yes","Left", IF(HRData[[#This Row],[Attrition_Risk_Score]]&gt;=6,"High",IF(HRData[[#This Row],[Attrition_Risk_Score]]&gt;=3,"Medium","Low")))</f>
        <v>Low</v>
      </c>
      <c r="AR1046" t="str">
        <f>IF(HRData[[#This Row],[Attrition_Risk_Level]]&lt;&gt;"High","",HRData[[#This Row],[Attrition_Risk_Score]]*10000-HRData[[#This Row],[EmployeeNumber]])</f>
        <v/>
      </c>
    </row>
    <row r="1047" spans="1:44">
      <c r="A1047">
        <v>40</v>
      </c>
      <c r="B1047" t="str" cm="1">
        <f t="array" ref="B1047">_xlfn.IFS(
HRData[[#This Row],[Age]]&lt;=24,"18-24",
HRData[[#This Row],[Age]]&lt;=34,"25-34",
HRData[[#This Row],[Age]]&lt;=44,"35-44",
HRData[[#This Row],[Age]]&lt;=54,"45-54",
HRData[[#This Row],[Age]]&gt;=55,"55+"
)</f>
        <v>35-44</v>
      </c>
      <c r="C1047" t="s">
        <v>43</v>
      </c>
      <c r="D1047">
        <f>IF(HRData[[#This Row],[Attrition]]="Yes",1,0)</f>
        <v>0</v>
      </c>
      <c r="E1047" t="s">
        <v>36</v>
      </c>
      <c r="F1047">
        <v>896</v>
      </c>
      <c r="G1047" t="s">
        <v>45</v>
      </c>
      <c r="H1047">
        <v>2</v>
      </c>
      <c r="I1047">
        <v>3</v>
      </c>
      <c r="J1047" t="s">
        <v>51</v>
      </c>
      <c r="K1047">
        <v>1</v>
      </c>
      <c r="L1047">
        <v>1474</v>
      </c>
      <c r="M1047">
        <v>3</v>
      </c>
      <c r="N1047" t="str" cm="1">
        <f t="array" ref="N1047">_xlfn.IFS(HRData[[#This Row],[EnvironmentSatisfaction]]=1,"Very Dissatisfied",
HRData[[#This Row],[EnvironmentSatisfaction]]=2,"Dissatisfied",
HRData[[#This Row],[EnvironmentSatisfaction]]=3,"Satisfied",
HRData[[#This Row],[EnvironmentSatisfaction]]=4,"Very Satisfied"
)</f>
        <v>Satisfied</v>
      </c>
      <c r="O1047" t="s">
        <v>46</v>
      </c>
      <c r="P1047">
        <v>68</v>
      </c>
      <c r="Q1047">
        <v>3</v>
      </c>
      <c r="R1047">
        <v>1</v>
      </c>
      <c r="S1047" t="s">
        <v>47</v>
      </c>
      <c r="T1047">
        <v>3</v>
      </c>
      <c r="U1047" t="str" cm="1">
        <f t="array" ref="U1047">_xlfn.IFS(
HRData[[#This Row],[JobSatisfaction]]=1,"Very Dissatisfied",
HRData[[#This Row],[JobSatisfaction]]=2,"Dissatisfied",
HRData[[#This Row],[JobSatisfaction]]=3,"Satisfied",
HRData[[#This Row],[JobSatisfaction]]=4,"Very Satisfied"
)</f>
        <v>Satisfied</v>
      </c>
      <c r="V1047" t="s">
        <v>52</v>
      </c>
      <c r="W1047">
        <v>2345</v>
      </c>
      <c r="X1047" t="str" cm="1">
        <f t="array" ref="X1047">_xlfn.IFS(
HRData[[#This Row],[MonthlyIncome]]&lt;=4000,"Very Low Income",
HRData[[#This Row],[MonthlyIncome]]&lt;=8000,"Low Income",
HRData[[#This Row],[MonthlyIncome]]&lt;=12000,"Moderate Income",
HRData[[#This Row],[MonthlyIncome]]&lt;=16000,"High Income",
HRData[[#This Row],[MonthlyIncome]]&gt;16000,"Very High Income"
)</f>
        <v>Very Low Income</v>
      </c>
      <c r="Y1047">
        <v>8045</v>
      </c>
      <c r="Z1047">
        <v>2</v>
      </c>
      <c r="AA1047" t="s">
        <v>42</v>
      </c>
      <c r="AB1047" t="s">
        <v>43</v>
      </c>
      <c r="AC1047">
        <v>14</v>
      </c>
      <c r="AD1047" t="str" cm="1">
        <f t="array" ref="AD1047">_xlfn.IFS(HRData[[#This Row],[PercentSalaryHike]]&lt;=15,"11-15",HRData[[#This Row],[PercentSalaryHike]]&lt;=20,"16-20",HRData[[#This Row],[PercentSalaryHike]]&gt;=21,"21+")</f>
        <v>11-15</v>
      </c>
      <c r="AE1047">
        <v>3</v>
      </c>
      <c r="AF1047">
        <v>3</v>
      </c>
      <c r="AG1047">
        <v>80</v>
      </c>
      <c r="AH1047">
        <v>1</v>
      </c>
      <c r="AI1047">
        <v>8</v>
      </c>
      <c r="AJ1047">
        <v>3</v>
      </c>
      <c r="AK1047">
        <v>4</v>
      </c>
      <c r="AL1047">
        <v>3</v>
      </c>
      <c r="AM1047">
        <v>1</v>
      </c>
      <c r="AN1047">
        <v>1</v>
      </c>
      <c r="AO1047">
        <v>2</v>
      </c>
      <c r="AP104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47" t="str">
        <f>IF(HRData[[#This Row],[Attrition]]="Yes","Left", IF(HRData[[#This Row],[Attrition_Risk_Score]]&gt;=6,"High",IF(HRData[[#This Row],[Attrition_Risk_Score]]&gt;=3,"Medium","Low")))</f>
        <v>Low</v>
      </c>
      <c r="AR1047" t="str">
        <f>IF(HRData[[#This Row],[Attrition_Risk_Level]]&lt;&gt;"High","",HRData[[#This Row],[Attrition_Risk_Score]]*10000-HRData[[#This Row],[EmployeeNumber]])</f>
        <v/>
      </c>
    </row>
    <row r="1048" spans="1:44">
      <c r="A1048">
        <v>44</v>
      </c>
      <c r="B1048" t="str" cm="1">
        <f t="array" ref="B1048">_xlfn.IFS(
HRData[[#This Row],[Age]]&lt;=24,"18-24",
HRData[[#This Row],[Age]]&lt;=34,"25-34",
HRData[[#This Row],[Age]]&lt;=44,"35-44",
HRData[[#This Row],[Age]]&lt;=54,"45-54",
HRData[[#This Row],[Age]]&gt;=55,"55+"
)</f>
        <v>35-44</v>
      </c>
      <c r="C1048" t="s">
        <v>43</v>
      </c>
      <c r="D1048">
        <f>IF(HRData[[#This Row],[Attrition]]="Yes",1,0)</f>
        <v>0</v>
      </c>
      <c r="E1048" t="s">
        <v>36</v>
      </c>
      <c r="F1048">
        <v>1467</v>
      </c>
      <c r="G1048" t="s">
        <v>45</v>
      </c>
      <c r="H1048">
        <v>20</v>
      </c>
      <c r="I1048">
        <v>3</v>
      </c>
      <c r="J1048" t="s">
        <v>38</v>
      </c>
      <c r="K1048">
        <v>1</v>
      </c>
      <c r="L1048">
        <v>1475</v>
      </c>
      <c r="M1048">
        <v>4</v>
      </c>
      <c r="N1048" t="str" cm="1">
        <f t="array" ref="N1048">_xlfn.IFS(HRData[[#This Row],[EnvironmentSatisfaction]]=1,"Very Dissatisfied",
HRData[[#This Row],[EnvironmentSatisfaction]]=2,"Dissatisfied",
HRData[[#This Row],[EnvironmentSatisfaction]]=3,"Satisfied",
HRData[[#This Row],[EnvironmentSatisfaction]]=4,"Very Satisfied"
)</f>
        <v>Very Satisfied</v>
      </c>
      <c r="O1048" t="s">
        <v>46</v>
      </c>
      <c r="P1048">
        <v>49</v>
      </c>
      <c r="Q1048">
        <v>3</v>
      </c>
      <c r="R1048">
        <v>1</v>
      </c>
      <c r="S1048" t="s">
        <v>47</v>
      </c>
      <c r="T1048">
        <v>2</v>
      </c>
      <c r="U1048" t="str" cm="1">
        <f t="array" ref="U1048">_xlfn.IFS(
HRData[[#This Row],[JobSatisfaction]]=1,"Very Dissatisfied",
HRData[[#This Row],[JobSatisfaction]]=2,"Dissatisfied",
HRData[[#This Row],[JobSatisfaction]]=3,"Satisfied",
HRData[[#This Row],[JobSatisfaction]]=4,"Very Satisfied"
)</f>
        <v>Dissatisfied</v>
      </c>
      <c r="V1048" t="s">
        <v>41</v>
      </c>
      <c r="W1048">
        <v>3420</v>
      </c>
      <c r="X1048" t="str" cm="1">
        <f t="array" ref="X1048">_xlfn.IFS(
HRData[[#This Row],[MonthlyIncome]]&lt;=4000,"Very Low Income",
HRData[[#This Row],[MonthlyIncome]]&lt;=8000,"Low Income",
HRData[[#This Row],[MonthlyIncome]]&lt;=12000,"Moderate Income",
HRData[[#This Row],[MonthlyIncome]]&lt;=16000,"High Income",
HRData[[#This Row],[MonthlyIncome]]&gt;16000,"Very High Income"
)</f>
        <v>Very Low Income</v>
      </c>
      <c r="Y1048">
        <v>21158</v>
      </c>
      <c r="Z1048">
        <v>1</v>
      </c>
      <c r="AA1048" t="s">
        <v>42</v>
      </c>
      <c r="AB1048" t="s">
        <v>43</v>
      </c>
      <c r="AC1048">
        <v>13</v>
      </c>
      <c r="AD1048" t="str" cm="1">
        <f t="array" ref="AD1048">_xlfn.IFS(HRData[[#This Row],[PercentSalaryHike]]&lt;=15,"11-15",HRData[[#This Row],[PercentSalaryHike]]&lt;=20,"16-20",HRData[[#This Row],[PercentSalaryHike]]&gt;=21,"21+")</f>
        <v>11-15</v>
      </c>
      <c r="AE1048">
        <v>3</v>
      </c>
      <c r="AF1048">
        <v>3</v>
      </c>
      <c r="AG1048">
        <v>80</v>
      </c>
      <c r="AH1048">
        <v>0</v>
      </c>
      <c r="AI1048">
        <v>6</v>
      </c>
      <c r="AJ1048">
        <v>3</v>
      </c>
      <c r="AK1048">
        <v>2</v>
      </c>
      <c r="AL1048">
        <v>5</v>
      </c>
      <c r="AM1048">
        <v>2</v>
      </c>
      <c r="AN1048">
        <v>1</v>
      </c>
      <c r="AO1048">
        <v>3</v>
      </c>
      <c r="AP104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48" t="str">
        <f>IF(HRData[[#This Row],[Attrition]]="Yes","Left", IF(HRData[[#This Row],[Attrition_Risk_Score]]&gt;=6,"High",IF(HRData[[#This Row],[Attrition_Risk_Score]]&gt;=3,"Medium","Low")))</f>
        <v>Low</v>
      </c>
      <c r="AR1048" t="str">
        <f>IF(HRData[[#This Row],[Attrition_Risk_Level]]&lt;&gt;"High","",HRData[[#This Row],[Attrition_Risk_Score]]*10000-HRData[[#This Row],[EmployeeNumber]])</f>
        <v/>
      </c>
    </row>
    <row r="1049" spans="1:44">
      <c r="A1049">
        <v>33</v>
      </c>
      <c r="B1049" t="str" cm="1">
        <f t="array" ref="B1049">_xlfn.IFS(
HRData[[#This Row],[Age]]&lt;=24,"18-24",
HRData[[#This Row],[Age]]&lt;=34,"25-34",
HRData[[#This Row],[Age]]&lt;=44,"35-44",
HRData[[#This Row],[Age]]&lt;=54,"45-54",
HRData[[#This Row],[Age]]&gt;=55,"55+"
)</f>
        <v>25-34</v>
      </c>
      <c r="C1049" t="s">
        <v>43</v>
      </c>
      <c r="D1049">
        <f>IF(HRData[[#This Row],[Attrition]]="Yes",1,0)</f>
        <v>0</v>
      </c>
      <c r="E1049" t="s">
        <v>44</v>
      </c>
      <c r="F1049">
        <v>430</v>
      </c>
      <c r="G1049" t="s">
        <v>37</v>
      </c>
      <c r="H1049">
        <v>7</v>
      </c>
      <c r="I1049">
        <v>3</v>
      </c>
      <c r="J1049" t="s">
        <v>51</v>
      </c>
      <c r="K1049">
        <v>1</v>
      </c>
      <c r="L1049">
        <v>1477</v>
      </c>
      <c r="M1049">
        <v>4</v>
      </c>
      <c r="N1049" t="str" cm="1">
        <f t="array" ref="N1049">_xlfn.IFS(HRData[[#This Row],[EnvironmentSatisfaction]]=1,"Very Dissatisfied",
HRData[[#This Row],[EnvironmentSatisfaction]]=2,"Dissatisfied",
HRData[[#This Row],[EnvironmentSatisfaction]]=3,"Satisfied",
HRData[[#This Row],[EnvironmentSatisfaction]]=4,"Very Satisfied"
)</f>
        <v>Very Satisfied</v>
      </c>
      <c r="O1049" t="s">
        <v>46</v>
      </c>
      <c r="P1049">
        <v>54</v>
      </c>
      <c r="Q1049">
        <v>3</v>
      </c>
      <c r="R1049">
        <v>2</v>
      </c>
      <c r="S1049" t="s">
        <v>40</v>
      </c>
      <c r="T1049">
        <v>1</v>
      </c>
      <c r="U1049" t="str" cm="1">
        <f t="array" ref="U1049">_xlfn.IFS(
HRData[[#This Row],[JobSatisfaction]]=1,"Very Dissatisfied",
HRData[[#This Row],[JobSatisfaction]]=2,"Dissatisfied",
HRData[[#This Row],[JobSatisfaction]]=3,"Satisfied",
HRData[[#This Row],[JobSatisfaction]]=4,"Very Satisfied"
)</f>
        <v>Very Dissatisfied</v>
      </c>
      <c r="V1049" t="s">
        <v>48</v>
      </c>
      <c r="W1049">
        <v>4373</v>
      </c>
      <c r="X1049" t="str" cm="1">
        <f t="array" ref="X1049">_xlfn.IFS(
HRData[[#This Row],[MonthlyIncome]]&lt;=4000,"Very Low Income",
HRData[[#This Row],[MonthlyIncome]]&lt;=8000,"Low Income",
HRData[[#This Row],[MonthlyIncome]]&lt;=12000,"Moderate Income",
HRData[[#This Row],[MonthlyIncome]]&lt;=16000,"High Income",
HRData[[#This Row],[MonthlyIncome]]&gt;16000,"Very High Income"
)</f>
        <v>Low Income</v>
      </c>
      <c r="Y1049">
        <v>17456</v>
      </c>
      <c r="Z1049">
        <v>0</v>
      </c>
      <c r="AA1049" t="s">
        <v>42</v>
      </c>
      <c r="AB1049" t="s">
        <v>43</v>
      </c>
      <c r="AC1049">
        <v>14</v>
      </c>
      <c r="AD1049" t="str" cm="1">
        <f t="array" ref="AD1049">_xlfn.IFS(HRData[[#This Row],[PercentSalaryHike]]&lt;=15,"11-15",HRData[[#This Row],[PercentSalaryHike]]&lt;=20,"16-20",HRData[[#This Row],[PercentSalaryHike]]&gt;=21,"21+")</f>
        <v>11-15</v>
      </c>
      <c r="AE1049">
        <v>3</v>
      </c>
      <c r="AF1049">
        <v>1</v>
      </c>
      <c r="AG1049">
        <v>80</v>
      </c>
      <c r="AH1049">
        <v>2</v>
      </c>
      <c r="AI1049">
        <v>5</v>
      </c>
      <c r="AJ1049">
        <v>2</v>
      </c>
      <c r="AK1049">
        <v>3</v>
      </c>
      <c r="AL1049">
        <v>4</v>
      </c>
      <c r="AM1049">
        <v>3</v>
      </c>
      <c r="AN1049">
        <v>0</v>
      </c>
      <c r="AO1049">
        <v>3</v>
      </c>
      <c r="AP104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49" t="str">
        <f>IF(HRData[[#This Row],[Attrition]]="Yes","Left", IF(HRData[[#This Row],[Attrition_Risk_Score]]&gt;=6,"High",IF(HRData[[#This Row],[Attrition_Risk_Score]]&gt;=3,"Medium","Low")))</f>
        <v>Medium</v>
      </c>
      <c r="AR1049" t="str">
        <f>IF(HRData[[#This Row],[Attrition_Risk_Level]]&lt;&gt;"High","",HRData[[#This Row],[Attrition_Risk_Score]]*10000-HRData[[#This Row],[EmployeeNumber]])</f>
        <v/>
      </c>
    </row>
    <row r="1050" spans="1:44">
      <c r="A1050">
        <v>34</v>
      </c>
      <c r="B1050" t="str" cm="1">
        <f t="array" ref="B1050">_xlfn.IFS(
HRData[[#This Row],[Age]]&lt;=24,"18-24",
HRData[[#This Row],[Age]]&lt;=34,"25-34",
HRData[[#This Row],[Age]]&lt;=44,"35-44",
HRData[[#This Row],[Age]]&lt;=54,"45-54",
HRData[[#This Row],[Age]]&gt;=55,"55+"
)</f>
        <v>25-34</v>
      </c>
      <c r="C1050" t="s">
        <v>43</v>
      </c>
      <c r="D1050">
        <f>IF(HRData[[#This Row],[Attrition]]="Yes",1,0)</f>
        <v>0</v>
      </c>
      <c r="E1050" t="s">
        <v>36</v>
      </c>
      <c r="F1050">
        <v>1326</v>
      </c>
      <c r="G1050" t="s">
        <v>37</v>
      </c>
      <c r="H1050">
        <v>3</v>
      </c>
      <c r="I1050">
        <v>3</v>
      </c>
      <c r="J1050" t="s">
        <v>49</v>
      </c>
      <c r="K1050">
        <v>1</v>
      </c>
      <c r="L1050">
        <v>1478</v>
      </c>
      <c r="M1050">
        <v>4</v>
      </c>
      <c r="N1050" t="str" cm="1">
        <f t="array" ref="N1050">_xlfn.IFS(HRData[[#This Row],[EnvironmentSatisfaction]]=1,"Very Dissatisfied",
HRData[[#This Row],[EnvironmentSatisfaction]]=2,"Dissatisfied",
HRData[[#This Row],[EnvironmentSatisfaction]]=3,"Satisfied",
HRData[[#This Row],[EnvironmentSatisfaction]]=4,"Very Satisfied"
)</f>
        <v>Very Satisfied</v>
      </c>
      <c r="O1050" t="s">
        <v>46</v>
      </c>
      <c r="P1050">
        <v>81</v>
      </c>
      <c r="Q1050">
        <v>1</v>
      </c>
      <c r="R1050">
        <v>2</v>
      </c>
      <c r="S1050" t="s">
        <v>40</v>
      </c>
      <c r="T1050">
        <v>1</v>
      </c>
      <c r="U1050" t="str" cm="1">
        <f t="array" ref="U1050">_xlfn.IFS(
HRData[[#This Row],[JobSatisfaction]]=1,"Very Dissatisfied",
HRData[[#This Row],[JobSatisfaction]]=2,"Dissatisfied",
HRData[[#This Row],[JobSatisfaction]]=3,"Satisfied",
HRData[[#This Row],[JobSatisfaction]]=4,"Very Satisfied"
)</f>
        <v>Very Dissatisfied</v>
      </c>
      <c r="V1050" t="s">
        <v>41</v>
      </c>
      <c r="W1050">
        <v>4759</v>
      </c>
      <c r="X1050" t="str" cm="1">
        <f t="array" ref="X1050">_xlfn.IFS(
HRData[[#This Row],[MonthlyIncome]]&lt;=4000,"Very Low Income",
HRData[[#This Row],[MonthlyIncome]]&lt;=8000,"Low Income",
HRData[[#This Row],[MonthlyIncome]]&lt;=12000,"Moderate Income",
HRData[[#This Row],[MonthlyIncome]]&lt;=16000,"High Income",
HRData[[#This Row],[MonthlyIncome]]&gt;16000,"Very High Income"
)</f>
        <v>Low Income</v>
      </c>
      <c r="Y1050">
        <v>15891</v>
      </c>
      <c r="Z1050">
        <v>3</v>
      </c>
      <c r="AA1050" t="s">
        <v>42</v>
      </c>
      <c r="AB1050" t="s">
        <v>43</v>
      </c>
      <c r="AC1050">
        <v>18</v>
      </c>
      <c r="AD1050" t="str" cm="1">
        <f t="array" ref="AD1050">_xlfn.IFS(HRData[[#This Row],[PercentSalaryHike]]&lt;=15,"11-15",HRData[[#This Row],[PercentSalaryHike]]&lt;=20,"16-20",HRData[[#This Row],[PercentSalaryHike]]&gt;=21,"21+")</f>
        <v>16-20</v>
      </c>
      <c r="AE1050">
        <v>3</v>
      </c>
      <c r="AF1050">
        <v>4</v>
      </c>
      <c r="AG1050">
        <v>80</v>
      </c>
      <c r="AH1050">
        <v>0</v>
      </c>
      <c r="AI1050">
        <v>15</v>
      </c>
      <c r="AJ1050">
        <v>2</v>
      </c>
      <c r="AK1050">
        <v>3</v>
      </c>
      <c r="AL1050">
        <v>13</v>
      </c>
      <c r="AM1050">
        <v>9</v>
      </c>
      <c r="AN1050">
        <v>3</v>
      </c>
      <c r="AO1050">
        <v>12</v>
      </c>
      <c r="AP105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50" t="str">
        <f>IF(HRData[[#This Row],[Attrition]]="Yes","Left", IF(HRData[[#This Row],[Attrition_Risk_Score]]&gt;=6,"High",IF(HRData[[#This Row],[Attrition_Risk_Score]]&gt;=3,"Medium","Low")))</f>
        <v>Medium</v>
      </c>
      <c r="AR1050" t="str">
        <f>IF(HRData[[#This Row],[Attrition_Risk_Level]]&lt;&gt;"High","",HRData[[#This Row],[Attrition_Risk_Score]]*10000-HRData[[#This Row],[EmployeeNumber]])</f>
        <v/>
      </c>
    </row>
    <row r="1051" spans="1:44">
      <c r="A1051">
        <v>30</v>
      </c>
      <c r="B1051" t="str" cm="1">
        <f t="array" ref="B1051">_xlfn.IFS(
HRData[[#This Row],[Age]]&lt;=24,"18-24",
HRData[[#This Row],[Age]]&lt;=34,"25-34",
HRData[[#This Row],[Age]]&lt;=44,"35-44",
HRData[[#This Row],[Age]]&lt;=54,"45-54",
HRData[[#This Row],[Age]]&gt;=55,"55+"
)</f>
        <v>25-34</v>
      </c>
      <c r="C1051" t="s">
        <v>43</v>
      </c>
      <c r="D1051">
        <f>IF(HRData[[#This Row],[Attrition]]="Yes",1,0)</f>
        <v>0</v>
      </c>
      <c r="E1051" t="s">
        <v>36</v>
      </c>
      <c r="F1051">
        <v>1358</v>
      </c>
      <c r="G1051" t="s">
        <v>37</v>
      </c>
      <c r="H1051">
        <v>16</v>
      </c>
      <c r="I1051">
        <v>1</v>
      </c>
      <c r="J1051" t="s">
        <v>38</v>
      </c>
      <c r="K1051">
        <v>1</v>
      </c>
      <c r="L1051">
        <v>1479</v>
      </c>
      <c r="M1051">
        <v>4</v>
      </c>
      <c r="N1051" t="str" cm="1">
        <f t="array" ref="N1051">_xlfn.IFS(HRData[[#This Row],[EnvironmentSatisfaction]]=1,"Very Dissatisfied",
HRData[[#This Row],[EnvironmentSatisfaction]]=2,"Dissatisfied",
HRData[[#This Row],[EnvironmentSatisfaction]]=3,"Satisfied",
HRData[[#This Row],[EnvironmentSatisfaction]]=4,"Very Satisfied"
)</f>
        <v>Very Satisfied</v>
      </c>
      <c r="O1051" t="s">
        <v>46</v>
      </c>
      <c r="P1051">
        <v>96</v>
      </c>
      <c r="Q1051">
        <v>3</v>
      </c>
      <c r="R1051">
        <v>2</v>
      </c>
      <c r="S1051" t="s">
        <v>40</v>
      </c>
      <c r="T1051">
        <v>3</v>
      </c>
      <c r="U1051" t="str" cm="1">
        <f t="array" ref="U1051">_xlfn.IFS(
HRData[[#This Row],[JobSatisfaction]]=1,"Very Dissatisfied",
HRData[[#This Row],[JobSatisfaction]]=2,"Dissatisfied",
HRData[[#This Row],[JobSatisfaction]]=3,"Satisfied",
HRData[[#This Row],[JobSatisfaction]]=4,"Very Satisfied"
)</f>
        <v>Satisfied</v>
      </c>
      <c r="V1051" t="s">
        <v>48</v>
      </c>
      <c r="W1051">
        <v>5301</v>
      </c>
      <c r="X1051" t="str" cm="1">
        <f t="array" ref="X1051">_xlfn.IFS(
HRData[[#This Row],[MonthlyIncome]]&lt;=4000,"Very Low Income",
HRData[[#This Row],[MonthlyIncome]]&lt;=8000,"Low Income",
HRData[[#This Row],[MonthlyIncome]]&lt;=12000,"Moderate Income",
HRData[[#This Row],[MonthlyIncome]]&lt;=16000,"High Income",
HRData[[#This Row],[MonthlyIncome]]&gt;16000,"Very High Income"
)</f>
        <v>Low Income</v>
      </c>
      <c r="Y1051">
        <v>2939</v>
      </c>
      <c r="Z1051">
        <v>8</v>
      </c>
      <c r="AA1051" t="s">
        <v>42</v>
      </c>
      <c r="AB1051" t="s">
        <v>43</v>
      </c>
      <c r="AC1051">
        <v>15</v>
      </c>
      <c r="AD1051" t="str" cm="1">
        <f t="array" ref="AD1051">_xlfn.IFS(HRData[[#This Row],[PercentSalaryHike]]&lt;=15,"11-15",HRData[[#This Row],[PercentSalaryHike]]&lt;=20,"16-20",HRData[[#This Row],[PercentSalaryHike]]&gt;=21,"21+")</f>
        <v>11-15</v>
      </c>
      <c r="AE1051">
        <v>3</v>
      </c>
      <c r="AF1051">
        <v>3</v>
      </c>
      <c r="AG1051">
        <v>80</v>
      </c>
      <c r="AH1051">
        <v>2</v>
      </c>
      <c r="AI1051">
        <v>4</v>
      </c>
      <c r="AJ1051">
        <v>2</v>
      </c>
      <c r="AK1051">
        <v>2</v>
      </c>
      <c r="AL1051">
        <v>2</v>
      </c>
      <c r="AM1051">
        <v>1</v>
      </c>
      <c r="AN1051">
        <v>2</v>
      </c>
      <c r="AO1051">
        <v>2</v>
      </c>
      <c r="AP105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51" t="str">
        <f>IF(HRData[[#This Row],[Attrition]]="Yes","Left", IF(HRData[[#This Row],[Attrition_Risk_Score]]&gt;=6,"High",IF(HRData[[#This Row],[Attrition_Risk_Score]]&gt;=3,"Medium","Low")))</f>
        <v>Low</v>
      </c>
      <c r="AR1051" t="str">
        <f>IF(HRData[[#This Row],[Attrition_Risk_Level]]&lt;&gt;"High","",HRData[[#This Row],[Attrition_Risk_Score]]*10000-HRData[[#This Row],[EmployeeNumber]])</f>
        <v/>
      </c>
    </row>
    <row r="1052" spans="1:44">
      <c r="A1052">
        <v>42</v>
      </c>
      <c r="B1052" t="str" cm="1">
        <f t="array" ref="B1052">_xlfn.IFS(
HRData[[#This Row],[Age]]&lt;=24,"18-24",
HRData[[#This Row],[Age]]&lt;=34,"25-34",
HRData[[#This Row],[Age]]&lt;=44,"35-44",
HRData[[#This Row],[Age]]&lt;=54,"45-54",
HRData[[#This Row],[Age]]&gt;=55,"55+"
)</f>
        <v>35-44</v>
      </c>
      <c r="C1052" t="s">
        <v>43</v>
      </c>
      <c r="D1052">
        <f>IF(HRData[[#This Row],[Attrition]]="Yes",1,0)</f>
        <v>0</v>
      </c>
      <c r="E1052" t="s">
        <v>44</v>
      </c>
      <c r="F1052">
        <v>748</v>
      </c>
      <c r="G1052" t="s">
        <v>45</v>
      </c>
      <c r="H1052">
        <v>9</v>
      </c>
      <c r="I1052">
        <v>2</v>
      </c>
      <c r="J1052" t="s">
        <v>51</v>
      </c>
      <c r="K1052">
        <v>1</v>
      </c>
      <c r="L1052">
        <v>1480</v>
      </c>
      <c r="M1052">
        <v>1</v>
      </c>
      <c r="N1052" t="str" cm="1">
        <f t="array" ref="N1052">_xlfn.IFS(HRData[[#This Row],[EnvironmentSatisfaction]]=1,"Very Dissatisfied",
HRData[[#This Row],[EnvironmentSatisfaction]]=2,"Dissatisfied",
HRData[[#This Row],[EnvironmentSatisfaction]]=3,"Satisfied",
HRData[[#This Row],[EnvironmentSatisfaction]]=4,"Very Satisfied"
)</f>
        <v>Very Dissatisfied</v>
      </c>
      <c r="O1052" t="s">
        <v>39</v>
      </c>
      <c r="P1052">
        <v>74</v>
      </c>
      <c r="Q1052">
        <v>3</v>
      </c>
      <c r="R1052">
        <v>1</v>
      </c>
      <c r="S1052" t="s">
        <v>50</v>
      </c>
      <c r="T1052">
        <v>4</v>
      </c>
      <c r="U1052" t="str" cm="1">
        <f t="array" ref="U1052">_xlfn.IFS(
HRData[[#This Row],[JobSatisfaction]]=1,"Very Dissatisfied",
HRData[[#This Row],[JobSatisfaction]]=2,"Dissatisfied",
HRData[[#This Row],[JobSatisfaction]]=3,"Satisfied",
HRData[[#This Row],[JobSatisfaction]]=4,"Very Satisfied"
)</f>
        <v>Very Satisfied</v>
      </c>
      <c r="V1052" t="s">
        <v>41</v>
      </c>
      <c r="W1052">
        <v>3673</v>
      </c>
      <c r="X1052" t="str" cm="1">
        <f t="array" ref="X1052">_xlfn.IFS(
HRData[[#This Row],[MonthlyIncome]]&lt;=4000,"Very Low Income",
HRData[[#This Row],[MonthlyIncome]]&lt;=8000,"Low Income",
HRData[[#This Row],[MonthlyIncome]]&lt;=12000,"Moderate Income",
HRData[[#This Row],[MonthlyIncome]]&lt;=16000,"High Income",
HRData[[#This Row],[MonthlyIncome]]&gt;16000,"Very High Income"
)</f>
        <v>Very Low Income</v>
      </c>
      <c r="Y1052">
        <v>16458</v>
      </c>
      <c r="Z1052">
        <v>1</v>
      </c>
      <c r="AA1052" t="s">
        <v>42</v>
      </c>
      <c r="AB1052" t="s">
        <v>43</v>
      </c>
      <c r="AC1052">
        <v>13</v>
      </c>
      <c r="AD1052" t="str" cm="1">
        <f t="array" ref="AD1052">_xlfn.IFS(HRData[[#This Row],[PercentSalaryHike]]&lt;=15,"11-15",HRData[[#This Row],[PercentSalaryHike]]&lt;=20,"16-20",HRData[[#This Row],[PercentSalaryHike]]&gt;=21,"21+")</f>
        <v>11-15</v>
      </c>
      <c r="AE1052">
        <v>3</v>
      </c>
      <c r="AF1052">
        <v>3</v>
      </c>
      <c r="AG1052">
        <v>80</v>
      </c>
      <c r="AH1052">
        <v>0</v>
      </c>
      <c r="AI1052">
        <v>12</v>
      </c>
      <c r="AJ1052">
        <v>3</v>
      </c>
      <c r="AK1052">
        <v>3</v>
      </c>
      <c r="AL1052">
        <v>12</v>
      </c>
      <c r="AM1052">
        <v>9</v>
      </c>
      <c r="AN1052">
        <v>5</v>
      </c>
      <c r="AO1052">
        <v>8</v>
      </c>
      <c r="AP105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52" t="str">
        <f>IF(HRData[[#This Row],[Attrition]]="Yes","Left", IF(HRData[[#This Row],[Attrition_Risk_Score]]&gt;=6,"High",IF(HRData[[#This Row],[Attrition_Risk_Score]]&gt;=3,"Medium","Low")))</f>
        <v>Medium</v>
      </c>
      <c r="AR1052" t="str">
        <f>IF(HRData[[#This Row],[Attrition_Risk_Level]]&lt;&gt;"High","",HRData[[#This Row],[Attrition_Risk_Score]]*10000-HRData[[#This Row],[EmployeeNumber]])</f>
        <v/>
      </c>
    </row>
    <row r="1053" spans="1:44">
      <c r="A1053">
        <v>44</v>
      </c>
      <c r="B1053" t="str" cm="1">
        <f t="array" ref="B1053">_xlfn.IFS(
HRData[[#This Row],[Age]]&lt;=24,"18-24",
HRData[[#This Row],[Age]]&lt;=34,"25-34",
HRData[[#This Row],[Age]]&lt;=44,"35-44",
HRData[[#This Row],[Age]]&lt;=54,"45-54",
HRData[[#This Row],[Age]]&gt;=55,"55+"
)</f>
        <v>35-44</v>
      </c>
      <c r="C1053" t="s">
        <v>43</v>
      </c>
      <c r="D1053">
        <f>IF(HRData[[#This Row],[Attrition]]="Yes",1,0)</f>
        <v>0</v>
      </c>
      <c r="E1053" t="s">
        <v>44</v>
      </c>
      <c r="F1053">
        <v>383</v>
      </c>
      <c r="G1053" t="s">
        <v>37</v>
      </c>
      <c r="H1053">
        <v>1</v>
      </c>
      <c r="I1053">
        <v>5</v>
      </c>
      <c r="J1053" t="s">
        <v>59</v>
      </c>
      <c r="K1053">
        <v>1</v>
      </c>
      <c r="L1053">
        <v>1481</v>
      </c>
      <c r="M1053">
        <v>1</v>
      </c>
      <c r="N1053" t="str" cm="1">
        <f t="array" ref="N1053">_xlfn.IFS(HRData[[#This Row],[EnvironmentSatisfaction]]=1,"Very Dissatisfied",
HRData[[#This Row],[EnvironmentSatisfaction]]=2,"Dissatisfied",
HRData[[#This Row],[EnvironmentSatisfaction]]=3,"Satisfied",
HRData[[#This Row],[EnvironmentSatisfaction]]=4,"Very Satisfied"
)</f>
        <v>Very Dissatisfied</v>
      </c>
      <c r="O1053" t="s">
        <v>39</v>
      </c>
      <c r="P1053">
        <v>79</v>
      </c>
      <c r="Q1053">
        <v>3</v>
      </c>
      <c r="R1053">
        <v>2</v>
      </c>
      <c r="S1053" t="s">
        <v>40</v>
      </c>
      <c r="T1053">
        <v>3</v>
      </c>
      <c r="U1053" t="str" cm="1">
        <f t="array" ref="U1053">_xlfn.IFS(
HRData[[#This Row],[JobSatisfaction]]=1,"Very Dissatisfied",
HRData[[#This Row],[JobSatisfaction]]=2,"Dissatisfied",
HRData[[#This Row],[JobSatisfaction]]=3,"Satisfied",
HRData[[#This Row],[JobSatisfaction]]=4,"Very Satisfied"
)</f>
        <v>Satisfied</v>
      </c>
      <c r="V1053" t="s">
        <v>48</v>
      </c>
      <c r="W1053">
        <v>4768</v>
      </c>
      <c r="X1053" t="str" cm="1">
        <f t="array" ref="X1053">_xlfn.IFS(
HRData[[#This Row],[MonthlyIncome]]&lt;=4000,"Very Low Income",
HRData[[#This Row],[MonthlyIncome]]&lt;=8000,"Low Income",
HRData[[#This Row],[MonthlyIncome]]&lt;=12000,"Moderate Income",
HRData[[#This Row],[MonthlyIncome]]&lt;=16000,"High Income",
HRData[[#This Row],[MonthlyIncome]]&gt;16000,"Very High Income"
)</f>
        <v>Low Income</v>
      </c>
      <c r="Y1053">
        <v>9282</v>
      </c>
      <c r="Z1053">
        <v>7</v>
      </c>
      <c r="AA1053" t="s">
        <v>42</v>
      </c>
      <c r="AB1053" t="s">
        <v>43</v>
      </c>
      <c r="AC1053">
        <v>12</v>
      </c>
      <c r="AD1053" t="str" cm="1">
        <f t="array" ref="AD1053">_xlfn.IFS(HRData[[#This Row],[PercentSalaryHike]]&lt;=15,"11-15",HRData[[#This Row],[PercentSalaryHike]]&lt;=20,"16-20",HRData[[#This Row],[PercentSalaryHike]]&gt;=21,"21+")</f>
        <v>11-15</v>
      </c>
      <c r="AE1053">
        <v>3</v>
      </c>
      <c r="AF1053">
        <v>3</v>
      </c>
      <c r="AG1053">
        <v>80</v>
      </c>
      <c r="AH1053">
        <v>1</v>
      </c>
      <c r="AI1053">
        <v>11</v>
      </c>
      <c r="AJ1053">
        <v>4</v>
      </c>
      <c r="AK1053">
        <v>2</v>
      </c>
      <c r="AL1053">
        <v>1</v>
      </c>
      <c r="AM1053">
        <v>0</v>
      </c>
      <c r="AN1053">
        <v>0</v>
      </c>
      <c r="AO1053">
        <v>0</v>
      </c>
      <c r="AP105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053" t="str">
        <f>IF(HRData[[#This Row],[Attrition]]="Yes","Left", IF(HRData[[#This Row],[Attrition_Risk_Score]]&gt;=6,"High",IF(HRData[[#This Row],[Attrition_Risk_Score]]&gt;=3,"Medium","Low")))</f>
        <v>Low</v>
      </c>
      <c r="AR1053" t="str">
        <f>IF(HRData[[#This Row],[Attrition_Risk_Level]]&lt;&gt;"High","",HRData[[#This Row],[Attrition_Risk_Score]]*10000-HRData[[#This Row],[EmployeeNumber]])</f>
        <v/>
      </c>
    </row>
    <row r="1054" spans="1:44">
      <c r="A1054">
        <v>30</v>
      </c>
      <c r="B1054" t="str" cm="1">
        <f t="array" ref="B1054">_xlfn.IFS(
HRData[[#This Row],[Age]]&lt;=24,"18-24",
HRData[[#This Row],[Age]]&lt;=34,"25-34",
HRData[[#This Row],[Age]]&lt;=44,"35-44",
HRData[[#This Row],[Age]]&lt;=54,"45-54",
HRData[[#This Row],[Age]]&gt;=55,"55+"
)</f>
        <v>25-34</v>
      </c>
      <c r="C1054" t="s">
        <v>43</v>
      </c>
      <c r="D1054">
        <f>IF(HRData[[#This Row],[Attrition]]="Yes",1,0)</f>
        <v>0</v>
      </c>
      <c r="E1054" t="s">
        <v>55</v>
      </c>
      <c r="F1054">
        <v>990</v>
      </c>
      <c r="G1054" t="s">
        <v>45</v>
      </c>
      <c r="H1054">
        <v>7</v>
      </c>
      <c r="I1054">
        <v>3</v>
      </c>
      <c r="J1054" t="s">
        <v>60</v>
      </c>
      <c r="K1054">
        <v>1</v>
      </c>
      <c r="L1054">
        <v>1482</v>
      </c>
      <c r="M1054">
        <v>3</v>
      </c>
      <c r="N1054" t="str" cm="1">
        <f t="array" ref="N1054">_xlfn.IFS(HRData[[#This Row],[EnvironmentSatisfaction]]=1,"Very Dissatisfied",
HRData[[#This Row],[EnvironmentSatisfaction]]=2,"Dissatisfied",
HRData[[#This Row],[EnvironmentSatisfaction]]=3,"Satisfied",
HRData[[#This Row],[EnvironmentSatisfaction]]=4,"Very Satisfied"
)</f>
        <v>Satisfied</v>
      </c>
      <c r="O1054" t="s">
        <v>46</v>
      </c>
      <c r="P1054">
        <v>64</v>
      </c>
      <c r="Q1054">
        <v>3</v>
      </c>
      <c r="R1054">
        <v>1</v>
      </c>
      <c r="S1054" t="s">
        <v>47</v>
      </c>
      <c r="T1054">
        <v>3</v>
      </c>
      <c r="U1054" t="str" cm="1">
        <f t="array" ref="U1054">_xlfn.IFS(
HRData[[#This Row],[JobSatisfaction]]=1,"Very Dissatisfied",
HRData[[#This Row],[JobSatisfaction]]=2,"Dissatisfied",
HRData[[#This Row],[JobSatisfaction]]=3,"Satisfied",
HRData[[#This Row],[JobSatisfaction]]=4,"Very Satisfied"
)</f>
        <v>Satisfied</v>
      </c>
      <c r="V1054" t="s">
        <v>52</v>
      </c>
      <c r="W1054">
        <v>1274</v>
      </c>
      <c r="X1054" t="str" cm="1">
        <f t="array" ref="X1054">_xlfn.IFS(
HRData[[#This Row],[MonthlyIncome]]&lt;=4000,"Very Low Income",
HRData[[#This Row],[MonthlyIncome]]&lt;=8000,"Low Income",
HRData[[#This Row],[MonthlyIncome]]&lt;=12000,"Moderate Income",
HRData[[#This Row],[MonthlyIncome]]&lt;=16000,"High Income",
HRData[[#This Row],[MonthlyIncome]]&gt;16000,"Very High Income"
)</f>
        <v>Very Low Income</v>
      </c>
      <c r="Y1054">
        <v>7152</v>
      </c>
      <c r="Z1054">
        <v>1</v>
      </c>
      <c r="AA1054" t="s">
        <v>42</v>
      </c>
      <c r="AB1054" t="s">
        <v>43</v>
      </c>
      <c r="AC1054">
        <v>13</v>
      </c>
      <c r="AD1054" t="str" cm="1">
        <f t="array" ref="AD1054">_xlfn.IFS(HRData[[#This Row],[PercentSalaryHike]]&lt;=15,"11-15",HRData[[#This Row],[PercentSalaryHike]]&lt;=20,"16-20",HRData[[#This Row],[PercentSalaryHike]]&gt;=21,"21+")</f>
        <v>11-15</v>
      </c>
      <c r="AE1054">
        <v>3</v>
      </c>
      <c r="AF1054">
        <v>2</v>
      </c>
      <c r="AG1054">
        <v>80</v>
      </c>
      <c r="AH1054">
        <v>2</v>
      </c>
      <c r="AI1054">
        <v>1</v>
      </c>
      <c r="AJ1054">
        <v>2</v>
      </c>
      <c r="AK1054">
        <v>2</v>
      </c>
      <c r="AL1054">
        <v>1</v>
      </c>
      <c r="AM1054">
        <v>0</v>
      </c>
      <c r="AN1054">
        <v>0</v>
      </c>
      <c r="AO1054">
        <v>0</v>
      </c>
      <c r="AP105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54" t="str">
        <f>IF(HRData[[#This Row],[Attrition]]="Yes","Left", IF(HRData[[#This Row],[Attrition_Risk_Score]]&gt;=6,"High",IF(HRData[[#This Row],[Attrition_Risk_Score]]&gt;=3,"Medium","Low")))</f>
        <v>Medium</v>
      </c>
      <c r="AR1054" t="str">
        <f>IF(HRData[[#This Row],[Attrition_Risk_Level]]&lt;&gt;"High","",HRData[[#This Row],[Attrition_Risk_Score]]*10000-HRData[[#This Row],[EmployeeNumber]])</f>
        <v/>
      </c>
    </row>
    <row r="1055" spans="1:44">
      <c r="A1055">
        <v>57</v>
      </c>
      <c r="B1055" t="str" cm="1">
        <f t="array" ref="B1055">_xlfn.IFS(
HRData[[#This Row],[Age]]&lt;=24,"18-24",
HRData[[#This Row],[Age]]&lt;=34,"25-34",
HRData[[#This Row],[Age]]&lt;=44,"35-44",
HRData[[#This Row],[Age]]&lt;=54,"45-54",
HRData[[#This Row],[Age]]&gt;=55,"55+"
)</f>
        <v>55+</v>
      </c>
      <c r="C1055" t="s">
        <v>43</v>
      </c>
      <c r="D1055">
        <f>IF(HRData[[#This Row],[Attrition]]="Yes",1,0)</f>
        <v>0</v>
      </c>
      <c r="E1055" t="s">
        <v>36</v>
      </c>
      <c r="F1055">
        <v>405</v>
      </c>
      <c r="G1055" t="s">
        <v>45</v>
      </c>
      <c r="H1055">
        <v>1</v>
      </c>
      <c r="I1055">
        <v>2</v>
      </c>
      <c r="J1055" t="s">
        <v>38</v>
      </c>
      <c r="K1055">
        <v>1</v>
      </c>
      <c r="L1055">
        <v>1483</v>
      </c>
      <c r="M1055">
        <v>2</v>
      </c>
      <c r="N1055" t="str" cm="1">
        <f t="array" ref="N1055">_xlfn.IFS(HRData[[#This Row],[EnvironmentSatisfaction]]=1,"Very Dissatisfied",
HRData[[#This Row],[EnvironmentSatisfaction]]=2,"Dissatisfied",
HRData[[#This Row],[EnvironmentSatisfaction]]=3,"Satisfied",
HRData[[#This Row],[EnvironmentSatisfaction]]=4,"Very Satisfied"
)</f>
        <v>Dissatisfied</v>
      </c>
      <c r="O1055" t="s">
        <v>46</v>
      </c>
      <c r="P1055">
        <v>93</v>
      </c>
      <c r="Q1055">
        <v>4</v>
      </c>
      <c r="R1055">
        <v>2</v>
      </c>
      <c r="S1055" t="s">
        <v>47</v>
      </c>
      <c r="T1055">
        <v>3</v>
      </c>
      <c r="U1055" t="str" cm="1">
        <f t="array" ref="U1055">_xlfn.IFS(
HRData[[#This Row],[JobSatisfaction]]=1,"Very Dissatisfied",
HRData[[#This Row],[JobSatisfaction]]=2,"Dissatisfied",
HRData[[#This Row],[JobSatisfaction]]=3,"Satisfied",
HRData[[#This Row],[JobSatisfaction]]=4,"Very Satisfied"
)</f>
        <v>Satisfied</v>
      </c>
      <c r="V1055" t="s">
        <v>48</v>
      </c>
      <c r="W1055">
        <v>4900</v>
      </c>
      <c r="X1055" t="str" cm="1">
        <f t="array" ref="X1055">_xlfn.IFS(
HRData[[#This Row],[MonthlyIncome]]&lt;=4000,"Very Low Income",
HRData[[#This Row],[MonthlyIncome]]&lt;=8000,"Low Income",
HRData[[#This Row],[MonthlyIncome]]&lt;=12000,"Moderate Income",
HRData[[#This Row],[MonthlyIncome]]&lt;=16000,"High Income",
HRData[[#This Row],[MonthlyIncome]]&gt;16000,"Very High Income"
)</f>
        <v>Low Income</v>
      </c>
      <c r="Y1055">
        <v>2721</v>
      </c>
      <c r="Z1055">
        <v>0</v>
      </c>
      <c r="AA1055" t="s">
        <v>42</v>
      </c>
      <c r="AB1055" t="s">
        <v>43</v>
      </c>
      <c r="AC1055">
        <v>24</v>
      </c>
      <c r="AD1055" t="str" cm="1">
        <f t="array" ref="AD1055">_xlfn.IFS(HRData[[#This Row],[PercentSalaryHike]]&lt;=15,"11-15",HRData[[#This Row],[PercentSalaryHike]]&lt;=20,"16-20",HRData[[#This Row],[PercentSalaryHike]]&gt;=21,"21+")</f>
        <v>21+</v>
      </c>
      <c r="AE1055">
        <v>4</v>
      </c>
      <c r="AF1055">
        <v>1</v>
      </c>
      <c r="AG1055">
        <v>80</v>
      </c>
      <c r="AH1055">
        <v>1</v>
      </c>
      <c r="AI1055">
        <v>13</v>
      </c>
      <c r="AJ1055">
        <v>2</v>
      </c>
      <c r="AK1055">
        <v>2</v>
      </c>
      <c r="AL1055">
        <v>12</v>
      </c>
      <c r="AM1055">
        <v>9</v>
      </c>
      <c r="AN1055">
        <v>2</v>
      </c>
      <c r="AO1055">
        <v>8</v>
      </c>
      <c r="AP105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055" t="str">
        <f>IF(HRData[[#This Row],[Attrition]]="Yes","Left", IF(HRData[[#This Row],[Attrition_Risk_Score]]&gt;=6,"High",IF(HRData[[#This Row],[Attrition_Risk_Score]]&gt;=3,"Medium","Low")))</f>
        <v>Low</v>
      </c>
      <c r="AR1055" t="str">
        <f>IF(HRData[[#This Row],[Attrition_Risk_Level]]&lt;&gt;"High","",HRData[[#This Row],[Attrition_Risk_Score]]*10000-HRData[[#This Row],[EmployeeNumber]])</f>
        <v/>
      </c>
    </row>
    <row r="1056" spans="1:44">
      <c r="A1056">
        <v>49</v>
      </c>
      <c r="B1056" t="str" cm="1">
        <f t="array" ref="B1056">_xlfn.IFS(
HRData[[#This Row],[Age]]&lt;=24,"18-24",
HRData[[#This Row],[Age]]&lt;=34,"25-34",
HRData[[#This Row],[Age]]&lt;=44,"35-44",
HRData[[#This Row],[Age]]&lt;=54,"45-54",
HRData[[#This Row],[Age]]&gt;=55,"55+"
)</f>
        <v>45-54</v>
      </c>
      <c r="C1056" t="s">
        <v>43</v>
      </c>
      <c r="D1056">
        <f>IF(HRData[[#This Row],[Attrition]]="Yes",1,0)</f>
        <v>0</v>
      </c>
      <c r="E1056" t="s">
        <v>36</v>
      </c>
      <c r="F1056">
        <v>1490</v>
      </c>
      <c r="G1056" t="s">
        <v>45</v>
      </c>
      <c r="H1056">
        <v>7</v>
      </c>
      <c r="I1056">
        <v>4</v>
      </c>
      <c r="J1056" t="s">
        <v>38</v>
      </c>
      <c r="K1056">
        <v>1</v>
      </c>
      <c r="L1056">
        <v>1484</v>
      </c>
      <c r="M1056">
        <v>3</v>
      </c>
      <c r="N1056" t="str" cm="1">
        <f t="array" ref="N1056">_xlfn.IFS(HRData[[#This Row],[EnvironmentSatisfaction]]=1,"Very Dissatisfied",
HRData[[#This Row],[EnvironmentSatisfaction]]=2,"Dissatisfied",
HRData[[#This Row],[EnvironmentSatisfaction]]=3,"Satisfied",
HRData[[#This Row],[EnvironmentSatisfaction]]=4,"Very Satisfied"
)</f>
        <v>Satisfied</v>
      </c>
      <c r="O1056" t="s">
        <v>46</v>
      </c>
      <c r="P1056">
        <v>35</v>
      </c>
      <c r="Q1056">
        <v>3</v>
      </c>
      <c r="R1056">
        <v>3</v>
      </c>
      <c r="S1056" t="s">
        <v>54</v>
      </c>
      <c r="T1056">
        <v>2</v>
      </c>
      <c r="U1056" t="str" cm="1">
        <f t="array" ref="U1056">_xlfn.IFS(
HRData[[#This Row],[JobSatisfaction]]=1,"Very Dissatisfied",
HRData[[#This Row],[JobSatisfaction]]=2,"Dissatisfied",
HRData[[#This Row],[JobSatisfaction]]=3,"Satisfied",
HRData[[#This Row],[JobSatisfaction]]=4,"Very Satisfied"
)</f>
        <v>Dissatisfied</v>
      </c>
      <c r="V1056" t="s">
        <v>52</v>
      </c>
      <c r="W1056">
        <v>10466</v>
      </c>
      <c r="X1056" t="str" cm="1">
        <f t="array" ref="X1056">_xlfn.IFS(
HRData[[#This Row],[MonthlyIncome]]&lt;=4000,"Very Low Income",
HRData[[#This Row],[MonthlyIncome]]&lt;=8000,"Low Income",
HRData[[#This Row],[MonthlyIncome]]&lt;=12000,"Moderate Income",
HRData[[#This Row],[MonthlyIncome]]&lt;=16000,"High Income",
HRData[[#This Row],[MonthlyIncome]]&gt;16000,"Very High Income"
)</f>
        <v>Moderate Income</v>
      </c>
      <c r="Y1056">
        <v>20948</v>
      </c>
      <c r="Z1056">
        <v>3</v>
      </c>
      <c r="AA1056" t="s">
        <v>42</v>
      </c>
      <c r="AB1056" t="s">
        <v>43</v>
      </c>
      <c r="AC1056">
        <v>14</v>
      </c>
      <c r="AD1056" t="str" cm="1">
        <f t="array" ref="AD1056">_xlfn.IFS(HRData[[#This Row],[PercentSalaryHike]]&lt;=15,"11-15",HRData[[#This Row],[PercentSalaryHike]]&lt;=20,"16-20",HRData[[#This Row],[PercentSalaryHike]]&gt;=21,"21+")</f>
        <v>11-15</v>
      </c>
      <c r="AE1056">
        <v>3</v>
      </c>
      <c r="AF1056">
        <v>2</v>
      </c>
      <c r="AG1056">
        <v>80</v>
      </c>
      <c r="AH1056">
        <v>2</v>
      </c>
      <c r="AI1056">
        <v>29</v>
      </c>
      <c r="AJ1056">
        <v>3</v>
      </c>
      <c r="AK1056">
        <v>3</v>
      </c>
      <c r="AL1056">
        <v>8</v>
      </c>
      <c r="AM1056">
        <v>7</v>
      </c>
      <c r="AN1056">
        <v>0</v>
      </c>
      <c r="AO1056">
        <v>7</v>
      </c>
      <c r="AP105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056" t="str">
        <f>IF(HRData[[#This Row],[Attrition]]="Yes","Left", IF(HRData[[#This Row],[Attrition_Risk_Score]]&gt;=6,"High",IF(HRData[[#This Row],[Attrition_Risk_Score]]&gt;=3,"Medium","Low")))</f>
        <v>Low</v>
      </c>
      <c r="AR1056" t="str">
        <f>IF(HRData[[#This Row],[Attrition_Risk_Level]]&lt;&gt;"High","",HRData[[#This Row],[Attrition_Risk_Score]]*10000-HRData[[#This Row],[EmployeeNumber]])</f>
        <v/>
      </c>
    </row>
    <row r="1057" spans="1:44">
      <c r="A1057">
        <v>34</v>
      </c>
      <c r="B1057" t="str" cm="1">
        <f t="array" ref="B1057">_xlfn.IFS(
HRData[[#This Row],[Age]]&lt;=24,"18-24",
HRData[[#This Row],[Age]]&lt;=34,"25-34",
HRData[[#This Row],[Age]]&lt;=44,"35-44",
HRData[[#This Row],[Age]]&lt;=54,"45-54",
HRData[[#This Row],[Age]]&gt;=55,"55+"
)</f>
        <v>25-34</v>
      </c>
      <c r="C1057" t="s">
        <v>43</v>
      </c>
      <c r="D1057">
        <f>IF(HRData[[#This Row],[Attrition]]="Yes",1,0)</f>
        <v>0</v>
      </c>
      <c r="E1057" t="s">
        <v>44</v>
      </c>
      <c r="F1057">
        <v>829</v>
      </c>
      <c r="G1057" t="s">
        <v>45</v>
      </c>
      <c r="H1057">
        <v>15</v>
      </c>
      <c r="I1057">
        <v>3</v>
      </c>
      <c r="J1057" t="s">
        <v>51</v>
      </c>
      <c r="K1057">
        <v>1</v>
      </c>
      <c r="L1057">
        <v>1485</v>
      </c>
      <c r="M1057">
        <v>2</v>
      </c>
      <c r="N1057" t="str" cm="1">
        <f t="array" ref="N1057">_xlfn.IFS(HRData[[#This Row],[EnvironmentSatisfaction]]=1,"Very Dissatisfied",
HRData[[#This Row],[EnvironmentSatisfaction]]=2,"Dissatisfied",
HRData[[#This Row],[EnvironmentSatisfaction]]=3,"Satisfied",
HRData[[#This Row],[EnvironmentSatisfaction]]=4,"Very Satisfied"
)</f>
        <v>Dissatisfied</v>
      </c>
      <c r="O1057" t="s">
        <v>46</v>
      </c>
      <c r="P1057">
        <v>71</v>
      </c>
      <c r="Q1057">
        <v>3</v>
      </c>
      <c r="R1057">
        <v>4</v>
      </c>
      <c r="S1057" t="s">
        <v>58</v>
      </c>
      <c r="T1057">
        <v>1</v>
      </c>
      <c r="U1057" t="str" cm="1">
        <f t="array" ref="U1057">_xlfn.IFS(
HRData[[#This Row],[JobSatisfaction]]=1,"Very Dissatisfied",
HRData[[#This Row],[JobSatisfaction]]=2,"Dissatisfied",
HRData[[#This Row],[JobSatisfaction]]=3,"Satisfied",
HRData[[#This Row],[JobSatisfaction]]=4,"Very Satisfied"
)</f>
        <v>Very Dissatisfied</v>
      </c>
      <c r="V1057" t="s">
        <v>52</v>
      </c>
      <c r="W1057">
        <v>17007</v>
      </c>
      <c r="X1057" t="str" cm="1">
        <f t="array" ref="X1057">_xlfn.IFS(
HRData[[#This Row],[MonthlyIncome]]&lt;=4000,"Very Low Income",
HRData[[#This Row],[MonthlyIncome]]&lt;=8000,"Low Income",
HRData[[#This Row],[MonthlyIncome]]&lt;=12000,"Moderate Income",
HRData[[#This Row],[MonthlyIncome]]&lt;=16000,"High Income",
HRData[[#This Row],[MonthlyIncome]]&gt;16000,"Very High Income"
)</f>
        <v>Very High Income</v>
      </c>
      <c r="Y1057">
        <v>11929</v>
      </c>
      <c r="Z1057">
        <v>7</v>
      </c>
      <c r="AA1057" t="s">
        <v>42</v>
      </c>
      <c r="AB1057" t="s">
        <v>43</v>
      </c>
      <c r="AC1057">
        <v>14</v>
      </c>
      <c r="AD1057" t="str" cm="1">
        <f t="array" ref="AD1057">_xlfn.IFS(HRData[[#This Row],[PercentSalaryHike]]&lt;=15,"11-15",HRData[[#This Row],[PercentSalaryHike]]&lt;=20,"16-20",HRData[[#This Row],[PercentSalaryHike]]&gt;=21,"21+")</f>
        <v>11-15</v>
      </c>
      <c r="AE1057">
        <v>3</v>
      </c>
      <c r="AF1057">
        <v>4</v>
      </c>
      <c r="AG1057">
        <v>80</v>
      </c>
      <c r="AH1057">
        <v>2</v>
      </c>
      <c r="AI1057">
        <v>16</v>
      </c>
      <c r="AJ1057">
        <v>3</v>
      </c>
      <c r="AK1057">
        <v>2</v>
      </c>
      <c r="AL1057">
        <v>14</v>
      </c>
      <c r="AM1057">
        <v>8</v>
      </c>
      <c r="AN1057">
        <v>6</v>
      </c>
      <c r="AO1057">
        <v>9</v>
      </c>
      <c r="AP105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57" t="str">
        <f>IF(HRData[[#This Row],[Attrition]]="Yes","Left", IF(HRData[[#This Row],[Attrition_Risk_Score]]&gt;=6,"High",IF(HRData[[#This Row],[Attrition_Risk_Score]]&gt;=3,"Medium","Low")))</f>
        <v>Medium</v>
      </c>
      <c r="AR1057" t="str">
        <f>IF(HRData[[#This Row],[Attrition_Risk_Level]]&lt;&gt;"High","",HRData[[#This Row],[Attrition_Risk_Score]]*10000-HRData[[#This Row],[EmployeeNumber]])</f>
        <v/>
      </c>
    </row>
    <row r="1058" spans="1:44">
      <c r="A1058">
        <v>28</v>
      </c>
      <c r="B1058" t="str" cm="1">
        <f t="array" ref="B1058">_xlfn.IFS(
HRData[[#This Row],[Age]]&lt;=24,"18-24",
HRData[[#This Row],[Age]]&lt;=34,"25-34",
HRData[[#This Row],[Age]]&lt;=44,"35-44",
HRData[[#This Row],[Age]]&lt;=54,"45-54",
HRData[[#This Row],[Age]]&gt;=55,"55+"
)</f>
        <v>25-34</v>
      </c>
      <c r="C1058" t="s">
        <v>35</v>
      </c>
      <c r="D1058">
        <f>IF(HRData[[#This Row],[Attrition]]="Yes",1,0)</f>
        <v>1</v>
      </c>
      <c r="E1058" t="s">
        <v>44</v>
      </c>
      <c r="F1058">
        <v>1496</v>
      </c>
      <c r="G1058" t="s">
        <v>37</v>
      </c>
      <c r="H1058">
        <v>1</v>
      </c>
      <c r="I1058">
        <v>3</v>
      </c>
      <c r="J1058" t="s">
        <v>60</v>
      </c>
      <c r="K1058">
        <v>1</v>
      </c>
      <c r="L1058">
        <v>1486</v>
      </c>
      <c r="M1058">
        <v>1</v>
      </c>
      <c r="N1058" t="str" cm="1">
        <f t="array" ref="N1058">_xlfn.IFS(HRData[[#This Row],[EnvironmentSatisfaction]]=1,"Very Dissatisfied",
HRData[[#This Row],[EnvironmentSatisfaction]]=2,"Dissatisfied",
HRData[[#This Row],[EnvironmentSatisfaction]]=3,"Satisfied",
HRData[[#This Row],[EnvironmentSatisfaction]]=4,"Very Satisfied"
)</f>
        <v>Very Dissatisfied</v>
      </c>
      <c r="O1058" t="s">
        <v>46</v>
      </c>
      <c r="P1058">
        <v>92</v>
      </c>
      <c r="Q1058">
        <v>3</v>
      </c>
      <c r="R1058">
        <v>1</v>
      </c>
      <c r="S1058" t="s">
        <v>57</v>
      </c>
      <c r="T1058">
        <v>3</v>
      </c>
      <c r="U1058" t="str" cm="1">
        <f t="array" ref="U1058">_xlfn.IFS(
HRData[[#This Row],[JobSatisfaction]]=1,"Very Dissatisfied",
HRData[[#This Row],[JobSatisfaction]]=2,"Dissatisfied",
HRData[[#This Row],[JobSatisfaction]]=3,"Satisfied",
HRData[[#This Row],[JobSatisfaction]]=4,"Very Satisfied"
)</f>
        <v>Satisfied</v>
      </c>
      <c r="V1058" t="s">
        <v>48</v>
      </c>
      <c r="W1058">
        <v>2909</v>
      </c>
      <c r="X1058" t="str" cm="1">
        <f t="array" ref="X1058">_xlfn.IFS(
HRData[[#This Row],[MonthlyIncome]]&lt;=4000,"Very Low Income",
HRData[[#This Row],[MonthlyIncome]]&lt;=8000,"Low Income",
HRData[[#This Row],[MonthlyIncome]]&lt;=12000,"Moderate Income",
HRData[[#This Row],[MonthlyIncome]]&lt;=16000,"High Income",
HRData[[#This Row],[MonthlyIncome]]&gt;16000,"Very High Income"
)</f>
        <v>Very Low Income</v>
      </c>
      <c r="Y1058">
        <v>15747</v>
      </c>
      <c r="Z1058">
        <v>3</v>
      </c>
      <c r="AA1058" t="s">
        <v>42</v>
      </c>
      <c r="AB1058" t="s">
        <v>43</v>
      </c>
      <c r="AC1058">
        <v>15</v>
      </c>
      <c r="AD1058" t="str" cm="1">
        <f t="array" ref="AD1058">_xlfn.IFS(HRData[[#This Row],[PercentSalaryHike]]&lt;=15,"11-15",HRData[[#This Row],[PercentSalaryHike]]&lt;=20,"16-20",HRData[[#This Row],[PercentSalaryHike]]&gt;=21,"21+")</f>
        <v>11-15</v>
      </c>
      <c r="AE1058">
        <v>3</v>
      </c>
      <c r="AF1058">
        <v>4</v>
      </c>
      <c r="AG1058">
        <v>80</v>
      </c>
      <c r="AH1058">
        <v>1</v>
      </c>
      <c r="AI1058">
        <v>5</v>
      </c>
      <c r="AJ1058">
        <v>3</v>
      </c>
      <c r="AK1058">
        <v>4</v>
      </c>
      <c r="AL1058">
        <v>3</v>
      </c>
      <c r="AM1058">
        <v>2</v>
      </c>
      <c r="AN1058">
        <v>1</v>
      </c>
      <c r="AO1058">
        <v>2</v>
      </c>
      <c r="AP105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58" t="str">
        <f>IF(HRData[[#This Row],[Attrition]]="Yes","Left", IF(HRData[[#This Row],[Attrition_Risk_Score]]&gt;=6,"High",IF(HRData[[#This Row],[Attrition_Risk_Score]]&gt;=3,"Medium","Low")))</f>
        <v>Left</v>
      </c>
      <c r="AR1058" t="str">
        <f>IF(HRData[[#This Row],[Attrition_Risk_Level]]&lt;&gt;"High","",HRData[[#This Row],[Attrition_Risk_Score]]*10000-HRData[[#This Row],[EmployeeNumber]])</f>
        <v/>
      </c>
    </row>
    <row r="1059" spans="1:44">
      <c r="A1059">
        <v>29</v>
      </c>
      <c r="B1059" t="str" cm="1">
        <f t="array" ref="B1059">_xlfn.IFS(
HRData[[#This Row],[Age]]&lt;=24,"18-24",
HRData[[#This Row],[Age]]&lt;=34,"25-34",
HRData[[#This Row],[Age]]&lt;=44,"35-44",
HRData[[#This Row],[Age]]&lt;=54,"45-54",
HRData[[#This Row],[Age]]&gt;=55,"55+"
)</f>
        <v>25-34</v>
      </c>
      <c r="C1059" t="s">
        <v>35</v>
      </c>
      <c r="D1059">
        <f>IF(HRData[[#This Row],[Attrition]]="Yes",1,0)</f>
        <v>1</v>
      </c>
      <c r="E1059" t="s">
        <v>44</v>
      </c>
      <c r="F1059">
        <v>115</v>
      </c>
      <c r="G1059" t="s">
        <v>37</v>
      </c>
      <c r="H1059">
        <v>13</v>
      </c>
      <c r="I1059">
        <v>3</v>
      </c>
      <c r="J1059" t="s">
        <v>60</v>
      </c>
      <c r="K1059">
        <v>1</v>
      </c>
      <c r="L1059">
        <v>1487</v>
      </c>
      <c r="M1059">
        <v>1</v>
      </c>
      <c r="N1059" t="str" cm="1">
        <f t="array" ref="N1059">_xlfn.IFS(HRData[[#This Row],[EnvironmentSatisfaction]]=1,"Very Dissatisfied",
HRData[[#This Row],[EnvironmentSatisfaction]]=2,"Dissatisfied",
HRData[[#This Row],[EnvironmentSatisfaction]]=3,"Satisfied",
HRData[[#This Row],[EnvironmentSatisfaction]]=4,"Very Satisfied"
)</f>
        <v>Very Dissatisfied</v>
      </c>
      <c r="O1059" t="s">
        <v>39</v>
      </c>
      <c r="P1059">
        <v>51</v>
      </c>
      <c r="Q1059">
        <v>3</v>
      </c>
      <c r="R1059">
        <v>2</v>
      </c>
      <c r="S1059" t="s">
        <v>40</v>
      </c>
      <c r="T1059">
        <v>2</v>
      </c>
      <c r="U1059" t="str" cm="1">
        <f t="array" ref="U1059">_xlfn.IFS(
HRData[[#This Row],[JobSatisfaction]]=1,"Very Dissatisfied",
HRData[[#This Row],[JobSatisfaction]]=2,"Dissatisfied",
HRData[[#This Row],[JobSatisfaction]]=3,"Satisfied",
HRData[[#This Row],[JobSatisfaction]]=4,"Very Satisfied"
)</f>
        <v>Dissatisfied</v>
      </c>
      <c r="V1059" t="s">
        <v>41</v>
      </c>
      <c r="W1059">
        <v>5765</v>
      </c>
      <c r="X1059" t="str" cm="1">
        <f t="array" ref="X1059">_xlfn.IFS(
HRData[[#This Row],[MonthlyIncome]]&lt;=4000,"Very Low Income",
HRData[[#This Row],[MonthlyIncome]]&lt;=8000,"Low Income",
HRData[[#This Row],[MonthlyIncome]]&lt;=12000,"Moderate Income",
HRData[[#This Row],[MonthlyIncome]]&lt;=16000,"High Income",
HRData[[#This Row],[MonthlyIncome]]&gt;16000,"Very High Income"
)</f>
        <v>Low Income</v>
      </c>
      <c r="Y1059">
        <v>17485</v>
      </c>
      <c r="Z1059">
        <v>5</v>
      </c>
      <c r="AA1059" t="s">
        <v>42</v>
      </c>
      <c r="AB1059" t="s">
        <v>43</v>
      </c>
      <c r="AC1059">
        <v>11</v>
      </c>
      <c r="AD1059" t="str" cm="1">
        <f t="array" ref="AD1059">_xlfn.IFS(HRData[[#This Row],[PercentSalaryHike]]&lt;=15,"11-15",HRData[[#This Row],[PercentSalaryHike]]&lt;=20,"16-20",HRData[[#This Row],[PercentSalaryHike]]&gt;=21,"21+")</f>
        <v>11-15</v>
      </c>
      <c r="AE1059">
        <v>3</v>
      </c>
      <c r="AF1059">
        <v>1</v>
      </c>
      <c r="AG1059">
        <v>80</v>
      </c>
      <c r="AH1059">
        <v>0</v>
      </c>
      <c r="AI1059">
        <v>7</v>
      </c>
      <c r="AJ1059">
        <v>4</v>
      </c>
      <c r="AK1059">
        <v>1</v>
      </c>
      <c r="AL1059">
        <v>5</v>
      </c>
      <c r="AM1059">
        <v>3</v>
      </c>
      <c r="AN1059">
        <v>0</v>
      </c>
      <c r="AO1059">
        <v>0</v>
      </c>
      <c r="AP105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59" t="str">
        <f>IF(HRData[[#This Row],[Attrition]]="Yes","Left", IF(HRData[[#This Row],[Attrition_Risk_Score]]&gt;=6,"High",IF(HRData[[#This Row],[Attrition_Risk_Score]]&gt;=3,"Medium","Low")))</f>
        <v>Left</v>
      </c>
      <c r="AR1059" t="str">
        <f>IF(HRData[[#This Row],[Attrition_Risk_Level]]&lt;&gt;"High","",HRData[[#This Row],[Attrition_Risk_Score]]*10000-HRData[[#This Row],[EmployeeNumber]])</f>
        <v/>
      </c>
    </row>
    <row r="1060" spans="1:44">
      <c r="A1060">
        <v>34</v>
      </c>
      <c r="B1060" t="str" cm="1">
        <f t="array" ref="B1060">_xlfn.IFS(
HRData[[#This Row],[Age]]&lt;=24,"18-24",
HRData[[#This Row],[Age]]&lt;=34,"25-34",
HRData[[#This Row],[Age]]&lt;=44,"35-44",
HRData[[#This Row],[Age]]&lt;=54,"45-54",
HRData[[#This Row],[Age]]&gt;=55,"55+"
)</f>
        <v>25-34</v>
      </c>
      <c r="C1060" t="s">
        <v>35</v>
      </c>
      <c r="D1060">
        <f>IF(HRData[[#This Row],[Attrition]]="Yes",1,0)</f>
        <v>1</v>
      </c>
      <c r="E1060" t="s">
        <v>36</v>
      </c>
      <c r="F1060">
        <v>790</v>
      </c>
      <c r="G1060" t="s">
        <v>37</v>
      </c>
      <c r="H1060">
        <v>24</v>
      </c>
      <c r="I1060">
        <v>4</v>
      </c>
      <c r="J1060" t="s">
        <v>51</v>
      </c>
      <c r="K1060">
        <v>1</v>
      </c>
      <c r="L1060">
        <v>1489</v>
      </c>
      <c r="M1060">
        <v>1</v>
      </c>
      <c r="N1060" t="str" cm="1">
        <f t="array" ref="N1060">_xlfn.IFS(HRData[[#This Row],[EnvironmentSatisfaction]]=1,"Very Dissatisfied",
HRData[[#This Row],[EnvironmentSatisfaction]]=2,"Dissatisfied",
HRData[[#This Row],[EnvironmentSatisfaction]]=3,"Satisfied",
HRData[[#This Row],[EnvironmentSatisfaction]]=4,"Very Satisfied"
)</f>
        <v>Very Dissatisfied</v>
      </c>
      <c r="O1060" t="s">
        <v>39</v>
      </c>
      <c r="P1060">
        <v>40</v>
      </c>
      <c r="Q1060">
        <v>2</v>
      </c>
      <c r="R1060">
        <v>2</v>
      </c>
      <c r="S1060" t="s">
        <v>40</v>
      </c>
      <c r="T1060">
        <v>2</v>
      </c>
      <c r="U1060" t="str" cm="1">
        <f t="array" ref="U1060">_xlfn.IFS(
HRData[[#This Row],[JobSatisfaction]]=1,"Very Dissatisfied",
HRData[[#This Row],[JobSatisfaction]]=2,"Dissatisfied",
HRData[[#This Row],[JobSatisfaction]]=3,"Satisfied",
HRData[[#This Row],[JobSatisfaction]]=4,"Very Satisfied"
)</f>
        <v>Dissatisfied</v>
      </c>
      <c r="V1060" t="s">
        <v>41</v>
      </c>
      <c r="W1060">
        <v>4599</v>
      </c>
      <c r="X1060" t="str" cm="1">
        <f t="array" ref="X1060">_xlfn.IFS(
HRData[[#This Row],[MonthlyIncome]]&lt;=4000,"Very Low Income",
HRData[[#This Row],[MonthlyIncome]]&lt;=8000,"Low Income",
HRData[[#This Row],[MonthlyIncome]]&lt;=12000,"Moderate Income",
HRData[[#This Row],[MonthlyIncome]]&lt;=16000,"High Income",
HRData[[#This Row],[MonthlyIncome]]&gt;16000,"Very High Income"
)</f>
        <v>Low Income</v>
      </c>
      <c r="Y1060">
        <v>7815</v>
      </c>
      <c r="Z1060">
        <v>0</v>
      </c>
      <c r="AA1060" t="s">
        <v>42</v>
      </c>
      <c r="AB1060" t="s">
        <v>35</v>
      </c>
      <c r="AC1060">
        <v>23</v>
      </c>
      <c r="AD1060" t="str" cm="1">
        <f t="array" ref="AD1060">_xlfn.IFS(HRData[[#This Row],[PercentSalaryHike]]&lt;=15,"11-15",HRData[[#This Row],[PercentSalaryHike]]&lt;=20,"16-20",HRData[[#This Row],[PercentSalaryHike]]&gt;=21,"21+")</f>
        <v>21+</v>
      </c>
      <c r="AE1060">
        <v>4</v>
      </c>
      <c r="AF1060">
        <v>3</v>
      </c>
      <c r="AG1060">
        <v>80</v>
      </c>
      <c r="AH1060">
        <v>0</v>
      </c>
      <c r="AI1060">
        <v>16</v>
      </c>
      <c r="AJ1060">
        <v>2</v>
      </c>
      <c r="AK1060">
        <v>4</v>
      </c>
      <c r="AL1060">
        <v>15</v>
      </c>
      <c r="AM1060">
        <v>9</v>
      </c>
      <c r="AN1060">
        <v>10</v>
      </c>
      <c r="AO1060">
        <v>10</v>
      </c>
      <c r="AP106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60" t="str">
        <f>IF(HRData[[#This Row],[Attrition]]="Yes","Left", IF(HRData[[#This Row],[Attrition_Risk_Score]]&gt;=6,"High",IF(HRData[[#This Row],[Attrition_Risk_Score]]&gt;=3,"Medium","Low")))</f>
        <v>Left</v>
      </c>
      <c r="AR1060" t="str">
        <f>IF(HRData[[#This Row],[Attrition_Risk_Level]]&lt;&gt;"High","",HRData[[#This Row],[Attrition_Risk_Score]]*10000-HRData[[#This Row],[EmployeeNumber]])</f>
        <v/>
      </c>
    </row>
    <row r="1061" spans="1:44">
      <c r="A1061">
        <v>35</v>
      </c>
      <c r="B1061" t="str" cm="1">
        <f t="array" ref="B1061">_xlfn.IFS(
HRData[[#This Row],[Age]]&lt;=24,"18-24",
HRData[[#This Row],[Age]]&lt;=34,"25-34",
HRData[[#This Row],[Age]]&lt;=44,"35-44",
HRData[[#This Row],[Age]]&lt;=54,"45-54",
HRData[[#This Row],[Age]]&gt;=55,"55+"
)</f>
        <v>35-44</v>
      </c>
      <c r="C1061" t="s">
        <v>43</v>
      </c>
      <c r="D1061">
        <f>IF(HRData[[#This Row],[Attrition]]="Yes",1,0)</f>
        <v>0</v>
      </c>
      <c r="E1061" t="s">
        <v>36</v>
      </c>
      <c r="F1061">
        <v>660</v>
      </c>
      <c r="G1061" t="s">
        <v>37</v>
      </c>
      <c r="H1061">
        <v>7</v>
      </c>
      <c r="I1061">
        <v>1</v>
      </c>
      <c r="J1061" t="s">
        <v>38</v>
      </c>
      <c r="K1061">
        <v>1</v>
      </c>
      <c r="L1061">
        <v>1492</v>
      </c>
      <c r="M1061">
        <v>4</v>
      </c>
      <c r="N1061" t="str" cm="1">
        <f t="array" ref="N1061">_xlfn.IFS(HRData[[#This Row],[EnvironmentSatisfaction]]=1,"Very Dissatisfied",
HRData[[#This Row],[EnvironmentSatisfaction]]=2,"Dissatisfied",
HRData[[#This Row],[EnvironmentSatisfaction]]=3,"Satisfied",
HRData[[#This Row],[EnvironmentSatisfaction]]=4,"Very Satisfied"
)</f>
        <v>Very Satisfied</v>
      </c>
      <c r="O1061" t="s">
        <v>46</v>
      </c>
      <c r="P1061">
        <v>76</v>
      </c>
      <c r="Q1061">
        <v>3</v>
      </c>
      <c r="R1061">
        <v>1</v>
      </c>
      <c r="S1061" t="s">
        <v>57</v>
      </c>
      <c r="T1061">
        <v>3</v>
      </c>
      <c r="U1061" t="str" cm="1">
        <f t="array" ref="U1061">_xlfn.IFS(
HRData[[#This Row],[JobSatisfaction]]=1,"Very Dissatisfied",
HRData[[#This Row],[JobSatisfaction]]=2,"Dissatisfied",
HRData[[#This Row],[JobSatisfaction]]=3,"Satisfied",
HRData[[#This Row],[JobSatisfaction]]=4,"Very Satisfied"
)</f>
        <v>Satisfied</v>
      </c>
      <c r="V1061" t="s">
        <v>48</v>
      </c>
      <c r="W1061">
        <v>2404</v>
      </c>
      <c r="X1061" t="str" cm="1">
        <f t="array" ref="X1061">_xlfn.IFS(
HRData[[#This Row],[MonthlyIncome]]&lt;=4000,"Very Low Income",
HRData[[#This Row],[MonthlyIncome]]&lt;=8000,"Low Income",
HRData[[#This Row],[MonthlyIncome]]&lt;=12000,"Moderate Income",
HRData[[#This Row],[MonthlyIncome]]&lt;=16000,"High Income",
HRData[[#This Row],[MonthlyIncome]]&gt;16000,"Very High Income"
)</f>
        <v>Very Low Income</v>
      </c>
      <c r="Y1061">
        <v>16192</v>
      </c>
      <c r="Z1061">
        <v>1</v>
      </c>
      <c r="AA1061" t="s">
        <v>42</v>
      </c>
      <c r="AB1061" t="s">
        <v>43</v>
      </c>
      <c r="AC1061">
        <v>13</v>
      </c>
      <c r="AD1061" t="str" cm="1">
        <f t="array" ref="AD1061">_xlfn.IFS(HRData[[#This Row],[PercentSalaryHike]]&lt;=15,"11-15",HRData[[#This Row],[PercentSalaryHike]]&lt;=20,"16-20",HRData[[#This Row],[PercentSalaryHike]]&gt;=21,"21+")</f>
        <v>11-15</v>
      </c>
      <c r="AE1061">
        <v>3</v>
      </c>
      <c r="AF1061">
        <v>1</v>
      </c>
      <c r="AG1061">
        <v>80</v>
      </c>
      <c r="AH1061">
        <v>1</v>
      </c>
      <c r="AI1061">
        <v>1</v>
      </c>
      <c r="AJ1061">
        <v>3</v>
      </c>
      <c r="AK1061">
        <v>3</v>
      </c>
      <c r="AL1061">
        <v>1</v>
      </c>
      <c r="AM1061">
        <v>0</v>
      </c>
      <c r="AN1061">
        <v>0</v>
      </c>
      <c r="AO1061">
        <v>0</v>
      </c>
      <c r="AP106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61" t="str">
        <f>IF(HRData[[#This Row],[Attrition]]="Yes","Left", IF(HRData[[#This Row],[Attrition_Risk_Score]]&gt;=6,"High",IF(HRData[[#This Row],[Attrition_Risk_Score]]&gt;=3,"Medium","Low")))</f>
        <v>Medium</v>
      </c>
      <c r="AR1061" t="str">
        <f>IF(HRData[[#This Row],[Attrition_Risk_Level]]&lt;&gt;"High","",HRData[[#This Row],[Attrition_Risk_Score]]*10000-HRData[[#This Row],[EmployeeNumber]])</f>
        <v/>
      </c>
    </row>
    <row r="1062" spans="1:44">
      <c r="A1062">
        <v>24</v>
      </c>
      <c r="B1062" t="str" cm="1">
        <f t="array" ref="B1062">_xlfn.IFS(
HRData[[#This Row],[Age]]&lt;=24,"18-24",
HRData[[#This Row],[Age]]&lt;=34,"25-34",
HRData[[#This Row],[Age]]&lt;=44,"35-44",
HRData[[#This Row],[Age]]&lt;=54,"45-54",
HRData[[#This Row],[Age]]&gt;=55,"55+"
)</f>
        <v>18-24</v>
      </c>
      <c r="C1062" t="s">
        <v>35</v>
      </c>
      <c r="D1062">
        <f>IF(HRData[[#This Row],[Attrition]]="Yes",1,0)</f>
        <v>1</v>
      </c>
      <c r="E1062" t="s">
        <v>44</v>
      </c>
      <c r="F1062">
        <v>381</v>
      </c>
      <c r="G1062" t="s">
        <v>45</v>
      </c>
      <c r="H1062">
        <v>9</v>
      </c>
      <c r="I1062">
        <v>3</v>
      </c>
      <c r="J1062" t="s">
        <v>51</v>
      </c>
      <c r="K1062">
        <v>1</v>
      </c>
      <c r="L1062">
        <v>1494</v>
      </c>
      <c r="M1062">
        <v>2</v>
      </c>
      <c r="N1062" t="str" cm="1">
        <f t="array" ref="N1062">_xlfn.IFS(HRData[[#This Row],[EnvironmentSatisfaction]]=1,"Very Dissatisfied",
HRData[[#This Row],[EnvironmentSatisfaction]]=2,"Dissatisfied",
HRData[[#This Row],[EnvironmentSatisfaction]]=3,"Satisfied",
HRData[[#This Row],[EnvironmentSatisfaction]]=4,"Very Satisfied"
)</f>
        <v>Dissatisfied</v>
      </c>
      <c r="O1062" t="s">
        <v>46</v>
      </c>
      <c r="P1062">
        <v>89</v>
      </c>
      <c r="Q1062">
        <v>3</v>
      </c>
      <c r="R1062">
        <v>1</v>
      </c>
      <c r="S1062" t="s">
        <v>50</v>
      </c>
      <c r="T1062">
        <v>1</v>
      </c>
      <c r="U1062" t="str" cm="1">
        <f t="array" ref="U1062">_xlfn.IFS(
HRData[[#This Row],[JobSatisfaction]]=1,"Very Dissatisfied",
HRData[[#This Row],[JobSatisfaction]]=2,"Dissatisfied",
HRData[[#This Row],[JobSatisfaction]]=3,"Satisfied",
HRData[[#This Row],[JobSatisfaction]]=4,"Very Satisfied"
)</f>
        <v>Very Dissatisfied</v>
      </c>
      <c r="V1062" t="s">
        <v>41</v>
      </c>
      <c r="W1062">
        <v>3172</v>
      </c>
      <c r="X1062" t="str" cm="1">
        <f t="array" ref="X1062">_xlfn.IFS(
HRData[[#This Row],[MonthlyIncome]]&lt;=4000,"Very Low Income",
HRData[[#This Row],[MonthlyIncome]]&lt;=8000,"Low Income",
HRData[[#This Row],[MonthlyIncome]]&lt;=12000,"Moderate Income",
HRData[[#This Row],[MonthlyIncome]]&lt;=16000,"High Income",
HRData[[#This Row],[MonthlyIncome]]&gt;16000,"Very High Income"
)</f>
        <v>Very Low Income</v>
      </c>
      <c r="Y1062">
        <v>16998</v>
      </c>
      <c r="Z1062">
        <v>2</v>
      </c>
      <c r="AA1062" t="s">
        <v>42</v>
      </c>
      <c r="AB1062" t="s">
        <v>35</v>
      </c>
      <c r="AC1062">
        <v>11</v>
      </c>
      <c r="AD1062" t="str" cm="1">
        <f t="array" ref="AD1062">_xlfn.IFS(HRData[[#This Row],[PercentSalaryHike]]&lt;=15,"11-15",HRData[[#This Row],[PercentSalaryHike]]&lt;=20,"16-20",HRData[[#This Row],[PercentSalaryHike]]&gt;=21,"21+")</f>
        <v>11-15</v>
      </c>
      <c r="AE1062">
        <v>3</v>
      </c>
      <c r="AF1062">
        <v>3</v>
      </c>
      <c r="AG1062">
        <v>80</v>
      </c>
      <c r="AH1062">
        <v>0</v>
      </c>
      <c r="AI1062">
        <v>4</v>
      </c>
      <c r="AJ1062">
        <v>2</v>
      </c>
      <c r="AK1062">
        <v>2</v>
      </c>
      <c r="AL1062">
        <v>0</v>
      </c>
      <c r="AM1062">
        <v>0</v>
      </c>
      <c r="AN1062">
        <v>0</v>
      </c>
      <c r="AO1062">
        <v>0</v>
      </c>
      <c r="AP106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62" t="str">
        <f>IF(HRData[[#This Row],[Attrition]]="Yes","Left", IF(HRData[[#This Row],[Attrition_Risk_Score]]&gt;=6,"High",IF(HRData[[#This Row],[Attrition_Risk_Score]]&gt;=3,"Medium","Low")))</f>
        <v>Left</v>
      </c>
      <c r="AR1062" t="str">
        <f>IF(HRData[[#This Row],[Attrition_Risk_Level]]&lt;&gt;"High","",HRData[[#This Row],[Attrition_Risk_Score]]*10000-HRData[[#This Row],[EmployeeNumber]])</f>
        <v/>
      </c>
    </row>
    <row r="1063" spans="1:44">
      <c r="A1063">
        <v>24</v>
      </c>
      <c r="B1063" t="str" cm="1">
        <f t="array" ref="B1063">_xlfn.IFS(
HRData[[#This Row],[Age]]&lt;=24,"18-24",
HRData[[#This Row],[Age]]&lt;=34,"25-34",
HRData[[#This Row],[Age]]&lt;=44,"35-44",
HRData[[#This Row],[Age]]&lt;=54,"45-54",
HRData[[#This Row],[Age]]&gt;=55,"55+"
)</f>
        <v>18-24</v>
      </c>
      <c r="C1063" t="s">
        <v>43</v>
      </c>
      <c r="D1063">
        <f>IF(HRData[[#This Row],[Attrition]]="Yes",1,0)</f>
        <v>0</v>
      </c>
      <c r="E1063" t="s">
        <v>55</v>
      </c>
      <c r="F1063">
        <v>830</v>
      </c>
      <c r="G1063" t="s">
        <v>37</v>
      </c>
      <c r="H1063">
        <v>13</v>
      </c>
      <c r="I1063">
        <v>2</v>
      </c>
      <c r="J1063" t="s">
        <v>38</v>
      </c>
      <c r="K1063">
        <v>1</v>
      </c>
      <c r="L1063">
        <v>1495</v>
      </c>
      <c r="M1063">
        <v>4</v>
      </c>
      <c r="N1063" t="str" cm="1">
        <f t="array" ref="N1063">_xlfn.IFS(HRData[[#This Row],[EnvironmentSatisfaction]]=1,"Very Dissatisfied",
HRData[[#This Row],[EnvironmentSatisfaction]]=2,"Dissatisfied",
HRData[[#This Row],[EnvironmentSatisfaction]]=3,"Satisfied",
HRData[[#This Row],[EnvironmentSatisfaction]]=4,"Very Satisfied"
)</f>
        <v>Very Satisfied</v>
      </c>
      <c r="O1063" t="s">
        <v>39</v>
      </c>
      <c r="P1063">
        <v>78</v>
      </c>
      <c r="Q1063">
        <v>3</v>
      </c>
      <c r="R1063">
        <v>1</v>
      </c>
      <c r="S1063" t="s">
        <v>57</v>
      </c>
      <c r="T1063">
        <v>2</v>
      </c>
      <c r="U1063" t="str" cm="1">
        <f t="array" ref="U1063">_xlfn.IFS(
HRData[[#This Row],[JobSatisfaction]]=1,"Very Dissatisfied",
HRData[[#This Row],[JobSatisfaction]]=2,"Dissatisfied",
HRData[[#This Row],[JobSatisfaction]]=3,"Satisfied",
HRData[[#This Row],[JobSatisfaction]]=4,"Very Satisfied"
)</f>
        <v>Dissatisfied</v>
      </c>
      <c r="V1063" t="s">
        <v>48</v>
      </c>
      <c r="W1063">
        <v>2033</v>
      </c>
      <c r="X1063" t="str" cm="1">
        <f t="array" ref="X1063">_xlfn.IFS(
HRData[[#This Row],[MonthlyIncome]]&lt;=4000,"Very Low Income",
HRData[[#This Row],[MonthlyIncome]]&lt;=8000,"Low Income",
HRData[[#This Row],[MonthlyIncome]]&lt;=12000,"Moderate Income",
HRData[[#This Row],[MonthlyIncome]]&lt;=16000,"High Income",
HRData[[#This Row],[MonthlyIncome]]&gt;16000,"Very High Income"
)</f>
        <v>Very Low Income</v>
      </c>
      <c r="Y1063">
        <v>7103</v>
      </c>
      <c r="Z1063">
        <v>1</v>
      </c>
      <c r="AA1063" t="s">
        <v>42</v>
      </c>
      <c r="AB1063" t="s">
        <v>43</v>
      </c>
      <c r="AC1063">
        <v>13</v>
      </c>
      <c r="AD1063" t="str" cm="1">
        <f t="array" ref="AD1063">_xlfn.IFS(HRData[[#This Row],[PercentSalaryHike]]&lt;=15,"11-15",HRData[[#This Row],[PercentSalaryHike]]&lt;=20,"16-20",HRData[[#This Row],[PercentSalaryHike]]&gt;=21,"21+")</f>
        <v>11-15</v>
      </c>
      <c r="AE1063">
        <v>3</v>
      </c>
      <c r="AF1063">
        <v>3</v>
      </c>
      <c r="AG1063">
        <v>80</v>
      </c>
      <c r="AH1063">
        <v>1</v>
      </c>
      <c r="AI1063">
        <v>1</v>
      </c>
      <c r="AJ1063">
        <v>2</v>
      </c>
      <c r="AK1063">
        <v>3</v>
      </c>
      <c r="AL1063">
        <v>1</v>
      </c>
      <c r="AM1063">
        <v>0</v>
      </c>
      <c r="AN1063">
        <v>0</v>
      </c>
      <c r="AO1063">
        <v>0</v>
      </c>
      <c r="AP106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063" t="str">
        <f>IF(HRData[[#This Row],[Attrition]]="Yes","Left", IF(HRData[[#This Row],[Attrition_Risk_Score]]&gt;=6,"High",IF(HRData[[#This Row],[Attrition_Risk_Score]]&gt;=3,"Medium","Low")))</f>
        <v>High</v>
      </c>
      <c r="AR1063">
        <f>IF(HRData[[#This Row],[Attrition_Risk_Level]]&lt;&gt;"High","",HRData[[#This Row],[Attrition_Risk_Score]]*10000-HRData[[#This Row],[EmployeeNumber]])</f>
        <v>58505</v>
      </c>
    </row>
    <row r="1064" spans="1:44">
      <c r="A1064">
        <v>44</v>
      </c>
      <c r="B1064" t="str" cm="1">
        <f t="array" ref="B1064">_xlfn.IFS(
HRData[[#This Row],[Age]]&lt;=24,"18-24",
HRData[[#This Row],[Age]]&lt;=34,"25-34",
HRData[[#This Row],[Age]]&lt;=44,"35-44",
HRData[[#This Row],[Age]]&lt;=54,"45-54",
HRData[[#This Row],[Age]]&gt;=55,"55+"
)</f>
        <v>35-44</v>
      </c>
      <c r="C1064" t="s">
        <v>43</v>
      </c>
      <c r="D1064">
        <f>IF(HRData[[#This Row],[Attrition]]="Yes",1,0)</f>
        <v>0</v>
      </c>
      <c r="E1064" t="s">
        <v>44</v>
      </c>
      <c r="F1064">
        <v>1193</v>
      </c>
      <c r="G1064" t="s">
        <v>45</v>
      </c>
      <c r="H1064">
        <v>2</v>
      </c>
      <c r="I1064">
        <v>1</v>
      </c>
      <c r="J1064" t="s">
        <v>51</v>
      </c>
      <c r="K1064">
        <v>1</v>
      </c>
      <c r="L1064">
        <v>1496</v>
      </c>
      <c r="M1064">
        <v>2</v>
      </c>
      <c r="N1064" t="str" cm="1">
        <f t="array" ref="N1064">_xlfn.IFS(HRData[[#This Row],[EnvironmentSatisfaction]]=1,"Very Dissatisfied",
HRData[[#This Row],[EnvironmentSatisfaction]]=2,"Dissatisfied",
HRData[[#This Row],[EnvironmentSatisfaction]]=3,"Satisfied",
HRData[[#This Row],[EnvironmentSatisfaction]]=4,"Very Satisfied"
)</f>
        <v>Dissatisfied</v>
      </c>
      <c r="O1064" t="s">
        <v>46</v>
      </c>
      <c r="P1064">
        <v>86</v>
      </c>
      <c r="Q1064">
        <v>3</v>
      </c>
      <c r="R1064">
        <v>3</v>
      </c>
      <c r="S1064" t="s">
        <v>53</v>
      </c>
      <c r="T1064">
        <v>3</v>
      </c>
      <c r="U1064" t="str" cm="1">
        <f t="array" ref="U1064">_xlfn.IFS(
HRData[[#This Row],[JobSatisfaction]]=1,"Very Dissatisfied",
HRData[[#This Row],[JobSatisfaction]]=2,"Dissatisfied",
HRData[[#This Row],[JobSatisfaction]]=3,"Satisfied",
HRData[[#This Row],[JobSatisfaction]]=4,"Very Satisfied"
)</f>
        <v>Satisfied</v>
      </c>
      <c r="V1064" t="s">
        <v>41</v>
      </c>
      <c r="W1064">
        <v>10209</v>
      </c>
      <c r="X1064" t="str" cm="1">
        <f t="array" ref="X1064">_xlfn.IFS(
HRData[[#This Row],[MonthlyIncome]]&lt;=4000,"Very Low Income",
HRData[[#This Row],[MonthlyIncome]]&lt;=8000,"Low Income",
HRData[[#This Row],[MonthlyIncome]]&lt;=12000,"Moderate Income",
HRData[[#This Row],[MonthlyIncome]]&lt;=16000,"High Income",
HRData[[#This Row],[MonthlyIncome]]&gt;16000,"Very High Income"
)</f>
        <v>Moderate Income</v>
      </c>
      <c r="Y1064">
        <v>19719</v>
      </c>
      <c r="Z1064">
        <v>5</v>
      </c>
      <c r="AA1064" t="s">
        <v>42</v>
      </c>
      <c r="AB1064" t="s">
        <v>35</v>
      </c>
      <c r="AC1064">
        <v>18</v>
      </c>
      <c r="AD1064" t="str" cm="1">
        <f t="array" ref="AD1064">_xlfn.IFS(HRData[[#This Row],[PercentSalaryHike]]&lt;=15,"11-15",HRData[[#This Row],[PercentSalaryHike]]&lt;=20,"16-20",HRData[[#This Row],[PercentSalaryHike]]&gt;=21,"21+")</f>
        <v>16-20</v>
      </c>
      <c r="AE1064">
        <v>3</v>
      </c>
      <c r="AF1064">
        <v>2</v>
      </c>
      <c r="AG1064">
        <v>80</v>
      </c>
      <c r="AH1064">
        <v>0</v>
      </c>
      <c r="AI1064">
        <v>16</v>
      </c>
      <c r="AJ1064">
        <v>2</v>
      </c>
      <c r="AK1064">
        <v>2</v>
      </c>
      <c r="AL1064">
        <v>2</v>
      </c>
      <c r="AM1064">
        <v>2</v>
      </c>
      <c r="AN1064">
        <v>2</v>
      </c>
      <c r="AO1064">
        <v>2</v>
      </c>
      <c r="AP106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64" t="str">
        <f>IF(HRData[[#This Row],[Attrition]]="Yes","Left", IF(HRData[[#This Row],[Attrition_Risk_Score]]&gt;=6,"High",IF(HRData[[#This Row],[Attrition_Risk_Score]]&gt;=3,"Medium","Low")))</f>
        <v>Low</v>
      </c>
      <c r="AR1064" t="str">
        <f>IF(HRData[[#This Row],[Attrition_Risk_Level]]&lt;&gt;"High","",HRData[[#This Row],[Attrition_Risk_Score]]*10000-HRData[[#This Row],[EmployeeNumber]])</f>
        <v/>
      </c>
    </row>
    <row r="1065" spans="1:44">
      <c r="A1065">
        <v>29</v>
      </c>
      <c r="B1065" t="str" cm="1">
        <f t="array" ref="B1065">_xlfn.IFS(
HRData[[#This Row],[Age]]&lt;=24,"18-24",
HRData[[#This Row],[Age]]&lt;=34,"25-34",
HRData[[#This Row],[Age]]&lt;=44,"35-44",
HRData[[#This Row],[Age]]&lt;=54,"45-54",
HRData[[#This Row],[Age]]&gt;=55,"55+"
)</f>
        <v>25-34</v>
      </c>
      <c r="C1065" t="s">
        <v>43</v>
      </c>
      <c r="D1065">
        <f>IF(HRData[[#This Row],[Attrition]]="Yes",1,0)</f>
        <v>0</v>
      </c>
      <c r="E1065" t="s">
        <v>36</v>
      </c>
      <c r="F1065">
        <v>1246</v>
      </c>
      <c r="G1065" t="s">
        <v>37</v>
      </c>
      <c r="H1065">
        <v>19</v>
      </c>
      <c r="I1065">
        <v>3</v>
      </c>
      <c r="J1065" t="s">
        <v>38</v>
      </c>
      <c r="K1065">
        <v>1</v>
      </c>
      <c r="L1065">
        <v>1497</v>
      </c>
      <c r="M1065">
        <v>3</v>
      </c>
      <c r="N1065" t="str" cm="1">
        <f t="array" ref="N1065">_xlfn.IFS(HRData[[#This Row],[EnvironmentSatisfaction]]=1,"Very Dissatisfied",
HRData[[#This Row],[EnvironmentSatisfaction]]=2,"Dissatisfied",
HRData[[#This Row],[EnvironmentSatisfaction]]=3,"Satisfied",
HRData[[#This Row],[EnvironmentSatisfaction]]=4,"Very Satisfied"
)</f>
        <v>Satisfied</v>
      </c>
      <c r="O1065" t="s">
        <v>46</v>
      </c>
      <c r="P1065">
        <v>77</v>
      </c>
      <c r="Q1065">
        <v>2</v>
      </c>
      <c r="R1065">
        <v>2</v>
      </c>
      <c r="S1065" t="s">
        <v>40</v>
      </c>
      <c r="T1065">
        <v>3</v>
      </c>
      <c r="U1065" t="str" cm="1">
        <f t="array" ref="U1065">_xlfn.IFS(
HRData[[#This Row],[JobSatisfaction]]=1,"Very Dissatisfied",
HRData[[#This Row],[JobSatisfaction]]=2,"Dissatisfied",
HRData[[#This Row],[JobSatisfaction]]=3,"Satisfied",
HRData[[#This Row],[JobSatisfaction]]=4,"Very Satisfied"
)</f>
        <v>Satisfied</v>
      </c>
      <c r="V1065" t="s">
        <v>52</v>
      </c>
      <c r="W1065">
        <v>8620</v>
      </c>
      <c r="X1065" t="str" cm="1">
        <f t="array" ref="X1065">_xlfn.IFS(
HRData[[#This Row],[MonthlyIncome]]&lt;=4000,"Very Low Income",
HRData[[#This Row],[MonthlyIncome]]&lt;=8000,"Low Income",
HRData[[#This Row],[MonthlyIncome]]&lt;=12000,"Moderate Income",
HRData[[#This Row],[MonthlyIncome]]&lt;=16000,"High Income",
HRData[[#This Row],[MonthlyIncome]]&gt;16000,"Very High Income"
)</f>
        <v>Moderate Income</v>
      </c>
      <c r="Y1065">
        <v>23757</v>
      </c>
      <c r="Z1065">
        <v>1</v>
      </c>
      <c r="AA1065" t="s">
        <v>42</v>
      </c>
      <c r="AB1065" t="s">
        <v>43</v>
      </c>
      <c r="AC1065">
        <v>14</v>
      </c>
      <c r="AD1065" t="str" cm="1">
        <f t="array" ref="AD1065">_xlfn.IFS(HRData[[#This Row],[PercentSalaryHike]]&lt;=15,"11-15",HRData[[#This Row],[PercentSalaryHike]]&lt;=20,"16-20",HRData[[#This Row],[PercentSalaryHike]]&gt;=21,"21+")</f>
        <v>11-15</v>
      </c>
      <c r="AE1065">
        <v>3</v>
      </c>
      <c r="AF1065">
        <v>3</v>
      </c>
      <c r="AG1065">
        <v>80</v>
      </c>
      <c r="AH1065">
        <v>2</v>
      </c>
      <c r="AI1065">
        <v>10</v>
      </c>
      <c r="AJ1065">
        <v>3</v>
      </c>
      <c r="AK1065">
        <v>3</v>
      </c>
      <c r="AL1065">
        <v>10</v>
      </c>
      <c r="AM1065">
        <v>7</v>
      </c>
      <c r="AN1065">
        <v>0</v>
      </c>
      <c r="AO1065">
        <v>4</v>
      </c>
      <c r="AP106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065" t="str">
        <f>IF(HRData[[#This Row],[Attrition]]="Yes","Left", IF(HRData[[#This Row],[Attrition_Risk_Score]]&gt;=6,"High",IF(HRData[[#This Row],[Attrition_Risk_Score]]&gt;=3,"Medium","Low")))</f>
        <v>Low</v>
      </c>
      <c r="AR1065" t="str">
        <f>IF(HRData[[#This Row],[Attrition_Risk_Level]]&lt;&gt;"High","",HRData[[#This Row],[Attrition_Risk_Score]]*10000-HRData[[#This Row],[EmployeeNumber]])</f>
        <v/>
      </c>
    </row>
    <row r="1066" spans="1:44">
      <c r="A1066">
        <v>30</v>
      </c>
      <c r="B1066" t="str" cm="1">
        <f t="array" ref="B1066">_xlfn.IFS(
HRData[[#This Row],[Age]]&lt;=24,"18-24",
HRData[[#This Row],[Age]]&lt;=34,"25-34",
HRData[[#This Row],[Age]]&lt;=44,"35-44",
HRData[[#This Row],[Age]]&lt;=54,"45-54",
HRData[[#This Row],[Age]]&gt;=55,"55+"
)</f>
        <v>25-34</v>
      </c>
      <c r="C1066" t="s">
        <v>43</v>
      </c>
      <c r="D1066">
        <f>IF(HRData[[#This Row],[Attrition]]="Yes",1,0)</f>
        <v>0</v>
      </c>
      <c r="E1066" t="s">
        <v>36</v>
      </c>
      <c r="F1066">
        <v>330</v>
      </c>
      <c r="G1066" t="s">
        <v>61</v>
      </c>
      <c r="H1066">
        <v>1</v>
      </c>
      <c r="I1066">
        <v>3</v>
      </c>
      <c r="J1066" t="s">
        <v>38</v>
      </c>
      <c r="K1066">
        <v>1</v>
      </c>
      <c r="L1066">
        <v>1499</v>
      </c>
      <c r="M1066">
        <v>3</v>
      </c>
      <c r="N1066" t="str" cm="1">
        <f t="array" ref="N1066">_xlfn.IFS(HRData[[#This Row],[EnvironmentSatisfaction]]=1,"Very Dissatisfied",
HRData[[#This Row],[EnvironmentSatisfaction]]=2,"Dissatisfied",
HRData[[#This Row],[EnvironmentSatisfaction]]=3,"Satisfied",
HRData[[#This Row],[EnvironmentSatisfaction]]=4,"Very Satisfied"
)</f>
        <v>Satisfied</v>
      </c>
      <c r="O1066" t="s">
        <v>46</v>
      </c>
      <c r="P1066">
        <v>46</v>
      </c>
      <c r="Q1066">
        <v>3</v>
      </c>
      <c r="R1066">
        <v>1</v>
      </c>
      <c r="S1066" t="s">
        <v>61</v>
      </c>
      <c r="T1066">
        <v>3</v>
      </c>
      <c r="U1066" t="str" cm="1">
        <f t="array" ref="U1066">_xlfn.IFS(
HRData[[#This Row],[JobSatisfaction]]=1,"Very Dissatisfied",
HRData[[#This Row],[JobSatisfaction]]=2,"Dissatisfied",
HRData[[#This Row],[JobSatisfaction]]=3,"Satisfied",
HRData[[#This Row],[JobSatisfaction]]=4,"Very Satisfied"
)</f>
        <v>Satisfied</v>
      </c>
      <c r="V1066" t="s">
        <v>52</v>
      </c>
      <c r="W1066">
        <v>2064</v>
      </c>
      <c r="X1066" t="str" cm="1">
        <f t="array" ref="X1066">_xlfn.IFS(
HRData[[#This Row],[MonthlyIncome]]&lt;=4000,"Very Low Income",
HRData[[#This Row],[MonthlyIncome]]&lt;=8000,"Low Income",
HRData[[#This Row],[MonthlyIncome]]&lt;=12000,"Moderate Income",
HRData[[#This Row],[MonthlyIncome]]&lt;=16000,"High Income",
HRData[[#This Row],[MonthlyIncome]]&gt;16000,"Very High Income"
)</f>
        <v>Very Low Income</v>
      </c>
      <c r="Y1066">
        <v>15428</v>
      </c>
      <c r="Z1066">
        <v>0</v>
      </c>
      <c r="AA1066" t="s">
        <v>42</v>
      </c>
      <c r="AB1066" t="s">
        <v>43</v>
      </c>
      <c r="AC1066">
        <v>21</v>
      </c>
      <c r="AD1066" t="str" cm="1">
        <f t="array" ref="AD1066">_xlfn.IFS(HRData[[#This Row],[PercentSalaryHike]]&lt;=15,"11-15",HRData[[#This Row],[PercentSalaryHike]]&lt;=20,"16-20",HRData[[#This Row],[PercentSalaryHike]]&gt;=21,"21+")</f>
        <v>21+</v>
      </c>
      <c r="AE1066">
        <v>4</v>
      </c>
      <c r="AF1066">
        <v>1</v>
      </c>
      <c r="AG1066">
        <v>80</v>
      </c>
      <c r="AH1066">
        <v>1</v>
      </c>
      <c r="AI1066">
        <v>6</v>
      </c>
      <c r="AJ1066">
        <v>3</v>
      </c>
      <c r="AK1066">
        <v>4</v>
      </c>
      <c r="AL1066">
        <v>5</v>
      </c>
      <c r="AM1066">
        <v>3</v>
      </c>
      <c r="AN1066">
        <v>1</v>
      </c>
      <c r="AO1066">
        <v>3</v>
      </c>
      <c r="AP106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66" t="str">
        <f>IF(HRData[[#This Row],[Attrition]]="Yes","Left", IF(HRData[[#This Row],[Attrition_Risk_Score]]&gt;=6,"High",IF(HRData[[#This Row],[Attrition_Risk_Score]]&gt;=3,"Medium","Low")))</f>
        <v>Medium</v>
      </c>
      <c r="AR1066" t="str">
        <f>IF(HRData[[#This Row],[Attrition_Risk_Level]]&lt;&gt;"High","",HRData[[#This Row],[Attrition_Risk_Score]]*10000-HRData[[#This Row],[EmployeeNumber]])</f>
        <v/>
      </c>
    </row>
    <row r="1067" spans="1:44">
      <c r="A1067">
        <v>55</v>
      </c>
      <c r="B1067" t="str" cm="1">
        <f t="array" ref="B1067">_xlfn.IFS(
HRData[[#This Row],[Age]]&lt;=24,"18-24",
HRData[[#This Row],[Age]]&lt;=34,"25-34",
HRData[[#This Row],[Age]]&lt;=44,"35-44",
HRData[[#This Row],[Age]]&lt;=54,"45-54",
HRData[[#This Row],[Age]]&gt;=55,"55+"
)</f>
        <v>55+</v>
      </c>
      <c r="C1067" t="s">
        <v>43</v>
      </c>
      <c r="D1067">
        <f>IF(HRData[[#This Row],[Attrition]]="Yes",1,0)</f>
        <v>0</v>
      </c>
      <c r="E1067" t="s">
        <v>36</v>
      </c>
      <c r="F1067">
        <v>1229</v>
      </c>
      <c r="G1067" t="s">
        <v>45</v>
      </c>
      <c r="H1067">
        <v>4</v>
      </c>
      <c r="I1067">
        <v>4</v>
      </c>
      <c r="J1067" t="s">
        <v>38</v>
      </c>
      <c r="K1067">
        <v>1</v>
      </c>
      <c r="L1067">
        <v>1501</v>
      </c>
      <c r="M1067">
        <v>4</v>
      </c>
      <c r="N1067" t="str" cm="1">
        <f t="array" ref="N1067">_xlfn.IFS(HRData[[#This Row],[EnvironmentSatisfaction]]=1,"Very Dissatisfied",
HRData[[#This Row],[EnvironmentSatisfaction]]=2,"Dissatisfied",
HRData[[#This Row],[EnvironmentSatisfaction]]=3,"Satisfied",
HRData[[#This Row],[EnvironmentSatisfaction]]=4,"Very Satisfied"
)</f>
        <v>Very Satisfied</v>
      </c>
      <c r="O1067" t="s">
        <v>46</v>
      </c>
      <c r="P1067">
        <v>30</v>
      </c>
      <c r="Q1067">
        <v>3</v>
      </c>
      <c r="R1067">
        <v>2</v>
      </c>
      <c r="S1067" t="s">
        <v>54</v>
      </c>
      <c r="T1067">
        <v>3</v>
      </c>
      <c r="U1067" t="str" cm="1">
        <f t="array" ref="U1067">_xlfn.IFS(
HRData[[#This Row],[JobSatisfaction]]=1,"Very Dissatisfied",
HRData[[#This Row],[JobSatisfaction]]=2,"Dissatisfied",
HRData[[#This Row],[JobSatisfaction]]=3,"Satisfied",
HRData[[#This Row],[JobSatisfaction]]=4,"Very Satisfied"
)</f>
        <v>Satisfied</v>
      </c>
      <c r="V1067" t="s">
        <v>48</v>
      </c>
      <c r="W1067">
        <v>4035</v>
      </c>
      <c r="X1067" t="str" cm="1">
        <f t="array" ref="X1067">_xlfn.IFS(
HRData[[#This Row],[MonthlyIncome]]&lt;=4000,"Very Low Income",
HRData[[#This Row],[MonthlyIncome]]&lt;=8000,"Low Income",
HRData[[#This Row],[MonthlyIncome]]&lt;=12000,"Moderate Income",
HRData[[#This Row],[MonthlyIncome]]&lt;=16000,"High Income",
HRData[[#This Row],[MonthlyIncome]]&gt;16000,"Very High Income"
)</f>
        <v>Low Income</v>
      </c>
      <c r="Y1067">
        <v>16143</v>
      </c>
      <c r="Z1067">
        <v>0</v>
      </c>
      <c r="AA1067" t="s">
        <v>42</v>
      </c>
      <c r="AB1067" t="s">
        <v>35</v>
      </c>
      <c r="AC1067">
        <v>16</v>
      </c>
      <c r="AD1067" t="str" cm="1">
        <f t="array" ref="AD1067">_xlfn.IFS(HRData[[#This Row],[PercentSalaryHike]]&lt;=15,"11-15",HRData[[#This Row],[PercentSalaryHike]]&lt;=20,"16-20",HRData[[#This Row],[PercentSalaryHike]]&gt;=21,"21+")</f>
        <v>16-20</v>
      </c>
      <c r="AE1067">
        <v>3</v>
      </c>
      <c r="AF1067">
        <v>2</v>
      </c>
      <c r="AG1067">
        <v>80</v>
      </c>
      <c r="AH1067">
        <v>0</v>
      </c>
      <c r="AI1067">
        <v>4</v>
      </c>
      <c r="AJ1067">
        <v>2</v>
      </c>
      <c r="AK1067">
        <v>3</v>
      </c>
      <c r="AL1067">
        <v>3</v>
      </c>
      <c r="AM1067">
        <v>2</v>
      </c>
      <c r="AN1067">
        <v>1</v>
      </c>
      <c r="AO1067">
        <v>2</v>
      </c>
      <c r="AP106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67" t="str">
        <f>IF(HRData[[#This Row],[Attrition]]="Yes","Left", IF(HRData[[#This Row],[Attrition_Risk_Score]]&gt;=6,"High",IF(HRData[[#This Row],[Attrition_Risk_Score]]&gt;=3,"Medium","Low")))</f>
        <v>Medium</v>
      </c>
      <c r="AR1067" t="str">
        <f>IF(HRData[[#This Row],[Attrition_Risk_Level]]&lt;&gt;"High","",HRData[[#This Row],[Attrition_Risk_Score]]*10000-HRData[[#This Row],[EmployeeNumber]])</f>
        <v/>
      </c>
    </row>
    <row r="1068" spans="1:44">
      <c r="A1068">
        <v>33</v>
      </c>
      <c r="B1068" t="str" cm="1">
        <f t="array" ref="B1068">_xlfn.IFS(
HRData[[#This Row],[Age]]&lt;=24,"18-24",
HRData[[#This Row],[Age]]&lt;=34,"25-34",
HRData[[#This Row],[Age]]&lt;=44,"35-44",
HRData[[#This Row],[Age]]&lt;=54,"45-54",
HRData[[#This Row],[Age]]&gt;=55,"55+"
)</f>
        <v>25-34</v>
      </c>
      <c r="C1068" t="s">
        <v>43</v>
      </c>
      <c r="D1068">
        <f>IF(HRData[[#This Row],[Attrition]]="Yes",1,0)</f>
        <v>0</v>
      </c>
      <c r="E1068" t="s">
        <v>36</v>
      </c>
      <c r="F1068">
        <v>1099</v>
      </c>
      <c r="G1068" t="s">
        <v>45</v>
      </c>
      <c r="H1068">
        <v>4</v>
      </c>
      <c r="I1068">
        <v>4</v>
      </c>
      <c r="J1068" t="s">
        <v>51</v>
      </c>
      <c r="K1068">
        <v>1</v>
      </c>
      <c r="L1068">
        <v>1502</v>
      </c>
      <c r="M1068">
        <v>1</v>
      </c>
      <c r="N1068" t="str" cm="1">
        <f t="array" ref="N1068">_xlfn.IFS(HRData[[#This Row],[EnvironmentSatisfaction]]=1,"Very Dissatisfied",
HRData[[#This Row],[EnvironmentSatisfaction]]=2,"Dissatisfied",
HRData[[#This Row],[EnvironmentSatisfaction]]=3,"Satisfied",
HRData[[#This Row],[EnvironmentSatisfaction]]=4,"Very Satisfied"
)</f>
        <v>Very Dissatisfied</v>
      </c>
      <c r="O1068" t="s">
        <v>39</v>
      </c>
      <c r="P1068">
        <v>82</v>
      </c>
      <c r="Q1068">
        <v>2</v>
      </c>
      <c r="R1068">
        <v>1</v>
      </c>
      <c r="S1068" t="s">
        <v>50</v>
      </c>
      <c r="T1068">
        <v>2</v>
      </c>
      <c r="U1068" t="str" cm="1">
        <f t="array" ref="U1068">_xlfn.IFS(
HRData[[#This Row],[JobSatisfaction]]=1,"Very Dissatisfied",
HRData[[#This Row],[JobSatisfaction]]=2,"Dissatisfied",
HRData[[#This Row],[JobSatisfaction]]=3,"Satisfied",
HRData[[#This Row],[JobSatisfaction]]=4,"Very Satisfied"
)</f>
        <v>Dissatisfied</v>
      </c>
      <c r="V1068" t="s">
        <v>48</v>
      </c>
      <c r="W1068">
        <v>3838</v>
      </c>
      <c r="X1068" t="str" cm="1">
        <f t="array" ref="X1068">_xlfn.IFS(
HRData[[#This Row],[MonthlyIncome]]&lt;=4000,"Very Low Income",
HRData[[#This Row],[MonthlyIncome]]&lt;=8000,"Low Income",
HRData[[#This Row],[MonthlyIncome]]&lt;=12000,"Moderate Income",
HRData[[#This Row],[MonthlyIncome]]&lt;=16000,"High Income",
HRData[[#This Row],[MonthlyIncome]]&gt;16000,"Very High Income"
)</f>
        <v>Very Low Income</v>
      </c>
      <c r="Y1068">
        <v>8192</v>
      </c>
      <c r="Z1068">
        <v>8</v>
      </c>
      <c r="AA1068" t="s">
        <v>42</v>
      </c>
      <c r="AB1068" t="s">
        <v>43</v>
      </c>
      <c r="AC1068">
        <v>11</v>
      </c>
      <c r="AD1068" t="str" cm="1">
        <f t="array" ref="AD1068">_xlfn.IFS(HRData[[#This Row],[PercentSalaryHike]]&lt;=15,"11-15",HRData[[#This Row],[PercentSalaryHike]]&lt;=20,"16-20",HRData[[#This Row],[PercentSalaryHike]]&gt;=21,"21+")</f>
        <v>11-15</v>
      </c>
      <c r="AE1068">
        <v>3</v>
      </c>
      <c r="AF1068">
        <v>4</v>
      </c>
      <c r="AG1068">
        <v>80</v>
      </c>
      <c r="AH1068">
        <v>0</v>
      </c>
      <c r="AI1068">
        <v>8</v>
      </c>
      <c r="AJ1068">
        <v>5</v>
      </c>
      <c r="AK1068">
        <v>3</v>
      </c>
      <c r="AL1068">
        <v>5</v>
      </c>
      <c r="AM1068">
        <v>4</v>
      </c>
      <c r="AN1068">
        <v>0</v>
      </c>
      <c r="AO1068">
        <v>2</v>
      </c>
      <c r="AP106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68" t="str">
        <f>IF(HRData[[#This Row],[Attrition]]="Yes","Left", IF(HRData[[#This Row],[Attrition_Risk_Score]]&gt;=6,"High",IF(HRData[[#This Row],[Attrition_Risk_Score]]&gt;=3,"Medium","Low")))</f>
        <v>Medium</v>
      </c>
      <c r="AR1068" t="str">
        <f>IF(HRData[[#This Row],[Attrition_Risk_Level]]&lt;&gt;"High","",HRData[[#This Row],[Attrition_Risk_Score]]*10000-HRData[[#This Row],[EmployeeNumber]])</f>
        <v/>
      </c>
    </row>
    <row r="1069" spans="1:44">
      <c r="A1069">
        <v>47</v>
      </c>
      <c r="B1069" t="str" cm="1">
        <f t="array" ref="B1069">_xlfn.IFS(
HRData[[#This Row],[Age]]&lt;=24,"18-24",
HRData[[#This Row],[Age]]&lt;=34,"25-34",
HRData[[#This Row],[Age]]&lt;=44,"35-44",
HRData[[#This Row],[Age]]&lt;=54,"45-54",
HRData[[#This Row],[Age]]&gt;=55,"55+"
)</f>
        <v>45-54</v>
      </c>
      <c r="C1069" t="s">
        <v>43</v>
      </c>
      <c r="D1069">
        <f>IF(HRData[[#This Row],[Attrition]]="Yes",1,0)</f>
        <v>0</v>
      </c>
      <c r="E1069" t="s">
        <v>36</v>
      </c>
      <c r="F1069">
        <v>571</v>
      </c>
      <c r="G1069" t="s">
        <v>37</v>
      </c>
      <c r="H1069">
        <v>14</v>
      </c>
      <c r="I1069">
        <v>3</v>
      </c>
      <c r="J1069" t="s">
        <v>51</v>
      </c>
      <c r="K1069">
        <v>1</v>
      </c>
      <c r="L1069">
        <v>1503</v>
      </c>
      <c r="M1069">
        <v>3</v>
      </c>
      <c r="N1069" t="str" cm="1">
        <f t="array" ref="N1069">_xlfn.IFS(HRData[[#This Row],[EnvironmentSatisfaction]]=1,"Very Dissatisfied",
HRData[[#This Row],[EnvironmentSatisfaction]]=2,"Dissatisfied",
HRData[[#This Row],[EnvironmentSatisfaction]]=3,"Satisfied",
HRData[[#This Row],[EnvironmentSatisfaction]]=4,"Very Satisfied"
)</f>
        <v>Satisfied</v>
      </c>
      <c r="O1069" t="s">
        <v>39</v>
      </c>
      <c r="P1069">
        <v>78</v>
      </c>
      <c r="Q1069">
        <v>3</v>
      </c>
      <c r="R1069">
        <v>2</v>
      </c>
      <c r="S1069" t="s">
        <v>40</v>
      </c>
      <c r="T1069">
        <v>3</v>
      </c>
      <c r="U1069" t="str" cm="1">
        <f t="array" ref="U1069">_xlfn.IFS(
HRData[[#This Row],[JobSatisfaction]]=1,"Very Dissatisfied",
HRData[[#This Row],[JobSatisfaction]]=2,"Dissatisfied",
HRData[[#This Row],[JobSatisfaction]]=3,"Satisfied",
HRData[[#This Row],[JobSatisfaction]]=4,"Very Satisfied"
)</f>
        <v>Satisfied</v>
      </c>
      <c r="V1069" t="s">
        <v>48</v>
      </c>
      <c r="W1069">
        <v>4591</v>
      </c>
      <c r="X1069" t="str" cm="1">
        <f t="array" ref="X1069">_xlfn.IFS(
HRData[[#This Row],[MonthlyIncome]]&lt;=4000,"Very Low Income",
HRData[[#This Row],[MonthlyIncome]]&lt;=8000,"Low Income",
HRData[[#This Row],[MonthlyIncome]]&lt;=12000,"Moderate Income",
HRData[[#This Row],[MonthlyIncome]]&lt;=16000,"High Income",
HRData[[#This Row],[MonthlyIncome]]&gt;16000,"Very High Income"
)</f>
        <v>Low Income</v>
      </c>
      <c r="Y1069">
        <v>24200</v>
      </c>
      <c r="Z1069">
        <v>3</v>
      </c>
      <c r="AA1069" t="s">
        <v>42</v>
      </c>
      <c r="AB1069" t="s">
        <v>35</v>
      </c>
      <c r="AC1069">
        <v>17</v>
      </c>
      <c r="AD1069" t="str" cm="1">
        <f t="array" ref="AD1069">_xlfn.IFS(HRData[[#This Row],[PercentSalaryHike]]&lt;=15,"11-15",HRData[[#This Row],[PercentSalaryHike]]&lt;=20,"16-20",HRData[[#This Row],[PercentSalaryHike]]&gt;=21,"21+")</f>
        <v>16-20</v>
      </c>
      <c r="AE1069">
        <v>3</v>
      </c>
      <c r="AF1069">
        <v>3</v>
      </c>
      <c r="AG1069">
        <v>80</v>
      </c>
      <c r="AH1069">
        <v>1</v>
      </c>
      <c r="AI1069">
        <v>11</v>
      </c>
      <c r="AJ1069">
        <v>4</v>
      </c>
      <c r="AK1069">
        <v>2</v>
      </c>
      <c r="AL1069">
        <v>5</v>
      </c>
      <c r="AM1069">
        <v>4</v>
      </c>
      <c r="AN1069">
        <v>1</v>
      </c>
      <c r="AO1069">
        <v>2</v>
      </c>
      <c r="AP106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69" t="str">
        <f>IF(HRData[[#This Row],[Attrition]]="Yes","Left", IF(HRData[[#This Row],[Attrition_Risk_Score]]&gt;=6,"High",IF(HRData[[#This Row],[Attrition_Risk_Score]]&gt;=3,"Medium","Low")))</f>
        <v>Medium</v>
      </c>
      <c r="AR1069" t="str">
        <f>IF(HRData[[#This Row],[Attrition_Risk_Level]]&lt;&gt;"High","",HRData[[#This Row],[Attrition_Risk_Score]]*10000-HRData[[#This Row],[EmployeeNumber]])</f>
        <v/>
      </c>
    </row>
    <row r="1070" spans="1:44">
      <c r="A1070">
        <v>28</v>
      </c>
      <c r="B1070" t="str" cm="1">
        <f t="array" ref="B1070">_xlfn.IFS(
HRData[[#This Row],[Age]]&lt;=24,"18-24",
HRData[[#This Row],[Age]]&lt;=34,"25-34",
HRData[[#This Row],[Age]]&lt;=44,"35-44",
HRData[[#This Row],[Age]]&lt;=54,"45-54",
HRData[[#This Row],[Age]]&gt;=55,"55+"
)</f>
        <v>25-34</v>
      </c>
      <c r="C1070" t="s">
        <v>35</v>
      </c>
      <c r="D1070">
        <f>IF(HRData[[#This Row],[Attrition]]="Yes",1,0)</f>
        <v>1</v>
      </c>
      <c r="E1070" t="s">
        <v>44</v>
      </c>
      <c r="F1070">
        <v>289</v>
      </c>
      <c r="G1070" t="s">
        <v>45</v>
      </c>
      <c r="H1070">
        <v>2</v>
      </c>
      <c r="I1070">
        <v>2</v>
      </c>
      <c r="J1070" t="s">
        <v>51</v>
      </c>
      <c r="K1070">
        <v>1</v>
      </c>
      <c r="L1070">
        <v>1504</v>
      </c>
      <c r="M1070">
        <v>3</v>
      </c>
      <c r="N1070" t="str" cm="1">
        <f t="array" ref="N1070">_xlfn.IFS(HRData[[#This Row],[EnvironmentSatisfaction]]=1,"Very Dissatisfied",
HRData[[#This Row],[EnvironmentSatisfaction]]=2,"Dissatisfied",
HRData[[#This Row],[EnvironmentSatisfaction]]=3,"Satisfied",
HRData[[#This Row],[EnvironmentSatisfaction]]=4,"Very Satisfied"
)</f>
        <v>Satisfied</v>
      </c>
      <c r="O1070" t="s">
        <v>46</v>
      </c>
      <c r="P1070">
        <v>38</v>
      </c>
      <c r="Q1070">
        <v>2</v>
      </c>
      <c r="R1070">
        <v>1</v>
      </c>
      <c r="S1070" t="s">
        <v>50</v>
      </c>
      <c r="T1070">
        <v>1</v>
      </c>
      <c r="U1070" t="str" cm="1">
        <f t="array" ref="U1070">_xlfn.IFS(
HRData[[#This Row],[JobSatisfaction]]=1,"Very Dissatisfied",
HRData[[#This Row],[JobSatisfaction]]=2,"Dissatisfied",
HRData[[#This Row],[JobSatisfaction]]=3,"Satisfied",
HRData[[#This Row],[JobSatisfaction]]=4,"Very Satisfied"
)</f>
        <v>Very Dissatisfied</v>
      </c>
      <c r="V1070" t="s">
        <v>41</v>
      </c>
      <c r="W1070">
        <v>2561</v>
      </c>
      <c r="X1070" t="str" cm="1">
        <f t="array" ref="X1070">_xlfn.IFS(
HRData[[#This Row],[MonthlyIncome]]&lt;=4000,"Very Low Income",
HRData[[#This Row],[MonthlyIncome]]&lt;=8000,"Low Income",
HRData[[#This Row],[MonthlyIncome]]&lt;=12000,"Moderate Income",
HRData[[#This Row],[MonthlyIncome]]&lt;=16000,"High Income",
HRData[[#This Row],[MonthlyIncome]]&gt;16000,"Very High Income"
)</f>
        <v>Very Low Income</v>
      </c>
      <c r="Y1070">
        <v>5355</v>
      </c>
      <c r="Z1070">
        <v>7</v>
      </c>
      <c r="AA1070" t="s">
        <v>42</v>
      </c>
      <c r="AB1070" t="s">
        <v>43</v>
      </c>
      <c r="AC1070">
        <v>11</v>
      </c>
      <c r="AD1070" t="str" cm="1">
        <f t="array" ref="AD1070">_xlfn.IFS(HRData[[#This Row],[PercentSalaryHike]]&lt;=15,"11-15",HRData[[#This Row],[PercentSalaryHike]]&lt;=20,"16-20",HRData[[#This Row],[PercentSalaryHike]]&gt;=21,"21+")</f>
        <v>11-15</v>
      </c>
      <c r="AE1070">
        <v>3</v>
      </c>
      <c r="AF1070">
        <v>3</v>
      </c>
      <c r="AG1070">
        <v>80</v>
      </c>
      <c r="AH1070">
        <v>0</v>
      </c>
      <c r="AI1070">
        <v>8</v>
      </c>
      <c r="AJ1070">
        <v>2</v>
      </c>
      <c r="AK1070">
        <v>2</v>
      </c>
      <c r="AL1070">
        <v>0</v>
      </c>
      <c r="AM1070">
        <v>0</v>
      </c>
      <c r="AN1070">
        <v>0</v>
      </c>
      <c r="AO1070">
        <v>0</v>
      </c>
      <c r="AP107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70" t="str">
        <f>IF(HRData[[#This Row],[Attrition]]="Yes","Left", IF(HRData[[#This Row],[Attrition_Risk_Score]]&gt;=6,"High",IF(HRData[[#This Row],[Attrition_Risk_Score]]&gt;=3,"Medium","Low")))</f>
        <v>Left</v>
      </c>
      <c r="AR1070" t="str">
        <f>IF(HRData[[#This Row],[Attrition_Risk_Level]]&lt;&gt;"High","",HRData[[#This Row],[Attrition_Risk_Score]]*10000-HRData[[#This Row],[EmployeeNumber]])</f>
        <v/>
      </c>
    </row>
    <row r="1071" spans="1:44">
      <c r="A1071">
        <v>28</v>
      </c>
      <c r="B1071" t="str" cm="1">
        <f t="array" ref="B1071">_xlfn.IFS(
HRData[[#This Row],[Age]]&lt;=24,"18-24",
HRData[[#This Row],[Age]]&lt;=34,"25-34",
HRData[[#This Row],[Age]]&lt;=44,"35-44",
HRData[[#This Row],[Age]]&lt;=54,"45-54",
HRData[[#This Row],[Age]]&gt;=55,"55+"
)</f>
        <v>25-34</v>
      </c>
      <c r="C1071" t="s">
        <v>43</v>
      </c>
      <c r="D1071">
        <f>IF(HRData[[#This Row],[Attrition]]="Yes",1,0)</f>
        <v>0</v>
      </c>
      <c r="E1071" t="s">
        <v>36</v>
      </c>
      <c r="F1071">
        <v>1423</v>
      </c>
      <c r="G1071" t="s">
        <v>45</v>
      </c>
      <c r="H1071">
        <v>1</v>
      </c>
      <c r="I1071">
        <v>3</v>
      </c>
      <c r="J1071" t="s">
        <v>38</v>
      </c>
      <c r="K1071">
        <v>1</v>
      </c>
      <c r="L1071">
        <v>1506</v>
      </c>
      <c r="M1071">
        <v>1</v>
      </c>
      <c r="N1071" t="str" cm="1">
        <f t="array" ref="N1071">_xlfn.IFS(HRData[[#This Row],[EnvironmentSatisfaction]]=1,"Very Dissatisfied",
HRData[[#This Row],[EnvironmentSatisfaction]]=2,"Dissatisfied",
HRData[[#This Row],[EnvironmentSatisfaction]]=3,"Satisfied",
HRData[[#This Row],[EnvironmentSatisfaction]]=4,"Very Satisfied"
)</f>
        <v>Very Dissatisfied</v>
      </c>
      <c r="O1071" t="s">
        <v>46</v>
      </c>
      <c r="P1071">
        <v>72</v>
      </c>
      <c r="Q1071">
        <v>2</v>
      </c>
      <c r="R1071">
        <v>1</v>
      </c>
      <c r="S1071" t="s">
        <v>47</v>
      </c>
      <c r="T1071">
        <v>3</v>
      </c>
      <c r="U1071" t="str" cm="1">
        <f t="array" ref="U1071">_xlfn.IFS(
HRData[[#This Row],[JobSatisfaction]]=1,"Very Dissatisfied",
HRData[[#This Row],[JobSatisfaction]]=2,"Dissatisfied",
HRData[[#This Row],[JobSatisfaction]]=3,"Satisfied",
HRData[[#This Row],[JobSatisfaction]]=4,"Very Satisfied"
)</f>
        <v>Satisfied</v>
      </c>
      <c r="V1071" t="s">
        <v>52</v>
      </c>
      <c r="W1071">
        <v>1563</v>
      </c>
      <c r="X1071" t="str" cm="1">
        <f t="array" ref="X1071">_xlfn.IFS(
HRData[[#This Row],[MonthlyIncome]]&lt;=4000,"Very Low Income",
HRData[[#This Row],[MonthlyIncome]]&lt;=8000,"Low Income",
HRData[[#This Row],[MonthlyIncome]]&lt;=12000,"Moderate Income",
HRData[[#This Row],[MonthlyIncome]]&lt;=16000,"High Income",
HRData[[#This Row],[MonthlyIncome]]&gt;16000,"Very High Income"
)</f>
        <v>Very Low Income</v>
      </c>
      <c r="Y1071">
        <v>12530</v>
      </c>
      <c r="Z1071">
        <v>1</v>
      </c>
      <c r="AA1071" t="s">
        <v>42</v>
      </c>
      <c r="AB1071" t="s">
        <v>43</v>
      </c>
      <c r="AC1071">
        <v>14</v>
      </c>
      <c r="AD1071" t="str" cm="1">
        <f t="array" ref="AD1071">_xlfn.IFS(HRData[[#This Row],[PercentSalaryHike]]&lt;=15,"11-15",HRData[[#This Row],[PercentSalaryHike]]&lt;=20,"16-20",HRData[[#This Row],[PercentSalaryHike]]&gt;=21,"21+")</f>
        <v>11-15</v>
      </c>
      <c r="AE1071">
        <v>3</v>
      </c>
      <c r="AF1071">
        <v>4</v>
      </c>
      <c r="AG1071">
        <v>80</v>
      </c>
      <c r="AH1071">
        <v>1</v>
      </c>
      <c r="AI1071">
        <v>1</v>
      </c>
      <c r="AJ1071">
        <v>2</v>
      </c>
      <c r="AK1071">
        <v>1</v>
      </c>
      <c r="AL1071">
        <v>1</v>
      </c>
      <c r="AM1071">
        <v>0</v>
      </c>
      <c r="AN1071">
        <v>0</v>
      </c>
      <c r="AO1071">
        <v>0</v>
      </c>
      <c r="AP107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71" t="str">
        <f>IF(HRData[[#This Row],[Attrition]]="Yes","Left", IF(HRData[[#This Row],[Attrition_Risk_Score]]&gt;=6,"High",IF(HRData[[#This Row],[Attrition_Risk_Score]]&gt;=3,"Medium","Low")))</f>
        <v>Medium</v>
      </c>
      <c r="AR1071" t="str">
        <f>IF(HRData[[#This Row],[Attrition_Risk_Level]]&lt;&gt;"High","",HRData[[#This Row],[Attrition_Risk_Score]]*10000-HRData[[#This Row],[EmployeeNumber]])</f>
        <v/>
      </c>
    </row>
    <row r="1072" spans="1:44">
      <c r="A1072">
        <v>28</v>
      </c>
      <c r="B1072" t="str" cm="1">
        <f t="array" ref="B1072">_xlfn.IFS(
HRData[[#This Row],[Age]]&lt;=24,"18-24",
HRData[[#This Row],[Age]]&lt;=34,"25-34",
HRData[[#This Row],[Age]]&lt;=44,"35-44",
HRData[[#This Row],[Age]]&lt;=54,"45-54",
HRData[[#This Row],[Age]]&gt;=55,"55+"
)</f>
        <v>25-34</v>
      </c>
      <c r="C1072" t="s">
        <v>43</v>
      </c>
      <c r="D1072">
        <f>IF(HRData[[#This Row],[Attrition]]="Yes",1,0)</f>
        <v>0</v>
      </c>
      <c r="E1072" t="s">
        <v>44</v>
      </c>
      <c r="F1072">
        <v>467</v>
      </c>
      <c r="G1072" t="s">
        <v>37</v>
      </c>
      <c r="H1072">
        <v>7</v>
      </c>
      <c r="I1072">
        <v>3</v>
      </c>
      <c r="J1072" t="s">
        <v>38</v>
      </c>
      <c r="K1072">
        <v>1</v>
      </c>
      <c r="L1072">
        <v>1507</v>
      </c>
      <c r="M1072">
        <v>3</v>
      </c>
      <c r="N1072" t="str" cm="1">
        <f t="array" ref="N1072">_xlfn.IFS(HRData[[#This Row],[EnvironmentSatisfaction]]=1,"Very Dissatisfied",
HRData[[#This Row],[EnvironmentSatisfaction]]=2,"Dissatisfied",
HRData[[#This Row],[EnvironmentSatisfaction]]=3,"Satisfied",
HRData[[#This Row],[EnvironmentSatisfaction]]=4,"Very Satisfied"
)</f>
        <v>Satisfied</v>
      </c>
      <c r="O1072" t="s">
        <v>46</v>
      </c>
      <c r="P1072">
        <v>55</v>
      </c>
      <c r="Q1072">
        <v>3</v>
      </c>
      <c r="R1072">
        <v>2</v>
      </c>
      <c r="S1072" t="s">
        <v>40</v>
      </c>
      <c r="T1072">
        <v>1</v>
      </c>
      <c r="U1072" t="str" cm="1">
        <f t="array" ref="U1072">_xlfn.IFS(
HRData[[#This Row],[JobSatisfaction]]=1,"Very Dissatisfied",
HRData[[#This Row],[JobSatisfaction]]=2,"Dissatisfied",
HRData[[#This Row],[JobSatisfaction]]=3,"Satisfied",
HRData[[#This Row],[JobSatisfaction]]=4,"Very Satisfied"
)</f>
        <v>Very Dissatisfied</v>
      </c>
      <c r="V1072" t="s">
        <v>41</v>
      </c>
      <c r="W1072">
        <v>4898</v>
      </c>
      <c r="X1072" t="str" cm="1">
        <f t="array" ref="X1072">_xlfn.IFS(
HRData[[#This Row],[MonthlyIncome]]&lt;=4000,"Very Low Income",
HRData[[#This Row],[MonthlyIncome]]&lt;=8000,"Low Income",
HRData[[#This Row],[MonthlyIncome]]&lt;=12000,"Moderate Income",
HRData[[#This Row],[MonthlyIncome]]&lt;=16000,"High Income",
HRData[[#This Row],[MonthlyIncome]]&gt;16000,"Very High Income"
)</f>
        <v>Low Income</v>
      </c>
      <c r="Y1072">
        <v>11827</v>
      </c>
      <c r="Z1072">
        <v>0</v>
      </c>
      <c r="AA1072" t="s">
        <v>42</v>
      </c>
      <c r="AB1072" t="s">
        <v>43</v>
      </c>
      <c r="AC1072">
        <v>14</v>
      </c>
      <c r="AD1072" t="str" cm="1">
        <f t="array" ref="AD1072">_xlfn.IFS(HRData[[#This Row],[PercentSalaryHike]]&lt;=15,"11-15",HRData[[#This Row],[PercentSalaryHike]]&lt;=20,"16-20",HRData[[#This Row],[PercentSalaryHike]]&gt;=21,"21+")</f>
        <v>11-15</v>
      </c>
      <c r="AE1072">
        <v>3</v>
      </c>
      <c r="AF1072">
        <v>4</v>
      </c>
      <c r="AG1072">
        <v>80</v>
      </c>
      <c r="AH1072">
        <v>0</v>
      </c>
      <c r="AI1072">
        <v>5</v>
      </c>
      <c r="AJ1072">
        <v>5</v>
      </c>
      <c r="AK1072">
        <v>3</v>
      </c>
      <c r="AL1072">
        <v>4</v>
      </c>
      <c r="AM1072">
        <v>2</v>
      </c>
      <c r="AN1072">
        <v>1</v>
      </c>
      <c r="AO1072">
        <v>3</v>
      </c>
      <c r="AP107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72" t="str">
        <f>IF(HRData[[#This Row],[Attrition]]="Yes","Left", IF(HRData[[#This Row],[Attrition_Risk_Score]]&gt;=6,"High",IF(HRData[[#This Row],[Attrition_Risk_Score]]&gt;=3,"Medium","Low")))</f>
        <v>Medium</v>
      </c>
      <c r="AR1072" t="str">
        <f>IF(HRData[[#This Row],[Attrition_Risk_Level]]&lt;&gt;"High","",HRData[[#This Row],[Attrition_Risk_Score]]*10000-HRData[[#This Row],[EmployeeNumber]])</f>
        <v/>
      </c>
    </row>
    <row r="1073" spans="1:44">
      <c r="A1073">
        <v>49</v>
      </c>
      <c r="B1073" t="str" cm="1">
        <f t="array" ref="B1073">_xlfn.IFS(
HRData[[#This Row],[Age]]&lt;=24,"18-24",
HRData[[#This Row],[Age]]&lt;=34,"25-34",
HRData[[#This Row],[Age]]&lt;=44,"35-44",
HRData[[#This Row],[Age]]&lt;=54,"45-54",
HRData[[#This Row],[Age]]&gt;=55,"55+"
)</f>
        <v>45-54</v>
      </c>
      <c r="C1073" t="s">
        <v>43</v>
      </c>
      <c r="D1073">
        <f>IF(HRData[[#This Row],[Attrition]]="Yes",1,0)</f>
        <v>0</v>
      </c>
      <c r="E1073" t="s">
        <v>36</v>
      </c>
      <c r="F1073">
        <v>271</v>
      </c>
      <c r="G1073" t="s">
        <v>45</v>
      </c>
      <c r="H1073">
        <v>3</v>
      </c>
      <c r="I1073">
        <v>2</v>
      </c>
      <c r="J1073" t="s">
        <v>51</v>
      </c>
      <c r="K1073">
        <v>1</v>
      </c>
      <c r="L1073">
        <v>1509</v>
      </c>
      <c r="M1073">
        <v>3</v>
      </c>
      <c r="N1073" t="str" cm="1">
        <f t="array" ref="N1073">_xlfn.IFS(HRData[[#This Row],[EnvironmentSatisfaction]]=1,"Very Dissatisfied",
HRData[[#This Row],[EnvironmentSatisfaction]]=2,"Dissatisfied",
HRData[[#This Row],[EnvironmentSatisfaction]]=3,"Satisfied",
HRData[[#This Row],[EnvironmentSatisfaction]]=4,"Very Satisfied"
)</f>
        <v>Satisfied</v>
      </c>
      <c r="O1073" t="s">
        <v>39</v>
      </c>
      <c r="P1073">
        <v>43</v>
      </c>
      <c r="Q1073">
        <v>2</v>
      </c>
      <c r="R1073">
        <v>2</v>
      </c>
      <c r="S1073" t="s">
        <v>50</v>
      </c>
      <c r="T1073">
        <v>1</v>
      </c>
      <c r="U1073" t="str" cm="1">
        <f t="array" ref="U1073">_xlfn.IFS(
HRData[[#This Row],[JobSatisfaction]]=1,"Very Dissatisfied",
HRData[[#This Row],[JobSatisfaction]]=2,"Dissatisfied",
HRData[[#This Row],[JobSatisfaction]]=3,"Satisfied",
HRData[[#This Row],[JobSatisfaction]]=4,"Very Satisfied"
)</f>
        <v>Very Dissatisfied</v>
      </c>
      <c r="V1073" t="s">
        <v>48</v>
      </c>
      <c r="W1073">
        <v>4789</v>
      </c>
      <c r="X1073" t="str" cm="1">
        <f t="array" ref="X1073">_xlfn.IFS(
HRData[[#This Row],[MonthlyIncome]]&lt;=4000,"Very Low Income",
HRData[[#This Row],[MonthlyIncome]]&lt;=8000,"Low Income",
HRData[[#This Row],[MonthlyIncome]]&lt;=12000,"Moderate Income",
HRData[[#This Row],[MonthlyIncome]]&lt;=16000,"High Income",
HRData[[#This Row],[MonthlyIncome]]&gt;16000,"Very High Income"
)</f>
        <v>Low Income</v>
      </c>
      <c r="Y1073">
        <v>23070</v>
      </c>
      <c r="Z1073">
        <v>4</v>
      </c>
      <c r="AA1073" t="s">
        <v>42</v>
      </c>
      <c r="AB1073" t="s">
        <v>43</v>
      </c>
      <c r="AC1073">
        <v>25</v>
      </c>
      <c r="AD1073" t="str" cm="1">
        <f t="array" ref="AD1073">_xlfn.IFS(HRData[[#This Row],[PercentSalaryHike]]&lt;=15,"11-15",HRData[[#This Row],[PercentSalaryHike]]&lt;=20,"16-20",HRData[[#This Row],[PercentSalaryHike]]&gt;=21,"21+")</f>
        <v>21+</v>
      </c>
      <c r="AE1073">
        <v>4</v>
      </c>
      <c r="AF1073">
        <v>1</v>
      </c>
      <c r="AG1073">
        <v>80</v>
      </c>
      <c r="AH1073">
        <v>1</v>
      </c>
      <c r="AI1073">
        <v>10</v>
      </c>
      <c r="AJ1073">
        <v>3</v>
      </c>
      <c r="AK1073">
        <v>3</v>
      </c>
      <c r="AL1073">
        <v>3</v>
      </c>
      <c r="AM1073">
        <v>2</v>
      </c>
      <c r="AN1073">
        <v>1</v>
      </c>
      <c r="AO1073">
        <v>2</v>
      </c>
      <c r="AP107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73" t="str">
        <f>IF(HRData[[#This Row],[Attrition]]="Yes","Left", IF(HRData[[#This Row],[Attrition_Risk_Score]]&gt;=6,"High",IF(HRData[[#This Row],[Attrition_Risk_Score]]&gt;=3,"Medium","Low")))</f>
        <v>Medium</v>
      </c>
      <c r="AR1073" t="str">
        <f>IF(HRData[[#This Row],[Attrition_Risk_Level]]&lt;&gt;"High","",HRData[[#This Row],[Attrition_Risk_Score]]*10000-HRData[[#This Row],[EmployeeNumber]])</f>
        <v/>
      </c>
    </row>
    <row r="1074" spans="1:44">
      <c r="A1074">
        <v>29</v>
      </c>
      <c r="B1074" t="str" cm="1">
        <f t="array" ref="B1074">_xlfn.IFS(
HRData[[#This Row],[Age]]&lt;=24,"18-24",
HRData[[#This Row],[Age]]&lt;=34,"25-34",
HRData[[#This Row],[Age]]&lt;=44,"35-44",
HRData[[#This Row],[Age]]&lt;=54,"45-54",
HRData[[#This Row],[Age]]&gt;=55,"55+"
)</f>
        <v>25-34</v>
      </c>
      <c r="C1074" t="s">
        <v>43</v>
      </c>
      <c r="D1074">
        <f>IF(HRData[[#This Row],[Attrition]]="Yes",1,0)</f>
        <v>0</v>
      </c>
      <c r="E1074" t="s">
        <v>44</v>
      </c>
      <c r="F1074">
        <v>410</v>
      </c>
      <c r="G1074" t="s">
        <v>45</v>
      </c>
      <c r="H1074">
        <v>2</v>
      </c>
      <c r="I1074">
        <v>1</v>
      </c>
      <c r="J1074" t="s">
        <v>38</v>
      </c>
      <c r="K1074">
        <v>1</v>
      </c>
      <c r="L1074">
        <v>1513</v>
      </c>
      <c r="M1074">
        <v>4</v>
      </c>
      <c r="N1074" t="str" cm="1">
        <f t="array" ref="N1074">_xlfn.IFS(HRData[[#This Row],[EnvironmentSatisfaction]]=1,"Very Dissatisfied",
HRData[[#This Row],[EnvironmentSatisfaction]]=2,"Dissatisfied",
HRData[[#This Row],[EnvironmentSatisfaction]]=3,"Satisfied",
HRData[[#This Row],[EnvironmentSatisfaction]]=4,"Very Satisfied"
)</f>
        <v>Very Satisfied</v>
      </c>
      <c r="O1074" t="s">
        <v>39</v>
      </c>
      <c r="P1074">
        <v>97</v>
      </c>
      <c r="Q1074">
        <v>3</v>
      </c>
      <c r="R1074">
        <v>1</v>
      </c>
      <c r="S1074" t="s">
        <v>50</v>
      </c>
      <c r="T1074">
        <v>2</v>
      </c>
      <c r="U1074" t="str" cm="1">
        <f t="array" ref="U1074">_xlfn.IFS(
HRData[[#This Row],[JobSatisfaction]]=1,"Very Dissatisfied",
HRData[[#This Row],[JobSatisfaction]]=2,"Dissatisfied",
HRData[[#This Row],[JobSatisfaction]]=3,"Satisfied",
HRData[[#This Row],[JobSatisfaction]]=4,"Very Satisfied"
)</f>
        <v>Dissatisfied</v>
      </c>
      <c r="V1074" t="s">
        <v>48</v>
      </c>
      <c r="W1074">
        <v>3180</v>
      </c>
      <c r="X1074" t="str" cm="1">
        <f t="array" ref="X1074">_xlfn.IFS(
HRData[[#This Row],[MonthlyIncome]]&lt;=4000,"Very Low Income",
HRData[[#This Row],[MonthlyIncome]]&lt;=8000,"Low Income",
HRData[[#This Row],[MonthlyIncome]]&lt;=12000,"Moderate Income",
HRData[[#This Row],[MonthlyIncome]]&lt;=16000,"High Income",
HRData[[#This Row],[MonthlyIncome]]&gt;16000,"Very High Income"
)</f>
        <v>Very Low Income</v>
      </c>
      <c r="Y1074">
        <v>4668</v>
      </c>
      <c r="Z1074">
        <v>0</v>
      </c>
      <c r="AA1074" t="s">
        <v>42</v>
      </c>
      <c r="AB1074" t="s">
        <v>43</v>
      </c>
      <c r="AC1074">
        <v>13</v>
      </c>
      <c r="AD1074" t="str" cm="1">
        <f t="array" ref="AD1074">_xlfn.IFS(HRData[[#This Row],[PercentSalaryHike]]&lt;=15,"11-15",HRData[[#This Row],[PercentSalaryHike]]&lt;=20,"16-20",HRData[[#This Row],[PercentSalaryHike]]&gt;=21,"21+")</f>
        <v>11-15</v>
      </c>
      <c r="AE1074">
        <v>3</v>
      </c>
      <c r="AF1074">
        <v>3</v>
      </c>
      <c r="AG1074">
        <v>80</v>
      </c>
      <c r="AH1074">
        <v>3</v>
      </c>
      <c r="AI1074">
        <v>4</v>
      </c>
      <c r="AJ1074">
        <v>3</v>
      </c>
      <c r="AK1074">
        <v>3</v>
      </c>
      <c r="AL1074">
        <v>3</v>
      </c>
      <c r="AM1074">
        <v>2</v>
      </c>
      <c r="AN1074">
        <v>0</v>
      </c>
      <c r="AO1074">
        <v>2</v>
      </c>
      <c r="AP107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74" t="str">
        <f>IF(HRData[[#This Row],[Attrition]]="Yes","Left", IF(HRData[[#This Row],[Attrition_Risk_Score]]&gt;=6,"High",IF(HRData[[#This Row],[Attrition_Risk_Score]]&gt;=3,"Medium","Low")))</f>
        <v>Medium</v>
      </c>
      <c r="AR1074" t="str">
        <f>IF(HRData[[#This Row],[Attrition_Risk_Level]]&lt;&gt;"High","",HRData[[#This Row],[Attrition_Risk_Score]]*10000-HRData[[#This Row],[EmployeeNumber]])</f>
        <v/>
      </c>
    </row>
    <row r="1075" spans="1:44">
      <c r="A1075">
        <v>28</v>
      </c>
      <c r="B1075" t="str" cm="1">
        <f t="array" ref="B1075">_xlfn.IFS(
HRData[[#This Row],[Age]]&lt;=24,"18-24",
HRData[[#This Row],[Age]]&lt;=34,"25-34",
HRData[[#This Row],[Age]]&lt;=44,"35-44",
HRData[[#This Row],[Age]]&lt;=54,"45-54",
HRData[[#This Row],[Age]]&gt;=55,"55+"
)</f>
        <v>25-34</v>
      </c>
      <c r="C1075" t="s">
        <v>43</v>
      </c>
      <c r="D1075">
        <f>IF(HRData[[#This Row],[Attrition]]="Yes",1,0)</f>
        <v>0</v>
      </c>
      <c r="E1075" t="s">
        <v>36</v>
      </c>
      <c r="F1075">
        <v>1083</v>
      </c>
      <c r="G1075" t="s">
        <v>45</v>
      </c>
      <c r="H1075">
        <v>29</v>
      </c>
      <c r="I1075">
        <v>1</v>
      </c>
      <c r="J1075" t="s">
        <v>38</v>
      </c>
      <c r="K1075">
        <v>1</v>
      </c>
      <c r="L1075">
        <v>1514</v>
      </c>
      <c r="M1075">
        <v>3</v>
      </c>
      <c r="N1075" t="str" cm="1">
        <f t="array" ref="N1075">_xlfn.IFS(HRData[[#This Row],[EnvironmentSatisfaction]]=1,"Very Dissatisfied",
HRData[[#This Row],[EnvironmentSatisfaction]]=2,"Dissatisfied",
HRData[[#This Row],[EnvironmentSatisfaction]]=3,"Satisfied",
HRData[[#This Row],[EnvironmentSatisfaction]]=4,"Very Satisfied"
)</f>
        <v>Satisfied</v>
      </c>
      <c r="O1075" t="s">
        <v>46</v>
      </c>
      <c r="P1075">
        <v>96</v>
      </c>
      <c r="Q1075">
        <v>1</v>
      </c>
      <c r="R1075">
        <v>2</v>
      </c>
      <c r="S1075" t="s">
        <v>53</v>
      </c>
      <c r="T1075">
        <v>2</v>
      </c>
      <c r="U1075" t="str" cm="1">
        <f t="array" ref="U1075">_xlfn.IFS(
HRData[[#This Row],[JobSatisfaction]]=1,"Very Dissatisfied",
HRData[[#This Row],[JobSatisfaction]]=2,"Dissatisfied",
HRData[[#This Row],[JobSatisfaction]]=3,"Satisfied",
HRData[[#This Row],[JobSatisfaction]]=4,"Very Satisfied"
)</f>
        <v>Dissatisfied</v>
      </c>
      <c r="V1075" t="s">
        <v>48</v>
      </c>
      <c r="W1075">
        <v>6549</v>
      </c>
      <c r="X1075" t="str" cm="1">
        <f t="array" ref="X1075">_xlfn.IFS(
HRData[[#This Row],[MonthlyIncome]]&lt;=4000,"Very Low Income",
HRData[[#This Row],[MonthlyIncome]]&lt;=8000,"Low Income",
HRData[[#This Row],[MonthlyIncome]]&lt;=12000,"Moderate Income",
HRData[[#This Row],[MonthlyIncome]]&lt;=16000,"High Income",
HRData[[#This Row],[MonthlyIncome]]&gt;16000,"Very High Income"
)</f>
        <v>Low Income</v>
      </c>
      <c r="Y1075">
        <v>3173</v>
      </c>
      <c r="Z1075">
        <v>1</v>
      </c>
      <c r="AA1075" t="s">
        <v>42</v>
      </c>
      <c r="AB1075" t="s">
        <v>43</v>
      </c>
      <c r="AC1075">
        <v>14</v>
      </c>
      <c r="AD1075" t="str" cm="1">
        <f t="array" ref="AD1075">_xlfn.IFS(HRData[[#This Row],[PercentSalaryHike]]&lt;=15,"11-15",HRData[[#This Row],[PercentSalaryHike]]&lt;=20,"16-20",HRData[[#This Row],[PercentSalaryHike]]&gt;=21,"21+")</f>
        <v>11-15</v>
      </c>
      <c r="AE1075">
        <v>3</v>
      </c>
      <c r="AF1075">
        <v>2</v>
      </c>
      <c r="AG1075">
        <v>80</v>
      </c>
      <c r="AH1075">
        <v>2</v>
      </c>
      <c r="AI1075">
        <v>8</v>
      </c>
      <c r="AJ1075">
        <v>2</v>
      </c>
      <c r="AK1075">
        <v>2</v>
      </c>
      <c r="AL1075">
        <v>8</v>
      </c>
      <c r="AM1075">
        <v>6</v>
      </c>
      <c r="AN1075">
        <v>1</v>
      </c>
      <c r="AO1075">
        <v>7</v>
      </c>
      <c r="AP107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75" t="str">
        <f>IF(HRData[[#This Row],[Attrition]]="Yes","Left", IF(HRData[[#This Row],[Attrition_Risk_Score]]&gt;=6,"High",IF(HRData[[#This Row],[Attrition_Risk_Score]]&gt;=3,"Medium","Low")))</f>
        <v>Low</v>
      </c>
      <c r="AR1075" t="str">
        <f>IF(HRData[[#This Row],[Attrition_Risk_Level]]&lt;&gt;"High","",HRData[[#This Row],[Attrition_Risk_Score]]*10000-HRData[[#This Row],[EmployeeNumber]])</f>
        <v/>
      </c>
    </row>
    <row r="1076" spans="1:44">
      <c r="A1076">
        <v>33</v>
      </c>
      <c r="B1076" t="str" cm="1">
        <f t="array" ref="B1076">_xlfn.IFS(
HRData[[#This Row],[Age]]&lt;=24,"18-24",
HRData[[#This Row],[Age]]&lt;=34,"25-34",
HRData[[#This Row],[Age]]&lt;=44,"35-44",
HRData[[#This Row],[Age]]&lt;=54,"45-54",
HRData[[#This Row],[Age]]&gt;=55,"55+"
)</f>
        <v>25-34</v>
      </c>
      <c r="C1076" t="s">
        <v>43</v>
      </c>
      <c r="D1076">
        <f>IF(HRData[[#This Row],[Attrition]]="Yes",1,0)</f>
        <v>0</v>
      </c>
      <c r="E1076" t="s">
        <v>36</v>
      </c>
      <c r="F1076">
        <v>516</v>
      </c>
      <c r="G1076" t="s">
        <v>45</v>
      </c>
      <c r="H1076">
        <v>8</v>
      </c>
      <c r="I1076">
        <v>5</v>
      </c>
      <c r="J1076" t="s">
        <v>38</v>
      </c>
      <c r="K1076">
        <v>1</v>
      </c>
      <c r="L1076">
        <v>1515</v>
      </c>
      <c r="M1076">
        <v>4</v>
      </c>
      <c r="N1076" t="str" cm="1">
        <f t="array" ref="N1076">_xlfn.IFS(HRData[[#This Row],[EnvironmentSatisfaction]]=1,"Very Dissatisfied",
HRData[[#This Row],[EnvironmentSatisfaction]]=2,"Dissatisfied",
HRData[[#This Row],[EnvironmentSatisfaction]]=3,"Satisfied",
HRData[[#This Row],[EnvironmentSatisfaction]]=4,"Very Satisfied"
)</f>
        <v>Very Satisfied</v>
      </c>
      <c r="O1076" t="s">
        <v>46</v>
      </c>
      <c r="P1076">
        <v>69</v>
      </c>
      <c r="Q1076">
        <v>3</v>
      </c>
      <c r="R1076">
        <v>2</v>
      </c>
      <c r="S1076" t="s">
        <v>54</v>
      </c>
      <c r="T1076">
        <v>3</v>
      </c>
      <c r="U1076" t="str" cm="1">
        <f t="array" ref="U1076">_xlfn.IFS(
HRData[[#This Row],[JobSatisfaction]]=1,"Very Dissatisfied",
HRData[[#This Row],[JobSatisfaction]]=2,"Dissatisfied",
HRData[[#This Row],[JobSatisfaction]]=3,"Satisfied",
HRData[[#This Row],[JobSatisfaction]]=4,"Very Satisfied"
)</f>
        <v>Satisfied</v>
      </c>
      <c r="V1076" t="s">
        <v>41</v>
      </c>
      <c r="W1076">
        <v>6388</v>
      </c>
      <c r="X1076" t="str" cm="1">
        <f t="array" ref="X1076">_xlfn.IFS(
HRData[[#This Row],[MonthlyIncome]]&lt;=4000,"Very Low Income",
HRData[[#This Row],[MonthlyIncome]]&lt;=8000,"Low Income",
HRData[[#This Row],[MonthlyIncome]]&lt;=12000,"Moderate Income",
HRData[[#This Row],[MonthlyIncome]]&lt;=16000,"High Income",
HRData[[#This Row],[MonthlyIncome]]&gt;16000,"Very High Income"
)</f>
        <v>Low Income</v>
      </c>
      <c r="Y1076">
        <v>22049</v>
      </c>
      <c r="Z1076">
        <v>2</v>
      </c>
      <c r="AA1076" t="s">
        <v>42</v>
      </c>
      <c r="AB1076" t="s">
        <v>35</v>
      </c>
      <c r="AC1076">
        <v>17</v>
      </c>
      <c r="AD1076" t="str" cm="1">
        <f t="array" ref="AD1076">_xlfn.IFS(HRData[[#This Row],[PercentSalaryHike]]&lt;=15,"11-15",HRData[[#This Row],[PercentSalaryHike]]&lt;=20,"16-20",HRData[[#This Row],[PercentSalaryHike]]&gt;=21,"21+")</f>
        <v>16-20</v>
      </c>
      <c r="AE1076">
        <v>3</v>
      </c>
      <c r="AF1076">
        <v>1</v>
      </c>
      <c r="AG1076">
        <v>80</v>
      </c>
      <c r="AH1076">
        <v>0</v>
      </c>
      <c r="AI1076">
        <v>14</v>
      </c>
      <c r="AJ1076">
        <v>6</v>
      </c>
      <c r="AK1076">
        <v>3</v>
      </c>
      <c r="AL1076">
        <v>0</v>
      </c>
      <c r="AM1076">
        <v>0</v>
      </c>
      <c r="AN1076">
        <v>0</v>
      </c>
      <c r="AO1076">
        <v>0</v>
      </c>
      <c r="AP107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76" t="str">
        <f>IF(HRData[[#This Row],[Attrition]]="Yes","Left", IF(HRData[[#This Row],[Attrition_Risk_Score]]&gt;=6,"High",IF(HRData[[#This Row],[Attrition_Risk_Score]]&gt;=3,"Medium","Low")))</f>
        <v>Medium</v>
      </c>
      <c r="AR1076" t="str">
        <f>IF(HRData[[#This Row],[Attrition_Risk_Level]]&lt;&gt;"High","",HRData[[#This Row],[Attrition_Risk_Score]]*10000-HRData[[#This Row],[EmployeeNumber]])</f>
        <v/>
      </c>
    </row>
    <row r="1077" spans="1:44">
      <c r="A1077">
        <v>32</v>
      </c>
      <c r="B1077" t="str" cm="1">
        <f t="array" ref="B1077">_xlfn.IFS(
HRData[[#This Row],[Age]]&lt;=24,"18-24",
HRData[[#This Row],[Age]]&lt;=34,"25-34",
HRData[[#This Row],[Age]]&lt;=44,"35-44",
HRData[[#This Row],[Age]]&lt;=54,"45-54",
HRData[[#This Row],[Age]]&gt;=55,"55+"
)</f>
        <v>25-34</v>
      </c>
      <c r="C1077" t="s">
        <v>43</v>
      </c>
      <c r="D1077">
        <f>IF(HRData[[#This Row],[Attrition]]="Yes",1,0)</f>
        <v>0</v>
      </c>
      <c r="E1077" t="s">
        <v>36</v>
      </c>
      <c r="F1077">
        <v>495</v>
      </c>
      <c r="G1077" t="s">
        <v>45</v>
      </c>
      <c r="H1077">
        <v>10</v>
      </c>
      <c r="I1077">
        <v>3</v>
      </c>
      <c r="J1077" t="s">
        <v>51</v>
      </c>
      <c r="K1077">
        <v>1</v>
      </c>
      <c r="L1077">
        <v>1516</v>
      </c>
      <c r="M1077">
        <v>3</v>
      </c>
      <c r="N1077" t="str" cm="1">
        <f t="array" ref="N1077">_xlfn.IFS(HRData[[#This Row],[EnvironmentSatisfaction]]=1,"Very Dissatisfied",
HRData[[#This Row],[EnvironmentSatisfaction]]=2,"Dissatisfied",
HRData[[#This Row],[EnvironmentSatisfaction]]=3,"Satisfied",
HRData[[#This Row],[EnvironmentSatisfaction]]=4,"Very Satisfied"
)</f>
        <v>Satisfied</v>
      </c>
      <c r="O1077" t="s">
        <v>46</v>
      </c>
      <c r="P1077">
        <v>64</v>
      </c>
      <c r="Q1077">
        <v>3</v>
      </c>
      <c r="R1077">
        <v>3</v>
      </c>
      <c r="S1077" t="s">
        <v>56</v>
      </c>
      <c r="T1077">
        <v>4</v>
      </c>
      <c r="U1077" t="str" cm="1">
        <f t="array" ref="U1077">_xlfn.IFS(
HRData[[#This Row],[JobSatisfaction]]=1,"Very Dissatisfied",
HRData[[#This Row],[JobSatisfaction]]=2,"Dissatisfied",
HRData[[#This Row],[JobSatisfaction]]=3,"Satisfied",
HRData[[#This Row],[JobSatisfaction]]=4,"Very Satisfied"
)</f>
        <v>Very Satisfied</v>
      </c>
      <c r="V1077" t="s">
        <v>41</v>
      </c>
      <c r="W1077">
        <v>11244</v>
      </c>
      <c r="X1077" t="str" cm="1">
        <f t="array" ref="X1077">_xlfn.IFS(
HRData[[#This Row],[MonthlyIncome]]&lt;=4000,"Very Low Income",
HRData[[#This Row],[MonthlyIncome]]&lt;=8000,"Low Income",
HRData[[#This Row],[MonthlyIncome]]&lt;=12000,"Moderate Income",
HRData[[#This Row],[MonthlyIncome]]&lt;=16000,"High Income",
HRData[[#This Row],[MonthlyIncome]]&gt;16000,"Very High Income"
)</f>
        <v>Moderate Income</v>
      </c>
      <c r="Y1077">
        <v>21072</v>
      </c>
      <c r="Z1077">
        <v>2</v>
      </c>
      <c r="AA1077" t="s">
        <v>42</v>
      </c>
      <c r="AB1077" t="s">
        <v>43</v>
      </c>
      <c r="AC1077">
        <v>25</v>
      </c>
      <c r="AD1077" t="str" cm="1">
        <f t="array" ref="AD1077">_xlfn.IFS(HRData[[#This Row],[PercentSalaryHike]]&lt;=15,"11-15",HRData[[#This Row],[PercentSalaryHike]]&lt;=20,"16-20",HRData[[#This Row],[PercentSalaryHike]]&gt;=21,"21+")</f>
        <v>21+</v>
      </c>
      <c r="AE1077">
        <v>4</v>
      </c>
      <c r="AF1077">
        <v>2</v>
      </c>
      <c r="AG1077">
        <v>80</v>
      </c>
      <c r="AH1077">
        <v>0</v>
      </c>
      <c r="AI1077">
        <v>10</v>
      </c>
      <c r="AJ1077">
        <v>5</v>
      </c>
      <c r="AK1077">
        <v>4</v>
      </c>
      <c r="AL1077">
        <v>5</v>
      </c>
      <c r="AM1077">
        <v>2</v>
      </c>
      <c r="AN1077">
        <v>0</v>
      </c>
      <c r="AO1077">
        <v>0</v>
      </c>
      <c r="AP107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077" t="str">
        <f>IF(HRData[[#This Row],[Attrition]]="Yes","Left", IF(HRData[[#This Row],[Attrition_Risk_Score]]&gt;=6,"High",IF(HRData[[#This Row],[Attrition_Risk_Score]]&gt;=3,"Medium","Low")))</f>
        <v>Low</v>
      </c>
      <c r="AR1077" t="str">
        <f>IF(HRData[[#This Row],[Attrition_Risk_Level]]&lt;&gt;"High","",HRData[[#This Row],[Attrition_Risk_Score]]*10000-HRData[[#This Row],[EmployeeNumber]])</f>
        <v/>
      </c>
    </row>
    <row r="1078" spans="1:44">
      <c r="A1078">
        <v>54</v>
      </c>
      <c r="B1078" t="str" cm="1">
        <f t="array" ref="B1078">_xlfn.IFS(
HRData[[#This Row],[Age]]&lt;=24,"18-24",
HRData[[#This Row],[Age]]&lt;=34,"25-34",
HRData[[#This Row],[Age]]&lt;=44,"35-44",
HRData[[#This Row],[Age]]&lt;=54,"45-54",
HRData[[#This Row],[Age]]&gt;=55,"55+"
)</f>
        <v>45-54</v>
      </c>
      <c r="C1078" t="s">
        <v>43</v>
      </c>
      <c r="D1078">
        <f>IF(HRData[[#This Row],[Attrition]]="Yes",1,0)</f>
        <v>0</v>
      </c>
      <c r="E1078" t="s">
        <v>44</v>
      </c>
      <c r="F1078">
        <v>1050</v>
      </c>
      <c r="G1078" t="s">
        <v>45</v>
      </c>
      <c r="H1078">
        <v>11</v>
      </c>
      <c r="I1078">
        <v>4</v>
      </c>
      <c r="J1078" t="s">
        <v>51</v>
      </c>
      <c r="K1078">
        <v>1</v>
      </c>
      <c r="L1078">
        <v>1520</v>
      </c>
      <c r="M1078">
        <v>2</v>
      </c>
      <c r="N1078" t="str" cm="1">
        <f t="array" ref="N1078">_xlfn.IFS(HRData[[#This Row],[EnvironmentSatisfaction]]=1,"Very Dissatisfied",
HRData[[#This Row],[EnvironmentSatisfaction]]=2,"Dissatisfied",
HRData[[#This Row],[EnvironmentSatisfaction]]=3,"Satisfied",
HRData[[#This Row],[EnvironmentSatisfaction]]=4,"Very Satisfied"
)</f>
        <v>Dissatisfied</v>
      </c>
      <c r="O1078" t="s">
        <v>39</v>
      </c>
      <c r="P1078">
        <v>87</v>
      </c>
      <c r="Q1078">
        <v>3</v>
      </c>
      <c r="R1078">
        <v>4</v>
      </c>
      <c r="S1078" t="s">
        <v>56</v>
      </c>
      <c r="T1078">
        <v>4</v>
      </c>
      <c r="U1078" t="str" cm="1">
        <f t="array" ref="U1078">_xlfn.IFS(
HRData[[#This Row],[JobSatisfaction]]=1,"Very Dissatisfied",
HRData[[#This Row],[JobSatisfaction]]=2,"Dissatisfied",
HRData[[#This Row],[JobSatisfaction]]=3,"Satisfied",
HRData[[#This Row],[JobSatisfaction]]=4,"Very Satisfied"
)</f>
        <v>Very Satisfied</v>
      </c>
      <c r="V1078" t="s">
        <v>52</v>
      </c>
      <c r="W1078">
        <v>16032</v>
      </c>
      <c r="X1078" t="str" cm="1">
        <f t="array" ref="X1078">_xlfn.IFS(
HRData[[#This Row],[MonthlyIncome]]&lt;=4000,"Very Low Income",
HRData[[#This Row],[MonthlyIncome]]&lt;=8000,"Low Income",
HRData[[#This Row],[MonthlyIncome]]&lt;=12000,"Moderate Income",
HRData[[#This Row],[MonthlyIncome]]&lt;=16000,"High Income",
HRData[[#This Row],[MonthlyIncome]]&gt;16000,"Very High Income"
)</f>
        <v>Very High Income</v>
      </c>
      <c r="Y1078">
        <v>24456</v>
      </c>
      <c r="Z1078">
        <v>3</v>
      </c>
      <c r="AA1078" t="s">
        <v>42</v>
      </c>
      <c r="AB1078" t="s">
        <v>43</v>
      </c>
      <c r="AC1078">
        <v>20</v>
      </c>
      <c r="AD1078" t="str" cm="1">
        <f t="array" ref="AD1078">_xlfn.IFS(HRData[[#This Row],[PercentSalaryHike]]&lt;=15,"11-15",HRData[[#This Row],[PercentSalaryHike]]&lt;=20,"16-20",HRData[[#This Row],[PercentSalaryHike]]&gt;=21,"21+")</f>
        <v>16-20</v>
      </c>
      <c r="AE1078">
        <v>4</v>
      </c>
      <c r="AF1078">
        <v>1</v>
      </c>
      <c r="AG1078">
        <v>80</v>
      </c>
      <c r="AH1078">
        <v>1</v>
      </c>
      <c r="AI1078">
        <v>26</v>
      </c>
      <c r="AJ1078">
        <v>2</v>
      </c>
      <c r="AK1078">
        <v>3</v>
      </c>
      <c r="AL1078">
        <v>14</v>
      </c>
      <c r="AM1078">
        <v>9</v>
      </c>
      <c r="AN1078">
        <v>1</v>
      </c>
      <c r="AO1078">
        <v>12</v>
      </c>
      <c r="AP107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078" t="str">
        <f>IF(HRData[[#This Row],[Attrition]]="Yes","Left", IF(HRData[[#This Row],[Attrition_Risk_Score]]&gt;=6,"High",IF(HRData[[#This Row],[Attrition_Risk_Score]]&gt;=3,"Medium","Low")))</f>
        <v>Low</v>
      </c>
      <c r="AR1078" t="str">
        <f>IF(HRData[[#This Row],[Attrition_Risk_Level]]&lt;&gt;"High","",HRData[[#This Row],[Attrition_Risk_Score]]*10000-HRData[[#This Row],[EmployeeNumber]])</f>
        <v/>
      </c>
    </row>
    <row r="1079" spans="1:44">
      <c r="A1079">
        <v>29</v>
      </c>
      <c r="B1079" t="str" cm="1">
        <f t="array" ref="B1079">_xlfn.IFS(
HRData[[#This Row],[Age]]&lt;=24,"18-24",
HRData[[#This Row],[Age]]&lt;=34,"25-34",
HRData[[#This Row],[Age]]&lt;=44,"35-44",
HRData[[#This Row],[Age]]&lt;=54,"45-54",
HRData[[#This Row],[Age]]&gt;=55,"55+"
)</f>
        <v>25-34</v>
      </c>
      <c r="C1079" t="s">
        <v>35</v>
      </c>
      <c r="D1079">
        <f>IF(HRData[[#This Row],[Attrition]]="Yes",1,0)</f>
        <v>1</v>
      </c>
      <c r="E1079" t="s">
        <v>36</v>
      </c>
      <c r="F1079">
        <v>224</v>
      </c>
      <c r="G1079" t="s">
        <v>45</v>
      </c>
      <c r="H1079">
        <v>1</v>
      </c>
      <c r="I1079">
        <v>4</v>
      </c>
      <c r="J1079" t="s">
        <v>60</v>
      </c>
      <c r="K1079">
        <v>1</v>
      </c>
      <c r="L1079">
        <v>1522</v>
      </c>
      <c r="M1079">
        <v>1</v>
      </c>
      <c r="N1079" t="str" cm="1">
        <f t="array" ref="N1079">_xlfn.IFS(HRData[[#This Row],[EnvironmentSatisfaction]]=1,"Very Dissatisfied",
HRData[[#This Row],[EnvironmentSatisfaction]]=2,"Dissatisfied",
HRData[[#This Row],[EnvironmentSatisfaction]]=3,"Satisfied",
HRData[[#This Row],[EnvironmentSatisfaction]]=4,"Very Satisfied"
)</f>
        <v>Very Dissatisfied</v>
      </c>
      <c r="O1079" t="s">
        <v>46</v>
      </c>
      <c r="P1079">
        <v>100</v>
      </c>
      <c r="Q1079">
        <v>2</v>
      </c>
      <c r="R1079">
        <v>1</v>
      </c>
      <c r="S1079" t="s">
        <v>47</v>
      </c>
      <c r="T1079">
        <v>1</v>
      </c>
      <c r="U1079" t="str" cm="1">
        <f t="array" ref="U1079">_xlfn.IFS(
HRData[[#This Row],[JobSatisfaction]]=1,"Very Dissatisfied",
HRData[[#This Row],[JobSatisfaction]]=2,"Dissatisfied",
HRData[[#This Row],[JobSatisfaction]]=3,"Satisfied",
HRData[[#This Row],[JobSatisfaction]]=4,"Very Satisfied"
)</f>
        <v>Very Dissatisfied</v>
      </c>
      <c r="V1079" t="s">
        <v>41</v>
      </c>
      <c r="W1079">
        <v>2362</v>
      </c>
      <c r="X1079" t="str" cm="1">
        <f t="array" ref="X1079">_xlfn.IFS(
HRData[[#This Row],[MonthlyIncome]]&lt;=4000,"Very Low Income",
HRData[[#This Row],[MonthlyIncome]]&lt;=8000,"Low Income",
HRData[[#This Row],[MonthlyIncome]]&lt;=12000,"Moderate Income",
HRData[[#This Row],[MonthlyIncome]]&lt;=16000,"High Income",
HRData[[#This Row],[MonthlyIncome]]&gt;16000,"Very High Income"
)</f>
        <v>Very Low Income</v>
      </c>
      <c r="Y1079">
        <v>7568</v>
      </c>
      <c r="Z1079">
        <v>6</v>
      </c>
      <c r="AA1079" t="s">
        <v>42</v>
      </c>
      <c r="AB1079" t="s">
        <v>43</v>
      </c>
      <c r="AC1079">
        <v>13</v>
      </c>
      <c r="AD1079" t="str" cm="1">
        <f t="array" ref="AD1079">_xlfn.IFS(HRData[[#This Row],[PercentSalaryHike]]&lt;=15,"11-15",HRData[[#This Row],[PercentSalaryHike]]&lt;=20,"16-20",HRData[[#This Row],[PercentSalaryHike]]&gt;=21,"21+")</f>
        <v>11-15</v>
      </c>
      <c r="AE1079">
        <v>3</v>
      </c>
      <c r="AF1079">
        <v>3</v>
      </c>
      <c r="AG1079">
        <v>80</v>
      </c>
      <c r="AH1079">
        <v>0</v>
      </c>
      <c r="AI1079">
        <v>11</v>
      </c>
      <c r="AJ1079">
        <v>2</v>
      </c>
      <c r="AK1079">
        <v>1</v>
      </c>
      <c r="AL1079">
        <v>9</v>
      </c>
      <c r="AM1079">
        <v>7</v>
      </c>
      <c r="AN1079">
        <v>0</v>
      </c>
      <c r="AO1079">
        <v>7</v>
      </c>
      <c r="AP107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79" t="str">
        <f>IF(HRData[[#This Row],[Attrition]]="Yes","Left", IF(HRData[[#This Row],[Attrition_Risk_Score]]&gt;=6,"High",IF(HRData[[#This Row],[Attrition_Risk_Score]]&gt;=3,"Medium","Low")))</f>
        <v>Left</v>
      </c>
      <c r="AR1079" t="str">
        <f>IF(HRData[[#This Row],[Attrition_Risk_Level]]&lt;&gt;"High","",HRData[[#This Row],[Attrition_Risk_Score]]*10000-HRData[[#This Row],[EmployeeNumber]])</f>
        <v/>
      </c>
    </row>
    <row r="1080" spans="1:44">
      <c r="A1080">
        <v>44</v>
      </c>
      <c r="B1080" t="str" cm="1">
        <f t="array" ref="B1080">_xlfn.IFS(
HRData[[#This Row],[Age]]&lt;=24,"18-24",
HRData[[#This Row],[Age]]&lt;=34,"25-34",
HRData[[#This Row],[Age]]&lt;=44,"35-44",
HRData[[#This Row],[Age]]&lt;=54,"45-54",
HRData[[#This Row],[Age]]&gt;=55,"55+"
)</f>
        <v>35-44</v>
      </c>
      <c r="C1080" t="s">
        <v>43</v>
      </c>
      <c r="D1080">
        <f>IF(HRData[[#This Row],[Attrition]]="Yes",1,0)</f>
        <v>0</v>
      </c>
      <c r="E1080" t="s">
        <v>36</v>
      </c>
      <c r="F1080">
        <v>136</v>
      </c>
      <c r="G1080" t="s">
        <v>45</v>
      </c>
      <c r="H1080">
        <v>28</v>
      </c>
      <c r="I1080">
        <v>3</v>
      </c>
      <c r="J1080" t="s">
        <v>38</v>
      </c>
      <c r="K1080">
        <v>1</v>
      </c>
      <c r="L1080">
        <v>1523</v>
      </c>
      <c r="M1080">
        <v>4</v>
      </c>
      <c r="N1080" t="str" cm="1">
        <f t="array" ref="N1080">_xlfn.IFS(HRData[[#This Row],[EnvironmentSatisfaction]]=1,"Very Dissatisfied",
HRData[[#This Row],[EnvironmentSatisfaction]]=2,"Dissatisfied",
HRData[[#This Row],[EnvironmentSatisfaction]]=3,"Satisfied",
HRData[[#This Row],[EnvironmentSatisfaction]]=4,"Very Satisfied"
)</f>
        <v>Very Satisfied</v>
      </c>
      <c r="O1080" t="s">
        <v>46</v>
      </c>
      <c r="P1080">
        <v>32</v>
      </c>
      <c r="Q1080">
        <v>3</v>
      </c>
      <c r="R1080">
        <v>4</v>
      </c>
      <c r="S1080" t="s">
        <v>58</v>
      </c>
      <c r="T1080">
        <v>1</v>
      </c>
      <c r="U1080" t="str" cm="1">
        <f t="array" ref="U1080">_xlfn.IFS(
HRData[[#This Row],[JobSatisfaction]]=1,"Very Dissatisfied",
HRData[[#This Row],[JobSatisfaction]]=2,"Dissatisfied",
HRData[[#This Row],[JobSatisfaction]]=3,"Satisfied",
HRData[[#This Row],[JobSatisfaction]]=4,"Very Satisfied"
)</f>
        <v>Very Dissatisfied</v>
      </c>
      <c r="V1080" t="s">
        <v>48</v>
      </c>
      <c r="W1080">
        <v>16328</v>
      </c>
      <c r="X1080" t="str" cm="1">
        <f t="array" ref="X1080">_xlfn.IFS(
HRData[[#This Row],[MonthlyIncome]]&lt;=4000,"Very Low Income",
HRData[[#This Row],[MonthlyIncome]]&lt;=8000,"Low Income",
HRData[[#This Row],[MonthlyIncome]]&lt;=12000,"Moderate Income",
HRData[[#This Row],[MonthlyIncome]]&lt;=16000,"High Income",
HRData[[#This Row],[MonthlyIncome]]&gt;16000,"Very High Income"
)</f>
        <v>Very High Income</v>
      </c>
      <c r="Y1080">
        <v>22074</v>
      </c>
      <c r="Z1080">
        <v>3</v>
      </c>
      <c r="AA1080" t="s">
        <v>42</v>
      </c>
      <c r="AB1080" t="s">
        <v>43</v>
      </c>
      <c r="AC1080">
        <v>13</v>
      </c>
      <c r="AD1080" t="str" cm="1">
        <f t="array" ref="AD1080">_xlfn.IFS(HRData[[#This Row],[PercentSalaryHike]]&lt;=15,"11-15",HRData[[#This Row],[PercentSalaryHike]]&lt;=20,"16-20",HRData[[#This Row],[PercentSalaryHike]]&gt;=21,"21+")</f>
        <v>11-15</v>
      </c>
      <c r="AE1080">
        <v>3</v>
      </c>
      <c r="AF1080">
        <v>3</v>
      </c>
      <c r="AG1080">
        <v>80</v>
      </c>
      <c r="AH1080">
        <v>1</v>
      </c>
      <c r="AI1080">
        <v>24</v>
      </c>
      <c r="AJ1080">
        <v>1</v>
      </c>
      <c r="AK1080">
        <v>4</v>
      </c>
      <c r="AL1080">
        <v>20</v>
      </c>
      <c r="AM1080">
        <v>6</v>
      </c>
      <c r="AN1080">
        <v>14</v>
      </c>
      <c r="AO1080">
        <v>17</v>
      </c>
      <c r="AP108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80" t="str">
        <f>IF(HRData[[#This Row],[Attrition]]="Yes","Left", IF(HRData[[#This Row],[Attrition_Risk_Score]]&gt;=6,"High",IF(HRData[[#This Row],[Attrition_Risk_Score]]&gt;=3,"Medium","Low")))</f>
        <v>Low</v>
      </c>
      <c r="AR1080" t="str">
        <f>IF(HRData[[#This Row],[Attrition_Risk_Level]]&lt;&gt;"High","",HRData[[#This Row],[Attrition_Risk_Score]]*10000-HRData[[#This Row],[EmployeeNumber]])</f>
        <v/>
      </c>
    </row>
    <row r="1081" spans="1:44">
      <c r="A1081">
        <v>39</v>
      </c>
      <c r="B1081" t="str" cm="1">
        <f t="array" ref="B1081">_xlfn.IFS(
HRData[[#This Row],[Age]]&lt;=24,"18-24",
HRData[[#This Row],[Age]]&lt;=34,"25-34",
HRData[[#This Row],[Age]]&lt;=44,"35-44",
HRData[[#This Row],[Age]]&lt;=54,"45-54",
HRData[[#This Row],[Age]]&gt;=55,"55+"
)</f>
        <v>35-44</v>
      </c>
      <c r="C1081" t="s">
        <v>43</v>
      </c>
      <c r="D1081">
        <f>IF(HRData[[#This Row],[Attrition]]="Yes",1,0)</f>
        <v>0</v>
      </c>
      <c r="E1081" t="s">
        <v>36</v>
      </c>
      <c r="F1081">
        <v>1089</v>
      </c>
      <c r="G1081" t="s">
        <v>45</v>
      </c>
      <c r="H1081">
        <v>6</v>
      </c>
      <c r="I1081">
        <v>3</v>
      </c>
      <c r="J1081" t="s">
        <v>38</v>
      </c>
      <c r="K1081">
        <v>1</v>
      </c>
      <c r="L1081">
        <v>1525</v>
      </c>
      <c r="M1081">
        <v>2</v>
      </c>
      <c r="N1081" t="str" cm="1">
        <f t="array" ref="N1081">_xlfn.IFS(HRData[[#This Row],[EnvironmentSatisfaction]]=1,"Very Dissatisfied",
HRData[[#This Row],[EnvironmentSatisfaction]]=2,"Dissatisfied",
HRData[[#This Row],[EnvironmentSatisfaction]]=3,"Satisfied",
HRData[[#This Row],[EnvironmentSatisfaction]]=4,"Very Satisfied"
)</f>
        <v>Dissatisfied</v>
      </c>
      <c r="O1081" t="s">
        <v>39</v>
      </c>
      <c r="P1081">
        <v>32</v>
      </c>
      <c r="Q1081">
        <v>3</v>
      </c>
      <c r="R1081">
        <v>3</v>
      </c>
      <c r="S1081" t="s">
        <v>53</v>
      </c>
      <c r="T1081">
        <v>2</v>
      </c>
      <c r="U1081" t="str" cm="1">
        <f t="array" ref="U1081">_xlfn.IFS(
HRData[[#This Row],[JobSatisfaction]]=1,"Very Dissatisfied",
HRData[[#This Row],[JobSatisfaction]]=2,"Dissatisfied",
HRData[[#This Row],[JobSatisfaction]]=3,"Satisfied",
HRData[[#This Row],[JobSatisfaction]]=4,"Very Satisfied"
)</f>
        <v>Dissatisfied</v>
      </c>
      <c r="V1081" t="s">
        <v>41</v>
      </c>
      <c r="W1081">
        <v>8376</v>
      </c>
      <c r="X1081" t="str" cm="1">
        <f t="array" ref="X1081">_xlfn.IFS(
HRData[[#This Row],[MonthlyIncome]]&lt;=4000,"Very Low Income",
HRData[[#This Row],[MonthlyIncome]]&lt;=8000,"Low Income",
HRData[[#This Row],[MonthlyIncome]]&lt;=12000,"Moderate Income",
HRData[[#This Row],[MonthlyIncome]]&lt;=16000,"High Income",
HRData[[#This Row],[MonthlyIncome]]&gt;16000,"Very High Income"
)</f>
        <v>Moderate Income</v>
      </c>
      <c r="Y1081">
        <v>9150</v>
      </c>
      <c r="Z1081">
        <v>4</v>
      </c>
      <c r="AA1081" t="s">
        <v>42</v>
      </c>
      <c r="AB1081" t="s">
        <v>43</v>
      </c>
      <c r="AC1081">
        <v>18</v>
      </c>
      <c r="AD1081" t="str" cm="1">
        <f t="array" ref="AD1081">_xlfn.IFS(HRData[[#This Row],[PercentSalaryHike]]&lt;=15,"11-15",HRData[[#This Row],[PercentSalaryHike]]&lt;=20,"16-20",HRData[[#This Row],[PercentSalaryHike]]&gt;=21,"21+")</f>
        <v>16-20</v>
      </c>
      <c r="AE1081">
        <v>3</v>
      </c>
      <c r="AF1081">
        <v>4</v>
      </c>
      <c r="AG1081">
        <v>80</v>
      </c>
      <c r="AH1081">
        <v>0</v>
      </c>
      <c r="AI1081">
        <v>9</v>
      </c>
      <c r="AJ1081">
        <v>3</v>
      </c>
      <c r="AK1081">
        <v>3</v>
      </c>
      <c r="AL1081">
        <v>2</v>
      </c>
      <c r="AM1081">
        <v>0</v>
      </c>
      <c r="AN1081">
        <v>2</v>
      </c>
      <c r="AO1081">
        <v>2</v>
      </c>
      <c r="AP108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081" t="str">
        <f>IF(HRData[[#This Row],[Attrition]]="Yes","Left", IF(HRData[[#This Row],[Attrition_Risk_Score]]&gt;=6,"High",IF(HRData[[#This Row],[Attrition_Risk_Score]]&gt;=3,"Medium","Low")))</f>
        <v>Low</v>
      </c>
      <c r="AR1081" t="str">
        <f>IF(HRData[[#This Row],[Attrition_Risk_Level]]&lt;&gt;"High","",HRData[[#This Row],[Attrition_Risk_Score]]*10000-HRData[[#This Row],[EmployeeNumber]])</f>
        <v/>
      </c>
    </row>
    <row r="1082" spans="1:44">
      <c r="A1082">
        <v>46</v>
      </c>
      <c r="B1082" t="str" cm="1">
        <f t="array" ref="B1082">_xlfn.IFS(
HRData[[#This Row],[Age]]&lt;=24,"18-24",
HRData[[#This Row],[Age]]&lt;=34,"25-34",
HRData[[#This Row],[Age]]&lt;=44,"35-44",
HRData[[#This Row],[Age]]&lt;=54,"45-54",
HRData[[#This Row],[Age]]&gt;=55,"55+"
)</f>
        <v>45-54</v>
      </c>
      <c r="C1082" t="s">
        <v>43</v>
      </c>
      <c r="D1082">
        <f>IF(HRData[[#This Row],[Attrition]]="Yes",1,0)</f>
        <v>0</v>
      </c>
      <c r="E1082" t="s">
        <v>36</v>
      </c>
      <c r="F1082">
        <v>228</v>
      </c>
      <c r="G1082" t="s">
        <v>37</v>
      </c>
      <c r="H1082">
        <v>3</v>
      </c>
      <c r="I1082">
        <v>3</v>
      </c>
      <c r="J1082" t="s">
        <v>38</v>
      </c>
      <c r="K1082">
        <v>1</v>
      </c>
      <c r="L1082">
        <v>1527</v>
      </c>
      <c r="M1082">
        <v>3</v>
      </c>
      <c r="N1082" t="str" cm="1">
        <f t="array" ref="N1082">_xlfn.IFS(HRData[[#This Row],[EnvironmentSatisfaction]]=1,"Very Dissatisfied",
HRData[[#This Row],[EnvironmentSatisfaction]]=2,"Dissatisfied",
HRData[[#This Row],[EnvironmentSatisfaction]]=3,"Satisfied",
HRData[[#This Row],[EnvironmentSatisfaction]]=4,"Very Satisfied"
)</f>
        <v>Satisfied</v>
      </c>
      <c r="O1082" t="s">
        <v>39</v>
      </c>
      <c r="P1082">
        <v>51</v>
      </c>
      <c r="Q1082">
        <v>3</v>
      </c>
      <c r="R1082">
        <v>4</v>
      </c>
      <c r="S1082" t="s">
        <v>56</v>
      </c>
      <c r="T1082">
        <v>2</v>
      </c>
      <c r="U1082" t="str" cm="1">
        <f t="array" ref="U1082">_xlfn.IFS(
HRData[[#This Row],[JobSatisfaction]]=1,"Very Dissatisfied",
HRData[[#This Row],[JobSatisfaction]]=2,"Dissatisfied",
HRData[[#This Row],[JobSatisfaction]]=3,"Satisfied",
HRData[[#This Row],[JobSatisfaction]]=4,"Very Satisfied"
)</f>
        <v>Dissatisfied</v>
      </c>
      <c r="V1082" t="s">
        <v>48</v>
      </c>
      <c r="W1082">
        <v>16606</v>
      </c>
      <c r="X1082" t="str" cm="1">
        <f t="array" ref="X1082">_xlfn.IFS(
HRData[[#This Row],[MonthlyIncome]]&lt;=4000,"Very Low Income",
HRData[[#This Row],[MonthlyIncome]]&lt;=8000,"Low Income",
HRData[[#This Row],[MonthlyIncome]]&lt;=12000,"Moderate Income",
HRData[[#This Row],[MonthlyIncome]]&lt;=16000,"High Income",
HRData[[#This Row],[MonthlyIncome]]&gt;16000,"Very High Income"
)</f>
        <v>Very High Income</v>
      </c>
      <c r="Y1082">
        <v>11380</v>
      </c>
      <c r="Z1082">
        <v>8</v>
      </c>
      <c r="AA1082" t="s">
        <v>42</v>
      </c>
      <c r="AB1082" t="s">
        <v>43</v>
      </c>
      <c r="AC1082">
        <v>12</v>
      </c>
      <c r="AD1082" t="str" cm="1">
        <f t="array" ref="AD1082">_xlfn.IFS(HRData[[#This Row],[PercentSalaryHike]]&lt;=15,"11-15",HRData[[#This Row],[PercentSalaryHike]]&lt;=20,"16-20",HRData[[#This Row],[PercentSalaryHike]]&gt;=21,"21+")</f>
        <v>11-15</v>
      </c>
      <c r="AE1082">
        <v>3</v>
      </c>
      <c r="AF1082">
        <v>4</v>
      </c>
      <c r="AG1082">
        <v>80</v>
      </c>
      <c r="AH1082">
        <v>1</v>
      </c>
      <c r="AI1082">
        <v>23</v>
      </c>
      <c r="AJ1082">
        <v>2</v>
      </c>
      <c r="AK1082">
        <v>4</v>
      </c>
      <c r="AL1082">
        <v>13</v>
      </c>
      <c r="AM1082">
        <v>12</v>
      </c>
      <c r="AN1082">
        <v>5</v>
      </c>
      <c r="AO1082">
        <v>1</v>
      </c>
      <c r="AP108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082" t="str">
        <f>IF(HRData[[#This Row],[Attrition]]="Yes","Left", IF(HRData[[#This Row],[Attrition_Risk_Score]]&gt;=6,"High",IF(HRData[[#This Row],[Attrition_Risk_Score]]&gt;=3,"Medium","Low")))</f>
        <v>Low</v>
      </c>
      <c r="AR1082" t="str">
        <f>IF(HRData[[#This Row],[Attrition_Risk_Level]]&lt;&gt;"High","",HRData[[#This Row],[Attrition_Risk_Score]]*10000-HRData[[#This Row],[EmployeeNumber]])</f>
        <v/>
      </c>
    </row>
    <row r="1083" spans="1:44">
      <c r="A1083">
        <v>35</v>
      </c>
      <c r="B1083" t="str" cm="1">
        <f t="array" ref="B1083">_xlfn.IFS(
HRData[[#This Row],[Age]]&lt;=24,"18-24",
HRData[[#This Row],[Age]]&lt;=34,"25-34",
HRData[[#This Row],[Age]]&lt;=44,"35-44",
HRData[[#This Row],[Age]]&lt;=54,"45-54",
HRData[[#This Row],[Age]]&gt;=55,"55+"
)</f>
        <v>35-44</v>
      </c>
      <c r="C1083" t="s">
        <v>43</v>
      </c>
      <c r="D1083">
        <f>IF(HRData[[#This Row],[Attrition]]="Yes",1,0)</f>
        <v>0</v>
      </c>
      <c r="E1083" t="s">
        <v>36</v>
      </c>
      <c r="F1083">
        <v>1029</v>
      </c>
      <c r="G1083" t="s">
        <v>45</v>
      </c>
      <c r="H1083">
        <v>16</v>
      </c>
      <c r="I1083">
        <v>3</v>
      </c>
      <c r="J1083" t="s">
        <v>38</v>
      </c>
      <c r="K1083">
        <v>1</v>
      </c>
      <c r="L1083">
        <v>1529</v>
      </c>
      <c r="M1083">
        <v>4</v>
      </c>
      <c r="N1083" t="str" cm="1">
        <f t="array" ref="N1083">_xlfn.IFS(HRData[[#This Row],[EnvironmentSatisfaction]]=1,"Very Dissatisfied",
HRData[[#This Row],[EnvironmentSatisfaction]]=2,"Dissatisfied",
HRData[[#This Row],[EnvironmentSatisfaction]]=3,"Satisfied",
HRData[[#This Row],[EnvironmentSatisfaction]]=4,"Very Satisfied"
)</f>
        <v>Very Satisfied</v>
      </c>
      <c r="O1083" t="s">
        <v>39</v>
      </c>
      <c r="P1083">
        <v>91</v>
      </c>
      <c r="Q1083">
        <v>2</v>
      </c>
      <c r="R1083">
        <v>3</v>
      </c>
      <c r="S1083" t="s">
        <v>54</v>
      </c>
      <c r="T1083">
        <v>2</v>
      </c>
      <c r="U1083" t="str" cm="1">
        <f t="array" ref="U1083">_xlfn.IFS(
HRData[[#This Row],[JobSatisfaction]]=1,"Very Dissatisfied",
HRData[[#This Row],[JobSatisfaction]]=2,"Dissatisfied",
HRData[[#This Row],[JobSatisfaction]]=3,"Satisfied",
HRData[[#This Row],[JobSatisfaction]]=4,"Very Satisfied"
)</f>
        <v>Dissatisfied</v>
      </c>
      <c r="V1083" t="s">
        <v>41</v>
      </c>
      <c r="W1083">
        <v>8606</v>
      </c>
      <c r="X1083" t="str" cm="1">
        <f t="array" ref="X1083">_xlfn.IFS(
HRData[[#This Row],[MonthlyIncome]]&lt;=4000,"Very Low Income",
HRData[[#This Row],[MonthlyIncome]]&lt;=8000,"Low Income",
HRData[[#This Row],[MonthlyIncome]]&lt;=12000,"Moderate Income",
HRData[[#This Row],[MonthlyIncome]]&lt;=16000,"High Income",
HRData[[#This Row],[MonthlyIncome]]&gt;16000,"Very High Income"
)</f>
        <v>Moderate Income</v>
      </c>
      <c r="Y1083">
        <v>21195</v>
      </c>
      <c r="Z1083">
        <v>1</v>
      </c>
      <c r="AA1083" t="s">
        <v>42</v>
      </c>
      <c r="AB1083" t="s">
        <v>43</v>
      </c>
      <c r="AC1083">
        <v>19</v>
      </c>
      <c r="AD1083" t="str" cm="1">
        <f t="array" ref="AD1083">_xlfn.IFS(HRData[[#This Row],[PercentSalaryHike]]&lt;=15,"11-15",HRData[[#This Row],[PercentSalaryHike]]&lt;=20,"16-20",HRData[[#This Row],[PercentSalaryHike]]&gt;=21,"21+")</f>
        <v>16-20</v>
      </c>
      <c r="AE1083">
        <v>3</v>
      </c>
      <c r="AF1083">
        <v>4</v>
      </c>
      <c r="AG1083">
        <v>80</v>
      </c>
      <c r="AH1083">
        <v>0</v>
      </c>
      <c r="AI1083">
        <v>11</v>
      </c>
      <c r="AJ1083">
        <v>3</v>
      </c>
      <c r="AK1083">
        <v>1</v>
      </c>
      <c r="AL1083">
        <v>11</v>
      </c>
      <c r="AM1083">
        <v>8</v>
      </c>
      <c r="AN1083">
        <v>3</v>
      </c>
      <c r="AO1083">
        <v>3</v>
      </c>
      <c r="AP108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083" t="str">
        <f>IF(HRData[[#This Row],[Attrition]]="Yes","Left", IF(HRData[[#This Row],[Attrition_Risk_Score]]&gt;=6,"High",IF(HRData[[#This Row],[Attrition_Risk_Score]]&gt;=3,"Medium","Low")))</f>
        <v>Low</v>
      </c>
      <c r="AR1083" t="str">
        <f>IF(HRData[[#This Row],[Attrition_Risk_Level]]&lt;&gt;"High","",HRData[[#This Row],[Attrition_Risk_Score]]*10000-HRData[[#This Row],[EmployeeNumber]])</f>
        <v/>
      </c>
    </row>
    <row r="1084" spans="1:44">
      <c r="A1084">
        <v>23</v>
      </c>
      <c r="B1084" t="str" cm="1">
        <f t="array" ref="B1084">_xlfn.IFS(
HRData[[#This Row],[Age]]&lt;=24,"18-24",
HRData[[#This Row],[Age]]&lt;=34,"25-34",
HRData[[#This Row],[Age]]&lt;=44,"35-44",
HRData[[#This Row],[Age]]&lt;=54,"45-54",
HRData[[#This Row],[Age]]&gt;=55,"55+"
)</f>
        <v>18-24</v>
      </c>
      <c r="C1084" t="s">
        <v>43</v>
      </c>
      <c r="D1084">
        <f>IF(HRData[[#This Row],[Attrition]]="Yes",1,0)</f>
        <v>0</v>
      </c>
      <c r="E1084" t="s">
        <v>36</v>
      </c>
      <c r="F1084">
        <v>507</v>
      </c>
      <c r="G1084" t="s">
        <v>45</v>
      </c>
      <c r="H1084">
        <v>20</v>
      </c>
      <c r="I1084">
        <v>1</v>
      </c>
      <c r="J1084" t="s">
        <v>38</v>
      </c>
      <c r="K1084">
        <v>1</v>
      </c>
      <c r="L1084">
        <v>1533</v>
      </c>
      <c r="M1084">
        <v>1</v>
      </c>
      <c r="N1084" t="str" cm="1">
        <f t="array" ref="N1084">_xlfn.IFS(HRData[[#This Row],[EnvironmentSatisfaction]]=1,"Very Dissatisfied",
HRData[[#This Row],[EnvironmentSatisfaction]]=2,"Dissatisfied",
HRData[[#This Row],[EnvironmentSatisfaction]]=3,"Satisfied",
HRData[[#This Row],[EnvironmentSatisfaction]]=4,"Very Satisfied"
)</f>
        <v>Very Dissatisfied</v>
      </c>
      <c r="O1084" t="s">
        <v>46</v>
      </c>
      <c r="P1084">
        <v>97</v>
      </c>
      <c r="Q1084">
        <v>3</v>
      </c>
      <c r="R1084">
        <v>2</v>
      </c>
      <c r="S1084" t="s">
        <v>50</v>
      </c>
      <c r="T1084">
        <v>3</v>
      </c>
      <c r="U1084" t="str" cm="1">
        <f t="array" ref="U1084">_xlfn.IFS(
HRData[[#This Row],[JobSatisfaction]]=1,"Very Dissatisfied",
HRData[[#This Row],[JobSatisfaction]]=2,"Dissatisfied",
HRData[[#This Row],[JobSatisfaction]]=3,"Satisfied",
HRData[[#This Row],[JobSatisfaction]]=4,"Very Satisfied"
)</f>
        <v>Satisfied</v>
      </c>
      <c r="V1084" t="s">
        <v>41</v>
      </c>
      <c r="W1084">
        <v>2272</v>
      </c>
      <c r="X1084" t="str" cm="1">
        <f t="array" ref="X1084">_xlfn.IFS(
HRData[[#This Row],[MonthlyIncome]]&lt;=4000,"Very Low Income",
HRData[[#This Row],[MonthlyIncome]]&lt;=8000,"Low Income",
HRData[[#This Row],[MonthlyIncome]]&lt;=12000,"Moderate Income",
HRData[[#This Row],[MonthlyIncome]]&lt;=16000,"High Income",
HRData[[#This Row],[MonthlyIncome]]&gt;16000,"Very High Income"
)</f>
        <v>Very Low Income</v>
      </c>
      <c r="Y1084">
        <v>24812</v>
      </c>
      <c r="Z1084">
        <v>0</v>
      </c>
      <c r="AA1084" t="s">
        <v>42</v>
      </c>
      <c r="AB1084" t="s">
        <v>43</v>
      </c>
      <c r="AC1084">
        <v>14</v>
      </c>
      <c r="AD1084" t="str" cm="1">
        <f t="array" ref="AD1084">_xlfn.IFS(HRData[[#This Row],[PercentSalaryHike]]&lt;=15,"11-15",HRData[[#This Row],[PercentSalaryHike]]&lt;=20,"16-20",HRData[[#This Row],[PercentSalaryHike]]&gt;=21,"21+")</f>
        <v>11-15</v>
      </c>
      <c r="AE1084">
        <v>3</v>
      </c>
      <c r="AF1084">
        <v>2</v>
      </c>
      <c r="AG1084">
        <v>80</v>
      </c>
      <c r="AH1084">
        <v>0</v>
      </c>
      <c r="AI1084">
        <v>5</v>
      </c>
      <c r="AJ1084">
        <v>2</v>
      </c>
      <c r="AK1084">
        <v>3</v>
      </c>
      <c r="AL1084">
        <v>4</v>
      </c>
      <c r="AM1084">
        <v>3</v>
      </c>
      <c r="AN1084">
        <v>1</v>
      </c>
      <c r="AO1084">
        <v>2</v>
      </c>
      <c r="AP108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084" t="str">
        <f>IF(HRData[[#This Row],[Attrition]]="Yes","Left", IF(HRData[[#This Row],[Attrition_Risk_Score]]&gt;=6,"High",IF(HRData[[#This Row],[Attrition_Risk_Score]]&gt;=3,"Medium","Low")))</f>
        <v>Medium</v>
      </c>
      <c r="AR1084" t="str">
        <f>IF(HRData[[#This Row],[Attrition_Risk_Level]]&lt;&gt;"High","",HRData[[#This Row],[Attrition_Risk_Score]]*10000-HRData[[#This Row],[EmployeeNumber]])</f>
        <v/>
      </c>
    </row>
    <row r="1085" spans="1:44">
      <c r="A1085">
        <v>40</v>
      </c>
      <c r="B1085" t="str" cm="1">
        <f t="array" ref="B1085">_xlfn.IFS(
HRData[[#This Row],[Age]]&lt;=24,"18-24",
HRData[[#This Row],[Age]]&lt;=34,"25-34",
HRData[[#This Row],[Age]]&lt;=44,"35-44",
HRData[[#This Row],[Age]]&lt;=54,"45-54",
HRData[[#This Row],[Age]]&gt;=55,"55+"
)</f>
        <v>35-44</v>
      </c>
      <c r="C1085" t="s">
        <v>35</v>
      </c>
      <c r="D1085">
        <f>IF(HRData[[#This Row],[Attrition]]="Yes",1,0)</f>
        <v>1</v>
      </c>
      <c r="E1085" t="s">
        <v>36</v>
      </c>
      <c r="F1085">
        <v>676</v>
      </c>
      <c r="G1085" t="s">
        <v>45</v>
      </c>
      <c r="H1085">
        <v>9</v>
      </c>
      <c r="I1085">
        <v>4</v>
      </c>
      <c r="J1085" t="s">
        <v>38</v>
      </c>
      <c r="K1085">
        <v>1</v>
      </c>
      <c r="L1085">
        <v>1534</v>
      </c>
      <c r="M1085">
        <v>4</v>
      </c>
      <c r="N1085" t="str" cm="1">
        <f t="array" ref="N1085">_xlfn.IFS(HRData[[#This Row],[EnvironmentSatisfaction]]=1,"Very Dissatisfied",
HRData[[#This Row],[EnvironmentSatisfaction]]=2,"Dissatisfied",
HRData[[#This Row],[EnvironmentSatisfaction]]=3,"Satisfied",
HRData[[#This Row],[EnvironmentSatisfaction]]=4,"Very Satisfied"
)</f>
        <v>Very Satisfied</v>
      </c>
      <c r="O1085" t="s">
        <v>46</v>
      </c>
      <c r="P1085">
        <v>86</v>
      </c>
      <c r="Q1085">
        <v>3</v>
      </c>
      <c r="R1085">
        <v>1</v>
      </c>
      <c r="S1085" t="s">
        <v>50</v>
      </c>
      <c r="T1085">
        <v>1</v>
      </c>
      <c r="U1085" t="str" cm="1">
        <f t="array" ref="U1085">_xlfn.IFS(
HRData[[#This Row],[JobSatisfaction]]=1,"Very Dissatisfied",
HRData[[#This Row],[JobSatisfaction]]=2,"Dissatisfied",
HRData[[#This Row],[JobSatisfaction]]=3,"Satisfied",
HRData[[#This Row],[JobSatisfaction]]=4,"Very Satisfied"
)</f>
        <v>Very Dissatisfied</v>
      </c>
      <c r="V1085" t="s">
        <v>41</v>
      </c>
      <c r="W1085">
        <v>2018</v>
      </c>
      <c r="X1085" t="str" cm="1">
        <f t="array" ref="X1085">_xlfn.IFS(
HRData[[#This Row],[MonthlyIncome]]&lt;=4000,"Very Low Income",
HRData[[#This Row],[MonthlyIncome]]&lt;=8000,"Low Income",
HRData[[#This Row],[MonthlyIncome]]&lt;=12000,"Moderate Income",
HRData[[#This Row],[MonthlyIncome]]&lt;=16000,"High Income",
HRData[[#This Row],[MonthlyIncome]]&gt;16000,"Very High Income"
)</f>
        <v>Very Low Income</v>
      </c>
      <c r="Y1085">
        <v>21831</v>
      </c>
      <c r="Z1085">
        <v>3</v>
      </c>
      <c r="AA1085" t="s">
        <v>42</v>
      </c>
      <c r="AB1085" t="s">
        <v>43</v>
      </c>
      <c r="AC1085">
        <v>14</v>
      </c>
      <c r="AD1085" t="str" cm="1">
        <f t="array" ref="AD1085">_xlfn.IFS(HRData[[#This Row],[PercentSalaryHike]]&lt;=15,"11-15",HRData[[#This Row],[PercentSalaryHike]]&lt;=20,"16-20",HRData[[#This Row],[PercentSalaryHike]]&gt;=21,"21+")</f>
        <v>11-15</v>
      </c>
      <c r="AE1085">
        <v>3</v>
      </c>
      <c r="AF1085">
        <v>2</v>
      </c>
      <c r="AG1085">
        <v>80</v>
      </c>
      <c r="AH1085">
        <v>0</v>
      </c>
      <c r="AI1085">
        <v>15</v>
      </c>
      <c r="AJ1085">
        <v>3</v>
      </c>
      <c r="AK1085">
        <v>1</v>
      </c>
      <c r="AL1085">
        <v>5</v>
      </c>
      <c r="AM1085">
        <v>4</v>
      </c>
      <c r="AN1085">
        <v>1</v>
      </c>
      <c r="AO1085">
        <v>0</v>
      </c>
      <c r="AP108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85" t="str">
        <f>IF(HRData[[#This Row],[Attrition]]="Yes","Left", IF(HRData[[#This Row],[Attrition_Risk_Score]]&gt;=6,"High",IF(HRData[[#This Row],[Attrition_Risk_Score]]&gt;=3,"Medium","Low")))</f>
        <v>Left</v>
      </c>
      <c r="AR1085" t="str">
        <f>IF(HRData[[#This Row],[Attrition_Risk_Level]]&lt;&gt;"High","",HRData[[#This Row],[Attrition_Risk_Score]]*10000-HRData[[#This Row],[EmployeeNumber]])</f>
        <v/>
      </c>
    </row>
    <row r="1086" spans="1:44">
      <c r="A1086">
        <v>34</v>
      </c>
      <c r="B1086" t="str" cm="1">
        <f t="array" ref="B1086">_xlfn.IFS(
HRData[[#This Row],[Age]]&lt;=24,"18-24",
HRData[[#This Row],[Age]]&lt;=34,"25-34",
HRData[[#This Row],[Age]]&lt;=44,"35-44",
HRData[[#This Row],[Age]]&lt;=54,"45-54",
HRData[[#This Row],[Age]]&gt;=55,"55+"
)</f>
        <v>25-34</v>
      </c>
      <c r="C1086" t="s">
        <v>43</v>
      </c>
      <c r="D1086">
        <f>IF(HRData[[#This Row],[Attrition]]="Yes",1,0)</f>
        <v>0</v>
      </c>
      <c r="E1086" t="s">
        <v>36</v>
      </c>
      <c r="F1086">
        <v>971</v>
      </c>
      <c r="G1086" t="s">
        <v>37</v>
      </c>
      <c r="H1086">
        <v>1</v>
      </c>
      <c r="I1086">
        <v>3</v>
      </c>
      <c r="J1086" t="s">
        <v>60</v>
      </c>
      <c r="K1086">
        <v>1</v>
      </c>
      <c r="L1086">
        <v>1535</v>
      </c>
      <c r="M1086">
        <v>4</v>
      </c>
      <c r="N1086" t="str" cm="1">
        <f t="array" ref="N1086">_xlfn.IFS(HRData[[#This Row],[EnvironmentSatisfaction]]=1,"Very Dissatisfied",
HRData[[#This Row],[EnvironmentSatisfaction]]=2,"Dissatisfied",
HRData[[#This Row],[EnvironmentSatisfaction]]=3,"Satisfied",
HRData[[#This Row],[EnvironmentSatisfaction]]=4,"Very Satisfied"
)</f>
        <v>Very Satisfied</v>
      </c>
      <c r="O1086" t="s">
        <v>46</v>
      </c>
      <c r="P1086">
        <v>64</v>
      </c>
      <c r="Q1086">
        <v>2</v>
      </c>
      <c r="R1086">
        <v>3</v>
      </c>
      <c r="S1086" t="s">
        <v>40</v>
      </c>
      <c r="T1086">
        <v>3</v>
      </c>
      <c r="U1086" t="str" cm="1">
        <f t="array" ref="U1086">_xlfn.IFS(
HRData[[#This Row],[JobSatisfaction]]=1,"Very Dissatisfied",
HRData[[#This Row],[JobSatisfaction]]=2,"Dissatisfied",
HRData[[#This Row],[JobSatisfaction]]=3,"Satisfied",
HRData[[#This Row],[JobSatisfaction]]=4,"Very Satisfied"
)</f>
        <v>Satisfied</v>
      </c>
      <c r="V1086" t="s">
        <v>48</v>
      </c>
      <c r="W1086">
        <v>7083</v>
      </c>
      <c r="X1086" t="str" cm="1">
        <f t="array" ref="X1086">_xlfn.IFS(
HRData[[#This Row],[MonthlyIncome]]&lt;=4000,"Very Low Income",
HRData[[#This Row],[MonthlyIncome]]&lt;=8000,"Low Income",
HRData[[#This Row],[MonthlyIncome]]&lt;=12000,"Moderate Income",
HRData[[#This Row],[MonthlyIncome]]&lt;=16000,"High Income",
HRData[[#This Row],[MonthlyIncome]]&gt;16000,"Very High Income"
)</f>
        <v>Low Income</v>
      </c>
      <c r="Y1086">
        <v>12288</v>
      </c>
      <c r="Z1086">
        <v>1</v>
      </c>
      <c r="AA1086" t="s">
        <v>42</v>
      </c>
      <c r="AB1086" t="s">
        <v>35</v>
      </c>
      <c r="AC1086">
        <v>14</v>
      </c>
      <c r="AD1086" t="str" cm="1">
        <f t="array" ref="AD1086">_xlfn.IFS(HRData[[#This Row],[PercentSalaryHike]]&lt;=15,"11-15",HRData[[#This Row],[PercentSalaryHike]]&lt;=20,"16-20",HRData[[#This Row],[PercentSalaryHike]]&gt;=21,"21+")</f>
        <v>11-15</v>
      </c>
      <c r="AE1086">
        <v>3</v>
      </c>
      <c r="AF1086">
        <v>4</v>
      </c>
      <c r="AG1086">
        <v>80</v>
      </c>
      <c r="AH1086">
        <v>0</v>
      </c>
      <c r="AI1086">
        <v>10</v>
      </c>
      <c r="AJ1086">
        <v>3</v>
      </c>
      <c r="AK1086">
        <v>3</v>
      </c>
      <c r="AL1086">
        <v>10</v>
      </c>
      <c r="AM1086">
        <v>9</v>
      </c>
      <c r="AN1086">
        <v>8</v>
      </c>
      <c r="AO1086">
        <v>6</v>
      </c>
      <c r="AP108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86" t="str">
        <f>IF(HRData[[#This Row],[Attrition]]="Yes","Left", IF(HRData[[#This Row],[Attrition_Risk_Score]]&gt;=6,"High",IF(HRData[[#This Row],[Attrition_Risk_Score]]&gt;=3,"Medium","Low")))</f>
        <v>Medium</v>
      </c>
      <c r="AR1086" t="str">
        <f>IF(HRData[[#This Row],[Attrition_Risk_Level]]&lt;&gt;"High","",HRData[[#This Row],[Attrition_Risk_Score]]*10000-HRData[[#This Row],[EmployeeNumber]])</f>
        <v/>
      </c>
    </row>
    <row r="1087" spans="1:44">
      <c r="A1087">
        <v>31</v>
      </c>
      <c r="B1087" t="str" cm="1">
        <f t="array" ref="B1087">_xlfn.IFS(
HRData[[#This Row],[Age]]&lt;=24,"18-24",
HRData[[#This Row],[Age]]&lt;=34,"25-34",
HRData[[#This Row],[Age]]&lt;=44,"35-44",
HRData[[#This Row],[Age]]&lt;=54,"45-54",
HRData[[#This Row],[Age]]&gt;=55,"55+"
)</f>
        <v>25-34</v>
      </c>
      <c r="C1087" t="s">
        <v>35</v>
      </c>
      <c r="D1087">
        <f>IF(HRData[[#This Row],[Attrition]]="Yes",1,0)</f>
        <v>1</v>
      </c>
      <c r="E1087" t="s">
        <v>44</v>
      </c>
      <c r="F1087">
        <v>561</v>
      </c>
      <c r="G1087" t="s">
        <v>45</v>
      </c>
      <c r="H1087">
        <v>3</v>
      </c>
      <c r="I1087">
        <v>3</v>
      </c>
      <c r="J1087" t="s">
        <v>38</v>
      </c>
      <c r="K1087">
        <v>1</v>
      </c>
      <c r="L1087">
        <v>1537</v>
      </c>
      <c r="M1087">
        <v>4</v>
      </c>
      <c r="N1087" t="str" cm="1">
        <f t="array" ref="N1087">_xlfn.IFS(HRData[[#This Row],[EnvironmentSatisfaction]]=1,"Very Dissatisfied",
HRData[[#This Row],[EnvironmentSatisfaction]]=2,"Dissatisfied",
HRData[[#This Row],[EnvironmentSatisfaction]]=3,"Satisfied",
HRData[[#This Row],[EnvironmentSatisfaction]]=4,"Very Satisfied"
)</f>
        <v>Very Satisfied</v>
      </c>
      <c r="O1087" t="s">
        <v>39</v>
      </c>
      <c r="P1087">
        <v>33</v>
      </c>
      <c r="Q1087">
        <v>3</v>
      </c>
      <c r="R1087">
        <v>1</v>
      </c>
      <c r="S1087" t="s">
        <v>47</v>
      </c>
      <c r="T1087">
        <v>3</v>
      </c>
      <c r="U1087" t="str" cm="1">
        <f t="array" ref="U1087">_xlfn.IFS(
HRData[[#This Row],[JobSatisfaction]]=1,"Very Dissatisfied",
HRData[[#This Row],[JobSatisfaction]]=2,"Dissatisfied",
HRData[[#This Row],[JobSatisfaction]]=3,"Satisfied",
HRData[[#This Row],[JobSatisfaction]]=4,"Very Satisfied"
)</f>
        <v>Satisfied</v>
      </c>
      <c r="V1087" t="s">
        <v>41</v>
      </c>
      <c r="W1087">
        <v>4084</v>
      </c>
      <c r="X1087" t="str" cm="1">
        <f t="array" ref="X1087">_xlfn.IFS(
HRData[[#This Row],[MonthlyIncome]]&lt;=4000,"Very Low Income",
HRData[[#This Row],[MonthlyIncome]]&lt;=8000,"Low Income",
HRData[[#This Row],[MonthlyIncome]]&lt;=12000,"Moderate Income",
HRData[[#This Row],[MonthlyIncome]]&lt;=16000,"High Income",
HRData[[#This Row],[MonthlyIncome]]&gt;16000,"Very High Income"
)</f>
        <v>Low Income</v>
      </c>
      <c r="Y1087">
        <v>4156</v>
      </c>
      <c r="Z1087">
        <v>1</v>
      </c>
      <c r="AA1087" t="s">
        <v>42</v>
      </c>
      <c r="AB1087" t="s">
        <v>43</v>
      </c>
      <c r="AC1087">
        <v>12</v>
      </c>
      <c r="AD1087" t="str" cm="1">
        <f t="array" ref="AD1087">_xlfn.IFS(HRData[[#This Row],[PercentSalaryHike]]&lt;=15,"11-15",HRData[[#This Row],[PercentSalaryHike]]&lt;=20,"16-20",HRData[[#This Row],[PercentSalaryHike]]&gt;=21,"21+")</f>
        <v>11-15</v>
      </c>
      <c r="AE1087">
        <v>3</v>
      </c>
      <c r="AF1087">
        <v>1</v>
      </c>
      <c r="AG1087">
        <v>80</v>
      </c>
      <c r="AH1087">
        <v>0</v>
      </c>
      <c r="AI1087">
        <v>7</v>
      </c>
      <c r="AJ1087">
        <v>2</v>
      </c>
      <c r="AK1087">
        <v>1</v>
      </c>
      <c r="AL1087">
        <v>7</v>
      </c>
      <c r="AM1087">
        <v>2</v>
      </c>
      <c r="AN1087">
        <v>7</v>
      </c>
      <c r="AO1087">
        <v>7</v>
      </c>
      <c r="AP108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87" t="str">
        <f>IF(HRData[[#This Row],[Attrition]]="Yes","Left", IF(HRData[[#This Row],[Attrition_Risk_Score]]&gt;=6,"High",IF(HRData[[#This Row],[Attrition_Risk_Score]]&gt;=3,"Medium","Low")))</f>
        <v>Left</v>
      </c>
      <c r="AR1087" t="str">
        <f>IF(HRData[[#This Row],[Attrition_Risk_Level]]&lt;&gt;"High","",HRData[[#This Row],[Attrition_Risk_Score]]*10000-HRData[[#This Row],[EmployeeNumber]])</f>
        <v/>
      </c>
    </row>
    <row r="1088" spans="1:44">
      <c r="A1088">
        <v>50</v>
      </c>
      <c r="B1088" t="str" cm="1">
        <f t="array" ref="B1088">_xlfn.IFS(
HRData[[#This Row],[Age]]&lt;=24,"18-24",
HRData[[#This Row],[Age]]&lt;=34,"25-34",
HRData[[#This Row],[Age]]&lt;=44,"35-44",
HRData[[#This Row],[Age]]&lt;=54,"45-54",
HRData[[#This Row],[Age]]&gt;=55,"55+"
)</f>
        <v>45-54</v>
      </c>
      <c r="C1088" t="s">
        <v>43</v>
      </c>
      <c r="D1088">
        <f>IF(HRData[[#This Row],[Attrition]]="Yes",1,0)</f>
        <v>0</v>
      </c>
      <c r="E1088" t="s">
        <v>44</v>
      </c>
      <c r="F1088">
        <v>333</v>
      </c>
      <c r="G1088" t="s">
        <v>45</v>
      </c>
      <c r="H1088">
        <v>22</v>
      </c>
      <c r="I1088">
        <v>5</v>
      </c>
      <c r="J1088" t="s">
        <v>51</v>
      </c>
      <c r="K1088">
        <v>1</v>
      </c>
      <c r="L1088">
        <v>1539</v>
      </c>
      <c r="M1088">
        <v>3</v>
      </c>
      <c r="N1088" t="str" cm="1">
        <f t="array" ref="N1088">_xlfn.IFS(HRData[[#This Row],[EnvironmentSatisfaction]]=1,"Very Dissatisfied",
HRData[[#This Row],[EnvironmentSatisfaction]]=2,"Dissatisfied",
HRData[[#This Row],[EnvironmentSatisfaction]]=3,"Satisfied",
HRData[[#This Row],[EnvironmentSatisfaction]]=4,"Very Satisfied"
)</f>
        <v>Satisfied</v>
      </c>
      <c r="O1088" t="s">
        <v>46</v>
      </c>
      <c r="P1088">
        <v>88</v>
      </c>
      <c r="Q1088">
        <v>1</v>
      </c>
      <c r="R1088">
        <v>4</v>
      </c>
      <c r="S1088" t="s">
        <v>58</v>
      </c>
      <c r="T1088">
        <v>4</v>
      </c>
      <c r="U1088" t="str" cm="1">
        <f t="array" ref="U1088">_xlfn.IFS(
HRData[[#This Row],[JobSatisfaction]]=1,"Very Dissatisfied",
HRData[[#This Row],[JobSatisfaction]]=2,"Dissatisfied",
HRData[[#This Row],[JobSatisfaction]]=3,"Satisfied",
HRData[[#This Row],[JobSatisfaction]]=4,"Very Satisfied"
)</f>
        <v>Very Satisfied</v>
      </c>
      <c r="V1088" t="s">
        <v>41</v>
      </c>
      <c r="W1088">
        <v>14411</v>
      </c>
      <c r="X1088" t="str" cm="1">
        <f t="array" ref="X1088">_xlfn.IFS(
HRData[[#This Row],[MonthlyIncome]]&lt;=4000,"Very Low Income",
HRData[[#This Row],[MonthlyIncome]]&lt;=8000,"Low Income",
HRData[[#This Row],[MonthlyIncome]]&lt;=12000,"Moderate Income",
HRData[[#This Row],[MonthlyIncome]]&lt;=16000,"High Income",
HRData[[#This Row],[MonthlyIncome]]&gt;16000,"Very High Income"
)</f>
        <v>High Income</v>
      </c>
      <c r="Y1088">
        <v>24450</v>
      </c>
      <c r="Z1088">
        <v>1</v>
      </c>
      <c r="AA1088" t="s">
        <v>42</v>
      </c>
      <c r="AB1088" t="s">
        <v>35</v>
      </c>
      <c r="AC1088">
        <v>13</v>
      </c>
      <c r="AD1088" t="str" cm="1">
        <f t="array" ref="AD1088">_xlfn.IFS(HRData[[#This Row],[PercentSalaryHike]]&lt;=15,"11-15",HRData[[#This Row],[PercentSalaryHike]]&lt;=20,"16-20",HRData[[#This Row],[PercentSalaryHike]]&gt;=21,"21+")</f>
        <v>11-15</v>
      </c>
      <c r="AE1088">
        <v>3</v>
      </c>
      <c r="AF1088">
        <v>4</v>
      </c>
      <c r="AG1088">
        <v>80</v>
      </c>
      <c r="AH1088">
        <v>0</v>
      </c>
      <c r="AI1088">
        <v>32</v>
      </c>
      <c r="AJ1088">
        <v>2</v>
      </c>
      <c r="AK1088">
        <v>3</v>
      </c>
      <c r="AL1088">
        <v>32</v>
      </c>
      <c r="AM1088">
        <v>6</v>
      </c>
      <c r="AN1088">
        <v>13</v>
      </c>
      <c r="AO1088">
        <v>9</v>
      </c>
      <c r="AP108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88" t="str">
        <f>IF(HRData[[#This Row],[Attrition]]="Yes","Left", IF(HRData[[#This Row],[Attrition_Risk_Score]]&gt;=6,"High",IF(HRData[[#This Row],[Attrition_Risk_Score]]&gt;=3,"Medium","Low")))</f>
        <v>Low</v>
      </c>
      <c r="AR1088" t="str">
        <f>IF(HRData[[#This Row],[Attrition_Risk_Level]]&lt;&gt;"High","",HRData[[#This Row],[Attrition_Risk_Score]]*10000-HRData[[#This Row],[EmployeeNumber]])</f>
        <v/>
      </c>
    </row>
    <row r="1089" spans="1:44">
      <c r="A1089">
        <v>34</v>
      </c>
      <c r="B1089" t="str" cm="1">
        <f t="array" ref="B1089">_xlfn.IFS(
HRData[[#This Row],[Age]]&lt;=24,"18-24",
HRData[[#This Row],[Age]]&lt;=34,"25-34",
HRData[[#This Row],[Age]]&lt;=44,"35-44",
HRData[[#This Row],[Age]]&lt;=54,"45-54",
HRData[[#This Row],[Age]]&gt;=55,"55+"
)</f>
        <v>25-34</v>
      </c>
      <c r="C1089" t="s">
        <v>43</v>
      </c>
      <c r="D1089">
        <f>IF(HRData[[#This Row],[Attrition]]="Yes",1,0)</f>
        <v>0</v>
      </c>
      <c r="E1089" t="s">
        <v>36</v>
      </c>
      <c r="F1089">
        <v>1440</v>
      </c>
      <c r="G1089" t="s">
        <v>37</v>
      </c>
      <c r="H1089">
        <v>7</v>
      </c>
      <c r="I1089">
        <v>2</v>
      </c>
      <c r="J1089" t="s">
        <v>60</v>
      </c>
      <c r="K1089">
        <v>1</v>
      </c>
      <c r="L1089">
        <v>1541</v>
      </c>
      <c r="M1089">
        <v>2</v>
      </c>
      <c r="N1089" t="str" cm="1">
        <f t="array" ref="N1089">_xlfn.IFS(HRData[[#This Row],[EnvironmentSatisfaction]]=1,"Very Dissatisfied",
HRData[[#This Row],[EnvironmentSatisfaction]]=2,"Dissatisfied",
HRData[[#This Row],[EnvironmentSatisfaction]]=3,"Satisfied",
HRData[[#This Row],[EnvironmentSatisfaction]]=4,"Very Satisfied"
)</f>
        <v>Dissatisfied</v>
      </c>
      <c r="O1089" t="s">
        <v>46</v>
      </c>
      <c r="P1089">
        <v>55</v>
      </c>
      <c r="Q1089">
        <v>3</v>
      </c>
      <c r="R1089">
        <v>1</v>
      </c>
      <c r="S1089" t="s">
        <v>57</v>
      </c>
      <c r="T1089">
        <v>3</v>
      </c>
      <c r="U1089" t="str" cm="1">
        <f t="array" ref="U1089">_xlfn.IFS(
HRData[[#This Row],[JobSatisfaction]]=1,"Very Dissatisfied",
HRData[[#This Row],[JobSatisfaction]]=2,"Dissatisfied",
HRData[[#This Row],[JobSatisfaction]]=3,"Satisfied",
HRData[[#This Row],[JobSatisfaction]]=4,"Very Satisfied"
)</f>
        <v>Satisfied</v>
      </c>
      <c r="V1089" t="s">
        <v>48</v>
      </c>
      <c r="W1089">
        <v>2308</v>
      </c>
      <c r="X1089" t="str" cm="1">
        <f t="array" ref="X1089">_xlfn.IFS(
HRData[[#This Row],[MonthlyIncome]]&lt;=4000,"Very Low Income",
HRData[[#This Row],[MonthlyIncome]]&lt;=8000,"Low Income",
HRData[[#This Row],[MonthlyIncome]]&lt;=12000,"Moderate Income",
HRData[[#This Row],[MonthlyIncome]]&lt;=16000,"High Income",
HRData[[#This Row],[MonthlyIncome]]&gt;16000,"Very High Income"
)</f>
        <v>Very Low Income</v>
      </c>
      <c r="Y1089">
        <v>4944</v>
      </c>
      <c r="Z1089">
        <v>0</v>
      </c>
      <c r="AA1089" t="s">
        <v>42</v>
      </c>
      <c r="AB1089" t="s">
        <v>35</v>
      </c>
      <c r="AC1089">
        <v>25</v>
      </c>
      <c r="AD1089" t="str" cm="1">
        <f t="array" ref="AD1089">_xlfn.IFS(HRData[[#This Row],[PercentSalaryHike]]&lt;=15,"11-15",HRData[[#This Row],[PercentSalaryHike]]&lt;=20,"16-20",HRData[[#This Row],[PercentSalaryHike]]&gt;=21,"21+")</f>
        <v>21+</v>
      </c>
      <c r="AE1089">
        <v>4</v>
      </c>
      <c r="AF1089">
        <v>2</v>
      </c>
      <c r="AG1089">
        <v>80</v>
      </c>
      <c r="AH1089">
        <v>1</v>
      </c>
      <c r="AI1089">
        <v>12</v>
      </c>
      <c r="AJ1089">
        <v>4</v>
      </c>
      <c r="AK1089">
        <v>3</v>
      </c>
      <c r="AL1089">
        <v>11</v>
      </c>
      <c r="AM1089">
        <v>10</v>
      </c>
      <c r="AN1089">
        <v>5</v>
      </c>
      <c r="AO1089">
        <v>7</v>
      </c>
      <c r="AP108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1089" t="str">
        <f>IF(HRData[[#This Row],[Attrition]]="Yes","Left", IF(HRData[[#This Row],[Attrition_Risk_Score]]&gt;=6,"High",IF(HRData[[#This Row],[Attrition_Risk_Score]]&gt;=3,"Medium","Low")))</f>
        <v>High</v>
      </c>
      <c r="AR1089">
        <f>IF(HRData[[#This Row],[Attrition_Risk_Level]]&lt;&gt;"High","",HRData[[#This Row],[Attrition_Risk_Score]]*10000-HRData[[#This Row],[EmployeeNumber]])</f>
        <v>68459</v>
      </c>
    </row>
    <row r="1090" spans="1:44">
      <c r="A1090">
        <v>42</v>
      </c>
      <c r="B1090" t="str" cm="1">
        <f t="array" ref="B1090">_xlfn.IFS(
HRData[[#This Row],[Age]]&lt;=24,"18-24",
HRData[[#This Row],[Age]]&lt;=34,"25-34",
HRData[[#This Row],[Age]]&lt;=44,"35-44",
HRData[[#This Row],[Age]]&lt;=54,"45-54",
HRData[[#This Row],[Age]]&gt;=55,"55+"
)</f>
        <v>35-44</v>
      </c>
      <c r="C1090" t="s">
        <v>43</v>
      </c>
      <c r="D1090">
        <f>IF(HRData[[#This Row],[Attrition]]="Yes",1,0)</f>
        <v>0</v>
      </c>
      <c r="E1090" t="s">
        <v>36</v>
      </c>
      <c r="F1090">
        <v>1210</v>
      </c>
      <c r="G1090" t="s">
        <v>45</v>
      </c>
      <c r="H1090">
        <v>2</v>
      </c>
      <c r="I1090">
        <v>3</v>
      </c>
      <c r="J1090" t="s">
        <v>51</v>
      </c>
      <c r="K1090">
        <v>1</v>
      </c>
      <c r="L1090">
        <v>1542</v>
      </c>
      <c r="M1090">
        <v>3</v>
      </c>
      <c r="N1090" t="str" cm="1">
        <f t="array" ref="N1090">_xlfn.IFS(HRData[[#This Row],[EnvironmentSatisfaction]]=1,"Very Dissatisfied",
HRData[[#This Row],[EnvironmentSatisfaction]]=2,"Dissatisfied",
HRData[[#This Row],[EnvironmentSatisfaction]]=3,"Satisfied",
HRData[[#This Row],[EnvironmentSatisfaction]]=4,"Very Satisfied"
)</f>
        <v>Satisfied</v>
      </c>
      <c r="O1090" t="s">
        <v>46</v>
      </c>
      <c r="P1090">
        <v>68</v>
      </c>
      <c r="Q1090">
        <v>2</v>
      </c>
      <c r="R1090">
        <v>1</v>
      </c>
      <c r="S1090" t="s">
        <v>50</v>
      </c>
      <c r="T1090">
        <v>2</v>
      </c>
      <c r="U1090" t="str" cm="1">
        <f t="array" ref="U1090">_xlfn.IFS(
HRData[[#This Row],[JobSatisfaction]]=1,"Very Dissatisfied",
HRData[[#This Row],[JobSatisfaction]]=2,"Dissatisfied",
HRData[[#This Row],[JobSatisfaction]]=3,"Satisfied",
HRData[[#This Row],[JobSatisfaction]]=4,"Very Satisfied"
)</f>
        <v>Dissatisfied</v>
      </c>
      <c r="V1090" t="s">
        <v>48</v>
      </c>
      <c r="W1090">
        <v>4841</v>
      </c>
      <c r="X1090" t="str" cm="1">
        <f t="array" ref="X1090">_xlfn.IFS(
HRData[[#This Row],[MonthlyIncome]]&lt;=4000,"Very Low Income",
HRData[[#This Row],[MonthlyIncome]]&lt;=8000,"Low Income",
HRData[[#This Row],[MonthlyIncome]]&lt;=12000,"Moderate Income",
HRData[[#This Row],[MonthlyIncome]]&lt;=16000,"High Income",
HRData[[#This Row],[MonthlyIncome]]&gt;16000,"Very High Income"
)</f>
        <v>Low Income</v>
      </c>
      <c r="Y1090">
        <v>24052</v>
      </c>
      <c r="Z1090">
        <v>4</v>
      </c>
      <c r="AA1090" t="s">
        <v>42</v>
      </c>
      <c r="AB1090" t="s">
        <v>43</v>
      </c>
      <c r="AC1090">
        <v>14</v>
      </c>
      <c r="AD1090" t="str" cm="1">
        <f t="array" ref="AD1090">_xlfn.IFS(HRData[[#This Row],[PercentSalaryHike]]&lt;=15,"11-15",HRData[[#This Row],[PercentSalaryHike]]&lt;=20,"16-20",HRData[[#This Row],[PercentSalaryHike]]&gt;=21,"21+")</f>
        <v>11-15</v>
      </c>
      <c r="AE1090">
        <v>3</v>
      </c>
      <c r="AF1090">
        <v>2</v>
      </c>
      <c r="AG1090">
        <v>80</v>
      </c>
      <c r="AH1090">
        <v>1</v>
      </c>
      <c r="AI1090">
        <v>4</v>
      </c>
      <c r="AJ1090">
        <v>3</v>
      </c>
      <c r="AK1090">
        <v>3</v>
      </c>
      <c r="AL1090">
        <v>1</v>
      </c>
      <c r="AM1090">
        <v>0</v>
      </c>
      <c r="AN1090">
        <v>0</v>
      </c>
      <c r="AO1090">
        <v>0</v>
      </c>
      <c r="AP109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90" t="str">
        <f>IF(HRData[[#This Row],[Attrition]]="Yes","Left", IF(HRData[[#This Row],[Attrition_Risk_Score]]&gt;=6,"High",IF(HRData[[#This Row],[Attrition_Risk_Score]]&gt;=3,"Medium","Low")))</f>
        <v>Low</v>
      </c>
      <c r="AR1090" t="str">
        <f>IF(HRData[[#This Row],[Attrition_Risk_Level]]&lt;&gt;"High","",HRData[[#This Row],[Attrition_Risk_Score]]*10000-HRData[[#This Row],[EmployeeNumber]])</f>
        <v/>
      </c>
    </row>
    <row r="1091" spans="1:44">
      <c r="A1091">
        <v>37</v>
      </c>
      <c r="B1091" t="str" cm="1">
        <f t="array" ref="B1091">_xlfn.IFS(
HRData[[#This Row],[Age]]&lt;=24,"18-24",
HRData[[#This Row],[Age]]&lt;=34,"25-34",
HRData[[#This Row],[Age]]&lt;=44,"35-44",
HRData[[#This Row],[Age]]&lt;=54,"45-54",
HRData[[#This Row],[Age]]&gt;=55,"55+"
)</f>
        <v>35-44</v>
      </c>
      <c r="C1091" t="s">
        <v>43</v>
      </c>
      <c r="D1091">
        <f>IF(HRData[[#This Row],[Attrition]]="Yes",1,0)</f>
        <v>0</v>
      </c>
      <c r="E1091" t="s">
        <v>36</v>
      </c>
      <c r="F1091">
        <v>674</v>
      </c>
      <c r="G1091" t="s">
        <v>45</v>
      </c>
      <c r="H1091">
        <v>13</v>
      </c>
      <c r="I1091">
        <v>3</v>
      </c>
      <c r="J1091" t="s">
        <v>51</v>
      </c>
      <c r="K1091">
        <v>1</v>
      </c>
      <c r="L1091">
        <v>1543</v>
      </c>
      <c r="M1091">
        <v>1</v>
      </c>
      <c r="N1091" t="str" cm="1">
        <f t="array" ref="N1091">_xlfn.IFS(HRData[[#This Row],[EnvironmentSatisfaction]]=1,"Very Dissatisfied",
HRData[[#This Row],[EnvironmentSatisfaction]]=2,"Dissatisfied",
HRData[[#This Row],[EnvironmentSatisfaction]]=3,"Satisfied",
HRData[[#This Row],[EnvironmentSatisfaction]]=4,"Very Satisfied"
)</f>
        <v>Very Dissatisfied</v>
      </c>
      <c r="O1091" t="s">
        <v>46</v>
      </c>
      <c r="P1091">
        <v>47</v>
      </c>
      <c r="Q1091">
        <v>3</v>
      </c>
      <c r="R1091">
        <v>2</v>
      </c>
      <c r="S1091" t="s">
        <v>47</v>
      </c>
      <c r="T1091">
        <v>4</v>
      </c>
      <c r="U1091" t="str" cm="1">
        <f t="array" ref="U1091">_xlfn.IFS(
HRData[[#This Row],[JobSatisfaction]]=1,"Very Dissatisfied",
HRData[[#This Row],[JobSatisfaction]]=2,"Dissatisfied",
HRData[[#This Row],[JobSatisfaction]]=3,"Satisfied",
HRData[[#This Row],[JobSatisfaction]]=4,"Very Satisfied"
)</f>
        <v>Very Satisfied</v>
      </c>
      <c r="V1091" t="s">
        <v>48</v>
      </c>
      <c r="W1091">
        <v>4285</v>
      </c>
      <c r="X1091" t="str" cm="1">
        <f t="array" ref="X1091">_xlfn.IFS(
HRData[[#This Row],[MonthlyIncome]]&lt;=4000,"Very Low Income",
HRData[[#This Row],[MonthlyIncome]]&lt;=8000,"Low Income",
HRData[[#This Row],[MonthlyIncome]]&lt;=12000,"Moderate Income",
HRData[[#This Row],[MonthlyIncome]]&lt;=16000,"High Income",
HRData[[#This Row],[MonthlyIncome]]&gt;16000,"Very High Income"
)</f>
        <v>Low Income</v>
      </c>
      <c r="Y1091">
        <v>3031</v>
      </c>
      <c r="Z1091">
        <v>1</v>
      </c>
      <c r="AA1091" t="s">
        <v>42</v>
      </c>
      <c r="AB1091" t="s">
        <v>43</v>
      </c>
      <c r="AC1091">
        <v>17</v>
      </c>
      <c r="AD1091" t="str" cm="1">
        <f t="array" ref="AD1091">_xlfn.IFS(HRData[[#This Row],[PercentSalaryHike]]&lt;=15,"11-15",HRData[[#This Row],[PercentSalaryHike]]&lt;=20,"16-20",HRData[[#This Row],[PercentSalaryHike]]&gt;=21,"21+")</f>
        <v>16-20</v>
      </c>
      <c r="AE1091">
        <v>3</v>
      </c>
      <c r="AF1091">
        <v>1</v>
      </c>
      <c r="AG1091">
        <v>80</v>
      </c>
      <c r="AH1091">
        <v>0</v>
      </c>
      <c r="AI1091">
        <v>10</v>
      </c>
      <c r="AJ1091">
        <v>2</v>
      </c>
      <c r="AK1091">
        <v>3</v>
      </c>
      <c r="AL1091">
        <v>10</v>
      </c>
      <c r="AM1091">
        <v>8</v>
      </c>
      <c r="AN1091">
        <v>3</v>
      </c>
      <c r="AO1091">
        <v>7</v>
      </c>
      <c r="AP109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091" t="str">
        <f>IF(HRData[[#This Row],[Attrition]]="Yes","Left", IF(HRData[[#This Row],[Attrition_Risk_Score]]&gt;=6,"High",IF(HRData[[#This Row],[Attrition_Risk_Score]]&gt;=3,"Medium","Low")))</f>
        <v>Low</v>
      </c>
      <c r="AR1091" t="str">
        <f>IF(HRData[[#This Row],[Attrition_Risk_Level]]&lt;&gt;"High","",HRData[[#This Row],[Attrition_Risk_Score]]*10000-HRData[[#This Row],[EmployeeNumber]])</f>
        <v/>
      </c>
    </row>
    <row r="1092" spans="1:44">
      <c r="A1092">
        <v>29</v>
      </c>
      <c r="B1092" t="str" cm="1">
        <f t="array" ref="B1092">_xlfn.IFS(
HRData[[#This Row],[Age]]&lt;=24,"18-24",
HRData[[#This Row],[Age]]&lt;=34,"25-34",
HRData[[#This Row],[Age]]&lt;=44,"35-44",
HRData[[#This Row],[Age]]&lt;=54,"45-54",
HRData[[#This Row],[Age]]&gt;=55,"55+"
)</f>
        <v>25-34</v>
      </c>
      <c r="C1092" t="s">
        <v>43</v>
      </c>
      <c r="D1092">
        <f>IF(HRData[[#This Row],[Attrition]]="Yes",1,0)</f>
        <v>0</v>
      </c>
      <c r="E1092" t="s">
        <v>36</v>
      </c>
      <c r="F1092">
        <v>441</v>
      </c>
      <c r="G1092" t="s">
        <v>45</v>
      </c>
      <c r="H1092">
        <v>8</v>
      </c>
      <c r="I1092">
        <v>1</v>
      </c>
      <c r="J1092" t="s">
        <v>49</v>
      </c>
      <c r="K1092">
        <v>1</v>
      </c>
      <c r="L1092">
        <v>1544</v>
      </c>
      <c r="M1092">
        <v>3</v>
      </c>
      <c r="N1092" t="str" cm="1">
        <f t="array" ref="N1092">_xlfn.IFS(HRData[[#This Row],[EnvironmentSatisfaction]]=1,"Very Dissatisfied",
HRData[[#This Row],[EnvironmentSatisfaction]]=2,"Dissatisfied",
HRData[[#This Row],[EnvironmentSatisfaction]]=3,"Satisfied",
HRData[[#This Row],[EnvironmentSatisfaction]]=4,"Very Satisfied"
)</f>
        <v>Satisfied</v>
      </c>
      <c r="O1092" t="s">
        <v>39</v>
      </c>
      <c r="P1092">
        <v>39</v>
      </c>
      <c r="Q1092">
        <v>1</v>
      </c>
      <c r="R1092">
        <v>2</v>
      </c>
      <c r="S1092" t="s">
        <v>54</v>
      </c>
      <c r="T1092">
        <v>1</v>
      </c>
      <c r="U1092" t="str" cm="1">
        <f t="array" ref="U1092">_xlfn.IFS(
HRData[[#This Row],[JobSatisfaction]]=1,"Very Dissatisfied",
HRData[[#This Row],[JobSatisfaction]]=2,"Dissatisfied",
HRData[[#This Row],[JobSatisfaction]]=3,"Satisfied",
HRData[[#This Row],[JobSatisfaction]]=4,"Very Satisfied"
)</f>
        <v>Very Dissatisfied</v>
      </c>
      <c r="V1092" t="s">
        <v>48</v>
      </c>
      <c r="W1092">
        <v>9715</v>
      </c>
      <c r="X1092" t="str" cm="1">
        <f t="array" ref="X1092">_xlfn.IFS(
HRData[[#This Row],[MonthlyIncome]]&lt;=4000,"Very Low Income",
HRData[[#This Row],[MonthlyIncome]]&lt;=8000,"Low Income",
HRData[[#This Row],[MonthlyIncome]]&lt;=12000,"Moderate Income",
HRData[[#This Row],[MonthlyIncome]]&lt;=16000,"High Income",
HRData[[#This Row],[MonthlyIncome]]&gt;16000,"Very High Income"
)</f>
        <v>Moderate Income</v>
      </c>
      <c r="Y1092">
        <v>7288</v>
      </c>
      <c r="Z1092">
        <v>3</v>
      </c>
      <c r="AA1092" t="s">
        <v>42</v>
      </c>
      <c r="AB1092" t="s">
        <v>43</v>
      </c>
      <c r="AC1092">
        <v>13</v>
      </c>
      <c r="AD1092" t="str" cm="1">
        <f t="array" ref="AD1092">_xlfn.IFS(HRData[[#This Row],[PercentSalaryHike]]&lt;=15,"11-15",HRData[[#This Row],[PercentSalaryHike]]&lt;=20,"16-20",HRData[[#This Row],[PercentSalaryHike]]&gt;=21,"21+")</f>
        <v>11-15</v>
      </c>
      <c r="AE1092">
        <v>3</v>
      </c>
      <c r="AF1092">
        <v>3</v>
      </c>
      <c r="AG1092">
        <v>80</v>
      </c>
      <c r="AH1092">
        <v>1</v>
      </c>
      <c r="AI1092">
        <v>9</v>
      </c>
      <c r="AJ1092">
        <v>3</v>
      </c>
      <c r="AK1092">
        <v>3</v>
      </c>
      <c r="AL1092">
        <v>7</v>
      </c>
      <c r="AM1092">
        <v>7</v>
      </c>
      <c r="AN1092">
        <v>0</v>
      </c>
      <c r="AO1092">
        <v>7</v>
      </c>
      <c r="AP109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92" t="str">
        <f>IF(HRData[[#This Row],[Attrition]]="Yes","Left", IF(HRData[[#This Row],[Attrition_Risk_Score]]&gt;=6,"High",IF(HRData[[#This Row],[Attrition_Risk_Score]]&gt;=3,"Medium","Low")))</f>
        <v>Medium</v>
      </c>
      <c r="AR1092" t="str">
        <f>IF(HRData[[#This Row],[Attrition_Risk_Level]]&lt;&gt;"High","",HRData[[#This Row],[Attrition_Risk_Score]]*10000-HRData[[#This Row],[EmployeeNumber]])</f>
        <v/>
      </c>
    </row>
    <row r="1093" spans="1:44">
      <c r="A1093">
        <v>33</v>
      </c>
      <c r="B1093" t="str" cm="1">
        <f t="array" ref="B1093">_xlfn.IFS(
HRData[[#This Row],[Age]]&lt;=24,"18-24",
HRData[[#This Row],[Age]]&lt;=34,"25-34",
HRData[[#This Row],[Age]]&lt;=44,"35-44",
HRData[[#This Row],[Age]]&lt;=54,"45-54",
HRData[[#This Row],[Age]]&gt;=55,"55+"
)</f>
        <v>25-34</v>
      </c>
      <c r="C1093" t="s">
        <v>43</v>
      </c>
      <c r="D1093">
        <f>IF(HRData[[#This Row],[Attrition]]="Yes",1,0)</f>
        <v>0</v>
      </c>
      <c r="E1093" t="s">
        <v>36</v>
      </c>
      <c r="F1093">
        <v>575</v>
      </c>
      <c r="G1093" t="s">
        <v>45</v>
      </c>
      <c r="H1093">
        <v>25</v>
      </c>
      <c r="I1093">
        <v>3</v>
      </c>
      <c r="J1093" t="s">
        <v>38</v>
      </c>
      <c r="K1093">
        <v>1</v>
      </c>
      <c r="L1093">
        <v>1545</v>
      </c>
      <c r="M1093">
        <v>4</v>
      </c>
      <c r="N1093" t="str" cm="1">
        <f t="array" ref="N1093">_xlfn.IFS(HRData[[#This Row],[EnvironmentSatisfaction]]=1,"Very Dissatisfied",
HRData[[#This Row],[EnvironmentSatisfaction]]=2,"Dissatisfied",
HRData[[#This Row],[EnvironmentSatisfaction]]=3,"Satisfied",
HRData[[#This Row],[EnvironmentSatisfaction]]=4,"Very Satisfied"
)</f>
        <v>Very Satisfied</v>
      </c>
      <c r="O1093" t="s">
        <v>46</v>
      </c>
      <c r="P1093">
        <v>44</v>
      </c>
      <c r="Q1093">
        <v>2</v>
      </c>
      <c r="R1093">
        <v>2</v>
      </c>
      <c r="S1093" t="s">
        <v>53</v>
      </c>
      <c r="T1093">
        <v>2</v>
      </c>
      <c r="U1093" t="str" cm="1">
        <f t="array" ref="U1093">_xlfn.IFS(
HRData[[#This Row],[JobSatisfaction]]=1,"Very Dissatisfied",
HRData[[#This Row],[JobSatisfaction]]=2,"Dissatisfied",
HRData[[#This Row],[JobSatisfaction]]=3,"Satisfied",
HRData[[#This Row],[JobSatisfaction]]=4,"Very Satisfied"
)</f>
        <v>Dissatisfied</v>
      </c>
      <c r="V1093" t="s">
        <v>41</v>
      </c>
      <c r="W1093">
        <v>4320</v>
      </c>
      <c r="X1093" t="str" cm="1">
        <f t="array" ref="X1093">_xlfn.IFS(
HRData[[#This Row],[MonthlyIncome]]&lt;=4000,"Very Low Income",
HRData[[#This Row],[MonthlyIncome]]&lt;=8000,"Low Income",
HRData[[#This Row],[MonthlyIncome]]&lt;=12000,"Moderate Income",
HRData[[#This Row],[MonthlyIncome]]&lt;=16000,"High Income",
HRData[[#This Row],[MonthlyIncome]]&gt;16000,"Very High Income"
)</f>
        <v>Low Income</v>
      </c>
      <c r="Y1093">
        <v>24152</v>
      </c>
      <c r="Z1093">
        <v>1</v>
      </c>
      <c r="AA1093" t="s">
        <v>42</v>
      </c>
      <c r="AB1093" t="s">
        <v>43</v>
      </c>
      <c r="AC1093">
        <v>13</v>
      </c>
      <c r="AD1093" t="str" cm="1">
        <f t="array" ref="AD1093">_xlfn.IFS(HRData[[#This Row],[PercentSalaryHike]]&lt;=15,"11-15",HRData[[#This Row],[PercentSalaryHike]]&lt;=20,"16-20",HRData[[#This Row],[PercentSalaryHike]]&gt;=21,"21+")</f>
        <v>11-15</v>
      </c>
      <c r="AE1093">
        <v>3</v>
      </c>
      <c r="AF1093">
        <v>4</v>
      </c>
      <c r="AG1093">
        <v>80</v>
      </c>
      <c r="AH1093">
        <v>0</v>
      </c>
      <c r="AI1093">
        <v>5</v>
      </c>
      <c r="AJ1093">
        <v>2</v>
      </c>
      <c r="AK1093">
        <v>3</v>
      </c>
      <c r="AL1093">
        <v>5</v>
      </c>
      <c r="AM1093">
        <v>3</v>
      </c>
      <c r="AN1093">
        <v>0</v>
      </c>
      <c r="AO1093">
        <v>2</v>
      </c>
      <c r="AP109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93" t="str">
        <f>IF(HRData[[#This Row],[Attrition]]="Yes","Left", IF(HRData[[#This Row],[Attrition_Risk_Score]]&gt;=6,"High",IF(HRData[[#This Row],[Attrition_Risk_Score]]&gt;=3,"Medium","Low")))</f>
        <v>Low</v>
      </c>
      <c r="AR1093" t="str">
        <f>IF(HRData[[#This Row],[Attrition_Risk_Level]]&lt;&gt;"High","",HRData[[#This Row],[Attrition_Risk_Score]]*10000-HRData[[#This Row],[EmployeeNumber]])</f>
        <v/>
      </c>
    </row>
    <row r="1094" spans="1:44">
      <c r="A1094">
        <v>45</v>
      </c>
      <c r="B1094" t="str" cm="1">
        <f t="array" ref="B1094">_xlfn.IFS(
HRData[[#This Row],[Age]]&lt;=24,"18-24",
HRData[[#This Row],[Age]]&lt;=34,"25-34",
HRData[[#This Row],[Age]]&lt;=44,"35-44",
HRData[[#This Row],[Age]]&lt;=54,"45-54",
HRData[[#This Row],[Age]]&gt;=55,"55+"
)</f>
        <v>45-54</v>
      </c>
      <c r="C1094" t="s">
        <v>43</v>
      </c>
      <c r="D1094">
        <f>IF(HRData[[#This Row],[Attrition]]="Yes",1,0)</f>
        <v>0</v>
      </c>
      <c r="E1094" t="s">
        <v>36</v>
      </c>
      <c r="F1094">
        <v>950</v>
      </c>
      <c r="G1094" t="s">
        <v>45</v>
      </c>
      <c r="H1094">
        <v>28</v>
      </c>
      <c r="I1094">
        <v>3</v>
      </c>
      <c r="J1094" t="s">
        <v>60</v>
      </c>
      <c r="K1094">
        <v>1</v>
      </c>
      <c r="L1094">
        <v>1546</v>
      </c>
      <c r="M1094">
        <v>4</v>
      </c>
      <c r="N1094" t="str" cm="1">
        <f t="array" ref="N1094">_xlfn.IFS(HRData[[#This Row],[EnvironmentSatisfaction]]=1,"Very Dissatisfied",
HRData[[#This Row],[EnvironmentSatisfaction]]=2,"Dissatisfied",
HRData[[#This Row],[EnvironmentSatisfaction]]=3,"Satisfied",
HRData[[#This Row],[EnvironmentSatisfaction]]=4,"Very Satisfied"
)</f>
        <v>Very Satisfied</v>
      </c>
      <c r="O1094" t="s">
        <v>46</v>
      </c>
      <c r="P1094">
        <v>97</v>
      </c>
      <c r="Q1094">
        <v>3</v>
      </c>
      <c r="R1094">
        <v>1</v>
      </c>
      <c r="S1094" t="s">
        <v>47</v>
      </c>
      <c r="T1094">
        <v>4</v>
      </c>
      <c r="U1094" t="str" cm="1">
        <f t="array" ref="U1094">_xlfn.IFS(
HRData[[#This Row],[JobSatisfaction]]=1,"Very Dissatisfied",
HRData[[#This Row],[JobSatisfaction]]=2,"Dissatisfied",
HRData[[#This Row],[JobSatisfaction]]=3,"Satisfied",
HRData[[#This Row],[JobSatisfaction]]=4,"Very Satisfied"
)</f>
        <v>Very Satisfied</v>
      </c>
      <c r="V1094" t="s">
        <v>48</v>
      </c>
      <c r="W1094">
        <v>2132</v>
      </c>
      <c r="X1094" t="str" cm="1">
        <f t="array" ref="X1094">_xlfn.IFS(
HRData[[#This Row],[MonthlyIncome]]&lt;=4000,"Very Low Income",
HRData[[#This Row],[MonthlyIncome]]&lt;=8000,"Low Income",
HRData[[#This Row],[MonthlyIncome]]&lt;=12000,"Moderate Income",
HRData[[#This Row],[MonthlyIncome]]&lt;=16000,"High Income",
HRData[[#This Row],[MonthlyIncome]]&gt;16000,"Very High Income"
)</f>
        <v>Very Low Income</v>
      </c>
      <c r="Y1094">
        <v>4585</v>
      </c>
      <c r="Z1094">
        <v>4</v>
      </c>
      <c r="AA1094" t="s">
        <v>42</v>
      </c>
      <c r="AB1094" t="s">
        <v>43</v>
      </c>
      <c r="AC1094">
        <v>20</v>
      </c>
      <c r="AD1094" t="str" cm="1">
        <f t="array" ref="AD1094">_xlfn.IFS(HRData[[#This Row],[PercentSalaryHike]]&lt;=15,"11-15",HRData[[#This Row],[PercentSalaryHike]]&lt;=20,"16-20",HRData[[#This Row],[PercentSalaryHike]]&gt;=21,"21+")</f>
        <v>16-20</v>
      </c>
      <c r="AE1094">
        <v>4</v>
      </c>
      <c r="AF1094">
        <v>4</v>
      </c>
      <c r="AG1094">
        <v>80</v>
      </c>
      <c r="AH1094">
        <v>1</v>
      </c>
      <c r="AI1094">
        <v>8</v>
      </c>
      <c r="AJ1094">
        <v>3</v>
      </c>
      <c r="AK1094">
        <v>3</v>
      </c>
      <c r="AL1094">
        <v>5</v>
      </c>
      <c r="AM1094">
        <v>4</v>
      </c>
      <c r="AN1094">
        <v>0</v>
      </c>
      <c r="AO1094">
        <v>3</v>
      </c>
      <c r="AP109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94" t="str">
        <f>IF(HRData[[#This Row],[Attrition]]="Yes","Left", IF(HRData[[#This Row],[Attrition_Risk_Score]]&gt;=6,"High",IF(HRData[[#This Row],[Attrition_Risk_Score]]&gt;=3,"Medium","Low")))</f>
        <v>Low</v>
      </c>
      <c r="AR1094" t="str">
        <f>IF(HRData[[#This Row],[Attrition_Risk_Level]]&lt;&gt;"High","",HRData[[#This Row],[Attrition_Risk_Score]]*10000-HRData[[#This Row],[EmployeeNumber]])</f>
        <v/>
      </c>
    </row>
    <row r="1095" spans="1:44">
      <c r="A1095">
        <v>42</v>
      </c>
      <c r="B1095" t="str" cm="1">
        <f t="array" ref="B1095">_xlfn.IFS(
HRData[[#This Row],[Age]]&lt;=24,"18-24",
HRData[[#This Row],[Age]]&lt;=34,"25-34",
HRData[[#This Row],[Age]]&lt;=44,"35-44",
HRData[[#This Row],[Age]]&lt;=54,"45-54",
HRData[[#This Row],[Age]]&gt;=55,"55+"
)</f>
        <v>35-44</v>
      </c>
      <c r="C1095" t="s">
        <v>43</v>
      </c>
      <c r="D1095">
        <f>IF(HRData[[#This Row],[Attrition]]="Yes",1,0)</f>
        <v>0</v>
      </c>
      <c r="E1095" t="s">
        <v>44</v>
      </c>
      <c r="F1095">
        <v>288</v>
      </c>
      <c r="G1095" t="s">
        <v>45</v>
      </c>
      <c r="H1095">
        <v>2</v>
      </c>
      <c r="I1095">
        <v>3</v>
      </c>
      <c r="J1095" t="s">
        <v>38</v>
      </c>
      <c r="K1095">
        <v>1</v>
      </c>
      <c r="L1095">
        <v>1547</v>
      </c>
      <c r="M1095">
        <v>4</v>
      </c>
      <c r="N1095" t="str" cm="1">
        <f t="array" ref="N1095">_xlfn.IFS(HRData[[#This Row],[EnvironmentSatisfaction]]=1,"Very Dissatisfied",
HRData[[#This Row],[EnvironmentSatisfaction]]=2,"Dissatisfied",
HRData[[#This Row],[EnvironmentSatisfaction]]=3,"Satisfied",
HRData[[#This Row],[EnvironmentSatisfaction]]=4,"Very Satisfied"
)</f>
        <v>Very Satisfied</v>
      </c>
      <c r="O1095" t="s">
        <v>46</v>
      </c>
      <c r="P1095">
        <v>40</v>
      </c>
      <c r="Q1095">
        <v>3</v>
      </c>
      <c r="R1095">
        <v>3</v>
      </c>
      <c r="S1095" t="s">
        <v>54</v>
      </c>
      <c r="T1095">
        <v>4</v>
      </c>
      <c r="U1095" t="str" cm="1">
        <f t="array" ref="U1095">_xlfn.IFS(
HRData[[#This Row],[JobSatisfaction]]=1,"Very Dissatisfied",
HRData[[#This Row],[JobSatisfaction]]=2,"Dissatisfied",
HRData[[#This Row],[JobSatisfaction]]=3,"Satisfied",
HRData[[#This Row],[JobSatisfaction]]=4,"Very Satisfied"
)</f>
        <v>Very Satisfied</v>
      </c>
      <c r="V1095" t="s">
        <v>48</v>
      </c>
      <c r="W1095">
        <v>10124</v>
      </c>
      <c r="X1095" t="str" cm="1">
        <f t="array" ref="X1095">_xlfn.IFS(
HRData[[#This Row],[MonthlyIncome]]&lt;=4000,"Very Low Income",
HRData[[#This Row],[MonthlyIncome]]&lt;=8000,"Low Income",
HRData[[#This Row],[MonthlyIncome]]&lt;=12000,"Moderate Income",
HRData[[#This Row],[MonthlyIncome]]&lt;=16000,"High Income",
HRData[[#This Row],[MonthlyIncome]]&gt;16000,"Very High Income"
)</f>
        <v>Moderate Income</v>
      </c>
      <c r="Y1095">
        <v>18611</v>
      </c>
      <c r="Z1095">
        <v>2</v>
      </c>
      <c r="AA1095" t="s">
        <v>42</v>
      </c>
      <c r="AB1095" t="s">
        <v>35</v>
      </c>
      <c r="AC1095">
        <v>14</v>
      </c>
      <c r="AD1095" t="str" cm="1">
        <f t="array" ref="AD1095">_xlfn.IFS(HRData[[#This Row],[PercentSalaryHike]]&lt;=15,"11-15",HRData[[#This Row],[PercentSalaryHike]]&lt;=20,"16-20",HRData[[#This Row],[PercentSalaryHike]]&gt;=21,"21+")</f>
        <v>11-15</v>
      </c>
      <c r="AE1095">
        <v>3</v>
      </c>
      <c r="AF1095">
        <v>3</v>
      </c>
      <c r="AG1095">
        <v>80</v>
      </c>
      <c r="AH1095">
        <v>1</v>
      </c>
      <c r="AI1095">
        <v>24</v>
      </c>
      <c r="AJ1095">
        <v>3</v>
      </c>
      <c r="AK1095">
        <v>1</v>
      </c>
      <c r="AL1095">
        <v>20</v>
      </c>
      <c r="AM1095">
        <v>8</v>
      </c>
      <c r="AN1095">
        <v>13</v>
      </c>
      <c r="AO1095">
        <v>9</v>
      </c>
      <c r="AP109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95" t="str">
        <f>IF(HRData[[#This Row],[Attrition]]="Yes","Left", IF(HRData[[#This Row],[Attrition_Risk_Score]]&gt;=6,"High",IF(HRData[[#This Row],[Attrition_Risk_Score]]&gt;=3,"Medium","Low")))</f>
        <v>Low</v>
      </c>
      <c r="AR1095" t="str">
        <f>IF(HRData[[#This Row],[Attrition_Risk_Level]]&lt;&gt;"High","",HRData[[#This Row],[Attrition_Risk_Score]]*10000-HRData[[#This Row],[EmployeeNumber]])</f>
        <v/>
      </c>
    </row>
    <row r="1096" spans="1:44">
      <c r="A1096">
        <v>40</v>
      </c>
      <c r="B1096" t="str" cm="1">
        <f t="array" ref="B1096">_xlfn.IFS(
HRData[[#This Row],[Age]]&lt;=24,"18-24",
HRData[[#This Row],[Age]]&lt;=34,"25-34",
HRData[[#This Row],[Age]]&lt;=44,"35-44",
HRData[[#This Row],[Age]]&lt;=54,"45-54",
HRData[[#This Row],[Age]]&gt;=55,"55+"
)</f>
        <v>35-44</v>
      </c>
      <c r="C1096" t="s">
        <v>43</v>
      </c>
      <c r="D1096">
        <f>IF(HRData[[#This Row],[Attrition]]="Yes",1,0)</f>
        <v>0</v>
      </c>
      <c r="E1096" t="s">
        <v>36</v>
      </c>
      <c r="F1096">
        <v>1342</v>
      </c>
      <c r="G1096" t="s">
        <v>37</v>
      </c>
      <c r="H1096">
        <v>9</v>
      </c>
      <c r="I1096">
        <v>2</v>
      </c>
      <c r="J1096" t="s">
        <v>51</v>
      </c>
      <c r="K1096">
        <v>1</v>
      </c>
      <c r="L1096">
        <v>1548</v>
      </c>
      <c r="M1096">
        <v>1</v>
      </c>
      <c r="N1096" t="str" cm="1">
        <f t="array" ref="N1096">_xlfn.IFS(HRData[[#This Row],[EnvironmentSatisfaction]]=1,"Very Dissatisfied",
HRData[[#This Row],[EnvironmentSatisfaction]]=2,"Dissatisfied",
HRData[[#This Row],[EnvironmentSatisfaction]]=3,"Satisfied",
HRData[[#This Row],[EnvironmentSatisfaction]]=4,"Very Satisfied"
)</f>
        <v>Very Dissatisfied</v>
      </c>
      <c r="O1096" t="s">
        <v>46</v>
      </c>
      <c r="P1096">
        <v>47</v>
      </c>
      <c r="Q1096">
        <v>3</v>
      </c>
      <c r="R1096">
        <v>2</v>
      </c>
      <c r="S1096" t="s">
        <v>40</v>
      </c>
      <c r="T1096">
        <v>1</v>
      </c>
      <c r="U1096" t="str" cm="1">
        <f t="array" ref="U1096">_xlfn.IFS(
HRData[[#This Row],[JobSatisfaction]]=1,"Very Dissatisfied",
HRData[[#This Row],[JobSatisfaction]]=2,"Dissatisfied",
HRData[[#This Row],[JobSatisfaction]]=3,"Satisfied",
HRData[[#This Row],[JobSatisfaction]]=4,"Very Satisfied"
)</f>
        <v>Very Dissatisfied</v>
      </c>
      <c r="V1096" t="s">
        <v>48</v>
      </c>
      <c r="W1096">
        <v>5473</v>
      </c>
      <c r="X1096" t="str" cm="1">
        <f t="array" ref="X1096">_xlfn.IFS(
HRData[[#This Row],[MonthlyIncome]]&lt;=4000,"Very Low Income",
HRData[[#This Row],[MonthlyIncome]]&lt;=8000,"Low Income",
HRData[[#This Row],[MonthlyIncome]]&lt;=12000,"Moderate Income",
HRData[[#This Row],[MonthlyIncome]]&lt;=16000,"High Income",
HRData[[#This Row],[MonthlyIncome]]&gt;16000,"Very High Income"
)</f>
        <v>Low Income</v>
      </c>
      <c r="Y1096">
        <v>19345</v>
      </c>
      <c r="Z1096">
        <v>0</v>
      </c>
      <c r="AA1096" t="s">
        <v>42</v>
      </c>
      <c r="AB1096" t="s">
        <v>43</v>
      </c>
      <c r="AC1096">
        <v>12</v>
      </c>
      <c r="AD1096" t="str" cm="1">
        <f t="array" ref="AD1096">_xlfn.IFS(HRData[[#This Row],[PercentSalaryHike]]&lt;=15,"11-15",HRData[[#This Row],[PercentSalaryHike]]&lt;=20,"16-20",HRData[[#This Row],[PercentSalaryHike]]&gt;=21,"21+")</f>
        <v>11-15</v>
      </c>
      <c r="AE1096">
        <v>3</v>
      </c>
      <c r="AF1096">
        <v>4</v>
      </c>
      <c r="AG1096">
        <v>80</v>
      </c>
      <c r="AH1096">
        <v>0</v>
      </c>
      <c r="AI1096">
        <v>9</v>
      </c>
      <c r="AJ1096">
        <v>5</v>
      </c>
      <c r="AK1096">
        <v>4</v>
      </c>
      <c r="AL1096">
        <v>8</v>
      </c>
      <c r="AM1096">
        <v>4</v>
      </c>
      <c r="AN1096">
        <v>7</v>
      </c>
      <c r="AO1096">
        <v>1</v>
      </c>
      <c r="AP109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96" t="str">
        <f>IF(HRData[[#This Row],[Attrition]]="Yes","Left", IF(HRData[[#This Row],[Attrition_Risk_Score]]&gt;=6,"High",IF(HRData[[#This Row],[Attrition_Risk_Score]]&gt;=3,"Medium","Low")))</f>
        <v>Medium</v>
      </c>
      <c r="AR1096" t="str">
        <f>IF(HRData[[#This Row],[Attrition_Risk_Level]]&lt;&gt;"High","",HRData[[#This Row],[Attrition_Risk_Score]]*10000-HRData[[#This Row],[EmployeeNumber]])</f>
        <v/>
      </c>
    </row>
    <row r="1097" spans="1:44">
      <c r="A1097">
        <v>33</v>
      </c>
      <c r="B1097" t="str" cm="1">
        <f t="array" ref="B1097">_xlfn.IFS(
HRData[[#This Row],[Age]]&lt;=24,"18-24",
HRData[[#This Row],[Age]]&lt;=34,"25-34",
HRData[[#This Row],[Age]]&lt;=44,"35-44",
HRData[[#This Row],[Age]]&lt;=54,"45-54",
HRData[[#This Row],[Age]]&gt;=55,"55+"
)</f>
        <v>25-34</v>
      </c>
      <c r="C1097" t="s">
        <v>43</v>
      </c>
      <c r="D1097">
        <f>IF(HRData[[#This Row],[Attrition]]="Yes",1,0)</f>
        <v>0</v>
      </c>
      <c r="E1097" t="s">
        <v>36</v>
      </c>
      <c r="F1097">
        <v>589</v>
      </c>
      <c r="G1097" t="s">
        <v>45</v>
      </c>
      <c r="H1097">
        <v>28</v>
      </c>
      <c r="I1097">
        <v>4</v>
      </c>
      <c r="J1097" t="s">
        <v>38</v>
      </c>
      <c r="K1097">
        <v>1</v>
      </c>
      <c r="L1097">
        <v>1549</v>
      </c>
      <c r="M1097">
        <v>2</v>
      </c>
      <c r="N1097" t="str" cm="1">
        <f t="array" ref="N1097">_xlfn.IFS(HRData[[#This Row],[EnvironmentSatisfaction]]=1,"Very Dissatisfied",
HRData[[#This Row],[EnvironmentSatisfaction]]=2,"Dissatisfied",
HRData[[#This Row],[EnvironmentSatisfaction]]=3,"Satisfied",
HRData[[#This Row],[EnvironmentSatisfaction]]=4,"Very Satisfied"
)</f>
        <v>Dissatisfied</v>
      </c>
      <c r="O1097" t="s">
        <v>46</v>
      </c>
      <c r="P1097">
        <v>79</v>
      </c>
      <c r="Q1097">
        <v>3</v>
      </c>
      <c r="R1097">
        <v>2</v>
      </c>
      <c r="S1097" t="s">
        <v>50</v>
      </c>
      <c r="T1097">
        <v>3</v>
      </c>
      <c r="U1097" t="str" cm="1">
        <f t="array" ref="U1097">_xlfn.IFS(
HRData[[#This Row],[JobSatisfaction]]=1,"Very Dissatisfied",
HRData[[#This Row],[JobSatisfaction]]=2,"Dissatisfied",
HRData[[#This Row],[JobSatisfaction]]=3,"Satisfied",
HRData[[#This Row],[JobSatisfaction]]=4,"Very Satisfied"
)</f>
        <v>Satisfied</v>
      </c>
      <c r="V1097" t="s">
        <v>48</v>
      </c>
      <c r="W1097">
        <v>5207</v>
      </c>
      <c r="X1097" t="str" cm="1">
        <f t="array" ref="X1097">_xlfn.IFS(
HRData[[#This Row],[MonthlyIncome]]&lt;=4000,"Very Low Income",
HRData[[#This Row],[MonthlyIncome]]&lt;=8000,"Low Income",
HRData[[#This Row],[MonthlyIncome]]&lt;=12000,"Moderate Income",
HRData[[#This Row],[MonthlyIncome]]&lt;=16000,"High Income",
HRData[[#This Row],[MonthlyIncome]]&gt;16000,"Very High Income"
)</f>
        <v>Low Income</v>
      </c>
      <c r="Y1097">
        <v>22949</v>
      </c>
      <c r="Z1097">
        <v>1</v>
      </c>
      <c r="AA1097" t="s">
        <v>42</v>
      </c>
      <c r="AB1097" t="s">
        <v>35</v>
      </c>
      <c r="AC1097">
        <v>12</v>
      </c>
      <c r="AD1097" t="str" cm="1">
        <f t="array" ref="AD1097">_xlfn.IFS(HRData[[#This Row],[PercentSalaryHike]]&lt;=15,"11-15",HRData[[#This Row],[PercentSalaryHike]]&lt;=20,"16-20",HRData[[#This Row],[PercentSalaryHike]]&gt;=21,"21+")</f>
        <v>11-15</v>
      </c>
      <c r="AE1097">
        <v>3</v>
      </c>
      <c r="AF1097">
        <v>2</v>
      </c>
      <c r="AG1097">
        <v>80</v>
      </c>
      <c r="AH1097">
        <v>1</v>
      </c>
      <c r="AI1097">
        <v>15</v>
      </c>
      <c r="AJ1097">
        <v>3</v>
      </c>
      <c r="AK1097">
        <v>3</v>
      </c>
      <c r="AL1097">
        <v>15</v>
      </c>
      <c r="AM1097">
        <v>14</v>
      </c>
      <c r="AN1097">
        <v>5</v>
      </c>
      <c r="AO1097">
        <v>7</v>
      </c>
      <c r="AP109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097" t="str">
        <f>IF(HRData[[#This Row],[Attrition]]="Yes","Left", IF(HRData[[#This Row],[Attrition_Risk_Score]]&gt;=6,"High",IF(HRData[[#This Row],[Attrition_Risk_Score]]&gt;=3,"Medium","Low")))</f>
        <v>Medium</v>
      </c>
      <c r="AR1097" t="str">
        <f>IF(HRData[[#This Row],[Attrition_Risk_Level]]&lt;&gt;"High","",HRData[[#This Row],[Attrition_Risk_Score]]*10000-HRData[[#This Row],[EmployeeNumber]])</f>
        <v/>
      </c>
    </row>
    <row r="1098" spans="1:44">
      <c r="A1098">
        <v>40</v>
      </c>
      <c r="B1098" t="str" cm="1">
        <f t="array" ref="B1098">_xlfn.IFS(
HRData[[#This Row],[Age]]&lt;=24,"18-24",
HRData[[#This Row],[Age]]&lt;=34,"25-34",
HRData[[#This Row],[Age]]&lt;=44,"35-44",
HRData[[#This Row],[Age]]&lt;=54,"45-54",
HRData[[#This Row],[Age]]&gt;=55,"55+"
)</f>
        <v>35-44</v>
      </c>
      <c r="C1098" t="s">
        <v>43</v>
      </c>
      <c r="D1098">
        <f>IF(HRData[[#This Row],[Attrition]]="Yes",1,0)</f>
        <v>0</v>
      </c>
      <c r="E1098" t="s">
        <v>36</v>
      </c>
      <c r="F1098">
        <v>898</v>
      </c>
      <c r="G1098" t="s">
        <v>61</v>
      </c>
      <c r="H1098">
        <v>6</v>
      </c>
      <c r="I1098">
        <v>2</v>
      </c>
      <c r="J1098" t="s">
        <v>51</v>
      </c>
      <c r="K1098">
        <v>1</v>
      </c>
      <c r="L1098">
        <v>1550</v>
      </c>
      <c r="M1098">
        <v>3</v>
      </c>
      <c r="N1098" t="str" cm="1">
        <f t="array" ref="N1098">_xlfn.IFS(HRData[[#This Row],[EnvironmentSatisfaction]]=1,"Very Dissatisfied",
HRData[[#This Row],[EnvironmentSatisfaction]]=2,"Dissatisfied",
HRData[[#This Row],[EnvironmentSatisfaction]]=3,"Satisfied",
HRData[[#This Row],[EnvironmentSatisfaction]]=4,"Very Satisfied"
)</f>
        <v>Satisfied</v>
      </c>
      <c r="O1098" t="s">
        <v>46</v>
      </c>
      <c r="P1098">
        <v>38</v>
      </c>
      <c r="Q1098">
        <v>3</v>
      </c>
      <c r="R1098">
        <v>4</v>
      </c>
      <c r="S1098" t="s">
        <v>56</v>
      </c>
      <c r="T1098">
        <v>4</v>
      </c>
      <c r="U1098" t="str" cm="1">
        <f t="array" ref="U1098">_xlfn.IFS(
HRData[[#This Row],[JobSatisfaction]]=1,"Very Dissatisfied",
HRData[[#This Row],[JobSatisfaction]]=2,"Dissatisfied",
HRData[[#This Row],[JobSatisfaction]]=3,"Satisfied",
HRData[[#This Row],[JobSatisfaction]]=4,"Very Satisfied"
)</f>
        <v>Very Satisfied</v>
      </c>
      <c r="V1098" t="s">
        <v>41</v>
      </c>
      <c r="W1098">
        <v>16437</v>
      </c>
      <c r="X1098" t="str" cm="1">
        <f t="array" ref="X1098">_xlfn.IFS(
HRData[[#This Row],[MonthlyIncome]]&lt;=4000,"Very Low Income",
HRData[[#This Row],[MonthlyIncome]]&lt;=8000,"Low Income",
HRData[[#This Row],[MonthlyIncome]]&lt;=12000,"Moderate Income",
HRData[[#This Row],[MonthlyIncome]]&lt;=16000,"High Income",
HRData[[#This Row],[MonthlyIncome]]&gt;16000,"Very High Income"
)</f>
        <v>Very High Income</v>
      </c>
      <c r="Y1098">
        <v>17381</v>
      </c>
      <c r="Z1098">
        <v>1</v>
      </c>
      <c r="AA1098" t="s">
        <v>42</v>
      </c>
      <c r="AB1098" t="s">
        <v>35</v>
      </c>
      <c r="AC1098">
        <v>21</v>
      </c>
      <c r="AD1098" t="str" cm="1">
        <f t="array" ref="AD1098">_xlfn.IFS(HRData[[#This Row],[PercentSalaryHike]]&lt;=15,"11-15",HRData[[#This Row],[PercentSalaryHike]]&lt;=20,"16-20",HRData[[#This Row],[PercentSalaryHike]]&gt;=21,"21+")</f>
        <v>21+</v>
      </c>
      <c r="AE1098">
        <v>4</v>
      </c>
      <c r="AF1098">
        <v>4</v>
      </c>
      <c r="AG1098">
        <v>80</v>
      </c>
      <c r="AH1098">
        <v>0</v>
      </c>
      <c r="AI1098">
        <v>21</v>
      </c>
      <c r="AJ1098">
        <v>2</v>
      </c>
      <c r="AK1098">
        <v>3</v>
      </c>
      <c r="AL1098">
        <v>21</v>
      </c>
      <c r="AM1098">
        <v>7</v>
      </c>
      <c r="AN1098">
        <v>7</v>
      </c>
      <c r="AO1098">
        <v>7</v>
      </c>
      <c r="AP109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98" t="str">
        <f>IF(HRData[[#This Row],[Attrition]]="Yes","Left", IF(HRData[[#This Row],[Attrition_Risk_Score]]&gt;=6,"High",IF(HRData[[#This Row],[Attrition_Risk_Score]]&gt;=3,"Medium","Low")))</f>
        <v>Low</v>
      </c>
      <c r="AR1098" t="str">
        <f>IF(HRData[[#This Row],[Attrition_Risk_Level]]&lt;&gt;"High","",HRData[[#This Row],[Attrition_Risk_Score]]*10000-HRData[[#This Row],[EmployeeNumber]])</f>
        <v/>
      </c>
    </row>
    <row r="1099" spans="1:44">
      <c r="A1099">
        <v>24</v>
      </c>
      <c r="B1099" t="str" cm="1">
        <f t="array" ref="B1099">_xlfn.IFS(
HRData[[#This Row],[Age]]&lt;=24,"18-24",
HRData[[#This Row],[Age]]&lt;=34,"25-34",
HRData[[#This Row],[Age]]&lt;=44,"35-44",
HRData[[#This Row],[Age]]&lt;=54,"45-54",
HRData[[#This Row],[Age]]&gt;=55,"55+"
)</f>
        <v>18-24</v>
      </c>
      <c r="C1099" t="s">
        <v>43</v>
      </c>
      <c r="D1099">
        <f>IF(HRData[[#This Row],[Attrition]]="Yes",1,0)</f>
        <v>0</v>
      </c>
      <c r="E1099" t="s">
        <v>36</v>
      </c>
      <c r="F1099">
        <v>350</v>
      </c>
      <c r="G1099" t="s">
        <v>45</v>
      </c>
      <c r="H1099">
        <v>21</v>
      </c>
      <c r="I1099">
        <v>2</v>
      </c>
      <c r="J1099" t="s">
        <v>60</v>
      </c>
      <c r="K1099">
        <v>1</v>
      </c>
      <c r="L1099">
        <v>1551</v>
      </c>
      <c r="M1099">
        <v>3</v>
      </c>
      <c r="N1099" t="str" cm="1">
        <f t="array" ref="N1099">_xlfn.IFS(HRData[[#This Row],[EnvironmentSatisfaction]]=1,"Very Dissatisfied",
HRData[[#This Row],[EnvironmentSatisfaction]]=2,"Dissatisfied",
HRData[[#This Row],[EnvironmentSatisfaction]]=3,"Satisfied",
HRData[[#This Row],[EnvironmentSatisfaction]]=4,"Very Satisfied"
)</f>
        <v>Satisfied</v>
      </c>
      <c r="O1099" t="s">
        <v>46</v>
      </c>
      <c r="P1099">
        <v>57</v>
      </c>
      <c r="Q1099">
        <v>2</v>
      </c>
      <c r="R1099">
        <v>1</v>
      </c>
      <c r="S1099" t="s">
        <v>50</v>
      </c>
      <c r="T1099">
        <v>1</v>
      </c>
      <c r="U1099" t="str" cm="1">
        <f t="array" ref="U1099">_xlfn.IFS(
HRData[[#This Row],[JobSatisfaction]]=1,"Very Dissatisfied",
HRData[[#This Row],[JobSatisfaction]]=2,"Dissatisfied",
HRData[[#This Row],[JobSatisfaction]]=3,"Satisfied",
HRData[[#This Row],[JobSatisfaction]]=4,"Very Satisfied"
)</f>
        <v>Very Dissatisfied</v>
      </c>
      <c r="V1099" t="s">
        <v>52</v>
      </c>
      <c r="W1099">
        <v>2296</v>
      </c>
      <c r="X1099" t="str" cm="1">
        <f t="array" ref="X1099">_xlfn.IFS(
HRData[[#This Row],[MonthlyIncome]]&lt;=4000,"Very Low Income",
HRData[[#This Row],[MonthlyIncome]]&lt;=8000,"Low Income",
HRData[[#This Row],[MonthlyIncome]]&lt;=12000,"Moderate Income",
HRData[[#This Row],[MonthlyIncome]]&lt;=16000,"High Income",
HRData[[#This Row],[MonthlyIncome]]&gt;16000,"Very High Income"
)</f>
        <v>Very Low Income</v>
      </c>
      <c r="Y1099">
        <v>10036</v>
      </c>
      <c r="Z1099">
        <v>0</v>
      </c>
      <c r="AA1099" t="s">
        <v>42</v>
      </c>
      <c r="AB1099" t="s">
        <v>43</v>
      </c>
      <c r="AC1099">
        <v>14</v>
      </c>
      <c r="AD1099" t="str" cm="1">
        <f t="array" ref="AD1099">_xlfn.IFS(HRData[[#This Row],[PercentSalaryHike]]&lt;=15,"11-15",HRData[[#This Row],[PercentSalaryHike]]&lt;=20,"16-20",HRData[[#This Row],[PercentSalaryHike]]&gt;=21,"21+")</f>
        <v>11-15</v>
      </c>
      <c r="AE1099">
        <v>3</v>
      </c>
      <c r="AF1099">
        <v>2</v>
      </c>
      <c r="AG1099">
        <v>80</v>
      </c>
      <c r="AH1099">
        <v>3</v>
      </c>
      <c r="AI1099">
        <v>2</v>
      </c>
      <c r="AJ1099">
        <v>3</v>
      </c>
      <c r="AK1099">
        <v>3</v>
      </c>
      <c r="AL1099">
        <v>1</v>
      </c>
      <c r="AM1099">
        <v>1</v>
      </c>
      <c r="AN1099">
        <v>0</v>
      </c>
      <c r="AO1099">
        <v>0</v>
      </c>
      <c r="AP109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1099" t="str">
        <f>IF(HRData[[#This Row],[Attrition]]="Yes","Left", IF(HRData[[#This Row],[Attrition_Risk_Score]]&gt;=6,"High",IF(HRData[[#This Row],[Attrition_Risk_Score]]&gt;=3,"Medium","Low")))</f>
        <v>High</v>
      </c>
      <c r="AR1099">
        <f>IF(HRData[[#This Row],[Attrition_Risk_Level]]&lt;&gt;"High","",HRData[[#This Row],[Attrition_Risk_Score]]*10000-HRData[[#This Row],[EmployeeNumber]])</f>
        <v>68449</v>
      </c>
    </row>
    <row r="1100" spans="1:44">
      <c r="A1100">
        <v>40</v>
      </c>
      <c r="B1100" t="str" cm="1">
        <f t="array" ref="B1100">_xlfn.IFS(
HRData[[#This Row],[Age]]&lt;=24,"18-24",
HRData[[#This Row],[Age]]&lt;=34,"25-34",
HRData[[#This Row],[Age]]&lt;=44,"35-44",
HRData[[#This Row],[Age]]&lt;=54,"45-54",
HRData[[#This Row],[Age]]&gt;=55,"55+"
)</f>
        <v>35-44</v>
      </c>
      <c r="C1100" t="s">
        <v>43</v>
      </c>
      <c r="D1100">
        <f>IF(HRData[[#This Row],[Attrition]]="Yes",1,0)</f>
        <v>0</v>
      </c>
      <c r="E1100" t="s">
        <v>55</v>
      </c>
      <c r="F1100">
        <v>1142</v>
      </c>
      <c r="G1100" t="s">
        <v>45</v>
      </c>
      <c r="H1100">
        <v>8</v>
      </c>
      <c r="I1100">
        <v>2</v>
      </c>
      <c r="J1100" t="s">
        <v>38</v>
      </c>
      <c r="K1100">
        <v>1</v>
      </c>
      <c r="L1100">
        <v>1552</v>
      </c>
      <c r="M1100">
        <v>4</v>
      </c>
      <c r="N1100" t="str" cm="1">
        <f t="array" ref="N1100">_xlfn.IFS(HRData[[#This Row],[EnvironmentSatisfaction]]=1,"Very Dissatisfied",
HRData[[#This Row],[EnvironmentSatisfaction]]=2,"Dissatisfied",
HRData[[#This Row],[EnvironmentSatisfaction]]=3,"Satisfied",
HRData[[#This Row],[EnvironmentSatisfaction]]=4,"Very Satisfied"
)</f>
        <v>Very Satisfied</v>
      </c>
      <c r="O1100" t="s">
        <v>46</v>
      </c>
      <c r="P1100">
        <v>72</v>
      </c>
      <c r="Q1100">
        <v>3</v>
      </c>
      <c r="R1100">
        <v>2</v>
      </c>
      <c r="S1100" t="s">
        <v>54</v>
      </c>
      <c r="T1100">
        <v>4</v>
      </c>
      <c r="U1100" t="str" cm="1">
        <f t="array" ref="U1100">_xlfn.IFS(
HRData[[#This Row],[JobSatisfaction]]=1,"Very Dissatisfied",
HRData[[#This Row],[JobSatisfaction]]=2,"Dissatisfied",
HRData[[#This Row],[JobSatisfaction]]=3,"Satisfied",
HRData[[#This Row],[JobSatisfaction]]=4,"Very Satisfied"
)</f>
        <v>Very Satisfied</v>
      </c>
      <c r="V1100" t="s">
        <v>52</v>
      </c>
      <c r="W1100">
        <v>4069</v>
      </c>
      <c r="X1100" t="str" cm="1">
        <f t="array" ref="X1100">_xlfn.IFS(
HRData[[#This Row],[MonthlyIncome]]&lt;=4000,"Very Low Income",
HRData[[#This Row],[MonthlyIncome]]&lt;=8000,"Low Income",
HRData[[#This Row],[MonthlyIncome]]&lt;=12000,"Moderate Income",
HRData[[#This Row],[MonthlyIncome]]&lt;=16000,"High Income",
HRData[[#This Row],[MonthlyIncome]]&gt;16000,"Very High Income"
)</f>
        <v>Low Income</v>
      </c>
      <c r="Y1100">
        <v>8841</v>
      </c>
      <c r="Z1100">
        <v>3</v>
      </c>
      <c r="AA1100" t="s">
        <v>42</v>
      </c>
      <c r="AB1100" t="s">
        <v>35</v>
      </c>
      <c r="AC1100">
        <v>18</v>
      </c>
      <c r="AD1100" t="str" cm="1">
        <f t="array" ref="AD1100">_xlfn.IFS(HRData[[#This Row],[PercentSalaryHike]]&lt;=15,"11-15",HRData[[#This Row],[PercentSalaryHike]]&lt;=20,"16-20",HRData[[#This Row],[PercentSalaryHike]]&gt;=21,"21+")</f>
        <v>16-20</v>
      </c>
      <c r="AE1100">
        <v>3</v>
      </c>
      <c r="AF1100">
        <v>3</v>
      </c>
      <c r="AG1100">
        <v>80</v>
      </c>
      <c r="AH1100">
        <v>0</v>
      </c>
      <c r="AI1100">
        <v>8</v>
      </c>
      <c r="AJ1100">
        <v>2</v>
      </c>
      <c r="AK1100">
        <v>3</v>
      </c>
      <c r="AL1100">
        <v>2</v>
      </c>
      <c r="AM1100">
        <v>2</v>
      </c>
      <c r="AN1100">
        <v>2</v>
      </c>
      <c r="AO1100">
        <v>2</v>
      </c>
      <c r="AP110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00" t="str">
        <f>IF(HRData[[#This Row],[Attrition]]="Yes","Left", IF(HRData[[#This Row],[Attrition_Risk_Score]]&gt;=6,"High",IF(HRData[[#This Row],[Attrition_Risk_Score]]&gt;=3,"Medium","Low")))</f>
        <v>Medium</v>
      </c>
      <c r="AR1100" t="str">
        <f>IF(HRData[[#This Row],[Attrition_Risk_Level]]&lt;&gt;"High","",HRData[[#This Row],[Attrition_Risk_Score]]*10000-HRData[[#This Row],[EmployeeNumber]])</f>
        <v/>
      </c>
    </row>
    <row r="1101" spans="1:44">
      <c r="A1101">
        <v>45</v>
      </c>
      <c r="B1101" t="str" cm="1">
        <f t="array" ref="B1101">_xlfn.IFS(
HRData[[#This Row],[Age]]&lt;=24,"18-24",
HRData[[#This Row],[Age]]&lt;=34,"25-34",
HRData[[#This Row],[Age]]&lt;=44,"35-44",
HRData[[#This Row],[Age]]&lt;=54,"45-54",
HRData[[#This Row],[Age]]&gt;=55,"55+"
)</f>
        <v>45-54</v>
      </c>
      <c r="C1101" t="s">
        <v>43</v>
      </c>
      <c r="D1101">
        <f>IF(HRData[[#This Row],[Attrition]]="Yes",1,0)</f>
        <v>0</v>
      </c>
      <c r="E1101" t="s">
        <v>36</v>
      </c>
      <c r="F1101">
        <v>538</v>
      </c>
      <c r="G1101" t="s">
        <v>45</v>
      </c>
      <c r="H1101">
        <v>1</v>
      </c>
      <c r="I1101">
        <v>4</v>
      </c>
      <c r="J1101" t="s">
        <v>60</v>
      </c>
      <c r="K1101">
        <v>1</v>
      </c>
      <c r="L1101">
        <v>1553</v>
      </c>
      <c r="M1101">
        <v>1</v>
      </c>
      <c r="N1101" t="str" cm="1">
        <f t="array" ref="N1101">_xlfn.IFS(HRData[[#This Row],[EnvironmentSatisfaction]]=1,"Very Dissatisfied",
HRData[[#This Row],[EnvironmentSatisfaction]]=2,"Dissatisfied",
HRData[[#This Row],[EnvironmentSatisfaction]]=3,"Satisfied",
HRData[[#This Row],[EnvironmentSatisfaction]]=4,"Very Satisfied"
)</f>
        <v>Very Dissatisfied</v>
      </c>
      <c r="O1101" t="s">
        <v>46</v>
      </c>
      <c r="P1101">
        <v>66</v>
      </c>
      <c r="Q1101">
        <v>3</v>
      </c>
      <c r="R1101">
        <v>3</v>
      </c>
      <c r="S1101" t="s">
        <v>54</v>
      </c>
      <c r="T1101">
        <v>2</v>
      </c>
      <c r="U1101" t="str" cm="1">
        <f t="array" ref="U1101">_xlfn.IFS(
HRData[[#This Row],[JobSatisfaction]]=1,"Very Dissatisfied",
HRData[[#This Row],[JobSatisfaction]]=2,"Dissatisfied",
HRData[[#This Row],[JobSatisfaction]]=3,"Satisfied",
HRData[[#This Row],[JobSatisfaction]]=4,"Very Satisfied"
)</f>
        <v>Dissatisfied</v>
      </c>
      <c r="V1101" t="s">
        <v>52</v>
      </c>
      <c r="W1101">
        <v>7441</v>
      </c>
      <c r="X1101" t="str" cm="1">
        <f t="array" ref="X1101">_xlfn.IFS(
HRData[[#This Row],[MonthlyIncome]]&lt;=4000,"Very Low Income",
HRData[[#This Row],[MonthlyIncome]]&lt;=8000,"Low Income",
HRData[[#This Row],[MonthlyIncome]]&lt;=12000,"Moderate Income",
HRData[[#This Row],[MonthlyIncome]]&lt;=16000,"High Income",
HRData[[#This Row],[MonthlyIncome]]&gt;16000,"Very High Income"
)</f>
        <v>Low Income</v>
      </c>
      <c r="Y1101">
        <v>20933</v>
      </c>
      <c r="Z1101">
        <v>1</v>
      </c>
      <c r="AA1101" t="s">
        <v>42</v>
      </c>
      <c r="AB1101" t="s">
        <v>43</v>
      </c>
      <c r="AC1101">
        <v>12</v>
      </c>
      <c r="AD1101" t="str" cm="1">
        <f t="array" ref="AD1101">_xlfn.IFS(HRData[[#This Row],[PercentSalaryHike]]&lt;=15,"11-15",HRData[[#This Row],[PercentSalaryHike]]&lt;=20,"16-20",HRData[[#This Row],[PercentSalaryHike]]&gt;=21,"21+")</f>
        <v>11-15</v>
      </c>
      <c r="AE1101">
        <v>3</v>
      </c>
      <c r="AF1101">
        <v>1</v>
      </c>
      <c r="AG1101">
        <v>80</v>
      </c>
      <c r="AH1101">
        <v>3</v>
      </c>
      <c r="AI1101">
        <v>10</v>
      </c>
      <c r="AJ1101">
        <v>4</v>
      </c>
      <c r="AK1101">
        <v>3</v>
      </c>
      <c r="AL1101">
        <v>10</v>
      </c>
      <c r="AM1101">
        <v>8</v>
      </c>
      <c r="AN1101">
        <v>7</v>
      </c>
      <c r="AO1101">
        <v>7</v>
      </c>
      <c r="AP110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101" t="str">
        <f>IF(HRData[[#This Row],[Attrition]]="Yes","Left", IF(HRData[[#This Row],[Attrition_Risk_Score]]&gt;=6,"High",IF(HRData[[#This Row],[Attrition_Risk_Score]]&gt;=3,"Medium","Low")))</f>
        <v>Low</v>
      </c>
      <c r="AR1101" t="str">
        <f>IF(HRData[[#This Row],[Attrition_Risk_Level]]&lt;&gt;"High","",HRData[[#This Row],[Attrition_Risk_Score]]*10000-HRData[[#This Row],[EmployeeNumber]])</f>
        <v/>
      </c>
    </row>
    <row r="1102" spans="1:44">
      <c r="A1102">
        <v>35</v>
      </c>
      <c r="B1102" t="str" cm="1">
        <f t="array" ref="B1102">_xlfn.IFS(
HRData[[#This Row],[Age]]&lt;=24,"18-24",
HRData[[#This Row],[Age]]&lt;=34,"25-34",
HRData[[#This Row],[Age]]&lt;=44,"35-44",
HRData[[#This Row],[Age]]&lt;=54,"45-54",
HRData[[#This Row],[Age]]&gt;=55,"55+"
)</f>
        <v>35-44</v>
      </c>
      <c r="C1102" t="s">
        <v>43</v>
      </c>
      <c r="D1102">
        <f>IF(HRData[[#This Row],[Attrition]]="Yes",1,0)</f>
        <v>0</v>
      </c>
      <c r="E1102" t="s">
        <v>36</v>
      </c>
      <c r="F1102">
        <v>1402</v>
      </c>
      <c r="G1102" t="s">
        <v>37</v>
      </c>
      <c r="H1102">
        <v>28</v>
      </c>
      <c r="I1102">
        <v>4</v>
      </c>
      <c r="J1102" t="s">
        <v>38</v>
      </c>
      <c r="K1102">
        <v>1</v>
      </c>
      <c r="L1102">
        <v>1554</v>
      </c>
      <c r="M1102">
        <v>2</v>
      </c>
      <c r="N1102" t="str" cm="1">
        <f t="array" ref="N1102">_xlfn.IFS(HRData[[#This Row],[EnvironmentSatisfaction]]=1,"Very Dissatisfied",
HRData[[#This Row],[EnvironmentSatisfaction]]=2,"Dissatisfied",
HRData[[#This Row],[EnvironmentSatisfaction]]=3,"Satisfied",
HRData[[#This Row],[EnvironmentSatisfaction]]=4,"Very Satisfied"
)</f>
        <v>Dissatisfied</v>
      </c>
      <c r="O1102" t="s">
        <v>39</v>
      </c>
      <c r="P1102">
        <v>98</v>
      </c>
      <c r="Q1102">
        <v>2</v>
      </c>
      <c r="R1102">
        <v>1</v>
      </c>
      <c r="S1102" t="s">
        <v>57</v>
      </c>
      <c r="T1102">
        <v>3</v>
      </c>
      <c r="U1102" t="str" cm="1">
        <f t="array" ref="U1102">_xlfn.IFS(
HRData[[#This Row],[JobSatisfaction]]=1,"Very Dissatisfied",
HRData[[#This Row],[JobSatisfaction]]=2,"Dissatisfied",
HRData[[#This Row],[JobSatisfaction]]=3,"Satisfied",
HRData[[#This Row],[JobSatisfaction]]=4,"Very Satisfied"
)</f>
        <v>Satisfied</v>
      </c>
      <c r="V1102" t="s">
        <v>48</v>
      </c>
      <c r="W1102">
        <v>2430</v>
      </c>
      <c r="X1102" t="str" cm="1">
        <f t="array" ref="X1102">_xlfn.IFS(
HRData[[#This Row],[MonthlyIncome]]&lt;=4000,"Very Low Income",
HRData[[#This Row],[MonthlyIncome]]&lt;=8000,"Low Income",
HRData[[#This Row],[MonthlyIncome]]&lt;=12000,"Moderate Income",
HRData[[#This Row],[MonthlyIncome]]&lt;=16000,"High Income",
HRData[[#This Row],[MonthlyIncome]]&gt;16000,"Very High Income"
)</f>
        <v>Very Low Income</v>
      </c>
      <c r="Y1102">
        <v>26204</v>
      </c>
      <c r="Z1102">
        <v>0</v>
      </c>
      <c r="AA1102" t="s">
        <v>42</v>
      </c>
      <c r="AB1102" t="s">
        <v>43</v>
      </c>
      <c r="AC1102">
        <v>23</v>
      </c>
      <c r="AD1102" t="str" cm="1">
        <f t="array" ref="AD1102">_xlfn.IFS(HRData[[#This Row],[PercentSalaryHike]]&lt;=15,"11-15",HRData[[#This Row],[PercentSalaryHike]]&lt;=20,"16-20",HRData[[#This Row],[PercentSalaryHike]]&gt;=21,"21+")</f>
        <v>21+</v>
      </c>
      <c r="AE1102">
        <v>4</v>
      </c>
      <c r="AF1102">
        <v>1</v>
      </c>
      <c r="AG1102">
        <v>80</v>
      </c>
      <c r="AH1102">
        <v>2</v>
      </c>
      <c r="AI1102">
        <v>6</v>
      </c>
      <c r="AJ1102">
        <v>5</v>
      </c>
      <c r="AK1102">
        <v>3</v>
      </c>
      <c r="AL1102">
        <v>5</v>
      </c>
      <c r="AM1102">
        <v>3</v>
      </c>
      <c r="AN1102">
        <v>4</v>
      </c>
      <c r="AO1102">
        <v>2</v>
      </c>
      <c r="AP110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102" t="str">
        <f>IF(HRData[[#This Row],[Attrition]]="Yes","Left", IF(HRData[[#This Row],[Attrition_Risk_Score]]&gt;=6,"High",IF(HRData[[#This Row],[Attrition_Risk_Score]]&gt;=3,"Medium","Low")))</f>
        <v>Medium</v>
      </c>
      <c r="AR1102" t="str">
        <f>IF(HRData[[#This Row],[Attrition_Risk_Level]]&lt;&gt;"High","",HRData[[#This Row],[Attrition_Risk_Score]]*10000-HRData[[#This Row],[EmployeeNumber]])</f>
        <v/>
      </c>
    </row>
    <row r="1103" spans="1:44">
      <c r="A1103">
        <v>32</v>
      </c>
      <c r="B1103" t="str" cm="1">
        <f t="array" ref="B1103">_xlfn.IFS(
HRData[[#This Row],[Age]]&lt;=24,"18-24",
HRData[[#This Row],[Age]]&lt;=34,"25-34",
HRData[[#This Row],[Age]]&lt;=44,"35-44",
HRData[[#This Row],[Age]]&lt;=54,"45-54",
HRData[[#This Row],[Age]]&gt;=55,"55+"
)</f>
        <v>25-34</v>
      </c>
      <c r="C1103" t="s">
        <v>43</v>
      </c>
      <c r="D1103">
        <f>IF(HRData[[#This Row],[Attrition]]="Yes",1,0)</f>
        <v>0</v>
      </c>
      <c r="E1103" t="s">
        <v>36</v>
      </c>
      <c r="F1103">
        <v>824</v>
      </c>
      <c r="G1103" t="s">
        <v>45</v>
      </c>
      <c r="H1103">
        <v>5</v>
      </c>
      <c r="I1103">
        <v>2</v>
      </c>
      <c r="J1103" t="s">
        <v>38</v>
      </c>
      <c r="K1103">
        <v>1</v>
      </c>
      <c r="L1103">
        <v>1555</v>
      </c>
      <c r="M1103">
        <v>4</v>
      </c>
      <c r="N1103" t="str" cm="1">
        <f t="array" ref="N1103">_xlfn.IFS(HRData[[#This Row],[EnvironmentSatisfaction]]=1,"Very Dissatisfied",
HRData[[#This Row],[EnvironmentSatisfaction]]=2,"Dissatisfied",
HRData[[#This Row],[EnvironmentSatisfaction]]=3,"Satisfied",
HRData[[#This Row],[EnvironmentSatisfaction]]=4,"Very Satisfied"
)</f>
        <v>Very Satisfied</v>
      </c>
      <c r="O1103" t="s">
        <v>39</v>
      </c>
      <c r="P1103">
        <v>67</v>
      </c>
      <c r="Q1103">
        <v>2</v>
      </c>
      <c r="R1103">
        <v>2</v>
      </c>
      <c r="S1103" t="s">
        <v>47</v>
      </c>
      <c r="T1103">
        <v>2</v>
      </c>
      <c r="U1103" t="str" cm="1">
        <f t="array" ref="U1103">_xlfn.IFS(
HRData[[#This Row],[JobSatisfaction]]=1,"Very Dissatisfied",
HRData[[#This Row],[JobSatisfaction]]=2,"Dissatisfied",
HRData[[#This Row],[JobSatisfaction]]=3,"Satisfied",
HRData[[#This Row],[JobSatisfaction]]=4,"Very Satisfied"
)</f>
        <v>Dissatisfied</v>
      </c>
      <c r="V1103" t="s">
        <v>48</v>
      </c>
      <c r="W1103">
        <v>5878</v>
      </c>
      <c r="X1103" t="str" cm="1">
        <f t="array" ref="X1103">_xlfn.IFS(
HRData[[#This Row],[MonthlyIncome]]&lt;=4000,"Very Low Income",
HRData[[#This Row],[MonthlyIncome]]&lt;=8000,"Low Income",
HRData[[#This Row],[MonthlyIncome]]&lt;=12000,"Moderate Income",
HRData[[#This Row],[MonthlyIncome]]&lt;=16000,"High Income",
HRData[[#This Row],[MonthlyIncome]]&gt;16000,"Very High Income"
)</f>
        <v>Low Income</v>
      </c>
      <c r="Y1103">
        <v>15624</v>
      </c>
      <c r="Z1103">
        <v>3</v>
      </c>
      <c r="AA1103" t="s">
        <v>42</v>
      </c>
      <c r="AB1103" t="s">
        <v>43</v>
      </c>
      <c r="AC1103">
        <v>12</v>
      </c>
      <c r="AD1103" t="str" cm="1">
        <f t="array" ref="AD1103">_xlfn.IFS(HRData[[#This Row],[PercentSalaryHike]]&lt;=15,"11-15",HRData[[#This Row],[PercentSalaryHike]]&lt;=20,"16-20",HRData[[#This Row],[PercentSalaryHike]]&gt;=21,"21+")</f>
        <v>11-15</v>
      </c>
      <c r="AE1103">
        <v>3</v>
      </c>
      <c r="AF1103">
        <v>1</v>
      </c>
      <c r="AG1103">
        <v>80</v>
      </c>
      <c r="AH1103">
        <v>1</v>
      </c>
      <c r="AI1103">
        <v>12</v>
      </c>
      <c r="AJ1103">
        <v>2</v>
      </c>
      <c r="AK1103">
        <v>3</v>
      </c>
      <c r="AL1103">
        <v>7</v>
      </c>
      <c r="AM1103">
        <v>1</v>
      </c>
      <c r="AN1103">
        <v>2</v>
      </c>
      <c r="AO1103">
        <v>5</v>
      </c>
      <c r="AP110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03" t="str">
        <f>IF(HRData[[#This Row],[Attrition]]="Yes","Left", IF(HRData[[#This Row],[Attrition_Risk_Score]]&gt;=6,"High",IF(HRData[[#This Row],[Attrition_Risk_Score]]&gt;=3,"Medium","Low")))</f>
        <v>Low</v>
      </c>
      <c r="AR1103" t="str">
        <f>IF(HRData[[#This Row],[Attrition_Risk_Level]]&lt;&gt;"High","",HRData[[#This Row],[Attrition_Risk_Score]]*10000-HRData[[#This Row],[EmployeeNumber]])</f>
        <v/>
      </c>
    </row>
    <row r="1104" spans="1:44">
      <c r="A1104">
        <v>36</v>
      </c>
      <c r="B1104" t="str" cm="1">
        <f t="array" ref="B1104">_xlfn.IFS(
HRData[[#This Row],[Age]]&lt;=24,"18-24",
HRData[[#This Row],[Age]]&lt;=34,"25-34",
HRData[[#This Row],[Age]]&lt;=44,"35-44",
HRData[[#This Row],[Age]]&lt;=54,"45-54",
HRData[[#This Row],[Age]]&gt;=55,"55+"
)</f>
        <v>35-44</v>
      </c>
      <c r="C1104" t="s">
        <v>43</v>
      </c>
      <c r="D1104">
        <f>IF(HRData[[#This Row],[Attrition]]="Yes",1,0)</f>
        <v>0</v>
      </c>
      <c r="E1104" t="s">
        <v>36</v>
      </c>
      <c r="F1104">
        <v>1157</v>
      </c>
      <c r="G1104" t="s">
        <v>37</v>
      </c>
      <c r="H1104">
        <v>2</v>
      </c>
      <c r="I1104">
        <v>4</v>
      </c>
      <c r="J1104" t="s">
        <v>38</v>
      </c>
      <c r="K1104">
        <v>1</v>
      </c>
      <c r="L1104">
        <v>1556</v>
      </c>
      <c r="M1104">
        <v>3</v>
      </c>
      <c r="N1104" t="str" cm="1">
        <f t="array" ref="N1104">_xlfn.IFS(HRData[[#This Row],[EnvironmentSatisfaction]]=1,"Very Dissatisfied",
HRData[[#This Row],[EnvironmentSatisfaction]]=2,"Dissatisfied",
HRData[[#This Row],[EnvironmentSatisfaction]]=3,"Satisfied",
HRData[[#This Row],[EnvironmentSatisfaction]]=4,"Very Satisfied"
)</f>
        <v>Satisfied</v>
      </c>
      <c r="O1104" t="s">
        <v>46</v>
      </c>
      <c r="P1104">
        <v>70</v>
      </c>
      <c r="Q1104">
        <v>3</v>
      </c>
      <c r="R1104">
        <v>1</v>
      </c>
      <c r="S1104" t="s">
        <v>57</v>
      </c>
      <c r="T1104">
        <v>4</v>
      </c>
      <c r="U1104" t="str" cm="1">
        <f t="array" ref="U1104">_xlfn.IFS(
HRData[[#This Row],[JobSatisfaction]]=1,"Very Dissatisfied",
HRData[[#This Row],[JobSatisfaction]]=2,"Dissatisfied",
HRData[[#This Row],[JobSatisfaction]]=3,"Satisfied",
HRData[[#This Row],[JobSatisfaction]]=4,"Very Satisfied"
)</f>
        <v>Very Satisfied</v>
      </c>
      <c r="V1104" t="s">
        <v>41</v>
      </c>
      <c r="W1104">
        <v>2644</v>
      </c>
      <c r="X1104" t="str" cm="1">
        <f t="array" ref="X1104">_xlfn.IFS(
HRData[[#This Row],[MonthlyIncome]]&lt;=4000,"Very Low Income",
HRData[[#This Row],[MonthlyIncome]]&lt;=8000,"Low Income",
HRData[[#This Row],[MonthlyIncome]]&lt;=12000,"Moderate Income",
HRData[[#This Row],[MonthlyIncome]]&lt;=16000,"High Income",
HRData[[#This Row],[MonthlyIncome]]&gt;16000,"Very High Income"
)</f>
        <v>Very Low Income</v>
      </c>
      <c r="Y1104">
        <v>17001</v>
      </c>
      <c r="Z1104">
        <v>3</v>
      </c>
      <c r="AA1104" t="s">
        <v>42</v>
      </c>
      <c r="AB1104" t="s">
        <v>35</v>
      </c>
      <c r="AC1104">
        <v>21</v>
      </c>
      <c r="AD1104" t="str" cm="1">
        <f t="array" ref="AD1104">_xlfn.IFS(HRData[[#This Row],[PercentSalaryHike]]&lt;=15,"11-15",HRData[[#This Row],[PercentSalaryHike]]&lt;=20,"16-20",HRData[[#This Row],[PercentSalaryHike]]&gt;=21,"21+")</f>
        <v>21+</v>
      </c>
      <c r="AE1104">
        <v>4</v>
      </c>
      <c r="AF1104">
        <v>4</v>
      </c>
      <c r="AG1104">
        <v>80</v>
      </c>
      <c r="AH1104">
        <v>0</v>
      </c>
      <c r="AI1104">
        <v>7</v>
      </c>
      <c r="AJ1104">
        <v>3</v>
      </c>
      <c r="AK1104">
        <v>2</v>
      </c>
      <c r="AL1104">
        <v>3</v>
      </c>
      <c r="AM1104">
        <v>2</v>
      </c>
      <c r="AN1104">
        <v>1</v>
      </c>
      <c r="AO1104">
        <v>2</v>
      </c>
      <c r="AP110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104" t="str">
        <f>IF(HRData[[#This Row],[Attrition]]="Yes","Left", IF(HRData[[#This Row],[Attrition_Risk_Score]]&gt;=6,"High",IF(HRData[[#This Row],[Attrition_Risk_Score]]&gt;=3,"Medium","Low")))</f>
        <v>High</v>
      </c>
      <c r="AR1104">
        <f>IF(HRData[[#This Row],[Attrition_Risk_Level]]&lt;&gt;"High","",HRData[[#This Row],[Attrition_Risk_Score]]*10000-HRData[[#This Row],[EmployeeNumber]])</f>
        <v>58444</v>
      </c>
    </row>
    <row r="1105" spans="1:44">
      <c r="A1105">
        <v>48</v>
      </c>
      <c r="B1105" t="str" cm="1">
        <f t="array" ref="B1105">_xlfn.IFS(
HRData[[#This Row],[Age]]&lt;=24,"18-24",
HRData[[#This Row],[Age]]&lt;=34,"25-34",
HRData[[#This Row],[Age]]&lt;=44,"35-44",
HRData[[#This Row],[Age]]&lt;=54,"45-54",
HRData[[#This Row],[Age]]&gt;=55,"55+"
)</f>
        <v>45-54</v>
      </c>
      <c r="C1105" t="s">
        <v>43</v>
      </c>
      <c r="D1105">
        <f>IF(HRData[[#This Row],[Attrition]]="Yes",1,0)</f>
        <v>0</v>
      </c>
      <c r="E1105" t="s">
        <v>36</v>
      </c>
      <c r="F1105">
        <v>492</v>
      </c>
      <c r="G1105" t="s">
        <v>37</v>
      </c>
      <c r="H1105">
        <v>16</v>
      </c>
      <c r="I1105">
        <v>4</v>
      </c>
      <c r="J1105" t="s">
        <v>38</v>
      </c>
      <c r="K1105">
        <v>1</v>
      </c>
      <c r="L1105">
        <v>1557</v>
      </c>
      <c r="M1105">
        <v>3</v>
      </c>
      <c r="N1105" t="str" cm="1">
        <f t="array" ref="N1105">_xlfn.IFS(HRData[[#This Row],[EnvironmentSatisfaction]]=1,"Very Dissatisfied",
HRData[[#This Row],[EnvironmentSatisfaction]]=2,"Dissatisfied",
HRData[[#This Row],[EnvironmentSatisfaction]]=3,"Satisfied",
HRData[[#This Row],[EnvironmentSatisfaction]]=4,"Very Satisfied"
)</f>
        <v>Satisfied</v>
      </c>
      <c r="O1105" t="s">
        <v>39</v>
      </c>
      <c r="P1105">
        <v>96</v>
      </c>
      <c r="Q1105">
        <v>3</v>
      </c>
      <c r="R1105">
        <v>2</v>
      </c>
      <c r="S1105" t="s">
        <v>40</v>
      </c>
      <c r="T1105">
        <v>3</v>
      </c>
      <c r="U1105" t="str" cm="1">
        <f t="array" ref="U1105">_xlfn.IFS(
HRData[[#This Row],[JobSatisfaction]]=1,"Very Dissatisfied",
HRData[[#This Row],[JobSatisfaction]]=2,"Dissatisfied",
HRData[[#This Row],[JobSatisfaction]]=3,"Satisfied",
HRData[[#This Row],[JobSatisfaction]]=4,"Very Satisfied"
)</f>
        <v>Satisfied</v>
      </c>
      <c r="V1105" t="s">
        <v>52</v>
      </c>
      <c r="W1105">
        <v>6439</v>
      </c>
      <c r="X1105" t="str" cm="1">
        <f t="array" ref="X1105">_xlfn.IFS(
HRData[[#This Row],[MonthlyIncome]]&lt;=4000,"Very Low Income",
HRData[[#This Row],[MonthlyIncome]]&lt;=8000,"Low Income",
HRData[[#This Row],[MonthlyIncome]]&lt;=12000,"Moderate Income",
HRData[[#This Row],[MonthlyIncome]]&lt;=16000,"High Income",
HRData[[#This Row],[MonthlyIncome]]&gt;16000,"Very High Income"
)</f>
        <v>Low Income</v>
      </c>
      <c r="Y1105">
        <v>13693</v>
      </c>
      <c r="Z1105">
        <v>8</v>
      </c>
      <c r="AA1105" t="s">
        <v>42</v>
      </c>
      <c r="AB1105" t="s">
        <v>43</v>
      </c>
      <c r="AC1105">
        <v>14</v>
      </c>
      <c r="AD1105" t="str" cm="1">
        <f t="array" ref="AD1105">_xlfn.IFS(HRData[[#This Row],[PercentSalaryHike]]&lt;=15,"11-15",HRData[[#This Row],[PercentSalaryHike]]&lt;=20,"16-20",HRData[[#This Row],[PercentSalaryHike]]&gt;=21,"21+")</f>
        <v>11-15</v>
      </c>
      <c r="AE1105">
        <v>3</v>
      </c>
      <c r="AF1105">
        <v>3</v>
      </c>
      <c r="AG1105">
        <v>80</v>
      </c>
      <c r="AH1105">
        <v>1</v>
      </c>
      <c r="AI1105">
        <v>18</v>
      </c>
      <c r="AJ1105">
        <v>2</v>
      </c>
      <c r="AK1105">
        <v>3</v>
      </c>
      <c r="AL1105">
        <v>8</v>
      </c>
      <c r="AM1105">
        <v>7</v>
      </c>
      <c r="AN1105">
        <v>7</v>
      </c>
      <c r="AO1105">
        <v>7</v>
      </c>
      <c r="AP110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105" t="str">
        <f>IF(HRData[[#This Row],[Attrition]]="Yes","Left", IF(HRData[[#This Row],[Attrition_Risk_Score]]&gt;=6,"High",IF(HRData[[#This Row],[Attrition_Risk_Score]]&gt;=3,"Medium","Low")))</f>
        <v>Low</v>
      </c>
      <c r="AR1105" t="str">
        <f>IF(HRData[[#This Row],[Attrition_Risk_Level]]&lt;&gt;"High","",HRData[[#This Row],[Attrition_Risk_Score]]*10000-HRData[[#This Row],[EmployeeNumber]])</f>
        <v/>
      </c>
    </row>
    <row r="1106" spans="1:44">
      <c r="A1106">
        <v>29</v>
      </c>
      <c r="B1106" t="str" cm="1">
        <f t="array" ref="B1106">_xlfn.IFS(
HRData[[#This Row],[Age]]&lt;=24,"18-24",
HRData[[#This Row],[Age]]&lt;=34,"25-34",
HRData[[#This Row],[Age]]&lt;=44,"35-44",
HRData[[#This Row],[Age]]&lt;=54,"45-54",
HRData[[#This Row],[Age]]&gt;=55,"55+"
)</f>
        <v>25-34</v>
      </c>
      <c r="C1106" t="s">
        <v>43</v>
      </c>
      <c r="D1106">
        <f>IF(HRData[[#This Row],[Attrition]]="Yes",1,0)</f>
        <v>0</v>
      </c>
      <c r="E1106" t="s">
        <v>36</v>
      </c>
      <c r="F1106">
        <v>598</v>
      </c>
      <c r="G1106" t="s">
        <v>45</v>
      </c>
      <c r="H1106">
        <v>9</v>
      </c>
      <c r="I1106">
        <v>3</v>
      </c>
      <c r="J1106" t="s">
        <v>38</v>
      </c>
      <c r="K1106">
        <v>1</v>
      </c>
      <c r="L1106">
        <v>1558</v>
      </c>
      <c r="M1106">
        <v>3</v>
      </c>
      <c r="N1106" t="str" cm="1">
        <f t="array" ref="N1106">_xlfn.IFS(HRData[[#This Row],[EnvironmentSatisfaction]]=1,"Very Dissatisfied",
HRData[[#This Row],[EnvironmentSatisfaction]]=2,"Dissatisfied",
HRData[[#This Row],[EnvironmentSatisfaction]]=3,"Satisfied",
HRData[[#This Row],[EnvironmentSatisfaction]]=4,"Very Satisfied"
)</f>
        <v>Satisfied</v>
      </c>
      <c r="O1106" t="s">
        <v>46</v>
      </c>
      <c r="P1106">
        <v>91</v>
      </c>
      <c r="Q1106">
        <v>4</v>
      </c>
      <c r="R1106">
        <v>1</v>
      </c>
      <c r="S1106" t="s">
        <v>47</v>
      </c>
      <c r="T1106">
        <v>3</v>
      </c>
      <c r="U1106" t="str" cm="1">
        <f t="array" ref="U1106">_xlfn.IFS(
HRData[[#This Row],[JobSatisfaction]]=1,"Very Dissatisfied",
HRData[[#This Row],[JobSatisfaction]]=2,"Dissatisfied",
HRData[[#This Row],[JobSatisfaction]]=3,"Satisfied",
HRData[[#This Row],[JobSatisfaction]]=4,"Very Satisfied"
)</f>
        <v>Satisfied</v>
      </c>
      <c r="V1106" t="s">
        <v>48</v>
      </c>
      <c r="W1106">
        <v>2451</v>
      </c>
      <c r="X1106" t="str" cm="1">
        <f t="array" ref="X1106">_xlfn.IFS(
HRData[[#This Row],[MonthlyIncome]]&lt;=4000,"Very Low Income",
HRData[[#This Row],[MonthlyIncome]]&lt;=8000,"Low Income",
HRData[[#This Row],[MonthlyIncome]]&lt;=12000,"Moderate Income",
HRData[[#This Row],[MonthlyIncome]]&lt;=16000,"High Income",
HRData[[#This Row],[MonthlyIncome]]&gt;16000,"Very High Income"
)</f>
        <v>Very Low Income</v>
      </c>
      <c r="Y1106">
        <v>22376</v>
      </c>
      <c r="Z1106">
        <v>6</v>
      </c>
      <c r="AA1106" t="s">
        <v>42</v>
      </c>
      <c r="AB1106" t="s">
        <v>43</v>
      </c>
      <c r="AC1106">
        <v>18</v>
      </c>
      <c r="AD1106" t="str" cm="1">
        <f t="array" ref="AD1106">_xlfn.IFS(HRData[[#This Row],[PercentSalaryHike]]&lt;=15,"11-15",HRData[[#This Row],[PercentSalaryHike]]&lt;=20,"16-20",HRData[[#This Row],[PercentSalaryHike]]&gt;=21,"21+")</f>
        <v>16-20</v>
      </c>
      <c r="AE1106">
        <v>3</v>
      </c>
      <c r="AF1106">
        <v>1</v>
      </c>
      <c r="AG1106">
        <v>80</v>
      </c>
      <c r="AH1106">
        <v>2</v>
      </c>
      <c r="AI1106">
        <v>5</v>
      </c>
      <c r="AJ1106">
        <v>2</v>
      </c>
      <c r="AK1106">
        <v>2</v>
      </c>
      <c r="AL1106">
        <v>1</v>
      </c>
      <c r="AM1106">
        <v>0</v>
      </c>
      <c r="AN1106">
        <v>0</v>
      </c>
      <c r="AO1106">
        <v>0</v>
      </c>
      <c r="AP110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06" t="str">
        <f>IF(HRData[[#This Row],[Attrition]]="Yes","Left", IF(HRData[[#This Row],[Attrition_Risk_Score]]&gt;=6,"High",IF(HRData[[#This Row],[Attrition_Risk_Score]]&gt;=3,"Medium","Low")))</f>
        <v>Medium</v>
      </c>
      <c r="AR1106" t="str">
        <f>IF(HRData[[#This Row],[Attrition_Risk_Level]]&lt;&gt;"High","",HRData[[#This Row],[Attrition_Risk_Score]]*10000-HRData[[#This Row],[EmployeeNumber]])</f>
        <v/>
      </c>
    </row>
    <row r="1107" spans="1:44">
      <c r="A1107">
        <v>33</v>
      </c>
      <c r="B1107" t="str" cm="1">
        <f t="array" ref="B1107">_xlfn.IFS(
HRData[[#This Row],[Age]]&lt;=24,"18-24",
HRData[[#This Row],[Age]]&lt;=34,"25-34",
HRData[[#This Row],[Age]]&lt;=44,"35-44",
HRData[[#This Row],[Age]]&lt;=54,"45-54",
HRData[[#This Row],[Age]]&gt;=55,"55+"
)</f>
        <v>25-34</v>
      </c>
      <c r="C1107" t="s">
        <v>43</v>
      </c>
      <c r="D1107">
        <f>IF(HRData[[#This Row],[Attrition]]="Yes",1,0)</f>
        <v>0</v>
      </c>
      <c r="E1107" t="s">
        <v>36</v>
      </c>
      <c r="F1107">
        <v>1242</v>
      </c>
      <c r="G1107" t="s">
        <v>37</v>
      </c>
      <c r="H1107">
        <v>8</v>
      </c>
      <c r="I1107">
        <v>4</v>
      </c>
      <c r="J1107" t="s">
        <v>38</v>
      </c>
      <c r="K1107">
        <v>1</v>
      </c>
      <c r="L1107">
        <v>1560</v>
      </c>
      <c r="M1107">
        <v>1</v>
      </c>
      <c r="N1107" t="str" cm="1">
        <f t="array" ref="N1107">_xlfn.IFS(HRData[[#This Row],[EnvironmentSatisfaction]]=1,"Very Dissatisfied",
HRData[[#This Row],[EnvironmentSatisfaction]]=2,"Dissatisfied",
HRData[[#This Row],[EnvironmentSatisfaction]]=3,"Satisfied",
HRData[[#This Row],[EnvironmentSatisfaction]]=4,"Very Satisfied"
)</f>
        <v>Very Dissatisfied</v>
      </c>
      <c r="O1107" t="s">
        <v>46</v>
      </c>
      <c r="P1107">
        <v>46</v>
      </c>
      <c r="Q1107">
        <v>3</v>
      </c>
      <c r="R1107">
        <v>2</v>
      </c>
      <c r="S1107" t="s">
        <v>40</v>
      </c>
      <c r="T1107">
        <v>1</v>
      </c>
      <c r="U1107" t="str" cm="1">
        <f t="array" ref="U1107">_xlfn.IFS(
HRData[[#This Row],[JobSatisfaction]]=1,"Very Dissatisfied",
HRData[[#This Row],[JobSatisfaction]]=2,"Dissatisfied",
HRData[[#This Row],[JobSatisfaction]]=3,"Satisfied",
HRData[[#This Row],[JobSatisfaction]]=4,"Very Satisfied"
)</f>
        <v>Very Dissatisfied</v>
      </c>
      <c r="V1107" t="s">
        <v>48</v>
      </c>
      <c r="W1107">
        <v>6392</v>
      </c>
      <c r="X1107" t="str" cm="1">
        <f t="array" ref="X1107">_xlfn.IFS(
HRData[[#This Row],[MonthlyIncome]]&lt;=4000,"Very Low Income",
HRData[[#This Row],[MonthlyIncome]]&lt;=8000,"Low Income",
HRData[[#This Row],[MonthlyIncome]]&lt;=12000,"Moderate Income",
HRData[[#This Row],[MonthlyIncome]]&lt;=16000,"High Income",
HRData[[#This Row],[MonthlyIncome]]&gt;16000,"Very High Income"
)</f>
        <v>Low Income</v>
      </c>
      <c r="Y1107">
        <v>10589</v>
      </c>
      <c r="Z1107">
        <v>2</v>
      </c>
      <c r="AA1107" t="s">
        <v>42</v>
      </c>
      <c r="AB1107" t="s">
        <v>43</v>
      </c>
      <c r="AC1107">
        <v>13</v>
      </c>
      <c r="AD1107" t="str" cm="1">
        <f t="array" ref="AD1107">_xlfn.IFS(HRData[[#This Row],[PercentSalaryHike]]&lt;=15,"11-15",HRData[[#This Row],[PercentSalaryHike]]&lt;=20,"16-20",HRData[[#This Row],[PercentSalaryHike]]&gt;=21,"21+")</f>
        <v>11-15</v>
      </c>
      <c r="AE1107">
        <v>3</v>
      </c>
      <c r="AF1107">
        <v>4</v>
      </c>
      <c r="AG1107">
        <v>80</v>
      </c>
      <c r="AH1107">
        <v>1</v>
      </c>
      <c r="AI1107">
        <v>8</v>
      </c>
      <c r="AJ1107">
        <v>6</v>
      </c>
      <c r="AK1107">
        <v>1</v>
      </c>
      <c r="AL1107">
        <v>2</v>
      </c>
      <c r="AM1107">
        <v>2</v>
      </c>
      <c r="AN1107">
        <v>2</v>
      </c>
      <c r="AO1107">
        <v>2</v>
      </c>
      <c r="AP110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107" t="str">
        <f>IF(HRData[[#This Row],[Attrition]]="Yes","Left", IF(HRData[[#This Row],[Attrition_Risk_Score]]&gt;=6,"High",IF(HRData[[#This Row],[Attrition_Risk_Score]]&gt;=3,"Medium","Low")))</f>
        <v>Medium</v>
      </c>
      <c r="AR1107" t="str">
        <f>IF(HRData[[#This Row],[Attrition_Risk_Level]]&lt;&gt;"High","",HRData[[#This Row],[Attrition_Risk_Score]]*10000-HRData[[#This Row],[EmployeeNumber]])</f>
        <v/>
      </c>
    </row>
    <row r="1108" spans="1:44">
      <c r="A1108">
        <v>30</v>
      </c>
      <c r="B1108" t="str" cm="1">
        <f t="array" ref="B1108">_xlfn.IFS(
HRData[[#This Row],[Age]]&lt;=24,"18-24",
HRData[[#This Row],[Age]]&lt;=34,"25-34",
HRData[[#This Row],[Age]]&lt;=44,"35-44",
HRData[[#This Row],[Age]]&lt;=54,"45-54",
HRData[[#This Row],[Age]]&gt;=55,"55+"
)</f>
        <v>25-34</v>
      </c>
      <c r="C1108" t="s">
        <v>35</v>
      </c>
      <c r="D1108">
        <f>IF(HRData[[#This Row],[Attrition]]="Yes",1,0)</f>
        <v>1</v>
      </c>
      <c r="E1108" t="s">
        <v>36</v>
      </c>
      <c r="F1108">
        <v>740</v>
      </c>
      <c r="G1108" t="s">
        <v>37</v>
      </c>
      <c r="H1108">
        <v>1</v>
      </c>
      <c r="I1108">
        <v>3</v>
      </c>
      <c r="J1108" t="s">
        <v>38</v>
      </c>
      <c r="K1108">
        <v>1</v>
      </c>
      <c r="L1108">
        <v>1562</v>
      </c>
      <c r="M1108">
        <v>2</v>
      </c>
      <c r="N1108" t="str" cm="1">
        <f t="array" ref="N1108">_xlfn.IFS(HRData[[#This Row],[EnvironmentSatisfaction]]=1,"Very Dissatisfied",
HRData[[#This Row],[EnvironmentSatisfaction]]=2,"Dissatisfied",
HRData[[#This Row],[EnvironmentSatisfaction]]=3,"Satisfied",
HRData[[#This Row],[EnvironmentSatisfaction]]=4,"Very Satisfied"
)</f>
        <v>Dissatisfied</v>
      </c>
      <c r="O1108" t="s">
        <v>46</v>
      </c>
      <c r="P1108">
        <v>64</v>
      </c>
      <c r="Q1108">
        <v>2</v>
      </c>
      <c r="R1108">
        <v>2</v>
      </c>
      <c r="S1108" t="s">
        <v>40</v>
      </c>
      <c r="T1108">
        <v>1</v>
      </c>
      <c r="U1108" t="str" cm="1">
        <f t="array" ref="U1108">_xlfn.IFS(
HRData[[#This Row],[JobSatisfaction]]=1,"Very Dissatisfied",
HRData[[#This Row],[JobSatisfaction]]=2,"Dissatisfied",
HRData[[#This Row],[JobSatisfaction]]=3,"Satisfied",
HRData[[#This Row],[JobSatisfaction]]=4,"Very Satisfied"
)</f>
        <v>Very Dissatisfied</v>
      </c>
      <c r="V1108" t="s">
        <v>48</v>
      </c>
      <c r="W1108">
        <v>9714</v>
      </c>
      <c r="X1108" t="str" cm="1">
        <f t="array" ref="X1108">_xlfn.IFS(
HRData[[#This Row],[MonthlyIncome]]&lt;=4000,"Very Low Income",
HRData[[#This Row],[MonthlyIncome]]&lt;=8000,"Low Income",
HRData[[#This Row],[MonthlyIncome]]&lt;=12000,"Moderate Income",
HRData[[#This Row],[MonthlyIncome]]&lt;=16000,"High Income",
HRData[[#This Row],[MonthlyIncome]]&gt;16000,"Very High Income"
)</f>
        <v>Moderate Income</v>
      </c>
      <c r="Y1108">
        <v>5323</v>
      </c>
      <c r="Z1108">
        <v>1</v>
      </c>
      <c r="AA1108" t="s">
        <v>42</v>
      </c>
      <c r="AB1108" t="s">
        <v>43</v>
      </c>
      <c r="AC1108">
        <v>11</v>
      </c>
      <c r="AD1108" t="str" cm="1">
        <f t="array" ref="AD1108">_xlfn.IFS(HRData[[#This Row],[PercentSalaryHike]]&lt;=15,"11-15",HRData[[#This Row],[PercentSalaryHike]]&lt;=20,"16-20",HRData[[#This Row],[PercentSalaryHike]]&gt;=21,"21+")</f>
        <v>11-15</v>
      </c>
      <c r="AE1108">
        <v>3</v>
      </c>
      <c r="AF1108">
        <v>4</v>
      </c>
      <c r="AG1108">
        <v>80</v>
      </c>
      <c r="AH1108">
        <v>1</v>
      </c>
      <c r="AI1108">
        <v>10</v>
      </c>
      <c r="AJ1108">
        <v>4</v>
      </c>
      <c r="AK1108">
        <v>3</v>
      </c>
      <c r="AL1108">
        <v>10</v>
      </c>
      <c r="AM1108">
        <v>8</v>
      </c>
      <c r="AN1108">
        <v>6</v>
      </c>
      <c r="AO1108">
        <v>7</v>
      </c>
      <c r="AP110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108" t="str">
        <f>IF(HRData[[#This Row],[Attrition]]="Yes","Left", IF(HRData[[#This Row],[Attrition_Risk_Score]]&gt;=6,"High",IF(HRData[[#This Row],[Attrition_Risk_Score]]&gt;=3,"Medium","Low")))</f>
        <v>Left</v>
      </c>
      <c r="AR1108" t="str">
        <f>IF(HRData[[#This Row],[Attrition_Risk_Level]]&lt;&gt;"High","",HRData[[#This Row],[Attrition_Risk_Score]]*10000-HRData[[#This Row],[EmployeeNumber]])</f>
        <v/>
      </c>
    </row>
    <row r="1109" spans="1:44">
      <c r="A1109">
        <v>38</v>
      </c>
      <c r="B1109" t="str" cm="1">
        <f t="array" ref="B1109">_xlfn.IFS(
HRData[[#This Row],[Age]]&lt;=24,"18-24",
HRData[[#This Row],[Age]]&lt;=34,"25-34",
HRData[[#This Row],[Age]]&lt;=44,"35-44",
HRData[[#This Row],[Age]]&lt;=54,"45-54",
HRData[[#This Row],[Age]]&gt;=55,"55+"
)</f>
        <v>35-44</v>
      </c>
      <c r="C1109" t="s">
        <v>43</v>
      </c>
      <c r="D1109">
        <f>IF(HRData[[#This Row],[Attrition]]="Yes",1,0)</f>
        <v>0</v>
      </c>
      <c r="E1109" t="s">
        <v>44</v>
      </c>
      <c r="F1109">
        <v>888</v>
      </c>
      <c r="G1109" t="s">
        <v>61</v>
      </c>
      <c r="H1109">
        <v>10</v>
      </c>
      <c r="I1109">
        <v>4</v>
      </c>
      <c r="J1109" t="s">
        <v>61</v>
      </c>
      <c r="K1109">
        <v>1</v>
      </c>
      <c r="L1109">
        <v>1563</v>
      </c>
      <c r="M1109">
        <v>3</v>
      </c>
      <c r="N1109" t="str" cm="1">
        <f t="array" ref="N1109">_xlfn.IFS(HRData[[#This Row],[EnvironmentSatisfaction]]=1,"Very Dissatisfied",
HRData[[#This Row],[EnvironmentSatisfaction]]=2,"Dissatisfied",
HRData[[#This Row],[EnvironmentSatisfaction]]=3,"Satisfied",
HRData[[#This Row],[EnvironmentSatisfaction]]=4,"Very Satisfied"
)</f>
        <v>Satisfied</v>
      </c>
      <c r="O1109" t="s">
        <v>46</v>
      </c>
      <c r="P1109">
        <v>71</v>
      </c>
      <c r="Q1109">
        <v>3</v>
      </c>
      <c r="R1109">
        <v>2</v>
      </c>
      <c r="S1109" t="s">
        <v>61</v>
      </c>
      <c r="T1109">
        <v>3</v>
      </c>
      <c r="U1109" t="str" cm="1">
        <f t="array" ref="U1109">_xlfn.IFS(
HRData[[#This Row],[JobSatisfaction]]=1,"Very Dissatisfied",
HRData[[#This Row],[JobSatisfaction]]=2,"Dissatisfied",
HRData[[#This Row],[JobSatisfaction]]=3,"Satisfied",
HRData[[#This Row],[JobSatisfaction]]=4,"Very Satisfied"
)</f>
        <v>Satisfied</v>
      </c>
      <c r="V1109" t="s">
        <v>48</v>
      </c>
      <c r="W1109">
        <v>6077</v>
      </c>
      <c r="X1109" t="str" cm="1">
        <f t="array" ref="X1109">_xlfn.IFS(
HRData[[#This Row],[MonthlyIncome]]&lt;=4000,"Very Low Income",
HRData[[#This Row],[MonthlyIncome]]&lt;=8000,"Low Income",
HRData[[#This Row],[MonthlyIncome]]&lt;=12000,"Moderate Income",
HRData[[#This Row],[MonthlyIncome]]&lt;=16000,"High Income",
HRData[[#This Row],[MonthlyIncome]]&gt;16000,"Very High Income"
)</f>
        <v>Low Income</v>
      </c>
      <c r="Y1109">
        <v>14814</v>
      </c>
      <c r="Z1109">
        <v>3</v>
      </c>
      <c r="AA1109" t="s">
        <v>42</v>
      </c>
      <c r="AB1109" t="s">
        <v>43</v>
      </c>
      <c r="AC1109">
        <v>11</v>
      </c>
      <c r="AD1109" t="str" cm="1">
        <f t="array" ref="AD1109">_xlfn.IFS(HRData[[#This Row],[PercentSalaryHike]]&lt;=15,"11-15",HRData[[#This Row],[PercentSalaryHike]]&lt;=20,"16-20",HRData[[#This Row],[PercentSalaryHike]]&gt;=21,"21+")</f>
        <v>11-15</v>
      </c>
      <c r="AE1109">
        <v>3</v>
      </c>
      <c r="AF1109">
        <v>3</v>
      </c>
      <c r="AG1109">
        <v>80</v>
      </c>
      <c r="AH1109">
        <v>0</v>
      </c>
      <c r="AI1109">
        <v>10</v>
      </c>
      <c r="AJ1109">
        <v>2</v>
      </c>
      <c r="AK1109">
        <v>3</v>
      </c>
      <c r="AL1109">
        <v>6</v>
      </c>
      <c r="AM1109">
        <v>3</v>
      </c>
      <c r="AN1109">
        <v>1</v>
      </c>
      <c r="AO1109">
        <v>2</v>
      </c>
      <c r="AP110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09" t="str">
        <f>IF(HRData[[#This Row],[Attrition]]="Yes","Left", IF(HRData[[#This Row],[Attrition_Risk_Score]]&gt;=6,"High",IF(HRData[[#This Row],[Attrition_Risk_Score]]&gt;=3,"Medium","Low")))</f>
        <v>Low</v>
      </c>
      <c r="AR1109" t="str">
        <f>IF(HRData[[#This Row],[Attrition_Risk_Level]]&lt;&gt;"High","",HRData[[#This Row],[Attrition_Risk_Score]]*10000-HRData[[#This Row],[EmployeeNumber]])</f>
        <v/>
      </c>
    </row>
    <row r="1110" spans="1:44">
      <c r="A1110">
        <v>35</v>
      </c>
      <c r="B1110" t="str" cm="1">
        <f t="array" ref="B1110">_xlfn.IFS(
HRData[[#This Row],[Age]]&lt;=24,"18-24",
HRData[[#This Row],[Age]]&lt;=34,"25-34",
HRData[[#This Row],[Age]]&lt;=44,"35-44",
HRData[[#This Row],[Age]]&lt;=54,"45-54",
HRData[[#This Row],[Age]]&gt;=55,"55+"
)</f>
        <v>35-44</v>
      </c>
      <c r="C1110" t="s">
        <v>43</v>
      </c>
      <c r="D1110">
        <f>IF(HRData[[#This Row],[Attrition]]="Yes",1,0)</f>
        <v>0</v>
      </c>
      <c r="E1110" t="s">
        <v>36</v>
      </c>
      <c r="F1110">
        <v>992</v>
      </c>
      <c r="G1110" t="s">
        <v>45</v>
      </c>
      <c r="H1110">
        <v>1</v>
      </c>
      <c r="I1110">
        <v>3</v>
      </c>
      <c r="J1110" t="s">
        <v>51</v>
      </c>
      <c r="K1110">
        <v>1</v>
      </c>
      <c r="L1110">
        <v>1564</v>
      </c>
      <c r="M1110">
        <v>4</v>
      </c>
      <c r="N1110" t="str" cm="1">
        <f t="array" ref="N1110">_xlfn.IFS(HRData[[#This Row],[EnvironmentSatisfaction]]=1,"Very Dissatisfied",
HRData[[#This Row],[EnvironmentSatisfaction]]=2,"Dissatisfied",
HRData[[#This Row],[EnvironmentSatisfaction]]=3,"Satisfied",
HRData[[#This Row],[EnvironmentSatisfaction]]=4,"Very Satisfied"
)</f>
        <v>Very Satisfied</v>
      </c>
      <c r="O1110" t="s">
        <v>46</v>
      </c>
      <c r="P1110">
        <v>68</v>
      </c>
      <c r="Q1110">
        <v>2</v>
      </c>
      <c r="R1110">
        <v>1</v>
      </c>
      <c r="S1110" t="s">
        <v>50</v>
      </c>
      <c r="T1110">
        <v>1</v>
      </c>
      <c r="U1110" t="str" cm="1">
        <f t="array" ref="U1110">_xlfn.IFS(
HRData[[#This Row],[JobSatisfaction]]=1,"Very Dissatisfied",
HRData[[#This Row],[JobSatisfaction]]=2,"Dissatisfied",
HRData[[#This Row],[JobSatisfaction]]=3,"Satisfied",
HRData[[#This Row],[JobSatisfaction]]=4,"Very Satisfied"
)</f>
        <v>Very Dissatisfied</v>
      </c>
      <c r="V1110" t="s">
        <v>41</v>
      </c>
      <c r="W1110">
        <v>2450</v>
      </c>
      <c r="X1110" t="str" cm="1">
        <f t="array" ref="X1110">_xlfn.IFS(
HRData[[#This Row],[MonthlyIncome]]&lt;=4000,"Very Low Income",
HRData[[#This Row],[MonthlyIncome]]&lt;=8000,"Low Income",
HRData[[#This Row],[MonthlyIncome]]&lt;=12000,"Moderate Income",
HRData[[#This Row],[MonthlyIncome]]&lt;=16000,"High Income",
HRData[[#This Row],[MonthlyIncome]]&gt;16000,"Very High Income"
)</f>
        <v>Very Low Income</v>
      </c>
      <c r="Y1110">
        <v>21731</v>
      </c>
      <c r="Z1110">
        <v>1</v>
      </c>
      <c r="AA1110" t="s">
        <v>42</v>
      </c>
      <c r="AB1110" t="s">
        <v>43</v>
      </c>
      <c r="AC1110">
        <v>19</v>
      </c>
      <c r="AD1110" t="str" cm="1">
        <f t="array" ref="AD1110">_xlfn.IFS(HRData[[#This Row],[PercentSalaryHike]]&lt;=15,"11-15",HRData[[#This Row],[PercentSalaryHike]]&lt;=20,"16-20",HRData[[#This Row],[PercentSalaryHike]]&gt;=21,"21+")</f>
        <v>16-20</v>
      </c>
      <c r="AE1110">
        <v>3</v>
      </c>
      <c r="AF1110">
        <v>2</v>
      </c>
      <c r="AG1110">
        <v>80</v>
      </c>
      <c r="AH1110">
        <v>0</v>
      </c>
      <c r="AI1110">
        <v>3</v>
      </c>
      <c r="AJ1110">
        <v>3</v>
      </c>
      <c r="AK1110">
        <v>3</v>
      </c>
      <c r="AL1110">
        <v>3</v>
      </c>
      <c r="AM1110">
        <v>0</v>
      </c>
      <c r="AN1110">
        <v>1</v>
      </c>
      <c r="AO1110">
        <v>2</v>
      </c>
      <c r="AP111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110" t="str">
        <f>IF(HRData[[#This Row],[Attrition]]="Yes","Left", IF(HRData[[#This Row],[Attrition_Risk_Score]]&gt;=6,"High",IF(HRData[[#This Row],[Attrition_Risk_Score]]&gt;=3,"Medium","Low")))</f>
        <v>Medium</v>
      </c>
      <c r="AR1110" t="str">
        <f>IF(HRData[[#This Row],[Attrition_Risk_Level]]&lt;&gt;"High","",HRData[[#This Row],[Attrition_Risk_Score]]*10000-HRData[[#This Row],[EmployeeNumber]])</f>
        <v/>
      </c>
    </row>
    <row r="1111" spans="1:44">
      <c r="A1111">
        <v>30</v>
      </c>
      <c r="B1111" t="str" cm="1">
        <f t="array" ref="B1111">_xlfn.IFS(
HRData[[#This Row],[Age]]&lt;=24,"18-24",
HRData[[#This Row],[Age]]&lt;=34,"25-34",
HRData[[#This Row],[Age]]&lt;=44,"35-44",
HRData[[#This Row],[Age]]&lt;=54,"45-54",
HRData[[#This Row],[Age]]&gt;=55,"55+"
)</f>
        <v>25-34</v>
      </c>
      <c r="C1111" t="s">
        <v>43</v>
      </c>
      <c r="D1111">
        <f>IF(HRData[[#This Row],[Attrition]]="Yes",1,0)</f>
        <v>0</v>
      </c>
      <c r="E1111" t="s">
        <v>36</v>
      </c>
      <c r="F1111">
        <v>1288</v>
      </c>
      <c r="G1111" t="s">
        <v>37</v>
      </c>
      <c r="H1111">
        <v>29</v>
      </c>
      <c r="I1111">
        <v>4</v>
      </c>
      <c r="J1111" t="s">
        <v>60</v>
      </c>
      <c r="K1111">
        <v>1</v>
      </c>
      <c r="L1111">
        <v>1568</v>
      </c>
      <c r="M1111">
        <v>3</v>
      </c>
      <c r="N1111" t="str" cm="1">
        <f t="array" ref="N1111">_xlfn.IFS(HRData[[#This Row],[EnvironmentSatisfaction]]=1,"Very Dissatisfied",
HRData[[#This Row],[EnvironmentSatisfaction]]=2,"Dissatisfied",
HRData[[#This Row],[EnvironmentSatisfaction]]=3,"Satisfied",
HRData[[#This Row],[EnvironmentSatisfaction]]=4,"Very Satisfied"
)</f>
        <v>Satisfied</v>
      </c>
      <c r="O1111" t="s">
        <v>46</v>
      </c>
      <c r="P1111">
        <v>33</v>
      </c>
      <c r="Q1111">
        <v>3</v>
      </c>
      <c r="R1111">
        <v>3</v>
      </c>
      <c r="S1111" t="s">
        <v>40</v>
      </c>
      <c r="T1111">
        <v>2</v>
      </c>
      <c r="U1111" t="str" cm="1">
        <f t="array" ref="U1111">_xlfn.IFS(
HRData[[#This Row],[JobSatisfaction]]=1,"Very Dissatisfied",
HRData[[#This Row],[JobSatisfaction]]=2,"Dissatisfied",
HRData[[#This Row],[JobSatisfaction]]=3,"Satisfied",
HRData[[#This Row],[JobSatisfaction]]=4,"Very Satisfied"
)</f>
        <v>Dissatisfied</v>
      </c>
      <c r="V1111" t="s">
        <v>48</v>
      </c>
      <c r="W1111">
        <v>9250</v>
      </c>
      <c r="X1111" t="str" cm="1">
        <f t="array" ref="X1111">_xlfn.IFS(
HRData[[#This Row],[MonthlyIncome]]&lt;=4000,"Very Low Income",
HRData[[#This Row],[MonthlyIncome]]&lt;=8000,"Low Income",
HRData[[#This Row],[MonthlyIncome]]&lt;=12000,"Moderate Income",
HRData[[#This Row],[MonthlyIncome]]&lt;=16000,"High Income",
HRData[[#This Row],[MonthlyIncome]]&gt;16000,"Very High Income"
)</f>
        <v>Moderate Income</v>
      </c>
      <c r="Y1111">
        <v>17799</v>
      </c>
      <c r="Z1111">
        <v>3</v>
      </c>
      <c r="AA1111" t="s">
        <v>42</v>
      </c>
      <c r="AB1111" t="s">
        <v>43</v>
      </c>
      <c r="AC1111">
        <v>12</v>
      </c>
      <c r="AD1111" t="str" cm="1">
        <f t="array" ref="AD1111">_xlfn.IFS(HRData[[#This Row],[PercentSalaryHike]]&lt;=15,"11-15",HRData[[#This Row],[PercentSalaryHike]]&lt;=20,"16-20",HRData[[#This Row],[PercentSalaryHike]]&gt;=21,"21+")</f>
        <v>11-15</v>
      </c>
      <c r="AE1111">
        <v>3</v>
      </c>
      <c r="AF1111">
        <v>2</v>
      </c>
      <c r="AG1111">
        <v>80</v>
      </c>
      <c r="AH1111">
        <v>1</v>
      </c>
      <c r="AI1111">
        <v>9</v>
      </c>
      <c r="AJ1111">
        <v>3</v>
      </c>
      <c r="AK1111">
        <v>3</v>
      </c>
      <c r="AL1111">
        <v>4</v>
      </c>
      <c r="AM1111">
        <v>2</v>
      </c>
      <c r="AN1111">
        <v>1</v>
      </c>
      <c r="AO1111">
        <v>3</v>
      </c>
      <c r="AP111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111" t="str">
        <f>IF(HRData[[#This Row],[Attrition]]="Yes","Left", IF(HRData[[#This Row],[Attrition_Risk_Score]]&gt;=6,"High",IF(HRData[[#This Row],[Attrition_Risk_Score]]&gt;=3,"Medium","Low")))</f>
        <v>Low</v>
      </c>
      <c r="AR1111" t="str">
        <f>IF(HRData[[#This Row],[Attrition_Risk_Level]]&lt;&gt;"High","",HRData[[#This Row],[Attrition_Risk_Score]]*10000-HRData[[#This Row],[EmployeeNumber]])</f>
        <v/>
      </c>
    </row>
    <row r="1112" spans="1:44">
      <c r="A1112">
        <v>35</v>
      </c>
      <c r="B1112" t="str" cm="1">
        <f t="array" ref="B1112">_xlfn.IFS(
HRData[[#This Row],[Age]]&lt;=24,"18-24",
HRData[[#This Row],[Age]]&lt;=34,"25-34",
HRData[[#This Row],[Age]]&lt;=44,"35-44",
HRData[[#This Row],[Age]]&lt;=54,"45-54",
HRData[[#This Row],[Age]]&gt;=55,"55+"
)</f>
        <v>35-44</v>
      </c>
      <c r="C1112" t="s">
        <v>35</v>
      </c>
      <c r="D1112">
        <f>IF(HRData[[#This Row],[Attrition]]="Yes",1,0)</f>
        <v>1</v>
      </c>
      <c r="E1112" t="s">
        <v>36</v>
      </c>
      <c r="F1112">
        <v>104</v>
      </c>
      <c r="G1112" t="s">
        <v>45</v>
      </c>
      <c r="H1112">
        <v>2</v>
      </c>
      <c r="I1112">
        <v>3</v>
      </c>
      <c r="J1112" t="s">
        <v>38</v>
      </c>
      <c r="K1112">
        <v>1</v>
      </c>
      <c r="L1112">
        <v>1569</v>
      </c>
      <c r="M1112">
        <v>1</v>
      </c>
      <c r="N1112" t="str" cm="1">
        <f t="array" ref="N1112">_xlfn.IFS(HRData[[#This Row],[EnvironmentSatisfaction]]=1,"Very Dissatisfied",
HRData[[#This Row],[EnvironmentSatisfaction]]=2,"Dissatisfied",
HRData[[#This Row],[EnvironmentSatisfaction]]=3,"Satisfied",
HRData[[#This Row],[EnvironmentSatisfaction]]=4,"Very Satisfied"
)</f>
        <v>Very Dissatisfied</v>
      </c>
      <c r="O1112" t="s">
        <v>39</v>
      </c>
      <c r="P1112">
        <v>69</v>
      </c>
      <c r="Q1112">
        <v>3</v>
      </c>
      <c r="R1112">
        <v>1</v>
      </c>
      <c r="S1112" t="s">
        <v>50</v>
      </c>
      <c r="T1112">
        <v>1</v>
      </c>
      <c r="U1112" t="str" cm="1">
        <f t="array" ref="U1112">_xlfn.IFS(
HRData[[#This Row],[JobSatisfaction]]=1,"Very Dissatisfied",
HRData[[#This Row],[JobSatisfaction]]=2,"Dissatisfied",
HRData[[#This Row],[JobSatisfaction]]=3,"Satisfied",
HRData[[#This Row],[JobSatisfaction]]=4,"Very Satisfied"
)</f>
        <v>Very Dissatisfied</v>
      </c>
      <c r="V1112" t="s">
        <v>52</v>
      </c>
      <c r="W1112">
        <v>2074</v>
      </c>
      <c r="X1112" t="str" cm="1">
        <f t="array" ref="X1112">_xlfn.IFS(
HRData[[#This Row],[MonthlyIncome]]&lt;=4000,"Very Low Income",
HRData[[#This Row],[MonthlyIncome]]&lt;=8000,"Low Income",
HRData[[#This Row],[MonthlyIncome]]&lt;=12000,"Moderate Income",
HRData[[#This Row],[MonthlyIncome]]&lt;=16000,"High Income",
HRData[[#This Row],[MonthlyIncome]]&gt;16000,"Very High Income"
)</f>
        <v>Very Low Income</v>
      </c>
      <c r="Y1112">
        <v>26619</v>
      </c>
      <c r="Z1112">
        <v>1</v>
      </c>
      <c r="AA1112" t="s">
        <v>42</v>
      </c>
      <c r="AB1112" t="s">
        <v>35</v>
      </c>
      <c r="AC1112">
        <v>12</v>
      </c>
      <c r="AD1112" t="str" cm="1">
        <f t="array" ref="AD1112">_xlfn.IFS(HRData[[#This Row],[PercentSalaryHike]]&lt;=15,"11-15",HRData[[#This Row],[PercentSalaryHike]]&lt;=20,"16-20",HRData[[#This Row],[PercentSalaryHike]]&gt;=21,"21+")</f>
        <v>11-15</v>
      </c>
      <c r="AE1112">
        <v>3</v>
      </c>
      <c r="AF1112">
        <v>4</v>
      </c>
      <c r="AG1112">
        <v>80</v>
      </c>
      <c r="AH1112">
        <v>1</v>
      </c>
      <c r="AI1112">
        <v>1</v>
      </c>
      <c r="AJ1112">
        <v>2</v>
      </c>
      <c r="AK1112">
        <v>3</v>
      </c>
      <c r="AL1112">
        <v>1</v>
      </c>
      <c r="AM1112">
        <v>0</v>
      </c>
      <c r="AN1112">
        <v>0</v>
      </c>
      <c r="AO1112">
        <v>0</v>
      </c>
      <c r="AP111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112" t="str">
        <f>IF(HRData[[#This Row],[Attrition]]="Yes","Left", IF(HRData[[#This Row],[Attrition_Risk_Score]]&gt;=6,"High",IF(HRData[[#This Row],[Attrition_Risk_Score]]&gt;=3,"Medium","Low")))</f>
        <v>Left</v>
      </c>
      <c r="AR1112" t="str">
        <f>IF(HRData[[#This Row],[Attrition_Risk_Level]]&lt;&gt;"High","",HRData[[#This Row],[Attrition_Risk_Score]]*10000-HRData[[#This Row],[EmployeeNumber]])</f>
        <v/>
      </c>
    </row>
    <row r="1113" spans="1:44">
      <c r="A1113">
        <v>53</v>
      </c>
      <c r="B1113" t="str" cm="1">
        <f t="array" ref="B1113">_xlfn.IFS(
HRData[[#This Row],[Age]]&lt;=24,"18-24",
HRData[[#This Row],[Age]]&lt;=34,"25-34",
HRData[[#This Row],[Age]]&lt;=44,"35-44",
HRData[[#This Row],[Age]]&lt;=54,"45-54",
HRData[[#This Row],[Age]]&gt;=55,"55+"
)</f>
        <v>45-54</v>
      </c>
      <c r="C1113" t="s">
        <v>35</v>
      </c>
      <c r="D1113">
        <f>IF(HRData[[#This Row],[Attrition]]="Yes",1,0)</f>
        <v>1</v>
      </c>
      <c r="E1113" t="s">
        <v>36</v>
      </c>
      <c r="F1113">
        <v>607</v>
      </c>
      <c r="G1113" t="s">
        <v>45</v>
      </c>
      <c r="H1113">
        <v>2</v>
      </c>
      <c r="I1113">
        <v>5</v>
      </c>
      <c r="J1113" t="s">
        <v>60</v>
      </c>
      <c r="K1113">
        <v>1</v>
      </c>
      <c r="L1113">
        <v>1572</v>
      </c>
      <c r="M1113">
        <v>3</v>
      </c>
      <c r="N1113" t="str" cm="1">
        <f t="array" ref="N1113">_xlfn.IFS(HRData[[#This Row],[EnvironmentSatisfaction]]=1,"Very Dissatisfied",
HRData[[#This Row],[EnvironmentSatisfaction]]=2,"Dissatisfied",
HRData[[#This Row],[EnvironmentSatisfaction]]=3,"Satisfied",
HRData[[#This Row],[EnvironmentSatisfaction]]=4,"Very Satisfied"
)</f>
        <v>Satisfied</v>
      </c>
      <c r="O1113" t="s">
        <v>39</v>
      </c>
      <c r="P1113">
        <v>78</v>
      </c>
      <c r="Q1113">
        <v>2</v>
      </c>
      <c r="R1113">
        <v>3</v>
      </c>
      <c r="S1113" t="s">
        <v>53</v>
      </c>
      <c r="T1113">
        <v>4</v>
      </c>
      <c r="U1113" t="str" cm="1">
        <f t="array" ref="U1113">_xlfn.IFS(
HRData[[#This Row],[JobSatisfaction]]=1,"Very Dissatisfied",
HRData[[#This Row],[JobSatisfaction]]=2,"Dissatisfied",
HRData[[#This Row],[JobSatisfaction]]=3,"Satisfied",
HRData[[#This Row],[JobSatisfaction]]=4,"Very Satisfied"
)</f>
        <v>Very Satisfied</v>
      </c>
      <c r="V1113" t="s">
        <v>48</v>
      </c>
      <c r="W1113">
        <v>10169</v>
      </c>
      <c r="X1113" t="str" cm="1">
        <f t="array" ref="X1113">_xlfn.IFS(
HRData[[#This Row],[MonthlyIncome]]&lt;=4000,"Very Low Income",
HRData[[#This Row],[MonthlyIncome]]&lt;=8000,"Low Income",
HRData[[#This Row],[MonthlyIncome]]&lt;=12000,"Moderate Income",
HRData[[#This Row],[MonthlyIncome]]&lt;=16000,"High Income",
HRData[[#This Row],[MonthlyIncome]]&gt;16000,"Very High Income"
)</f>
        <v>Moderate Income</v>
      </c>
      <c r="Y1113">
        <v>14618</v>
      </c>
      <c r="Z1113">
        <v>0</v>
      </c>
      <c r="AA1113" t="s">
        <v>42</v>
      </c>
      <c r="AB1113" t="s">
        <v>43</v>
      </c>
      <c r="AC1113">
        <v>16</v>
      </c>
      <c r="AD1113" t="str" cm="1">
        <f t="array" ref="AD1113">_xlfn.IFS(HRData[[#This Row],[PercentSalaryHike]]&lt;=15,"11-15",HRData[[#This Row],[PercentSalaryHike]]&lt;=20,"16-20",HRData[[#This Row],[PercentSalaryHike]]&gt;=21,"21+")</f>
        <v>16-20</v>
      </c>
      <c r="AE1113">
        <v>3</v>
      </c>
      <c r="AF1113">
        <v>2</v>
      </c>
      <c r="AG1113">
        <v>80</v>
      </c>
      <c r="AH1113">
        <v>1</v>
      </c>
      <c r="AI1113">
        <v>34</v>
      </c>
      <c r="AJ1113">
        <v>4</v>
      </c>
      <c r="AK1113">
        <v>3</v>
      </c>
      <c r="AL1113">
        <v>33</v>
      </c>
      <c r="AM1113">
        <v>7</v>
      </c>
      <c r="AN1113">
        <v>1</v>
      </c>
      <c r="AO1113">
        <v>9</v>
      </c>
      <c r="AP111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113" t="str">
        <f>IF(HRData[[#This Row],[Attrition]]="Yes","Left", IF(HRData[[#This Row],[Attrition_Risk_Score]]&gt;=6,"High",IF(HRData[[#This Row],[Attrition_Risk_Score]]&gt;=3,"Medium","Low")))</f>
        <v>Left</v>
      </c>
      <c r="AR1113" t="str">
        <f>IF(HRData[[#This Row],[Attrition_Risk_Level]]&lt;&gt;"High","",HRData[[#This Row],[Attrition_Risk_Score]]*10000-HRData[[#This Row],[EmployeeNumber]])</f>
        <v/>
      </c>
    </row>
    <row r="1114" spans="1:44">
      <c r="A1114">
        <v>38</v>
      </c>
      <c r="B1114" t="str" cm="1">
        <f t="array" ref="B1114">_xlfn.IFS(
HRData[[#This Row],[Age]]&lt;=24,"18-24",
HRData[[#This Row],[Age]]&lt;=34,"25-34",
HRData[[#This Row],[Age]]&lt;=44,"35-44",
HRData[[#This Row],[Age]]&lt;=54,"45-54",
HRData[[#This Row],[Age]]&gt;=55,"55+"
)</f>
        <v>35-44</v>
      </c>
      <c r="C1114" t="s">
        <v>35</v>
      </c>
      <c r="D1114">
        <f>IF(HRData[[#This Row],[Attrition]]="Yes",1,0)</f>
        <v>1</v>
      </c>
      <c r="E1114" t="s">
        <v>36</v>
      </c>
      <c r="F1114">
        <v>903</v>
      </c>
      <c r="G1114" t="s">
        <v>45</v>
      </c>
      <c r="H1114">
        <v>2</v>
      </c>
      <c r="I1114">
        <v>3</v>
      </c>
      <c r="J1114" t="s">
        <v>51</v>
      </c>
      <c r="K1114">
        <v>1</v>
      </c>
      <c r="L1114">
        <v>1573</v>
      </c>
      <c r="M1114">
        <v>3</v>
      </c>
      <c r="N1114" t="str" cm="1">
        <f t="array" ref="N1114">_xlfn.IFS(HRData[[#This Row],[EnvironmentSatisfaction]]=1,"Very Dissatisfied",
HRData[[#This Row],[EnvironmentSatisfaction]]=2,"Dissatisfied",
HRData[[#This Row],[EnvironmentSatisfaction]]=3,"Satisfied",
HRData[[#This Row],[EnvironmentSatisfaction]]=4,"Very Satisfied"
)</f>
        <v>Satisfied</v>
      </c>
      <c r="O1114" t="s">
        <v>46</v>
      </c>
      <c r="P1114">
        <v>81</v>
      </c>
      <c r="Q1114">
        <v>3</v>
      </c>
      <c r="R1114">
        <v>2</v>
      </c>
      <c r="S1114" t="s">
        <v>53</v>
      </c>
      <c r="T1114">
        <v>2</v>
      </c>
      <c r="U1114" t="str" cm="1">
        <f t="array" ref="U1114">_xlfn.IFS(
HRData[[#This Row],[JobSatisfaction]]=1,"Very Dissatisfied",
HRData[[#This Row],[JobSatisfaction]]=2,"Dissatisfied",
HRData[[#This Row],[JobSatisfaction]]=3,"Satisfied",
HRData[[#This Row],[JobSatisfaction]]=4,"Very Satisfied"
)</f>
        <v>Dissatisfied</v>
      </c>
      <c r="V1114" t="s">
        <v>48</v>
      </c>
      <c r="W1114">
        <v>4855</v>
      </c>
      <c r="X1114" t="str" cm="1">
        <f t="array" ref="X1114">_xlfn.IFS(
HRData[[#This Row],[MonthlyIncome]]&lt;=4000,"Very Low Income",
HRData[[#This Row],[MonthlyIncome]]&lt;=8000,"Low Income",
HRData[[#This Row],[MonthlyIncome]]&lt;=12000,"Moderate Income",
HRData[[#This Row],[MonthlyIncome]]&lt;=16000,"High Income",
HRData[[#This Row],[MonthlyIncome]]&gt;16000,"Very High Income"
)</f>
        <v>Low Income</v>
      </c>
      <c r="Y1114">
        <v>7653</v>
      </c>
      <c r="Z1114">
        <v>4</v>
      </c>
      <c r="AA1114" t="s">
        <v>42</v>
      </c>
      <c r="AB1114" t="s">
        <v>43</v>
      </c>
      <c r="AC1114">
        <v>11</v>
      </c>
      <c r="AD1114" t="str" cm="1">
        <f t="array" ref="AD1114">_xlfn.IFS(HRData[[#This Row],[PercentSalaryHike]]&lt;=15,"11-15",HRData[[#This Row],[PercentSalaryHike]]&lt;=20,"16-20",HRData[[#This Row],[PercentSalaryHike]]&gt;=21,"21+")</f>
        <v>11-15</v>
      </c>
      <c r="AE1114">
        <v>3</v>
      </c>
      <c r="AF1114">
        <v>1</v>
      </c>
      <c r="AG1114">
        <v>80</v>
      </c>
      <c r="AH1114">
        <v>2</v>
      </c>
      <c r="AI1114">
        <v>7</v>
      </c>
      <c r="AJ1114">
        <v>2</v>
      </c>
      <c r="AK1114">
        <v>3</v>
      </c>
      <c r="AL1114">
        <v>5</v>
      </c>
      <c r="AM1114">
        <v>2</v>
      </c>
      <c r="AN1114">
        <v>1</v>
      </c>
      <c r="AO1114">
        <v>4</v>
      </c>
      <c r="AP111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114" t="str">
        <f>IF(HRData[[#This Row],[Attrition]]="Yes","Left", IF(HRData[[#This Row],[Attrition_Risk_Score]]&gt;=6,"High",IF(HRData[[#This Row],[Attrition_Risk_Score]]&gt;=3,"Medium","Low")))</f>
        <v>Left</v>
      </c>
      <c r="AR1114" t="str">
        <f>IF(HRData[[#This Row],[Attrition_Risk_Level]]&lt;&gt;"High","",HRData[[#This Row],[Attrition_Risk_Score]]*10000-HRData[[#This Row],[EmployeeNumber]])</f>
        <v/>
      </c>
    </row>
    <row r="1115" spans="1:44">
      <c r="A1115">
        <v>32</v>
      </c>
      <c r="B1115" t="str" cm="1">
        <f t="array" ref="B1115">_xlfn.IFS(
HRData[[#This Row],[Age]]&lt;=24,"18-24",
HRData[[#This Row],[Age]]&lt;=34,"25-34",
HRData[[#This Row],[Age]]&lt;=44,"35-44",
HRData[[#This Row],[Age]]&lt;=54,"45-54",
HRData[[#This Row],[Age]]&gt;=55,"55+"
)</f>
        <v>25-34</v>
      </c>
      <c r="C1115" t="s">
        <v>43</v>
      </c>
      <c r="D1115">
        <f>IF(HRData[[#This Row],[Attrition]]="Yes",1,0)</f>
        <v>0</v>
      </c>
      <c r="E1115" t="s">
        <v>55</v>
      </c>
      <c r="F1115">
        <v>1200</v>
      </c>
      <c r="G1115" t="s">
        <v>45</v>
      </c>
      <c r="H1115">
        <v>1</v>
      </c>
      <c r="I1115">
        <v>4</v>
      </c>
      <c r="J1115" t="s">
        <v>60</v>
      </c>
      <c r="K1115">
        <v>1</v>
      </c>
      <c r="L1115">
        <v>1574</v>
      </c>
      <c r="M1115">
        <v>4</v>
      </c>
      <c r="N1115" t="str" cm="1">
        <f t="array" ref="N1115">_xlfn.IFS(HRData[[#This Row],[EnvironmentSatisfaction]]=1,"Very Dissatisfied",
HRData[[#This Row],[EnvironmentSatisfaction]]=2,"Dissatisfied",
HRData[[#This Row],[EnvironmentSatisfaction]]=3,"Satisfied",
HRData[[#This Row],[EnvironmentSatisfaction]]=4,"Very Satisfied"
)</f>
        <v>Very Satisfied</v>
      </c>
      <c r="O1115" t="s">
        <v>46</v>
      </c>
      <c r="P1115">
        <v>62</v>
      </c>
      <c r="Q1115">
        <v>3</v>
      </c>
      <c r="R1115">
        <v>2</v>
      </c>
      <c r="S1115" t="s">
        <v>47</v>
      </c>
      <c r="T1115">
        <v>1</v>
      </c>
      <c r="U1115" t="str" cm="1">
        <f t="array" ref="U1115">_xlfn.IFS(
HRData[[#This Row],[JobSatisfaction]]=1,"Very Dissatisfied",
HRData[[#This Row],[JobSatisfaction]]=2,"Dissatisfied",
HRData[[#This Row],[JobSatisfaction]]=3,"Satisfied",
HRData[[#This Row],[JobSatisfaction]]=4,"Very Satisfied"
)</f>
        <v>Very Dissatisfied</v>
      </c>
      <c r="V1115" t="s">
        <v>48</v>
      </c>
      <c r="W1115">
        <v>4087</v>
      </c>
      <c r="X1115" t="str" cm="1">
        <f t="array" ref="X1115">_xlfn.IFS(
HRData[[#This Row],[MonthlyIncome]]&lt;=4000,"Very Low Income",
HRData[[#This Row],[MonthlyIncome]]&lt;=8000,"Low Income",
HRData[[#This Row],[MonthlyIncome]]&lt;=12000,"Moderate Income",
HRData[[#This Row],[MonthlyIncome]]&lt;=16000,"High Income",
HRData[[#This Row],[MonthlyIncome]]&gt;16000,"Very High Income"
)</f>
        <v>Low Income</v>
      </c>
      <c r="Y1115">
        <v>25174</v>
      </c>
      <c r="Z1115">
        <v>4</v>
      </c>
      <c r="AA1115" t="s">
        <v>42</v>
      </c>
      <c r="AB1115" t="s">
        <v>43</v>
      </c>
      <c r="AC1115">
        <v>14</v>
      </c>
      <c r="AD1115" t="str" cm="1">
        <f t="array" ref="AD1115">_xlfn.IFS(HRData[[#This Row],[PercentSalaryHike]]&lt;=15,"11-15",HRData[[#This Row],[PercentSalaryHike]]&lt;=20,"16-20",HRData[[#This Row],[PercentSalaryHike]]&gt;=21,"21+")</f>
        <v>11-15</v>
      </c>
      <c r="AE1115">
        <v>3</v>
      </c>
      <c r="AF1115">
        <v>2</v>
      </c>
      <c r="AG1115">
        <v>80</v>
      </c>
      <c r="AH1115">
        <v>1</v>
      </c>
      <c r="AI1115">
        <v>9</v>
      </c>
      <c r="AJ1115">
        <v>3</v>
      </c>
      <c r="AK1115">
        <v>2</v>
      </c>
      <c r="AL1115">
        <v>6</v>
      </c>
      <c r="AM1115">
        <v>5</v>
      </c>
      <c r="AN1115">
        <v>1</v>
      </c>
      <c r="AO1115">
        <v>2</v>
      </c>
      <c r="AP111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115" t="str">
        <f>IF(HRData[[#This Row],[Attrition]]="Yes","Left", IF(HRData[[#This Row],[Attrition_Risk_Score]]&gt;=6,"High",IF(HRData[[#This Row],[Attrition_Risk_Score]]&gt;=3,"Medium","Low")))</f>
        <v>Medium</v>
      </c>
      <c r="AR1115" t="str">
        <f>IF(HRData[[#This Row],[Attrition_Risk_Level]]&lt;&gt;"High","",HRData[[#This Row],[Attrition_Risk_Score]]*10000-HRData[[#This Row],[EmployeeNumber]])</f>
        <v/>
      </c>
    </row>
    <row r="1116" spans="1:44">
      <c r="A1116">
        <v>48</v>
      </c>
      <c r="B1116" t="str" cm="1">
        <f t="array" ref="B1116">_xlfn.IFS(
HRData[[#This Row],[Age]]&lt;=24,"18-24",
HRData[[#This Row],[Age]]&lt;=34,"25-34",
HRData[[#This Row],[Age]]&lt;=44,"35-44",
HRData[[#This Row],[Age]]&lt;=54,"45-54",
HRData[[#This Row],[Age]]&gt;=55,"55+"
)</f>
        <v>45-54</v>
      </c>
      <c r="C1116" t="s">
        <v>43</v>
      </c>
      <c r="D1116">
        <f>IF(HRData[[#This Row],[Attrition]]="Yes",1,0)</f>
        <v>0</v>
      </c>
      <c r="E1116" t="s">
        <v>36</v>
      </c>
      <c r="F1116">
        <v>1108</v>
      </c>
      <c r="G1116" t="s">
        <v>45</v>
      </c>
      <c r="H1116">
        <v>15</v>
      </c>
      <c r="I1116">
        <v>4</v>
      </c>
      <c r="J1116" t="s">
        <v>49</v>
      </c>
      <c r="K1116">
        <v>1</v>
      </c>
      <c r="L1116">
        <v>1576</v>
      </c>
      <c r="M1116">
        <v>3</v>
      </c>
      <c r="N1116" t="str" cm="1">
        <f t="array" ref="N1116">_xlfn.IFS(HRData[[#This Row],[EnvironmentSatisfaction]]=1,"Very Dissatisfied",
HRData[[#This Row],[EnvironmentSatisfaction]]=2,"Dissatisfied",
HRData[[#This Row],[EnvironmentSatisfaction]]=3,"Satisfied",
HRData[[#This Row],[EnvironmentSatisfaction]]=4,"Very Satisfied"
)</f>
        <v>Satisfied</v>
      </c>
      <c r="O1116" t="s">
        <v>39</v>
      </c>
      <c r="P1116">
        <v>65</v>
      </c>
      <c r="Q1116">
        <v>3</v>
      </c>
      <c r="R1116">
        <v>1</v>
      </c>
      <c r="S1116" t="s">
        <v>47</v>
      </c>
      <c r="T1116">
        <v>1</v>
      </c>
      <c r="U1116" t="str" cm="1">
        <f t="array" ref="U1116">_xlfn.IFS(
HRData[[#This Row],[JobSatisfaction]]=1,"Very Dissatisfied",
HRData[[#This Row],[JobSatisfaction]]=2,"Dissatisfied",
HRData[[#This Row],[JobSatisfaction]]=3,"Satisfied",
HRData[[#This Row],[JobSatisfaction]]=4,"Very Satisfied"
)</f>
        <v>Very Dissatisfied</v>
      </c>
      <c r="V1116" t="s">
        <v>48</v>
      </c>
      <c r="W1116">
        <v>2367</v>
      </c>
      <c r="X1116" t="str" cm="1">
        <f t="array" ref="X1116">_xlfn.IFS(
HRData[[#This Row],[MonthlyIncome]]&lt;=4000,"Very Low Income",
HRData[[#This Row],[MonthlyIncome]]&lt;=8000,"Low Income",
HRData[[#This Row],[MonthlyIncome]]&lt;=12000,"Moderate Income",
HRData[[#This Row],[MonthlyIncome]]&lt;=16000,"High Income",
HRData[[#This Row],[MonthlyIncome]]&gt;16000,"Very High Income"
)</f>
        <v>Very Low Income</v>
      </c>
      <c r="Y1116">
        <v>16530</v>
      </c>
      <c r="Z1116">
        <v>8</v>
      </c>
      <c r="AA1116" t="s">
        <v>42</v>
      </c>
      <c r="AB1116" t="s">
        <v>43</v>
      </c>
      <c r="AC1116">
        <v>12</v>
      </c>
      <c r="AD1116" t="str" cm="1">
        <f t="array" ref="AD1116">_xlfn.IFS(HRData[[#This Row],[PercentSalaryHike]]&lt;=15,"11-15",HRData[[#This Row],[PercentSalaryHike]]&lt;=20,"16-20",HRData[[#This Row],[PercentSalaryHike]]&gt;=21,"21+")</f>
        <v>11-15</v>
      </c>
      <c r="AE1116">
        <v>3</v>
      </c>
      <c r="AF1116">
        <v>4</v>
      </c>
      <c r="AG1116">
        <v>80</v>
      </c>
      <c r="AH1116">
        <v>1</v>
      </c>
      <c r="AI1116">
        <v>10</v>
      </c>
      <c r="AJ1116">
        <v>3</v>
      </c>
      <c r="AK1116">
        <v>2</v>
      </c>
      <c r="AL1116">
        <v>8</v>
      </c>
      <c r="AM1116">
        <v>2</v>
      </c>
      <c r="AN1116">
        <v>7</v>
      </c>
      <c r="AO1116">
        <v>6</v>
      </c>
      <c r="AP111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116" t="str">
        <f>IF(HRData[[#This Row],[Attrition]]="Yes","Left", IF(HRData[[#This Row],[Attrition_Risk_Score]]&gt;=6,"High",IF(HRData[[#This Row],[Attrition_Risk_Score]]&gt;=3,"Medium","Low")))</f>
        <v>Medium</v>
      </c>
      <c r="AR1116" t="str">
        <f>IF(HRData[[#This Row],[Attrition_Risk_Level]]&lt;&gt;"High","",HRData[[#This Row],[Attrition_Risk_Score]]*10000-HRData[[#This Row],[EmployeeNumber]])</f>
        <v/>
      </c>
    </row>
    <row r="1117" spans="1:44">
      <c r="A1117">
        <v>34</v>
      </c>
      <c r="B1117" t="str" cm="1">
        <f t="array" ref="B1117">_xlfn.IFS(
HRData[[#This Row],[Age]]&lt;=24,"18-24",
HRData[[#This Row],[Age]]&lt;=34,"25-34",
HRData[[#This Row],[Age]]&lt;=44,"35-44",
HRData[[#This Row],[Age]]&lt;=54,"45-54",
HRData[[#This Row],[Age]]&gt;=55,"55+"
)</f>
        <v>25-34</v>
      </c>
      <c r="C1117" t="s">
        <v>43</v>
      </c>
      <c r="D1117">
        <f>IF(HRData[[#This Row],[Attrition]]="Yes",1,0)</f>
        <v>0</v>
      </c>
      <c r="E1117" t="s">
        <v>36</v>
      </c>
      <c r="F1117">
        <v>479</v>
      </c>
      <c r="G1117" t="s">
        <v>45</v>
      </c>
      <c r="H1117">
        <v>7</v>
      </c>
      <c r="I1117">
        <v>4</v>
      </c>
      <c r="J1117" t="s">
        <v>51</v>
      </c>
      <c r="K1117">
        <v>1</v>
      </c>
      <c r="L1117">
        <v>1577</v>
      </c>
      <c r="M1117">
        <v>1</v>
      </c>
      <c r="N1117" t="str" cm="1">
        <f t="array" ref="N1117">_xlfn.IFS(HRData[[#This Row],[EnvironmentSatisfaction]]=1,"Very Dissatisfied",
HRData[[#This Row],[EnvironmentSatisfaction]]=2,"Dissatisfied",
HRData[[#This Row],[EnvironmentSatisfaction]]=3,"Satisfied",
HRData[[#This Row],[EnvironmentSatisfaction]]=4,"Very Satisfied"
)</f>
        <v>Very Dissatisfied</v>
      </c>
      <c r="O1117" t="s">
        <v>46</v>
      </c>
      <c r="P1117">
        <v>35</v>
      </c>
      <c r="Q1117">
        <v>3</v>
      </c>
      <c r="R1117">
        <v>1</v>
      </c>
      <c r="S1117" t="s">
        <v>47</v>
      </c>
      <c r="T1117">
        <v>4</v>
      </c>
      <c r="U1117" t="str" cm="1">
        <f t="array" ref="U1117">_xlfn.IFS(
HRData[[#This Row],[JobSatisfaction]]=1,"Very Dissatisfied",
HRData[[#This Row],[JobSatisfaction]]=2,"Dissatisfied",
HRData[[#This Row],[JobSatisfaction]]=3,"Satisfied",
HRData[[#This Row],[JobSatisfaction]]=4,"Very Satisfied"
)</f>
        <v>Very Satisfied</v>
      </c>
      <c r="V1117" t="s">
        <v>41</v>
      </c>
      <c r="W1117">
        <v>2972</v>
      </c>
      <c r="X1117" t="str" cm="1">
        <f t="array" ref="X1117">_xlfn.IFS(
HRData[[#This Row],[MonthlyIncome]]&lt;=4000,"Very Low Income",
HRData[[#This Row],[MonthlyIncome]]&lt;=8000,"Low Income",
HRData[[#This Row],[MonthlyIncome]]&lt;=12000,"Moderate Income",
HRData[[#This Row],[MonthlyIncome]]&lt;=16000,"High Income",
HRData[[#This Row],[MonthlyIncome]]&gt;16000,"Very High Income"
)</f>
        <v>Very Low Income</v>
      </c>
      <c r="Y1117">
        <v>22061</v>
      </c>
      <c r="Z1117">
        <v>1</v>
      </c>
      <c r="AA1117" t="s">
        <v>42</v>
      </c>
      <c r="AB1117" t="s">
        <v>43</v>
      </c>
      <c r="AC1117">
        <v>13</v>
      </c>
      <c r="AD1117" t="str" cm="1">
        <f t="array" ref="AD1117">_xlfn.IFS(HRData[[#This Row],[PercentSalaryHike]]&lt;=15,"11-15",HRData[[#This Row],[PercentSalaryHike]]&lt;=20,"16-20",HRData[[#This Row],[PercentSalaryHike]]&gt;=21,"21+")</f>
        <v>11-15</v>
      </c>
      <c r="AE1117">
        <v>3</v>
      </c>
      <c r="AF1117">
        <v>3</v>
      </c>
      <c r="AG1117">
        <v>80</v>
      </c>
      <c r="AH1117">
        <v>0</v>
      </c>
      <c r="AI1117">
        <v>1</v>
      </c>
      <c r="AJ1117">
        <v>4</v>
      </c>
      <c r="AK1117">
        <v>1</v>
      </c>
      <c r="AL1117">
        <v>1</v>
      </c>
      <c r="AM1117">
        <v>0</v>
      </c>
      <c r="AN1117">
        <v>0</v>
      </c>
      <c r="AO1117">
        <v>0</v>
      </c>
      <c r="AP111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17" t="str">
        <f>IF(HRData[[#This Row],[Attrition]]="Yes","Left", IF(HRData[[#This Row],[Attrition_Risk_Score]]&gt;=6,"High",IF(HRData[[#This Row],[Attrition_Risk_Score]]&gt;=3,"Medium","Low")))</f>
        <v>Medium</v>
      </c>
      <c r="AR1117" t="str">
        <f>IF(HRData[[#This Row],[Attrition_Risk_Level]]&lt;&gt;"High","",HRData[[#This Row],[Attrition_Risk_Score]]*10000-HRData[[#This Row],[EmployeeNumber]])</f>
        <v/>
      </c>
    </row>
    <row r="1118" spans="1:44">
      <c r="A1118">
        <v>55</v>
      </c>
      <c r="B1118" t="str" cm="1">
        <f t="array" ref="B1118">_xlfn.IFS(
HRData[[#This Row],[Age]]&lt;=24,"18-24",
HRData[[#This Row],[Age]]&lt;=34,"25-34",
HRData[[#This Row],[Age]]&lt;=44,"35-44",
HRData[[#This Row],[Age]]&lt;=54,"45-54",
HRData[[#This Row],[Age]]&gt;=55,"55+"
)</f>
        <v>55+</v>
      </c>
      <c r="C1118" t="s">
        <v>43</v>
      </c>
      <c r="D1118">
        <f>IF(HRData[[#This Row],[Attrition]]="Yes",1,0)</f>
        <v>0</v>
      </c>
      <c r="E1118" t="s">
        <v>36</v>
      </c>
      <c r="F1118">
        <v>685</v>
      </c>
      <c r="G1118" t="s">
        <v>37</v>
      </c>
      <c r="H1118">
        <v>26</v>
      </c>
      <c r="I1118">
        <v>5</v>
      </c>
      <c r="J1118" t="s">
        <v>59</v>
      </c>
      <c r="K1118">
        <v>1</v>
      </c>
      <c r="L1118">
        <v>1578</v>
      </c>
      <c r="M1118">
        <v>3</v>
      </c>
      <c r="N1118" t="str" cm="1">
        <f t="array" ref="N1118">_xlfn.IFS(HRData[[#This Row],[EnvironmentSatisfaction]]=1,"Very Dissatisfied",
HRData[[#This Row],[EnvironmentSatisfaction]]=2,"Dissatisfied",
HRData[[#This Row],[EnvironmentSatisfaction]]=3,"Satisfied",
HRData[[#This Row],[EnvironmentSatisfaction]]=4,"Very Satisfied"
)</f>
        <v>Satisfied</v>
      </c>
      <c r="O1118" t="s">
        <v>46</v>
      </c>
      <c r="P1118">
        <v>60</v>
      </c>
      <c r="Q1118">
        <v>2</v>
      </c>
      <c r="R1118">
        <v>5</v>
      </c>
      <c r="S1118" t="s">
        <v>56</v>
      </c>
      <c r="T1118">
        <v>4</v>
      </c>
      <c r="U1118" t="str" cm="1">
        <f t="array" ref="U1118">_xlfn.IFS(
HRData[[#This Row],[JobSatisfaction]]=1,"Very Dissatisfied",
HRData[[#This Row],[JobSatisfaction]]=2,"Dissatisfied",
HRData[[#This Row],[JobSatisfaction]]=3,"Satisfied",
HRData[[#This Row],[JobSatisfaction]]=4,"Very Satisfied"
)</f>
        <v>Very Satisfied</v>
      </c>
      <c r="V1118" t="s">
        <v>48</v>
      </c>
      <c r="W1118">
        <v>19586</v>
      </c>
      <c r="X1118" t="str" cm="1">
        <f t="array" ref="X1118">_xlfn.IFS(
HRData[[#This Row],[MonthlyIncome]]&lt;=4000,"Very Low Income",
HRData[[#This Row],[MonthlyIncome]]&lt;=8000,"Low Income",
HRData[[#This Row],[MonthlyIncome]]&lt;=12000,"Moderate Income",
HRData[[#This Row],[MonthlyIncome]]&lt;=16000,"High Income",
HRData[[#This Row],[MonthlyIncome]]&gt;16000,"Very High Income"
)</f>
        <v>Very High Income</v>
      </c>
      <c r="Y1118">
        <v>23037</v>
      </c>
      <c r="Z1118">
        <v>1</v>
      </c>
      <c r="AA1118" t="s">
        <v>42</v>
      </c>
      <c r="AB1118" t="s">
        <v>43</v>
      </c>
      <c r="AC1118">
        <v>21</v>
      </c>
      <c r="AD1118" t="str" cm="1">
        <f t="array" ref="AD1118">_xlfn.IFS(HRData[[#This Row],[PercentSalaryHike]]&lt;=15,"11-15",HRData[[#This Row],[PercentSalaryHike]]&lt;=20,"16-20",HRData[[#This Row],[PercentSalaryHike]]&gt;=21,"21+")</f>
        <v>21+</v>
      </c>
      <c r="AE1118">
        <v>4</v>
      </c>
      <c r="AF1118">
        <v>3</v>
      </c>
      <c r="AG1118">
        <v>80</v>
      </c>
      <c r="AH1118">
        <v>1</v>
      </c>
      <c r="AI1118">
        <v>36</v>
      </c>
      <c r="AJ1118">
        <v>3</v>
      </c>
      <c r="AK1118">
        <v>3</v>
      </c>
      <c r="AL1118">
        <v>36</v>
      </c>
      <c r="AM1118">
        <v>6</v>
      </c>
      <c r="AN1118">
        <v>2</v>
      </c>
      <c r="AO1118">
        <v>13</v>
      </c>
      <c r="AP111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118" t="str">
        <f>IF(HRData[[#This Row],[Attrition]]="Yes","Left", IF(HRData[[#This Row],[Attrition_Risk_Score]]&gt;=6,"High",IF(HRData[[#This Row],[Attrition_Risk_Score]]&gt;=3,"Medium","Low")))</f>
        <v>Low</v>
      </c>
      <c r="AR1118" t="str">
        <f>IF(HRData[[#This Row],[Attrition_Risk_Level]]&lt;&gt;"High","",HRData[[#This Row],[Attrition_Risk_Score]]*10000-HRData[[#This Row],[EmployeeNumber]])</f>
        <v/>
      </c>
    </row>
    <row r="1119" spans="1:44">
      <c r="A1119">
        <v>34</v>
      </c>
      <c r="B1119" t="str" cm="1">
        <f t="array" ref="B1119">_xlfn.IFS(
HRData[[#This Row],[Age]]&lt;=24,"18-24",
HRData[[#This Row],[Age]]&lt;=34,"25-34",
HRData[[#This Row],[Age]]&lt;=44,"35-44",
HRData[[#This Row],[Age]]&lt;=54,"45-54",
HRData[[#This Row],[Age]]&gt;=55,"55+"
)</f>
        <v>25-34</v>
      </c>
      <c r="C1119" t="s">
        <v>43</v>
      </c>
      <c r="D1119">
        <f>IF(HRData[[#This Row],[Attrition]]="Yes",1,0)</f>
        <v>0</v>
      </c>
      <c r="E1119" t="s">
        <v>36</v>
      </c>
      <c r="F1119">
        <v>1351</v>
      </c>
      <c r="G1119" t="s">
        <v>45</v>
      </c>
      <c r="H1119">
        <v>1</v>
      </c>
      <c r="I1119">
        <v>4</v>
      </c>
      <c r="J1119" t="s">
        <v>38</v>
      </c>
      <c r="K1119">
        <v>1</v>
      </c>
      <c r="L1119">
        <v>1580</v>
      </c>
      <c r="M1119">
        <v>2</v>
      </c>
      <c r="N1119" t="str" cm="1">
        <f t="array" ref="N1119">_xlfn.IFS(HRData[[#This Row],[EnvironmentSatisfaction]]=1,"Very Dissatisfied",
HRData[[#This Row],[EnvironmentSatisfaction]]=2,"Dissatisfied",
HRData[[#This Row],[EnvironmentSatisfaction]]=3,"Satisfied",
HRData[[#This Row],[EnvironmentSatisfaction]]=4,"Very Satisfied"
)</f>
        <v>Dissatisfied</v>
      </c>
      <c r="O1119" t="s">
        <v>46</v>
      </c>
      <c r="P1119">
        <v>45</v>
      </c>
      <c r="Q1119">
        <v>3</v>
      </c>
      <c r="R1119">
        <v>2</v>
      </c>
      <c r="S1119" t="s">
        <v>47</v>
      </c>
      <c r="T1119">
        <v>4</v>
      </c>
      <c r="U1119" t="str" cm="1">
        <f t="array" ref="U1119">_xlfn.IFS(
HRData[[#This Row],[JobSatisfaction]]=1,"Very Dissatisfied",
HRData[[#This Row],[JobSatisfaction]]=2,"Dissatisfied",
HRData[[#This Row],[JobSatisfaction]]=3,"Satisfied",
HRData[[#This Row],[JobSatisfaction]]=4,"Very Satisfied"
)</f>
        <v>Very Satisfied</v>
      </c>
      <c r="V1119" t="s">
        <v>48</v>
      </c>
      <c r="W1119">
        <v>5484</v>
      </c>
      <c r="X1119" t="str" cm="1">
        <f t="array" ref="X1119">_xlfn.IFS(
HRData[[#This Row],[MonthlyIncome]]&lt;=4000,"Very Low Income",
HRData[[#This Row],[MonthlyIncome]]&lt;=8000,"Low Income",
HRData[[#This Row],[MonthlyIncome]]&lt;=12000,"Moderate Income",
HRData[[#This Row],[MonthlyIncome]]&lt;=16000,"High Income",
HRData[[#This Row],[MonthlyIncome]]&gt;16000,"Very High Income"
)</f>
        <v>Low Income</v>
      </c>
      <c r="Y1119">
        <v>13008</v>
      </c>
      <c r="Z1119">
        <v>9</v>
      </c>
      <c r="AA1119" t="s">
        <v>42</v>
      </c>
      <c r="AB1119" t="s">
        <v>43</v>
      </c>
      <c r="AC1119">
        <v>17</v>
      </c>
      <c r="AD1119" t="str" cm="1">
        <f t="array" ref="AD1119">_xlfn.IFS(HRData[[#This Row],[PercentSalaryHike]]&lt;=15,"11-15",HRData[[#This Row],[PercentSalaryHike]]&lt;=20,"16-20",HRData[[#This Row],[PercentSalaryHike]]&gt;=21,"21+")</f>
        <v>16-20</v>
      </c>
      <c r="AE1119">
        <v>3</v>
      </c>
      <c r="AF1119">
        <v>2</v>
      </c>
      <c r="AG1119">
        <v>80</v>
      </c>
      <c r="AH1119">
        <v>1</v>
      </c>
      <c r="AI1119">
        <v>9</v>
      </c>
      <c r="AJ1119">
        <v>3</v>
      </c>
      <c r="AK1119">
        <v>2</v>
      </c>
      <c r="AL1119">
        <v>2</v>
      </c>
      <c r="AM1119">
        <v>2</v>
      </c>
      <c r="AN1119">
        <v>2</v>
      </c>
      <c r="AO1119">
        <v>1</v>
      </c>
      <c r="AP111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19" t="str">
        <f>IF(HRData[[#This Row],[Attrition]]="Yes","Left", IF(HRData[[#This Row],[Attrition_Risk_Score]]&gt;=6,"High",IF(HRData[[#This Row],[Attrition_Risk_Score]]&gt;=3,"Medium","Low")))</f>
        <v>Low</v>
      </c>
      <c r="AR1119" t="str">
        <f>IF(HRData[[#This Row],[Attrition_Risk_Level]]&lt;&gt;"High","",HRData[[#This Row],[Attrition_Risk_Score]]*10000-HRData[[#This Row],[EmployeeNumber]])</f>
        <v/>
      </c>
    </row>
    <row r="1120" spans="1:44">
      <c r="A1120">
        <v>26</v>
      </c>
      <c r="B1120" t="str" cm="1">
        <f t="array" ref="B1120">_xlfn.IFS(
HRData[[#This Row],[Age]]&lt;=24,"18-24",
HRData[[#This Row],[Age]]&lt;=34,"25-34",
HRData[[#This Row],[Age]]&lt;=44,"35-44",
HRData[[#This Row],[Age]]&lt;=54,"45-54",
HRData[[#This Row],[Age]]&gt;=55,"55+"
)</f>
        <v>25-34</v>
      </c>
      <c r="C1120" t="s">
        <v>43</v>
      </c>
      <c r="D1120">
        <f>IF(HRData[[#This Row],[Attrition]]="Yes",1,0)</f>
        <v>0</v>
      </c>
      <c r="E1120" t="s">
        <v>36</v>
      </c>
      <c r="F1120">
        <v>474</v>
      </c>
      <c r="G1120" t="s">
        <v>45</v>
      </c>
      <c r="H1120">
        <v>3</v>
      </c>
      <c r="I1120">
        <v>3</v>
      </c>
      <c r="J1120" t="s">
        <v>38</v>
      </c>
      <c r="K1120">
        <v>1</v>
      </c>
      <c r="L1120">
        <v>1581</v>
      </c>
      <c r="M1120">
        <v>1</v>
      </c>
      <c r="N1120" t="str" cm="1">
        <f t="array" ref="N1120">_xlfn.IFS(HRData[[#This Row],[EnvironmentSatisfaction]]=1,"Very Dissatisfied",
HRData[[#This Row],[EnvironmentSatisfaction]]=2,"Dissatisfied",
HRData[[#This Row],[EnvironmentSatisfaction]]=3,"Satisfied",
HRData[[#This Row],[EnvironmentSatisfaction]]=4,"Very Satisfied"
)</f>
        <v>Very Dissatisfied</v>
      </c>
      <c r="O1120" t="s">
        <v>39</v>
      </c>
      <c r="P1120">
        <v>89</v>
      </c>
      <c r="Q1120">
        <v>3</v>
      </c>
      <c r="R1120">
        <v>1</v>
      </c>
      <c r="S1120" t="s">
        <v>47</v>
      </c>
      <c r="T1120">
        <v>4</v>
      </c>
      <c r="U1120" t="str" cm="1">
        <f t="array" ref="U1120">_xlfn.IFS(
HRData[[#This Row],[JobSatisfaction]]=1,"Very Dissatisfied",
HRData[[#This Row],[JobSatisfaction]]=2,"Dissatisfied",
HRData[[#This Row],[JobSatisfaction]]=3,"Satisfied",
HRData[[#This Row],[JobSatisfaction]]=4,"Very Satisfied"
)</f>
        <v>Very Satisfied</v>
      </c>
      <c r="V1120" t="s">
        <v>48</v>
      </c>
      <c r="W1120">
        <v>2061</v>
      </c>
      <c r="X1120" t="str" cm="1">
        <f t="array" ref="X1120">_xlfn.IFS(
HRData[[#This Row],[MonthlyIncome]]&lt;=4000,"Very Low Income",
HRData[[#This Row],[MonthlyIncome]]&lt;=8000,"Low Income",
HRData[[#This Row],[MonthlyIncome]]&lt;=12000,"Moderate Income",
HRData[[#This Row],[MonthlyIncome]]&lt;=16000,"High Income",
HRData[[#This Row],[MonthlyIncome]]&gt;16000,"Very High Income"
)</f>
        <v>Very Low Income</v>
      </c>
      <c r="Y1120">
        <v>11133</v>
      </c>
      <c r="Z1120">
        <v>1</v>
      </c>
      <c r="AA1120" t="s">
        <v>42</v>
      </c>
      <c r="AB1120" t="s">
        <v>43</v>
      </c>
      <c r="AC1120">
        <v>21</v>
      </c>
      <c r="AD1120" t="str" cm="1">
        <f t="array" ref="AD1120">_xlfn.IFS(HRData[[#This Row],[PercentSalaryHike]]&lt;=15,"11-15",HRData[[#This Row],[PercentSalaryHike]]&lt;=20,"16-20",HRData[[#This Row],[PercentSalaryHike]]&gt;=21,"21+")</f>
        <v>21+</v>
      </c>
      <c r="AE1120">
        <v>4</v>
      </c>
      <c r="AF1120">
        <v>1</v>
      </c>
      <c r="AG1120">
        <v>80</v>
      </c>
      <c r="AH1120">
        <v>0</v>
      </c>
      <c r="AI1120">
        <v>1</v>
      </c>
      <c r="AJ1120">
        <v>5</v>
      </c>
      <c r="AK1120">
        <v>3</v>
      </c>
      <c r="AL1120">
        <v>1</v>
      </c>
      <c r="AM1120">
        <v>0</v>
      </c>
      <c r="AN1120">
        <v>0</v>
      </c>
      <c r="AO1120">
        <v>0</v>
      </c>
      <c r="AP112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20" t="str">
        <f>IF(HRData[[#This Row],[Attrition]]="Yes","Left", IF(HRData[[#This Row],[Attrition_Risk_Score]]&gt;=6,"High",IF(HRData[[#This Row],[Attrition_Risk_Score]]&gt;=3,"Medium","Low")))</f>
        <v>Medium</v>
      </c>
      <c r="AR1120" t="str">
        <f>IF(HRData[[#This Row],[Attrition_Risk_Level]]&lt;&gt;"High","",HRData[[#This Row],[Attrition_Risk_Score]]*10000-HRData[[#This Row],[EmployeeNumber]])</f>
        <v/>
      </c>
    </row>
    <row r="1121" spans="1:44">
      <c r="A1121">
        <v>38</v>
      </c>
      <c r="B1121" t="str" cm="1">
        <f t="array" ref="B1121">_xlfn.IFS(
HRData[[#This Row],[Age]]&lt;=24,"18-24",
HRData[[#This Row],[Age]]&lt;=34,"25-34",
HRData[[#This Row],[Age]]&lt;=44,"35-44",
HRData[[#This Row],[Age]]&lt;=54,"45-54",
HRData[[#This Row],[Age]]&gt;=55,"55+"
)</f>
        <v>35-44</v>
      </c>
      <c r="C1121" t="s">
        <v>43</v>
      </c>
      <c r="D1121">
        <f>IF(HRData[[#This Row],[Attrition]]="Yes",1,0)</f>
        <v>0</v>
      </c>
      <c r="E1121" t="s">
        <v>36</v>
      </c>
      <c r="F1121">
        <v>1245</v>
      </c>
      <c r="G1121" t="s">
        <v>37</v>
      </c>
      <c r="H1121">
        <v>14</v>
      </c>
      <c r="I1121">
        <v>3</v>
      </c>
      <c r="J1121" t="s">
        <v>38</v>
      </c>
      <c r="K1121">
        <v>1</v>
      </c>
      <c r="L1121">
        <v>1582</v>
      </c>
      <c r="M1121">
        <v>3</v>
      </c>
      <c r="N1121" t="str" cm="1">
        <f t="array" ref="N1121">_xlfn.IFS(HRData[[#This Row],[EnvironmentSatisfaction]]=1,"Very Dissatisfied",
HRData[[#This Row],[EnvironmentSatisfaction]]=2,"Dissatisfied",
HRData[[#This Row],[EnvironmentSatisfaction]]=3,"Satisfied",
HRData[[#This Row],[EnvironmentSatisfaction]]=4,"Very Satisfied"
)</f>
        <v>Satisfied</v>
      </c>
      <c r="O1121" t="s">
        <v>46</v>
      </c>
      <c r="P1121">
        <v>80</v>
      </c>
      <c r="Q1121">
        <v>3</v>
      </c>
      <c r="R1121">
        <v>2</v>
      </c>
      <c r="S1121" t="s">
        <v>40</v>
      </c>
      <c r="T1121">
        <v>2</v>
      </c>
      <c r="U1121" t="str" cm="1">
        <f t="array" ref="U1121">_xlfn.IFS(
HRData[[#This Row],[JobSatisfaction]]=1,"Very Dissatisfied",
HRData[[#This Row],[JobSatisfaction]]=2,"Dissatisfied",
HRData[[#This Row],[JobSatisfaction]]=3,"Satisfied",
HRData[[#This Row],[JobSatisfaction]]=4,"Very Satisfied"
)</f>
        <v>Dissatisfied</v>
      </c>
      <c r="V1121" t="s">
        <v>48</v>
      </c>
      <c r="W1121">
        <v>9924</v>
      </c>
      <c r="X1121" t="str" cm="1">
        <f t="array" ref="X1121">_xlfn.IFS(
HRData[[#This Row],[MonthlyIncome]]&lt;=4000,"Very Low Income",
HRData[[#This Row],[MonthlyIncome]]&lt;=8000,"Low Income",
HRData[[#This Row],[MonthlyIncome]]&lt;=12000,"Moderate Income",
HRData[[#This Row],[MonthlyIncome]]&lt;=16000,"High Income",
HRData[[#This Row],[MonthlyIncome]]&gt;16000,"Very High Income"
)</f>
        <v>Moderate Income</v>
      </c>
      <c r="Y1121">
        <v>12355</v>
      </c>
      <c r="Z1121">
        <v>0</v>
      </c>
      <c r="AA1121" t="s">
        <v>42</v>
      </c>
      <c r="AB1121" t="s">
        <v>43</v>
      </c>
      <c r="AC1121">
        <v>11</v>
      </c>
      <c r="AD1121" t="str" cm="1">
        <f t="array" ref="AD1121">_xlfn.IFS(HRData[[#This Row],[PercentSalaryHike]]&lt;=15,"11-15",HRData[[#This Row],[PercentSalaryHike]]&lt;=20,"16-20",HRData[[#This Row],[PercentSalaryHike]]&gt;=21,"21+")</f>
        <v>11-15</v>
      </c>
      <c r="AE1121">
        <v>3</v>
      </c>
      <c r="AF1121">
        <v>4</v>
      </c>
      <c r="AG1121">
        <v>80</v>
      </c>
      <c r="AH1121">
        <v>1</v>
      </c>
      <c r="AI1121">
        <v>10</v>
      </c>
      <c r="AJ1121">
        <v>3</v>
      </c>
      <c r="AK1121">
        <v>3</v>
      </c>
      <c r="AL1121">
        <v>9</v>
      </c>
      <c r="AM1121">
        <v>8</v>
      </c>
      <c r="AN1121">
        <v>7</v>
      </c>
      <c r="AO1121">
        <v>7</v>
      </c>
      <c r="AP112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121" t="str">
        <f>IF(HRData[[#This Row],[Attrition]]="Yes","Left", IF(HRData[[#This Row],[Attrition_Risk_Score]]&gt;=6,"High",IF(HRData[[#This Row],[Attrition_Risk_Score]]&gt;=3,"Medium","Low")))</f>
        <v>Low</v>
      </c>
      <c r="AR1121" t="str">
        <f>IF(HRData[[#This Row],[Attrition_Risk_Level]]&lt;&gt;"High","",HRData[[#This Row],[Attrition_Risk_Score]]*10000-HRData[[#This Row],[EmployeeNumber]])</f>
        <v/>
      </c>
    </row>
    <row r="1122" spans="1:44">
      <c r="A1122">
        <v>38</v>
      </c>
      <c r="B1122" t="str" cm="1">
        <f t="array" ref="B1122">_xlfn.IFS(
HRData[[#This Row],[Age]]&lt;=24,"18-24",
HRData[[#This Row],[Age]]&lt;=34,"25-34",
HRData[[#This Row],[Age]]&lt;=44,"35-44",
HRData[[#This Row],[Age]]&lt;=54,"45-54",
HRData[[#This Row],[Age]]&gt;=55,"55+"
)</f>
        <v>35-44</v>
      </c>
      <c r="C1122" t="s">
        <v>43</v>
      </c>
      <c r="D1122">
        <f>IF(HRData[[#This Row],[Attrition]]="Yes",1,0)</f>
        <v>0</v>
      </c>
      <c r="E1122" t="s">
        <v>36</v>
      </c>
      <c r="F1122">
        <v>437</v>
      </c>
      <c r="G1122" t="s">
        <v>37</v>
      </c>
      <c r="H1122">
        <v>16</v>
      </c>
      <c r="I1122">
        <v>3</v>
      </c>
      <c r="J1122" t="s">
        <v>38</v>
      </c>
      <c r="K1122">
        <v>1</v>
      </c>
      <c r="L1122">
        <v>1583</v>
      </c>
      <c r="M1122">
        <v>2</v>
      </c>
      <c r="N1122" t="str" cm="1">
        <f t="array" ref="N1122">_xlfn.IFS(HRData[[#This Row],[EnvironmentSatisfaction]]=1,"Very Dissatisfied",
HRData[[#This Row],[EnvironmentSatisfaction]]=2,"Dissatisfied",
HRData[[#This Row],[EnvironmentSatisfaction]]=3,"Satisfied",
HRData[[#This Row],[EnvironmentSatisfaction]]=4,"Very Satisfied"
)</f>
        <v>Dissatisfied</v>
      </c>
      <c r="O1122" t="s">
        <v>39</v>
      </c>
      <c r="P1122">
        <v>90</v>
      </c>
      <c r="Q1122">
        <v>3</v>
      </c>
      <c r="R1122">
        <v>2</v>
      </c>
      <c r="S1122" t="s">
        <v>40</v>
      </c>
      <c r="T1122">
        <v>2</v>
      </c>
      <c r="U1122" t="str" cm="1">
        <f t="array" ref="U1122">_xlfn.IFS(
HRData[[#This Row],[JobSatisfaction]]=1,"Very Dissatisfied",
HRData[[#This Row],[JobSatisfaction]]=2,"Dissatisfied",
HRData[[#This Row],[JobSatisfaction]]=3,"Satisfied",
HRData[[#This Row],[JobSatisfaction]]=4,"Very Satisfied"
)</f>
        <v>Dissatisfied</v>
      </c>
      <c r="V1122" t="s">
        <v>41</v>
      </c>
      <c r="W1122">
        <v>4198</v>
      </c>
      <c r="X1122" t="str" cm="1">
        <f t="array" ref="X1122">_xlfn.IFS(
HRData[[#This Row],[MonthlyIncome]]&lt;=4000,"Very Low Income",
HRData[[#This Row],[MonthlyIncome]]&lt;=8000,"Low Income",
HRData[[#This Row],[MonthlyIncome]]&lt;=12000,"Moderate Income",
HRData[[#This Row],[MonthlyIncome]]&lt;=16000,"High Income",
HRData[[#This Row],[MonthlyIncome]]&gt;16000,"Very High Income"
)</f>
        <v>Low Income</v>
      </c>
      <c r="Y1122">
        <v>16379</v>
      </c>
      <c r="Z1122">
        <v>2</v>
      </c>
      <c r="AA1122" t="s">
        <v>42</v>
      </c>
      <c r="AB1122" t="s">
        <v>43</v>
      </c>
      <c r="AC1122">
        <v>12</v>
      </c>
      <c r="AD1122" t="str" cm="1">
        <f t="array" ref="AD1122">_xlfn.IFS(HRData[[#This Row],[PercentSalaryHike]]&lt;=15,"11-15",HRData[[#This Row],[PercentSalaryHike]]&lt;=20,"16-20",HRData[[#This Row],[PercentSalaryHike]]&gt;=21,"21+")</f>
        <v>11-15</v>
      </c>
      <c r="AE1122">
        <v>3</v>
      </c>
      <c r="AF1122">
        <v>2</v>
      </c>
      <c r="AG1122">
        <v>80</v>
      </c>
      <c r="AH1122">
        <v>0</v>
      </c>
      <c r="AI1122">
        <v>8</v>
      </c>
      <c r="AJ1122">
        <v>5</v>
      </c>
      <c r="AK1122">
        <v>4</v>
      </c>
      <c r="AL1122">
        <v>3</v>
      </c>
      <c r="AM1122">
        <v>2</v>
      </c>
      <c r="AN1122">
        <v>1</v>
      </c>
      <c r="AO1122">
        <v>2</v>
      </c>
      <c r="AP112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122" t="str">
        <f>IF(HRData[[#This Row],[Attrition]]="Yes","Left", IF(HRData[[#This Row],[Attrition_Risk_Score]]&gt;=6,"High",IF(HRData[[#This Row],[Attrition_Risk_Score]]&gt;=3,"Medium","Low")))</f>
        <v>Low</v>
      </c>
      <c r="AR1122" t="str">
        <f>IF(HRData[[#This Row],[Attrition_Risk_Level]]&lt;&gt;"High","",HRData[[#This Row],[Attrition_Risk_Score]]*10000-HRData[[#This Row],[EmployeeNumber]])</f>
        <v/>
      </c>
    </row>
    <row r="1123" spans="1:44">
      <c r="A1123">
        <v>36</v>
      </c>
      <c r="B1123" t="str" cm="1">
        <f t="array" ref="B1123">_xlfn.IFS(
HRData[[#This Row],[Age]]&lt;=24,"18-24",
HRData[[#This Row],[Age]]&lt;=34,"25-34",
HRData[[#This Row],[Age]]&lt;=44,"35-44",
HRData[[#This Row],[Age]]&lt;=54,"45-54",
HRData[[#This Row],[Age]]&gt;=55,"55+"
)</f>
        <v>35-44</v>
      </c>
      <c r="C1123" t="s">
        <v>43</v>
      </c>
      <c r="D1123">
        <f>IF(HRData[[#This Row],[Attrition]]="Yes",1,0)</f>
        <v>0</v>
      </c>
      <c r="E1123" t="s">
        <v>36</v>
      </c>
      <c r="F1123">
        <v>884</v>
      </c>
      <c r="G1123" t="s">
        <v>37</v>
      </c>
      <c r="H1123">
        <v>1</v>
      </c>
      <c r="I1123">
        <v>4</v>
      </c>
      <c r="J1123" t="s">
        <v>38</v>
      </c>
      <c r="K1123">
        <v>1</v>
      </c>
      <c r="L1123">
        <v>1585</v>
      </c>
      <c r="M1123">
        <v>2</v>
      </c>
      <c r="N1123" t="str" cm="1">
        <f t="array" ref="N1123">_xlfn.IFS(HRData[[#This Row],[EnvironmentSatisfaction]]=1,"Very Dissatisfied",
HRData[[#This Row],[EnvironmentSatisfaction]]=2,"Dissatisfied",
HRData[[#This Row],[EnvironmentSatisfaction]]=3,"Satisfied",
HRData[[#This Row],[EnvironmentSatisfaction]]=4,"Very Satisfied"
)</f>
        <v>Dissatisfied</v>
      </c>
      <c r="O1123" t="s">
        <v>39</v>
      </c>
      <c r="P1123">
        <v>73</v>
      </c>
      <c r="Q1123">
        <v>3</v>
      </c>
      <c r="R1123">
        <v>2</v>
      </c>
      <c r="S1123" t="s">
        <v>40</v>
      </c>
      <c r="T1123">
        <v>3</v>
      </c>
      <c r="U1123" t="str" cm="1">
        <f t="array" ref="U1123">_xlfn.IFS(
HRData[[#This Row],[JobSatisfaction]]=1,"Very Dissatisfied",
HRData[[#This Row],[JobSatisfaction]]=2,"Dissatisfied",
HRData[[#This Row],[JobSatisfaction]]=3,"Satisfied",
HRData[[#This Row],[JobSatisfaction]]=4,"Very Satisfied"
)</f>
        <v>Satisfied</v>
      </c>
      <c r="V1123" t="s">
        <v>41</v>
      </c>
      <c r="W1123">
        <v>6815</v>
      </c>
      <c r="X1123" t="str" cm="1">
        <f t="array" ref="X1123">_xlfn.IFS(
HRData[[#This Row],[MonthlyIncome]]&lt;=4000,"Very Low Income",
HRData[[#This Row],[MonthlyIncome]]&lt;=8000,"Low Income",
HRData[[#This Row],[MonthlyIncome]]&lt;=12000,"Moderate Income",
HRData[[#This Row],[MonthlyIncome]]&lt;=16000,"High Income",
HRData[[#This Row],[MonthlyIncome]]&gt;16000,"Very High Income"
)</f>
        <v>Low Income</v>
      </c>
      <c r="Y1123">
        <v>21447</v>
      </c>
      <c r="Z1123">
        <v>6</v>
      </c>
      <c r="AA1123" t="s">
        <v>42</v>
      </c>
      <c r="AB1123" t="s">
        <v>43</v>
      </c>
      <c r="AC1123">
        <v>13</v>
      </c>
      <c r="AD1123" t="str" cm="1">
        <f t="array" ref="AD1123">_xlfn.IFS(HRData[[#This Row],[PercentSalaryHike]]&lt;=15,"11-15",HRData[[#This Row],[PercentSalaryHike]]&lt;=20,"16-20",HRData[[#This Row],[PercentSalaryHike]]&gt;=21,"21+")</f>
        <v>11-15</v>
      </c>
      <c r="AE1123">
        <v>3</v>
      </c>
      <c r="AF1123">
        <v>1</v>
      </c>
      <c r="AG1123">
        <v>80</v>
      </c>
      <c r="AH1123">
        <v>0</v>
      </c>
      <c r="AI1123">
        <v>15</v>
      </c>
      <c r="AJ1123">
        <v>5</v>
      </c>
      <c r="AK1123">
        <v>3</v>
      </c>
      <c r="AL1123">
        <v>1</v>
      </c>
      <c r="AM1123">
        <v>0</v>
      </c>
      <c r="AN1123">
        <v>0</v>
      </c>
      <c r="AO1123">
        <v>0</v>
      </c>
      <c r="AP112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123" t="str">
        <f>IF(HRData[[#This Row],[Attrition]]="Yes","Left", IF(HRData[[#This Row],[Attrition_Risk_Score]]&gt;=6,"High",IF(HRData[[#This Row],[Attrition_Risk_Score]]&gt;=3,"Medium","Low")))</f>
        <v>Low</v>
      </c>
      <c r="AR1123" t="str">
        <f>IF(HRData[[#This Row],[Attrition_Risk_Level]]&lt;&gt;"High","",HRData[[#This Row],[Attrition_Risk_Score]]*10000-HRData[[#This Row],[EmployeeNumber]])</f>
        <v/>
      </c>
    </row>
    <row r="1124" spans="1:44">
      <c r="A1124">
        <v>29</v>
      </c>
      <c r="B1124" t="str" cm="1">
        <f t="array" ref="B1124">_xlfn.IFS(
HRData[[#This Row],[Age]]&lt;=24,"18-24",
HRData[[#This Row],[Age]]&lt;=34,"25-34",
HRData[[#This Row],[Age]]&lt;=44,"35-44",
HRData[[#This Row],[Age]]&lt;=54,"45-54",
HRData[[#This Row],[Age]]&gt;=55,"55+"
)</f>
        <v>25-34</v>
      </c>
      <c r="C1124" t="s">
        <v>43</v>
      </c>
      <c r="D1124">
        <f>IF(HRData[[#This Row],[Attrition]]="Yes",1,0)</f>
        <v>0</v>
      </c>
      <c r="E1124" t="s">
        <v>36</v>
      </c>
      <c r="F1124">
        <v>1370</v>
      </c>
      <c r="G1124" t="s">
        <v>45</v>
      </c>
      <c r="H1124">
        <v>3</v>
      </c>
      <c r="I1124">
        <v>1</v>
      </c>
      <c r="J1124" t="s">
        <v>51</v>
      </c>
      <c r="K1124">
        <v>1</v>
      </c>
      <c r="L1124">
        <v>1586</v>
      </c>
      <c r="M1124">
        <v>2</v>
      </c>
      <c r="N1124" t="str" cm="1">
        <f t="array" ref="N1124">_xlfn.IFS(HRData[[#This Row],[EnvironmentSatisfaction]]=1,"Very Dissatisfied",
HRData[[#This Row],[EnvironmentSatisfaction]]=2,"Dissatisfied",
HRData[[#This Row],[EnvironmentSatisfaction]]=3,"Satisfied",
HRData[[#This Row],[EnvironmentSatisfaction]]=4,"Very Satisfied"
)</f>
        <v>Dissatisfied</v>
      </c>
      <c r="O1124" t="s">
        <v>46</v>
      </c>
      <c r="P1124">
        <v>87</v>
      </c>
      <c r="Q1124">
        <v>3</v>
      </c>
      <c r="R1124">
        <v>1</v>
      </c>
      <c r="S1124" t="s">
        <v>50</v>
      </c>
      <c r="T1124">
        <v>1</v>
      </c>
      <c r="U1124" t="str" cm="1">
        <f t="array" ref="U1124">_xlfn.IFS(
HRData[[#This Row],[JobSatisfaction]]=1,"Very Dissatisfied",
HRData[[#This Row],[JobSatisfaction]]=2,"Dissatisfied",
HRData[[#This Row],[JobSatisfaction]]=3,"Satisfied",
HRData[[#This Row],[JobSatisfaction]]=4,"Very Satisfied"
)</f>
        <v>Very Dissatisfied</v>
      </c>
      <c r="V1124" t="s">
        <v>41</v>
      </c>
      <c r="W1124">
        <v>4723</v>
      </c>
      <c r="X1124" t="str" cm="1">
        <f t="array" ref="X1124">_xlfn.IFS(
HRData[[#This Row],[MonthlyIncome]]&lt;=4000,"Very Low Income",
HRData[[#This Row],[MonthlyIncome]]&lt;=8000,"Low Income",
HRData[[#This Row],[MonthlyIncome]]&lt;=12000,"Moderate Income",
HRData[[#This Row],[MonthlyIncome]]&lt;=16000,"High Income",
HRData[[#This Row],[MonthlyIncome]]&gt;16000,"Very High Income"
)</f>
        <v>Low Income</v>
      </c>
      <c r="Y1124">
        <v>16213</v>
      </c>
      <c r="Z1124">
        <v>1</v>
      </c>
      <c r="AA1124" t="s">
        <v>42</v>
      </c>
      <c r="AB1124" t="s">
        <v>35</v>
      </c>
      <c r="AC1124">
        <v>18</v>
      </c>
      <c r="AD1124" t="str" cm="1">
        <f t="array" ref="AD1124">_xlfn.IFS(HRData[[#This Row],[PercentSalaryHike]]&lt;=15,"11-15",HRData[[#This Row],[PercentSalaryHike]]&lt;=20,"16-20",HRData[[#This Row],[PercentSalaryHike]]&gt;=21,"21+")</f>
        <v>16-20</v>
      </c>
      <c r="AE1124">
        <v>3</v>
      </c>
      <c r="AF1124">
        <v>4</v>
      </c>
      <c r="AG1124">
        <v>80</v>
      </c>
      <c r="AH1124">
        <v>0</v>
      </c>
      <c r="AI1124">
        <v>10</v>
      </c>
      <c r="AJ1124">
        <v>3</v>
      </c>
      <c r="AK1124">
        <v>3</v>
      </c>
      <c r="AL1124">
        <v>10</v>
      </c>
      <c r="AM1124">
        <v>9</v>
      </c>
      <c r="AN1124">
        <v>1</v>
      </c>
      <c r="AO1124">
        <v>5</v>
      </c>
      <c r="AP112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1124" t="str">
        <f>IF(HRData[[#This Row],[Attrition]]="Yes","Left", IF(HRData[[#This Row],[Attrition_Risk_Score]]&gt;=6,"High",IF(HRData[[#This Row],[Attrition_Risk_Score]]&gt;=3,"Medium","Low")))</f>
        <v>High</v>
      </c>
      <c r="AR1124">
        <f>IF(HRData[[#This Row],[Attrition_Risk_Level]]&lt;&gt;"High","",HRData[[#This Row],[Attrition_Risk_Score]]*10000-HRData[[#This Row],[EmployeeNumber]])</f>
        <v>68414</v>
      </c>
    </row>
    <row r="1125" spans="1:44">
      <c r="A1125">
        <v>35</v>
      </c>
      <c r="B1125" t="str" cm="1">
        <f t="array" ref="B1125">_xlfn.IFS(
HRData[[#This Row],[Age]]&lt;=24,"18-24",
HRData[[#This Row],[Age]]&lt;=34,"25-34",
HRData[[#This Row],[Age]]&lt;=44,"35-44",
HRData[[#This Row],[Age]]&lt;=54,"45-54",
HRData[[#This Row],[Age]]&gt;=55,"55+"
)</f>
        <v>35-44</v>
      </c>
      <c r="C1125" t="s">
        <v>43</v>
      </c>
      <c r="D1125">
        <f>IF(HRData[[#This Row],[Attrition]]="Yes",1,0)</f>
        <v>0</v>
      </c>
      <c r="E1125" t="s">
        <v>36</v>
      </c>
      <c r="F1125">
        <v>670</v>
      </c>
      <c r="G1125" t="s">
        <v>45</v>
      </c>
      <c r="H1125">
        <v>10</v>
      </c>
      <c r="I1125">
        <v>4</v>
      </c>
      <c r="J1125" t="s">
        <v>51</v>
      </c>
      <c r="K1125">
        <v>1</v>
      </c>
      <c r="L1125">
        <v>1587</v>
      </c>
      <c r="M1125">
        <v>1</v>
      </c>
      <c r="N1125" t="str" cm="1">
        <f t="array" ref="N1125">_xlfn.IFS(HRData[[#This Row],[EnvironmentSatisfaction]]=1,"Very Dissatisfied",
HRData[[#This Row],[EnvironmentSatisfaction]]=2,"Dissatisfied",
HRData[[#This Row],[EnvironmentSatisfaction]]=3,"Satisfied",
HRData[[#This Row],[EnvironmentSatisfaction]]=4,"Very Satisfied"
)</f>
        <v>Very Dissatisfied</v>
      </c>
      <c r="O1125" t="s">
        <v>39</v>
      </c>
      <c r="P1125">
        <v>51</v>
      </c>
      <c r="Q1125">
        <v>3</v>
      </c>
      <c r="R1125">
        <v>2</v>
      </c>
      <c r="S1125" t="s">
        <v>54</v>
      </c>
      <c r="T1125">
        <v>3</v>
      </c>
      <c r="U1125" t="str" cm="1">
        <f t="array" ref="U1125">_xlfn.IFS(
HRData[[#This Row],[JobSatisfaction]]=1,"Very Dissatisfied",
HRData[[#This Row],[JobSatisfaction]]=2,"Dissatisfied",
HRData[[#This Row],[JobSatisfaction]]=3,"Satisfied",
HRData[[#This Row],[JobSatisfaction]]=4,"Very Satisfied"
)</f>
        <v>Satisfied</v>
      </c>
      <c r="V1125" t="s">
        <v>41</v>
      </c>
      <c r="W1125">
        <v>6142</v>
      </c>
      <c r="X1125" t="str" cm="1">
        <f t="array" ref="X1125">_xlfn.IFS(
HRData[[#This Row],[MonthlyIncome]]&lt;=4000,"Very Low Income",
HRData[[#This Row],[MonthlyIncome]]&lt;=8000,"Low Income",
HRData[[#This Row],[MonthlyIncome]]&lt;=12000,"Moderate Income",
HRData[[#This Row],[MonthlyIncome]]&lt;=16000,"High Income",
HRData[[#This Row],[MonthlyIncome]]&gt;16000,"Very High Income"
)</f>
        <v>Low Income</v>
      </c>
      <c r="Y1125">
        <v>4223</v>
      </c>
      <c r="Z1125">
        <v>3</v>
      </c>
      <c r="AA1125" t="s">
        <v>42</v>
      </c>
      <c r="AB1125" t="s">
        <v>35</v>
      </c>
      <c r="AC1125">
        <v>16</v>
      </c>
      <c r="AD1125" t="str" cm="1">
        <f t="array" ref="AD1125">_xlfn.IFS(HRData[[#This Row],[PercentSalaryHike]]&lt;=15,"11-15",HRData[[#This Row],[PercentSalaryHike]]&lt;=20,"16-20",HRData[[#This Row],[PercentSalaryHike]]&gt;=21,"21+")</f>
        <v>16-20</v>
      </c>
      <c r="AE1125">
        <v>3</v>
      </c>
      <c r="AF1125">
        <v>3</v>
      </c>
      <c r="AG1125">
        <v>80</v>
      </c>
      <c r="AH1125">
        <v>0</v>
      </c>
      <c r="AI1125">
        <v>10</v>
      </c>
      <c r="AJ1125">
        <v>4</v>
      </c>
      <c r="AK1125">
        <v>3</v>
      </c>
      <c r="AL1125">
        <v>5</v>
      </c>
      <c r="AM1125">
        <v>2</v>
      </c>
      <c r="AN1125">
        <v>0</v>
      </c>
      <c r="AO1125">
        <v>4</v>
      </c>
      <c r="AP112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25" t="str">
        <f>IF(HRData[[#This Row],[Attrition]]="Yes","Left", IF(HRData[[#This Row],[Attrition_Risk_Score]]&gt;=6,"High",IF(HRData[[#This Row],[Attrition_Risk_Score]]&gt;=3,"Medium","Low")))</f>
        <v>Medium</v>
      </c>
      <c r="AR1125" t="str">
        <f>IF(HRData[[#This Row],[Attrition_Risk_Level]]&lt;&gt;"High","",HRData[[#This Row],[Attrition_Risk_Score]]*10000-HRData[[#This Row],[EmployeeNumber]])</f>
        <v/>
      </c>
    </row>
    <row r="1126" spans="1:44">
      <c r="A1126">
        <v>39</v>
      </c>
      <c r="B1126" t="str" cm="1">
        <f t="array" ref="B1126">_xlfn.IFS(
HRData[[#This Row],[Age]]&lt;=24,"18-24",
HRData[[#This Row],[Age]]&lt;=34,"25-34",
HRData[[#This Row],[Age]]&lt;=44,"35-44",
HRData[[#This Row],[Age]]&lt;=54,"45-54",
HRData[[#This Row],[Age]]&gt;=55,"55+"
)</f>
        <v>35-44</v>
      </c>
      <c r="C1126" t="s">
        <v>43</v>
      </c>
      <c r="D1126">
        <f>IF(HRData[[#This Row],[Attrition]]="Yes",1,0)</f>
        <v>0</v>
      </c>
      <c r="E1126" t="s">
        <v>36</v>
      </c>
      <c r="F1126">
        <v>1462</v>
      </c>
      <c r="G1126" t="s">
        <v>37</v>
      </c>
      <c r="H1126">
        <v>6</v>
      </c>
      <c r="I1126">
        <v>3</v>
      </c>
      <c r="J1126" t="s">
        <v>51</v>
      </c>
      <c r="K1126">
        <v>1</v>
      </c>
      <c r="L1126">
        <v>1588</v>
      </c>
      <c r="M1126">
        <v>4</v>
      </c>
      <c r="N1126" t="str" cm="1">
        <f t="array" ref="N1126">_xlfn.IFS(HRData[[#This Row],[EnvironmentSatisfaction]]=1,"Very Dissatisfied",
HRData[[#This Row],[EnvironmentSatisfaction]]=2,"Dissatisfied",
HRData[[#This Row],[EnvironmentSatisfaction]]=3,"Satisfied",
HRData[[#This Row],[EnvironmentSatisfaction]]=4,"Very Satisfied"
)</f>
        <v>Very Satisfied</v>
      </c>
      <c r="O1126" t="s">
        <v>46</v>
      </c>
      <c r="P1126">
        <v>38</v>
      </c>
      <c r="Q1126">
        <v>4</v>
      </c>
      <c r="R1126">
        <v>3</v>
      </c>
      <c r="S1126" t="s">
        <v>40</v>
      </c>
      <c r="T1126">
        <v>3</v>
      </c>
      <c r="U1126" t="str" cm="1">
        <f t="array" ref="U1126">_xlfn.IFS(
HRData[[#This Row],[JobSatisfaction]]=1,"Very Dissatisfied",
HRData[[#This Row],[JobSatisfaction]]=2,"Dissatisfied",
HRData[[#This Row],[JobSatisfaction]]=3,"Satisfied",
HRData[[#This Row],[JobSatisfaction]]=4,"Very Satisfied"
)</f>
        <v>Satisfied</v>
      </c>
      <c r="V1126" t="s">
        <v>48</v>
      </c>
      <c r="W1126">
        <v>8237</v>
      </c>
      <c r="X1126" t="str" cm="1">
        <f t="array" ref="X1126">_xlfn.IFS(
HRData[[#This Row],[MonthlyIncome]]&lt;=4000,"Very Low Income",
HRData[[#This Row],[MonthlyIncome]]&lt;=8000,"Low Income",
HRData[[#This Row],[MonthlyIncome]]&lt;=12000,"Moderate Income",
HRData[[#This Row],[MonthlyIncome]]&lt;=16000,"High Income",
HRData[[#This Row],[MonthlyIncome]]&gt;16000,"Very High Income"
)</f>
        <v>Moderate Income</v>
      </c>
      <c r="Y1126">
        <v>4658</v>
      </c>
      <c r="Z1126">
        <v>2</v>
      </c>
      <c r="AA1126" t="s">
        <v>42</v>
      </c>
      <c r="AB1126" t="s">
        <v>43</v>
      </c>
      <c r="AC1126">
        <v>11</v>
      </c>
      <c r="AD1126" t="str" cm="1">
        <f t="array" ref="AD1126">_xlfn.IFS(HRData[[#This Row],[PercentSalaryHike]]&lt;=15,"11-15",HRData[[#This Row],[PercentSalaryHike]]&lt;=20,"16-20",HRData[[#This Row],[PercentSalaryHike]]&gt;=21,"21+")</f>
        <v>11-15</v>
      </c>
      <c r="AE1126">
        <v>3</v>
      </c>
      <c r="AF1126">
        <v>1</v>
      </c>
      <c r="AG1126">
        <v>80</v>
      </c>
      <c r="AH1126">
        <v>1</v>
      </c>
      <c r="AI1126">
        <v>11</v>
      </c>
      <c r="AJ1126">
        <v>3</v>
      </c>
      <c r="AK1126">
        <v>3</v>
      </c>
      <c r="AL1126">
        <v>7</v>
      </c>
      <c r="AM1126">
        <v>6</v>
      </c>
      <c r="AN1126">
        <v>7</v>
      </c>
      <c r="AO1126">
        <v>6</v>
      </c>
      <c r="AP112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126" t="str">
        <f>IF(HRData[[#This Row],[Attrition]]="Yes","Left", IF(HRData[[#This Row],[Attrition_Risk_Score]]&gt;=6,"High",IF(HRData[[#This Row],[Attrition_Risk_Score]]&gt;=3,"Medium","Low")))</f>
        <v>Low</v>
      </c>
      <c r="AR1126" t="str">
        <f>IF(HRData[[#This Row],[Attrition_Risk_Level]]&lt;&gt;"High","",HRData[[#This Row],[Attrition_Risk_Score]]*10000-HRData[[#This Row],[EmployeeNumber]])</f>
        <v/>
      </c>
    </row>
    <row r="1127" spans="1:44">
      <c r="A1127">
        <v>29</v>
      </c>
      <c r="B1127" t="str" cm="1">
        <f t="array" ref="B1127">_xlfn.IFS(
HRData[[#This Row],[Age]]&lt;=24,"18-24",
HRData[[#This Row],[Age]]&lt;=34,"25-34",
HRData[[#This Row],[Age]]&lt;=44,"35-44",
HRData[[#This Row],[Age]]&lt;=54,"45-54",
HRData[[#This Row],[Age]]&gt;=55,"55+"
)</f>
        <v>25-34</v>
      </c>
      <c r="C1127" t="s">
        <v>43</v>
      </c>
      <c r="D1127">
        <f>IF(HRData[[#This Row],[Attrition]]="Yes",1,0)</f>
        <v>0</v>
      </c>
      <c r="E1127" t="s">
        <v>44</v>
      </c>
      <c r="F1127">
        <v>995</v>
      </c>
      <c r="G1127" t="s">
        <v>45</v>
      </c>
      <c r="H1127">
        <v>2</v>
      </c>
      <c r="I1127">
        <v>1</v>
      </c>
      <c r="J1127" t="s">
        <v>38</v>
      </c>
      <c r="K1127">
        <v>1</v>
      </c>
      <c r="L1127">
        <v>1590</v>
      </c>
      <c r="M1127">
        <v>1</v>
      </c>
      <c r="N1127" t="str" cm="1">
        <f t="array" ref="N1127">_xlfn.IFS(HRData[[#This Row],[EnvironmentSatisfaction]]=1,"Very Dissatisfied",
HRData[[#This Row],[EnvironmentSatisfaction]]=2,"Dissatisfied",
HRData[[#This Row],[EnvironmentSatisfaction]]=3,"Satisfied",
HRData[[#This Row],[EnvironmentSatisfaction]]=4,"Very Satisfied"
)</f>
        <v>Very Dissatisfied</v>
      </c>
      <c r="O1127" t="s">
        <v>46</v>
      </c>
      <c r="P1127">
        <v>87</v>
      </c>
      <c r="Q1127">
        <v>3</v>
      </c>
      <c r="R1127">
        <v>2</v>
      </c>
      <c r="S1127" t="s">
        <v>54</v>
      </c>
      <c r="T1127">
        <v>4</v>
      </c>
      <c r="U1127" t="str" cm="1">
        <f t="array" ref="U1127">_xlfn.IFS(
HRData[[#This Row],[JobSatisfaction]]=1,"Very Dissatisfied",
HRData[[#This Row],[JobSatisfaction]]=2,"Dissatisfied",
HRData[[#This Row],[JobSatisfaction]]=3,"Satisfied",
HRData[[#This Row],[JobSatisfaction]]=4,"Very Satisfied"
)</f>
        <v>Very Satisfied</v>
      </c>
      <c r="V1127" t="s">
        <v>52</v>
      </c>
      <c r="W1127">
        <v>8853</v>
      </c>
      <c r="X1127" t="str" cm="1">
        <f t="array" ref="X1127">_xlfn.IFS(
HRData[[#This Row],[MonthlyIncome]]&lt;=4000,"Very Low Income",
HRData[[#This Row],[MonthlyIncome]]&lt;=8000,"Low Income",
HRData[[#This Row],[MonthlyIncome]]&lt;=12000,"Moderate Income",
HRData[[#This Row],[MonthlyIncome]]&lt;=16000,"High Income",
HRData[[#This Row],[MonthlyIncome]]&gt;16000,"Very High Income"
)</f>
        <v>Moderate Income</v>
      </c>
      <c r="Y1127">
        <v>24483</v>
      </c>
      <c r="Z1127">
        <v>1</v>
      </c>
      <c r="AA1127" t="s">
        <v>42</v>
      </c>
      <c r="AB1127" t="s">
        <v>43</v>
      </c>
      <c r="AC1127">
        <v>19</v>
      </c>
      <c r="AD1127" t="str" cm="1">
        <f t="array" ref="AD1127">_xlfn.IFS(HRData[[#This Row],[PercentSalaryHike]]&lt;=15,"11-15",HRData[[#This Row],[PercentSalaryHike]]&lt;=20,"16-20",HRData[[#This Row],[PercentSalaryHike]]&gt;=21,"21+")</f>
        <v>16-20</v>
      </c>
      <c r="AE1127">
        <v>3</v>
      </c>
      <c r="AF1127">
        <v>4</v>
      </c>
      <c r="AG1127">
        <v>80</v>
      </c>
      <c r="AH1127">
        <v>1</v>
      </c>
      <c r="AI1127">
        <v>6</v>
      </c>
      <c r="AJ1127">
        <v>0</v>
      </c>
      <c r="AK1127">
        <v>4</v>
      </c>
      <c r="AL1127">
        <v>6</v>
      </c>
      <c r="AM1127">
        <v>4</v>
      </c>
      <c r="AN1127">
        <v>1</v>
      </c>
      <c r="AO1127">
        <v>3</v>
      </c>
      <c r="AP112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127" t="str">
        <f>IF(HRData[[#This Row],[Attrition]]="Yes","Left", IF(HRData[[#This Row],[Attrition_Risk_Score]]&gt;=6,"High",IF(HRData[[#This Row],[Attrition_Risk_Score]]&gt;=3,"Medium","Low")))</f>
        <v>Low</v>
      </c>
      <c r="AR1127" t="str">
        <f>IF(HRData[[#This Row],[Attrition_Risk_Level]]&lt;&gt;"High","",HRData[[#This Row],[Attrition_Risk_Score]]*10000-HRData[[#This Row],[EmployeeNumber]])</f>
        <v/>
      </c>
    </row>
    <row r="1128" spans="1:44">
      <c r="A1128">
        <v>50</v>
      </c>
      <c r="B1128" t="str" cm="1">
        <f t="array" ref="B1128">_xlfn.IFS(
HRData[[#This Row],[Age]]&lt;=24,"18-24",
HRData[[#This Row],[Age]]&lt;=34,"25-34",
HRData[[#This Row],[Age]]&lt;=44,"35-44",
HRData[[#This Row],[Age]]&lt;=54,"45-54",
HRData[[#This Row],[Age]]&gt;=55,"55+"
)</f>
        <v>45-54</v>
      </c>
      <c r="C1128" t="s">
        <v>43</v>
      </c>
      <c r="D1128">
        <f>IF(HRData[[#This Row],[Attrition]]="Yes",1,0)</f>
        <v>0</v>
      </c>
      <c r="E1128" t="s">
        <v>36</v>
      </c>
      <c r="F1128">
        <v>264</v>
      </c>
      <c r="G1128" t="s">
        <v>37</v>
      </c>
      <c r="H1128">
        <v>9</v>
      </c>
      <c r="I1128">
        <v>3</v>
      </c>
      <c r="J1128" t="s">
        <v>59</v>
      </c>
      <c r="K1128">
        <v>1</v>
      </c>
      <c r="L1128">
        <v>1591</v>
      </c>
      <c r="M1128">
        <v>3</v>
      </c>
      <c r="N1128" t="str" cm="1">
        <f t="array" ref="N1128">_xlfn.IFS(HRData[[#This Row],[EnvironmentSatisfaction]]=1,"Very Dissatisfied",
HRData[[#This Row],[EnvironmentSatisfaction]]=2,"Dissatisfied",
HRData[[#This Row],[EnvironmentSatisfaction]]=3,"Satisfied",
HRData[[#This Row],[EnvironmentSatisfaction]]=4,"Very Satisfied"
)</f>
        <v>Satisfied</v>
      </c>
      <c r="O1128" t="s">
        <v>46</v>
      </c>
      <c r="P1128">
        <v>59</v>
      </c>
      <c r="Q1128">
        <v>3</v>
      </c>
      <c r="R1128">
        <v>5</v>
      </c>
      <c r="S1128" t="s">
        <v>56</v>
      </c>
      <c r="T1128">
        <v>3</v>
      </c>
      <c r="U1128" t="str" cm="1">
        <f t="array" ref="U1128">_xlfn.IFS(
HRData[[#This Row],[JobSatisfaction]]=1,"Very Dissatisfied",
HRData[[#This Row],[JobSatisfaction]]=2,"Dissatisfied",
HRData[[#This Row],[JobSatisfaction]]=3,"Satisfied",
HRData[[#This Row],[JobSatisfaction]]=4,"Very Satisfied"
)</f>
        <v>Satisfied</v>
      </c>
      <c r="V1128" t="s">
        <v>48</v>
      </c>
      <c r="W1128">
        <v>19331</v>
      </c>
      <c r="X1128" t="str" cm="1">
        <f t="array" ref="X1128">_xlfn.IFS(
HRData[[#This Row],[MonthlyIncome]]&lt;=4000,"Very Low Income",
HRData[[#This Row],[MonthlyIncome]]&lt;=8000,"Low Income",
HRData[[#This Row],[MonthlyIncome]]&lt;=12000,"Moderate Income",
HRData[[#This Row],[MonthlyIncome]]&lt;=16000,"High Income",
HRData[[#This Row],[MonthlyIncome]]&gt;16000,"Very High Income"
)</f>
        <v>Very High Income</v>
      </c>
      <c r="Y1128">
        <v>19519</v>
      </c>
      <c r="Z1128">
        <v>4</v>
      </c>
      <c r="AA1128" t="s">
        <v>42</v>
      </c>
      <c r="AB1128" t="s">
        <v>35</v>
      </c>
      <c r="AC1128">
        <v>16</v>
      </c>
      <c r="AD1128" t="str" cm="1">
        <f t="array" ref="AD1128">_xlfn.IFS(HRData[[#This Row],[PercentSalaryHike]]&lt;=15,"11-15",HRData[[#This Row],[PercentSalaryHike]]&lt;=20,"16-20",HRData[[#This Row],[PercentSalaryHike]]&gt;=21,"21+")</f>
        <v>16-20</v>
      </c>
      <c r="AE1128">
        <v>3</v>
      </c>
      <c r="AF1128">
        <v>3</v>
      </c>
      <c r="AG1128">
        <v>80</v>
      </c>
      <c r="AH1128">
        <v>1</v>
      </c>
      <c r="AI1128">
        <v>27</v>
      </c>
      <c r="AJ1128">
        <v>2</v>
      </c>
      <c r="AK1128">
        <v>3</v>
      </c>
      <c r="AL1128">
        <v>1</v>
      </c>
      <c r="AM1128">
        <v>0</v>
      </c>
      <c r="AN1128">
        <v>0</v>
      </c>
      <c r="AO1128">
        <v>0</v>
      </c>
      <c r="AP112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28" t="str">
        <f>IF(HRData[[#This Row],[Attrition]]="Yes","Left", IF(HRData[[#This Row],[Attrition_Risk_Score]]&gt;=6,"High",IF(HRData[[#This Row],[Attrition_Risk_Score]]&gt;=3,"Medium","Low")))</f>
        <v>Low</v>
      </c>
      <c r="AR1128" t="str">
        <f>IF(HRData[[#This Row],[Attrition_Risk_Level]]&lt;&gt;"High","",HRData[[#This Row],[Attrition_Risk_Score]]*10000-HRData[[#This Row],[EmployeeNumber]])</f>
        <v/>
      </c>
    </row>
    <row r="1129" spans="1:44">
      <c r="A1129">
        <v>23</v>
      </c>
      <c r="B1129" t="str" cm="1">
        <f t="array" ref="B1129">_xlfn.IFS(
HRData[[#This Row],[Age]]&lt;=24,"18-24",
HRData[[#This Row],[Age]]&lt;=34,"25-34",
HRData[[#This Row],[Age]]&lt;=44,"35-44",
HRData[[#This Row],[Age]]&lt;=54,"45-54",
HRData[[#This Row],[Age]]&gt;=55,"55+"
)</f>
        <v>18-24</v>
      </c>
      <c r="C1129" t="s">
        <v>43</v>
      </c>
      <c r="D1129">
        <f>IF(HRData[[#This Row],[Attrition]]="Yes",1,0)</f>
        <v>0</v>
      </c>
      <c r="E1129" t="s">
        <v>36</v>
      </c>
      <c r="F1129">
        <v>977</v>
      </c>
      <c r="G1129" t="s">
        <v>45</v>
      </c>
      <c r="H1129">
        <v>10</v>
      </c>
      <c r="I1129">
        <v>3</v>
      </c>
      <c r="J1129" t="s">
        <v>60</v>
      </c>
      <c r="K1129">
        <v>1</v>
      </c>
      <c r="L1129">
        <v>1592</v>
      </c>
      <c r="M1129">
        <v>4</v>
      </c>
      <c r="N1129" t="str" cm="1">
        <f t="array" ref="N1129">_xlfn.IFS(HRData[[#This Row],[EnvironmentSatisfaction]]=1,"Very Dissatisfied",
HRData[[#This Row],[EnvironmentSatisfaction]]=2,"Dissatisfied",
HRData[[#This Row],[EnvironmentSatisfaction]]=3,"Satisfied",
HRData[[#This Row],[EnvironmentSatisfaction]]=4,"Very Satisfied"
)</f>
        <v>Very Satisfied</v>
      </c>
      <c r="O1129" t="s">
        <v>46</v>
      </c>
      <c r="P1129">
        <v>45</v>
      </c>
      <c r="Q1129">
        <v>4</v>
      </c>
      <c r="R1129">
        <v>1</v>
      </c>
      <c r="S1129" t="s">
        <v>47</v>
      </c>
      <c r="T1129">
        <v>3</v>
      </c>
      <c r="U1129" t="str" cm="1">
        <f t="array" ref="U1129">_xlfn.IFS(
HRData[[#This Row],[JobSatisfaction]]=1,"Very Dissatisfied",
HRData[[#This Row],[JobSatisfaction]]=2,"Dissatisfied",
HRData[[#This Row],[JobSatisfaction]]=3,"Satisfied",
HRData[[#This Row],[JobSatisfaction]]=4,"Very Satisfied"
)</f>
        <v>Satisfied</v>
      </c>
      <c r="V1129" t="s">
        <v>48</v>
      </c>
      <c r="W1129">
        <v>2073</v>
      </c>
      <c r="X1129" t="str" cm="1">
        <f t="array" ref="X1129">_xlfn.IFS(
HRData[[#This Row],[MonthlyIncome]]&lt;=4000,"Very Low Income",
HRData[[#This Row],[MonthlyIncome]]&lt;=8000,"Low Income",
HRData[[#This Row],[MonthlyIncome]]&lt;=12000,"Moderate Income",
HRData[[#This Row],[MonthlyIncome]]&lt;=16000,"High Income",
HRData[[#This Row],[MonthlyIncome]]&gt;16000,"Very High Income"
)</f>
        <v>Very Low Income</v>
      </c>
      <c r="Y1129">
        <v>12826</v>
      </c>
      <c r="Z1129">
        <v>2</v>
      </c>
      <c r="AA1129" t="s">
        <v>42</v>
      </c>
      <c r="AB1129" t="s">
        <v>43</v>
      </c>
      <c r="AC1129">
        <v>16</v>
      </c>
      <c r="AD1129" t="str" cm="1">
        <f t="array" ref="AD1129">_xlfn.IFS(HRData[[#This Row],[PercentSalaryHike]]&lt;=15,"11-15",HRData[[#This Row],[PercentSalaryHike]]&lt;=20,"16-20",HRData[[#This Row],[PercentSalaryHike]]&gt;=21,"21+")</f>
        <v>16-20</v>
      </c>
      <c r="AE1129">
        <v>3</v>
      </c>
      <c r="AF1129">
        <v>4</v>
      </c>
      <c r="AG1129">
        <v>80</v>
      </c>
      <c r="AH1129">
        <v>1</v>
      </c>
      <c r="AI1129">
        <v>4</v>
      </c>
      <c r="AJ1129">
        <v>2</v>
      </c>
      <c r="AK1129">
        <v>3</v>
      </c>
      <c r="AL1129">
        <v>2</v>
      </c>
      <c r="AM1129">
        <v>2</v>
      </c>
      <c r="AN1129">
        <v>2</v>
      </c>
      <c r="AO1129">
        <v>2</v>
      </c>
      <c r="AP112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129" t="str">
        <f>IF(HRData[[#This Row],[Attrition]]="Yes","Left", IF(HRData[[#This Row],[Attrition_Risk_Score]]&gt;=6,"High",IF(HRData[[#This Row],[Attrition_Risk_Score]]&gt;=3,"Medium","Low")))</f>
        <v>Medium</v>
      </c>
      <c r="AR1129" t="str">
        <f>IF(HRData[[#This Row],[Attrition_Risk_Level]]&lt;&gt;"High","",HRData[[#This Row],[Attrition_Risk_Score]]*10000-HRData[[#This Row],[EmployeeNumber]])</f>
        <v/>
      </c>
    </row>
    <row r="1130" spans="1:44">
      <c r="A1130">
        <v>36</v>
      </c>
      <c r="B1130" t="str" cm="1">
        <f t="array" ref="B1130">_xlfn.IFS(
HRData[[#This Row],[Age]]&lt;=24,"18-24",
HRData[[#This Row],[Age]]&lt;=34,"25-34",
HRData[[#This Row],[Age]]&lt;=44,"35-44",
HRData[[#This Row],[Age]]&lt;=54,"45-54",
HRData[[#This Row],[Age]]&gt;=55,"55+"
)</f>
        <v>35-44</v>
      </c>
      <c r="C1130" t="s">
        <v>43</v>
      </c>
      <c r="D1130">
        <f>IF(HRData[[#This Row],[Attrition]]="Yes",1,0)</f>
        <v>0</v>
      </c>
      <c r="E1130" t="s">
        <v>44</v>
      </c>
      <c r="F1130">
        <v>1302</v>
      </c>
      <c r="G1130" t="s">
        <v>45</v>
      </c>
      <c r="H1130">
        <v>6</v>
      </c>
      <c r="I1130">
        <v>4</v>
      </c>
      <c r="J1130" t="s">
        <v>38</v>
      </c>
      <c r="K1130">
        <v>1</v>
      </c>
      <c r="L1130">
        <v>1594</v>
      </c>
      <c r="M1130">
        <v>1</v>
      </c>
      <c r="N1130" t="str" cm="1">
        <f t="array" ref="N1130">_xlfn.IFS(HRData[[#This Row],[EnvironmentSatisfaction]]=1,"Very Dissatisfied",
HRData[[#This Row],[EnvironmentSatisfaction]]=2,"Dissatisfied",
HRData[[#This Row],[EnvironmentSatisfaction]]=3,"Satisfied",
HRData[[#This Row],[EnvironmentSatisfaction]]=4,"Very Satisfied"
)</f>
        <v>Very Dissatisfied</v>
      </c>
      <c r="O1130" t="s">
        <v>46</v>
      </c>
      <c r="P1130">
        <v>80</v>
      </c>
      <c r="Q1130">
        <v>4</v>
      </c>
      <c r="R1130">
        <v>2</v>
      </c>
      <c r="S1130" t="s">
        <v>50</v>
      </c>
      <c r="T1130">
        <v>1</v>
      </c>
      <c r="U1130" t="str" cm="1">
        <f t="array" ref="U1130">_xlfn.IFS(
HRData[[#This Row],[JobSatisfaction]]=1,"Very Dissatisfied",
HRData[[#This Row],[JobSatisfaction]]=2,"Dissatisfied",
HRData[[#This Row],[JobSatisfaction]]=3,"Satisfied",
HRData[[#This Row],[JobSatisfaction]]=4,"Very Satisfied"
)</f>
        <v>Very Dissatisfied</v>
      </c>
      <c r="V1130" t="s">
        <v>48</v>
      </c>
      <c r="W1130">
        <v>5562</v>
      </c>
      <c r="X1130" t="str" cm="1">
        <f t="array" ref="X1130">_xlfn.IFS(
HRData[[#This Row],[MonthlyIncome]]&lt;=4000,"Very Low Income",
HRData[[#This Row],[MonthlyIncome]]&lt;=8000,"Low Income",
HRData[[#This Row],[MonthlyIncome]]&lt;=12000,"Moderate Income",
HRData[[#This Row],[MonthlyIncome]]&lt;=16000,"High Income",
HRData[[#This Row],[MonthlyIncome]]&gt;16000,"Very High Income"
)</f>
        <v>Low Income</v>
      </c>
      <c r="Y1130">
        <v>19711</v>
      </c>
      <c r="Z1130">
        <v>3</v>
      </c>
      <c r="AA1130" t="s">
        <v>42</v>
      </c>
      <c r="AB1130" t="s">
        <v>35</v>
      </c>
      <c r="AC1130">
        <v>13</v>
      </c>
      <c r="AD1130" t="str" cm="1">
        <f t="array" ref="AD1130">_xlfn.IFS(HRData[[#This Row],[PercentSalaryHike]]&lt;=15,"11-15",HRData[[#This Row],[PercentSalaryHike]]&lt;=20,"16-20",HRData[[#This Row],[PercentSalaryHike]]&gt;=21,"21+")</f>
        <v>11-15</v>
      </c>
      <c r="AE1130">
        <v>3</v>
      </c>
      <c r="AF1130">
        <v>4</v>
      </c>
      <c r="AG1130">
        <v>80</v>
      </c>
      <c r="AH1130">
        <v>1</v>
      </c>
      <c r="AI1130">
        <v>9</v>
      </c>
      <c r="AJ1130">
        <v>3</v>
      </c>
      <c r="AK1130">
        <v>3</v>
      </c>
      <c r="AL1130">
        <v>3</v>
      </c>
      <c r="AM1130">
        <v>2</v>
      </c>
      <c r="AN1130">
        <v>0</v>
      </c>
      <c r="AO1130">
        <v>2</v>
      </c>
      <c r="AP113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130" t="str">
        <f>IF(HRData[[#This Row],[Attrition]]="Yes","Left", IF(HRData[[#This Row],[Attrition_Risk_Score]]&gt;=6,"High",IF(HRData[[#This Row],[Attrition_Risk_Score]]&gt;=3,"Medium","Low")))</f>
        <v>High</v>
      </c>
      <c r="AR1130">
        <f>IF(HRData[[#This Row],[Attrition_Risk_Level]]&lt;&gt;"High","",HRData[[#This Row],[Attrition_Risk_Score]]*10000-HRData[[#This Row],[EmployeeNumber]])</f>
        <v>58406</v>
      </c>
    </row>
    <row r="1131" spans="1:44">
      <c r="A1131">
        <v>42</v>
      </c>
      <c r="B1131" t="str" cm="1">
        <f t="array" ref="B1131">_xlfn.IFS(
HRData[[#This Row],[Age]]&lt;=24,"18-24",
HRData[[#This Row],[Age]]&lt;=34,"25-34",
HRData[[#This Row],[Age]]&lt;=44,"35-44",
HRData[[#This Row],[Age]]&lt;=54,"45-54",
HRData[[#This Row],[Age]]&gt;=55,"55+"
)</f>
        <v>35-44</v>
      </c>
      <c r="C1131" t="s">
        <v>43</v>
      </c>
      <c r="D1131">
        <f>IF(HRData[[#This Row],[Attrition]]="Yes",1,0)</f>
        <v>0</v>
      </c>
      <c r="E1131" t="s">
        <v>36</v>
      </c>
      <c r="F1131">
        <v>1059</v>
      </c>
      <c r="G1131" t="s">
        <v>45</v>
      </c>
      <c r="H1131">
        <v>9</v>
      </c>
      <c r="I1131">
        <v>2</v>
      </c>
      <c r="J1131" t="s">
        <v>49</v>
      </c>
      <c r="K1131">
        <v>1</v>
      </c>
      <c r="L1131">
        <v>1595</v>
      </c>
      <c r="M1131">
        <v>4</v>
      </c>
      <c r="N1131" t="str" cm="1">
        <f t="array" ref="N1131">_xlfn.IFS(HRData[[#This Row],[EnvironmentSatisfaction]]=1,"Very Dissatisfied",
HRData[[#This Row],[EnvironmentSatisfaction]]=2,"Dissatisfied",
HRData[[#This Row],[EnvironmentSatisfaction]]=3,"Satisfied",
HRData[[#This Row],[EnvironmentSatisfaction]]=4,"Very Satisfied"
)</f>
        <v>Very Satisfied</v>
      </c>
      <c r="O1131" t="s">
        <v>46</v>
      </c>
      <c r="P1131">
        <v>93</v>
      </c>
      <c r="Q1131">
        <v>2</v>
      </c>
      <c r="R1131">
        <v>5</v>
      </c>
      <c r="S1131" t="s">
        <v>56</v>
      </c>
      <c r="T1131">
        <v>4</v>
      </c>
      <c r="U1131" t="str" cm="1">
        <f t="array" ref="U1131">_xlfn.IFS(
HRData[[#This Row],[JobSatisfaction]]=1,"Very Dissatisfied",
HRData[[#This Row],[JobSatisfaction]]=2,"Dissatisfied",
HRData[[#This Row],[JobSatisfaction]]=3,"Satisfied",
HRData[[#This Row],[JobSatisfaction]]=4,"Very Satisfied"
)</f>
        <v>Very Satisfied</v>
      </c>
      <c r="V1131" t="s">
        <v>41</v>
      </c>
      <c r="W1131">
        <v>19613</v>
      </c>
      <c r="X1131" t="str" cm="1">
        <f t="array" ref="X1131">_xlfn.IFS(
HRData[[#This Row],[MonthlyIncome]]&lt;=4000,"Very Low Income",
HRData[[#This Row],[MonthlyIncome]]&lt;=8000,"Low Income",
HRData[[#This Row],[MonthlyIncome]]&lt;=12000,"Moderate Income",
HRData[[#This Row],[MonthlyIncome]]&lt;=16000,"High Income",
HRData[[#This Row],[MonthlyIncome]]&gt;16000,"Very High Income"
)</f>
        <v>Very High Income</v>
      </c>
      <c r="Y1131">
        <v>26362</v>
      </c>
      <c r="Z1131">
        <v>8</v>
      </c>
      <c r="AA1131" t="s">
        <v>42</v>
      </c>
      <c r="AB1131" t="s">
        <v>43</v>
      </c>
      <c r="AC1131">
        <v>22</v>
      </c>
      <c r="AD1131" t="str" cm="1">
        <f t="array" ref="AD1131">_xlfn.IFS(HRData[[#This Row],[PercentSalaryHike]]&lt;=15,"11-15",HRData[[#This Row],[PercentSalaryHike]]&lt;=20,"16-20",HRData[[#This Row],[PercentSalaryHike]]&gt;=21,"21+")</f>
        <v>21+</v>
      </c>
      <c r="AE1131">
        <v>4</v>
      </c>
      <c r="AF1131">
        <v>4</v>
      </c>
      <c r="AG1131">
        <v>80</v>
      </c>
      <c r="AH1131">
        <v>0</v>
      </c>
      <c r="AI1131">
        <v>24</v>
      </c>
      <c r="AJ1131">
        <v>2</v>
      </c>
      <c r="AK1131">
        <v>3</v>
      </c>
      <c r="AL1131">
        <v>1</v>
      </c>
      <c r="AM1131">
        <v>0</v>
      </c>
      <c r="AN1131">
        <v>0</v>
      </c>
      <c r="AO1131">
        <v>1</v>
      </c>
      <c r="AP113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131" t="str">
        <f>IF(HRData[[#This Row],[Attrition]]="Yes","Left", IF(HRData[[#This Row],[Attrition_Risk_Score]]&gt;=6,"High",IF(HRData[[#This Row],[Attrition_Risk_Score]]&gt;=3,"Medium","Low")))</f>
        <v>Low</v>
      </c>
      <c r="AR1131" t="str">
        <f>IF(HRData[[#This Row],[Attrition_Risk_Level]]&lt;&gt;"High","",HRData[[#This Row],[Attrition_Risk_Score]]*10000-HRData[[#This Row],[EmployeeNumber]])</f>
        <v/>
      </c>
    </row>
    <row r="1132" spans="1:44">
      <c r="A1132">
        <v>35</v>
      </c>
      <c r="B1132" t="str" cm="1">
        <f t="array" ref="B1132">_xlfn.IFS(
HRData[[#This Row],[Age]]&lt;=24,"18-24",
HRData[[#This Row],[Age]]&lt;=34,"25-34",
HRData[[#This Row],[Age]]&lt;=44,"35-44",
HRData[[#This Row],[Age]]&lt;=54,"45-54",
HRData[[#This Row],[Age]]&gt;=55,"55+"
)</f>
        <v>35-44</v>
      </c>
      <c r="C1132" t="s">
        <v>43</v>
      </c>
      <c r="D1132">
        <f>IF(HRData[[#This Row],[Attrition]]="Yes",1,0)</f>
        <v>0</v>
      </c>
      <c r="E1132" t="s">
        <v>36</v>
      </c>
      <c r="F1132">
        <v>750</v>
      </c>
      <c r="G1132" t="s">
        <v>45</v>
      </c>
      <c r="H1132">
        <v>28</v>
      </c>
      <c r="I1132">
        <v>3</v>
      </c>
      <c r="J1132" t="s">
        <v>38</v>
      </c>
      <c r="K1132">
        <v>1</v>
      </c>
      <c r="L1132">
        <v>1596</v>
      </c>
      <c r="M1132">
        <v>2</v>
      </c>
      <c r="N1132" t="str" cm="1">
        <f t="array" ref="N1132">_xlfn.IFS(HRData[[#This Row],[EnvironmentSatisfaction]]=1,"Very Dissatisfied",
HRData[[#This Row],[EnvironmentSatisfaction]]=2,"Dissatisfied",
HRData[[#This Row],[EnvironmentSatisfaction]]=3,"Satisfied",
HRData[[#This Row],[EnvironmentSatisfaction]]=4,"Very Satisfied"
)</f>
        <v>Dissatisfied</v>
      </c>
      <c r="O1132" t="s">
        <v>46</v>
      </c>
      <c r="P1132">
        <v>46</v>
      </c>
      <c r="Q1132">
        <v>4</v>
      </c>
      <c r="R1132">
        <v>2</v>
      </c>
      <c r="S1132" t="s">
        <v>50</v>
      </c>
      <c r="T1132">
        <v>3</v>
      </c>
      <c r="U1132" t="str" cm="1">
        <f t="array" ref="U1132">_xlfn.IFS(
HRData[[#This Row],[JobSatisfaction]]=1,"Very Dissatisfied",
HRData[[#This Row],[JobSatisfaction]]=2,"Dissatisfied",
HRData[[#This Row],[JobSatisfaction]]=3,"Satisfied",
HRData[[#This Row],[JobSatisfaction]]=4,"Very Satisfied"
)</f>
        <v>Satisfied</v>
      </c>
      <c r="V1132" t="s">
        <v>48</v>
      </c>
      <c r="W1132">
        <v>3407</v>
      </c>
      <c r="X1132" t="str" cm="1">
        <f t="array" ref="X1132">_xlfn.IFS(
HRData[[#This Row],[MonthlyIncome]]&lt;=4000,"Very Low Income",
HRData[[#This Row],[MonthlyIncome]]&lt;=8000,"Low Income",
HRData[[#This Row],[MonthlyIncome]]&lt;=12000,"Moderate Income",
HRData[[#This Row],[MonthlyIncome]]&lt;=16000,"High Income",
HRData[[#This Row],[MonthlyIncome]]&gt;16000,"Very High Income"
)</f>
        <v>Very Low Income</v>
      </c>
      <c r="Y1132">
        <v>25348</v>
      </c>
      <c r="Z1132">
        <v>1</v>
      </c>
      <c r="AA1132" t="s">
        <v>42</v>
      </c>
      <c r="AB1132" t="s">
        <v>43</v>
      </c>
      <c r="AC1132">
        <v>17</v>
      </c>
      <c r="AD1132" t="str" cm="1">
        <f t="array" ref="AD1132">_xlfn.IFS(HRData[[#This Row],[PercentSalaryHike]]&lt;=15,"11-15",HRData[[#This Row],[PercentSalaryHike]]&lt;=20,"16-20",HRData[[#This Row],[PercentSalaryHike]]&gt;=21,"21+")</f>
        <v>16-20</v>
      </c>
      <c r="AE1132">
        <v>3</v>
      </c>
      <c r="AF1132">
        <v>4</v>
      </c>
      <c r="AG1132">
        <v>80</v>
      </c>
      <c r="AH1132">
        <v>2</v>
      </c>
      <c r="AI1132">
        <v>10</v>
      </c>
      <c r="AJ1132">
        <v>3</v>
      </c>
      <c r="AK1132">
        <v>2</v>
      </c>
      <c r="AL1132">
        <v>10</v>
      </c>
      <c r="AM1132">
        <v>9</v>
      </c>
      <c r="AN1132">
        <v>6</v>
      </c>
      <c r="AO1132">
        <v>8</v>
      </c>
      <c r="AP113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32" t="str">
        <f>IF(HRData[[#This Row],[Attrition]]="Yes","Left", IF(HRData[[#This Row],[Attrition_Risk_Score]]&gt;=6,"High",IF(HRData[[#This Row],[Attrition_Risk_Score]]&gt;=3,"Medium","Low")))</f>
        <v>Medium</v>
      </c>
      <c r="AR1132" t="str">
        <f>IF(HRData[[#This Row],[Attrition_Risk_Level]]&lt;&gt;"High","",HRData[[#This Row],[Attrition_Risk_Score]]*10000-HRData[[#This Row],[EmployeeNumber]])</f>
        <v/>
      </c>
    </row>
    <row r="1133" spans="1:44">
      <c r="A1133">
        <v>34</v>
      </c>
      <c r="B1133" t="str" cm="1">
        <f t="array" ref="B1133">_xlfn.IFS(
HRData[[#This Row],[Age]]&lt;=24,"18-24",
HRData[[#This Row],[Age]]&lt;=34,"25-34",
HRData[[#This Row],[Age]]&lt;=44,"35-44",
HRData[[#This Row],[Age]]&lt;=54,"45-54",
HRData[[#This Row],[Age]]&gt;=55,"55+"
)</f>
        <v>25-34</v>
      </c>
      <c r="C1133" t="s">
        <v>43</v>
      </c>
      <c r="D1133">
        <f>IF(HRData[[#This Row],[Attrition]]="Yes",1,0)</f>
        <v>0</v>
      </c>
      <c r="E1133" t="s">
        <v>44</v>
      </c>
      <c r="F1133">
        <v>653</v>
      </c>
      <c r="G1133" t="s">
        <v>45</v>
      </c>
      <c r="H1133">
        <v>10</v>
      </c>
      <c r="I1133">
        <v>4</v>
      </c>
      <c r="J1133" t="s">
        <v>60</v>
      </c>
      <c r="K1133">
        <v>1</v>
      </c>
      <c r="L1133">
        <v>1597</v>
      </c>
      <c r="M1133">
        <v>4</v>
      </c>
      <c r="N1133" t="str" cm="1">
        <f t="array" ref="N1133">_xlfn.IFS(HRData[[#This Row],[EnvironmentSatisfaction]]=1,"Very Dissatisfied",
HRData[[#This Row],[EnvironmentSatisfaction]]=2,"Dissatisfied",
HRData[[#This Row],[EnvironmentSatisfaction]]=3,"Satisfied",
HRData[[#This Row],[EnvironmentSatisfaction]]=4,"Very Satisfied"
)</f>
        <v>Very Satisfied</v>
      </c>
      <c r="O1133" t="s">
        <v>46</v>
      </c>
      <c r="P1133">
        <v>92</v>
      </c>
      <c r="Q1133">
        <v>2</v>
      </c>
      <c r="R1133">
        <v>2</v>
      </c>
      <c r="S1133" t="s">
        <v>54</v>
      </c>
      <c r="T1133">
        <v>3</v>
      </c>
      <c r="U1133" t="str" cm="1">
        <f t="array" ref="U1133">_xlfn.IFS(
HRData[[#This Row],[JobSatisfaction]]=1,"Very Dissatisfied",
HRData[[#This Row],[JobSatisfaction]]=2,"Dissatisfied",
HRData[[#This Row],[JobSatisfaction]]=3,"Satisfied",
HRData[[#This Row],[JobSatisfaction]]=4,"Very Satisfied"
)</f>
        <v>Satisfied</v>
      </c>
      <c r="V1133" t="s">
        <v>48</v>
      </c>
      <c r="W1133">
        <v>5063</v>
      </c>
      <c r="X1133" t="str" cm="1">
        <f t="array" ref="X1133">_xlfn.IFS(
HRData[[#This Row],[MonthlyIncome]]&lt;=4000,"Very Low Income",
HRData[[#This Row],[MonthlyIncome]]&lt;=8000,"Low Income",
HRData[[#This Row],[MonthlyIncome]]&lt;=12000,"Moderate Income",
HRData[[#This Row],[MonthlyIncome]]&lt;=16000,"High Income",
HRData[[#This Row],[MonthlyIncome]]&gt;16000,"Very High Income"
)</f>
        <v>Low Income</v>
      </c>
      <c r="Y1133">
        <v>15332</v>
      </c>
      <c r="Z1133">
        <v>1</v>
      </c>
      <c r="AA1133" t="s">
        <v>42</v>
      </c>
      <c r="AB1133" t="s">
        <v>43</v>
      </c>
      <c r="AC1133">
        <v>14</v>
      </c>
      <c r="AD1133" t="str" cm="1">
        <f t="array" ref="AD1133">_xlfn.IFS(HRData[[#This Row],[PercentSalaryHike]]&lt;=15,"11-15",HRData[[#This Row],[PercentSalaryHike]]&lt;=20,"16-20",HRData[[#This Row],[PercentSalaryHike]]&gt;=21,"21+")</f>
        <v>11-15</v>
      </c>
      <c r="AE1133">
        <v>3</v>
      </c>
      <c r="AF1133">
        <v>2</v>
      </c>
      <c r="AG1133">
        <v>80</v>
      </c>
      <c r="AH1133">
        <v>1</v>
      </c>
      <c r="AI1133">
        <v>8</v>
      </c>
      <c r="AJ1133">
        <v>3</v>
      </c>
      <c r="AK1133">
        <v>2</v>
      </c>
      <c r="AL1133">
        <v>8</v>
      </c>
      <c r="AM1133">
        <v>2</v>
      </c>
      <c r="AN1133">
        <v>7</v>
      </c>
      <c r="AO1133">
        <v>7</v>
      </c>
      <c r="AP113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33" t="str">
        <f>IF(HRData[[#This Row],[Attrition]]="Yes","Left", IF(HRData[[#This Row],[Attrition_Risk_Score]]&gt;=6,"High",IF(HRData[[#This Row],[Attrition_Risk_Score]]&gt;=3,"Medium","Low")))</f>
        <v>Low</v>
      </c>
      <c r="AR1133" t="str">
        <f>IF(HRData[[#This Row],[Attrition_Risk_Level]]&lt;&gt;"High","",HRData[[#This Row],[Attrition_Risk_Score]]*10000-HRData[[#This Row],[EmployeeNumber]])</f>
        <v/>
      </c>
    </row>
    <row r="1134" spans="1:44">
      <c r="A1134">
        <v>40</v>
      </c>
      <c r="B1134" t="str" cm="1">
        <f t="array" ref="B1134">_xlfn.IFS(
HRData[[#This Row],[Age]]&lt;=24,"18-24",
HRData[[#This Row],[Age]]&lt;=34,"25-34",
HRData[[#This Row],[Age]]&lt;=44,"35-44",
HRData[[#This Row],[Age]]&lt;=54,"45-54",
HRData[[#This Row],[Age]]&gt;=55,"55+"
)</f>
        <v>35-44</v>
      </c>
      <c r="C1134" t="s">
        <v>43</v>
      </c>
      <c r="D1134">
        <f>IF(HRData[[#This Row],[Attrition]]="Yes",1,0)</f>
        <v>0</v>
      </c>
      <c r="E1134" t="s">
        <v>36</v>
      </c>
      <c r="F1134">
        <v>118</v>
      </c>
      <c r="G1134" t="s">
        <v>37</v>
      </c>
      <c r="H1134">
        <v>14</v>
      </c>
      <c r="I1134">
        <v>2</v>
      </c>
      <c r="J1134" t="s">
        <v>38</v>
      </c>
      <c r="K1134">
        <v>1</v>
      </c>
      <c r="L1134">
        <v>1598</v>
      </c>
      <c r="M1134">
        <v>4</v>
      </c>
      <c r="N1134" t="str" cm="1">
        <f t="array" ref="N1134">_xlfn.IFS(HRData[[#This Row],[EnvironmentSatisfaction]]=1,"Very Dissatisfied",
HRData[[#This Row],[EnvironmentSatisfaction]]=2,"Dissatisfied",
HRData[[#This Row],[EnvironmentSatisfaction]]=3,"Satisfied",
HRData[[#This Row],[EnvironmentSatisfaction]]=4,"Very Satisfied"
)</f>
        <v>Very Satisfied</v>
      </c>
      <c r="O1134" t="s">
        <v>39</v>
      </c>
      <c r="P1134">
        <v>84</v>
      </c>
      <c r="Q1134">
        <v>3</v>
      </c>
      <c r="R1134">
        <v>2</v>
      </c>
      <c r="S1134" t="s">
        <v>40</v>
      </c>
      <c r="T1134">
        <v>1</v>
      </c>
      <c r="U1134" t="str" cm="1">
        <f t="array" ref="U1134">_xlfn.IFS(
HRData[[#This Row],[JobSatisfaction]]=1,"Very Dissatisfied",
HRData[[#This Row],[JobSatisfaction]]=2,"Dissatisfied",
HRData[[#This Row],[JobSatisfaction]]=3,"Satisfied",
HRData[[#This Row],[JobSatisfaction]]=4,"Very Satisfied"
)</f>
        <v>Very Dissatisfied</v>
      </c>
      <c r="V1134" t="s">
        <v>48</v>
      </c>
      <c r="W1134">
        <v>4639</v>
      </c>
      <c r="X1134" t="str" cm="1">
        <f t="array" ref="X1134">_xlfn.IFS(
HRData[[#This Row],[MonthlyIncome]]&lt;=4000,"Very Low Income",
HRData[[#This Row],[MonthlyIncome]]&lt;=8000,"Low Income",
HRData[[#This Row],[MonthlyIncome]]&lt;=12000,"Moderate Income",
HRData[[#This Row],[MonthlyIncome]]&lt;=16000,"High Income",
HRData[[#This Row],[MonthlyIncome]]&gt;16000,"Very High Income"
)</f>
        <v>Low Income</v>
      </c>
      <c r="Y1134">
        <v>11262</v>
      </c>
      <c r="Z1134">
        <v>1</v>
      </c>
      <c r="AA1134" t="s">
        <v>42</v>
      </c>
      <c r="AB1134" t="s">
        <v>43</v>
      </c>
      <c r="AC1134">
        <v>15</v>
      </c>
      <c r="AD1134" t="str" cm="1">
        <f t="array" ref="AD1134">_xlfn.IFS(HRData[[#This Row],[PercentSalaryHike]]&lt;=15,"11-15",HRData[[#This Row],[PercentSalaryHike]]&lt;=20,"16-20",HRData[[#This Row],[PercentSalaryHike]]&gt;=21,"21+")</f>
        <v>11-15</v>
      </c>
      <c r="AE1134">
        <v>3</v>
      </c>
      <c r="AF1134">
        <v>3</v>
      </c>
      <c r="AG1134">
        <v>80</v>
      </c>
      <c r="AH1134">
        <v>1</v>
      </c>
      <c r="AI1134">
        <v>5</v>
      </c>
      <c r="AJ1134">
        <v>2</v>
      </c>
      <c r="AK1134">
        <v>3</v>
      </c>
      <c r="AL1134">
        <v>5</v>
      </c>
      <c r="AM1134">
        <v>4</v>
      </c>
      <c r="AN1134">
        <v>1</v>
      </c>
      <c r="AO1134">
        <v>2</v>
      </c>
      <c r="AP113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34" t="str">
        <f>IF(HRData[[#This Row],[Attrition]]="Yes","Left", IF(HRData[[#This Row],[Attrition_Risk_Score]]&gt;=6,"High",IF(HRData[[#This Row],[Attrition_Risk_Score]]&gt;=3,"Medium","Low")))</f>
        <v>Medium</v>
      </c>
      <c r="AR1134" t="str">
        <f>IF(HRData[[#This Row],[Attrition_Risk_Level]]&lt;&gt;"High","",HRData[[#This Row],[Attrition_Risk_Score]]*10000-HRData[[#This Row],[EmployeeNumber]])</f>
        <v/>
      </c>
    </row>
    <row r="1135" spans="1:44">
      <c r="A1135">
        <v>43</v>
      </c>
      <c r="B1135" t="str" cm="1">
        <f t="array" ref="B1135">_xlfn.IFS(
HRData[[#This Row],[Age]]&lt;=24,"18-24",
HRData[[#This Row],[Age]]&lt;=34,"25-34",
HRData[[#This Row],[Age]]&lt;=44,"35-44",
HRData[[#This Row],[Age]]&lt;=54,"45-54",
HRData[[#This Row],[Age]]&gt;=55,"55+"
)</f>
        <v>35-44</v>
      </c>
      <c r="C1135" t="s">
        <v>43</v>
      </c>
      <c r="D1135">
        <f>IF(HRData[[#This Row],[Attrition]]="Yes",1,0)</f>
        <v>0</v>
      </c>
      <c r="E1135" t="s">
        <v>36</v>
      </c>
      <c r="F1135">
        <v>990</v>
      </c>
      <c r="G1135" t="s">
        <v>45</v>
      </c>
      <c r="H1135">
        <v>27</v>
      </c>
      <c r="I1135">
        <v>3</v>
      </c>
      <c r="J1135" t="s">
        <v>60</v>
      </c>
      <c r="K1135">
        <v>1</v>
      </c>
      <c r="L1135">
        <v>1599</v>
      </c>
      <c r="M1135">
        <v>4</v>
      </c>
      <c r="N1135" t="str" cm="1">
        <f t="array" ref="N1135">_xlfn.IFS(HRData[[#This Row],[EnvironmentSatisfaction]]=1,"Very Dissatisfied",
HRData[[#This Row],[EnvironmentSatisfaction]]=2,"Dissatisfied",
HRData[[#This Row],[EnvironmentSatisfaction]]=3,"Satisfied",
HRData[[#This Row],[EnvironmentSatisfaction]]=4,"Very Satisfied"
)</f>
        <v>Very Satisfied</v>
      </c>
      <c r="O1135" t="s">
        <v>46</v>
      </c>
      <c r="P1135">
        <v>87</v>
      </c>
      <c r="Q1135">
        <v>4</v>
      </c>
      <c r="R1135">
        <v>1</v>
      </c>
      <c r="S1135" t="s">
        <v>50</v>
      </c>
      <c r="T1135">
        <v>2</v>
      </c>
      <c r="U1135" t="str" cm="1">
        <f t="array" ref="U1135">_xlfn.IFS(
HRData[[#This Row],[JobSatisfaction]]=1,"Very Dissatisfied",
HRData[[#This Row],[JobSatisfaction]]=2,"Dissatisfied",
HRData[[#This Row],[JobSatisfaction]]=3,"Satisfied",
HRData[[#This Row],[JobSatisfaction]]=4,"Very Satisfied"
)</f>
        <v>Dissatisfied</v>
      </c>
      <c r="V1135" t="s">
        <v>52</v>
      </c>
      <c r="W1135">
        <v>4876</v>
      </c>
      <c r="X1135" t="str" cm="1">
        <f t="array" ref="X1135">_xlfn.IFS(
HRData[[#This Row],[MonthlyIncome]]&lt;=4000,"Very Low Income",
HRData[[#This Row],[MonthlyIncome]]&lt;=8000,"Low Income",
HRData[[#This Row],[MonthlyIncome]]&lt;=12000,"Moderate Income",
HRData[[#This Row],[MonthlyIncome]]&lt;=16000,"High Income",
HRData[[#This Row],[MonthlyIncome]]&gt;16000,"Very High Income"
)</f>
        <v>Low Income</v>
      </c>
      <c r="Y1135">
        <v>5855</v>
      </c>
      <c r="Z1135">
        <v>5</v>
      </c>
      <c r="AA1135" t="s">
        <v>42</v>
      </c>
      <c r="AB1135" t="s">
        <v>43</v>
      </c>
      <c r="AC1135">
        <v>12</v>
      </c>
      <c r="AD1135" t="str" cm="1">
        <f t="array" ref="AD1135">_xlfn.IFS(HRData[[#This Row],[PercentSalaryHike]]&lt;=15,"11-15",HRData[[#This Row],[PercentSalaryHike]]&lt;=20,"16-20",HRData[[#This Row],[PercentSalaryHike]]&gt;=21,"21+")</f>
        <v>11-15</v>
      </c>
      <c r="AE1135">
        <v>3</v>
      </c>
      <c r="AF1135">
        <v>3</v>
      </c>
      <c r="AG1135">
        <v>80</v>
      </c>
      <c r="AH1135">
        <v>1</v>
      </c>
      <c r="AI1135">
        <v>8</v>
      </c>
      <c r="AJ1135">
        <v>0</v>
      </c>
      <c r="AK1135">
        <v>3</v>
      </c>
      <c r="AL1135">
        <v>6</v>
      </c>
      <c r="AM1135">
        <v>4</v>
      </c>
      <c r="AN1135">
        <v>0</v>
      </c>
      <c r="AO1135">
        <v>2</v>
      </c>
      <c r="AP113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35" t="str">
        <f>IF(HRData[[#This Row],[Attrition]]="Yes","Left", IF(HRData[[#This Row],[Attrition_Risk_Score]]&gt;=6,"High",IF(HRData[[#This Row],[Attrition_Risk_Score]]&gt;=3,"Medium","Low")))</f>
        <v>Low</v>
      </c>
      <c r="AR1135" t="str">
        <f>IF(HRData[[#This Row],[Attrition_Risk_Level]]&lt;&gt;"High","",HRData[[#This Row],[Attrition_Risk_Score]]*10000-HRData[[#This Row],[EmployeeNumber]])</f>
        <v/>
      </c>
    </row>
    <row r="1136" spans="1:44">
      <c r="A1136">
        <v>35</v>
      </c>
      <c r="B1136" t="str" cm="1">
        <f t="array" ref="B1136">_xlfn.IFS(
HRData[[#This Row],[Age]]&lt;=24,"18-24",
HRData[[#This Row],[Age]]&lt;=34,"25-34",
HRData[[#This Row],[Age]]&lt;=44,"35-44",
HRData[[#This Row],[Age]]&lt;=54,"45-54",
HRData[[#This Row],[Age]]&gt;=55,"55+"
)</f>
        <v>35-44</v>
      </c>
      <c r="C1136" t="s">
        <v>43</v>
      </c>
      <c r="D1136">
        <f>IF(HRData[[#This Row],[Attrition]]="Yes",1,0)</f>
        <v>0</v>
      </c>
      <c r="E1136" t="s">
        <v>36</v>
      </c>
      <c r="F1136">
        <v>1349</v>
      </c>
      <c r="G1136" t="s">
        <v>45</v>
      </c>
      <c r="H1136">
        <v>7</v>
      </c>
      <c r="I1136">
        <v>2</v>
      </c>
      <c r="J1136" t="s">
        <v>38</v>
      </c>
      <c r="K1136">
        <v>1</v>
      </c>
      <c r="L1136">
        <v>1601</v>
      </c>
      <c r="M1136">
        <v>3</v>
      </c>
      <c r="N1136" t="str" cm="1">
        <f t="array" ref="N1136">_xlfn.IFS(HRData[[#This Row],[EnvironmentSatisfaction]]=1,"Very Dissatisfied",
HRData[[#This Row],[EnvironmentSatisfaction]]=2,"Dissatisfied",
HRData[[#This Row],[EnvironmentSatisfaction]]=3,"Satisfied",
HRData[[#This Row],[EnvironmentSatisfaction]]=4,"Very Satisfied"
)</f>
        <v>Satisfied</v>
      </c>
      <c r="O1136" t="s">
        <v>46</v>
      </c>
      <c r="P1136">
        <v>63</v>
      </c>
      <c r="Q1136">
        <v>2</v>
      </c>
      <c r="R1136">
        <v>1</v>
      </c>
      <c r="S1136" t="s">
        <v>50</v>
      </c>
      <c r="T1136">
        <v>4</v>
      </c>
      <c r="U1136" t="str" cm="1">
        <f t="array" ref="U1136">_xlfn.IFS(
HRData[[#This Row],[JobSatisfaction]]=1,"Very Dissatisfied",
HRData[[#This Row],[JobSatisfaction]]=2,"Dissatisfied",
HRData[[#This Row],[JobSatisfaction]]=3,"Satisfied",
HRData[[#This Row],[JobSatisfaction]]=4,"Very Satisfied"
)</f>
        <v>Very Satisfied</v>
      </c>
      <c r="V1136" t="s">
        <v>48</v>
      </c>
      <c r="W1136">
        <v>2690</v>
      </c>
      <c r="X1136" t="str" cm="1">
        <f t="array" ref="X1136">_xlfn.IFS(
HRData[[#This Row],[MonthlyIncome]]&lt;=4000,"Very Low Income",
HRData[[#This Row],[MonthlyIncome]]&lt;=8000,"Low Income",
HRData[[#This Row],[MonthlyIncome]]&lt;=12000,"Moderate Income",
HRData[[#This Row],[MonthlyIncome]]&lt;=16000,"High Income",
HRData[[#This Row],[MonthlyIncome]]&gt;16000,"Very High Income"
)</f>
        <v>Very Low Income</v>
      </c>
      <c r="Y1136">
        <v>7713</v>
      </c>
      <c r="Z1136">
        <v>1</v>
      </c>
      <c r="AA1136" t="s">
        <v>42</v>
      </c>
      <c r="AB1136" t="s">
        <v>43</v>
      </c>
      <c r="AC1136">
        <v>18</v>
      </c>
      <c r="AD1136" t="str" cm="1">
        <f t="array" ref="AD1136">_xlfn.IFS(HRData[[#This Row],[PercentSalaryHike]]&lt;=15,"11-15",HRData[[#This Row],[PercentSalaryHike]]&lt;=20,"16-20",HRData[[#This Row],[PercentSalaryHike]]&gt;=21,"21+")</f>
        <v>16-20</v>
      </c>
      <c r="AE1136">
        <v>3</v>
      </c>
      <c r="AF1136">
        <v>4</v>
      </c>
      <c r="AG1136">
        <v>80</v>
      </c>
      <c r="AH1136">
        <v>1</v>
      </c>
      <c r="AI1136">
        <v>1</v>
      </c>
      <c r="AJ1136">
        <v>5</v>
      </c>
      <c r="AK1136">
        <v>2</v>
      </c>
      <c r="AL1136">
        <v>1</v>
      </c>
      <c r="AM1136">
        <v>0</v>
      </c>
      <c r="AN1136">
        <v>0</v>
      </c>
      <c r="AO1136">
        <v>1</v>
      </c>
      <c r="AP113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36" t="str">
        <f>IF(HRData[[#This Row],[Attrition]]="Yes","Left", IF(HRData[[#This Row],[Attrition_Risk_Score]]&gt;=6,"High",IF(HRData[[#This Row],[Attrition_Risk_Score]]&gt;=3,"Medium","Low")))</f>
        <v>Medium</v>
      </c>
      <c r="AR1136" t="str">
        <f>IF(HRData[[#This Row],[Attrition_Risk_Level]]&lt;&gt;"High","",HRData[[#This Row],[Attrition_Risk_Score]]*10000-HRData[[#This Row],[EmployeeNumber]])</f>
        <v/>
      </c>
    </row>
    <row r="1137" spans="1:44">
      <c r="A1137">
        <v>46</v>
      </c>
      <c r="B1137" t="str" cm="1">
        <f t="array" ref="B1137">_xlfn.IFS(
HRData[[#This Row],[Age]]&lt;=24,"18-24",
HRData[[#This Row],[Age]]&lt;=34,"25-34",
HRData[[#This Row],[Age]]&lt;=44,"35-44",
HRData[[#This Row],[Age]]&lt;=54,"45-54",
HRData[[#This Row],[Age]]&gt;=55,"55+"
)</f>
        <v>45-54</v>
      </c>
      <c r="C1137" t="s">
        <v>43</v>
      </c>
      <c r="D1137">
        <f>IF(HRData[[#This Row],[Attrition]]="Yes",1,0)</f>
        <v>0</v>
      </c>
      <c r="E1137" t="s">
        <v>36</v>
      </c>
      <c r="F1137">
        <v>563</v>
      </c>
      <c r="G1137" t="s">
        <v>37</v>
      </c>
      <c r="H1137">
        <v>1</v>
      </c>
      <c r="I1137">
        <v>4</v>
      </c>
      <c r="J1137" t="s">
        <v>38</v>
      </c>
      <c r="K1137">
        <v>1</v>
      </c>
      <c r="L1137">
        <v>1602</v>
      </c>
      <c r="M1137">
        <v>4</v>
      </c>
      <c r="N1137" t="str" cm="1">
        <f t="array" ref="N1137">_xlfn.IFS(HRData[[#This Row],[EnvironmentSatisfaction]]=1,"Very Dissatisfied",
HRData[[#This Row],[EnvironmentSatisfaction]]=2,"Dissatisfied",
HRData[[#This Row],[EnvironmentSatisfaction]]=3,"Satisfied",
HRData[[#This Row],[EnvironmentSatisfaction]]=4,"Very Satisfied"
)</f>
        <v>Very Satisfied</v>
      </c>
      <c r="O1137" t="s">
        <v>46</v>
      </c>
      <c r="P1137">
        <v>56</v>
      </c>
      <c r="Q1137">
        <v>4</v>
      </c>
      <c r="R1137">
        <v>4</v>
      </c>
      <c r="S1137" t="s">
        <v>56</v>
      </c>
      <c r="T1137">
        <v>1</v>
      </c>
      <c r="U1137" t="str" cm="1">
        <f t="array" ref="U1137">_xlfn.IFS(
HRData[[#This Row],[JobSatisfaction]]=1,"Very Dissatisfied",
HRData[[#This Row],[JobSatisfaction]]=2,"Dissatisfied",
HRData[[#This Row],[JobSatisfaction]]=3,"Satisfied",
HRData[[#This Row],[JobSatisfaction]]=4,"Very Satisfied"
)</f>
        <v>Very Dissatisfied</v>
      </c>
      <c r="V1137" t="s">
        <v>41</v>
      </c>
      <c r="W1137">
        <v>17567</v>
      </c>
      <c r="X1137" t="str" cm="1">
        <f t="array" ref="X1137">_xlfn.IFS(
HRData[[#This Row],[MonthlyIncome]]&lt;=4000,"Very Low Income",
HRData[[#This Row],[MonthlyIncome]]&lt;=8000,"Low Income",
HRData[[#This Row],[MonthlyIncome]]&lt;=12000,"Moderate Income",
HRData[[#This Row],[MonthlyIncome]]&lt;=16000,"High Income",
HRData[[#This Row],[MonthlyIncome]]&gt;16000,"Very High Income"
)</f>
        <v>Very High Income</v>
      </c>
      <c r="Y1137">
        <v>3156</v>
      </c>
      <c r="Z1137">
        <v>1</v>
      </c>
      <c r="AA1137" t="s">
        <v>42</v>
      </c>
      <c r="AB1137" t="s">
        <v>43</v>
      </c>
      <c r="AC1137">
        <v>15</v>
      </c>
      <c r="AD1137" t="str" cm="1">
        <f t="array" ref="AD1137">_xlfn.IFS(HRData[[#This Row],[PercentSalaryHike]]&lt;=15,"11-15",HRData[[#This Row],[PercentSalaryHike]]&lt;=20,"16-20",HRData[[#This Row],[PercentSalaryHike]]&gt;=21,"21+")</f>
        <v>11-15</v>
      </c>
      <c r="AE1137">
        <v>3</v>
      </c>
      <c r="AF1137">
        <v>2</v>
      </c>
      <c r="AG1137">
        <v>80</v>
      </c>
      <c r="AH1137">
        <v>0</v>
      </c>
      <c r="AI1137">
        <v>27</v>
      </c>
      <c r="AJ1137">
        <v>5</v>
      </c>
      <c r="AK1137">
        <v>1</v>
      </c>
      <c r="AL1137">
        <v>26</v>
      </c>
      <c r="AM1137">
        <v>0</v>
      </c>
      <c r="AN1137">
        <v>0</v>
      </c>
      <c r="AO1137">
        <v>12</v>
      </c>
      <c r="AP113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37" t="str">
        <f>IF(HRData[[#This Row],[Attrition]]="Yes","Left", IF(HRData[[#This Row],[Attrition_Risk_Score]]&gt;=6,"High",IF(HRData[[#This Row],[Attrition_Risk_Score]]&gt;=3,"Medium","Low")))</f>
        <v>Low</v>
      </c>
      <c r="AR1137" t="str">
        <f>IF(HRData[[#This Row],[Attrition_Risk_Level]]&lt;&gt;"High","",HRData[[#This Row],[Attrition_Risk_Score]]*10000-HRData[[#This Row],[EmployeeNumber]])</f>
        <v/>
      </c>
    </row>
    <row r="1138" spans="1:44">
      <c r="A1138">
        <v>28</v>
      </c>
      <c r="B1138" t="str" cm="1">
        <f t="array" ref="B1138">_xlfn.IFS(
HRData[[#This Row],[Age]]&lt;=24,"18-24",
HRData[[#This Row],[Age]]&lt;=34,"25-34",
HRData[[#This Row],[Age]]&lt;=44,"35-44",
HRData[[#This Row],[Age]]&lt;=54,"45-54",
HRData[[#This Row],[Age]]&gt;=55,"55+"
)</f>
        <v>25-34</v>
      </c>
      <c r="C1138" t="s">
        <v>35</v>
      </c>
      <c r="D1138">
        <f>IF(HRData[[#This Row],[Attrition]]="Yes",1,0)</f>
        <v>1</v>
      </c>
      <c r="E1138" t="s">
        <v>36</v>
      </c>
      <c r="F1138">
        <v>329</v>
      </c>
      <c r="G1138" t="s">
        <v>45</v>
      </c>
      <c r="H1138">
        <v>24</v>
      </c>
      <c r="I1138">
        <v>3</v>
      </c>
      <c r="J1138" t="s">
        <v>51</v>
      </c>
      <c r="K1138">
        <v>1</v>
      </c>
      <c r="L1138">
        <v>1604</v>
      </c>
      <c r="M1138">
        <v>3</v>
      </c>
      <c r="N1138" t="str" cm="1">
        <f t="array" ref="N1138">_xlfn.IFS(HRData[[#This Row],[EnvironmentSatisfaction]]=1,"Very Dissatisfied",
HRData[[#This Row],[EnvironmentSatisfaction]]=2,"Dissatisfied",
HRData[[#This Row],[EnvironmentSatisfaction]]=3,"Satisfied",
HRData[[#This Row],[EnvironmentSatisfaction]]=4,"Very Satisfied"
)</f>
        <v>Satisfied</v>
      </c>
      <c r="O1138" t="s">
        <v>46</v>
      </c>
      <c r="P1138">
        <v>51</v>
      </c>
      <c r="Q1138">
        <v>3</v>
      </c>
      <c r="R1138">
        <v>1</v>
      </c>
      <c r="S1138" t="s">
        <v>50</v>
      </c>
      <c r="T1138">
        <v>2</v>
      </c>
      <c r="U1138" t="str" cm="1">
        <f t="array" ref="U1138">_xlfn.IFS(
HRData[[#This Row],[JobSatisfaction]]=1,"Very Dissatisfied",
HRData[[#This Row],[JobSatisfaction]]=2,"Dissatisfied",
HRData[[#This Row],[JobSatisfaction]]=3,"Satisfied",
HRData[[#This Row],[JobSatisfaction]]=4,"Very Satisfied"
)</f>
        <v>Dissatisfied</v>
      </c>
      <c r="V1138" t="s">
        <v>48</v>
      </c>
      <c r="W1138">
        <v>2408</v>
      </c>
      <c r="X1138" t="str" cm="1">
        <f t="array" ref="X1138">_xlfn.IFS(
HRData[[#This Row],[MonthlyIncome]]&lt;=4000,"Very Low Income",
HRData[[#This Row],[MonthlyIncome]]&lt;=8000,"Low Income",
HRData[[#This Row],[MonthlyIncome]]&lt;=12000,"Moderate Income",
HRData[[#This Row],[MonthlyIncome]]&lt;=16000,"High Income",
HRData[[#This Row],[MonthlyIncome]]&gt;16000,"Very High Income"
)</f>
        <v>Very Low Income</v>
      </c>
      <c r="Y1138">
        <v>7324</v>
      </c>
      <c r="Z1138">
        <v>1</v>
      </c>
      <c r="AA1138" t="s">
        <v>42</v>
      </c>
      <c r="AB1138" t="s">
        <v>35</v>
      </c>
      <c r="AC1138">
        <v>17</v>
      </c>
      <c r="AD1138" t="str" cm="1">
        <f t="array" ref="AD1138">_xlfn.IFS(HRData[[#This Row],[PercentSalaryHike]]&lt;=15,"11-15",HRData[[#This Row],[PercentSalaryHike]]&lt;=20,"16-20",HRData[[#This Row],[PercentSalaryHike]]&gt;=21,"21+")</f>
        <v>16-20</v>
      </c>
      <c r="AE1138">
        <v>3</v>
      </c>
      <c r="AF1138">
        <v>3</v>
      </c>
      <c r="AG1138">
        <v>80</v>
      </c>
      <c r="AH1138">
        <v>3</v>
      </c>
      <c r="AI1138">
        <v>1</v>
      </c>
      <c r="AJ1138">
        <v>3</v>
      </c>
      <c r="AK1138">
        <v>3</v>
      </c>
      <c r="AL1138">
        <v>1</v>
      </c>
      <c r="AM1138">
        <v>1</v>
      </c>
      <c r="AN1138">
        <v>0</v>
      </c>
      <c r="AO1138">
        <v>0</v>
      </c>
      <c r="AP113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138" t="str">
        <f>IF(HRData[[#This Row],[Attrition]]="Yes","Left", IF(HRData[[#This Row],[Attrition_Risk_Score]]&gt;=6,"High",IF(HRData[[#This Row],[Attrition_Risk_Score]]&gt;=3,"Medium","Low")))</f>
        <v>Left</v>
      </c>
      <c r="AR1138" t="str">
        <f>IF(HRData[[#This Row],[Attrition_Risk_Level]]&lt;&gt;"High","",HRData[[#This Row],[Attrition_Risk_Score]]*10000-HRData[[#This Row],[EmployeeNumber]])</f>
        <v/>
      </c>
    </row>
    <row r="1139" spans="1:44">
      <c r="A1139">
        <v>22</v>
      </c>
      <c r="B1139" t="str" cm="1">
        <f t="array" ref="B1139">_xlfn.IFS(
HRData[[#This Row],[Age]]&lt;=24,"18-24",
HRData[[#This Row],[Age]]&lt;=34,"25-34",
HRData[[#This Row],[Age]]&lt;=44,"35-44",
HRData[[#This Row],[Age]]&lt;=54,"45-54",
HRData[[#This Row],[Age]]&gt;=55,"55+"
)</f>
        <v>18-24</v>
      </c>
      <c r="C1139" t="s">
        <v>43</v>
      </c>
      <c r="D1139">
        <f>IF(HRData[[#This Row],[Attrition]]="Yes",1,0)</f>
        <v>0</v>
      </c>
      <c r="E1139" t="s">
        <v>55</v>
      </c>
      <c r="F1139">
        <v>457</v>
      </c>
      <c r="G1139" t="s">
        <v>45</v>
      </c>
      <c r="H1139">
        <v>26</v>
      </c>
      <c r="I1139">
        <v>2</v>
      </c>
      <c r="J1139" t="s">
        <v>49</v>
      </c>
      <c r="K1139">
        <v>1</v>
      </c>
      <c r="L1139">
        <v>1605</v>
      </c>
      <c r="M1139">
        <v>2</v>
      </c>
      <c r="N1139" t="str" cm="1">
        <f t="array" ref="N1139">_xlfn.IFS(HRData[[#This Row],[EnvironmentSatisfaction]]=1,"Very Dissatisfied",
HRData[[#This Row],[EnvironmentSatisfaction]]=2,"Dissatisfied",
HRData[[#This Row],[EnvironmentSatisfaction]]=3,"Satisfied",
HRData[[#This Row],[EnvironmentSatisfaction]]=4,"Very Satisfied"
)</f>
        <v>Dissatisfied</v>
      </c>
      <c r="O1139" t="s">
        <v>39</v>
      </c>
      <c r="P1139">
        <v>85</v>
      </c>
      <c r="Q1139">
        <v>2</v>
      </c>
      <c r="R1139">
        <v>1</v>
      </c>
      <c r="S1139" t="s">
        <v>47</v>
      </c>
      <c r="T1139">
        <v>3</v>
      </c>
      <c r="U1139" t="str" cm="1">
        <f t="array" ref="U1139">_xlfn.IFS(
HRData[[#This Row],[JobSatisfaction]]=1,"Very Dissatisfied",
HRData[[#This Row],[JobSatisfaction]]=2,"Dissatisfied",
HRData[[#This Row],[JobSatisfaction]]=3,"Satisfied",
HRData[[#This Row],[JobSatisfaction]]=4,"Very Satisfied"
)</f>
        <v>Satisfied</v>
      </c>
      <c r="V1139" t="s">
        <v>48</v>
      </c>
      <c r="W1139">
        <v>2814</v>
      </c>
      <c r="X1139" t="str" cm="1">
        <f t="array" ref="X1139">_xlfn.IFS(
HRData[[#This Row],[MonthlyIncome]]&lt;=4000,"Very Low Income",
HRData[[#This Row],[MonthlyIncome]]&lt;=8000,"Low Income",
HRData[[#This Row],[MonthlyIncome]]&lt;=12000,"Moderate Income",
HRData[[#This Row],[MonthlyIncome]]&lt;=16000,"High Income",
HRData[[#This Row],[MonthlyIncome]]&gt;16000,"Very High Income"
)</f>
        <v>Very Low Income</v>
      </c>
      <c r="Y1139">
        <v>10293</v>
      </c>
      <c r="Z1139">
        <v>1</v>
      </c>
      <c r="AA1139" t="s">
        <v>42</v>
      </c>
      <c r="AB1139" t="s">
        <v>35</v>
      </c>
      <c r="AC1139">
        <v>14</v>
      </c>
      <c r="AD1139" t="str" cm="1">
        <f t="array" ref="AD1139">_xlfn.IFS(HRData[[#This Row],[PercentSalaryHike]]&lt;=15,"11-15",HRData[[#This Row],[PercentSalaryHike]]&lt;=20,"16-20",HRData[[#This Row],[PercentSalaryHike]]&gt;=21,"21+")</f>
        <v>11-15</v>
      </c>
      <c r="AE1139">
        <v>3</v>
      </c>
      <c r="AF1139">
        <v>2</v>
      </c>
      <c r="AG1139">
        <v>80</v>
      </c>
      <c r="AH1139">
        <v>0</v>
      </c>
      <c r="AI1139">
        <v>4</v>
      </c>
      <c r="AJ1139">
        <v>2</v>
      </c>
      <c r="AK1139">
        <v>2</v>
      </c>
      <c r="AL1139">
        <v>4</v>
      </c>
      <c r="AM1139">
        <v>2</v>
      </c>
      <c r="AN1139">
        <v>1</v>
      </c>
      <c r="AO1139">
        <v>3</v>
      </c>
      <c r="AP113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139" t="str">
        <f>IF(HRData[[#This Row],[Attrition]]="Yes","Left", IF(HRData[[#This Row],[Attrition_Risk_Score]]&gt;=6,"High",IF(HRData[[#This Row],[Attrition_Risk_Score]]&gt;=3,"Medium","Low")))</f>
        <v>High</v>
      </c>
      <c r="AR1139">
        <f>IF(HRData[[#This Row],[Attrition_Risk_Level]]&lt;&gt;"High","",HRData[[#This Row],[Attrition_Risk_Score]]*10000-HRData[[#This Row],[EmployeeNumber]])</f>
        <v>58395</v>
      </c>
    </row>
    <row r="1140" spans="1:44">
      <c r="A1140">
        <v>50</v>
      </c>
      <c r="B1140" t="str" cm="1">
        <f t="array" ref="B1140">_xlfn.IFS(
HRData[[#This Row],[Age]]&lt;=24,"18-24",
HRData[[#This Row],[Age]]&lt;=34,"25-34",
HRData[[#This Row],[Age]]&lt;=44,"35-44",
HRData[[#This Row],[Age]]&lt;=54,"45-54",
HRData[[#This Row],[Age]]&gt;=55,"55+"
)</f>
        <v>45-54</v>
      </c>
      <c r="C1140" t="s">
        <v>43</v>
      </c>
      <c r="D1140">
        <f>IF(HRData[[#This Row],[Attrition]]="Yes",1,0)</f>
        <v>0</v>
      </c>
      <c r="E1140" t="s">
        <v>44</v>
      </c>
      <c r="F1140">
        <v>1234</v>
      </c>
      <c r="G1140" t="s">
        <v>45</v>
      </c>
      <c r="H1140">
        <v>20</v>
      </c>
      <c r="I1140">
        <v>5</v>
      </c>
      <c r="J1140" t="s">
        <v>51</v>
      </c>
      <c r="K1140">
        <v>1</v>
      </c>
      <c r="L1140">
        <v>1606</v>
      </c>
      <c r="M1140">
        <v>2</v>
      </c>
      <c r="N1140" t="str" cm="1">
        <f t="array" ref="N1140">_xlfn.IFS(HRData[[#This Row],[EnvironmentSatisfaction]]=1,"Very Dissatisfied",
HRData[[#This Row],[EnvironmentSatisfaction]]=2,"Dissatisfied",
HRData[[#This Row],[EnvironmentSatisfaction]]=3,"Satisfied",
HRData[[#This Row],[EnvironmentSatisfaction]]=4,"Very Satisfied"
)</f>
        <v>Dissatisfied</v>
      </c>
      <c r="O1140" t="s">
        <v>46</v>
      </c>
      <c r="P1140">
        <v>41</v>
      </c>
      <c r="Q1140">
        <v>3</v>
      </c>
      <c r="R1140">
        <v>4</v>
      </c>
      <c r="S1140" t="s">
        <v>54</v>
      </c>
      <c r="T1140">
        <v>3</v>
      </c>
      <c r="U1140" t="str" cm="1">
        <f t="array" ref="U1140">_xlfn.IFS(
HRData[[#This Row],[JobSatisfaction]]=1,"Very Dissatisfied",
HRData[[#This Row],[JobSatisfaction]]=2,"Dissatisfied",
HRData[[#This Row],[JobSatisfaction]]=3,"Satisfied",
HRData[[#This Row],[JobSatisfaction]]=4,"Very Satisfied"
)</f>
        <v>Satisfied</v>
      </c>
      <c r="V1140" t="s">
        <v>48</v>
      </c>
      <c r="W1140">
        <v>11245</v>
      </c>
      <c r="X1140" t="str" cm="1">
        <f t="array" ref="X1140">_xlfn.IFS(
HRData[[#This Row],[MonthlyIncome]]&lt;=4000,"Very Low Income",
HRData[[#This Row],[MonthlyIncome]]&lt;=8000,"Low Income",
HRData[[#This Row],[MonthlyIncome]]&lt;=12000,"Moderate Income",
HRData[[#This Row],[MonthlyIncome]]&lt;=16000,"High Income",
HRData[[#This Row],[MonthlyIncome]]&gt;16000,"Very High Income"
)</f>
        <v>Moderate Income</v>
      </c>
      <c r="Y1140">
        <v>20689</v>
      </c>
      <c r="Z1140">
        <v>2</v>
      </c>
      <c r="AA1140" t="s">
        <v>42</v>
      </c>
      <c r="AB1140" t="s">
        <v>35</v>
      </c>
      <c r="AC1140">
        <v>15</v>
      </c>
      <c r="AD1140" t="str" cm="1">
        <f t="array" ref="AD1140">_xlfn.IFS(HRData[[#This Row],[PercentSalaryHike]]&lt;=15,"11-15",HRData[[#This Row],[PercentSalaryHike]]&lt;=20,"16-20",HRData[[#This Row],[PercentSalaryHike]]&gt;=21,"21+")</f>
        <v>11-15</v>
      </c>
      <c r="AE1140">
        <v>3</v>
      </c>
      <c r="AF1140">
        <v>3</v>
      </c>
      <c r="AG1140">
        <v>80</v>
      </c>
      <c r="AH1140">
        <v>1</v>
      </c>
      <c r="AI1140">
        <v>32</v>
      </c>
      <c r="AJ1140">
        <v>3</v>
      </c>
      <c r="AK1140">
        <v>3</v>
      </c>
      <c r="AL1140">
        <v>30</v>
      </c>
      <c r="AM1140">
        <v>8</v>
      </c>
      <c r="AN1140">
        <v>12</v>
      </c>
      <c r="AO1140">
        <v>13</v>
      </c>
      <c r="AP114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40" t="str">
        <f>IF(HRData[[#This Row],[Attrition]]="Yes","Left", IF(HRData[[#This Row],[Attrition_Risk_Score]]&gt;=6,"High",IF(HRData[[#This Row],[Attrition_Risk_Score]]&gt;=3,"Medium","Low")))</f>
        <v>Low</v>
      </c>
      <c r="AR1140" t="str">
        <f>IF(HRData[[#This Row],[Attrition_Risk_Level]]&lt;&gt;"High","",HRData[[#This Row],[Attrition_Risk_Score]]*10000-HRData[[#This Row],[EmployeeNumber]])</f>
        <v/>
      </c>
    </row>
    <row r="1141" spans="1:44">
      <c r="A1141">
        <v>32</v>
      </c>
      <c r="B1141" t="str" cm="1">
        <f t="array" ref="B1141">_xlfn.IFS(
HRData[[#This Row],[Age]]&lt;=24,"18-24",
HRData[[#This Row],[Age]]&lt;=34,"25-34",
HRData[[#This Row],[Age]]&lt;=44,"35-44",
HRData[[#This Row],[Age]]&lt;=54,"45-54",
HRData[[#This Row],[Age]]&gt;=55,"55+"
)</f>
        <v>25-34</v>
      </c>
      <c r="C1141" t="s">
        <v>43</v>
      </c>
      <c r="D1141">
        <f>IF(HRData[[#This Row],[Attrition]]="Yes",1,0)</f>
        <v>0</v>
      </c>
      <c r="E1141" t="s">
        <v>36</v>
      </c>
      <c r="F1141">
        <v>634</v>
      </c>
      <c r="G1141" t="s">
        <v>45</v>
      </c>
      <c r="H1141">
        <v>5</v>
      </c>
      <c r="I1141">
        <v>4</v>
      </c>
      <c r="J1141" t="s">
        <v>49</v>
      </c>
      <c r="K1141">
        <v>1</v>
      </c>
      <c r="L1141">
        <v>1607</v>
      </c>
      <c r="M1141">
        <v>2</v>
      </c>
      <c r="N1141" t="str" cm="1">
        <f t="array" ref="N1141">_xlfn.IFS(HRData[[#This Row],[EnvironmentSatisfaction]]=1,"Very Dissatisfied",
HRData[[#This Row],[EnvironmentSatisfaction]]=2,"Dissatisfied",
HRData[[#This Row],[EnvironmentSatisfaction]]=3,"Satisfied",
HRData[[#This Row],[EnvironmentSatisfaction]]=4,"Very Satisfied"
)</f>
        <v>Dissatisfied</v>
      </c>
      <c r="O1141" t="s">
        <v>39</v>
      </c>
      <c r="P1141">
        <v>35</v>
      </c>
      <c r="Q1141">
        <v>4</v>
      </c>
      <c r="R1141">
        <v>1</v>
      </c>
      <c r="S1141" t="s">
        <v>47</v>
      </c>
      <c r="T1141">
        <v>4</v>
      </c>
      <c r="U1141" t="str" cm="1">
        <f t="array" ref="U1141">_xlfn.IFS(
HRData[[#This Row],[JobSatisfaction]]=1,"Very Dissatisfied",
HRData[[#This Row],[JobSatisfaction]]=2,"Dissatisfied",
HRData[[#This Row],[JobSatisfaction]]=3,"Satisfied",
HRData[[#This Row],[JobSatisfaction]]=4,"Very Satisfied"
)</f>
        <v>Very Satisfied</v>
      </c>
      <c r="V1141" t="s">
        <v>48</v>
      </c>
      <c r="W1141">
        <v>3312</v>
      </c>
      <c r="X1141" t="str" cm="1">
        <f t="array" ref="X1141">_xlfn.IFS(
HRData[[#This Row],[MonthlyIncome]]&lt;=4000,"Very Low Income",
HRData[[#This Row],[MonthlyIncome]]&lt;=8000,"Low Income",
HRData[[#This Row],[MonthlyIncome]]&lt;=12000,"Moderate Income",
HRData[[#This Row],[MonthlyIncome]]&lt;=16000,"High Income",
HRData[[#This Row],[MonthlyIncome]]&gt;16000,"Very High Income"
)</f>
        <v>Very Low Income</v>
      </c>
      <c r="Y1141">
        <v>18783</v>
      </c>
      <c r="Z1141">
        <v>3</v>
      </c>
      <c r="AA1141" t="s">
        <v>42</v>
      </c>
      <c r="AB1141" t="s">
        <v>43</v>
      </c>
      <c r="AC1141">
        <v>17</v>
      </c>
      <c r="AD1141" t="str" cm="1">
        <f t="array" ref="AD1141">_xlfn.IFS(HRData[[#This Row],[PercentSalaryHike]]&lt;=15,"11-15",HRData[[#This Row],[PercentSalaryHike]]&lt;=20,"16-20",HRData[[#This Row],[PercentSalaryHike]]&gt;=21,"21+")</f>
        <v>16-20</v>
      </c>
      <c r="AE1141">
        <v>3</v>
      </c>
      <c r="AF1141">
        <v>4</v>
      </c>
      <c r="AG1141">
        <v>80</v>
      </c>
      <c r="AH1141">
        <v>2</v>
      </c>
      <c r="AI1141">
        <v>6</v>
      </c>
      <c r="AJ1141">
        <v>3</v>
      </c>
      <c r="AK1141">
        <v>3</v>
      </c>
      <c r="AL1141">
        <v>3</v>
      </c>
      <c r="AM1141">
        <v>2</v>
      </c>
      <c r="AN1141">
        <v>0</v>
      </c>
      <c r="AO1141">
        <v>2</v>
      </c>
      <c r="AP114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41" t="str">
        <f>IF(HRData[[#This Row],[Attrition]]="Yes","Left", IF(HRData[[#This Row],[Attrition_Risk_Score]]&gt;=6,"High",IF(HRData[[#This Row],[Attrition_Risk_Score]]&gt;=3,"Medium","Low")))</f>
        <v>Medium</v>
      </c>
      <c r="AR1141" t="str">
        <f>IF(HRData[[#This Row],[Attrition_Risk_Level]]&lt;&gt;"High","",HRData[[#This Row],[Attrition_Risk_Score]]*10000-HRData[[#This Row],[EmployeeNumber]])</f>
        <v/>
      </c>
    </row>
    <row r="1142" spans="1:44">
      <c r="A1142">
        <v>44</v>
      </c>
      <c r="B1142" t="str" cm="1">
        <f t="array" ref="B1142">_xlfn.IFS(
HRData[[#This Row],[Age]]&lt;=24,"18-24",
HRData[[#This Row],[Age]]&lt;=34,"25-34",
HRData[[#This Row],[Age]]&lt;=44,"35-44",
HRData[[#This Row],[Age]]&lt;=54,"45-54",
HRData[[#This Row],[Age]]&gt;=55,"55+"
)</f>
        <v>35-44</v>
      </c>
      <c r="C1142" t="s">
        <v>43</v>
      </c>
      <c r="D1142">
        <f>IF(HRData[[#This Row],[Attrition]]="Yes",1,0)</f>
        <v>0</v>
      </c>
      <c r="E1142" t="s">
        <v>36</v>
      </c>
      <c r="F1142">
        <v>1313</v>
      </c>
      <c r="G1142" t="s">
        <v>45</v>
      </c>
      <c r="H1142">
        <v>7</v>
      </c>
      <c r="I1142">
        <v>3</v>
      </c>
      <c r="J1142" t="s">
        <v>51</v>
      </c>
      <c r="K1142">
        <v>1</v>
      </c>
      <c r="L1142">
        <v>1608</v>
      </c>
      <c r="M1142">
        <v>2</v>
      </c>
      <c r="N1142" t="str" cm="1">
        <f t="array" ref="N1142">_xlfn.IFS(HRData[[#This Row],[EnvironmentSatisfaction]]=1,"Very Dissatisfied",
HRData[[#This Row],[EnvironmentSatisfaction]]=2,"Dissatisfied",
HRData[[#This Row],[EnvironmentSatisfaction]]=3,"Satisfied",
HRData[[#This Row],[EnvironmentSatisfaction]]=4,"Very Satisfied"
)</f>
        <v>Dissatisfied</v>
      </c>
      <c r="O1142" t="s">
        <v>39</v>
      </c>
      <c r="P1142">
        <v>31</v>
      </c>
      <c r="Q1142">
        <v>3</v>
      </c>
      <c r="R1142">
        <v>5</v>
      </c>
      <c r="S1142" t="s">
        <v>58</v>
      </c>
      <c r="T1142">
        <v>4</v>
      </c>
      <c r="U1142" t="str" cm="1">
        <f t="array" ref="U1142">_xlfn.IFS(
HRData[[#This Row],[JobSatisfaction]]=1,"Very Dissatisfied",
HRData[[#This Row],[JobSatisfaction]]=2,"Dissatisfied",
HRData[[#This Row],[JobSatisfaction]]=3,"Satisfied",
HRData[[#This Row],[JobSatisfaction]]=4,"Very Satisfied"
)</f>
        <v>Very Satisfied</v>
      </c>
      <c r="V1142" t="s">
        <v>52</v>
      </c>
      <c r="W1142">
        <v>19049</v>
      </c>
      <c r="X1142" t="str" cm="1">
        <f t="array" ref="X1142">_xlfn.IFS(
HRData[[#This Row],[MonthlyIncome]]&lt;=4000,"Very Low Income",
HRData[[#This Row],[MonthlyIncome]]&lt;=8000,"Low Income",
HRData[[#This Row],[MonthlyIncome]]&lt;=12000,"Moderate Income",
HRData[[#This Row],[MonthlyIncome]]&lt;=16000,"High Income",
HRData[[#This Row],[MonthlyIncome]]&gt;16000,"Very High Income"
)</f>
        <v>Very High Income</v>
      </c>
      <c r="Y1142">
        <v>3549</v>
      </c>
      <c r="Z1142">
        <v>0</v>
      </c>
      <c r="AA1142" t="s">
        <v>42</v>
      </c>
      <c r="AB1142" t="s">
        <v>35</v>
      </c>
      <c r="AC1142">
        <v>14</v>
      </c>
      <c r="AD1142" t="str" cm="1">
        <f t="array" ref="AD1142">_xlfn.IFS(HRData[[#This Row],[PercentSalaryHike]]&lt;=15,"11-15",HRData[[#This Row],[PercentSalaryHike]]&lt;=20,"16-20",HRData[[#This Row],[PercentSalaryHike]]&gt;=21,"21+")</f>
        <v>11-15</v>
      </c>
      <c r="AE1142">
        <v>3</v>
      </c>
      <c r="AF1142">
        <v>4</v>
      </c>
      <c r="AG1142">
        <v>80</v>
      </c>
      <c r="AH1142">
        <v>1</v>
      </c>
      <c r="AI1142">
        <v>23</v>
      </c>
      <c r="AJ1142">
        <v>4</v>
      </c>
      <c r="AK1142">
        <v>2</v>
      </c>
      <c r="AL1142">
        <v>22</v>
      </c>
      <c r="AM1142">
        <v>7</v>
      </c>
      <c r="AN1142">
        <v>1</v>
      </c>
      <c r="AO1142">
        <v>10</v>
      </c>
      <c r="AP114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42" t="str">
        <f>IF(HRData[[#This Row],[Attrition]]="Yes","Left", IF(HRData[[#This Row],[Attrition_Risk_Score]]&gt;=6,"High",IF(HRData[[#This Row],[Attrition_Risk_Score]]&gt;=3,"Medium","Low")))</f>
        <v>Low</v>
      </c>
      <c r="AR1142" t="str">
        <f>IF(HRData[[#This Row],[Attrition_Risk_Level]]&lt;&gt;"High","",HRData[[#This Row],[Attrition_Risk_Score]]*10000-HRData[[#This Row],[EmployeeNumber]])</f>
        <v/>
      </c>
    </row>
    <row r="1143" spans="1:44">
      <c r="A1143">
        <v>30</v>
      </c>
      <c r="B1143" t="str" cm="1">
        <f t="array" ref="B1143">_xlfn.IFS(
HRData[[#This Row],[Age]]&lt;=24,"18-24",
HRData[[#This Row],[Age]]&lt;=34,"25-34",
HRData[[#This Row],[Age]]&lt;=44,"35-44",
HRData[[#This Row],[Age]]&lt;=54,"45-54",
HRData[[#This Row],[Age]]&gt;=55,"55+"
)</f>
        <v>25-34</v>
      </c>
      <c r="C1143" t="s">
        <v>43</v>
      </c>
      <c r="D1143">
        <f>IF(HRData[[#This Row],[Attrition]]="Yes",1,0)</f>
        <v>0</v>
      </c>
      <c r="E1143" t="s">
        <v>36</v>
      </c>
      <c r="F1143">
        <v>241</v>
      </c>
      <c r="G1143" t="s">
        <v>45</v>
      </c>
      <c r="H1143">
        <v>7</v>
      </c>
      <c r="I1143">
        <v>3</v>
      </c>
      <c r="J1143" t="s">
        <v>51</v>
      </c>
      <c r="K1143">
        <v>1</v>
      </c>
      <c r="L1143">
        <v>1609</v>
      </c>
      <c r="M1143">
        <v>2</v>
      </c>
      <c r="N1143" t="str" cm="1">
        <f t="array" ref="N1143">_xlfn.IFS(HRData[[#This Row],[EnvironmentSatisfaction]]=1,"Very Dissatisfied",
HRData[[#This Row],[EnvironmentSatisfaction]]=2,"Dissatisfied",
HRData[[#This Row],[EnvironmentSatisfaction]]=3,"Satisfied",
HRData[[#This Row],[EnvironmentSatisfaction]]=4,"Very Satisfied"
)</f>
        <v>Dissatisfied</v>
      </c>
      <c r="O1143" t="s">
        <v>46</v>
      </c>
      <c r="P1143">
        <v>48</v>
      </c>
      <c r="Q1143">
        <v>2</v>
      </c>
      <c r="R1143">
        <v>1</v>
      </c>
      <c r="S1143" t="s">
        <v>47</v>
      </c>
      <c r="T1143">
        <v>2</v>
      </c>
      <c r="U1143" t="str" cm="1">
        <f t="array" ref="U1143">_xlfn.IFS(
HRData[[#This Row],[JobSatisfaction]]=1,"Very Dissatisfied",
HRData[[#This Row],[JobSatisfaction]]=2,"Dissatisfied",
HRData[[#This Row],[JobSatisfaction]]=3,"Satisfied",
HRData[[#This Row],[JobSatisfaction]]=4,"Very Satisfied"
)</f>
        <v>Dissatisfied</v>
      </c>
      <c r="V1143" t="s">
        <v>48</v>
      </c>
      <c r="W1143">
        <v>2141</v>
      </c>
      <c r="X1143" t="str" cm="1">
        <f t="array" ref="X1143">_xlfn.IFS(
HRData[[#This Row],[MonthlyIncome]]&lt;=4000,"Very Low Income",
HRData[[#This Row],[MonthlyIncome]]&lt;=8000,"Low Income",
HRData[[#This Row],[MonthlyIncome]]&lt;=12000,"Moderate Income",
HRData[[#This Row],[MonthlyIncome]]&lt;=16000,"High Income",
HRData[[#This Row],[MonthlyIncome]]&gt;16000,"Very High Income"
)</f>
        <v>Very Low Income</v>
      </c>
      <c r="Y1143">
        <v>5348</v>
      </c>
      <c r="Z1143">
        <v>1</v>
      </c>
      <c r="AA1143" t="s">
        <v>42</v>
      </c>
      <c r="AB1143" t="s">
        <v>43</v>
      </c>
      <c r="AC1143">
        <v>12</v>
      </c>
      <c r="AD1143" t="str" cm="1">
        <f t="array" ref="AD1143">_xlfn.IFS(HRData[[#This Row],[PercentSalaryHike]]&lt;=15,"11-15",HRData[[#This Row],[PercentSalaryHike]]&lt;=20,"16-20",HRData[[#This Row],[PercentSalaryHike]]&gt;=21,"21+")</f>
        <v>11-15</v>
      </c>
      <c r="AE1143">
        <v>3</v>
      </c>
      <c r="AF1143">
        <v>2</v>
      </c>
      <c r="AG1143">
        <v>80</v>
      </c>
      <c r="AH1143">
        <v>1</v>
      </c>
      <c r="AI1143">
        <v>6</v>
      </c>
      <c r="AJ1143">
        <v>3</v>
      </c>
      <c r="AK1143">
        <v>2</v>
      </c>
      <c r="AL1143">
        <v>6</v>
      </c>
      <c r="AM1143">
        <v>4</v>
      </c>
      <c r="AN1143">
        <v>1</v>
      </c>
      <c r="AO1143">
        <v>1</v>
      </c>
      <c r="AP114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43" t="str">
        <f>IF(HRData[[#This Row],[Attrition]]="Yes","Left", IF(HRData[[#This Row],[Attrition_Risk_Score]]&gt;=6,"High",IF(HRData[[#This Row],[Attrition_Risk_Score]]&gt;=3,"Medium","Low")))</f>
        <v>Medium</v>
      </c>
      <c r="AR1143" t="str">
        <f>IF(HRData[[#This Row],[Attrition_Risk_Level]]&lt;&gt;"High","",HRData[[#This Row],[Attrition_Risk_Score]]*10000-HRData[[#This Row],[EmployeeNumber]])</f>
        <v/>
      </c>
    </row>
    <row r="1144" spans="1:44">
      <c r="A1144">
        <v>45</v>
      </c>
      <c r="B1144" t="str" cm="1">
        <f t="array" ref="B1144">_xlfn.IFS(
HRData[[#This Row],[Age]]&lt;=24,"18-24",
HRData[[#This Row],[Age]]&lt;=34,"25-34",
HRData[[#This Row],[Age]]&lt;=44,"35-44",
HRData[[#This Row],[Age]]&lt;=54,"45-54",
HRData[[#This Row],[Age]]&gt;=55,"55+"
)</f>
        <v>45-54</v>
      </c>
      <c r="C1144" t="s">
        <v>43</v>
      </c>
      <c r="D1144">
        <f>IF(HRData[[#This Row],[Attrition]]="Yes",1,0)</f>
        <v>0</v>
      </c>
      <c r="E1144" t="s">
        <v>36</v>
      </c>
      <c r="F1144">
        <v>1015</v>
      </c>
      <c r="G1144" t="s">
        <v>45</v>
      </c>
      <c r="H1144">
        <v>5</v>
      </c>
      <c r="I1144">
        <v>5</v>
      </c>
      <c r="J1144" t="s">
        <v>51</v>
      </c>
      <c r="K1144">
        <v>1</v>
      </c>
      <c r="L1144">
        <v>1611</v>
      </c>
      <c r="M1144">
        <v>3</v>
      </c>
      <c r="N1144" t="str" cm="1">
        <f t="array" ref="N1144">_xlfn.IFS(HRData[[#This Row],[EnvironmentSatisfaction]]=1,"Very Dissatisfied",
HRData[[#This Row],[EnvironmentSatisfaction]]=2,"Dissatisfied",
HRData[[#This Row],[EnvironmentSatisfaction]]=3,"Satisfied",
HRData[[#This Row],[EnvironmentSatisfaction]]=4,"Very Satisfied"
)</f>
        <v>Satisfied</v>
      </c>
      <c r="O1144" t="s">
        <v>39</v>
      </c>
      <c r="P1144">
        <v>50</v>
      </c>
      <c r="Q1144">
        <v>1</v>
      </c>
      <c r="R1144">
        <v>2</v>
      </c>
      <c r="S1144" t="s">
        <v>50</v>
      </c>
      <c r="T1144">
        <v>1</v>
      </c>
      <c r="U1144" t="str" cm="1">
        <f t="array" ref="U1144">_xlfn.IFS(
HRData[[#This Row],[JobSatisfaction]]=1,"Very Dissatisfied",
HRData[[#This Row],[JobSatisfaction]]=2,"Dissatisfied",
HRData[[#This Row],[JobSatisfaction]]=3,"Satisfied",
HRData[[#This Row],[JobSatisfaction]]=4,"Very Satisfied"
)</f>
        <v>Very Dissatisfied</v>
      </c>
      <c r="V1144" t="s">
        <v>41</v>
      </c>
      <c r="W1144">
        <v>5769</v>
      </c>
      <c r="X1144" t="str" cm="1">
        <f t="array" ref="X1144">_xlfn.IFS(
HRData[[#This Row],[MonthlyIncome]]&lt;=4000,"Very Low Income",
HRData[[#This Row],[MonthlyIncome]]&lt;=8000,"Low Income",
HRData[[#This Row],[MonthlyIncome]]&lt;=12000,"Moderate Income",
HRData[[#This Row],[MonthlyIncome]]&lt;=16000,"High Income",
HRData[[#This Row],[MonthlyIncome]]&gt;16000,"Very High Income"
)</f>
        <v>Low Income</v>
      </c>
      <c r="Y1144">
        <v>23447</v>
      </c>
      <c r="Z1144">
        <v>1</v>
      </c>
      <c r="AA1144" t="s">
        <v>42</v>
      </c>
      <c r="AB1144" t="s">
        <v>35</v>
      </c>
      <c r="AC1144">
        <v>14</v>
      </c>
      <c r="AD1144" t="str" cm="1">
        <f t="array" ref="AD1144">_xlfn.IFS(HRData[[#This Row],[PercentSalaryHike]]&lt;=15,"11-15",HRData[[#This Row],[PercentSalaryHike]]&lt;=20,"16-20",HRData[[#This Row],[PercentSalaryHike]]&gt;=21,"21+")</f>
        <v>11-15</v>
      </c>
      <c r="AE1144">
        <v>3</v>
      </c>
      <c r="AF1144">
        <v>1</v>
      </c>
      <c r="AG1144">
        <v>80</v>
      </c>
      <c r="AH1144">
        <v>0</v>
      </c>
      <c r="AI1144">
        <v>10</v>
      </c>
      <c r="AJ1144">
        <v>3</v>
      </c>
      <c r="AK1144">
        <v>3</v>
      </c>
      <c r="AL1144">
        <v>10</v>
      </c>
      <c r="AM1144">
        <v>7</v>
      </c>
      <c r="AN1144">
        <v>1</v>
      </c>
      <c r="AO1144">
        <v>4</v>
      </c>
      <c r="AP114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144" t="str">
        <f>IF(HRData[[#This Row],[Attrition]]="Yes","Left", IF(HRData[[#This Row],[Attrition_Risk_Score]]&gt;=6,"High",IF(HRData[[#This Row],[Attrition_Risk_Score]]&gt;=3,"Medium","Low")))</f>
        <v>High</v>
      </c>
      <c r="AR1144">
        <f>IF(HRData[[#This Row],[Attrition_Risk_Level]]&lt;&gt;"High","",HRData[[#This Row],[Attrition_Risk_Score]]*10000-HRData[[#This Row],[EmployeeNumber]])</f>
        <v>58389</v>
      </c>
    </row>
    <row r="1145" spans="1:44">
      <c r="A1145">
        <v>45</v>
      </c>
      <c r="B1145" t="str" cm="1">
        <f t="array" ref="B1145">_xlfn.IFS(
HRData[[#This Row],[Age]]&lt;=24,"18-24",
HRData[[#This Row],[Age]]&lt;=34,"25-34",
HRData[[#This Row],[Age]]&lt;=44,"35-44",
HRData[[#This Row],[Age]]&lt;=54,"45-54",
HRData[[#This Row],[Age]]&gt;=55,"55+"
)</f>
        <v>45-54</v>
      </c>
      <c r="C1145" t="s">
        <v>43</v>
      </c>
      <c r="D1145">
        <f>IF(HRData[[#This Row],[Attrition]]="Yes",1,0)</f>
        <v>0</v>
      </c>
      <c r="E1145" t="s">
        <v>55</v>
      </c>
      <c r="F1145">
        <v>336</v>
      </c>
      <c r="G1145" t="s">
        <v>37</v>
      </c>
      <c r="H1145">
        <v>26</v>
      </c>
      <c r="I1145">
        <v>3</v>
      </c>
      <c r="J1145" t="s">
        <v>59</v>
      </c>
      <c r="K1145">
        <v>1</v>
      </c>
      <c r="L1145">
        <v>1612</v>
      </c>
      <c r="M1145">
        <v>1</v>
      </c>
      <c r="N1145" t="str" cm="1">
        <f t="array" ref="N1145">_xlfn.IFS(HRData[[#This Row],[EnvironmentSatisfaction]]=1,"Very Dissatisfied",
HRData[[#This Row],[EnvironmentSatisfaction]]=2,"Dissatisfied",
HRData[[#This Row],[EnvironmentSatisfaction]]=3,"Satisfied",
HRData[[#This Row],[EnvironmentSatisfaction]]=4,"Very Satisfied"
)</f>
        <v>Very Dissatisfied</v>
      </c>
      <c r="O1145" t="s">
        <v>46</v>
      </c>
      <c r="P1145">
        <v>52</v>
      </c>
      <c r="Q1145">
        <v>2</v>
      </c>
      <c r="R1145">
        <v>2</v>
      </c>
      <c r="S1145" t="s">
        <v>40</v>
      </c>
      <c r="T1145">
        <v>1</v>
      </c>
      <c r="U1145" t="str" cm="1">
        <f t="array" ref="U1145">_xlfn.IFS(
HRData[[#This Row],[JobSatisfaction]]=1,"Very Dissatisfied",
HRData[[#This Row],[JobSatisfaction]]=2,"Dissatisfied",
HRData[[#This Row],[JobSatisfaction]]=3,"Satisfied",
HRData[[#This Row],[JobSatisfaction]]=4,"Very Satisfied"
)</f>
        <v>Very Dissatisfied</v>
      </c>
      <c r="V1145" t="s">
        <v>48</v>
      </c>
      <c r="W1145">
        <v>4385</v>
      </c>
      <c r="X1145" t="str" cm="1">
        <f t="array" ref="X1145">_xlfn.IFS(
HRData[[#This Row],[MonthlyIncome]]&lt;=4000,"Very Low Income",
HRData[[#This Row],[MonthlyIncome]]&lt;=8000,"Low Income",
HRData[[#This Row],[MonthlyIncome]]&lt;=12000,"Moderate Income",
HRData[[#This Row],[MonthlyIncome]]&lt;=16000,"High Income",
HRData[[#This Row],[MonthlyIncome]]&gt;16000,"Very High Income"
)</f>
        <v>Low Income</v>
      </c>
      <c r="Y1145">
        <v>24162</v>
      </c>
      <c r="Z1145">
        <v>1</v>
      </c>
      <c r="AA1145" t="s">
        <v>42</v>
      </c>
      <c r="AB1145" t="s">
        <v>43</v>
      </c>
      <c r="AC1145">
        <v>15</v>
      </c>
      <c r="AD1145" t="str" cm="1">
        <f t="array" ref="AD1145">_xlfn.IFS(HRData[[#This Row],[PercentSalaryHike]]&lt;=15,"11-15",HRData[[#This Row],[PercentSalaryHike]]&lt;=20,"16-20",HRData[[#This Row],[PercentSalaryHike]]&gt;=21,"21+")</f>
        <v>11-15</v>
      </c>
      <c r="AE1145">
        <v>3</v>
      </c>
      <c r="AF1145">
        <v>1</v>
      </c>
      <c r="AG1145">
        <v>80</v>
      </c>
      <c r="AH1145">
        <v>1</v>
      </c>
      <c r="AI1145">
        <v>10</v>
      </c>
      <c r="AJ1145">
        <v>2</v>
      </c>
      <c r="AK1145">
        <v>3</v>
      </c>
      <c r="AL1145">
        <v>10</v>
      </c>
      <c r="AM1145">
        <v>7</v>
      </c>
      <c r="AN1145">
        <v>4</v>
      </c>
      <c r="AO1145">
        <v>5</v>
      </c>
      <c r="AP114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45" t="str">
        <f>IF(HRData[[#This Row],[Attrition]]="Yes","Left", IF(HRData[[#This Row],[Attrition_Risk_Score]]&gt;=6,"High",IF(HRData[[#This Row],[Attrition_Risk_Score]]&gt;=3,"Medium","Low")))</f>
        <v>Medium</v>
      </c>
      <c r="AR1145" t="str">
        <f>IF(HRData[[#This Row],[Attrition_Risk_Level]]&lt;&gt;"High","",HRData[[#This Row],[Attrition_Risk_Score]]*10000-HRData[[#This Row],[EmployeeNumber]])</f>
        <v/>
      </c>
    </row>
    <row r="1146" spans="1:44">
      <c r="A1146">
        <v>31</v>
      </c>
      <c r="B1146" t="str" cm="1">
        <f t="array" ref="B1146">_xlfn.IFS(
HRData[[#This Row],[Age]]&lt;=24,"18-24",
HRData[[#This Row],[Age]]&lt;=34,"25-34",
HRData[[#This Row],[Age]]&lt;=44,"35-44",
HRData[[#This Row],[Age]]&lt;=54,"45-54",
HRData[[#This Row],[Age]]&gt;=55,"55+"
)</f>
        <v>25-34</v>
      </c>
      <c r="C1146" t="s">
        <v>43</v>
      </c>
      <c r="D1146">
        <f>IF(HRData[[#This Row],[Attrition]]="Yes",1,0)</f>
        <v>0</v>
      </c>
      <c r="E1146" t="s">
        <v>44</v>
      </c>
      <c r="F1146">
        <v>715</v>
      </c>
      <c r="G1146" t="s">
        <v>37</v>
      </c>
      <c r="H1146">
        <v>2</v>
      </c>
      <c r="I1146">
        <v>4</v>
      </c>
      <c r="J1146" t="s">
        <v>49</v>
      </c>
      <c r="K1146">
        <v>1</v>
      </c>
      <c r="L1146">
        <v>1613</v>
      </c>
      <c r="M1146">
        <v>4</v>
      </c>
      <c r="N1146" t="str" cm="1">
        <f t="array" ref="N1146">_xlfn.IFS(HRData[[#This Row],[EnvironmentSatisfaction]]=1,"Very Dissatisfied",
HRData[[#This Row],[EnvironmentSatisfaction]]=2,"Dissatisfied",
HRData[[#This Row],[EnvironmentSatisfaction]]=3,"Satisfied",
HRData[[#This Row],[EnvironmentSatisfaction]]=4,"Very Satisfied"
)</f>
        <v>Very Satisfied</v>
      </c>
      <c r="O1146" t="s">
        <v>46</v>
      </c>
      <c r="P1146">
        <v>54</v>
      </c>
      <c r="Q1146">
        <v>3</v>
      </c>
      <c r="R1146">
        <v>2</v>
      </c>
      <c r="S1146" t="s">
        <v>40</v>
      </c>
      <c r="T1146">
        <v>1</v>
      </c>
      <c r="U1146" t="str" cm="1">
        <f t="array" ref="U1146">_xlfn.IFS(
HRData[[#This Row],[JobSatisfaction]]=1,"Very Dissatisfied",
HRData[[#This Row],[JobSatisfaction]]=2,"Dissatisfied",
HRData[[#This Row],[JobSatisfaction]]=3,"Satisfied",
HRData[[#This Row],[JobSatisfaction]]=4,"Very Satisfied"
)</f>
        <v>Very Dissatisfied</v>
      </c>
      <c r="V1146" t="s">
        <v>41</v>
      </c>
      <c r="W1146">
        <v>5332</v>
      </c>
      <c r="X1146" t="str" cm="1">
        <f t="array" ref="X1146">_xlfn.IFS(
HRData[[#This Row],[MonthlyIncome]]&lt;=4000,"Very Low Income",
HRData[[#This Row],[MonthlyIncome]]&lt;=8000,"Low Income",
HRData[[#This Row],[MonthlyIncome]]&lt;=12000,"Moderate Income",
HRData[[#This Row],[MonthlyIncome]]&lt;=16000,"High Income",
HRData[[#This Row],[MonthlyIncome]]&gt;16000,"Very High Income"
)</f>
        <v>Low Income</v>
      </c>
      <c r="Y1146">
        <v>21602</v>
      </c>
      <c r="Z1146">
        <v>7</v>
      </c>
      <c r="AA1146" t="s">
        <v>42</v>
      </c>
      <c r="AB1146" t="s">
        <v>43</v>
      </c>
      <c r="AC1146">
        <v>13</v>
      </c>
      <c r="AD1146" t="str" cm="1">
        <f t="array" ref="AD1146">_xlfn.IFS(HRData[[#This Row],[PercentSalaryHike]]&lt;=15,"11-15",HRData[[#This Row],[PercentSalaryHike]]&lt;=20,"16-20",HRData[[#This Row],[PercentSalaryHike]]&gt;=21,"21+")</f>
        <v>11-15</v>
      </c>
      <c r="AE1146">
        <v>3</v>
      </c>
      <c r="AF1146">
        <v>4</v>
      </c>
      <c r="AG1146">
        <v>80</v>
      </c>
      <c r="AH1146">
        <v>0</v>
      </c>
      <c r="AI1146">
        <v>10</v>
      </c>
      <c r="AJ1146">
        <v>3</v>
      </c>
      <c r="AK1146">
        <v>3</v>
      </c>
      <c r="AL1146">
        <v>5</v>
      </c>
      <c r="AM1146">
        <v>2</v>
      </c>
      <c r="AN1146">
        <v>0</v>
      </c>
      <c r="AO1146">
        <v>3</v>
      </c>
      <c r="AP114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146" t="str">
        <f>IF(HRData[[#This Row],[Attrition]]="Yes","Left", IF(HRData[[#This Row],[Attrition_Risk_Score]]&gt;=6,"High",IF(HRData[[#This Row],[Attrition_Risk_Score]]&gt;=3,"Medium","Low")))</f>
        <v>Medium</v>
      </c>
      <c r="AR1146" t="str">
        <f>IF(HRData[[#This Row],[Attrition_Risk_Level]]&lt;&gt;"High","",HRData[[#This Row],[Attrition_Risk_Score]]*10000-HRData[[#This Row],[EmployeeNumber]])</f>
        <v/>
      </c>
    </row>
    <row r="1147" spans="1:44">
      <c r="A1147">
        <v>36</v>
      </c>
      <c r="B1147" t="str" cm="1">
        <f t="array" ref="B1147">_xlfn.IFS(
HRData[[#This Row],[Age]]&lt;=24,"18-24",
HRData[[#This Row],[Age]]&lt;=34,"25-34",
HRData[[#This Row],[Age]]&lt;=44,"35-44",
HRData[[#This Row],[Age]]&lt;=54,"45-54",
HRData[[#This Row],[Age]]&gt;=55,"55+"
)</f>
        <v>35-44</v>
      </c>
      <c r="C1147" t="s">
        <v>43</v>
      </c>
      <c r="D1147">
        <f>IF(HRData[[#This Row],[Attrition]]="Yes",1,0)</f>
        <v>0</v>
      </c>
      <c r="E1147" t="s">
        <v>36</v>
      </c>
      <c r="F1147">
        <v>559</v>
      </c>
      <c r="G1147" t="s">
        <v>45</v>
      </c>
      <c r="H1147">
        <v>12</v>
      </c>
      <c r="I1147">
        <v>4</v>
      </c>
      <c r="J1147" t="s">
        <v>38</v>
      </c>
      <c r="K1147">
        <v>1</v>
      </c>
      <c r="L1147">
        <v>1614</v>
      </c>
      <c r="M1147">
        <v>3</v>
      </c>
      <c r="N1147" t="str" cm="1">
        <f t="array" ref="N1147">_xlfn.IFS(HRData[[#This Row],[EnvironmentSatisfaction]]=1,"Very Dissatisfied",
HRData[[#This Row],[EnvironmentSatisfaction]]=2,"Dissatisfied",
HRData[[#This Row],[EnvironmentSatisfaction]]=3,"Satisfied",
HRData[[#This Row],[EnvironmentSatisfaction]]=4,"Very Satisfied"
)</f>
        <v>Satisfied</v>
      </c>
      <c r="O1147" t="s">
        <v>39</v>
      </c>
      <c r="P1147">
        <v>76</v>
      </c>
      <c r="Q1147">
        <v>3</v>
      </c>
      <c r="R1147">
        <v>2</v>
      </c>
      <c r="S1147" t="s">
        <v>53</v>
      </c>
      <c r="T1147">
        <v>3</v>
      </c>
      <c r="U1147" t="str" cm="1">
        <f t="array" ref="U1147">_xlfn.IFS(
HRData[[#This Row],[JobSatisfaction]]=1,"Very Dissatisfied",
HRData[[#This Row],[JobSatisfaction]]=2,"Dissatisfied",
HRData[[#This Row],[JobSatisfaction]]=3,"Satisfied",
HRData[[#This Row],[JobSatisfaction]]=4,"Very Satisfied"
)</f>
        <v>Satisfied</v>
      </c>
      <c r="V1147" t="s">
        <v>48</v>
      </c>
      <c r="W1147">
        <v>4663</v>
      </c>
      <c r="X1147" t="str" cm="1">
        <f t="array" ref="X1147">_xlfn.IFS(
HRData[[#This Row],[MonthlyIncome]]&lt;=4000,"Very Low Income",
HRData[[#This Row],[MonthlyIncome]]&lt;=8000,"Low Income",
HRData[[#This Row],[MonthlyIncome]]&lt;=12000,"Moderate Income",
HRData[[#This Row],[MonthlyIncome]]&lt;=16000,"High Income",
HRData[[#This Row],[MonthlyIncome]]&gt;16000,"Very High Income"
)</f>
        <v>Low Income</v>
      </c>
      <c r="Y1147">
        <v>12421</v>
      </c>
      <c r="Z1147">
        <v>9</v>
      </c>
      <c r="AA1147" t="s">
        <v>42</v>
      </c>
      <c r="AB1147" t="s">
        <v>35</v>
      </c>
      <c r="AC1147">
        <v>12</v>
      </c>
      <c r="AD1147" t="str" cm="1">
        <f t="array" ref="AD1147">_xlfn.IFS(HRData[[#This Row],[PercentSalaryHike]]&lt;=15,"11-15",HRData[[#This Row],[PercentSalaryHike]]&lt;=20,"16-20",HRData[[#This Row],[PercentSalaryHike]]&gt;=21,"21+")</f>
        <v>11-15</v>
      </c>
      <c r="AE1147">
        <v>3</v>
      </c>
      <c r="AF1147">
        <v>2</v>
      </c>
      <c r="AG1147">
        <v>80</v>
      </c>
      <c r="AH1147">
        <v>2</v>
      </c>
      <c r="AI1147">
        <v>7</v>
      </c>
      <c r="AJ1147">
        <v>2</v>
      </c>
      <c r="AK1147">
        <v>3</v>
      </c>
      <c r="AL1147">
        <v>3</v>
      </c>
      <c r="AM1147">
        <v>2</v>
      </c>
      <c r="AN1147">
        <v>1</v>
      </c>
      <c r="AO1147">
        <v>1</v>
      </c>
      <c r="AP114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47" t="str">
        <f>IF(HRData[[#This Row],[Attrition]]="Yes","Left", IF(HRData[[#This Row],[Attrition_Risk_Score]]&gt;=6,"High",IF(HRData[[#This Row],[Attrition_Risk_Score]]&gt;=3,"Medium","Low")))</f>
        <v>Medium</v>
      </c>
      <c r="AR1147" t="str">
        <f>IF(HRData[[#This Row],[Attrition_Risk_Level]]&lt;&gt;"High","",HRData[[#This Row],[Attrition_Risk_Score]]*10000-HRData[[#This Row],[EmployeeNumber]])</f>
        <v/>
      </c>
    </row>
    <row r="1148" spans="1:44">
      <c r="A1148">
        <v>34</v>
      </c>
      <c r="B1148" t="str" cm="1">
        <f t="array" ref="B1148">_xlfn.IFS(
HRData[[#This Row],[Age]]&lt;=24,"18-24",
HRData[[#This Row],[Age]]&lt;=34,"25-34",
HRData[[#This Row],[Age]]&lt;=44,"35-44",
HRData[[#This Row],[Age]]&lt;=54,"45-54",
HRData[[#This Row],[Age]]&gt;=55,"55+"
)</f>
        <v>25-34</v>
      </c>
      <c r="C1148" t="s">
        <v>43</v>
      </c>
      <c r="D1148">
        <f>IF(HRData[[#This Row],[Attrition]]="Yes",1,0)</f>
        <v>0</v>
      </c>
      <c r="E1148" t="s">
        <v>44</v>
      </c>
      <c r="F1148">
        <v>426</v>
      </c>
      <c r="G1148" t="s">
        <v>45</v>
      </c>
      <c r="H1148">
        <v>10</v>
      </c>
      <c r="I1148">
        <v>4</v>
      </c>
      <c r="J1148" t="s">
        <v>38</v>
      </c>
      <c r="K1148">
        <v>1</v>
      </c>
      <c r="L1148">
        <v>1615</v>
      </c>
      <c r="M1148">
        <v>3</v>
      </c>
      <c r="N1148" t="str" cm="1">
        <f t="array" ref="N1148">_xlfn.IFS(HRData[[#This Row],[EnvironmentSatisfaction]]=1,"Very Dissatisfied",
HRData[[#This Row],[EnvironmentSatisfaction]]=2,"Dissatisfied",
HRData[[#This Row],[EnvironmentSatisfaction]]=3,"Satisfied",
HRData[[#This Row],[EnvironmentSatisfaction]]=4,"Very Satisfied"
)</f>
        <v>Satisfied</v>
      </c>
      <c r="O1148" t="s">
        <v>46</v>
      </c>
      <c r="P1148">
        <v>42</v>
      </c>
      <c r="Q1148">
        <v>4</v>
      </c>
      <c r="R1148">
        <v>2</v>
      </c>
      <c r="S1148" t="s">
        <v>53</v>
      </c>
      <c r="T1148">
        <v>4</v>
      </c>
      <c r="U1148" t="str" cm="1">
        <f t="array" ref="U1148">_xlfn.IFS(
HRData[[#This Row],[JobSatisfaction]]=1,"Very Dissatisfied",
HRData[[#This Row],[JobSatisfaction]]=2,"Dissatisfied",
HRData[[#This Row],[JobSatisfaction]]=3,"Satisfied",
HRData[[#This Row],[JobSatisfaction]]=4,"Very Satisfied"
)</f>
        <v>Very Satisfied</v>
      </c>
      <c r="V1148" t="s">
        <v>52</v>
      </c>
      <c r="W1148">
        <v>4724</v>
      </c>
      <c r="X1148" t="str" cm="1">
        <f t="array" ref="X1148">_xlfn.IFS(
HRData[[#This Row],[MonthlyIncome]]&lt;=4000,"Very Low Income",
HRData[[#This Row],[MonthlyIncome]]&lt;=8000,"Low Income",
HRData[[#This Row],[MonthlyIncome]]&lt;=12000,"Moderate Income",
HRData[[#This Row],[MonthlyIncome]]&lt;=16000,"High Income",
HRData[[#This Row],[MonthlyIncome]]&gt;16000,"Very High Income"
)</f>
        <v>Low Income</v>
      </c>
      <c r="Y1148">
        <v>17000</v>
      </c>
      <c r="Z1148">
        <v>1</v>
      </c>
      <c r="AA1148" t="s">
        <v>42</v>
      </c>
      <c r="AB1148" t="s">
        <v>43</v>
      </c>
      <c r="AC1148">
        <v>13</v>
      </c>
      <c r="AD1148" t="str" cm="1">
        <f t="array" ref="AD1148">_xlfn.IFS(HRData[[#This Row],[PercentSalaryHike]]&lt;=15,"11-15",HRData[[#This Row],[PercentSalaryHike]]&lt;=20,"16-20",HRData[[#This Row],[PercentSalaryHike]]&gt;=21,"21+")</f>
        <v>11-15</v>
      </c>
      <c r="AE1148">
        <v>3</v>
      </c>
      <c r="AF1148">
        <v>1</v>
      </c>
      <c r="AG1148">
        <v>80</v>
      </c>
      <c r="AH1148">
        <v>1</v>
      </c>
      <c r="AI1148">
        <v>9</v>
      </c>
      <c r="AJ1148">
        <v>3</v>
      </c>
      <c r="AK1148">
        <v>3</v>
      </c>
      <c r="AL1148">
        <v>9</v>
      </c>
      <c r="AM1148">
        <v>7</v>
      </c>
      <c r="AN1148">
        <v>7</v>
      </c>
      <c r="AO1148">
        <v>2</v>
      </c>
      <c r="AP114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48" t="str">
        <f>IF(HRData[[#This Row],[Attrition]]="Yes","Left", IF(HRData[[#This Row],[Attrition_Risk_Score]]&gt;=6,"High",IF(HRData[[#This Row],[Attrition_Risk_Score]]&gt;=3,"Medium","Low")))</f>
        <v>Low</v>
      </c>
      <c r="AR1148" t="str">
        <f>IF(HRData[[#This Row],[Attrition_Risk_Level]]&lt;&gt;"High","",HRData[[#This Row],[Attrition_Risk_Score]]*10000-HRData[[#This Row],[EmployeeNumber]])</f>
        <v/>
      </c>
    </row>
    <row r="1149" spans="1:44">
      <c r="A1149">
        <v>49</v>
      </c>
      <c r="B1149" t="str" cm="1">
        <f t="array" ref="B1149">_xlfn.IFS(
HRData[[#This Row],[Age]]&lt;=24,"18-24",
HRData[[#This Row],[Age]]&lt;=34,"25-34",
HRData[[#This Row],[Age]]&lt;=44,"35-44",
HRData[[#This Row],[Age]]&lt;=54,"45-54",
HRData[[#This Row],[Age]]&gt;=55,"55+"
)</f>
        <v>45-54</v>
      </c>
      <c r="C1149" t="s">
        <v>43</v>
      </c>
      <c r="D1149">
        <f>IF(HRData[[#This Row],[Attrition]]="Yes",1,0)</f>
        <v>0</v>
      </c>
      <c r="E1149" t="s">
        <v>36</v>
      </c>
      <c r="F1149">
        <v>722</v>
      </c>
      <c r="G1149" t="s">
        <v>45</v>
      </c>
      <c r="H1149">
        <v>25</v>
      </c>
      <c r="I1149">
        <v>4</v>
      </c>
      <c r="J1149" t="s">
        <v>38</v>
      </c>
      <c r="K1149">
        <v>1</v>
      </c>
      <c r="L1149">
        <v>1617</v>
      </c>
      <c r="M1149">
        <v>3</v>
      </c>
      <c r="N1149" t="str" cm="1">
        <f t="array" ref="N1149">_xlfn.IFS(HRData[[#This Row],[EnvironmentSatisfaction]]=1,"Very Dissatisfied",
HRData[[#This Row],[EnvironmentSatisfaction]]=2,"Dissatisfied",
HRData[[#This Row],[EnvironmentSatisfaction]]=3,"Satisfied",
HRData[[#This Row],[EnvironmentSatisfaction]]=4,"Very Satisfied"
)</f>
        <v>Satisfied</v>
      </c>
      <c r="O1149" t="s">
        <v>39</v>
      </c>
      <c r="P1149">
        <v>84</v>
      </c>
      <c r="Q1149">
        <v>3</v>
      </c>
      <c r="R1149">
        <v>1</v>
      </c>
      <c r="S1149" t="s">
        <v>50</v>
      </c>
      <c r="T1149">
        <v>1</v>
      </c>
      <c r="U1149" t="str" cm="1">
        <f t="array" ref="U1149">_xlfn.IFS(
HRData[[#This Row],[JobSatisfaction]]=1,"Very Dissatisfied",
HRData[[#This Row],[JobSatisfaction]]=2,"Dissatisfied",
HRData[[#This Row],[JobSatisfaction]]=3,"Satisfied",
HRData[[#This Row],[JobSatisfaction]]=4,"Very Satisfied"
)</f>
        <v>Very Dissatisfied</v>
      </c>
      <c r="V1149" t="s">
        <v>48</v>
      </c>
      <c r="W1149">
        <v>3211</v>
      </c>
      <c r="X1149" t="str" cm="1">
        <f t="array" ref="X1149">_xlfn.IFS(
HRData[[#This Row],[MonthlyIncome]]&lt;=4000,"Very Low Income",
HRData[[#This Row],[MonthlyIncome]]&lt;=8000,"Low Income",
HRData[[#This Row],[MonthlyIncome]]&lt;=12000,"Moderate Income",
HRData[[#This Row],[MonthlyIncome]]&lt;=16000,"High Income",
HRData[[#This Row],[MonthlyIncome]]&gt;16000,"Very High Income"
)</f>
        <v>Very Low Income</v>
      </c>
      <c r="Y1149">
        <v>22102</v>
      </c>
      <c r="Z1149">
        <v>1</v>
      </c>
      <c r="AA1149" t="s">
        <v>42</v>
      </c>
      <c r="AB1149" t="s">
        <v>43</v>
      </c>
      <c r="AC1149">
        <v>14</v>
      </c>
      <c r="AD1149" t="str" cm="1">
        <f t="array" ref="AD1149">_xlfn.IFS(HRData[[#This Row],[PercentSalaryHike]]&lt;=15,"11-15",HRData[[#This Row],[PercentSalaryHike]]&lt;=20,"16-20",HRData[[#This Row],[PercentSalaryHike]]&gt;=21,"21+")</f>
        <v>11-15</v>
      </c>
      <c r="AE1149">
        <v>3</v>
      </c>
      <c r="AF1149">
        <v>4</v>
      </c>
      <c r="AG1149">
        <v>80</v>
      </c>
      <c r="AH1149">
        <v>1</v>
      </c>
      <c r="AI1149">
        <v>10</v>
      </c>
      <c r="AJ1149">
        <v>3</v>
      </c>
      <c r="AK1149">
        <v>2</v>
      </c>
      <c r="AL1149">
        <v>9</v>
      </c>
      <c r="AM1149">
        <v>6</v>
      </c>
      <c r="AN1149">
        <v>1</v>
      </c>
      <c r="AO1149">
        <v>4</v>
      </c>
      <c r="AP114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149" t="str">
        <f>IF(HRData[[#This Row],[Attrition]]="Yes","Left", IF(HRData[[#This Row],[Attrition_Risk_Score]]&gt;=6,"High",IF(HRData[[#This Row],[Attrition_Risk_Score]]&gt;=3,"Medium","Low")))</f>
        <v>Medium</v>
      </c>
      <c r="AR1149" t="str">
        <f>IF(HRData[[#This Row],[Attrition_Risk_Level]]&lt;&gt;"High","",HRData[[#This Row],[Attrition_Risk_Score]]*10000-HRData[[#This Row],[EmployeeNumber]])</f>
        <v/>
      </c>
    </row>
    <row r="1150" spans="1:44">
      <c r="A1150">
        <v>39</v>
      </c>
      <c r="B1150" t="str" cm="1">
        <f t="array" ref="B1150">_xlfn.IFS(
HRData[[#This Row],[Age]]&lt;=24,"18-24",
HRData[[#This Row],[Age]]&lt;=34,"25-34",
HRData[[#This Row],[Age]]&lt;=44,"35-44",
HRData[[#This Row],[Age]]&lt;=54,"45-54",
HRData[[#This Row],[Age]]&gt;=55,"55+"
)</f>
        <v>35-44</v>
      </c>
      <c r="C1150" t="s">
        <v>43</v>
      </c>
      <c r="D1150">
        <f>IF(HRData[[#This Row],[Attrition]]="Yes",1,0)</f>
        <v>0</v>
      </c>
      <c r="E1150" t="s">
        <v>36</v>
      </c>
      <c r="F1150">
        <v>1387</v>
      </c>
      <c r="G1150" t="s">
        <v>45</v>
      </c>
      <c r="H1150">
        <v>10</v>
      </c>
      <c r="I1150">
        <v>5</v>
      </c>
      <c r="J1150" t="s">
        <v>51</v>
      </c>
      <c r="K1150">
        <v>1</v>
      </c>
      <c r="L1150">
        <v>1618</v>
      </c>
      <c r="M1150">
        <v>2</v>
      </c>
      <c r="N1150" t="str" cm="1">
        <f t="array" ref="N1150">_xlfn.IFS(HRData[[#This Row],[EnvironmentSatisfaction]]=1,"Very Dissatisfied",
HRData[[#This Row],[EnvironmentSatisfaction]]=2,"Dissatisfied",
HRData[[#This Row],[EnvironmentSatisfaction]]=3,"Satisfied",
HRData[[#This Row],[EnvironmentSatisfaction]]=4,"Very Satisfied"
)</f>
        <v>Dissatisfied</v>
      </c>
      <c r="O1150" t="s">
        <v>46</v>
      </c>
      <c r="P1150">
        <v>76</v>
      </c>
      <c r="Q1150">
        <v>3</v>
      </c>
      <c r="R1150">
        <v>2</v>
      </c>
      <c r="S1150" t="s">
        <v>53</v>
      </c>
      <c r="T1150">
        <v>1</v>
      </c>
      <c r="U1150" t="str" cm="1">
        <f t="array" ref="U1150">_xlfn.IFS(
HRData[[#This Row],[JobSatisfaction]]=1,"Very Dissatisfied",
HRData[[#This Row],[JobSatisfaction]]=2,"Dissatisfied",
HRData[[#This Row],[JobSatisfaction]]=3,"Satisfied",
HRData[[#This Row],[JobSatisfaction]]=4,"Very Satisfied"
)</f>
        <v>Very Dissatisfied</v>
      </c>
      <c r="V1150" t="s">
        <v>48</v>
      </c>
      <c r="W1150">
        <v>5377</v>
      </c>
      <c r="X1150" t="str" cm="1">
        <f t="array" ref="X1150">_xlfn.IFS(
HRData[[#This Row],[MonthlyIncome]]&lt;=4000,"Very Low Income",
HRData[[#This Row],[MonthlyIncome]]&lt;=8000,"Low Income",
HRData[[#This Row],[MonthlyIncome]]&lt;=12000,"Moderate Income",
HRData[[#This Row],[MonthlyIncome]]&lt;=16000,"High Income",
HRData[[#This Row],[MonthlyIncome]]&gt;16000,"Very High Income"
)</f>
        <v>Low Income</v>
      </c>
      <c r="Y1150">
        <v>3835</v>
      </c>
      <c r="Z1150">
        <v>2</v>
      </c>
      <c r="AA1150" t="s">
        <v>42</v>
      </c>
      <c r="AB1150" t="s">
        <v>43</v>
      </c>
      <c r="AC1150">
        <v>13</v>
      </c>
      <c r="AD1150" t="str" cm="1">
        <f t="array" ref="AD1150">_xlfn.IFS(HRData[[#This Row],[PercentSalaryHike]]&lt;=15,"11-15",HRData[[#This Row],[PercentSalaryHike]]&lt;=20,"16-20",HRData[[#This Row],[PercentSalaryHike]]&gt;=21,"21+")</f>
        <v>11-15</v>
      </c>
      <c r="AE1150">
        <v>3</v>
      </c>
      <c r="AF1150">
        <v>4</v>
      </c>
      <c r="AG1150">
        <v>80</v>
      </c>
      <c r="AH1150">
        <v>3</v>
      </c>
      <c r="AI1150">
        <v>10</v>
      </c>
      <c r="AJ1150">
        <v>3</v>
      </c>
      <c r="AK1150">
        <v>3</v>
      </c>
      <c r="AL1150">
        <v>7</v>
      </c>
      <c r="AM1150">
        <v>7</v>
      </c>
      <c r="AN1150">
        <v>7</v>
      </c>
      <c r="AO1150">
        <v>7</v>
      </c>
      <c r="AP115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50" t="str">
        <f>IF(HRData[[#This Row],[Attrition]]="Yes","Left", IF(HRData[[#This Row],[Attrition_Risk_Score]]&gt;=6,"High",IF(HRData[[#This Row],[Attrition_Risk_Score]]&gt;=3,"Medium","Low")))</f>
        <v>Medium</v>
      </c>
      <c r="AR1150" t="str">
        <f>IF(HRData[[#This Row],[Attrition_Risk_Level]]&lt;&gt;"High","",HRData[[#This Row],[Attrition_Risk_Score]]*10000-HRData[[#This Row],[EmployeeNumber]])</f>
        <v/>
      </c>
    </row>
    <row r="1151" spans="1:44">
      <c r="A1151">
        <v>27</v>
      </c>
      <c r="B1151" t="str" cm="1">
        <f t="array" ref="B1151">_xlfn.IFS(
HRData[[#This Row],[Age]]&lt;=24,"18-24",
HRData[[#This Row],[Age]]&lt;=34,"25-34",
HRData[[#This Row],[Age]]&lt;=44,"35-44",
HRData[[#This Row],[Age]]&lt;=54,"45-54",
HRData[[#This Row],[Age]]&gt;=55,"55+"
)</f>
        <v>25-34</v>
      </c>
      <c r="C1151" t="s">
        <v>43</v>
      </c>
      <c r="D1151">
        <f>IF(HRData[[#This Row],[Attrition]]="Yes",1,0)</f>
        <v>0</v>
      </c>
      <c r="E1151" t="s">
        <v>36</v>
      </c>
      <c r="F1151">
        <v>1302</v>
      </c>
      <c r="G1151" t="s">
        <v>45</v>
      </c>
      <c r="H1151">
        <v>19</v>
      </c>
      <c r="I1151">
        <v>3</v>
      </c>
      <c r="J1151" t="s">
        <v>49</v>
      </c>
      <c r="K1151">
        <v>1</v>
      </c>
      <c r="L1151">
        <v>1619</v>
      </c>
      <c r="M1151">
        <v>4</v>
      </c>
      <c r="N1151" t="str" cm="1">
        <f t="array" ref="N1151">_xlfn.IFS(HRData[[#This Row],[EnvironmentSatisfaction]]=1,"Very Dissatisfied",
HRData[[#This Row],[EnvironmentSatisfaction]]=2,"Dissatisfied",
HRData[[#This Row],[EnvironmentSatisfaction]]=3,"Satisfied",
HRData[[#This Row],[EnvironmentSatisfaction]]=4,"Very Satisfied"
)</f>
        <v>Very Satisfied</v>
      </c>
      <c r="O1151" t="s">
        <v>46</v>
      </c>
      <c r="P1151">
        <v>67</v>
      </c>
      <c r="Q1151">
        <v>2</v>
      </c>
      <c r="R1151">
        <v>1</v>
      </c>
      <c r="S1151" t="s">
        <v>50</v>
      </c>
      <c r="T1151">
        <v>1</v>
      </c>
      <c r="U1151" t="str" cm="1">
        <f t="array" ref="U1151">_xlfn.IFS(
HRData[[#This Row],[JobSatisfaction]]=1,"Very Dissatisfied",
HRData[[#This Row],[JobSatisfaction]]=2,"Dissatisfied",
HRData[[#This Row],[JobSatisfaction]]=3,"Satisfied",
HRData[[#This Row],[JobSatisfaction]]=4,"Very Satisfied"
)</f>
        <v>Very Dissatisfied</v>
      </c>
      <c r="V1151" t="s">
        <v>52</v>
      </c>
      <c r="W1151">
        <v>4066</v>
      </c>
      <c r="X1151" t="str" cm="1">
        <f t="array" ref="X1151">_xlfn.IFS(
HRData[[#This Row],[MonthlyIncome]]&lt;=4000,"Very Low Income",
HRData[[#This Row],[MonthlyIncome]]&lt;=8000,"Low Income",
HRData[[#This Row],[MonthlyIncome]]&lt;=12000,"Moderate Income",
HRData[[#This Row],[MonthlyIncome]]&lt;=16000,"High Income",
HRData[[#This Row],[MonthlyIncome]]&gt;16000,"Very High Income"
)</f>
        <v>Low Income</v>
      </c>
      <c r="Y1151">
        <v>16290</v>
      </c>
      <c r="Z1151">
        <v>1</v>
      </c>
      <c r="AA1151" t="s">
        <v>42</v>
      </c>
      <c r="AB1151" t="s">
        <v>43</v>
      </c>
      <c r="AC1151">
        <v>11</v>
      </c>
      <c r="AD1151" t="str" cm="1">
        <f t="array" ref="AD1151">_xlfn.IFS(HRData[[#This Row],[PercentSalaryHike]]&lt;=15,"11-15",HRData[[#This Row],[PercentSalaryHike]]&lt;=20,"16-20",HRData[[#This Row],[PercentSalaryHike]]&gt;=21,"21+")</f>
        <v>11-15</v>
      </c>
      <c r="AE1151">
        <v>3</v>
      </c>
      <c r="AF1151">
        <v>1</v>
      </c>
      <c r="AG1151">
        <v>80</v>
      </c>
      <c r="AH1151">
        <v>2</v>
      </c>
      <c r="AI1151">
        <v>7</v>
      </c>
      <c r="AJ1151">
        <v>3</v>
      </c>
      <c r="AK1151">
        <v>3</v>
      </c>
      <c r="AL1151">
        <v>7</v>
      </c>
      <c r="AM1151">
        <v>7</v>
      </c>
      <c r="AN1151">
        <v>0</v>
      </c>
      <c r="AO1151">
        <v>7</v>
      </c>
      <c r="AP115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151" t="str">
        <f>IF(HRData[[#This Row],[Attrition]]="Yes","Left", IF(HRData[[#This Row],[Attrition_Risk_Score]]&gt;=6,"High",IF(HRData[[#This Row],[Attrition_Risk_Score]]&gt;=3,"Medium","Low")))</f>
        <v>Medium</v>
      </c>
      <c r="AR1151" t="str">
        <f>IF(HRData[[#This Row],[Attrition_Risk_Level]]&lt;&gt;"High","",HRData[[#This Row],[Attrition_Risk_Score]]*10000-HRData[[#This Row],[EmployeeNumber]])</f>
        <v/>
      </c>
    </row>
    <row r="1152" spans="1:44">
      <c r="A1152">
        <v>35</v>
      </c>
      <c r="B1152" t="str" cm="1">
        <f t="array" ref="B1152">_xlfn.IFS(
HRData[[#This Row],[Age]]&lt;=24,"18-24",
HRData[[#This Row],[Age]]&lt;=34,"25-34",
HRData[[#This Row],[Age]]&lt;=44,"35-44",
HRData[[#This Row],[Age]]&lt;=54,"45-54",
HRData[[#This Row],[Age]]&gt;=55,"55+"
)</f>
        <v>35-44</v>
      </c>
      <c r="C1152" t="s">
        <v>43</v>
      </c>
      <c r="D1152">
        <f>IF(HRData[[#This Row],[Attrition]]="Yes",1,0)</f>
        <v>0</v>
      </c>
      <c r="E1152" t="s">
        <v>36</v>
      </c>
      <c r="F1152">
        <v>819</v>
      </c>
      <c r="G1152" t="s">
        <v>45</v>
      </c>
      <c r="H1152">
        <v>18</v>
      </c>
      <c r="I1152">
        <v>5</v>
      </c>
      <c r="J1152" t="s">
        <v>38</v>
      </c>
      <c r="K1152">
        <v>1</v>
      </c>
      <c r="L1152">
        <v>1621</v>
      </c>
      <c r="M1152">
        <v>2</v>
      </c>
      <c r="N1152" t="str" cm="1">
        <f t="array" ref="N1152">_xlfn.IFS(HRData[[#This Row],[EnvironmentSatisfaction]]=1,"Very Dissatisfied",
HRData[[#This Row],[EnvironmentSatisfaction]]=2,"Dissatisfied",
HRData[[#This Row],[EnvironmentSatisfaction]]=3,"Satisfied",
HRData[[#This Row],[EnvironmentSatisfaction]]=4,"Very Satisfied"
)</f>
        <v>Dissatisfied</v>
      </c>
      <c r="O1152" t="s">
        <v>46</v>
      </c>
      <c r="P1152">
        <v>48</v>
      </c>
      <c r="Q1152">
        <v>4</v>
      </c>
      <c r="R1152">
        <v>2</v>
      </c>
      <c r="S1152" t="s">
        <v>47</v>
      </c>
      <c r="T1152">
        <v>1</v>
      </c>
      <c r="U1152" t="str" cm="1">
        <f t="array" ref="U1152">_xlfn.IFS(
HRData[[#This Row],[JobSatisfaction]]=1,"Very Dissatisfied",
HRData[[#This Row],[JobSatisfaction]]=2,"Dissatisfied",
HRData[[#This Row],[JobSatisfaction]]=3,"Satisfied",
HRData[[#This Row],[JobSatisfaction]]=4,"Very Satisfied"
)</f>
        <v>Very Dissatisfied</v>
      </c>
      <c r="V1152" t="s">
        <v>48</v>
      </c>
      <c r="W1152">
        <v>5208</v>
      </c>
      <c r="X1152" t="str" cm="1">
        <f t="array" ref="X1152">_xlfn.IFS(
HRData[[#This Row],[MonthlyIncome]]&lt;=4000,"Very Low Income",
HRData[[#This Row],[MonthlyIncome]]&lt;=8000,"Low Income",
HRData[[#This Row],[MonthlyIncome]]&lt;=12000,"Moderate Income",
HRData[[#This Row],[MonthlyIncome]]&lt;=16000,"High Income",
HRData[[#This Row],[MonthlyIncome]]&gt;16000,"Very High Income"
)</f>
        <v>Low Income</v>
      </c>
      <c r="Y1152">
        <v>26312</v>
      </c>
      <c r="Z1152">
        <v>1</v>
      </c>
      <c r="AA1152" t="s">
        <v>42</v>
      </c>
      <c r="AB1152" t="s">
        <v>43</v>
      </c>
      <c r="AC1152">
        <v>11</v>
      </c>
      <c r="AD1152" t="str" cm="1">
        <f t="array" ref="AD1152">_xlfn.IFS(HRData[[#This Row],[PercentSalaryHike]]&lt;=15,"11-15",HRData[[#This Row],[PercentSalaryHike]]&lt;=20,"16-20",HRData[[#This Row],[PercentSalaryHike]]&gt;=21,"21+")</f>
        <v>11-15</v>
      </c>
      <c r="AE1152">
        <v>3</v>
      </c>
      <c r="AF1152">
        <v>4</v>
      </c>
      <c r="AG1152">
        <v>80</v>
      </c>
      <c r="AH1152">
        <v>0</v>
      </c>
      <c r="AI1152">
        <v>16</v>
      </c>
      <c r="AJ1152">
        <v>2</v>
      </c>
      <c r="AK1152">
        <v>3</v>
      </c>
      <c r="AL1152">
        <v>16</v>
      </c>
      <c r="AM1152">
        <v>15</v>
      </c>
      <c r="AN1152">
        <v>1</v>
      </c>
      <c r="AO1152">
        <v>10</v>
      </c>
      <c r="AP115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52" t="str">
        <f>IF(HRData[[#This Row],[Attrition]]="Yes","Left", IF(HRData[[#This Row],[Attrition_Risk_Score]]&gt;=6,"High",IF(HRData[[#This Row],[Attrition_Risk_Score]]&gt;=3,"Medium","Low")))</f>
        <v>Medium</v>
      </c>
      <c r="AR1152" t="str">
        <f>IF(HRData[[#This Row],[Attrition_Risk_Level]]&lt;&gt;"High","",HRData[[#This Row],[Attrition_Risk_Score]]*10000-HRData[[#This Row],[EmployeeNumber]])</f>
        <v/>
      </c>
    </row>
    <row r="1153" spans="1:44">
      <c r="A1153">
        <v>28</v>
      </c>
      <c r="B1153" t="str" cm="1">
        <f t="array" ref="B1153">_xlfn.IFS(
HRData[[#This Row],[Age]]&lt;=24,"18-24",
HRData[[#This Row],[Age]]&lt;=34,"25-34",
HRData[[#This Row],[Age]]&lt;=44,"35-44",
HRData[[#This Row],[Age]]&lt;=54,"45-54",
HRData[[#This Row],[Age]]&gt;=55,"55+"
)</f>
        <v>25-34</v>
      </c>
      <c r="C1153" t="s">
        <v>43</v>
      </c>
      <c r="D1153">
        <f>IF(HRData[[#This Row],[Attrition]]="Yes",1,0)</f>
        <v>0</v>
      </c>
      <c r="E1153" t="s">
        <v>36</v>
      </c>
      <c r="F1153">
        <v>580</v>
      </c>
      <c r="G1153" t="s">
        <v>45</v>
      </c>
      <c r="H1153">
        <v>27</v>
      </c>
      <c r="I1153">
        <v>3</v>
      </c>
      <c r="J1153" t="s">
        <v>51</v>
      </c>
      <c r="K1153">
        <v>1</v>
      </c>
      <c r="L1153">
        <v>1622</v>
      </c>
      <c r="M1153">
        <v>2</v>
      </c>
      <c r="N1153" t="str" cm="1">
        <f t="array" ref="N1153">_xlfn.IFS(HRData[[#This Row],[EnvironmentSatisfaction]]=1,"Very Dissatisfied",
HRData[[#This Row],[EnvironmentSatisfaction]]=2,"Dissatisfied",
HRData[[#This Row],[EnvironmentSatisfaction]]=3,"Satisfied",
HRData[[#This Row],[EnvironmentSatisfaction]]=4,"Very Satisfied"
)</f>
        <v>Dissatisfied</v>
      </c>
      <c r="O1153" t="s">
        <v>39</v>
      </c>
      <c r="P1153">
        <v>39</v>
      </c>
      <c r="Q1153">
        <v>1</v>
      </c>
      <c r="R1153">
        <v>2</v>
      </c>
      <c r="S1153" t="s">
        <v>53</v>
      </c>
      <c r="T1153">
        <v>1</v>
      </c>
      <c r="U1153" t="str" cm="1">
        <f t="array" ref="U1153">_xlfn.IFS(
HRData[[#This Row],[JobSatisfaction]]=1,"Very Dissatisfied",
HRData[[#This Row],[JobSatisfaction]]=2,"Dissatisfied",
HRData[[#This Row],[JobSatisfaction]]=3,"Satisfied",
HRData[[#This Row],[JobSatisfaction]]=4,"Very Satisfied"
)</f>
        <v>Very Dissatisfied</v>
      </c>
      <c r="V1153" t="s">
        <v>52</v>
      </c>
      <c r="W1153">
        <v>4877</v>
      </c>
      <c r="X1153" t="str" cm="1">
        <f t="array" ref="X1153">_xlfn.IFS(
HRData[[#This Row],[MonthlyIncome]]&lt;=4000,"Very Low Income",
HRData[[#This Row],[MonthlyIncome]]&lt;=8000,"Low Income",
HRData[[#This Row],[MonthlyIncome]]&lt;=12000,"Moderate Income",
HRData[[#This Row],[MonthlyIncome]]&lt;=16000,"High Income",
HRData[[#This Row],[MonthlyIncome]]&gt;16000,"Very High Income"
)</f>
        <v>Low Income</v>
      </c>
      <c r="Y1153">
        <v>20460</v>
      </c>
      <c r="Z1153">
        <v>0</v>
      </c>
      <c r="AA1153" t="s">
        <v>42</v>
      </c>
      <c r="AB1153" t="s">
        <v>43</v>
      </c>
      <c r="AC1153">
        <v>21</v>
      </c>
      <c r="AD1153" t="str" cm="1">
        <f t="array" ref="AD1153">_xlfn.IFS(HRData[[#This Row],[PercentSalaryHike]]&lt;=15,"11-15",HRData[[#This Row],[PercentSalaryHike]]&lt;=20,"16-20",HRData[[#This Row],[PercentSalaryHike]]&gt;=21,"21+")</f>
        <v>21+</v>
      </c>
      <c r="AE1153">
        <v>4</v>
      </c>
      <c r="AF1153">
        <v>2</v>
      </c>
      <c r="AG1153">
        <v>80</v>
      </c>
      <c r="AH1153">
        <v>1</v>
      </c>
      <c r="AI1153">
        <v>6</v>
      </c>
      <c r="AJ1153">
        <v>5</v>
      </c>
      <c r="AK1153">
        <v>2</v>
      </c>
      <c r="AL1153">
        <v>5</v>
      </c>
      <c r="AM1153">
        <v>3</v>
      </c>
      <c r="AN1153">
        <v>0</v>
      </c>
      <c r="AO1153">
        <v>0</v>
      </c>
      <c r="AP115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153" t="str">
        <f>IF(HRData[[#This Row],[Attrition]]="Yes","Left", IF(HRData[[#This Row],[Attrition_Risk_Score]]&gt;=6,"High",IF(HRData[[#This Row],[Attrition_Risk_Score]]&gt;=3,"Medium","Low")))</f>
        <v>Medium</v>
      </c>
      <c r="AR1153" t="str">
        <f>IF(HRData[[#This Row],[Attrition_Risk_Level]]&lt;&gt;"High","",HRData[[#This Row],[Attrition_Risk_Score]]*10000-HRData[[#This Row],[EmployeeNumber]])</f>
        <v/>
      </c>
    </row>
    <row r="1154" spans="1:44">
      <c r="A1154">
        <v>21</v>
      </c>
      <c r="B1154" t="str" cm="1">
        <f t="array" ref="B1154">_xlfn.IFS(
HRData[[#This Row],[Age]]&lt;=24,"18-24",
HRData[[#This Row],[Age]]&lt;=34,"25-34",
HRData[[#This Row],[Age]]&lt;=44,"35-44",
HRData[[#This Row],[Age]]&lt;=54,"45-54",
HRData[[#This Row],[Age]]&gt;=55,"55+"
)</f>
        <v>18-24</v>
      </c>
      <c r="C1154" t="s">
        <v>43</v>
      </c>
      <c r="D1154">
        <f>IF(HRData[[#This Row],[Attrition]]="Yes",1,0)</f>
        <v>0</v>
      </c>
      <c r="E1154" t="s">
        <v>36</v>
      </c>
      <c r="F1154">
        <v>546</v>
      </c>
      <c r="G1154" t="s">
        <v>45</v>
      </c>
      <c r="H1154">
        <v>5</v>
      </c>
      <c r="I1154">
        <v>1</v>
      </c>
      <c r="J1154" t="s">
        <v>51</v>
      </c>
      <c r="K1154">
        <v>1</v>
      </c>
      <c r="L1154">
        <v>1623</v>
      </c>
      <c r="M1154">
        <v>3</v>
      </c>
      <c r="N1154" t="str" cm="1">
        <f t="array" ref="N1154">_xlfn.IFS(HRData[[#This Row],[EnvironmentSatisfaction]]=1,"Very Dissatisfied",
HRData[[#This Row],[EnvironmentSatisfaction]]=2,"Dissatisfied",
HRData[[#This Row],[EnvironmentSatisfaction]]=3,"Satisfied",
HRData[[#This Row],[EnvironmentSatisfaction]]=4,"Very Satisfied"
)</f>
        <v>Satisfied</v>
      </c>
      <c r="O1154" t="s">
        <v>46</v>
      </c>
      <c r="P1154">
        <v>97</v>
      </c>
      <c r="Q1154">
        <v>3</v>
      </c>
      <c r="R1154">
        <v>1</v>
      </c>
      <c r="S1154" t="s">
        <v>47</v>
      </c>
      <c r="T1154">
        <v>4</v>
      </c>
      <c r="U1154" t="str" cm="1">
        <f t="array" ref="U1154">_xlfn.IFS(
HRData[[#This Row],[JobSatisfaction]]=1,"Very Dissatisfied",
HRData[[#This Row],[JobSatisfaction]]=2,"Dissatisfied",
HRData[[#This Row],[JobSatisfaction]]=3,"Satisfied",
HRData[[#This Row],[JobSatisfaction]]=4,"Very Satisfied"
)</f>
        <v>Very Satisfied</v>
      </c>
      <c r="V1154" t="s">
        <v>41</v>
      </c>
      <c r="W1154">
        <v>3117</v>
      </c>
      <c r="X1154" t="str" cm="1">
        <f t="array" ref="X1154">_xlfn.IFS(
HRData[[#This Row],[MonthlyIncome]]&lt;=4000,"Very Low Income",
HRData[[#This Row],[MonthlyIncome]]&lt;=8000,"Low Income",
HRData[[#This Row],[MonthlyIncome]]&lt;=12000,"Moderate Income",
HRData[[#This Row],[MonthlyIncome]]&lt;=16000,"High Income",
HRData[[#This Row],[MonthlyIncome]]&gt;16000,"Very High Income"
)</f>
        <v>Very Low Income</v>
      </c>
      <c r="Y1154">
        <v>26009</v>
      </c>
      <c r="Z1154">
        <v>1</v>
      </c>
      <c r="AA1154" t="s">
        <v>42</v>
      </c>
      <c r="AB1154" t="s">
        <v>43</v>
      </c>
      <c r="AC1154">
        <v>18</v>
      </c>
      <c r="AD1154" t="str" cm="1">
        <f t="array" ref="AD1154">_xlfn.IFS(HRData[[#This Row],[PercentSalaryHike]]&lt;=15,"11-15",HRData[[#This Row],[PercentSalaryHike]]&lt;=20,"16-20",HRData[[#This Row],[PercentSalaryHike]]&gt;=21,"21+")</f>
        <v>16-20</v>
      </c>
      <c r="AE1154">
        <v>3</v>
      </c>
      <c r="AF1154">
        <v>3</v>
      </c>
      <c r="AG1154">
        <v>80</v>
      </c>
      <c r="AH1154">
        <v>0</v>
      </c>
      <c r="AI1154">
        <v>3</v>
      </c>
      <c r="AJ1154">
        <v>2</v>
      </c>
      <c r="AK1154">
        <v>3</v>
      </c>
      <c r="AL1154">
        <v>2</v>
      </c>
      <c r="AM1154">
        <v>2</v>
      </c>
      <c r="AN1154">
        <v>2</v>
      </c>
      <c r="AO1154">
        <v>2</v>
      </c>
      <c r="AP115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154" t="str">
        <f>IF(HRData[[#This Row],[Attrition]]="Yes","Left", IF(HRData[[#This Row],[Attrition_Risk_Score]]&gt;=6,"High",IF(HRData[[#This Row],[Attrition_Risk_Score]]&gt;=3,"Medium","Low")))</f>
        <v>Medium</v>
      </c>
      <c r="AR1154" t="str">
        <f>IF(HRData[[#This Row],[Attrition_Risk_Level]]&lt;&gt;"High","",HRData[[#This Row],[Attrition_Risk_Score]]*10000-HRData[[#This Row],[EmployeeNumber]])</f>
        <v/>
      </c>
    </row>
    <row r="1155" spans="1:44">
      <c r="A1155">
        <v>18</v>
      </c>
      <c r="B1155" t="str" cm="1">
        <f t="array" ref="B1155">_xlfn.IFS(
HRData[[#This Row],[Age]]&lt;=24,"18-24",
HRData[[#This Row],[Age]]&lt;=34,"25-34",
HRData[[#This Row],[Age]]&lt;=44,"35-44",
HRData[[#This Row],[Age]]&lt;=54,"45-54",
HRData[[#This Row],[Age]]&gt;=55,"55+"
)</f>
        <v>18-24</v>
      </c>
      <c r="C1155" t="s">
        <v>35</v>
      </c>
      <c r="D1155">
        <f>IF(HRData[[#This Row],[Attrition]]="Yes",1,0)</f>
        <v>1</v>
      </c>
      <c r="E1155" t="s">
        <v>44</v>
      </c>
      <c r="F1155">
        <v>544</v>
      </c>
      <c r="G1155" t="s">
        <v>37</v>
      </c>
      <c r="H1155">
        <v>3</v>
      </c>
      <c r="I1155">
        <v>2</v>
      </c>
      <c r="J1155" t="s">
        <v>51</v>
      </c>
      <c r="K1155">
        <v>1</v>
      </c>
      <c r="L1155">
        <v>1624</v>
      </c>
      <c r="M1155">
        <v>2</v>
      </c>
      <c r="N1155" t="str" cm="1">
        <f t="array" ref="N1155">_xlfn.IFS(HRData[[#This Row],[EnvironmentSatisfaction]]=1,"Very Dissatisfied",
HRData[[#This Row],[EnvironmentSatisfaction]]=2,"Dissatisfied",
HRData[[#This Row],[EnvironmentSatisfaction]]=3,"Satisfied",
HRData[[#This Row],[EnvironmentSatisfaction]]=4,"Very Satisfied"
)</f>
        <v>Dissatisfied</v>
      </c>
      <c r="O1155" t="s">
        <v>39</v>
      </c>
      <c r="P1155">
        <v>70</v>
      </c>
      <c r="Q1155">
        <v>3</v>
      </c>
      <c r="R1155">
        <v>1</v>
      </c>
      <c r="S1155" t="s">
        <v>57</v>
      </c>
      <c r="T1155">
        <v>4</v>
      </c>
      <c r="U1155" t="str" cm="1">
        <f t="array" ref="U1155">_xlfn.IFS(
HRData[[#This Row],[JobSatisfaction]]=1,"Very Dissatisfied",
HRData[[#This Row],[JobSatisfaction]]=2,"Dissatisfied",
HRData[[#This Row],[JobSatisfaction]]=3,"Satisfied",
HRData[[#This Row],[JobSatisfaction]]=4,"Very Satisfied"
)</f>
        <v>Very Satisfied</v>
      </c>
      <c r="V1155" t="s">
        <v>41</v>
      </c>
      <c r="W1155">
        <v>1569</v>
      </c>
      <c r="X1155" t="str" cm="1">
        <f t="array" ref="X1155">_xlfn.IFS(
HRData[[#This Row],[MonthlyIncome]]&lt;=4000,"Very Low Income",
HRData[[#This Row],[MonthlyIncome]]&lt;=8000,"Low Income",
HRData[[#This Row],[MonthlyIncome]]&lt;=12000,"Moderate Income",
HRData[[#This Row],[MonthlyIncome]]&lt;=16000,"High Income",
HRData[[#This Row],[MonthlyIncome]]&gt;16000,"Very High Income"
)</f>
        <v>Very Low Income</v>
      </c>
      <c r="Y1155">
        <v>18420</v>
      </c>
      <c r="Z1155">
        <v>1</v>
      </c>
      <c r="AA1155" t="s">
        <v>42</v>
      </c>
      <c r="AB1155" t="s">
        <v>35</v>
      </c>
      <c r="AC1155">
        <v>12</v>
      </c>
      <c r="AD1155" t="str" cm="1">
        <f t="array" ref="AD1155">_xlfn.IFS(HRData[[#This Row],[PercentSalaryHike]]&lt;=15,"11-15",HRData[[#This Row],[PercentSalaryHike]]&lt;=20,"16-20",HRData[[#This Row],[PercentSalaryHike]]&gt;=21,"21+")</f>
        <v>11-15</v>
      </c>
      <c r="AE1155">
        <v>3</v>
      </c>
      <c r="AF1155">
        <v>3</v>
      </c>
      <c r="AG1155">
        <v>80</v>
      </c>
      <c r="AH1155">
        <v>0</v>
      </c>
      <c r="AI1155">
        <v>0</v>
      </c>
      <c r="AJ1155">
        <v>2</v>
      </c>
      <c r="AK1155">
        <v>4</v>
      </c>
      <c r="AL1155">
        <v>0</v>
      </c>
      <c r="AM1155">
        <v>0</v>
      </c>
      <c r="AN1155">
        <v>0</v>
      </c>
      <c r="AO1155">
        <v>0</v>
      </c>
      <c r="AP115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155" t="str">
        <f>IF(HRData[[#This Row],[Attrition]]="Yes","Left", IF(HRData[[#This Row],[Attrition_Risk_Score]]&gt;=6,"High",IF(HRData[[#This Row],[Attrition_Risk_Score]]&gt;=3,"Medium","Low")))</f>
        <v>Left</v>
      </c>
      <c r="AR1155" t="str">
        <f>IF(HRData[[#This Row],[Attrition_Risk_Level]]&lt;&gt;"High","",HRData[[#This Row],[Attrition_Risk_Score]]*10000-HRData[[#This Row],[EmployeeNumber]])</f>
        <v/>
      </c>
    </row>
    <row r="1156" spans="1:44">
      <c r="A1156">
        <v>47</v>
      </c>
      <c r="B1156" t="str" cm="1">
        <f t="array" ref="B1156">_xlfn.IFS(
HRData[[#This Row],[Age]]&lt;=24,"18-24",
HRData[[#This Row],[Age]]&lt;=34,"25-34",
HRData[[#This Row],[Age]]&lt;=44,"35-44",
HRData[[#This Row],[Age]]&lt;=54,"45-54",
HRData[[#This Row],[Age]]&gt;=55,"55+"
)</f>
        <v>45-54</v>
      </c>
      <c r="C1156" t="s">
        <v>43</v>
      </c>
      <c r="D1156">
        <f>IF(HRData[[#This Row],[Attrition]]="Yes",1,0)</f>
        <v>0</v>
      </c>
      <c r="E1156" t="s">
        <v>36</v>
      </c>
      <c r="F1156">
        <v>1176</v>
      </c>
      <c r="G1156" t="s">
        <v>61</v>
      </c>
      <c r="H1156">
        <v>26</v>
      </c>
      <c r="I1156">
        <v>4</v>
      </c>
      <c r="J1156" t="s">
        <v>38</v>
      </c>
      <c r="K1156">
        <v>1</v>
      </c>
      <c r="L1156">
        <v>1625</v>
      </c>
      <c r="M1156">
        <v>4</v>
      </c>
      <c r="N1156" t="str" cm="1">
        <f t="array" ref="N1156">_xlfn.IFS(HRData[[#This Row],[EnvironmentSatisfaction]]=1,"Very Dissatisfied",
HRData[[#This Row],[EnvironmentSatisfaction]]=2,"Dissatisfied",
HRData[[#This Row],[EnvironmentSatisfaction]]=3,"Satisfied",
HRData[[#This Row],[EnvironmentSatisfaction]]=4,"Very Satisfied"
)</f>
        <v>Very Satisfied</v>
      </c>
      <c r="O1156" t="s">
        <v>39</v>
      </c>
      <c r="P1156">
        <v>98</v>
      </c>
      <c r="Q1156">
        <v>3</v>
      </c>
      <c r="R1156">
        <v>5</v>
      </c>
      <c r="S1156" t="s">
        <v>56</v>
      </c>
      <c r="T1156">
        <v>3</v>
      </c>
      <c r="U1156" t="str" cm="1">
        <f t="array" ref="U1156">_xlfn.IFS(
HRData[[#This Row],[JobSatisfaction]]=1,"Very Dissatisfied",
HRData[[#This Row],[JobSatisfaction]]=2,"Dissatisfied",
HRData[[#This Row],[JobSatisfaction]]=3,"Satisfied",
HRData[[#This Row],[JobSatisfaction]]=4,"Very Satisfied"
)</f>
        <v>Satisfied</v>
      </c>
      <c r="V1156" t="s">
        <v>48</v>
      </c>
      <c r="W1156">
        <v>19658</v>
      </c>
      <c r="X1156" t="str" cm="1">
        <f t="array" ref="X1156">_xlfn.IFS(
HRData[[#This Row],[MonthlyIncome]]&lt;=4000,"Very Low Income",
HRData[[#This Row],[MonthlyIncome]]&lt;=8000,"Low Income",
HRData[[#This Row],[MonthlyIncome]]&lt;=12000,"Moderate Income",
HRData[[#This Row],[MonthlyIncome]]&lt;=16000,"High Income",
HRData[[#This Row],[MonthlyIncome]]&gt;16000,"Very High Income"
)</f>
        <v>Very High Income</v>
      </c>
      <c r="Y1156">
        <v>5220</v>
      </c>
      <c r="Z1156">
        <v>3</v>
      </c>
      <c r="AA1156" t="s">
        <v>42</v>
      </c>
      <c r="AB1156" t="s">
        <v>43</v>
      </c>
      <c r="AC1156">
        <v>11</v>
      </c>
      <c r="AD1156" t="str" cm="1">
        <f t="array" ref="AD1156">_xlfn.IFS(HRData[[#This Row],[PercentSalaryHike]]&lt;=15,"11-15",HRData[[#This Row],[PercentSalaryHike]]&lt;=20,"16-20",HRData[[#This Row],[PercentSalaryHike]]&gt;=21,"21+")</f>
        <v>11-15</v>
      </c>
      <c r="AE1156">
        <v>3</v>
      </c>
      <c r="AF1156">
        <v>3</v>
      </c>
      <c r="AG1156">
        <v>80</v>
      </c>
      <c r="AH1156">
        <v>1</v>
      </c>
      <c r="AI1156">
        <v>27</v>
      </c>
      <c r="AJ1156">
        <v>2</v>
      </c>
      <c r="AK1156">
        <v>3</v>
      </c>
      <c r="AL1156">
        <v>5</v>
      </c>
      <c r="AM1156">
        <v>2</v>
      </c>
      <c r="AN1156">
        <v>1</v>
      </c>
      <c r="AO1156">
        <v>0</v>
      </c>
      <c r="AP115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156" t="str">
        <f>IF(HRData[[#This Row],[Attrition]]="Yes","Left", IF(HRData[[#This Row],[Attrition_Risk_Score]]&gt;=6,"High",IF(HRData[[#This Row],[Attrition_Risk_Score]]&gt;=3,"Medium","Low")))</f>
        <v>Low</v>
      </c>
      <c r="AR1156" t="str">
        <f>IF(HRData[[#This Row],[Attrition_Risk_Level]]&lt;&gt;"High","",HRData[[#This Row],[Attrition_Risk_Score]]*10000-HRData[[#This Row],[EmployeeNumber]])</f>
        <v/>
      </c>
    </row>
    <row r="1157" spans="1:44">
      <c r="A1157">
        <v>39</v>
      </c>
      <c r="B1157" t="str" cm="1">
        <f t="array" ref="B1157">_xlfn.IFS(
HRData[[#This Row],[Age]]&lt;=24,"18-24",
HRData[[#This Row],[Age]]&lt;=34,"25-34",
HRData[[#This Row],[Age]]&lt;=44,"35-44",
HRData[[#This Row],[Age]]&lt;=54,"45-54",
HRData[[#This Row],[Age]]&gt;=55,"55+"
)</f>
        <v>35-44</v>
      </c>
      <c r="C1157" t="s">
        <v>43</v>
      </c>
      <c r="D1157">
        <f>IF(HRData[[#This Row],[Attrition]]="Yes",1,0)</f>
        <v>0</v>
      </c>
      <c r="E1157" t="s">
        <v>36</v>
      </c>
      <c r="F1157">
        <v>170</v>
      </c>
      <c r="G1157" t="s">
        <v>45</v>
      </c>
      <c r="H1157">
        <v>3</v>
      </c>
      <c r="I1157">
        <v>2</v>
      </c>
      <c r="J1157" t="s">
        <v>51</v>
      </c>
      <c r="K1157">
        <v>1</v>
      </c>
      <c r="L1157">
        <v>1627</v>
      </c>
      <c r="M1157">
        <v>3</v>
      </c>
      <c r="N1157" t="str" cm="1">
        <f t="array" ref="N1157">_xlfn.IFS(HRData[[#This Row],[EnvironmentSatisfaction]]=1,"Very Dissatisfied",
HRData[[#This Row],[EnvironmentSatisfaction]]=2,"Dissatisfied",
HRData[[#This Row],[EnvironmentSatisfaction]]=3,"Satisfied",
HRData[[#This Row],[EnvironmentSatisfaction]]=4,"Very Satisfied"
)</f>
        <v>Satisfied</v>
      </c>
      <c r="O1157" t="s">
        <v>46</v>
      </c>
      <c r="P1157">
        <v>76</v>
      </c>
      <c r="Q1157">
        <v>2</v>
      </c>
      <c r="R1157">
        <v>2</v>
      </c>
      <c r="S1157" t="s">
        <v>50</v>
      </c>
      <c r="T1157">
        <v>3</v>
      </c>
      <c r="U1157" t="str" cm="1">
        <f t="array" ref="U1157">_xlfn.IFS(
HRData[[#This Row],[JobSatisfaction]]=1,"Very Dissatisfied",
HRData[[#This Row],[JobSatisfaction]]=2,"Dissatisfied",
HRData[[#This Row],[JobSatisfaction]]=3,"Satisfied",
HRData[[#This Row],[JobSatisfaction]]=4,"Very Satisfied"
)</f>
        <v>Satisfied</v>
      </c>
      <c r="V1157" t="s">
        <v>52</v>
      </c>
      <c r="W1157">
        <v>3069</v>
      </c>
      <c r="X1157" t="str" cm="1">
        <f t="array" ref="X1157">_xlfn.IFS(
HRData[[#This Row],[MonthlyIncome]]&lt;=4000,"Very Low Income",
HRData[[#This Row],[MonthlyIncome]]&lt;=8000,"Low Income",
HRData[[#This Row],[MonthlyIncome]]&lt;=12000,"Moderate Income",
HRData[[#This Row],[MonthlyIncome]]&lt;=16000,"High Income",
HRData[[#This Row],[MonthlyIncome]]&gt;16000,"Very High Income"
)</f>
        <v>Very Low Income</v>
      </c>
      <c r="Y1157">
        <v>10302</v>
      </c>
      <c r="Z1157">
        <v>0</v>
      </c>
      <c r="AA1157" t="s">
        <v>42</v>
      </c>
      <c r="AB1157" t="s">
        <v>43</v>
      </c>
      <c r="AC1157">
        <v>15</v>
      </c>
      <c r="AD1157" t="str" cm="1">
        <f t="array" ref="AD1157">_xlfn.IFS(HRData[[#This Row],[PercentSalaryHike]]&lt;=15,"11-15",HRData[[#This Row],[PercentSalaryHike]]&lt;=20,"16-20",HRData[[#This Row],[PercentSalaryHike]]&gt;=21,"21+")</f>
        <v>11-15</v>
      </c>
      <c r="AE1157">
        <v>3</v>
      </c>
      <c r="AF1157">
        <v>4</v>
      </c>
      <c r="AG1157">
        <v>80</v>
      </c>
      <c r="AH1157">
        <v>1</v>
      </c>
      <c r="AI1157">
        <v>11</v>
      </c>
      <c r="AJ1157">
        <v>3</v>
      </c>
      <c r="AK1157">
        <v>3</v>
      </c>
      <c r="AL1157">
        <v>10</v>
      </c>
      <c r="AM1157">
        <v>8</v>
      </c>
      <c r="AN1157">
        <v>0</v>
      </c>
      <c r="AO1157">
        <v>7</v>
      </c>
      <c r="AP115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57" t="str">
        <f>IF(HRData[[#This Row],[Attrition]]="Yes","Left", IF(HRData[[#This Row],[Attrition_Risk_Score]]&gt;=6,"High",IF(HRData[[#This Row],[Attrition_Risk_Score]]&gt;=3,"Medium","Low")))</f>
        <v>Medium</v>
      </c>
      <c r="AR1157" t="str">
        <f>IF(HRData[[#This Row],[Attrition_Risk_Level]]&lt;&gt;"High","",HRData[[#This Row],[Attrition_Risk_Score]]*10000-HRData[[#This Row],[EmployeeNumber]])</f>
        <v/>
      </c>
    </row>
    <row r="1158" spans="1:44">
      <c r="A1158">
        <v>40</v>
      </c>
      <c r="B1158" t="str" cm="1">
        <f t="array" ref="B1158">_xlfn.IFS(
HRData[[#This Row],[Age]]&lt;=24,"18-24",
HRData[[#This Row],[Age]]&lt;=34,"25-34",
HRData[[#This Row],[Age]]&lt;=44,"35-44",
HRData[[#This Row],[Age]]&lt;=54,"45-54",
HRData[[#This Row],[Age]]&gt;=55,"55+"
)</f>
        <v>35-44</v>
      </c>
      <c r="C1158" t="s">
        <v>43</v>
      </c>
      <c r="D1158">
        <f>IF(HRData[[#This Row],[Attrition]]="Yes",1,0)</f>
        <v>0</v>
      </c>
      <c r="E1158" t="s">
        <v>36</v>
      </c>
      <c r="F1158">
        <v>884</v>
      </c>
      <c r="G1158" t="s">
        <v>45</v>
      </c>
      <c r="H1158">
        <v>15</v>
      </c>
      <c r="I1158">
        <v>3</v>
      </c>
      <c r="J1158" t="s">
        <v>38</v>
      </c>
      <c r="K1158">
        <v>1</v>
      </c>
      <c r="L1158">
        <v>1628</v>
      </c>
      <c r="M1158">
        <v>1</v>
      </c>
      <c r="N1158" t="str" cm="1">
        <f t="array" ref="N1158">_xlfn.IFS(HRData[[#This Row],[EnvironmentSatisfaction]]=1,"Very Dissatisfied",
HRData[[#This Row],[EnvironmentSatisfaction]]=2,"Dissatisfied",
HRData[[#This Row],[EnvironmentSatisfaction]]=3,"Satisfied",
HRData[[#This Row],[EnvironmentSatisfaction]]=4,"Very Satisfied"
)</f>
        <v>Very Dissatisfied</v>
      </c>
      <c r="O1158" t="s">
        <v>39</v>
      </c>
      <c r="P1158">
        <v>80</v>
      </c>
      <c r="Q1158">
        <v>2</v>
      </c>
      <c r="R1158">
        <v>3</v>
      </c>
      <c r="S1158" t="s">
        <v>53</v>
      </c>
      <c r="T1158">
        <v>3</v>
      </c>
      <c r="U1158" t="str" cm="1">
        <f t="array" ref="U1158">_xlfn.IFS(
HRData[[#This Row],[JobSatisfaction]]=1,"Very Dissatisfied",
HRData[[#This Row],[JobSatisfaction]]=2,"Dissatisfied",
HRData[[#This Row],[JobSatisfaction]]=3,"Satisfied",
HRData[[#This Row],[JobSatisfaction]]=4,"Very Satisfied"
)</f>
        <v>Satisfied</v>
      </c>
      <c r="V1158" t="s">
        <v>48</v>
      </c>
      <c r="W1158">
        <v>10435</v>
      </c>
      <c r="X1158" t="str" cm="1">
        <f t="array" ref="X1158">_xlfn.IFS(
HRData[[#This Row],[MonthlyIncome]]&lt;=4000,"Very Low Income",
HRData[[#This Row],[MonthlyIncome]]&lt;=8000,"Low Income",
HRData[[#This Row],[MonthlyIncome]]&lt;=12000,"Moderate Income",
HRData[[#This Row],[MonthlyIncome]]&lt;=16000,"High Income",
HRData[[#This Row],[MonthlyIncome]]&gt;16000,"Very High Income"
)</f>
        <v>Moderate Income</v>
      </c>
      <c r="Y1158">
        <v>25800</v>
      </c>
      <c r="Z1158">
        <v>1</v>
      </c>
      <c r="AA1158" t="s">
        <v>42</v>
      </c>
      <c r="AB1158" t="s">
        <v>43</v>
      </c>
      <c r="AC1158">
        <v>13</v>
      </c>
      <c r="AD1158" t="str" cm="1">
        <f t="array" ref="AD1158">_xlfn.IFS(HRData[[#This Row],[PercentSalaryHike]]&lt;=15,"11-15",HRData[[#This Row],[PercentSalaryHike]]&lt;=20,"16-20",HRData[[#This Row],[PercentSalaryHike]]&gt;=21,"21+")</f>
        <v>11-15</v>
      </c>
      <c r="AE1158">
        <v>3</v>
      </c>
      <c r="AF1158">
        <v>4</v>
      </c>
      <c r="AG1158">
        <v>80</v>
      </c>
      <c r="AH1158">
        <v>2</v>
      </c>
      <c r="AI1158">
        <v>18</v>
      </c>
      <c r="AJ1158">
        <v>2</v>
      </c>
      <c r="AK1158">
        <v>3</v>
      </c>
      <c r="AL1158">
        <v>18</v>
      </c>
      <c r="AM1158">
        <v>15</v>
      </c>
      <c r="AN1158">
        <v>14</v>
      </c>
      <c r="AO1158">
        <v>12</v>
      </c>
      <c r="AP115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158" t="str">
        <f>IF(HRData[[#This Row],[Attrition]]="Yes","Left", IF(HRData[[#This Row],[Attrition_Risk_Score]]&gt;=6,"High",IF(HRData[[#This Row],[Attrition_Risk_Score]]&gt;=3,"Medium","Low")))</f>
        <v>Low</v>
      </c>
      <c r="AR1158" t="str">
        <f>IF(HRData[[#This Row],[Attrition_Risk_Level]]&lt;&gt;"High","",HRData[[#This Row],[Attrition_Risk_Score]]*10000-HRData[[#This Row],[EmployeeNumber]])</f>
        <v/>
      </c>
    </row>
    <row r="1159" spans="1:44">
      <c r="A1159">
        <v>35</v>
      </c>
      <c r="B1159" t="str" cm="1">
        <f t="array" ref="B1159">_xlfn.IFS(
HRData[[#This Row],[Age]]&lt;=24,"18-24",
HRData[[#This Row],[Age]]&lt;=34,"25-34",
HRData[[#This Row],[Age]]&lt;=44,"35-44",
HRData[[#This Row],[Age]]&lt;=54,"45-54",
HRData[[#This Row],[Age]]&gt;=55,"55+"
)</f>
        <v>35-44</v>
      </c>
      <c r="C1159" t="s">
        <v>43</v>
      </c>
      <c r="D1159">
        <f>IF(HRData[[#This Row],[Attrition]]="Yes",1,0)</f>
        <v>0</v>
      </c>
      <c r="E1159" t="s">
        <v>55</v>
      </c>
      <c r="F1159">
        <v>208</v>
      </c>
      <c r="G1159" t="s">
        <v>45</v>
      </c>
      <c r="H1159">
        <v>8</v>
      </c>
      <c r="I1159">
        <v>4</v>
      </c>
      <c r="J1159" t="s">
        <v>38</v>
      </c>
      <c r="K1159">
        <v>1</v>
      </c>
      <c r="L1159">
        <v>1630</v>
      </c>
      <c r="M1159">
        <v>3</v>
      </c>
      <c r="N1159" t="str" cm="1">
        <f t="array" ref="N1159">_xlfn.IFS(HRData[[#This Row],[EnvironmentSatisfaction]]=1,"Very Dissatisfied",
HRData[[#This Row],[EnvironmentSatisfaction]]=2,"Dissatisfied",
HRData[[#This Row],[EnvironmentSatisfaction]]=3,"Satisfied",
HRData[[#This Row],[EnvironmentSatisfaction]]=4,"Very Satisfied"
)</f>
        <v>Satisfied</v>
      </c>
      <c r="O1159" t="s">
        <v>39</v>
      </c>
      <c r="P1159">
        <v>52</v>
      </c>
      <c r="Q1159">
        <v>3</v>
      </c>
      <c r="R1159">
        <v>2</v>
      </c>
      <c r="S1159" t="s">
        <v>54</v>
      </c>
      <c r="T1159">
        <v>3</v>
      </c>
      <c r="U1159" t="str" cm="1">
        <f t="array" ref="U1159">_xlfn.IFS(
HRData[[#This Row],[JobSatisfaction]]=1,"Very Dissatisfied",
HRData[[#This Row],[JobSatisfaction]]=2,"Dissatisfied",
HRData[[#This Row],[JobSatisfaction]]=3,"Satisfied",
HRData[[#This Row],[JobSatisfaction]]=4,"Very Satisfied"
)</f>
        <v>Satisfied</v>
      </c>
      <c r="V1159" t="s">
        <v>48</v>
      </c>
      <c r="W1159">
        <v>4148</v>
      </c>
      <c r="X1159" t="str" cm="1">
        <f t="array" ref="X1159">_xlfn.IFS(
HRData[[#This Row],[MonthlyIncome]]&lt;=4000,"Very Low Income",
HRData[[#This Row],[MonthlyIncome]]&lt;=8000,"Low Income",
HRData[[#This Row],[MonthlyIncome]]&lt;=12000,"Moderate Income",
HRData[[#This Row],[MonthlyIncome]]&lt;=16000,"High Income",
HRData[[#This Row],[MonthlyIncome]]&gt;16000,"Very High Income"
)</f>
        <v>Low Income</v>
      </c>
      <c r="Y1159">
        <v>12250</v>
      </c>
      <c r="Z1159">
        <v>1</v>
      </c>
      <c r="AA1159" t="s">
        <v>42</v>
      </c>
      <c r="AB1159" t="s">
        <v>43</v>
      </c>
      <c r="AC1159">
        <v>12</v>
      </c>
      <c r="AD1159" t="str" cm="1">
        <f t="array" ref="AD1159">_xlfn.IFS(HRData[[#This Row],[PercentSalaryHike]]&lt;=15,"11-15",HRData[[#This Row],[PercentSalaryHike]]&lt;=20,"16-20",HRData[[#This Row],[PercentSalaryHike]]&gt;=21,"21+")</f>
        <v>11-15</v>
      </c>
      <c r="AE1159">
        <v>3</v>
      </c>
      <c r="AF1159">
        <v>4</v>
      </c>
      <c r="AG1159">
        <v>80</v>
      </c>
      <c r="AH1159">
        <v>1</v>
      </c>
      <c r="AI1159">
        <v>15</v>
      </c>
      <c r="AJ1159">
        <v>5</v>
      </c>
      <c r="AK1159">
        <v>3</v>
      </c>
      <c r="AL1159">
        <v>14</v>
      </c>
      <c r="AM1159">
        <v>11</v>
      </c>
      <c r="AN1159">
        <v>2</v>
      </c>
      <c r="AO1159">
        <v>9</v>
      </c>
      <c r="AP115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159" t="str">
        <f>IF(HRData[[#This Row],[Attrition]]="Yes","Left", IF(HRData[[#This Row],[Attrition_Risk_Score]]&gt;=6,"High",IF(HRData[[#This Row],[Attrition_Risk_Score]]&gt;=3,"Medium","Low")))</f>
        <v>Low</v>
      </c>
      <c r="AR1159" t="str">
        <f>IF(HRData[[#This Row],[Attrition_Risk_Level]]&lt;&gt;"High","",HRData[[#This Row],[Attrition_Risk_Score]]*10000-HRData[[#This Row],[EmployeeNumber]])</f>
        <v/>
      </c>
    </row>
    <row r="1160" spans="1:44">
      <c r="A1160">
        <v>37</v>
      </c>
      <c r="B1160" t="str" cm="1">
        <f t="array" ref="B1160">_xlfn.IFS(
HRData[[#This Row],[Age]]&lt;=24,"18-24",
HRData[[#This Row],[Age]]&lt;=34,"25-34",
HRData[[#This Row],[Age]]&lt;=44,"35-44",
HRData[[#This Row],[Age]]&lt;=54,"45-54",
HRData[[#This Row],[Age]]&gt;=55,"55+"
)</f>
        <v>35-44</v>
      </c>
      <c r="C1160" t="s">
        <v>43</v>
      </c>
      <c r="D1160">
        <f>IF(HRData[[#This Row],[Attrition]]="Yes",1,0)</f>
        <v>0</v>
      </c>
      <c r="E1160" t="s">
        <v>36</v>
      </c>
      <c r="F1160">
        <v>671</v>
      </c>
      <c r="G1160" t="s">
        <v>45</v>
      </c>
      <c r="H1160">
        <v>19</v>
      </c>
      <c r="I1160">
        <v>3</v>
      </c>
      <c r="J1160" t="s">
        <v>38</v>
      </c>
      <c r="K1160">
        <v>1</v>
      </c>
      <c r="L1160">
        <v>1631</v>
      </c>
      <c r="M1160">
        <v>3</v>
      </c>
      <c r="N1160" t="str" cm="1">
        <f t="array" ref="N1160">_xlfn.IFS(HRData[[#This Row],[EnvironmentSatisfaction]]=1,"Very Dissatisfied",
HRData[[#This Row],[EnvironmentSatisfaction]]=2,"Dissatisfied",
HRData[[#This Row],[EnvironmentSatisfaction]]=3,"Satisfied",
HRData[[#This Row],[EnvironmentSatisfaction]]=4,"Very Satisfied"
)</f>
        <v>Satisfied</v>
      </c>
      <c r="O1160" t="s">
        <v>46</v>
      </c>
      <c r="P1160">
        <v>85</v>
      </c>
      <c r="Q1160">
        <v>3</v>
      </c>
      <c r="R1160">
        <v>2</v>
      </c>
      <c r="S1160" t="s">
        <v>53</v>
      </c>
      <c r="T1160">
        <v>3</v>
      </c>
      <c r="U1160" t="str" cm="1">
        <f t="array" ref="U1160">_xlfn.IFS(
HRData[[#This Row],[JobSatisfaction]]=1,"Very Dissatisfied",
HRData[[#This Row],[JobSatisfaction]]=2,"Dissatisfied",
HRData[[#This Row],[JobSatisfaction]]=3,"Satisfied",
HRData[[#This Row],[JobSatisfaction]]=4,"Very Satisfied"
)</f>
        <v>Satisfied</v>
      </c>
      <c r="V1160" t="s">
        <v>48</v>
      </c>
      <c r="W1160">
        <v>5768</v>
      </c>
      <c r="X1160" t="str" cm="1">
        <f t="array" ref="X1160">_xlfn.IFS(
HRData[[#This Row],[MonthlyIncome]]&lt;=4000,"Very Low Income",
HRData[[#This Row],[MonthlyIncome]]&lt;=8000,"Low Income",
HRData[[#This Row],[MonthlyIncome]]&lt;=12000,"Moderate Income",
HRData[[#This Row],[MonthlyIncome]]&lt;=16000,"High Income",
HRData[[#This Row],[MonthlyIncome]]&gt;16000,"Very High Income"
)</f>
        <v>Low Income</v>
      </c>
      <c r="Y1160">
        <v>26493</v>
      </c>
      <c r="Z1160">
        <v>3</v>
      </c>
      <c r="AA1160" t="s">
        <v>42</v>
      </c>
      <c r="AB1160" t="s">
        <v>43</v>
      </c>
      <c r="AC1160">
        <v>17</v>
      </c>
      <c r="AD1160" t="str" cm="1">
        <f t="array" ref="AD1160">_xlfn.IFS(HRData[[#This Row],[PercentSalaryHike]]&lt;=15,"11-15",HRData[[#This Row],[PercentSalaryHike]]&lt;=20,"16-20",HRData[[#This Row],[PercentSalaryHike]]&gt;=21,"21+")</f>
        <v>16-20</v>
      </c>
      <c r="AE1160">
        <v>3</v>
      </c>
      <c r="AF1160">
        <v>1</v>
      </c>
      <c r="AG1160">
        <v>80</v>
      </c>
      <c r="AH1160">
        <v>3</v>
      </c>
      <c r="AI1160">
        <v>9</v>
      </c>
      <c r="AJ1160">
        <v>2</v>
      </c>
      <c r="AK1160">
        <v>2</v>
      </c>
      <c r="AL1160">
        <v>4</v>
      </c>
      <c r="AM1160">
        <v>3</v>
      </c>
      <c r="AN1160">
        <v>0</v>
      </c>
      <c r="AO1160">
        <v>2</v>
      </c>
      <c r="AP116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160" t="str">
        <f>IF(HRData[[#This Row],[Attrition]]="Yes","Left", IF(HRData[[#This Row],[Attrition_Risk_Score]]&gt;=6,"High",IF(HRData[[#This Row],[Attrition_Risk_Score]]&gt;=3,"Medium","Low")))</f>
        <v>Low</v>
      </c>
      <c r="AR1160" t="str">
        <f>IF(HRData[[#This Row],[Attrition_Risk_Level]]&lt;&gt;"High","",HRData[[#This Row],[Attrition_Risk_Score]]*10000-HRData[[#This Row],[EmployeeNumber]])</f>
        <v/>
      </c>
    </row>
    <row r="1161" spans="1:44">
      <c r="A1161">
        <v>39</v>
      </c>
      <c r="B1161" t="str" cm="1">
        <f t="array" ref="B1161">_xlfn.IFS(
HRData[[#This Row],[Age]]&lt;=24,"18-24",
HRData[[#This Row],[Age]]&lt;=34,"25-34",
HRData[[#This Row],[Age]]&lt;=44,"35-44",
HRData[[#This Row],[Age]]&lt;=54,"45-54",
HRData[[#This Row],[Age]]&gt;=55,"55+"
)</f>
        <v>35-44</v>
      </c>
      <c r="C1161" t="s">
        <v>43</v>
      </c>
      <c r="D1161">
        <f>IF(HRData[[#This Row],[Attrition]]="Yes",1,0)</f>
        <v>0</v>
      </c>
      <c r="E1161" t="s">
        <v>44</v>
      </c>
      <c r="F1161">
        <v>711</v>
      </c>
      <c r="G1161" t="s">
        <v>45</v>
      </c>
      <c r="H1161">
        <v>4</v>
      </c>
      <c r="I1161">
        <v>3</v>
      </c>
      <c r="J1161" t="s">
        <v>51</v>
      </c>
      <c r="K1161">
        <v>1</v>
      </c>
      <c r="L1161">
        <v>1633</v>
      </c>
      <c r="M1161">
        <v>1</v>
      </c>
      <c r="N1161" t="str" cm="1">
        <f t="array" ref="N1161">_xlfn.IFS(HRData[[#This Row],[EnvironmentSatisfaction]]=1,"Very Dissatisfied",
HRData[[#This Row],[EnvironmentSatisfaction]]=2,"Dissatisfied",
HRData[[#This Row],[EnvironmentSatisfaction]]=3,"Satisfied",
HRData[[#This Row],[EnvironmentSatisfaction]]=4,"Very Satisfied"
)</f>
        <v>Very Dissatisfied</v>
      </c>
      <c r="O1161" t="s">
        <v>39</v>
      </c>
      <c r="P1161">
        <v>81</v>
      </c>
      <c r="Q1161">
        <v>3</v>
      </c>
      <c r="R1161">
        <v>2</v>
      </c>
      <c r="S1161" t="s">
        <v>53</v>
      </c>
      <c r="T1161">
        <v>3</v>
      </c>
      <c r="U1161" t="str" cm="1">
        <f t="array" ref="U1161">_xlfn.IFS(
HRData[[#This Row],[JobSatisfaction]]=1,"Very Dissatisfied",
HRData[[#This Row],[JobSatisfaction]]=2,"Dissatisfied",
HRData[[#This Row],[JobSatisfaction]]=3,"Satisfied",
HRData[[#This Row],[JobSatisfaction]]=4,"Very Satisfied"
)</f>
        <v>Satisfied</v>
      </c>
      <c r="V1161" t="s">
        <v>41</v>
      </c>
      <c r="W1161">
        <v>5042</v>
      </c>
      <c r="X1161" t="str" cm="1">
        <f t="array" ref="X1161">_xlfn.IFS(
HRData[[#This Row],[MonthlyIncome]]&lt;=4000,"Very Low Income",
HRData[[#This Row],[MonthlyIncome]]&lt;=8000,"Low Income",
HRData[[#This Row],[MonthlyIncome]]&lt;=12000,"Moderate Income",
HRData[[#This Row],[MonthlyIncome]]&lt;=16000,"High Income",
HRData[[#This Row],[MonthlyIncome]]&gt;16000,"Very High Income"
)</f>
        <v>Low Income</v>
      </c>
      <c r="Y1161">
        <v>3140</v>
      </c>
      <c r="Z1161">
        <v>0</v>
      </c>
      <c r="AA1161" t="s">
        <v>42</v>
      </c>
      <c r="AB1161" t="s">
        <v>43</v>
      </c>
      <c r="AC1161">
        <v>13</v>
      </c>
      <c r="AD1161" t="str" cm="1">
        <f t="array" ref="AD1161">_xlfn.IFS(HRData[[#This Row],[PercentSalaryHike]]&lt;=15,"11-15",HRData[[#This Row],[PercentSalaryHike]]&lt;=20,"16-20",HRData[[#This Row],[PercentSalaryHike]]&gt;=21,"21+")</f>
        <v>11-15</v>
      </c>
      <c r="AE1161">
        <v>3</v>
      </c>
      <c r="AF1161">
        <v>4</v>
      </c>
      <c r="AG1161">
        <v>80</v>
      </c>
      <c r="AH1161">
        <v>0</v>
      </c>
      <c r="AI1161">
        <v>10</v>
      </c>
      <c r="AJ1161">
        <v>2</v>
      </c>
      <c r="AK1161">
        <v>1</v>
      </c>
      <c r="AL1161">
        <v>9</v>
      </c>
      <c r="AM1161">
        <v>2</v>
      </c>
      <c r="AN1161">
        <v>3</v>
      </c>
      <c r="AO1161">
        <v>8</v>
      </c>
      <c r="AP116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161" t="str">
        <f>IF(HRData[[#This Row],[Attrition]]="Yes","Left", IF(HRData[[#This Row],[Attrition_Risk_Score]]&gt;=6,"High",IF(HRData[[#This Row],[Attrition_Risk_Score]]&gt;=3,"Medium","Low")))</f>
        <v>Low</v>
      </c>
      <c r="AR1161" t="str">
        <f>IF(HRData[[#This Row],[Attrition_Risk_Level]]&lt;&gt;"High","",HRData[[#This Row],[Attrition_Risk_Score]]*10000-HRData[[#This Row],[EmployeeNumber]])</f>
        <v/>
      </c>
    </row>
    <row r="1162" spans="1:44">
      <c r="A1162">
        <v>45</v>
      </c>
      <c r="B1162" t="str" cm="1">
        <f t="array" ref="B1162">_xlfn.IFS(
HRData[[#This Row],[Age]]&lt;=24,"18-24",
HRData[[#This Row],[Age]]&lt;=34,"25-34",
HRData[[#This Row],[Age]]&lt;=44,"35-44",
HRData[[#This Row],[Age]]&lt;=54,"45-54",
HRData[[#This Row],[Age]]&gt;=55,"55+"
)</f>
        <v>45-54</v>
      </c>
      <c r="C1162" t="s">
        <v>43</v>
      </c>
      <c r="D1162">
        <f>IF(HRData[[#This Row],[Attrition]]="Yes",1,0)</f>
        <v>0</v>
      </c>
      <c r="E1162" t="s">
        <v>36</v>
      </c>
      <c r="F1162">
        <v>1329</v>
      </c>
      <c r="G1162" t="s">
        <v>45</v>
      </c>
      <c r="H1162">
        <v>2</v>
      </c>
      <c r="I1162">
        <v>2</v>
      </c>
      <c r="J1162" t="s">
        <v>49</v>
      </c>
      <c r="K1162">
        <v>1</v>
      </c>
      <c r="L1162">
        <v>1635</v>
      </c>
      <c r="M1162">
        <v>4</v>
      </c>
      <c r="N1162" t="str" cm="1">
        <f t="array" ref="N1162">_xlfn.IFS(HRData[[#This Row],[EnvironmentSatisfaction]]=1,"Very Dissatisfied",
HRData[[#This Row],[EnvironmentSatisfaction]]=2,"Dissatisfied",
HRData[[#This Row],[EnvironmentSatisfaction]]=3,"Satisfied",
HRData[[#This Row],[EnvironmentSatisfaction]]=4,"Very Satisfied"
)</f>
        <v>Very Satisfied</v>
      </c>
      <c r="O1162" t="s">
        <v>39</v>
      </c>
      <c r="P1162">
        <v>59</v>
      </c>
      <c r="Q1162">
        <v>2</v>
      </c>
      <c r="R1162">
        <v>2</v>
      </c>
      <c r="S1162" t="s">
        <v>53</v>
      </c>
      <c r="T1162">
        <v>4</v>
      </c>
      <c r="U1162" t="str" cm="1">
        <f t="array" ref="U1162">_xlfn.IFS(
HRData[[#This Row],[JobSatisfaction]]=1,"Very Dissatisfied",
HRData[[#This Row],[JobSatisfaction]]=2,"Dissatisfied",
HRData[[#This Row],[JobSatisfaction]]=3,"Satisfied",
HRData[[#This Row],[JobSatisfaction]]=4,"Very Satisfied"
)</f>
        <v>Very Satisfied</v>
      </c>
      <c r="V1162" t="s">
        <v>52</v>
      </c>
      <c r="W1162">
        <v>5770</v>
      </c>
      <c r="X1162" t="str" cm="1">
        <f t="array" ref="X1162">_xlfn.IFS(
HRData[[#This Row],[MonthlyIncome]]&lt;=4000,"Very Low Income",
HRData[[#This Row],[MonthlyIncome]]&lt;=8000,"Low Income",
HRData[[#This Row],[MonthlyIncome]]&lt;=12000,"Moderate Income",
HRData[[#This Row],[MonthlyIncome]]&lt;=16000,"High Income",
HRData[[#This Row],[MonthlyIncome]]&gt;16000,"Very High Income"
)</f>
        <v>Low Income</v>
      </c>
      <c r="Y1162">
        <v>5388</v>
      </c>
      <c r="Z1162">
        <v>1</v>
      </c>
      <c r="AA1162" t="s">
        <v>42</v>
      </c>
      <c r="AB1162" t="s">
        <v>43</v>
      </c>
      <c r="AC1162">
        <v>19</v>
      </c>
      <c r="AD1162" t="str" cm="1">
        <f t="array" ref="AD1162">_xlfn.IFS(HRData[[#This Row],[PercentSalaryHike]]&lt;=15,"11-15",HRData[[#This Row],[PercentSalaryHike]]&lt;=20,"16-20",HRData[[#This Row],[PercentSalaryHike]]&gt;=21,"21+")</f>
        <v>16-20</v>
      </c>
      <c r="AE1162">
        <v>3</v>
      </c>
      <c r="AF1162">
        <v>1</v>
      </c>
      <c r="AG1162">
        <v>80</v>
      </c>
      <c r="AH1162">
        <v>2</v>
      </c>
      <c r="AI1162">
        <v>10</v>
      </c>
      <c r="AJ1162">
        <v>3</v>
      </c>
      <c r="AK1162">
        <v>3</v>
      </c>
      <c r="AL1162">
        <v>10</v>
      </c>
      <c r="AM1162">
        <v>7</v>
      </c>
      <c r="AN1162">
        <v>3</v>
      </c>
      <c r="AO1162">
        <v>9</v>
      </c>
      <c r="AP116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162" t="str">
        <f>IF(HRData[[#This Row],[Attrition]]="Yes","Left", IF(HRData[[#This Row],[Attrition_Risk_Score]]&gt;=6,"High",IF(HRData[[#This Row],[Attrition_Risk_Score]]&gt;=3,"Medium","Low")))</f>
        <v>Low</v>
      </c>
      <c r="AR1162" t="str">
        <f>IF(HRData[[#This Row],[Attrition_Risk_Level]]&lt;&gt;"High","",HRData[[#This Row],[Attrition_Risk_Score]]*10000-HRData[[#This Row],[EmployeeNumber]])</f>
        <v/>
      </c>
    </row>
    <row r="1163" spans="1:44">
      <c r="A1163">
        <v>38</v>
      </c>
      <c r="B1163" t="str" cm="1">
        <f t="array" ref="B1163">_xlfn.IFS(
HRData[[#This Row],[Age]]&lt;=24,"18-24",
HRData[[#This Row],[Age]]&lt;=34,"25-34",
HRData[[#This Row],[Age]]&lt;=44,"35-44",
HRData[[#This Row],[Age]]&lt;=54,"45-54",
HRData[[#This Row],[Age]]&gt;=55,"55+"
)</f>
        <v>35-44</v>
      </c>
      <c r="C1163" t="s">
        <v>43</v>
      </c>
      <c r="D1163">
        <f>IF(HRData[[#This Row],[Attrition]]="Yes",1,0)</f>
        <v>0</v>
      </c>
      <c r="E1163" t="s">
        <v>36</v>
      </c>
      <c r="F1163">
        <v>397</v>
      </c>
      <c r="G1163" t="s">
        <v>45</v>
      </c>
      <c r="H1163">
        <v>2</v>
      </c>
      <c r="I1163">
        <v>2</v>
      </c>
      <c r="J1163" t="s">
        <v>51</v>
      </c>
      <c r="K1163">
        <v>1</v>
      </c>
      <c r="L1163">
        <v>1638</v>
      </c>
      <c r="M1163">
        <v>4</v>
      </c>
      <c r="N1163" t="str" cm="1">
        <f t="array" ref="N1163">_xlfn.IFS(HRData[[#This Row],[EnvironmentSatisfaction]]=1,"Very Dissatisfied",
HRData[[#This Row],[EnvironmentSatisfaction]]=2,"Dissatisfied",
HRData[[#This Row],[EnvironmentSatisfaction]]=3,"Satisfied",
HRData[[#This Row],[EnvironmentSatisfaction]]=4,"Very Satisfied"
)</f>
        <v>Very Satisfied</v>
      </c>
      <c r="O1163" t="s">
        <v>39</v>
      </c>
      <c r="P1163">
        <v>54</v>
      </c>
      <c r="Q1163">
        <v>2</v>
      </c>
      <c r="R1163">
        <v>3</v>
      </c>
      <c r="S1163" t="s">
        <v>53</v>
      </c>
      <c r="T1163">
        <v>3</v>
      </c>
      <c r="U1163" t="str" cm="1">
        <f t="array" ref="U1163">_xlfn.IFS(
HRData[[#This Row],[JobSatisfaction]]=1,"Very Dissatisfied",
HRData[[#This Row],[JobSatisfaction]]=2,"Dissatisfied",
HRData[[#This Row],[JobSatisfaction]]=3,"Satisfied",
HRData[[#This Row],[JobSatisfaction]]=4,"Very Satisfied"
)</f>
        <v>Satisfied</v>
      </c>
      <c r="V1163" t="s">
        <v>48</v>
      </c>
      <c r="W1163">
        <v>7756</v>
      </c>
      <c r="X1163" t="str" cm="1">
        <f t="array" ref="X1163">_xlfn.IFS(
HRData[[#This Row],[MonthlyIncome]]&lt;=4000,"Very Low Income",
HRData[[#This Row],[MonthlyIncome]]&lt;=8000,"Low Income",
HRData[[#This Row],[MonthlyIncome]]&lt;=12000,"Moderate Income",
HRData[[#This Row],[MonthlyIncome]]&lt;=16000,"High Income",
HRData[[#This Row],[MonthlyIncome]]&gt;16000,"Very High Income"
)</f>
        <v>Low Income</v>
      </c>
      <c r="Y1163">
        <v>14199</v>
      </c>
      <c r="Z1163">
        <v>3</v>
      </c>
      <c r="AA1163" t="s">
        <v>42</v>
      </c>
      <c r="AB1163" t="s">
        <v>35</v>
      </c>
      <c r="AC1163">
        <v>19</v>
      </c>
      <c r="AD1163" t="str" cm="1">
        <f t="array" ref="AD1163">_xlfn.IFS(HRData[[#This Row],[PercentSalaryHike]]&lt;=15,"11-15",HRData[[#This Row],[PercentSalaryHike]]&lt;=20,"16-20",HRData[[#This Row],[PercentSalaryHike]]&gt;=21,"21+")</f>
        <v>16-20</v>
      </c>
      <c r="AE1163">
        <v>3</v>
      </c>
      <c r="AF1163">
        <v>4</v>
      </c>
      <c r="AG1163">
        <v>80</v>
      </c>
      <c r="AH1163">
        <v>1</v>
      </c>
      <c r="AI1163">
        <v>10</v>
      </c>
      <c r="AJ1163">
        <v>6</v>
      </c>
      <c r="AK1163">
        <v>4</v>
      </c>
      <c r="AL1163">
        <v>5</v>
      </c>
      <c r="AM1163">
        <v>4</v>
      </c>
      <c r="AN1163">
        <v>0</v>
      </c>
      <c r="AO1163">
        <v>2</v>
      </c>
      <c r="AP116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63" t="str">
        <f>IF(HRData[[#This Row],[Attrition]]="Yes","Left", IF(HRData[[#This Row],[Attrition_Risk_Score]]&gt;=6,"High",IF(HRData[[#This Row],[Attrition_Risk_Score]]&gt;=3,"Medium","Low")))</f>
        <v>Medium</v>
      </c>
      <c r="AR1163" t="str">
        <f>IF(HRData[[#This Row],[Attrition_Risk_Level]]&lt;&gt;"High","",HRData[[#This Row],[Attrition_Risk_Score]]*10000-HRData[[#This Row],[EmployeeNumber]])</f>
        <v/>
      </c>
    </row>
    <row r="1164" spans="1:44">
      <c r="A1164">
        <v>35</v>
      </c>
      <c r="B1164" t="str" cm="1">
        <f t="array" ref="B1164">_xlfn.IFS(
HRData[[#This Row],[Age]]&lt;=24,"18-24",
HRData[[#This Row],[Age]]&lt;=34,"25-34",
HRData[[#This Row],[Age]]&lt;=44,"35-44",
HRData[[#This Row],[Age]]&lt;=54,"45-54",
HRData[[#This Row],[Age]]&gt;=55,"55+"
)</f>
        <v>35-44</v>
      </c>
      <c r="C1164" t="s">
        <v>35</v>
      </c>
      <c r="D1164">
        <f>IF(HRData[[#This Row],[Attrition]]="Yes",1,0)</f>
        <v>1</v>
      </c>
      <c r="E1164" t="s">
        <v>36</v>
      </c>
      <c r="F1164">
        <v>737</v>
      </c>
      <c r="G1164" t="s">
        <v>37</v>
      </c>
      <c r="H1164">
        <v>10</v>
      </c>
      <c r="I1164">
        <v>3</v>
      </c>
      <c r="J1164" t="s">
        <v>51</v>
      </c>
      <c r="K1164">
        <v>1</v>
      </c>
      <c r="L1164">
        <v>1639</v>
      </c>
      <c r="M1164">
        <v>4</v>
      </c>
      <c r="N1164" t="str" cm="1">
        <f t="array" ref="N1164">_xlfn.IFS(HRData[[#This Row],[EnvironmentSatisfaction]]=1,"Very Dissatisfied",
HRData[[#This Row],[EnvironmentSatisfaction]]=2,"Dissatisfied",
HRData[[#This Row],[EnvironmentSatisfaction]]=3,"Satisfied",
HRData[[#This Row],[EnvironmentSatisfaction]]=4,"Very Satisfied"
)</f>
        <v>Very Satisfied</v>
      </c>
      <c r="O1164" t="s">
        <v>46</v>
      </c>
      <c r="P1164">
        <v>55</v>
      </c>
      <c r="Q1164">
        <v>2</v>
      </c>
      <c r="R1164">
        <v>3</v>
      </c>
      <c r="S1164" t="s">
        <v>40</v>
      </c>
      <c r="T1164">
        <v>1</v>
      </c>
      <c r="U1164" t="str" cm="1">
        <f t="array" ref="U1164">_xlfn.IFS(
HRData[[#This Row],[JobSatisfaction]]=1,"Very Dissatisfied",
HRData[[#This Row],[JobSatisfaction]]=2,"Dissatisfied",
HRData[[#This Row],[JobSatisfaction]]=3,"Satisfied",
HRData[[#This Row],[JobSatisfaction]]=4,"Very Satisfied"
)</f>
        <v>Very Dissatisfied</v>
      </c>
      <c r="V1164" t="s">
        <v>48</v>
      </c>
      <c r="W1164">
        <v>10306</v>
      </c>
      <c r="X1164" t="str" cm="1">
        <f t="array" ref="X1164">_xlfn.IFS(
HRData[[#This Row],[MonthlyIncome]]&lt;=4000,"Very Low Income",
HRData[[#This Row],[MonthlyIncome]]&lt;=8000,"Low Income",
HRData[[#This Row],[MonthlyIncome]]&lt;=12000,"Moderate Income",
HRData[[#This Row],[MonthlyIncome]]&lt;=16000,"High Income",
HRData[[#This Row],[MonthlyIncome]]&gt;16000,"Very High Income"
)</f>
        <v>Moderate Income</v>
      </c>
      <c r="Y1164">
        <v>21530</v>
      </c>
      <c r="Z1164">
        <v>9</v>
      </c>
      <c r="AA1164" t="s">
        <v>42</v>
      </c>
      <c r="AB1164" t="s">
        <v>43</v>
      </c>
      <c r="AC1164">
        <v>17</v>
      </c>
      <c r="AD1164" t="str" cm="1">
        <f t="array" ref="AD1164">_xlfn.IFS(HRData[[#This Row],[PercentSalaryHike]]&lt;=15,"11-15",HRData[[#This Row],[PercentSalaryHike]]&lt;=20,"16-20",HRData[[#This Row],[PercentSalaryHike]]&gt;=21,"21+")</f>
        <v>16-20</v>
      </c>
      <c r="AE1164">
        <v>3</v>
      </c>
      <c r="AF1164">
        <v>3</v>
      </c>
      <c r="AG1164">
        <v>80</v>
      </c>
      <c r="AH1164">
        <v>0</v>
      </c>
      <c r="AI1164">
        <v>15</v>
      </c>
      <c r="AJ1164">
        <v>3</v>
      </c>
      <c r="AK1164">
        <v>3</v>
      </c>
      <c r="AL1164">
        <v>13</v>
      </c>
      <c r="AM1164">
        <v>12</v>
      </c>
      <c r="AN1164">
        <v>6</v>
      </c>
      <c r="AO1164">
        <v>0</v>
      </c>
      <c r="AP116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164" t="str">
        <f>IF(HRData[[#This Row],[Attrition]]="Yes","Left", IF(HRData[[#This Row],[Attrition_Risk_Score]]&gt;=6,"High",IF(HRData[[#This Row],[Attrition_Risk_Score]]&gt;=3,"Medium","Low")))</f>
        <v>Left</v>
      </c>
      <c r="AR1164" t="str">
        <f>IF(HRData[[#This Row],[Attrition_Risk_Level]]&lt;&gt;"High","",HRData[[#This Row],[Attrition_Risk_Score]]*10000-HRData[[#This Row],[EmployeeNumber]])</f>
        <v/>
      </c>
    </row>
    <row r="1165" spans="1:44">
      <c r="A1165">
        <v>37</v>
      </c>
      <c r="B1165" t="str" cm="1">
        <f t="array" ref="B1165">_xlfn.IFS(
HRData[[#This Row],[Age]]&lt;=24,"18-24",
HRData[[#This Row],[Age]]&lt;=34,"25-34",
HRData[[#This Row],[Age]]&lt;=44,"35-44",
HRData[[#This Row],[Age]]&lt;=54,"45-54",
HRData[[#This Row],[Age]]&gt;=55,"55+"
)</f>
        <v>35-44</v>
      </c>
      <c r="C1165" t="s">
        <v>43</v>
      </c>
      <c r="D1165">
        <f>IF(HRData[[#This Row],[Attrition]]="Yes",1,0)</f>
        <v>0</v>
      </c>
      <c r="E1165" t="s">
        <v>36</v>
      </c>
      <c r="F1165">
        <v>1470</v>
      </c>
      <c r="G1165" t="s">
        <v>45</v>
      </c>
      <c r="H1165">
        <v>10</v>
      </c>
      <c r="I1165">
        <v>3</v>
      </c>
      <c r="J1165" t="s">
        <v>51</v>
      </c>
      <c r="K1165">
        <v>1</v>
      </c>
      <c r="L1165">
        <v>1640</v>
      </c>
      <c r="M1165">
        <v>2</v>
      </c>
      <c r="N1165" t="str" cm="1">
        <f t="array" ref="N1165">_xlfn.IFS(HRData[[#This Row],[EnvironmentSatisfaction]]=1,"Very Dissatisfied",
HRData[[#This Row],[EnvironmentSatisfaction]]=2,"Dissatisfied",
HRData[[#This Row],[EnvironmentSatisfaction]]=3,"Satisfied",
HRData[[#This Row],[EnvironmentSatisfaction]]=4,"Very Satisfied"
)</f>
        <v>Dissatisfied</v>
      </c>
      <c r="O1165" t="s">
        <v>39</v>
      </c>
      <c r="P1165">
        <v>71</v>
      </c>
      <c r="Q1165">
        <v>3</v>
      </c>
      <c r="R1165">
        <v>1</v>
      </c>
      <c r="S1165" t="s">
        <v>47</v>
      </c>
      <c r="T1165">
        <v>2</v>
      </c>
      <c r="U1165" t="str" cm="1">
        <f t="array" ref="U1165">_xlfn.IFS(
HRData[[#This Row],[JobSatisfaction]]=1,"Very Dissatisfied",
HRData[[#This Row],[JobSatisfaction]]=2,"Dissatisfied",
HRData[[#This Row],[JobSatisfaction]]=3,"Satisfied",
HRData[[#This Row],[JobSatisfaction]]=4,"Very Satisfied"
)</f>
        <v>Dissatisfied</v>
      </c>
      <c r="V1165" t="s">
        <v>48</v>
      </c>
      <c r="W1165">
        <v>3936</v>
      </c>
      <c r="X1165" t="str" cm="1">
        <f t="array" ref="X1165">_xlfn.IFS(
HRData[[#This Row],[MonthlyIncome]]&lt;=4000,"Very Low Income",
HRData[[#This Row],[MonthlyIncome]]&lt;=8000,"Low Income",
HRData[[#This Row],[MonthlyIncome]]&lt;=12000,"Moderate Income",
HRData[[#This Row],[MonthlyIncome]]&lt;=16000,"High Income",
HRData[[#This Row],[MonthlyIncome]]&gt;16000,"Very High Income"
)</f>
        <v>Very Low Income</v>
      </c>
      <c r="Y1165">
        <v>9953</v>
      </c>
      <c r="Z1165">
        <v>1</v>
      </c>
      <c r="AA1165" t="s">
        <v>42</v>
      </c>
      <c r="AB1165" t="s">
        <v>43</v>
      </c>
      <c r="AC1165">
        <v>11</v>
      </c>
      <c r="AD1165" t="str" cm="1">
        <f t="array" ref="AD1165">_xlfn.IFS(HRData[[#This Row],[PercentSalaryHike]]&lt;=15,"11-15",HRData[[#This Row],[PercentSalaryHike]]&lt;=20,"16-20",HRData[[#This Row],[PercentSalaryHike]]&gt;=21,"21+")</f>
        <v>11-15</v>
      </c>
      <c r="AE1165">
        <v>3</v>
      </c>
      <c r="AF1165">
        <v>1</v>
      </c>
      <c r="AG1165">
        <v>80</v>
      </c>
      <c r="AH1165">
        <v>1</v>
      </c>
      <c r="AI1165">
        <v>8</v>
      </c>
      <c r="AJ1165">
        <v>2</v>
      </c>
      <c r="AK1165">
        <v>1</v>
      </c>
      <c r="AL1165">
        <v>8</v>
      </c>
      <c r="AM1165">
        <v>4</v>
      </c>
      <c r="AN1165">
        <v>7</v>
      </c>
      <c r="AO1165">
        <v>7</v>
      </c>
      <c r="AP116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65" t="str">
        <f>IF(HRData[[#This Row],[Attrition]]="Yes","Left", IF(HRData[[#This Row],[Attrition_Risk_Score]]&gt;=6,"High",IF(HRData[[#This Row],[Attrition_Risk_Score]]&gt;=3,"Medium","Low")))</f>
        <v>Low</v>
      </c>
      <c r="AR1165" t="str">
        <f>IF(HRData[[#This Row],[Attrition_Risk_Level]]&lt;&gt;"High","",HRData[[#This Row],[Attrition_Risk_Score]]*10000-HRData[[#This Row],[EmployeeNumber]])</f>
        <v/>
      </c>
    </row>
    <row r="1166" spans="1:44">
      <c r="A1166">
        <v>40</v>
      </c>
      <c r="B1166" t="str" cm="1">
        <f t="array" ref="B1166">_xlfn.IFS(
HRData[[#This Row],[Age]]&lt;=24,"18-24",
HRData[[#This Row],[Age]]&lt;=34,"25-34",
HRData[[#This Row],[Age]]&lt;=44,"35-44",
HRData[[#This Row],[Age]]&lt;=54,"45-54",
HRData[[#This Row],[Age]]&gt;=55,"55+"
)</f>
        <v>35-44</v>
      </c>
      <c r="C1166" t="s">
        <v>43</v>
      </c>
      <c r="D1166">
        <f>IF(HRData[[#This Row],[Attrition]]="Yes",1,0)</f>
        <v>0</v>
      </c>
      <c r="E1166" t="s">
        <v>36</v>
      </c>
      <c r="F1166">
        <v>448</v>
      </c>
      <c r="G1166" t="s">
        <v>45</v>
      </c>
      <c r="H1166">
        <v>16</v>
      </c>
      <c r="I1166">
        <v>3</v>
      </c>
      <c r="J1166" t="s">
        <v>38</v>
      </c>
      <c r="K1166">
        <v>1</v>
      </c>
      <c r="L1166">
        <v>1641</v>
      </c>
      <c r="M1166">
        <v>3</v>
      </c>
      <c r="N1166" t="str" cm="1">
        <f t="array" ref="N1166">_xlfn.IFS(HRData[[#This Row],[EnvironmentSatisfaction]]=1,"Very Dissatisfied",
HRData[[#This Row],[EnvironmentSatisfaction]]=2,"Dissatisfied",
HRData[[#This Row],[EnvironmentSatisfaction]]=3,"Satisfied",
HRData[[#This Row],[EnvironmentSatisfaction]]=4,"Very Satisfied"
)</f>
        <v>Satisfied</v>
      </c>
      <c r="O1166" t="s">
        <v>39</v>
      </c>
      <c r="P1166">
        <v>84</v>
      </c>
      <c r="Q1166">
        <v>3</v>
      </c>
      <c r="R1166">
        <v>3</v>
      </c>
      <c r="S1166" t="s">
        <v>53</v>
      </c>
      <c r="T1166">
        <v>4</v>
      </c>
      <c r="U1166" t="str" cm="1">
        <f t="array" ref="U1166">_xlfn.IFS(
HRData[[#This Row],[JobSatisfaction]]=1,"Very Dissatisfied",
HRData[[#This Row],[JobSatisfaction]]=2,"Dissatisfied",
HRData[[#This Row],[JobSatisfaction]]=3,"Satisfied",
HRData[[#This Row],[JobSatisfaction]]=4,"Very Satisfied"
)</f>
        <v>Very Satisfied</v>
      </c>
      <c r="V1166" t="s">
        <v>41</v>
      </c>
      <c r="W1166">
        <v>7945</v>
      </c>
      <c r="X1166" t="str" cm="1">
        <f t="array" ref="X1166">_xlfn.IFS(
HRData[[#This Row],[MonthlyIncome]]&lt;=4000,"Very Low Income",
HRData[[#This Row],[MonthlyIncome]]&lt;=8000,"Low Income",
HRData[[#This Row],[MonthlyIncome]]&lt;=12000,"Moderate Income",
HRData[[#This Row],[MonthlyIncome]]&lt;=16000,"High Income",
HRData[[#This Row],[MonthlyIncome]]&gt;16000,"Very High Income"
)</f>
        <v>Low Income</v>
      </c>
      <c r="Y1166">
        <v>19948</v>
      </c>
      <c r="Z1166">
        <v>6</v>
      </c>
      <c r="AA1166" t="s">
        <v>42</v>
      </c>
      <c r="AB1166" t="s">
        <v>35</v>
      </c>
      <c r="AC1166">
        <v>15</v>
      </c>
      <c r="AD1166" t="str" cm="1">
        <f t="array" ref="AD1166">_xlfn.IFS(HRData[[#This Row],[PercentSalaryHike]]&lt;=15,"11-15",HRData[[#This Row],[PercentSalaryHike]]&lt;=20,"16-20",HRData[[#This Row],[PercentSalaryHike]]&gt;=21,"21+")</f>
        <v>11-15</v>
      </c>
      <c r="AE1166">
        <v>3</v>
      </c>
      <c r="AF1166">
        <v>4</v>
      </c>
      <c r="AG1166">
        <v>80</v>
      </c>
      <c r="AH1166">
        <v>0</v>
      </c>
      <c r="AI1166">
        <v>18</v>
      </c>
      <c r="AJ1166">
        <v>2</v>
      </c>
      <c r="AK1166">
        <v>2</v>
      </c>
      <c r="AL1166">
        <v>4</v>
      </c>
      <c r="AM1166">
        <v>2</v>
      </c>
      <c r="AN1166">
        <v>3</v>
      </c>
      <c r="AO1166">
        <v>3</v>
      </c>
      <c r="AP116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66" t="str">
        <f>IF(HRData[[#This Row],[Attrition]]="Yes","Left", IF(HRData[[#This Row],[Attrition_Risk_Score]]&gt;=6,"High",IF(HRData[[#This Row],[Attrition_Risk_Score]]&gt;=3,"Medium","Low")))</f>
        <v>Medium</v>
      </c>
      <c r="AR1166" t="str">
        <f>IF(HRData[[#This Row],[Attrition_Risk_Level]]&lt;&gt;"High","",HRData[[#This Row],[Attrition_Risk_Score]]*10000-HRData[[#This Row],[EmployeeNumber]])</f>
        <v/>
      </c>
    </row>
    <row r="1167" spans="1:44">
      <c r="A1167">
        <v>44</v>
      </c>
      <c r="B1167" t="str" cm="1">
        <f t="array" ref="B1167">_xlfn.IFS(
HRData[[#This Row],[Age]]&lt;=24,"18-24",
HRData[[#This Row],[Age]]&lt;=34,"25-34",
HRData[[#This Row],[Age]]&lt;=44,"35-44",
HRData[[#This Row],[Age]]&lt;=54,"45-54",
HRData[[#This Row],[Age]]&gt;=55,"55+"
)</f>
        <v>35-44</v>
      </c>
      <c r="C1167" t="s">
        <v>43</v>
      </c>
      <c r="D1167">
        <f>IF(HRData[[#This Row],[Attrition]]="Yes",1,0)</f>
        <v>0</v>
      </c>
      <c r="E1167" t="s">
        <v>44</v>
      </c>
      <c r="F1167">
        <v>602</v>
      </c>
      <c r="G1167" t="s">
        <v>61</v>
      </c>
      <c r="H1167">
        <v>1</v>
      </c>
      <c r="I1167">
        <v>5</v>
      </c>
      <c r="J1167" t="s">
        <v>61</v>
      </c>
      <c r="K1167">
        <v>1</v>
      </c>
      <c r="L1167">
        <v>1642</v>
      </c>
      <c r="M1167">
        <v>1</v>
      </c>
      <c r="N1167" t="str" cm="1">
        <f t="array" ref="N1167">_xlfn.IFS(HRData[[#This Row],[EnvironmentSatisfaction]]=1,"Very Dissatisfied",
HRData[[#This Row],[EnvironmentSatisfaction]]=2,"Dissatisfied",
HRData[[#This Row],[EnvironmentSatisfaction]]=3,"Satisfied",
HRData[[#This Row],[EnvironmentSatisfaction]]=4,"Very Satisfied"
)</f>
        <v>Very Dissatisfied</v>
      </c>
      <c r="O1167" t="s">
        <v>46</v>
      </c>
      <c r="P1167">
        <v>37</v>
      </c>
      <c r="Q1167">
        <v>3</v>
      </c>
      <c r="R1167">
        <v>2</v>
      </c>
      <c r="S1167" t="s">
        <v>61</v>
      </c>
      <c r="T1167">
        <v>4</v>
      </c>
      <c r="U1167" t="str" cm="1">
        <f t="array" ref="U1167">_xlfn.IFS(
HRData[[#This Row],[JobSatisfaction]]=1,"Very Dissatisfied",
HRData[[#This Row],[JobSatisfaction]]=2,"Dissatisfied",
HRData[[#This Row],[JobSatisfaction]]=3,"Satisfied",
HRData[[#This Row],[JobSatisfaction]]=4,"Very Satisfied"
)</f>
        <v>Very Satisfied</v>
      </c>
      <c r="V1167" t="s">
        <v>48</v>
      </c>
      <c r="W1167">
        <v>5743</v>
      </c>
      <c r="X1167" t="str" cm="1">
        <f t="array" ref="X1167">_xlfn.IFS(
HRData[[#This Row],[MonthlyIncome]]&lt;=4000,"Very Low Income",
HRData[[#This Row],[MonthlyIncome]]&lt;=8000,"Low Income",
HRData[[#This Row],[MonthlyIncome]]&lt;=12000,"Moderate Income",
HRData[[#This Row],[MonthlyIncome]]&lt;=16000,"High Income",
HRData[[#This Row],[MonthlyIncome]]&gt;16000,"Very High Income"
)</f>
        <v>Low Income</v>
      </c>
      <c r="Y1167">
        <v>10503</v>
      </c>
      <c r="Z1167">
        <v>4</v>
      </c>
      <c r="AA1167" t="s">
        <v>42</v>
      </c>
      <c r="AB1167" t="s">
        <v>35</v>
      </c>
      <c r="AC1167">
        <v>11</v>
      </c>
      <c r="AD1167" t="str" cm="1">
        <f t="array" ref="AD1167">_xlfn.IFS(HRData[[#This Row],[PercentSalaryHike]]&lt;=15,"11-15",HRData[[#This Row],[PercentSalaryHike]]&lt;=20,"16-20",HRData[[#This Row],[PercentSalaryHike]]&gt;=21,"21+")</f>
        <v>11-15</v>
      </c>
      <c r="AE1167">
        <v>3</v>
      </c>
      <c r="AF1167">
        <v>3</v>
      </c>
      <c r="AG1167">
        <v>80</v>
      </c>
      <c r="AH1167">
        <v>0</v>
      </c>
      <c r="AI1167">
        <v>14</v>
      </c>
      <c r="AJ1167">
        <v>3</v>
      </c>
      <c r="AK1167">
        <v>3</v>
      </c>
      <c r="AL1167">
        <v>10</v>
      </c>
      <c r="AM1167">
        <v>7</v>
      </c>
      <c r="AN1167">
        <v>0</v>
      </c>
      <c r="AO1167">
        <v>2</v>
      </c>
      <c r="AP116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167" t="str">
        <f>IF(HRData[[#This Row],[Attrition]]="Yes","Left", IF(HRData[[#This Row],[Attrition_Risk_Score]]&gt;=6,"High",IF(HRData[[#This Row],[Attrition_Risk_Score]]&gt;=3,"Medium","Low")))</f>
        <v>Medium</v>
      </c>
      <c r="AR1167" t="str">
        <f>IF(HRData[[#This Row],[Attrition_Risk_Level]]&lt;&gt;"High","",HRData[[#This Row],[Attrition_Risk_Score]]*10000-HRData[[#This Row],[EmployeeNumber]])</f>
        <v/>
      </c>
    </row>
    <row r="1168" spans="1:44">
      <c r="A1168">
        <v>48</v>
      </c>
      <c r="B1168" t="str" cm="1">
        <f t="array" ref="B1168">_xlfn.IFS(
HRData[[#This Row],[Age]]&lt;=24,"18-24",
HRData[[#This Row],[Age]]&lt;=34,"25-34",
HRData[[#This Row],[Age]]&lt;=44,"35-44",
HRData[[#This Row],[Age]]&lt;=54,"45-54",
HRData[[#This Row],[Age]]&gt;=55,"55+"
)</f>
        <v>45-54</v>
      </c>
      <c r="C1168" t="s">
        <v>43</v>
      </c>
      <c r="D1168">
        <f>IF(HRData[[#This Row],[Attrition]]="Yes",1,0)</f>
        <v>0</v>
      </c>
      <c r="E1168" t="s">
        <v>44</v>
      </c>
      <c r="F1168">
        <v>365</v>
      </c>
      <c r="G1168" t="s">
        <v>45</v>
      </c>
      <c r="H1168">
        <v>4</v>
      </c>
      <c r="I1168">
        <v>5</v>
      </c>
      <c r="J1168" t="s">
        <v>51</v>
      </c>
      <c r="K1168">
        <v>1</v>
      </c>
      <c r="L1168">
        <v>1644</v>
      </c>
      <c r="M1168">
        <v>3</v>
      </c>
      <c r="N1168" t="str" cm="1">
        <f t="array" ref="N1168">_xlfn.IFS(HRData[[#This Row],[EnvironmentSatisfaction]]=1,"Very Dissatisfied",
HRData[[#This Row],[EnvironmentSatisfaction]]=2,"Dissatisfied",
HRData[[#This Row],[EnvironmentSatisfaction]]=3,"Satisfied",
HRData[[#This Row],[EnvironmentSatisfaction]]=4,"Very Satisfied"
)</f>
        <v>Satisfied</v>
      </c>
      <c r="O1168" t="s">
        <v>46</v>
      </c>
      <c r="P1168">
        <v>89</v>
      </c>
      <c r="Q1168">
        <v>2</v>
      </c>
      <c r="R1168">
        <v>4</v>
      </c>
      <c r="S1168" t="s">
        <v>56</v>
      </c>
      <c r="T1168">
        <v>4</v>
      </c>
      <c r="U1168" t="str" cm="1">
        <f t="array" ref="U1168">_xlfn.IFS(
HRData[[#This Row],[JobSatisfaction]]=1,"Very Dissatisfied",
HRData[[#This Row],[JobSatisfaction]]=2,"Dissatisfied",
HRData[[#This Row],[JobSatisfaction]]=3,"Satisfied",
HRData[[#This Row],[JobSatisfaction]]=4,"Very Satisfied"
)</f>
        <v>Very Satisfied</v>
      </c>
      <c r="V1168" t="s">
        <v>48</v>
      </c>
      <c r="W1168">
        <v>15202</v>
      </c>
      <c r="X1168" t="str" cm="1">
        <f t="array" ref="X1168">_xlfn.IFS(
HRData[[#This Row],[MonthlyIncome]]&lt;=4000,"Very Low Income",
HRData[[#This Row],[MonthlyIncome]]&lt;=8000,"Low Income",
HRData[[#This Row],[MonthlyIncome]]&lt;=12000,"Moderate Income",
HRData[[#This Row],[MonthlyIncome]]&lt;=16000,"High Income",
HRData[[#This Row],[MonthlyIncome]]&gt;16000,"Very High Income"
)</f>
        <v>High Income</v>
      </c>
      <c r="Y1168">
        <v>5602</v>
      </c>
      <c r="Z1168">
        <v>2</v>
      </c>
      <c r="AA1168" t="s">
        <v>42</v>
      </c>
      <c r="AB1168" t="s">
        <v>43</v>
      </c>
      <c r="AC1168">
        <v>25</v>
      </c>
      <c r="AD1168" t="str" cm="1">
        <f t="array" ref="AD1168">_xlfn.IFS(HRData[[#This Row],[PercentSalaryHike]]&lt;=15,"11-15",HRData[[#This Row],[PercentSalaryHike]]&lt;=20,"16-20",HRData[[#This Row],[PercentSalaryHike]]&gt;=21,"21+")</f>
        <v>21+</v>
      </c>
      <c r="AE1168">
        <v>4</v>
      </c>
      <c r="AF1168">
        <v>2</v>
      </c>
      <c r="AG1168">
        <v>80</v>
      </c>
      <c r="AH1168">
        <v>1</v>
      </c>
      <c r="AI1168">
        <v>23</v>
      </c>
      <c r="AJ1168">
        <v>3</v>
      </c>
      <c r="AK1168">
        <v>3</v>
      </c>
      <c r="AL1168">
        <v>2</v>
      </c>
      <c r="AM1168">
        <v>2</v>
      </c>
      <c r="AN1168">
        <v>2</v>
      </c>
      <c r="AO1168">
        <v>2</v>
      </c>
      <c r="AP116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168" t="str">
        <f>IF(HRData[[#This Row],[Attrition]]="Yes","Left", IF(HRData[[#This Row],[Attrition_Risk_Score]]&gt;=6,"High",IF(HRData[[#This Row],[Attrition_Risk_Score]]&gt;=3,"Medium","Low")))</f>
        <v>Low</v>
      </c>
      <c r="AR1168" t="str">
        <f>IF(HRData[[#This Row],[Attrition_Risk_Level]]&lt;&gt;"High","",HRData[[#This Row],[Attrition_Risk_Score]]*10000-HRData[[#This Row],[EmployeeNumber]])</f>
        <v/>
      </c>
    </row>
    <row r="1169" spans="1:44">
      <c r="A1169">
        <v>35</v>
      </c>
      <c r="B1169" t="str" cm="1">
        <f t="array" ref="B1169">_xlfn.IFS(
HRData[[#This Row],[Age]]&lt;=24,"18-24",
HRData[[#This Row],[Age]]&lt;=34,"25-34",
HRData[[#This Row],[Age]]&lt;=44,"35-44",
HRData[[#This Row],[Age]]&lt;=54,"45-54",
HRData[[#This Row],[Age]]&gt;=55,"55+"
)</f>
        <v>35-44</v>
      </c>
      <c r="C1169" t="s">
        <v>35</v>
      </c>
      <c r="D1169">
        <f>IF(HRData[[#This Row],[Attrition]]="Yes",1,0)</f>
        <v>1</v>
      </c>
      <c r="E1169" t="s">
        <v>36</v>
      </c>
      <c r="F1169">
        <v>763</v>
      </c>
      <c r="G1169" t="s">
        <v>37</v>
      </c>
      <c r="H1169">
        <v>15</v>
      </c>
      <c r="I1169">
        <v>2</v>
      </c>
      <c r="J1169" t="s">
        <v>51</v>
      </c>
      <c r="K1169">
        <v>1</v>
      </c>
      <c r="L1169">
        <v>1645</v>
      </c>
      <c r="M1169">
        <v>1</v>
      </c>
      <c r="N1169" t="str" cm="1">
        <f t="array" ref="N1169">_xlfn.IFS(HRData[[#This Row],[EnvironmentSatisfaction]]=1,"Very Dissatisfied",
HRData[[#This Row],[EnvironmentSatisfaction]]=2,"Dissatisfied",
HRData[[#This Row],[EnvironmentSatisfaction]]=3,"Satisfied",
HRData[[#This Row],[EnvironmentSatisfaction]]=4,"Very Satisfied"
)</f>
        <v>Very Dissatisfied</v>
      </c>
      <c r="O1169" t="s">
        <v>46</v>
      </c>
      <c r="P1169">
        <v>59</v>
      </c>
      <c r="Q1169">
        <v>1</v>
      </c>
      <c r="R1169">
        <v>2</v>
      </c>
      <c r="S1169" t="s">
        <v>40</v>
      </c>
      <c r="T1169">
        <v>4</v>
      </c>
      <c r="U1169" t="str" cm="1">
        <f t="array" ref="U1169">_xlfn.IFS(
HRData[[#This Row],[JobSatisfaction]]=1,"Very Dissatisfied",
HRData[[#This Row],[JobSatisfaction]]=2,"Dissatisfied",
HRData[[#This Row],[JobSatisfaction]]=3,"Satisfied",
HRData[[#This Row],[JobSatisfaction]]=4,"Very Satisfied"
)</f>
        <v>Very Satisfied</v>
      </c>
      <c r="V1169" t="s">
        <v>52</v>
      </c>
      <c r="W1169">
        <v>5440</v>
      </c>
      <c r="X1169" t="str" cm="1">
        <f t="array" ref="X1169">_xlfn.IFS(
HRData[[#This Row],[MonthlyIncome]]&lt;=4000,"Very Low Income",
HRData[[#This Row],[MonthlyIncome]]&lt;=8000,"Low Income",
HRData[[#This Row],[MonthlyIncome]]&lt;=12000,"Moderate Income",
HRData[[#This Row],[MonthlyIncome]]&lt;=16000,"High Income",
HRData[[#This Row],[MonthlyIncome]]&gt;16000,"Very High Income"
)</f>
        <v>Low Income</v>
      </c>
      <c r="Y1169">
        <v>22098</v>
      </c>
      <c r="Z1169">
        <v>6</v>
      </c>
      <c r="AA1169" t="s">
        <v>42</v>
      </c>
      <c r="AB1169" t="s">
        <v>35</v>
      </c>
      <c r="AC1169">
        <v>14</v>
      </c>
      <c r="AD1169" t="str" cm="1">
        <f t="array" ref="AD1169">_xlfn.IFS(HRData[[#This Row],[PercentSalaryHike]]&lt;=15,"11-15",HRData[[#This Row],[PercentSalaryHike]]&lt;=20,"16-20",HRData[[#This Row],[PercentSalaryHike]]&gt;=21,"21+")</f>
        <v>11-15</v>
      </c>
      <c r="AE1169">
        <v>3</v>
      </c>
      <c r="AF1169">
        <v>4</v>
      </c>
      <c r="AG1169">
        <v>80</v>
      </c>
      <c r="AH1169">
        <v>2</v>
      </c>
      <c r="AI1169">
        <v>7</v>
      </c>
      <c r="AJ1169">
        <v>2</v>
      </c>
      <c r="AK1169">
        <v>2</v>
      </c>
      <c r="AL1169">
        <v>2</v>
      </c>
      <c r="AM1169">
        <v>2</v>
      </c>
      <c r="AN1169">
        <v>2</v>
      </c>
      <c r="AO1169">
        <v>2</v>
      </c>
      <c r="AP116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169" t="str">
        <f>IF(HRData[[#This Row],[Attrition]]="Yes","Left", IF(HRData[[#This Row],[Attrition_Risk_Score]]&gt;=6,"High",IF(HRData[[#This Row],[Attrition_Risk_Score]]&gt;=3,"Medium","Low")))</f>
        <v>Left</v>
      </c>
      <c r="AR1169" t="str">
        <f>IF(HRData[[#This Row],[Attrition_Risk_Level]]&lt;&gt;"High","",HRData[[#This Row],[Attrition_Risk_Score]]*10000-HRData[[#This Row],[EmployeeNumber]])</f>
        <v/>
      </c>
    </row>
    <row r="1170" spans="1:44">
      <c r="A1170">
        <v>24</v>
      </c>
      <c r="B1170" t="str" cm="1">
        <f t="array" ref="B1170">_xlfn.IFS(
HRData[[#This Row],[Age]]&lt;=24,"18-24",
HRData[[#This Row],[Age]]&lt;=34,"25-34",
HRData[[#This Row],[Age]]&lt;=44,"35-44",
HRData[[#This Row],[Age]]&lt;=54,"45-54",
HRData[[#This Row],[Age]]&gt;=55,"55+"
)</f>
        <v>18-24</v>
      </c>
      <c r="C1170" t="s">
        <v>43</v>
      </c>
      <c r="D1170">
        <f>IF(HRData[[#This Row],[Attrition]]="Yes",1,0)</f>
        <v>0</v>
      </c>
      <c r="E1170" t="s">
        <v>44</v>
      </c>
      <c r="F1170">
        <v>567</v>
      </c>
      <c r="G1170" t="s">
        <v>45</v>
      </c>
      <c r="H1170">
        <v>2</v>
      </c>
      <c r="I1170">
        <v>1</v>
      </c>
      <c r="J1170" t="s">
        <v>60</v>
      </c>
      <c r="K1170">
        <v>1</v>
      </c>
      <c r="L1170">
        <v>1646</v>
      </c>
      <c r="M1170">
        <v>1</v>
      </c>
      <c r="N1170" t="str" cm="1">
        <f t="array" ref="N1170">_xlfn.IFS(HRData[[#This Row],[EnvironmentSatisfaction]]=1,"Very Dissatisfied",
HRData[[#This Row],[EnvironmentSatisfaction]]=2,"Dissatisfied",
HRData[[#This Row],[EnvironmentSatisfaction]]=3,"Satisfied",
HRData[[#This Row],[EnvironmentSatisfaction]]=4,"Very Satisfied"
)</f>
        <v>Very Dissatisfied</v>
      </c>
      <c r="O1170" t="s">
        <v>39</v>
      </c>
      <c r="P1170">
        <v>32</v>
      </c>
      <c r="Q1170">
        <v>3</v>
      </c>
      <c r="R1170">
        <v>1</v>
      </c>
      <c r="S1170" t="s">
        <v>47</v>
      </c>
      <c r="T1170">
        <v>4</v>
      </c>
      <c r="U1170" t="str" cm="1">
        <f t="array" ref="U1170">_xlfn.IFS(
HRData[[#This Row],[JobSatisfaction]]=1,"Very Dissatisfied",
HRData[[#This Row],[JobSatisfaction]]=2,"Dissatisfied",
HRData[[#This Row],[JobSatisfaction]]=3,"Satisfied",
HRData[[#This Row],[JobSatisfaction]]=4,"Very Satisfied"
)</f>
        <v>Very Satisfied</v>
      </c>
      <c r="V1170" t="s">
        <v>41</v>
      </c>
      <c r="W1170">
        <v>3760</v>
      </c>
      <c r="X1170" t="str" cm="1">
        <f t="array" ref="X1170">_xlfn.IFS(
HRData[[#This Row],[MonthlyIncome]]&lt;=4000,"Very Low Income",
HRData[[#This Row],[MonthlyIncome]]&lt;=8000,"Low Income",
HRData[[#This Row],[MonthlyIncome]]&lt;=12000,"Moderate Income",
HRData[[#This Row],[MonthlyIncome]]&lt;=16000,"High Income",
HRData[[#This Row],[MonthlyIncome]]&gt;16000,"Very High Income"
)</f>
        <v>Very Low Income</v>
      </c>
      <c r="Y1170">
        <v>17218</v>
      </c>
      <c r="Z1170">
        <v>1</v>
      </c>
      <c r="AA1170" t="s">
        <v>42</v>
      </c>
      <c r="AB1170" t="s">
        <v>35</v>
      </c>
      <c r="AC1170">
        <v>13</v>
      </c>
      <c r="AD1170" t="str" cm="1">
        <f t="array" ref="AD1170">_xlfn.IFS(HRData[[#This Row],[PercentSalaryHike]]&lt;=15,"11-15",HRData[[#This Row],[PercentSalaryHike]]&lt;=20,"16-20",HRData[[#This Row],[PercentSalaryHike]]&gt;=21,"21+")</f>
        <v>11-15</v>
      </c>
      <c r="AE1170">
        <v>3</v>
      </c>
      <c r="AF1170">
        <v>3</v>
      </c>
      <c r="AG1170">
        <v>80</v>
      </c>
      <c r="AH1170">
        <v>0</v>
      </c>
      <c r="AI1170">
        <v>6</v>
      </c>
      <c r="AJ1170">
        <v>2</v>
      </c>
      <c r="AK1170">
        <v>3</v>
      </c>
      <c r="AL1170">
        <v>6</v>
      </c>
      <c r="AM1170">
        <v>3</v>
      </c>
      <c r="AN1170">
        <v>1</v>
      </c>
      <c r="AO1170">
        <v>3</v>
      </c>
      <c r="AP117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170" t="str">
        <f>IF(HRData[[#This Row],[Attrition]]="Yes","Left", IF(HRData[[#This Row],[Attrition_Risk_Score]]&gt;=6,"High",IF(HRData[[#This Row],[Attrition_Risk_Score]]&gt;=3,"Medium","Low")))</f>
        <v>High</v>
      </c>
      <c r="AR1170">
        <f>IF(HRData[[#This Row],[Attrition_Risk_Level]]&lt;&gt;"High","",HRData[[#This Row],[Attrition_Risk_Score]]*10000-HRData[[#This Row],[EmployeeNumber]])</f>
        <v>58354</v>
      </c>
    </row>
    <row r="1171" spans="1:44">
      <c r="A1171">
        <v>27</v>
      </c>
      <c r="B1171" t="str" cm="1">
        <f t="array" ref="B1171">_xlfn.IFS(
HRData[[#This Row],[Age]]&lt;=24,"18-24",
HRData[[#This Row],[Age]]&lt;=34,"25-34",
HRData[[#This Row],[Age]]&lt;=44,"35-44",
HRData[[#This Row],[Age]]&lt;=54,"45-54",
HRData[[#This Row],[Age]]&gt;=55,"55+"
)</f>
        <v>25-34</v>
      </c>
      <c r="C1171" t="s">
        <v>43</v>
      </c>
      <c r="D1171">
        <f>IF(HRData[[#This Row],[Attrition]]="Yes",1,0)</f>
        <v>0</v>
      </c>
      <c r="E1171" t="s">
        <v>36</v>
      </c>
      <c r="F1171">
        <v>486</v>
      </c>
      <c r="G1171" t="s">
        <v>45</v>
      </c>
      <c r="H1171">
        <v>8</v>
      </c>
      <c r="I1171">
        <v>3</v>
      </c>
      <c r="J1171" t="s">
        <v>51</v>
      </c>
      <c r="K1171">
        <v>1</v>
      </c>
      <c r="L1171">
        <v>1647</v>
      </c>
      <c r="M1171">
        <v>2</v>
      </c>
      <c r="N1171" t="str" cm="1">
        <f t="array" ref="N1171">_xlfn.IFS(HRData[[#This Row],[EnvironmentSatisfaction]]=1,"Very Dissatisfied",
HRData[[#This Row],[EnvironmentSatisfaction]]=2,"Dissatisfied",
HRData[[#This Row],[EnvironmentSatisfaction]]=3,"Satisfied",
HRData[[#This Row],[EnvironmentSatisfaction]]=4,"Very Satisfied"
)</f>
        <v>Dissatisfied</v>
      </c>
      <c r="O1171" t="s">
        <v>39</v>
      </c>
      <c r="P1171">
        <v>86</v>
      </c>
      <c r="Q1171">
        <v>4</v>
      </c>
      <c r="R1171">
        <v>1</v>
      </c>
      <c r="S1171" t="s">
        <v>47</v>
      </c>
      <c r="T1171">
        <v>3</v>
      </c>
      <c r="U1171" t="str" cm="1">
        <f t="array" ref="U1171">_xlfn.IFS(
HRData[[#This Row],[JobSatisfaction]]=1,"Very Dissatisfied",
HRData[[#This Row],[JobSatisfaction]]=2,"Dissatisfied",
HRData[[#This Row],[JobSatisfaction]]=3,"Satisfied",
HRData[[#This Row],[JobSatisfaction]]=4,"Very Satisfied"
)</f>
        <v>Satisfied</v>
      </c>
      <c r="V1171" t="s">
        <v>48</v>
      </c>
      <c r="W1171">
        <v>3517</v>
      </c>
      <c r="X1171" t="str" cm="1">
        <f t="array" ref="X1171">_xlfn.IFS(
HRData[[#This Row],[MonthlyIncome]]&lt;=4000,"Very Low Income",
HRData[[#This Row],[MonthlyIncome]]&lt;=8000,"Low Income",
HRData[[#This Row],[MonthlyIncome]]&lt;=12000,"Moderate Income",
HRData[[#This Row],[MonthlyIncome]]&lt;=16000,"High Income",
HRData[[#This Row],[MonthlyIncome]]&gt;16000,"Very High Income"
)</f>
        <v>Very Low Income</v>
      </c>
      <c r="Y1171">
        <v>22490</v>
      </c>
      <c r="Z1171">
        <v>7</v>
      </c>
      <c r="AA1171" t="s">
        <v>42</v>
      </c>
      <c r="AB1171" t="s">
        <v>43</v>
      </c>
      <c r="AC1171">
        <v>17</v>
      </c>
      <c r="AD1171" t="str" cm="1">
        <f t="array" ref="AD1171">_xlfn.IFS(HRData[[#This Row],[PercentSalaryHike]]&lt;=15,"11-15",HRData[[#This Row],[PercentSalaryHike]]&lt;=20,"16-20",HRData[[#This Row],[PercentSalaryHike]]&gt;=21,"21+")</f>
        <v>16-20</v>
      </c>
      <c r="AE1171">
        <v>3</v>
      </c>
      <c r="AF1171">
        <v>1</v>
      </c>
      <c r="AG1171">
        <v>80</v>
      </c>
      <c r="AH1171">
        <v>0</v>
      </c>
      <c r="AI1171">
        <v>5</v>
      </c>
      <c r="AJ1171">
        <v>0</v>
      </c>
      <c r="AK1171">
        <v>3</v>
      </c>
      <c r="AL1171">
        <v>3</v>
      </c>
      <c r="AM1171">
        <v>2</v>
      </c>
      <c r="AN1171">
        <v>0</v>
      </c>
      <c r="AO1171">
        <v>2</v>
      </c>
      <c r="AP117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71" t="str">
        <f>IF(HRData[[#This Row],[Attrition]]="Yes","Left", IF(HRData[[#This Row],[Attrition_Risk_Score]]&gt;=6,"High",IF(HRData[[#This Row],[Attrition_Risk_Score]]&gt;=3,"Medium","Low")))</f>
        <v>Medium</v>
      </c>
      <c r="AR1171" t="str">
        <f>IF(HRData[[#This Row],[Attrition_Risk_Level]]&lt;&gt;"High","",HRData[[#This Row],[Attrition_Risk_Score]]*10000-HRData[[#This Row],[EmployeeNumber]])</f>
        <v/>
      </c>
    </row>
    <row r="1172" spans="1:44">
      <c r="A1172">
        <v>27</v>
      </c>
      <c r="B1172" t="str" cm="1">
        <f t="array" ref="B1172">_xlfn.IFS(
HRData[[#This Row],[Age]]&lt;=24,"18-24",
HRData[[#This Row],[Age]]&lt;=34,"25-34",
HRData[[#This Row],[Age]]&lt;=44,"35-44",
HRData[[#This Row],[Age]]&lt;=54,"45-54",
HRData[[#This Row],[Age]]&gt;=55,"55+"
)</f>
        <v>25-34</v>
      </c>
      <c r="C1172" t="s">
        <v>43</v>
      </c>
      <c r="D1172">
        <f>IF(HRData[[#This Row],[Attrition]]="Yes",1,0)</f>
        <v>0</v>
      </c>
      <c r="E1172" t="s">
        <v>44</v>
      </c>
      <c r="F1172">
        <v>591</v>
      </c>
      <c r="G1172" t="s">
        <v>45</v>
      </c>
      <c r="H1172">
        <v>2</v>
      </c>
      <c r="I1172">
        <v>3</v>
      </c>
      <c r="J1172" t="s">
        <v>51</v>
      </c>
      <c r="K1172">
        <v>1</v>
      </c>
      <c r="L1172">
        <v>1648</v>
      </c>
      <c r="M1172">
        <v>4</v>
      </c>
      <c r="N1172" t="str" cm="1">
        <f t="array" ref="N1172">_xlfn.IFS(HRData[[#This Row],[EnvironmentSatisfaction]]=1,"Very Dissatisfied",
HRData[[#This Row],[EnvironmentSatisfaction]]=2,"Dissatisfied",
HRData[[#This Row],[EnvironmentSatisfaction]]=3,"Satisfied",
HRData[[#This Row],[EnvironmentSatisfaction]]=4,"Very Satisfied"
)</f>
        <v>Very Satisfied</v>
      </c>
      <c r="O1172" t="s">
        <v>46</v>
      </c>
      <c r="P1172">
        <v>87</v>
      </c>
      <c r="Q1172">
        <v>3</v>
      </c>
      <c r="R1172">
        <v>1</v>
      </c>
      <c r="S1172" t="s">
        <v>47</v>
      </c>
      <c r="T1172">
        <v>4</v>
      </c>
      <c r="U1172" t="str" cm="1">
        <f t="array" ref="U1172">_xlfn.IFS(
HRData[[#This Row],[JobSatisfaction]]=1,"Very Dissatisfied",
HRData[[#This Row],[JobSatisfaction]]=2,"Dissatisfied",
HRData[[#This Row],[JobSatisfaction]]=3,"Satisfied",
HRData[[#This Row],[JobSatisfaction]]=4,"Very Satisfied"
)</f>
        <v>Very Satisfied</v>
      </c>
      <c r="V1172" t="s">
        <v>41</v>
      </c>
      <c r="W1172">
        <v>2580</v>
      </c>
      <c r="X1172" t="str" cm="1">
        <f t="array" ref="X1172">_xlfn.IFS(
HRData[[#This Row],[MonthlyIncome]]&lt;=4000,"Very Low Income",
HRData[[#This Row],[MonthlyIncome]]&lt;=8000,"Low Income",
HRData[[#This Row],[MonthlyIncome]]&lt;=12000,"Moderate Income",
HRData[[#This Row],[MonthlyIncome]]&lt;=16000,"High Income",
HRData[[#This Row],[MonthlyIncome]]&gt;16000,"Very High Income"
)</f>
        <v>Very Low Income</v>
      </c>
      <c r="Y1172">
        <v>6297</v>
      </c>
      <c r="Z1172">
        <v>2</v>
      </c>
      <c r="AA1172" t="s">
        <v>42</v>
      </c>
      <c r="AB1172" t="s">
        <v>43</v>
      </c>
      <c r="AC1172">
        <v>13</v>
      </c>
      <c r="AD1172" t="str" cm="1">
        <f t="array" ref="AD1172">_xlfn.IFS(HRData[[#This Row],[PercentSalaryHike]]&lt;=15,"11-15",HRData[[#This Row],[PercentSalaryHike]]&lt;=20,"16-20",HRData[[#This Row],[PercentSalaryHike]]&gt;=21,"21+")</f>
        <v>11-15</v>
      </c>
      <c r="AE1172">
        <v>3</v>
      </c>
      <c r="AF1172">
        <v>3</v>
      </c>
      <c r="AG1172">
        <v>80</v>
      </c>
      <c r="AH1172">
        <v>0</v>
      </c>
      <c r="AI1172">
        <v>6</v>
      </c>
      <c r="AJ1172">
        <v>0</v>
      </c>
      <c r="AK1172">
        <v>2</v>
      </c>
      <c r="AL1172">
        <v>4</v>
      </c>
      <c r="AM1172">
        <v>2</v>
      </c>
      <c r="AN1172">
        <v>1</v>
      </c>
      <c r="AO1172">
        <v>2</v>
      </c>
      <c r="AP117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72" t="str">
        <f>IF(HRData[[#This Row],[Attrition]]="Yes","Left", IF(HRData[[#This Row],[Attrition_Risk_Score]]&gt;=6,"High",IF(HRData[[#This Row],[Attrition_Risk_Score]]&gt;=3,"Medium","Low")))</f>
        <v>Medium</v>
      </c>
      <c r="AR1172" t="str">
        <f>IF(HRData[[#This Row],[Attrition_Risk_Level]]&lt;&gt;"High","",HRData[[#This Row],[Attrition_Risk_Score]]*10000-HRData[[#This Row],[EmployeeNumber]])</f>
        <v/>
      </c>
    </row>
    <row r="1173" spans="1:44">
      <c r="A1173">
        <v>40</v>
      </c>
      <c r="B1173" t="str" cm="1">
        <f t="array" ref="B1173">_xlfn.IFS(
HRData[[#This Row],[Age]]&lt;=24,"18-24",
HRData[[#This Row],[Age]]&lt;=34,"25-34",
HRData[[#This Row],[Age]]&lt;=44,"35-44",
HRData[[#This Row],[Age]]&lt;=54,"45-54",
HRData[[#This Row],[Age]]&gt;=55,"55+"
)</f>
        <v>35-44</v>
      </c>
      <c r="C1173" t="s">
        <v>35</v>
      </c>
      <c r="D1173">
        <f>IF(HRData[[#This Row],[Attrition]]="Yes",1,0)</f>
        <v>1</v>
      </c>
      <c r="E1173" t="s">
        <v>36</v>
      </c>
      <c r="F1173">
        <v>1329</v>
      </c>
      <c r="G1173" t="s">
        <v>45</v>
      </c>
      <c r="H1173">
        <v>7</v>
      </c>
      <c r="I1173">
        <v>3</v>
      </c>
      <c r="J1173" t="s">
        <v>38</v>
      </c>
      <c r="K1173">
        <v>1</v>
      </c>
      <c r="L1173">
        <v>1649</v>
      </c>
      <c r="M1173">
        <v>1</v>
      </c>
      <c r="N1173" t="str" cm="1">
        <f t="array" ref="N1173">_xlfn.IFS(HRData[[#This Row],[EnvironmentSatisfaction]]=1,"Very Dissatisfied",
HRData[[#This Row],[EnvironmentSatisfaction]]=2,"Dissatisfied",
HRData[[#This Row],[EnvironmentSatisfaction]]=3,"Satisfied",
HRData[[#This Row],[EnvironmentSatisfaction]]=4,"Very Satisfied"
)</f>
        <v>Very Dissatisfied</v>
      </c>
      <c r="O1173" t="s">
        <v>46</v>
      </c>
      <c r="P1173">
        <v>73</v>
      </c>
      <c r="Q1173">
        <v>3</v>
      </c>
      <c r="R1173">
        <v>1</v>
      </c>
      <c r="S1173" t="s">
        <v>50</v>
      </c>
      <c r="T1173">
        <v>1</v>
      </c>
      <c r="U1173" t="str" cm="1">
        <f t="array" ref="U1173">_xlfn.IFS(
HRData[[#This Row],[JobSatisfaction]]=1,"Very Dissatisfied",
HRData[[#This Row],[JobSatisfaction]]=2,"Dissatisfied",
HRData[[#This Row],[JobSatisfaction]]=3,"Satisfied",
HRData[[#This Row],[JobSatisfaction]]=4,"Very Satisfied"
)</f>
        <v>Very Dissatisfied</v>
      </c>
      <c r="V1173" t="s">
        <v>41</v>
      </c>
      <c r="W1173">
        <v>2166</v>
      </c>
      <c r="X1173" t="str" cm="1">
        <f t="array" ref="X1173">_xlfn.IFS(
HRData[[#This Row],[MonthlyIncome]]&lt;=4000,"Very Low Income",
HRData[[#This Row],[MonthlyIncome]]&lt;=8000,"Low Income",
HRData[[#This Row],[MonthlyIncome]]&lt;=12000,"Moderate Income",
HRData[[#This Row],[MonthlyIncome]]&lt;=16000,"High Income",
HRData[[#This Row],[MonthlyIncome]]&gt;16000,"Very High Income"
)</f>
        <v>Very Low Income</v>
      </c>
      <c r="Y1173">
        <v>3339</v>
      </c>
      <c r="Z1173">
        <v>3</v>
      </c>
      <c r="AA1173" t="s">
        <v>42</v>
      </c>
      <c r="AB1173" t="s">
        <v>35</v>
      </c>
      <c r="AC1173">
        <v>14</v>
      </c>
      <c r="AD1173" t="str" cm="1">
        <f t="array" ref="AD1173">_xlfn.IFS(HRData[[#This Row],[PercentSalaryHike]]&lt;=15,"11-15",HRData[[#This Row],[PercentSalaryHike]]&lt;=20,"16-20",HRData[[#This Row],[PercentSalaryHike]]&gt;=21,"21+")</f>
        <v>11-15</v>
      </c>
      <c r="AE1173">
        <v>3</v>
      </c>
      <c r="AF1173">
        <v>2</v>
      </c>
      <c r="AG1173">
        <v>80</v>
      </c>
      <c r="AH1173">
        <v>0</v>
      </c>
      <c r="AI1173">
        <v>10</v>
      </c>
      <c r="AJ1173">
        <v>3</v>
      </c>
      <c r="AK1173">
        <v>1</v>
      </c>
      <c r="AL1173">
        <v>4</v>
      </c>
      <c r="AM1173">
        <v>2</v>
      </c>
      <c r="AN1173">
        <v>0</v>
      </c>
      <c r="AO1173">
        <v>3</v>
      </c>
      <c r="AP117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173" t="str">
        <f>IF(HRData[[#This Row],[Attrition]]="Yes","Left", IF(HRData[[#This Row],[Attrition_Risk_Score]]&gt;=6,"High",IF(HRData[[#This Row],[Attrition_Risk_Score]]&gt;=3,"Medium","Low")))</f>
        <v>Left</v>
      </c>
      <c r="AR1173" t="str">
        <f>IF(HRData[[#This Row],[Attrition_Risk_Level]]&lt;&gt;"High","",HRData[[#This Row],[Attrition_Risk_Score]]*10000-HRData[[#This Row],[EmployeeNumber]])</f>
        <v/>
      </c>
    </row>
    <row r="1174" spans="1:44">
      <c r="A1174">
        <v>29</v>
      </c>
      <c r="B1174" t="str" cm="1">
        <f t="array" ref="B1174">_xlfn.IFS(
HRData[[#This Row],[Age]]&lt;=24,"18-24",
HRData[[#This Row],[Age]]&lt;=34,"25-34",
HRData[[#This Row],[Age]]&lt;=44,"35-44",
HRData[[#This Row],[Age]]&lt;=54,"45-54",
HRData[[#This Row],[Age]]&gt;=55,"55+"
)</f>
        <v>25-34</v>
      </c>
      <c r="C1174" t="s">
        <v>43</v>
      </c>
      <c r="D1174">
        <f>IF(HRData[[#This Row],[Attrition]]="Yes",1,0)</f>
        <v>0</v>
      </c>
      <c r="E1174" t="s">
        <v>36</v>
      </c>
      <c r="F1174">
        <v>469</v>
      </c>
      <c r="G1174" t="s">
        <v>37</v>
      </c>
      <c r="H1174">
        <v>10</v>
      </c>
      <c r="I1174">
        <v>3</v>
      </c>
      <c r="J1174" t="s">
        <v>51</v>
      </c>
      <c r="K1174">
        <v>1</v>
      </c>
      <c r="L1174">
        <v>1650</v>
      </c>
      <c r="M1174">
        <v>3</v>
      </c>
      <c r="N1174" t="str" cm="1">
        <f t="array" ref="N1174">_xlfn.IFS(HRData[[#This Row],[EnvironmentSatisfaction]]=1,"Very Dissatisfied",
HRData[[#This Row],[EnvironmentSatisfaction]]=2,"Dissatisfied",
HRData[[#This Row],[EnvironmentSatisfaction]]=3,"Satisfied",
HRData[[#This Row],[EnvironmentSatisfaction]]=4,"Very Satisfied"
)</f>
        <v>Satisfied</v>
      </c>
      <c r="O1174" t="s">
        <v>46</v>
      </c>
      <c r="P1174">
        <v>42</v>
      </c>
      <c r="Q1174">
        <v>2</v>
      </c>
      <c r="R1174">
        <v>2</v>
      </c>
      <c r="S1174" t="s">
        <v>40</v>
      </c>
      <c r="T1174">
        <v>3</v>
      </c>
      <c r="U1174" t="str" cm="1">
        <f t="array" ref="U1174">_xlfn.IFS(
HRData[[#This Row],[JobSatisfaction]]=1,"Very Dissatisfied",
HRData[[#This Row],[JobSatisfaction]]=2,"Dissatisfied",
HRData[[#This Row],[JobSatisfaction]]=3,"Satisfied",
HRData[[#This Row],[JobSatisfaction]]=4,"Very Satisfied"
)</f>
        <v>Satisfied</v>
      </c>
      <c r="V1174" t="s">
        <v>41</v>
      </c>
      <c r="W1174">
        <v>5869</v>
      </c>
      <c r="X1174" t="str" cm="1">
        <f t="array" ref="X1174">_xlfn.IFS(
HRData[[#This Row],[MonthlyIncome]]&lt;=4000,"Very Low Income",
HRData[[#This Row],[MonthlyIncome]]&lt;=8000,"Low Income",
HRData[[#This Row],[MonthlyIncome]]&lt;=12000,"Moderate Income",
HRData[[#This Row],[MonthlyIncome]]&lt;=16000,"High Income",
HRData[[#This Row],[MonthlyIncome]]&gt;16000,"Very High Income"
)</f>
        <v>Low Income</v>
      </c>
      <c r="Y1174">
        <v>23413</v>
      </c>
      <c r="Z1174">
        <v>9</v>
      </c>
      <c r="AA1174" t="s">
        <v>42</v>
      </c>
      <c r="AB1174" t="s">
        <v>43</v>
      </c>
      <c r="AC1174">
        <v>11</v>
      </c>
      <c r="AD1174" t="str" cm="1">
        <f t="array" ref="AD1174">_xlfn.IFS(HRData[[#This Row],[PercentSalaryHike]]&lt;=15,"11-15",HRData[[#This Row],[PercentSalaryHike]]&lt;=20,"16-20",HRData[[#This Row],[PercentSalaryHike]]&gt;=21,"21+")</f>
        <v>11-15</v>
      </c>
      <c r="AE1174">
        <v>3</v>
      </c>
      <c r="AF1174">
        <v>3</v>
      </c>
      <c r="AG1174">
        <v>80</v>
      </c>
      <c r="AH1174">
        <v>0</v>
      </c>
      <c r="AI1174">
        <v>8</v>
      </c>
      <c r="AJ1174">
        <v>2</v>
      </c>
      <c r="AK1174">
        <v>3</v>
      </c>
      <c r="AL1174">
        <v>5</v>
      </c>
      <c r="AM1174">
        <v>2</v>
      </c>
      <c r="AN1174">
        <v>1</v>
      </c>
      <c r="AO1174">
        <v>4</v>
      </c>
      <c r="AP117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74" t="str">
        <f>IF(HRData[[#This Row],[Attrition]]="Yes","Left", IF(HRData[[#This Row],[Attrition_Risk_Score]]&gt;=6,"High",IF(HRData[[#This Row],[Attrition_Risk_Score]]&gt;=3,"Medium","Low")))</f>
        <v>Low</v>
      </c>
      <c r="AR1174" t="str">
        <f>IF(HRData[[#This Row],[Attrition_Risk_Level]]&lt;&gt;"High","",HRData[[#This Row],[Attrition_Risk_Score]]*10000-HRData[[#This Row],[EmployeeNumber]])</f>
        <v/>
      </c>
    </row>
    <row r="1175" spans="1:44">
      <c r="A1175">
        <v>36</v>
      </c>
      <c r="B1175" t="str" cm="1">
        <f t="array" ref="B1175">_xlfn.IFS(
HRData[[#This Row],[Age]]&lt;=24,"18-24",
HRData[[#This Row],[Age]]&lt;=34,"25-34",
HRData[[#This Row],[Age]]&lt;=44,"35-44",
HRData[[#This Row],[Age]]&lt;=54,"45-54",
HRData[[#This Row],[Age]]&gt;=55,"55+"
)</f>
        <v>35-44</v>
      </c>
      <c r="C1175" t="s">
        <v>43</v>
      </c>
      <c r="D1175">
        <f>IF(HRData[[#This Row],[Attrition]]="Yes",1,0)</f>
        <v>0</v>
      </c>
      <c r="E1175" t="s">
        <v>36</v>
      </c>
      <c r="F1175">
        <v>711</v>
      </c>
      <c r="G1175" t="s">
        <v>45</v>
      </c>
      <c r="H1175">
        <v>5</v>
      </c>
      <c r="I1175">
        <v>4</v>
      </c>
      <c r="J1175" t="s">
        <v>38</v>
      </c>
      <c r="K1175">
        <v>1</v>
      </c>
      <c r="L1175">
        <v>1651</v>
      </c>
      <c r="M1175">
        <v>2</v>
      </c>
      <c r="N1175" t="str" cm="1">
        <f t="array" ref="N1175">_xlfn.IFS(HRData[[#This Row],[EnvironmentSatisfaction]]=1,"Very Dissatisfied",
HRData[[#This Row],[EnvironmentSatisfaction]]=2,"Dissatisfied",
HRData[[#This Row],[EnvironmentSatisfaction]]=3,"Satisfied",
HRData[[#This Row],[EnvironmentSatisfaction]]=4,"Very Satisfied"
)</f>
        <v>Dissatisfied</v>
      </c>
      <c r="O1175" t="s">
        <v>39</v>
      </c>
      <c r="P1175">
        <v>42</v>
      </c>
      <c r="Q1175">
        <v>3</v>
      </c>
      <c r="R1175">
        <v>3</v>
      </c>
      <c r="S1175" t="s">
        <v>54</v>
      </c>
      <c r="T1175">
        <v>1</v>
      </c>
      <c r="U1175" t="str" cm="1">
        <f t="array" ref="U1175">_xlfn.IFS(
HRData[[#This Row],[JobSatisfaction]]=1,"Very Dissatisfied",
HRData[[#This Row],[JobSatisfaction]]=2,"Dissatisfied",
HRData[[#This Row],[JobSatisfaction]]=3,"Satisfied",
HRData[[#This Row],[JobSatisfaction]]=4,"Very Satisfied"
)</f>
        <v>Very Dissatisfied</v>
      </c>
      <c r="V1175" t="s">
        <v>48</v>
      </c>
      <c r="W1175">
        <v>8008</v>
      </c>
      <c r="X1175" t="str" cm="1">
        <f t="array" ref="X1175">_xlfn.IFS(
HRData[[#This Row],[MonthlyIncome]]&lt;=4000,"Very Low Income",
HRData[[#This Row],[MonthlyIncome]]&lt;=8000,"Low Income",
HRData[[#This Row],[MonthlyIncome]]&lt;=12000,"Moderate Income",
HRData[[#This Row],[MonthlyIncome]]&lt;=16000,"High Income",
HRData[[#This Row],[MonthlyIncome]]&gt;16000,"Very High Income"
)</f>
        <v>Moderate Income</v>
      </c>
      <c r="Y1175">
        <v>22792</v>
      </c>
      <c r="Z1175">
        <v>4</v>
      </c>
      <c r="AA1175" t="s">
        <v>42</v>
      </c>
      <c r="AB1175" t="s">
        <v>43</v>
      </c>
      <c r="AC1175">
        <v>12</v>
      </c>
      <c r="AD1175" t="str" cm="1">
        <f t="array" ref="AD1175">_xlfn.IFS(HRData[[#This Row],[PercentSalaryHike]]&lt;=15,"11-15",HRData[[#This Row],[PercentSalaryHike]]&lt;=20,"16-20",HRData[[#This Row],[PercentSalaryHike]]&gt;=21,"21+")</f>
        <v>11-15</v>
      </c>
      <c r="AE1175">
        <v>3</v>
      </c>
      <c r="AF1175">
        <v>3</v>
      </c>
      <c r="AG1175">
        <v>80</v>
      </c>
      <c r="AH1175">
        <v>2</v>
      </c>
      <c r="AI1175">
        <v>9</v>
      </c>
      <c r="AJ1175">
        <v>6</v>
      </c>
      <c r="AK1175">
        <v>3</v>
      </c>
      <c r="AL1175">
        <v>3</v>
      </c>
      <c r="AM1175">
        <v>2</v>
      </c>
      <c r="AN1175">
        <v>0</v>
      </c>
      <c r="AO1175">
        <v>2</v>
      </c>
      <c r="AP117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75" t="str">
        <f>IF(HRData[[#This Row],[Attrition]]="Yes","Left", IF(HRData[[#This Row],[Attrition_Risk_Score]]&gt;=6,"High",IF(HRData[[#This Row],[Attrition_Risk_Score]]&gt;=3,"Medium","Low")))</f>
        <v>Low</v>
      </c>
      <c r="AR1175" t="str">
        <f>IF(HRData[[#This Row],[Attrition_Risk_Level]]&lt;&gt;"High","",HRData[[#This Row],[Attrition_Risk_Score]]*10000-HRData[[#This Row],[EmployeeNumber]])</f>
        <v/>
      </c>
    </row>
    <row r="1176" spans="1:44">
      <c r="A1176">
        <v>25</v>
      </c>
      <c r="B1176" t="str" cm="1">
        <f t="array" ref="B1176">_xlfn.IFS(
HRData[[#This Row],[Age]]&lt;=24,"18-24",
HRData[[#This Row],[Age]]&lt;=34,"25-34",
HRData[[#This Row],[Age]]&lt;=44,"35-44",
HRData[[#This Row],[Age]]&lt;=54,"45-54",
HRData[[#This Row],[Age]]&gt;=55,"55+"
)</f>
        <v>25-34</v>
      </c>
      <c r="C1176" t="s">
        <v>43</v>
      </c>
      <c r="D1176">
        <f>IF(HRData[[#This Row],[Attrition]]="Yes",1,0)</f>
        <v>0</v>
      </c>
      <c r="E1176" t="s">
        <v>44</v>
      </c>
      <c r="F1176">
        <v>772</v>
      </c>
      <c r="G1176" t="s">
        <v>45</v>
      </c>
      <c r="H1176">
        <v>2</v>
      </c>
      <c r="I1176">
        <v>1</v>
      </c>
      <c r="J1176" t="s">
        <v>38</v>
      </c>
      <c r="K1176">
        <v>1</v>
      </c>
      <c r="L1176">
        <v>1653</v>
      </c>
      <c r="M1176">
        <v>4</v>
      </c>
      <c r="N1176" t="str" cm="1">
        <f t="array" ref="N1176">_xlfn.IFS(HRData[[#This Row],[EnvironmentSatisfaction]]=1,"Very Dissatisfied",
HRData[[#This Row],[EnvironmentSatisfaction]]=2,"Dissatisfied",
HRData[[#This Row],[EnvironmentSatisfaction]]=3,"Satisfied",
HRData[[#This Row],[EnvironmentSatisfaction]]=4,"Very Satisfied"
)</f>
        <v>Very Satisfied</v>
      </c>
      <c r="O1176" t="s">
        <v>46</v>
      </c>
      <c r="P1176">
        <v>77</v>
      </c>
      <c r="Q1176">
        <v>4</v>
      </c>
      <c r="R1176">
        <v>2</v>
      </c>
      <c r="S1176" t="s">
        <v>53</v>
      </c>
      <c r="T1176">
        <v>3</v>
      </c>
      <c r="U1176" t="str" cm="1">
        <f t="array" ref="U1176">_xlfn.IFS(
HRData[[#This Row],[JobSatisfaction]]=1,"Very Dissatisfied",
HRData[[#This Row],[JobSatisfaction]]=2,"Dissatisfied",
HRData[[#This Row],[JobSatisfaction]]=3,"Satisfied",
HRData[[#This Row],[JobSatisfaction]]=4,"Very Satisfied"
)</f>
        <v>Satisfied</v>
      </c>
      <c r="V1176" t="s">
        <v>52</v>
      </c>
      <c r="W1176">
        <v>5206</v>
      </c>
      <c r="X1176" t="str" cm="1">
        <f t="array" ref="X1176">_xlfn.IFS(
HRData[[#This Row],[MonthlyIncome]]&lt;=4000,"Very Low Income",
HRData[[#This Row],[MonthlyIncome]]&lt;=8000,"Low Income",
HRData[[#This Row],[MonthlyIncome]]&lt;=12000,"Moderate Income",
HRData[[#This Row],[MonthlyIncome]]&lt;=16000,"High Income",
HRData[[#This Row],[MonthlyIncome]]&gt;16000,"Very High Income"
)</f>
        <v>Low Income</v>
      </c>
      <c r="Y1176">
        <v>4973</v>
      </c>
      <c r="Z1176">
        <v>1</v>
      </c>
      <c r="AA1176" t="s">
        <v>42</v>
      </c>
      <c r="AB1176" t="s">
        <v>43</v>
      </c>
      <c r="AC1176">
        <v>17</v>
      </c>
      <c r="AD1176" t="str" cm="1">
        <f t="array" ref="AD1176">_xlfn.IFS(HRData[[#This Row],[PercentSalaryHike]]&lt;=15,"11-15",HRData[[#This Row],[PercentSalaryHike]]&lt;=20,"16-20",HRData[[#This Row],[PercentSalaryHike]]&gt;=21,"21+")</f>
        <v>16-20</v>
      </c>
      <c r="AE1176">
        <v>3</v>
      </c>
      <c r="AF1176">
        <v>3</v>
      </c>
      <c r="AG1176">
        <v>80</v>
      </c>
      <c r="AH1176">
        <v>2</v>
      </c>
      <c r="AI1176">
        <v>7</v>
      </c>
      <c r="AJ1176">
        <v>6</v>
      </c>
      <c r="AK1176">
        <v>3</v>
      </c>
      <c r="AL1176">
        <v>7</v>
      </c>
      <c r="AM1176">
        <v>7</v>
      </c>
      <c r="AN1176">
        <v>0</v>
      </c>
      <c r="AO1176">
        <v>7</v>
      </c>
      <c r="AP117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76" t="str">
        <f>IF(HRData[[#This Row],[Attrition]]="Yes","Left", IF(HRData[[#This Row],[Attrition_Risk_Score]]&gt;=6,"High",IF(HRData[[#This Row],[Attrition_Risk_Score]]&gt;=3,"Medium","Low")))</f>
        <v>Low</v>
      </c>
      <c r="AR1176" t="str">
        <f>IF(HRData[[#This Row],[Attrition_Risk_Level]]&lt;&gt;"High","",HRData[[#This Row],[Attrition_Risk_Score]]*10000-HRData[[#This Row],[EmployeeNumber]])</f>
        <v/>
      </c>
    </row>
    <row r="1177" spans="1:44">
      <c r="A1177">
        <v>39</v>
      </c>
      <c r="B1177" t="str" cm="1">
        <f t="array" ref="B1177">_xlfn.IFS(
HRData[[#This Row],[Age]]&lt;=24,"18-24",
HRData[[#This Row],[Age]]&lt;=34,"25-34",
HRData[[#This Row],[Age]]&lt;=44,"35-44",
HRData[[#This Row],[Age]]&lt;=54,"45-54",
HRData[[#This Row],[Age]]&gt;=55,"55+"
)</f>
        <v>35-44</v>
      </c>
      <c r="C1177" t="s">
        <v>43</v>
      </c>
      <c r="D1177">
        <f>IF(HRData[[#This Row],[Attrition]]="Yes",1,0)</f>
        <v>0</v>
      </c>
      <c r="E1177" t="s">
        <v>36</v>
      </c>
      <c r="F1177">
        <v>492</v>
      </c>
      <c r="G1177" t="s">
        <v>45</v>
      </c>
      <c r="H1177">
        <v>12</v>
      </c>
      <c r="I1177">
        <v>3</v>
      </c>
      <c r="J1177" t="s">
        <v>51</v>
      </c>
      <c r="K1177">
        <v>1</v>
      </c>
      <c r="L1177">
        <v>1654</v>
      </c>
      <c r="M1177">
        <v>4</v>
      </c>
      <c r="N1177" t="str" cm="1">
        <f t="array" ref="N1177">_xlfn.IFS(HRData[[#This Row],[EnvironmentSatisfaction]]=1,"Very Dissatisfied",
HRData[[#This Row],[EnvironmentSatisfaction]]=2,"Dissatisfied",
HRData[[#This Row],[EnvironmentSatisfaction]]=3,"Satisfied",
HRData[[#This Row],[EnvironmentSatisfaction]]=4,"Very Satisfied"
)</f>
        <v>Very Satisfied</v>
      </c>
      <c r="O1177" t="s">
        <v>46</v>
      </c>
      <c r="P1177">
        <v>66</v>
      </c>
      <c r="Q1177">
        <v>3</v>
      </c>
      <c r="R1177">
        <v>2</v>
      </c>
      <c r="S1177" t="s">
        <v>53</v>
      </c>
      <c r="T1177">
        <v>2</v>
      </c>
      <c r="U1177" t="str" cm="1">
        <f t="array" ref="U1177">_xlfn.IFS(
HRData[[#This Row],[JobSatisfaction]]=1,"Very Dissatisfied",
HRData[[#This Row],[JobSatisfaction]]=2,"Dissatisfied",
HRData[[#This Row],[JobSatisfaction]]=3,"Satisfied",
HRData[[#This Row],[JobSatisfaction]]=4,"Very Satisfied"
)</f>
        <v>Dissatisfied</v>
      </c>
      <c r="V1177" t="s">
        <v>48</v>
      </c>
      <c r="W1177">
        <v>5295</v>
      </c>
      <c r="X1177" t="str" cm="1">
        <f t="array" ref="X1177">_xlfn.IFS(
HRData[[#This Row],[MonthlyIncome]]&lt;=4000,"Very Low Income",
HRData[[#This Row],[MonthlyIncome]]&lt;=8000,"Low Income",
HRData[[#This Row],[MonthlyIncome]]&lt;=12000,"Moderate Income",
HRData[[#This Row],[MonthlyIncome]]&lt;=16000,"High Income",
HRData[[#This Row],[MonthlyIncome]]&gt;16000,"Very High Income"
)</f>
        <v>Low Income</v>
      </c>
      <c r="Y1177">
        <v>7693</v>
      </c>
      <c r="Z1177">
        <v>4</v>
      </c>
      <c r="AA1177" t="s">
        <v>42</v>
      </c>
      <c r="AB1177" t="s">
        <v>43</v>
      </c>
      <c r="AC1177">
        <v>21</v>
      </c>
      <c r="AD1177" t="str" cm="1">
        <f t="array" ref="AD1177">_xlfn.IFS(HRData[[#This Row],[PercentSalaryHike]]&lt;=15,"11-15",HRData[[#This Row],[PercentSalaryHike]]&lt;=20,"16-20",HRData[[#This Row],[PercentSalaryHike]]&gt;=21,"21+")</f>
        <v>21+</v>
      </c>
      <c r="AE1177">
        <v>4</v>
      </c>
      <c r="AF1177">
        <v>3</v>
      </c>
      <c r="AG1177">
        <v>80</v>
      </c>
      <c r="AH1177">
        <v>0</v>
      </c>
      <c r="AI1177">
        <v>7</v>
      </c>
      <c r="AJ1177">
        <v>3</v>
      </c>
      <c r="AK1177">
        <v>3</v>
      </c>
      <c r="AL1177">
        <v>5</v>
      </c>
      <c r="AM1177">
        <v>4</v>
      </c>
      <c r="AN1177">
        <v>1</v>
      </c>
      <c r="AO1177">
        <v>0</v>
      </c>
      <c r="AP117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177" t="str">
        <f>IF(HRData[[#This Row],[Attrition]]="Yes","Left", IF(HRData[[#This Row],[Attrition_Risk_Score]]&gt;=6,"High",IF(HRData[[#This Row],[Attrition_Risk_Score]]&gt;=3,"Medium","Low")))</f>
        <v>Low</v>
      </c>
      <c r="AR1177" t="str">
        <f>IF(HRData[[#This Row],[Attrition_Risk_Level]]&lt;&gt;"High","",HRData[[#This Row],[Attrition_Risk_Score]]*10000-HRData[[#This Row],[EmployeeNumber]])</f>
        <v/>
      </c>
    </row>
    <row r="1178" spans="1:44">
      <c r="A1178">
        <v>49</v>
      </c>
      <c r="B1178" t="str" cm="1">
        <f t="array" ref="B1178">_xlfn.IFS(
HRData[[#This Row],[Age]]&lt;=24,"18-24",
HRData[[#This Row],[Age]]&lt;=34,"25-34",
HRData[[#This Row],[Age]]&lt;=44,"35-44",
HRData[[#This Row],[Age]]&lt;=54,"45-54",
HRData[[#This Row],[Age]]&gt;=55,"55+"
)</f>
        <v>45-54</v>
      </c>
      <c r="C1178" t="s">
        <v>43</v>
      </c>
      <c r="D1178">
        <f>IF(HRData[[#This Row],[Attrition]]="Yes",1,0)</f>
        <v>0</v>
      </c>
      <c r="E1178" t="s">
        <v>36</v>
      </c>
      <c r="F1178">
        <v>301</v>
      </c>
      <c r="G1178" t="s">
        <v>45</v>
      </c>
      <c r="H1178">
        <v>22</v>
      </c>
      <c r="I1178">
        <v>4</v>
      </c>
      <c r="J1178" t="s">
        <v>49</v>
      </c>
      <c r="K1178">
        <v>1</v>
      </c>
      <c r="L1178">
        <v>1655</v>
      </c>
      <c r="M1178">
        <v>1</v>
      </c>
      <c r="N1178" t="str" cm="1">
        <f t="array" ref="N1178">_xlfn.IFS(HRData[[#This Row],[EnvironmentSatisfaction]]=1,"Very Dissatisfied",
HRData[[#This Row],[EnvironmentSatisfaction]]=2,"Dissatisfied",
HRData[[#This Row],[EnvironmentSatisfaction]]=3,"Satisfied",
HRData[[#This Row],[EnvironmentSatisfaction]]=4,"Very Satisfied"
)</f>
        <v>Very Dissatisfied</v>
      </c>
      <c r="O1178" t="s">
        <v>39</v>
      </c>
      <c r="P1178">
        <v>72</v>
      </c>
      <c r="Q1178">
        <v>3</v>
      </c>
      <c r="R1178">
        <v>4</v>
      </c>
      <c r="S1178" t="s">
        <v>58</v>
      </c>
      <c r="T1178">
        <v>2</v>
      </c>
      <c r="U1178" t="str" cm="1">
        <f t="array" ref="U1178">_xlfn.IFS(
HRData[[#This Row],[JobSatisfaction]]=1,"Very Dissatisfied",
HRData[[#This Row],[JobSatisfaction]]=2,"Dissatisfied",
HRData[[#This Row],[JobSatisfaction]]=3,"Satisfied",
HRData[[#This Row],[JobSatisfaction]]=4,"Very Satisfied"
)</f>
        <v>Dissatisfied</v>
      </c>
      <c r="V1178" t="s">
        <v>48</v>
      </c>
      <c r="W1178">
        <v>16413</v>
      </c>
      <c r="X1178" t="str" cm="1">
        <f t="array" ref="X1178">_xlfn.IFS(
HRData[[#This Row],[MonthlyIncome]]&lt;=4000,"Very Low Income",
HRData[[#This Row],[MonthlyIncome]]&lt;=8000,"Low Income",
HRData[[#This Row],[MonthlyIncome]]&lt;=12000,"Moderate Income",
HRData[[#This Row],[MonthlyIncome]]&lt;=16000,"High Income",
HRData[[#This Row],[MonthlyIncome]]&gt;16000,"Very High Income"
)</f>
        <v>Very High Income</v>
      </c>
      <c r="Y1178">
        <v>3498</v>
      </c>
      <c r="Z1178">
        <v>3</v>
      </c>
      <c r="AA1178" t="s">
        <v>42</v>
      </c>
      <c r="AB1178" t="s">
        <v>43</v>
      </c>
      <c r="AC1178">
        <v>16</v>
      </c>
      <c r="AD1178" t="str" cm="1">
        <f t="array" ref="AD1178">_xlfn.IFS(HRData[[#This Row],[PercentSalaryHike]]&lt;=15,"11-15",HRData[[#This Row],[PercentSalaryHike]]&lt;=20,"16-20",HRData[[#This Row],[PercentSalaryHike]]&gt;=21,"21+")</f>
        <v>16-20</v>
      </c>
      <c r="AE1178">
        <v>3</v>
      </c>
      <c r="AF1178">
        <v>2</v>
      </c>
      <c r="AG1178">
        <v>80</v>
      </c>
      <c r="AH1178">
        <v>2</v>
      </c>
      <c r="AI1178">
        <v>27</v>
      </c>
      <c r="AJ1178">
        <v>2</v>
      </c>
      <c r="AK1178">
        <v>3</v>
      </c>
      <c r="AL1178">
        <v>4</v>
      </c>
      <c r="AM1178">
        <v>2</v>
      </c>
      <c r="AN1178">
        <v>1</v>
      </c>
      <c r="AO1178">
        <v>2</v>
      </c>
      <c r="AP117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178" t="str">
        <f>IF(HRData[[#This Row],[Attrition]]="Yes","Left", IF(HRData[[#This Row],[Attrition_Risk_Score]]&gt;=6,"High",IF(HRData[[#This Row],[Attrition_Risk_Score]]&gt;=3,"Medium","Low")))</f>
        <v>Low</v>
      </c>
      <c r="AR1178" t="str">
        <f>IF(HRData[[#This Row],[Attrition_Risk_Level]]&lt;&gt;"High","",HRData[[#This Row],[Attrition_Risk_Score]]*10000-HRData[[#This Row],[EmployeeNumber]])</f>
        <v/>
      </c>
    </row>
    <row r="1179" spans="1:44">
      <c r="A1179">
        <v>50</v>
      </c>
      <c r="B1179" t="str" cm="1">
        <f t="array" ref="B1179">_xlfn.IFS(
HRData[[#This Row],[Age]]&lt;=24,"18-24",
HRData[[#This Row],[Age]]&lt;=34,"25-34",
HRData[[#This Row],[Age]]&lt;=44,"35-44",
HRData[[#This Row],[Age]]&lt;=54,"45-54",
HRData[[#This Row],[Age]]&gt;=55,"55+"
)</f>
        <v>45-54</v>
      </c>
      <c r="C1179" t="s">
        <v>43</v>
      </c>
      <c r="D1179">
        <f>IF(HRData[[#This Row],[Attrition]]="Yes",1,0)</f>
        <v>0</v>
      </c>
      <c r="E1179" t="s">
        <v>36</v>
      </c>
      <c r="F1179">
        <v>813</v>
      </c>
      <c r="G1179" t="s">
        <v>45</v>
      </c>
      <c r="H1179">
        <v>17</v>
      </c>
      <c r="I1179">
        <v>5</v>
      </c>
      <c r="J1179" t="s">
        <v>38</v>
      </c>
      <c r="K1179">
        <v>1</v>
      </c>
      <c r="L1179">
        <v>1656</v>
      </c>
      <c r="M1179">
        <v>4</v>
      </c>
      <c r="N1179" t="str" cm="1">
        <f t="array" ref="N1179">_xlfn.IFS(HRData[[#This Row],[EnvironmentSatisfaction]]=1,"Very Dissatisfied",
HRData[[#This Row],[EnvironmentSatisfaction]]=2,"Dissatisfied",
HRData[[#This Row],[EnvironmentSatisfaction]]=3,"Satisfied",
HRData[[#This Row],[EnvironmentSatisfaction]]=4,"Very Satisfied"
)</f>
        <v>Very Satisfied</v>
      </c>
      <c r="O1179" t="s">
        <v>39</v>
      </c>
      <c r="P1179">
        <v>50</v>
      </c>
      <c r="Q1179">
        <v>2</v>
      </c>
      <c r="R1179">
        <v>3</v>
      </c>
      <c r="S1179" t="s">
        <v>58</v>
      </c>
      <c r="T1179">
        <v>1</v>
      </c>
      <c r="U1179" t="str" cm="1">
        <f t="array" ref="U1179">_xlfn.IFS(
HRData[[#This Row],[JobSatisfaction]]=1,"Very Dissatisfied",
HRData[[#This Row],[JobSatisfaction]]=2,"Dissatisfied",
HRData[[#This Row],[JobSatisfaction]]=3,"Satisfied",
HRData[[#This Row],[JobSatisfaction]]=4,"Very Satisfied"
)</f>
        <v>Very Dissatisfied</v>
      </c>
      <c r="V1179" t="s">
        <v>52</v>
      </c>
      <c r="W1179">
        <v>13269</v>
      </c>
      <c r="X1179" t="str" cm="1">
        <f t="array" ref="X1179">_xlfn.IFS(
HRData[[#This Row],[MonthlyIncome]]&lt;=4000,"Very Low Income",
HRData[[#This Row],[MonthlyIncome]]&lt;=8000,"Low Income",
HRData[[#This Row],[MonthlyIncome]]&lt;=12000,"Moderate Income",
HRData[[#This Row],[MonthlyIncome]]&lt;=16000,"High Income",
HRData[[#This Row],[MonthlyIncome]]&gt;16000,"Very High Income"
)</f>
        <v>High Income</v>
      </c>
      <c r="Y1179">
        <v>21981</v>
      </c>
      <c r="Z1179">
        <v>5</v>
      </c>
      <c r="AA1179" t="s">
        <v>42</v>
      </c>
      <c r="AB1179" t="s">
        <v>43</v>
      </c>
      <c r="AC1179">
        <v>15</v>
      </c>
      <c r="AD1179" t="str" cm="1">
        <f t="array" ref="AD1179">_xlfn.IFS(HRData[[#This Row],[PercentSalaryHike]]&lt;=15,"11-15",HRData[[#This Row],[PercentSalaryHike]]&lt;=20,"16-20",HRData[[#This Row],[PercentSalaryHike]]&gt;=21,"21+")</f>
        <v>11-15</v>
      </c>
      <c r="AE1179">
        <v>3</v>
      </c>
      <c r="AF1179">
        <v>3</v>
      </c>
      <c r="AG1179">
        <v>80</v>
      </c>
      <c r="AH1179">
        <v>3</v>
      </c>
      <c r="AI1179">
        <v>19</v>
      </c>
      <c r="AJ1179">
        <v>3</v>
      </c>
      <c r="AK1179">
        <v>3</v>
      </c>
      <c r="AL1179">
        <v>14</v>
      </c>
      <c r="AM1179">
        <v>11</v>
      </c>
      <c r="AN1179">
        <v>1</v>
      </c>
      <c r="AO1179">
        <v>11</v>
      </c>
      <c r="AP117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79" t="str">
        <f>IF(HRData[[#This Row],[Attrition]]="Yes","Left", IF(HRData[[#This Row],[Attrition_Risk_Score]]&gt;=6,"High",IF(HRData[[#This Row],[Attrition_Risk_Score]]&gt;=3,"Medium","Low")))</f>
        <v>Low</v>
      </c>
      <c r="AR1179" t="str">
        <f>IF(HRData[[#This Row],[Attrition_Risk_Level]]&lt;&gt;"High","",HRData[[#This Row],[Attrition_Risk_Score]]*10000-HRData[[#This Row],[EmployeeNumber]])</f>
        <v/>
      </c>
    </row>
    <row r="1180" spans="1:44">
      <c r="A1180">
        <v>20</v>
      </c>
      <c r="B1180" t="str" cm="1">
        <f t="array" ref="B1180">_xlfn.IFS(
HRData[[#This Row],[Age]]&lt;=24,"18-24",
HRData[[#This Row],[Age]]&lt;=34,"25-34",
HRData[[#This Row],[Age]]&lt;=44,"35-44",
HRData[[#This Row],[Age]]&lt;=54,"45-54",
HRData[[#This Row],[Age]]&gt;=55,"55+"
)</f>
        <v>18-24</v>
      </c>
      <c r="C1180" t="s">
        <v>43</v>
      </c>
      <c r="D1180">
        <f>IF(HRData[[#This Row],[Attrition]]="Yes",1,0)</f>
        <v>0</v>
      </c>
      <c r="E1180" t="s">
        <v>36</v>
      </c>
      <c r="F1180">
        <v>1141</v>
      </c>
      <c r="G1180" t="s">
        <v>37</v>
      </c>
      <c r="H1180">
        <v>2</v>
      </c>
      <c r="I1180">
        <v>3</v>
      </c>
      <c r="J1180" t="s">
        <v>51</v>
      </c>
      <c r="K1180">
        <v>1</v>
      </c>
      <c r="L1180">
        <v>1657</v>
      </c>
      <c r="M1180">
        <v>3</v>
      </c>
      <c r="N1180" t="str" cm="1">
        <f t="array" ref="N1180">_xlfn.IFS(HRData[[#This Row],[EnvironmentSatisfaction]]=1,"Very Dissatisfied",
HRData[[#This Row],[EnvironmentSatisfaction]]=2,"Dissatisfied",
HRData[[#This Row],[EnvironmentSatisfaction]]=3,"Satisfied",
HRData[[#This Row],[EnvironmentSatisfaction]]=4,"Very Satisfied"
)</f>
        <v>Satisfied</v>
      </c>
      <c r="O1180" t="s">
        <v>39</v>
      </c>
      <c r="P1180">
        <v>31</v>
      </c>
      <c r="Q1180">
        <v>3</v>
      </c>
      <c r="R1180">
        <v>1</v>
      </c>
      <c r="S1180" t="s">
        <v>57</v>
      </c>
      <c r="T1180">
        <v>3</v>
      </c>
      <c r="U1180" t="str" cm="1">
        <f t="array" ref="U1180">_xlfn.IFS(
HRData[[#This Row],[JobSatisfaction]]=1,"Very Dissatisfied",
HRData[[#This Row],[JobSatisfaction]]=2,"Dissatisfied",
HRData[[#This Row],[JobSatisfaction]]=3,"Satisfied",
HRData[[#This Row],[JobSatisfaction]]=4,"Very Satisfied"
)</f>
        <v>Satisfied</v>
      </c>
      <c r="V1180" t="s">
        <v>41</v>
      </c>
      <c r="W1180">
        <v>2783</v>
      </c>
      <c r="X1180" t="str" cm="1">
        <f t="array" ref="X1180">_xlfn.IFS(
HRData[[#This Row],[MonthlyIncome]]&lt;=4000,"Very Low Income",
HRData[[#This Row],[MonthlyIncome]]&lt;=8000,"Low Income",
HRData[[#This Row],[MonthlyIncome]]&lt;=12000,"Moderate Income",
HRData[[#This Row],[MonthlyIncome]]&lt;=16000,"High Income",
HRData[[#This Row],[MonthlyIncome]]&gt;16000,"Very High Income"
)</f>
        <v>Very Low Income</v>
      </c>
      <c r="Y1180">
        <v>13251</v>
      </c>
      <c r="Z1180">
        <v>1</v>
      </c>
      <c r="AA1180" t="s">
        <v>42</v>
      </c>
      <c r="AB1180" t="s">
        <v>43</v>
      </c>
      <c r="AC1180">
        <v>19</v>
      </c>
      <c r="AD1180" t="str" cm="1">
        <f t="array" ref="AD1180">_xlfn.IFS(HRData[[#This Row],[PercentSalaryHike]]&lt;=15,"11-15",HRData[[#This Row],[PercentSalaryHike]]&lt;=20,"16-20",HRData[[#This Row],[PercentSalaryHike]]&gt;=21,"21+")</f>
        <v>16-20</v>
      </c>
      <c r="AE1180">
        <v>3</v>
      </c>
      <c r="AF1180">
        <v>1</v>
      </c>
      <c r="AG1180">
        <v>80</v>
      </c>
      <c r="AH1180">
        <v>0</v>
      </c>
      <c r="AI1180">
        <v>2</v>
      </c>
      <c r="AJ1180">
        <v>3</v>
      </c>
      <c r="AK1180">
        <v>3</v>
      </c>
      <c r="AL1180">
        <v>2</v>
      </c>
      <c r="AM1180">
        <v>2</v>
      </c>
      <c r="AN1180">
        <v>2</v>
      </c>
      <c r="AO1180">
        <v>2</v>
      </c>
      <c r="AP118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180" t="str">
        <f>IF(HRData[[#This Row],[Attrition]]="Yes","Left", IF(HRData[[#This Row],[Attrition_Risk_Score]]&gt;=6,"High",IF(HRData[[#This Row],[Attrition_Risk_Score]]&gt;=3,"Medium","Low")))</f>
        <v>High</v>
      </c>
      <c r="AR1180">
        <f>IF(HRData[[#This Row],[Attrition_Risk_Level]]&lt;&gt;"High","",HRData[[#This Row],[Attrition_Risk_Score]]*10000-HRData[[#This Row],[EmployeeNumber]])</f>
        <v>58343</v>
      </c>
    </row>
    <row r="1181" spans="1:44">
      <c r="A1181">
        <v>34</v>
      </c>
      <c r="B1181" t="str" cm="1">
        <f t="array" ref="B1181">_xlfn.IFS(
HRData[[#This Row],[Age]]&lt;=24,"18-24",
HRData[[#This Row],[Age]]&lt;=34,"25-34",
HRData[[#This Row],[Age]]&lt;=44,"35-44",
HRData[[#This Row],[Age]]&lt;=54,"45-54",
HRData[[#This Row],[Age]]&gt;=55,"55+"
)</f>
        <v>25-34</v>
      </c>
      <c r="C1181" t="s">
        <v>43</v>
      </c>
      <c r="D1181">
        <f>IF(HRData[[#This Row],[Attrition]]="Yes",1,0)</f>
        <v>0</v>
      </c>
      <c r="E1181" t="s">
        <v>36</v>
      </c>
      <c r="F1181">
        <v>1130</v>
      </c>
      <c r="G1181" t="s">
        <v>45</v>
      </c>
      <c r="H1181">
        <v>3</v>
      </c>
      <c r="I1181">
        <v>3</v>
      </c>
      <c r="J1181" t="s">
        <v>38</v>
      </c>
      <c r="K1181">
        <v>1</v>
      </c>
      <c r="L1181">
        <v>1658</v>
      </c>
      <c r="M1181">
        <v>4</v>
      </c>
      <c r="N1181" t="str" cm="1">
        <f t="array" ref="N1181">_xlfn.IFS(HRData[[#This Row],[EnvironmentSatisfaction]]=1,"Very Dissatisfied",
HRData[[#This Row],[EnvironmentSatisfaction]]=2,"Dissatisfied",
HRData[[#This Row],[EnvironmentSatisfaction]]=3,"Satisfied",
HRData[[#This Row],[EnvironmentSatisfaction]]=4,"Very Satisfied"
)</f>
        <v>Very Satisfied</v>
      </c>
      <c r="O1181" t="s">
        <v>39</v>
      </c>
      <c r="P1181">
        <v>66</v>
      </c>
      <c r="Q1181">
        <v>3</v>
      </c>
      <c r="R1181">
        <v>2</v>
      </c>
      <c r="S1181" t="s">
        <v>47</v>
      </c>
      <c r="T1181">
        <v>2</v>
      </c>
      <c r="U1181" t="str" cm="1">
        <f t="array" ref="U1181">_xlfn.IFS(
HRData[[#This Row],[JobSatisfaction]]=1,"Very Dissatisfied",
HRData[[#This Row],[JobSatisfaction]]=2,"Dissatisfied",
HRData[[#This Row],[JobSatisfaction]]=3,"Satisfied",
HRData[[#This Row],[JobSatisfaction]]=4,"Very Satisfied"
)</f>
        <v>Dissatisfied</v>
      </c>
      <c r="V1181" t="s">
        <v>52</v>
      </c>
      <c r="W1181">
        <v>5433</v>
      </c>
      <c r="X1181" t="str" cm="1">
        <f t="array" ref="X1181">_xlfn.IFS(
HRData[[#This Row],[MonthlyIncome]]&lt;=4000,"Very Low Income",
HRData[[#This Row],[MonthlyIncome]]&lt;=8000,"Low Income",
HRData[[#This Row],[MonthlyIncome]]&lt;=12000,"Moderate Income",
HRData[[#This Row],[MonthlyIncome]]&lt;=16000,"High Income",
HRData[[#This Row],[MonthlyIncome]]&gt;16000,"Very High Income"
)</f>
        <v>Low Income</v>
      </c>
      <c r="Y1181">
        <v>19332</v>
      </c>
      <c r="Z1181">
        <v>1</v>
      </c>
      <c r="AA1181" t="s">
        <v>42</v>
      </c>
      <c r="AB1181" t="s">
        <v>43</v>
      </c>
      <c r="AC1181">
        <v>12</v>
      </c>
      <c r="AD1181" t="str" cm="1">
        <f t="array" ref="AD1181">_xlfn.IFS(HRData[[#This Row],[PercentSalaryHike]]&lt;=15,"11-15",HRData[[#This Row],[PercentSalaryHike]]&lt;=20,"16-20",HRData[[#This Row],[PercentSalaryHike]]&gt;=21,"21+")</f>
        <v>11-15</v>
      </c>
      <c r="AE1181">
        <v>3</v>
      </c>
      <c r="AF1181">
        <v>3</v>
      </c>
      <c r="AG1181">
        <v>80</v>
      </c>
      <c r="AH1181">
        <v>1</v>
      </c>
      <c r="AI1181">
        <v>11</v>
      </c>
      <c r="AJ1181">
        <v>2</v>
      </c>
      <c r="AK1181">
        <v>3</v>
      </c>
      <c r="AL1181">
        <v>11</v>
      </c>
      <c r="AM1181">
        <v>8</v>
      </c>
      <c r="AN1181">
        <v>7</v>
      </c>
      <c r="AO1181">
        <v>9</v>
      </c>
      <c r="AP118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81" t="str">
        <f>IF(HRData[[#This Row],[Attrition]]="Yes","Left", IF(HRData[[#This Row],[Attrition_Risk_Score]]&gt;=6,"High",IF(HRData[[#This Row],[Attrition_Risk_Score]]&gt;=3,"Medium","Low")))</f>
        <v>Low</v>
      </c>
      <c r="AR1181" t="str">
        <f>IF(HRData[[#This Row],[Attrition_Risk_Level]]&lt;&gt;"High","",HRData[[#This Row],[Attrition_Risk_Score]]*10000-HRData[[#This Row],[EmployeeNumber]])</f>
        <v/>
      </c>
    </row>
    <row r="1182" spans="1:44">
      <c r="A1182">
        <v>36</v>
      </c>
      <c r="B1182" t="str" cm="1">
        <f t="array" ref="B1182">_xlfn.IFS(
HRData[[#This Row],[Age]]&lt;=24,"18-24",
HRData[[#This Row],[Age]]&lt;=34,"25-34",
HRData[[#This Row],[Age]]&lt;=44,"35-44",
HRData[[#This Row],[Age]]&lt;=54,"45-54",
HRData[[#This Row],[Age]]&gt;=55,"55+"
)</f>
        <v>35-44</v>
      </c>
      <c r="C1182" t="s">
        <v>43</v>
      </c>
      <c r="D1182">
        <f>IF(HRData[[#This Row],[Attrition]]="Yes",1,0)</f>
        <v>0</v>
      </c>
      <c r="E1182" t="s">
        <v>36</v>
      </c>
      <c r="F1182">
        <v>311</v>
      </c>
      <c r="G1182" t="s">
        <v>45</v>
      </c>
      <c r="H1182">
        <v>7</v>
      </c>
      <c r="I1182">
        <v>3</v>
      </c>
      <c r="J1182" t="s">
        <v>38</v>
      </c>
      <c r="K1182">
        <v>1</v>
      </c>
      <c r="L1182">
        <v>1659</v>
      </c>
      <c r="M1182">
        <v>1</v>
      </c>
      <c r="N1182" t="str" cm="1">
        <f t="array" ref="N1182">_xlfn.IFS(HRData[[#This Row],[EnvironmentSatisfaction]]=1,"Very Dissatisfied",
HRData[[#This Row],[EnvironmentSatisfaction]]=2,"Dissatisfied",
HRData[[#This Row],[EnvironmentSatisfaction]]=3,"Satisfied",
HRData[[#This Row],[EnvironmentSatisfaction]]=4,"Very Satisfied"
)</f>
        <v>Very Dissatisfied</v>
      </c>
      <c r="O1182" t="s">
        <v>46</v>
      </c>
      <c r="P1182">
        <v>77</v>
      </c>
      <c r="Q1182">
        <v>3</v>
      </c>
      <c r="R1182">
        <v>1</v>
      </c>
      <c r="S1182" t="s">
        <v>50</v>
      </c>
      <c r="T1182">
        <v>2</v>
      </c>
      <c r="U1182" t="str" cm="1">
        <f t="array" ref="U1182">_xlfn.IFS(
HRData[[#This Row],[JobSatisfaction]]=1,"Very Dissatisfied",
HRData[[#This Row],[JobSatisfaction]]=2,"Dissatisfied",
HRData[[#This Row],[JobSatisfaction]]=3,"Satisfied",
HRData[[#This Row],[JobSatisfaction]]=4,"Very Satisfied"
)</f>
        <v>Dissatisfied</v>
      </c>
      <c r="V1182" t="s">
        <v>41</v>
      </c>
      <c r="W1182">
        <v>2013</v>
      </c>
      <c r="X1182" t="str" cm="1">
        <f t="array" ref="X1182">_xlfn.IFS(
HRData[[#This Row],[MonthlyIncome]]&lt;=4000,"Very Low Income",
HRData[[#This Row],[MonthlyIncome]]&lt;=8000,"Low Income",
HRData[[#This Row],[MonthlyIncome]]&lt;=12000,"Moderate Income",
HRData[[#This Row],[MonthlyIncome]]&lt;=16000,"High Income",
HRData[[#This Row],[MonthlyIncome]]&gt;16000,"Very High Income"
)</f>
        <v>Very Low Income</v>
      </c>
      <c r="Y1182">
        <v>10950</v>
      </c>
      <c r="Z1182">
        <v>2</v>
      </c>
      <c r="AA1182" t="s">
        <v>42</v>
      </c>
      <c r="AB1182" t="s">
        <v>43</v>
      </c>
      <c r="AC1182">
        <v>11</v>
      </c>
      <c r="AD1182" t="str" cm="1">
        <f t="array" ref="AD1182">_xlfn.IFS(HRData[[#This Row],[PercentSalaryHike]]&lt;=15,"11-15",HRData[[#This Row],[PercentSalaryHike]]&lt;=20,"16-20",HRData[[#This Row],[PercentSalaryHike]]&gt;=21,"21+")</f>
        <v>11-15</v>
      </c>
      <c r="AE1182">
        <v>3</v>
      </c>
      <c r="AF1182">
        <v>3</v>
      </c>
      <c r="AG1182">
        <v>80</v>
      </c>
      <c r="AH1182">
        <v>0</v>
      </c>
      <c r="AI1182">
        <v>15</v>
      </c>
      <c r="AJ1182">
        <v>4</v>
      </c>
      <c r="AK1182">
        <v>3</v>
      </c>
      <c r="AL1182">
        <v>4</v>
      </c>
      <c r="AM1182">
        <v>3</v>
      </c>
      <c r="AN1182">
        <v>1</v>
      </c>
      <c r="AO1182">
        <v>3</v>
      </c>
      <c r="AP118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82" t="str">
        <f>IF(HRData[[#This Row],[Attrition]]="Yes","Left", IF(HRData[[#This Row],[Attrition_Risk_Score]]&gt;=6,"High",IF(HRData[[#This Row],[Attrition_Risk_Score]]&gt;=3,"Medium","Low")))</f>
        <v>Medium</v>
      </c>
      <c r="AR1182" t="str">
        <f>IF(HRData[[#This Row],[Attrition_Risk_Level]]&lt;&gt;"High","",HRData[[#This Row],[Attrition_Risk_Score]]*10000-HRData[[#This Row],[EmployeeNumber]])</f>
        <v/>
      </c>
    </row>
    <row r="1183" spans="1:44">
      <c r="A1183">
        <v>49</v>
      </c>
      <c r="B1183" t="str" cm="1">
        <f t="array" ref="B1183">_xlfn.IFS(
HRData[[#This Row],[Age]]&lt;=24,"18-24",
HRData[[#This Row],[Age]]&lt;=34,"25-34",
HRData[[#This Row],[Age]]&lt;=44,"35-44",
HRData[[#This Row],[Age]]&lt;=54,"45-54",
HRData[[#This Row],[Age]]&gt;=55,"55+"
)</f>
        <v>45-54</v>
      </c>
      <c r="C1183" t="s">
        <v>43</v>
      </c>
      <c r="D1183">
        <f>IF(HRData[[#This Row],[Attrition]]="Yes",1,0)</f>
        <v>0</v>
      </c>
      <c r="E1183" t="s">
        <v>36</v>
      </c>
      <c r="F1183">
        <v>465</v>
      </c>
      <c r="G1183" t="s">
        <v>45</v>
      </c>
      <c r="H1183">
        <v>6</v>
      </c>
      <c r="I1183">
        <v>1</v>
      </c>
      <c r="J1183" t="s">
        <v>38</v>
      </c>
      <c r="K1183">
        <v>1</v>
      </c>
      <c r="L1183">
        <v>1661</v>
      </c>
      <c r="M1183">
        <v>3</v>
      </c>
      <c r="N1183" t="str" cm="1">
        <f t="array" ref="N1183">_xlfn.IFS(HRData[[#This Row],[EnvironmentSatisfaction]]=1,"Very Dissatisfied",
HRData[[#This Row],[EnvironmentSatisfaction]]=2,"Dissatisfied",
HRData[[#This Row],[EnvironmentSatisfaction]]=3,"Satisfied",
HRData[[#This Row],[EnvironmentSatisfaction]]=4,"Very Satisfied"
)</f>
        <v>Satisfied</v>
      </c>
      <c r="O1183" t="s">
        <v>39</v>
      </c>
      <c r="P1183">
        <v>41</v>
      </c>
      <c r="Q1183">
        <v>2</v>
      </c>
      <c r="R1183">
        <v>4</v>
      </c>
      <c r="S1183" t="s">
        <v>54</v>
      </c>
      <c r="T1183">
        <v>3</v>
      </c>
      <c r="U1183" t="str" cm="1">
        <f t="array" ref="U1183">_xlfn.IFS(
HRData[[#This Row],[JobSatisfaction]]=1,"Very Dissatisfied",
HRData[[#This Row],[JobSatisfaction]]=2,"Dissatisfied",
HRData[[#This Row],[JobSatisfaction]]=3,"Satisfied",
HRData[[#This Row],[JobSatisfaction]]=4,"Very Satisfied"
)</f>
        <v>Satisfied</v>
      </c>
      <c r="V1183" t="s">
        <v>48</v>
      </c>
      <c r="W1183">
        <v>13966</v>
      </c>
      <c r="X1183" t="str" cm="1">
        <f t="array" ref="X1183">_xlfn.IFS(
HRData[[#This Row],[MonthlyIncome]]&lt;=4000,"Very Low Income",
HRData[[#This Row],[MonthlyIncome]]&lt;=8000,"Low Income",
HRData[[#This Row],[MonthlyIncome]]&lt;=12000,"Moderate Income",
HRData[[#This Row],[MonthlyIncome]]&lt;=16000,"High Income",
HRData[[#This Row],[MonthlyIncome]]&gt;16000,"Very High Income"
)</f>
        <v>High Income</v>
      </c>
      <c r="Y1183">
        <v>11652</v>
      </c>
      <c r="Z1183">
        <v>2</v>
      </c>
      <c r="AA1183" t="s">
        <v>42</v>
      </c>
      <c r="AB1183" t="s">
        <v>35</v>
      </c>
      <c r="AC1183">
        <v>19</v>
      </c>
      <c r="AD1183" t="str" cm="1">
        <f t="array" ref="AD1183">_xlfn.IFS(HRData[[#This Row],[PercentSalaryHike]]&lt;=15,"11-15",HRData[[#This Row],[PercentSalaryHike]]&lt;=20,"16-20",HRData[[#This Row],[PercentSalaryHike]]&gt;=21,"21+")</f>
        <v>16-20</v>
      </c>
      <c r="AE1183">
        <v>3</v>
      </c>
      <c r="AF1183">
        <v>2</v>
      </c>
      <c r="AG1183">
        <v>80</v>
      </c>
      <c r="AH1183">
        <v>1</v>
      </c>
      <c r="AI1183">
        <v>30</v>
      </c>
      <c r="AJ1183">
        <v>3</v>
      </c>
      <c r="AK1183">
        <v>3</v>
      </c>
      <c r="AL1183">
        <v>15</v>
      </c>
      <c r="AM1183">
        <v>11</v>
      </c>
      <c r="AN1183">
        <v>2</v>
      </c>
      <c r="AO1183">
        <v>12</v>
      </c>
      <c r="AP118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83" t="str">
        <f>IF(HRData[[#This Row],[Attrition]]="Yes","Left", IF(HRData[[#This Row],[Attrition_Risk_Score]]&gt;=6,"High",IF(HRData[[#This Row],[Attrition_Risk_Score]]&gt;=3,"Medium","Low")))</f>
        <v>Low</v>
      </c>
      <c r="AR1183" t="str">
        <f>IF(HRData[[#This Row],[Attrition_Risk_Level]]&lt;&gt;"High","",HRData[[#This Row],[Attrition_Risk_Score]]*10000-HRData[[#This Row],[EmployeeNumber]])</f>
        <v/>
      </c>
    </row>
    <row r="1184" spans="1:44">
      <c r="A1184">
        <v>36</v>
      </c>
      <c r="B1184" t="str" cm="1">
        <f t="array" ref="B1184">_xlfn.IFS(
HRData[[#This Row],[Age]]&lt;=24,"18-24",
HRData[[#This Row],[Age]]&lt;=34,"25-34",
HRData[[#This Row],[Age]]&lt;=44,"35-44",
HRData[[#This Row],[Age]]&lt;=54,"45-54",
HRData[[#This Row],[Age]]&gt;=55,"55+"
)</f>
        <v>35-44</v>
      </c>
      <c r="C1184" t="s">
        <v>43</v>
      </c>
      <c r="D1184">
        <f>IF(HRData[[#This Row],[Attrition]]="Yes",1,0)</f>
        <v>0</v>
      </c>
      <c r="E1184" t="s">
        <v>55</v>
      </c>
      <c r="F1184">
        <v>894</v>
      </c>
      <c r="G1184" t="s">
        <v>45</v>
      </c>
      <c r="H1184">
        <v>1</v>
      </c>
      <c r="I1184">
        <v>4</v>
      </c>
      <c r="J1184" t="s">
        <v>51</v>
      </c>
      <c r="K1184">
        <v>1</v>
      </c>
      <c r="L1184">
        <v>1662</v>
      </c>
      <c r="M1184">
        <v>4</v>
      </c>
      <c r="N1184" t="str" cm="1">
        <f t="array" ref="N1184">_xlfn.IFS(HRData[[#This Row],[EnvironmentSatisfaction]]=1,"Very Dissatisfied",
HRData[[#This Row],[EnvironmentSatisfaction]]=2,"Dissatisfied",
HRData[[#This Row],[EnvironmentSatisfaction]]=3,"Satisfied",
HRData[[#This Row],[EnvironmentSatisfaction]]=4,"Very Satisfied"
)</f>
        <v>Very Satisfied</v>
      </c>
      <c r="O1184" t="s">
        <v>39</v>
      </c>
      <c r="P1184">
        <v>33</v>
      </c>
      <c r="Q1184">
        <v>2</v>
      </c>
      <c r="R1184">
        <v>2</v>
      </c>
      <c r="S1184" t="s">
        <v>53</v>
      </c>
      <c r="T1184">
        <v>3</v>
      </c>
      <c r="U1184" t="str" cm="1">
        <f t="array" ref="U1184">_xlfn.IFS(
HRData[[#This Row],[JobSatisfaction]]=1,"Very Dissatisfied",
HRData[[#This Row],[JobSatisfaction]]=2,"Dissatisfied",
HRData[[#This Row],[JobSatisfaction]]=3,"Satisfied",
HRData[[#This Row],[JobSatisfaction]]=4,"Very Satisfied"
)</f>
        <v>Satisfied</v>
      </c>
      <c r="V1184" t="s">
        <v>48</v>
      </c>
      <c r="W1184">
        <v>4374</v>
      </c>
      <c r="X1184" t="str" cm="1">
        <f t="array" ref="X1184">_xlfn.IFS(
HRData[[#This Row],[MonthlyIncome]]&lt;=4000,"Very Low Income",
HRData[[#This Row],[MonthlyIncome]]&lt;=8000,"Low Income",
HRData[[#This Row],[MonthlyIncome]]&lt;=12000,"Moderate Income",
HRData[[#This Row],[MonthlyIncome]]&lt;=16000,"High Income",
HRData[[#This Row],[MonthlyIncome]]&gt;16000,"Very High Income"
)</f>
        <v>Low Income</v>
      </c>
      <c r="Y1184">
        <v>15411</v>
      </c>
      <c r="Z1184">
        <v>0</v>
      </c>
      <c r="AA1184" t="s">
        <v>42</v>
      </c>
      <c r="AB1184" t="s">
        <v>43</v>
      </c>
      <c r="AC1184">
        <v>15</v>
      </c>
      <c r="AD1184" t="str" cm="1">
        <f t="array" ref="AD1184">_xlfn.IFS(HRData[[#This Row],[PercentSalaryHike]]&lt;=15,"11-15",HRData[[#This Row],[PercentSalaryHike]]&lt;=20,"16-20",HRData[[#This Row],[PercentSalaryHike]]&gt;=21,"21+")</f>
        <v>11-15</v>
      </c>
      <c r="AE1184">
        <v>3</v>
      </c>
      <c r="AF1184">
        <v>3</v>
      </c>
      <c r="AG1184">
        <v>80</v>
      </c>
      <c r="AH1184">
        <v>0</v>
      </c>
      <c r="AI1184">
        <v>4</v>
      </c>
      <c r="AJ1184">
        <v>6</v>
      </c>
      <c r="AK1184">
        <v>3</v>
      </c>
      <c r="AL1184">
        <v>3</v>
      </c>
      <c r="AM1184">
        <v>2</v>
      </c>
      <c r="AN1184">
        <v>1</v>
      </c>
      <c r="AO1184">
        <v>2</v>
      </c>
      <c r="AP118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184" t="str">
        <f>IF(HRData[[#This Row],[Attrition]]="Yes","Left", IF(HRData[[#This Row],[Attrition_Risk_Score]]&gt;=6,"High",IF(HRData[[#This Row],[Attrition_Risk_Score]]&gt;=3,"Medium","Low")))</f>
        <v>Low</v>
      </c>
      <c r="AR1184" t="str">
        <f>IF(HRData[[#This Row],[Attrition_Risk_Level]]&lt;&gt;"High","",HRData[[#This Row],[Attrition_Risk_Score]]*10000-HRData[[#This Row],[EmployeeNumber]])</f>
        <v/>
      </c>
    </row>
    <row r="1185" spans="1:44">
      <c r="A1185">
        <v>36</v>
      </c>
      <c r="B1185" t="str" cm="1">
        <f t="array" ref="B1185">_xlfn.IFS(
HRData[[#This Row],[Age]]&lt;=24,"18-24",
HRData[[#This Row],[Age]]&lt;=34,"25-34",
HRData[[#This Row],[Age]]&lt;=44,"35-44",
HRData[[#This Row],[Age]]&lt;=54,"45-54",
HRData[[#This Row],[Age]]&gt;=55,"55+"
)</f>
        <v>35-44</v>
      </c>
      <c r="C1185" t="s">
        <v>43</v>
      </c>
      <c r="D1185">
        <f>IF(HRData[[#This Row],[Attrition]]="Yes",1,0)</f>
        <v>0</v>
      </c>
      <c r="E1185" t="s">
        <v>36</v>
      </c>
      <c r="F1185">
        <v>1040</v>
      </c>
      <c r="G1185" t="s">
        <v>45</v>
      </c>
      <c r="H1185">
        <v>3</v>
      </c>
      <c r="I1185">
        <v>2</v>
      </c>
      <c r="J1185" t="s">
        <v>38</v>
      </c>
      <c r="K1185">
        <v>1</v>
      </c>
      <c r="L1185">
        <v>1664</v>
      </c>
      <c r="M1185">
        <v>4</v>
      </c>
      <c r="N1185" t="str" cm="1">
        <f t="array" ref="N1185">_xlfn.IFS(HRData[[#This Row],[EnvironmentSatisfaction]]=1,"Very Dissatisfied",
HRData[[#This Row],[EnvironmentSatisfaction]]=2,"Dissatisfied",
HRData[[#This Row],[EnvironmentSatisfaction]]=3,"Satisfied",
HRData[[#This Row],[EnvironmentSatisfaction]]=4,"Very Satisfied"
)</f>
        <v>Very Satisfied</v>
      </c>
      <c r="O1185" t="s">
        <v>46</v>
      </c>
      <c r="P1185">
        <v>79</v>
      </c>
      <c r="Q1185">
        <v>4</v>
      </c>
      <c r="R1185">
        <v>2</v>
      </c>
      <c r="S1185" t="s">
        <v>54</v>
      </c>
      <c r="T1185">
        <v>1</v>
      </c>
      <c r="U1185" t="str" cm="1">
        <f t="array" ref="U1185">_xlfn.IFS(
HRData[[#This Row],[JobSatisfaction]]=1,"Very Dissatisfied",
HRData[[#This Row],[JobSatisfaction]]=2,"Dissatisfied",
HRData[[#This Row],[JobSatisfaction]]=3,"Satisfied",
HRData[[#This Row],[JobSatisfaction]]=4,"Very Satisfied"
)</f>
        <v>Very Dissatisfied</v>
      </c>
      <c r="V1185" t="s">
        <v>52</v>
      </c>
      <c r="W1185">
        <v>6842</v>
      </c>
      <c r="X1185" t="str" cm="1">
        <f t="array" ref="X1185">_xlfn.IFS(
HRData[[#This Row],[MonthlyIncome]]&lt;=4000,"Very Low Income",
HRData[[#This Row],[MonthlyIncome]]&lt;=8000,"Low Income",
HRData[[#This Row],[MonthlyIncome]]&lt;=12000,"Moderate Income",
HRData[[#This Row],[MonthlyIncome]]&lt;=16000,"High Income",
HRData[[#This Row],[MonthlyIncome]]&gt;16000,"Very High Income"
)</f>
        <v>Low Income</v>
      </c>
      <c r="Y1185">
        <v>26308</v>
      </c>
      <c r="Z1185">
        <v>6</v>
      </c>
      <c r="AA1185" t="s">
        <v>42</v>
      </c>
      <c r="AB1185" t="s">
        <v>43</v>
      </c>
      <c r="AC1185">
        <v>20</v>
      </c>
      <c r="AD1185" t="str" cm="1">
        <f t="array" ref="AD1185">_xlfn.IFS(HRData[[#This Row],[PercentSalaryHike]]&lt;=15,"11-15",HRData[[#This Row],[PercentSalaryHike]]&lt;=20,"16-20",HRData[[#This Row],[PercentSalaryHike]]&gt;=21,"21+")</f>
        <v>16-20</v>
      </c>
      <c r="AE1185">
        <v>4</v>
      </c>
      <c r="AF1185">
        <v>1</v>
      </c>
      <c r="AG1185">
        <v>80</v>
      </c>
      <c r="AH1185">
        <v>1</v>
      </c>
      <c r="AI1185">
        <v>13</v>
      </c>
      <c r="AJ1185">
        <v>3</v>
      </c>
      <c r="AK1185">
        <v>3</v>
      </c>
      <c r="AL1185">
        <v>5</v>
      </c>
      <c r="AM1185">
        <v>4</v>
      </c>
      <c r="AN1185">
        <v>0</v>
      </c>
      <c r="AO1185">
        <v>4</v>
      </c>
      <c r="AP118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85" t="str">
        <f>IF(HRData[[#This Row],[Attrition]]="Yes","Left", IF(HRData[[#This Row],[Attrition_Risk_Score]]&gt;=6,"High",IF(HRData[[#This Row],[Attrition_Risk_Score]]&gt;=3,"Medium","Low")))</f>
        <v>Medium</v>
      </c>
      <c r="AR1185" t="str">
        <f>IF(HRData[[#This Row],[Attrition_Risk_Level]]&lt;&gt;"High","",HRData[[#This Row],[Attrition_Risk_Score]]*10000-HRData[[#This Row],[EmployeeNumber]])</f>
        <v/>
      </c>
    </row>
    <row r="1186" spans="1:44">
      <c r="A1186">
        <v>54</v>
      </c>
      <c r="B1186" t="str" cm="1">
        <f t="array" ref="B1186">_xlfn.IFS(
HRData[[#This Row],[Age]]&lt;=24,"18-24",
HRData[[#This Row],[Age]]&lt;=34,"25-34",
HRData[[#This Row],[Age]]&lt;=44,"35-44",
HRData[[#This Row],[Age]]&lt;=54,"45-54",
HRData[[#This Row],[Age]]&gt;=55,"55+"
)</f>
        <v>45-54</v>
      </c>
      <c r="C1186" t="s">
        <v>43</v>
      </c>
      <c r="D1186">
        <f>IF(HRData[[#This Row],[Attrition]]="Yes",1,0)</f>
        <v>0</v>
      </c>
      <c r="E1186" t="s">
        <v>36</v>
      </c>
      <c r="F1186">
        <v>584</v>
      </c>
      <c r="G1186" t="s">
        <v>45</v>
      </c>
      <c r="H1186">
        <v>22</v>
      </c>
      <c r="I1186">
        <v>5</v>
      </c>
      <c r="J1186" t="s">
        <v>51</v>
      </c>
      <c r="K1186">
        <v>1</v>
      </c>
      <c r="L1186">
        <v>1665</v>
      </c>
      <c r="M1186">
        <v>2</v>
      </c>
      <c r="N1186" t="str" cm="1">
        <f t="array" ref="N1186">_xlfn.IFS(HRData[[#This Row],[EnvironmentSatisfaction]]=1,"Very Dissatisfied",
HRData[[#This Row],[EnvironmentSatisfaction]]=2,"Dissatisfied",
HRData[[#This Row],[EnvironmentSatisfaction]]=3,"Satisfied",
HRData[[#This Row],[EnvironmentSatisfaction]]=4,"Very Satisfied"
)</f>
        <v>Dissatisfied</v>
      </c>
      <c r="O1186" t="s">
        <v>39</v>
      </c>
      <c r="P1186">
        <v>91</v>
      </c>
      <c r="Q1186">
        <v>3</v>
      </c>
      <c r="R1186">
        <v>4</v>
      </c>
      <c r="S1186" t="s">
        <v>56</v>
      </c>
      <c r="T1186">
        <v>3</v>
      </c>
      <c r="U1186" t="str" cm="1">
        <f t="array" ref="U1186">_xlfn.IFS(
HRData[[#This Row],[JobSatisfaction]]=1,"Very Dissatisfied",
HRData[[#This Row],[JobSatisfaction]]=2,"Dissatisfied",
HRData[[#This Row],[JobSatisfaction]]=3,"Satisfied",
HRData[[#This Row],[JobSatisfaction]]=4,"Very Satisfied"
)</f>
        <v>Satisfied</v>
      </c>
      <c r="V1186" t="s">
        <v>48</v>
      </c>
      <c r="W1186">
        <v>17426</v>
      </c>
      <c r="X1186" t="str" cm="1">
        <f t="array" ref="X1186">_xlfn.IFS(
HRData[[#This Row],[MonthlyIncome]]&lt;=4000,"Very Low Income",
HRData[[#This Row],[MonthlyIncome]]&lt;=8000,"Low Income",
HRData[[#This Row],[MonthlyIncome]]&lt;=12000,"Moderate Income",
HRData[[#This Row],[MonthlyIncome]]&lt;=16000,"High Income",
HRData[[#This Row],[MonthlyIncome]]&gt;16000,"Very High Income"
)</f>
        <v>Very High Income</v>
      </c>
      <c r="Y1186">
        <v>18685</v>
      </c>
      <c r="Z1186">
        <v>3</v>
      </c>
      <c r="AA1186" t="s">
        <v>42</v>
      </c>
      <c r="AB1186" t="s">
        <v>43</v>
      </c>
      <c r="AC1186">
        <v>25</v>
      </c>
      <c r="AD1186" t="str" cm="1">
        <f t="array" ref="AD1186">_xlfn.IFS(HRData[[#This Row],[PercentSalaryHike]]&lt;=15,"11-15",HRData[[#This Row],[PercentSalaryHike]]&lt;=20,"16-20",HRData[[#This Row],[PercentSalaryHike]]&gt;=21,"21+")</f>
        <v>21+</v>
      </c>
      <c r="AE1186">
        <v>4</v>
      </c>
      <c r="AF1186">
        <v>3</v>
      </c>
      <c r="AG1186">
        <v>80</v>
      </c>
      <c r="AH1186">
        <v>1</v>
      </c>
      <c r="AI1186">
        <v>36</v>
      </c>
      <c r="AJ1186">
        <v>6</v>
      </c>
      <c r="AK1186">
        <v>3</v>
      </c>
      <c r="AL1186">
        <v>10</v>
      </c>
      <c r="AM1186">
        <v>8</v>
      </c>
      <c r="AN1186">
        <v>4</v>
      </c>
      <c r="AO1186">
        <v>7</v>
      </c>
      <c r="AP118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186" t="str">
        <f>IF(HRData[[#This Row],[Attrition]]="Yes","Left", IF(HRData[[#This Row],[Attrition_Risk_Score]]&gt;=6,"High",IF(HRData[[#This Row],[Attrition_Risk_Score]]&gt;=3,"Medium","Low")))</f>
        <v>Low</v>
      </c>
      <c r="AR1186" t="str">
        <f>IF(HRData[[#This Row],[Attrition_Risk_Level]]&lt;&gt;"High","",HRData[[#This Row],[Attrition_Risk_Score]]*10000-HRData[[#This Row],[EmployeeNumber]])</f>
        <v/>
      </c>
    </row>
    <row r="1187" spans="1:44">
      <c r="A1187">
        <v>43</v>
      </c>
      <c r="B1187" t="str" cm="1">
        <f t="array" ref="B1187">_xlfn.IFS(
HRData[[#This Row],[Age]]&lt;=24,"18-24",
HRData[[#This Row],[Age]]&lt;=34,"25-34",
HRData[[#This Row],[Age]]&lt;=44,"35-44",
HRData[[#This Row],[Age]]&lt;=54,"45-54",
HRData[[#This Row],[Age]]&gt;=55,"55+"
)</f>
        <v>35-44</v>
      </c>
      <c r="C1187" t="s">
        <v>43</v>
      </c>
      <c r="D1187">
        <f>IF(HRData[[#This Row],[Attrition]]="Yes",1,0)</f>
        <v>0</v>
      </c>
      <c r="E1187" t="s">
        <v>36</v>
      </c>
      <c r="F1187">
        <v>1291</v>
      </c>
      <c r="G1187" t="s">
        <v>45</v>
      </c>
      <c r="H1187">
        <v>15</v>
      </c>
      <c r="I1187">
        <v>2</v>
      </c>
      <c r="J1187" t="s">
        <v>38</v>
      </c>
      <c r="K1187">
        <v>1</v>
      </c>
      <c r="L1187">
        <v>1666</v>
      </c>
      <c r="M1187">
        <v>3</v>
      </c>
      <c r="N1187" t="str" cm="1">
        <f t="array" ref="N1187">_xlfn.IFS(HRData[[#This Row],[EnvironmentSatisfaction]]=1,"Very Dissatisfied",
HRData[[#This Row],[EnvironmentSatisfaction]]=2,"Dissatisfied",
HRData[[#This Row],[EnvironmentSatisfaction]]=3,"Satisfied",
HRData[[#This Row],[EnvironmentSatisfaction]]=4,"Very Satisfied"
)</f>
        <v>Satisfied</v>
      </c>
      <c r="O1187" t="s">
        <v>46</v>
      </c>
      <c r="P1187">
        <v>65</v>
      </c>
      <c r="Q1187">
        <v>2</v>
      </c>
      <c r="R1187">
        <v>4</v>
      </c>
      <c r="S1187" t="s">
        <v>58</v>
      </c>
      <c r="T1187">
        <v>3</v>
      </c>
      <c r="U1187" t="str" cm="1">
        <f t="array" ref="U1187">_xlfn.IFS(
HRData[[#This Row],[JobSatisfaction]]=1,"Very Dissatisfied",
HRData[[#This Row],[JobSatisfaction]]=2,"Dissatisfied",
HRData[[#This Row],[JobSatisfaction]]=3,"Satisfied",
HRData[[#This Row],[JobSatisfaction]]=4,"Very Satisfied"
)</f>
        <v>Satisfied</v>
      </c>
      <c r="V1187" t="s">
        <v>48</v>
      </c>
      <c r="W1187">
        <v>17603</v>
      </c>
      <c r="X1187" t="str" cm="1">
        <f t="array" ref="X1187">_xlfn.IFS(
HRData[[#This Row],[MonthlyIncome]]&lt;=4000,"Very Low Income",
HRData[[#This Row],[MonthlyIncome]]&lt;=8000,"Low Income",
HRData[[#This Row],[MonthlyIncome]]&lt;=12000,"Moderate Income",
HRData[[#This Row],[MonthlyIncome]]&lt;=16000,"High Income",
HRData[[#This Row],[MonthlyIncome]]&gt;16000,"Very High Income"
)</f>
        <v>Very High Income</v>
      </c>
      <c r="Y1187">
        <v>3525</v>
      </c>
      <c r="Z1187">
        <v>1</v>
      </c>
      <c r="AA1187" t="s">
        <v>42</v>
      </c>
      <c r="AB1187" t="s">
        <v>43</v>
      </c>
      <c r="AC1187">
        <v>24</v>
      </c>
      <c r="AD1187" t="str" cm="1">
        <f t="array" ref="AD1187">_xlfn.IFS(HRData[[#This Row],[PercentSalaryHike]]&lt;=15,"11-15",HRData[[#This Row],[PercentSalaryHike]]&lt;=20,"16-20",HRData[[#This Row],[PercentSalaryHike]]&gt;=21,"21+")</f>
        <v>21+</v>
      </c>
      <c r="AE1187">
        <v>4</v>
      </c>
      <c r="AF1187">
        <v>1</v>
      </c>
      <c r="AG1187">
        <v>80</v>
      </c>
      <c r="AH1187">
        <v>1</v>
      </c>
      <c r="AI1187">
        <v>14</v>
      </c>
      <c r="AJ1187">
        <v>3</v>
      </c>
      <c r="AK1187">
        <v>3</v>
      </c>
      <c r="AL1187">
        <v>14</v>
      </c>
      <c r="AM1187">
        <v>10</v>
      </c>
      <c r="AN1187">
        <v>6</v>
      </c>
      <c r="AO1187">
        <v>11</v>
      </c>
      <c r="AP118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187" t="str">
        <f>IF(HRData[[#This Row],[Attrition]]="Yes","Left", IF(HRData[[#This Row],[Attrition_Risk_Score]]&gt;=6,"High",IF(HRData[[#This Row],[Attrition_Risk_Score]]&gt;=3,"Medium","Low")))</f>
        <v>Low</v>
      </c>
      <c r="AR1187" t="str">
        <f>IF(HRData[[#This Row],[Attrition_Risk_Level]]&lt;&gt;"High","",HRData[[#This Row],[Attrition_Risk_Score]]*10000-HRData[[#This Row],[EmployeeNumber]])</f>
        <v/>
      </c>
    </row>
    <row r="1188" spans="1:44">
      <c r="A1188">
        <v>35</v>
      </c>
      <c r="B1188" t="str" cm="1">
        <f t="array" ref="B1188">_xlfn.IFS(
HRData[[#This Row],[Age]]&lt;=24,"18-24",
HRData[[#This Row],[Age]]&lt;=34,"25-34",
HRData[[#This Row],[Age]]&lt;=44,"35-44",
HRData[[#This Row],[Age]]&lt;=54,"45-54",
HRData[[#This Row],[Age]]&gt;=55,"55+"
)</f>
        <v>35-44</v>
      </c>
      <c r="C1188" t="s">
        <v>35</v>
      </c>
      <c r="D1188">
        <f>IF(HRData[[#This Row],[Attrition]]="Yes",1,0)</f>
        <v>1</v>
      </c>
      <c r="E1188" t="s">
        <v>44</v>
      </c>
      <c r="F1188">
        <v>880</v>
      </c>
      <c r="G1188" t="s">
        <v>37</v>
      </c>
      <c r="H1188">
        <v>12</v>
      </c>
      <c r="I1188">
        <v>4</v>
      </c>
      <c r="J1188" t="s">
        <v>49</v>
      </c>
      <c r="K1188">
        <v>1</v>
      </c>
      <c r="L1188">
        <v>1667</v>
      </c>
      <c r="M1188">
        <v>4</v>
      </c>
      <c r="N1188" t="str" cm="1">
        <f t="array" ref="N1188">_xlfn.IFS(HRData[[#This Row],[EnvironmentSatisfaction]]=1,"Very Dissatisfied",
HRData[[#This Row],[EnvironmentSatisfaction]]=2,"Dissatisfied",
HRData[[#This Row],[EnvironmentSatisfaction]]=3,"Satisfied",
HRData[[#This Row],[EnvironmentSatisfaction]]=4,"Very Satisfied"
)</f>
        <v>Very Satisfied</v>
      </c>
      <c r="O1188" t="s">
        <v>46</v>
      </c>
      <c r="P1188">
        <v>36</v>
      </c>
      <c r="Q1188">
        <v>3</v>
      </c>
      <c r="R1188">
        <v>2</v>
      </c>
      <c r="S1188" t="s">
        <v>40</v>
      </c>
      <c r="T1188">
        <v>4</v>
      </c>
      <c r="U1188" t="str" cm="1">
        <f t="array" ref="U1188">_xlfn.IFS(
HRData[[#This Row],[JobSatisfaction]]=1,"Very Dissatisfied",
HRData[[#This Row],[JobSatisfaction]]=2,"Dissatisfied",
HRData[[#This Row],[JobSatisfaction]]=3,"Satisfied",
HRData[[#This Row],[JobSatisfaction]]=4,"Very Satisfied"
)</f>
        <v>Very Satisfied</v>
      </c>
      <c r="V1188" t="s">
        <v>41</v>
      </c>
      <c r="W1188">
        <v>4581</v>
      </c>
      <c r="X1188" t="str" cm="1">
        <f t="array" ref="X1188">_xlfn.IFS(
HRData[[#This Row],[MonthlyIncome]]&lt;=4000,"Very Low Income",
HRData[[#This Row],[MonthlyIncome]]&lt;=8000,"Low Income",
HRData[[#This Row],[MonthlyIncome]]&lt;=12000,"Moderate Income",
HRData[[#This Row],[MonthlyIncome]]&lt;=16000,"High Income",
HRData[[#This Row],[MonthlyIncome]]&gt;16000,"Very High Income"
)</f>
        <v>Low Income</v>
      </c>
      <c r="Y1188">
        <v>10414</v>
      </c>
      <c r="Z1188">
        <v>3</v>
      </c>
      <c r="AA1188" t="s">
        <v>42</v>
      </c>
      <c r="AB1188" t="s">
        <v>35</v>
      </c>
      <c r="AC1188">
        <v>24</v>
      </c>
      <c r="AD1188" t="str" cm="1">
        <f t="array" ref="AD1188">_xlfn.IFS(HRData[[#This Row],[PercentSalaryHike]]&lt;=15,"11-15",HRData[[#This Row],[PercentSalaryHike]]&lt;=20,"16-20",HRData[[#This Row],[PercentSalaryHike]]&gt;=21,"21+")</f>
        <v>21+</v>
      </c>
      <c r="AE1188">
        <v>4</v>
      </c>
      <c r="AF1188">
        <v>1</v>
      </c>
      <c r="AG1188">
        <v>80</v>
      </c>
      <c r="AH1188">
        <v>0</v>
      </c>
      <c r="AI1188">
        <v>13</v>
      </c>
      <c r="AJ1188">
        <v>2</v>
      </c>
      <c r="AK1188">
        <v>4</v>
      </c>
      <c r="AL1188">
        <v>11</v>
      </c>
      <c r="AM1188">
        <v>9</v>
      </c>
      <c r="AN1188">
        <v>6</v>
      </c>
      <c r="AO1188">
        <v>7</v>
      </c>
      <c r="AP118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188" t="str">
        <f>IF(HRData[[#This Row],[Attrition]]="Yes","Left", IF(HRData[[#This Row],[Attrition_Risk_Score]]&gt;=6,"High",IF(HRData[[#This Row],[Attrition_Risk_Score]]&gt;=3,"Medium","Low")))</f>
        <v>Left</v>
      </c>
      <c r="AR1188" t="str">
        <f>IF(HRData[[#This Row],[Attrition_Risk_Level]]&lt;&gt;"High","",HRData[[#This Row],[Attrition_Risk_Score]]*10000-HRData[[#This Row],[EmployeeNumber]])</f>
        <v/>
      </c>
    </row>
    <row r="1189" spans="1:44">
      <c r="A1189">
        <v>38</v>
      </c>
      <c r="B1189" t="str" cm="1">
        <f t="array" ref="B1189">_xlfn.IFS(
HRData[[#This Row],[Age]]&lt;=24,"18-24",
HRData[[#This Row],[Age]]&lt;=34,"25-34",
HRData[[#This Row],[Age]]&lt;=44,"35-44",
HRData[[#This Row],[Age]]&lt;=54,"45-54",
HRData[[#This Row],[Age]]&gt;=55,"55+"
)</f>
        <v>35-44</v>
      </c>
      <c r="C1189" t="s">
        <v>43</v>
      </c>
      <c r="D1189">
        <f>IF(HRData[[#This Row],[Attrition]]="Yes",1,0)</f>
        <v>0</v>
      </c>
      <c r="E1189" t="s">
        <v>44</v>
      </c>
      <c r="F1189">
        <v>1189</v>
      </c>
      <c r="G1189" t="s">
        <v>45</v>
      </c>
      <c r="H1189">
        <v>1</v>
      </c>
      <c r="I1189">
        <v>3</v>
      </c>
      <c r="J1189" t="s">
        <v>38</v>
      </c>
      <c r="K1189">
        <v>1</v>
      </c>
      <c r="L1189">
        <v>1668</v>
      </c>
      <c r="M1189">
        <v>4</v>
      </c>
      <c r="N1189" t="str" cm="1">
        <f t="array" ref="N1189">_xlfn.IFS(HRData[[#This Row],[EnvironmentSatisfaction]]=1,"Very Dissatisfied",
HRData[[#This Row],[EnvironmentSatisfaction]]=2,"Dissatisfied",
HRData[[#This Row],[EnvironmentSatisfaction]]=3,"Satisfied",
HRData[[#This Row],[EnvironmentSatisfaction]]=4,"Very Satisfied"
)</f>
        <v>Very Satisfied</v>
      </c>
      <c r="O1189" t="s">
        <v>46</v>
      </c>
      <c r="P1189">
        <v>90</v>
      </c>
      <c r="Q1189">
        <v>3</v>
      </c>
      <c r="R1189">
        <v>2</v>
      </c>
      <c r="S1189" t="s">
        <v>47</v>
      </c>
      <c r="T1189">
        <v>4</v>
      </c>
      <c r="U1189" t="str" cm="1">
        <f t="array" ref="U1189">_xlfn.IFS(
HRData[[#This Row],[JobSatisfaction]]=1,"Very Dissatisfied",
HRData[[#This Row],[JobSatisfaction]]=2,"Dissatisfied",
HRData[[#This Row],[JobSatisfaction]]=3,"Satisfied",
HRData[[#This Row],[JobSatisfaction]]=4,"Very Satisfied"
)</f>
        <v>Very Satisfied</v>
      </c>
      <c r="V1189" t="s">
        <v>48</v>
      </c>
      <c r="W1189">
        <v>4735</v>
      </c>
      <c r="X1189" t="str" cm="1">
        <f t="array" ref="X1189">_xlfn.IFS(
HRData[[#This Row],[MonthlyIncome]]&lt;=4000,"Very Low Income",
HRData[[#This Row],[MonthlyIncome]]&lt;=8000,"Low Income",
HRData[[#This Row],[MonthlyIncome]]&lt;=12000,"Moderate Income",
HRData[[#This Row],[MonthlyIncome]]&lt;=16000,"High Income",
HRData[[#This Row],[MonthlyIncome]]&gt;16000,"Very High Income"
)</f>
        <v>Low Income</v>
      </c>
      <c r="Y1189">
        <v>9867</v>
      </c>
      <c r="Z1189">
        <v>7</v>
      </c>
      <c r="AA1189" t="s">
        <v>42</v>
      </c>
      <c r="AB1189" t="s">
        <v>43</v>
      </c>
      <c r="AC1189">
        <v>15</v>
      </c>
      <c r="AD1189" t="str" cm="1">
        <f t="array" ref="AD1189">_xlfn.IFS(HRData[[#This Row],[PercentSalaryHike]]&lt;=15,"11-15",HRData[[#This Row],[PercentSalaryHike]]&lt;=20,"16-20",HRData[[#This Row],[PercentSalaryHike]]&gt;=21,"21+")</f>
        <v>11-15</v>
      </c>
      <c r="AE1189">
        <v>3</v>
      </c>
      <c r="AF1189">
        <v>4</v>
      </c>
      <c r="AG1189">
        <v>80</v>
      </c>
      <c r="AH1189">
        <v>2</v>
      </c>
      <c r="AI1189">
        <v>19</v>
      </c>
      <c r="AJ1189">
        <v>4</v>
      </c>
      <c r="AK1189">
        <v>4</v>
      </c>
      <c r="AL1189">
        <v>13</v>
      </c>
      <c r="AM1189">
        <v>11</v>
      </c>
      <c r="AN1189">
        <v>2</v>
      </c>
      <c r="AO1189">
        <v>9</v>
      </c>
      <c r="AP118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189" t="str">
        <f>IF(HRData[[#This Row],[Attrition]]="Yes","Left", IF(HRData[[#This Row],[Attrition_Risk_Score]]&gt;=6,"High",IF(HRData[[#This Row],[Attrition_Risk_Score]]&gt;=3,"Medium","Low")))</f>
        <v>Low</v>
      </c>
      <c r="AR1189" t="str">
        <f>IF(HRData[[#This Row],[Attrition_Risk_Level]]&lt;&gt;"High","",HRData[[#This Row],[Attrition_Risk_Score]]*10000-HRData[[#This Row],[EmployeeNumber]])</f>
        <v/>
      </c>
    </row>
    <row r="1190" spans="1:44">
      <c r="A1190">
        <v>29</v>
      </c>
      <c r="B1190" t="str" cm="1">
        <f t="array" ref="B1190">_xlfn.IFS(
HRData[[#This Row],[Age]]&lt;=24,"18-24",
HRData[[#This Row],[Age]]&lt;=34,"25-34",
HRData[[#This Row],[Age]]&lt;=44,"35-44",
HRData[[#This Row],[Age]]&lt;=54,"45-54",
HRData[[#This Row],[Age]]&gt;=55,"55+"
)</f>
        <v>25-34</v>
      </c>
      <c r="C1190" t="s">
        <v>43</v>
      </c>
      <c r="D1190">
        <f>IF(HRData[[#This Row],[Attrition]]="Yes",1,0)</f>
        <v>0</v>
      </c>
      <c r="E1190" t="s">
        <v>36</v>
      </c>
      <c r="F1190">
        <v>991</v>
      </c>
      <c r="G1190" t="s">
        <v>37</v>
      </c>
      <c r="H1190">
        <v>5</v>
      </c>
      <c r="I1190">
        <v>3</v>
      </c>
      <c r="J1190" t="s">
        <v>51</v>
      </c>
      <c r="K1190">
        <v>1</v>
      </c>
      <c r="L1190">
        <v>1669</v>
      </c>
      <c r="M1190">
        <v>1</v>
      </c>
      <c r="N1190" t="str" cm="1">
        <f t="array" ref="N1190">_xlfn.IFS(HRData[[#This Row],[EnvironmentSatisfaction]]=1,"Very Dissatisfied",
HRData[[#This Row],[EnvironmentSatisfaction]]=2,"Dissatisfied",
HRData[[#This Row],[EnvironmentSatisfaction]]=3,"Satisfied",
HRData[[#This Row],[EnvironmentSatisfaction]]=4,"Very Satisfied"
)</f>
        <v>Very Dissatisfied</v>
      </c>
      <c r="O1190" t="s">
        <v>46</v>
      </c>
      <c r="P1190">
        <v>43</v>
      </c>
      <c r="Q1190">
        <v>2</v>
      </c>
      <c r="R1190">
        <v>2</v>
      </c>
      <c r="S1190" t="s">
        <v>40</v>
      </c>
      <c r="T1190">
        <v>2</v>
      </c>
      <c r="U1190" t="str" cm="1">
        <f t="array" ref="U1190">_xlfn.IFS(
HRData[[#This Row],[JobSatisfaction]]=1,"Very Dissatisfied",
HRData[[#This Row],[JobSatisfaction]]=2,"Dissatisfied",
HRData[[#This Row],[JobSatisfaction]]=3,"Satisfied",
HRData[[#This Row],[JobSatisfaction]]=4,"Very Satisfied"
)</f>
        <v>Dissatisfied</v>
      </c>
      <c r="V1190" t="s">
        <v>52</v>
      </c>
      <c r="W1190">
        <v>4187</v>
      </c>
      <c r="X1190" t="str" cm="1">
        <f t="array" ref="X1190">_xlfn.IFS(
HRData[[#This Row],[MonthlyIncome]]&lt;=4000,"Very Low Income",
HRData[[#This Row],[MonthlyIncome]]&lt;=8000,"Low Income",
HRData[[#This Row],[MonthlyIncome]]&lt;=12000,"Moderate Income",
HRData[[#This Row],[MonthlyIncome]]&lt;=16000,"High Income",
HRData[[#This Row],[MonthlyIncome]]&gt;16000,"Very High Income"
)</f>
        <v>Low Income</v>
      </c>
      <c r="Y1190">
        <v>3356</v>
      </c>
      <c r="Z1190">
        <v>1</v>
      </c>
      <c r="AA1190" t="s">
        <v>42</v>
      </c>
      <c r="AB1190" t="s">
        <v>35</v>
      </c>
      <c r="AC1190">
        <v>13</v>
      </c>
      <c r="AD1190" t="str" cm="1">
        <f t="array" ref="AD1190">_xlfn.IFS(HRData[[#This Row],[PercentSalaryHike]]&lt;=15,"11-15",HRData[[#This Row],[PercentSalaryHike]]&lt;=20,"16-20",HRData[[#This Row],[PercentSalaryHike]]&gt;=21,"21+")</f>
        <v>11-15</v>
      </c>
      <c r="AE1190">
        <v>3</v>
      </c>
      <c r="AF1190">
        <v>2</v>
      </c>
      <c r="AG1190">
        <v>80</v>
      </c>
      <c r="AH1190">
        <v>1</v>
      </c>
      <c r="AI1190">
        <v>10</v>
      </c>
      <c r="AJ1190">
        <v>3</v>
      </c>
      <c r="AK1190">
        <v>2</v>
      </c>
      <c r="AL1190">
        <v>10</v>
      </c>
      <c r="AM1190">
        <v>0</v>
      </c>
      <c r="AN1190">
        <v>0</v>
      </c>
      <c r="AO1190">
        <v>9</v>
      </c>
      <c r="AP119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190" t="str">
        <f>IF(HRData[[#This Row],[Attrition]]="Yes","Left", IF(HRData[[#This Row],[Attrition_Risk_Score]]&gt;=6,"High",IF(HRData[[#This Row],[Attrition_Risk_Score]]&gt;=3,"Medium","Low")))</f>
        <v>Medium</v>
      </c>
      <c r="AR1190" t="str">
        <f>IF(HRData[[#This Row],[Attrition_Risk_Level]]&lt;&gt;"High","",HRData[[#This Row],[Attrition_Risk_Score]]*10000-HRData[[#This Row],[EmployeeNumber]])</f>
        <v/>
      </c>
    </row>
    <row r="1191" spans="1:44">
      <c r="A1191">
        <v>33</v>
      </c>
      <c r="B1191" t="str" cm="1">
        <f t="array" ref="B1191">_xlfn.IFS(
HRData[[#This Row],[Age]]&lt;=24,"18-24",
HRData[[#This Row],[Age]]&lt;=34,"25-34",
HRData[[#This Row],[Age]]&lt;=44,"35-44",
HRData[[#This Row],[Age]]&lt;=54,"45-54",
HRData[[#This Row],[Age]]&gt;=55,"55+"
)</f>
        <v>25-34</v>
      </c>
      <c r="C1191" t="s">
        <v>43</v>
      </c>
      <c r="D1191">
        <f>IF(HRData[[#This Row],[Attrition]]="Yes",1,0)</f>
        <v>0</v>
      </c>
      <c r="E1191" t="s">
        <v>36</v>
      </c>
      <c r="F1191">
        <v>392</v>
      </c>
      <c r="G1191" t="s">
        <v>37</v>
      </c>
      <c r="H1191">
        <v>2</v>
      </c>
      <c r="I1191">
        <v>4</v>
      </c>
      <c r="J1191" t="s">
        <v>51</v>
      </c>
      <c r="K1191">
        <v>1</v>
      </c>
      <c r="L1191">
        <v>1670</v>
      </c>
      <c r="M1191">
        <v>4</v>
      </c>
      <c r="N1191" t="str" cm="1">
        <f t="array" ref="N1191">_xlfn.IFS(HRData[[#This Row],[EnvironmentSatisfaction]]=1,"Very Dissatisfied",
HRData[[#This Row],[EnvironmentSatisfaction]]=2,"Dissatisfied",
HRData[[#This Row],[EnvironmentSatisfaction]]=3,"Satisfied",
HRData[[#This Row],[EnvironmentSatisfaction]]=4,"Very Satisfied"
)</f>
        <v>Very Satisfied</v>
      </c>
      <c r="O1191" t="s">
        <v>46</v>
      </c>
      <c r="P1191">
        <v>93</v>
      </c>
      <c r="Q1191">
        <v>3</v>
      </c>
      <c r="R1191">
        <v>2</v>
      </c>
      <c r="S1191" t="s">
        <v>40</v>
      </c>
      <c r="T1191">
        <v>4</v>
      </c>
      <c r="U1191" t="str" cm="1">
        <f t="array" ref="U1191">_xlfn.IFS(
HRData[[#This Row],[JobSatisfaction]]=1,"Very Dissatisfied",
HRData[[#This Row],[JobSatisfaction]]=2,"Dissatisfied",
HRData[[#This Row],[JobSatisfaction]]=3,"Satisfied",
HRData[[#This Row],[JobSatisfaction]]=4,"Very Satisfied"
)</f>
        <v>Very Satisfied</v>
      </c>
      <c r="V1191" t="s">
        <v>52</v>
      </c>
      <c r="W1191">
        <v>5505</v>
      </c>
      <c r="X1191" t="str" cm="1">
        <f t="array" ref="X1191">_xlfn.IFS(
HRData[[#This Row],[MonthlyIncome]]&lt;=4000,"Very Low Income",
HRData[[#This Row],[MonthlyIncome]]&lt;=8000,"Low Income",
HRData[[#This Row],[MonthlyIncome]]&lt;=12000,"Moderate Income",
HRData[[#This Row],[MonthlyIncome]]&lt;=16000,"High Income",
HRData[[#This Row],[MonthlyIncome]]&gt;16000,"Very High Income"
)</f>
        <v>Low Income</v>
      </c>
      <c r="Y1191">
        <v>3921</v>
      </c>
      <c r="Z1191">
        <v>1</v>
      </c>
      <c r="AA1191" t="s">
        <v>42</v>
      </c>
      <c r="AB1191" t="s">
        <v>43</v>
      </c>
      <c r="AC1191">
        <v>14</v>
      </c>
      <c r="AD1191" t="str" cm="1">
        <f t="array" ref="AD1191">_xlfn.IFS(HRData[[#This Row],[PercentSalaryHike]]&lt;=15,"11-15",HRData[[#This Row],[PercentSalaryHike]]&lt;=20,"16-20",HRData[[#This Row],[PercentSalaryHike]]&gt;=21,"21+")</f>
        <v>11-15</v>
      </c>
      <c r="AE1191">
        <v>3</v>
      </c>
      <c r="AF1191">
        <v>3</v>
      </c>
      <c r="AG1191">
        <v>80</v>
      </c>
      <c r="AH1191">
        <v>2</v>
      </c>
      <c r="AI1191">
        <v>6</v>
      </c>
      <c r="AJ1191">
        <v>5</v>
      </c>
      <c r="AK1191">
        <v>3</v>
      </c>
      <c r="AL1191">
        <v>6</v>
      </c>
      <c r="AM1191">
        <v>2</v>
      </c>
      <c r="AN1191">
        <v>0</v>
      </c>
      <c r="AO1191">
        <v>4</v>
      </c>
      <c r="AP119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91" t="str">
        <f>IF(HRData[[#This Row],[Attrition]]="Yes","Left", IF(HRData[[#This Row],[Attrition_Risk_Score]]&gt;=6,"High",IF(HRData[[#This Row],[Attrition_Risk_Score]]&gt;=3,"Medium","Low")))</f>
        <v>Low</v>
      </c>
      <c r="AR1191" t="str">
        <f>IF(HRData[[#This Row],[Attrition_Risk_Level]]&lt;&gt;"High","",HRData[[#This Row],[Attrition_Risk_Score]]*10000-HRData[[#This Row],[EmployeeNumber]])</f>
        <v/>
      </c>
    </row>
    <row r="1192" spans="1:44">
      <c r="A1192">
        <v>32</v>
      </c>
      <c r="B1192" t="str" cm="1">
        <f t="array" ref="B1192">_xlfn.IFS(
HRData[[#This Row],[Age]]&lt;=24,"18-24",
HRData[[#This Row],[Age]]&lt;=34,"25-34",
HRData[[#This Row],[Age]]&lt;=44,"35-44",
HRData[[#This Row],[Age]]&lt;=54,"45-54",
HRData[[#This Row],[Age]]&gt;=55,"55+"
)</f>
        <v>25-34</v>
      </c>
      <c r="C1192" t="s">
        <v>43</v>
      </c>
      <c r="D1192">
        <f>IF(HRData[[#This Row],[Attrition]]="Yes",1,0)</f>
        <v>0</v>
      </c>
      <c r="E1192" t="s">
        <v>36</v>
      </c>
      <c r="F1192">
        <v>977</v>
      </c>
      <c r="G1192" t="s">
        <v>45</v>
      </c>
      <c r="H1192">
        <v>2</v>
      </c>
      <c r="I1192">
        <v>3</v>
      </c>
      <c r="J1192" t="s">
        <v>51</v>
      </c>
      <c r="K1192">
        <v>1</v>
      </c>
      <c r="L1192">
        <v>1671</v>
      </c>
      <c r="M1192">
        <v>4</v>
      </c>
      <c r="N1192" t="str" cm="1">
        <f t="array" ref="N1192">_xlfn.IFS(HRData[[#This Row],[EnvironmentSatisfaction]]=1,"Very Dissatisfied",
HRData[[#This Row],[EnvironmentSatisfaction]]=2,"Dissatisfied",
HRData[[#This Row],[EnvironmentSatisfaction]]=3,"Satisfied",
HRData[[#This Row],[EnvironmentSatisfaction]]=4,"Very Satisfied"
)</f>
        <v>Very Satisfied</v>
      </c>
      <c r="O1192" t="s">
        <v>46</v>
      </c>
      <c r="P1192">
        <v>45</v>
      </c>
      <c r="Q1192">
        <v>3</v>
      </c>
      <c r="R1192">
        <v>2</v>
      </c>
      <c r="S1192" t="s">
        <v>47</v>
      </c>
      <c r="T1192">
        <v>2</v>
      </c>
      <c r="U1192" t="str" cm="1">
        <f t="array" ref="U1192">_xlfn.IFS(
HRData[[#This Row],[JobSatisfaction]]=1,"Very Dissatisfied",
HRData[[#This Row],[JobSatisfaction]]=2,"Dissatisfied",
HRData[[#This Row],[JobSatisfaction]]=3,"Satisfied",
HRData[[#This Row],[JobSatisfaction]]=4,"Very Satisfied"
)</f>
        <v>Dissatisfied</v>
      </c>
      <c r="V1192" t="s">
        <v>52</v>
      </c>
      <c r="W1192">
        <v>5470</v>
      </c>
      <c r="X1192" t="str" cm="1">
        <f t="array" ref="X1192">_xlfn.IFS(
HRData[[#This Row],[MonthlyIncome]]&lt;=4000,"Very Low Income",
HRData[[#This Row],[MonthlyIncome]]&lt;=8000,"Low Income",
HRData[[#This Row],[MonthlyIncome]]&lt;=12000,"Moderate Income",
HRData[[#This Row],[MonthlyIncome]]&lt;=16000,"High Income",
HRData[[#This Row],[MonthlyIncome]]&gt;16000,"Very High Income"
)</f>
        <v>Low Income</v>
      </c>
      <c r="Y1192">
        <v>25518</v>
      </c>
      <c r="Z1192">
        <v>0</v>
      </c>
      <c r="AA1192" t="s">
        <v>42</v>
      </c>
      <c r="AB1192" t="s">
        <v>43</v>
      </c>
      <c r="AC1192">
        <v>13</v>
      </c>
      <c r="AD1192" t="str" cm="1">
        <f t="array" ref="AD1192">_xlfn.IFS(HRData[[#This Row],[PercentSalaryHike]]&lt;=15,"11-15",HRData[[#This Row],[PercentSalaryHike]]&lt;=20,"16-20",HRData[[#This Row],[PercentSalaryHike]]&gt;=21,"21+")</f>
        <v>11-15</v>
      </c>
      <c r="AE1192">
        <v>3</v>
      </c>
      <c r="AF1192">
        <v>3</v>
      </c>
      <c r="AG1192">
        <v>80</v>
      </c>
      <c r="AH1192">
        <v>2</v>
      </c>
      <c r="AI1192">
        <v>10</v>
      </c>
      <c r="AJ1192">
        <v>4</v>
      </c>
      <c r="AK1192">
        <v>2</v>
      </c>
      <c r="AL1192">
        <v>9</v>
      </c>
      <c r="AM1192">
        <v>5</v>
      </c>
      <c r="AN1192">
        <v>1</v>
      </c>
      <c r="AO1192">
        <v>6</v>
      </c>
      <c r="AP119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92" t="str">
        <f>IF(HRData[[#This Row],[Attrition]]="Yes","Left", IF(HRData[[#This Row],[Attrition_Risk_Score]]&gt;=6,"High",IF(HRData[[#This Row],[Attrition_Risk_Score]]&gt;=3,"Medium","Low")))</f>
        <v>Low</v>
      </c>
      <c r="AR1192" t="str">
        <f>IF(HRData[[#This Row],[Attrition_Risk_Level]]&lt;&gt;"High","",HRData[[#This Row],[Attrition_Risk_Score]]*10000-HRData[[#This Row],[EmployeeNumber]])</f>
        <v/>
      </c>
    </row>
    <row r="1193" spans="1:44">
      <c r="A1193">
        <v>31</v>
      </c>
      <c r="B1193" t="str" cm="1">
        <f t="array" ref="B1193">_xlfn.IFS(
HRData[[#This Row],[Age]]&lt;=24,"18-24",
HRData[[#This Row],[Age]]&lt;=34,"25-34",
HRData[[#This Row],[Age]]&lt;=44,"35-44",
HRData[[#This Row],[Age]]&lt;=54,"45-54",
HRData[[#This Row],[Age]]&gt;=55,"55+"
)</f>
        <v>25-34</v>
      </c>
      <c r="C1193" t="s">
        <v>43</v>
      </c>
      <c r="D1193">
        <f>IF(HRData[[#This Row],[Attrition]]="Yes",1,0)</f>
        <v>0</v>
      </c>
      <c r="E1193" t="s">
        <v>36</v>
      </c>
      <c r="F1193">
        <v>1112</v>
      </c>
      <c r="G1193" t="s">
        <v>37</v>
      </c>
      <c r="H1193">
        <v>5</v>
      </c>
      <c r="I1193">
        <v>4</v>
      </c>
      <c r="J1193" t="s">
        <v>38</v>
      </c>
      <c r="K1193">
        <v>1</v>
      </c>
      <c r="L1193">
        <v>1673</v>
      </c>
      <c r="M1193">
        <v>1</v>
      </c>
      <c r="N1193" t="str" cm="1">
        <f t="array" ref="N1193">_xlfn.IFS(HRData[[#This Row],[EnvironmentSatisfaction]]=1,"Very Dissatisfied",
HRData[[#This Row],[EnvironmentSatisfaction]]=2,"Dissatisfied",
HRData[[#This Row],[EnvironmentSatisfaction]]=3,"Satisfied",
HRData[[#This Row],[EnvironmentSatisfaction]]=4,"Very Satisfied"
)</f>
        <v>Very Dissatisfied</v>
      </c>
      <c r="O1193" t="s">
        <v>39</v>
      </c>
      <c r="P1193">
        <v>67</v>
      </c>
      <c r="Q1193">
        <v>3</v>
      </c>
      <c r="R1193">
        <v>2</v>
      </c>
      <c r="S1193" t="s">
        <v>40</v>
      </c>
      <c r="T1193">
        <v>4</v>
      </c>
      <c r="U1193" t="str" cm="1">
        <f t="array" ref="U1193">_xlfn.IFS(
HRData[[#This Row],[JobSatisfaction]]=1,"Very Dissatisfied",
HRData[[#This Row],[JobSatisfaction]]=2,"Dissatisfied",
HRData[[#This Row],[JobSatisfaction]]=3,"Satisfied",
HRData[[#This Row],[JobSatisfaction]]=4,"Very Satisfied"
)</f>
        <v>Very Satisfied</v>
      </c>
      <c r="V1193" t="s">
        <v>48</v>
      </c>
      <c r="W1193">
        <v>5476</v>
      </c>
      <c r="X1193" t="str" cm="1">
        <f t="array" ref="X1193">_xlfn.IFS(
HRData[[#This Row],[MonthlyIncome]]&lt;=4000,"Very Low Income",
HRData[[#This Row],[MonthlyIncome]]&lt;=8000,"Low Income",
HRData[[#This Row],[MonthlyIncome]]&lt;=12000,"Moderate Income",
HRData[[#This Row],[MonthlyIncome]]&lt;=16000,"High Income",
HRData[[#This Row],[MonthlyIncome]]&gt;16000,"Very High Income"
)</f>
        <v>Low Income</v>
      </c>
      <c r="Y1193">
        <v>22589</v>
      </c>
      <c r="Z1193">
        <v>1</v>
      </c>
      <c r="AA1193" t="s">
        <v>42</v>
      </c>
      <c r="AB1193" t="s">
        <v>43</v>
      </c>
      <c r="AC1193">
        <v>11</v>
      </c>
      <c r="AD1193" t="str" cm="1">
        <f t="array" ref="AD1193">_xlfn.IFS(HRData[[#This Row],[PercentSalaryHike]]&lt;=15,"11-15",HRData[[#This Row],[PercentSalaryHike]]&lt;=20,"16-20",HRData[[#This Row],[PercentSalaryHike]]&gt;=21,"21+")</f>
        <v>11-15</v>
      </c>
      <c r="AE1193">
        <v>3</v>
      </c>
      <c r="AF1193">
        <v>1</v>
      </c>
      <c r="AG1193">
        <v>80</v>
      </c>
      <c r="AH1193">
        <v>2</v>
      </c>
      <c r="AI1193">
        <v>10</v>
      </c>
      <c r="AJ1193">
        <v>2</v>
      </c>
      <c r="AK1193">
        <v>3</v>
      </c>
      <c r="AL1193">
        <v>10</v>
      </c>
      <c r="AM1193">
        <v>0</v>
      </c>
      <c r="AN1193">
        <v>0</v>
      </c>
      <c r="AO1193">
        <v>2</v>
      </c>
      <c r="AP119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93" t="str">
        <f>IF(HRData[[#This Row],[Attrition]]="Yes","Left", IF(HRData[[#This Row],[Attrition_Risk_Score]]&gt;=6,"High",IF(HRData[[#This Row],[Attrition_Risk_Score]]&gt;=3,"Medium","Low")))</f>
        <v>Low</v>
      </c>
      <c r="AR1193" t="str">
        <f>IF(HRData[[#This Row],[Attrition_Risk_Level]]&lt;&gt;"High","",HRData[[#This Row],[Attrition_Risk_Score]]*10000-HRData[[#This Row],[EmployeeNumber]])</f>
        <v/>
      </c>
    </row>
    <row r="1194" spans="1:44">
      <c r="A1194">
        <v>49</v>
      </c>
      <c r="B1194" t="str" cm="1">
        <f t="array" ref="B1194">_xlfn.IFS(
HRData[[#This Row],[Age]]&lt;=24,"18-24",
HRData[[#This Row],[Age]]&lt;=34,"25-34",
HRData[[#This Row],[Age]]&lt;=44,"35-44",
HRData[[#This Row],[Age]]&lt;=54,"45-54",
HRData[[#This Row],[Age]]&gt;=55,"55+"
)</f>
        <v>45-54</v>
      </c>
      <c r="C1194" t="s">
        <v>43</v>
      </c>
      <c r="D1194">
        <f>IF(HRData[[#This Row],[Attrition]]="Yes",1,0)</f>
        <v>0</v>
      </c>
      <c r="E1194" t="s">
        <v>36</v>
      </c>
      <c r="F1194">
        <v>464</v>
      </c>
      <c r="G1194" t="s">
        <v>45</v>
      </c>
      <c r="H1194">
        <v>16</v>
      </c>
      <c r="I1194">
        <v>3</v>
      </c>
      <c r="J1194" t="s">
        <v>51</v>
      </c>
      <c r="K1194">
        <v>1</v>
      </c>
      <c r="L1194">
        <v>1674</v>
      </c>
      <c r="M1194">
        <v>4</v>
      </c>
      <c r="N1194" t="str" cm="1">
        <f t="array" ref="N1194">_xlfn.IFS(HRData[[#This Row],[EnvironmentSatisfaction]]=1,"Very Dissatisfied",
HRData[[#This Row],[EnvironmentSatisfaction]]=2,"Dissatisfied",
HRData[[#This Row],[EnvironmentSatisfaction]]=3,"Satisfied",
HRData[[#This Row],[EnvironmentSatisfaction]]=4,"Very Satisfied"
)</f>
        <v>Very Satisfied</v>
      </c>
      <c r="O1194" t="s">
        <v>39</v>
      </c>
      <c r="P1194">
        <v>74</v>
      </c>
      <c r="Q1194">
        <v>3</v>
      </c>
      <c r="R1194">
        <v>1</v>
      </c>
      <c r="S1194" t="s">
        <v>50</v>
      </c>
      <c r="T1194">
        <v>1</v>
      </c>
      <c r="U1194" t="str" cm="1">
        <f t="array" ref="U1194">_xlfn.IFS(
HRData[[#This Row],[JobSatisfaction]]=1,"Very Dissatisfied",
HRData[[#This Row],[JobSatisfaction]]=2,"Dissatisfied",
HRData[[#This Row],[JobSatisfaction]]=3,"Satisfied",
HRData[[#This Row],[JobSatisfaction]]=4,"Very Satisfied"
)</f>
        <v>Very Dissatisfied</v>
      </c>
      <c r="V1194" t="s">
        <v>52</v>
      </c>
      <c r="W1194">
        <v>2587</v>
      </c>
      <c r="X1194" t="str" cm="1">
        <f t="array" ref="X1194">_xlfn.IFS(
HRData[[#This Row],[MonthlyIncome]]&lt;=4000,"Very Low Income",
HRData[[#This Row],[MonthlyIncome]]&lt;=8000,"Low Income",
HRData[[#This Row],[MonthlyIncome]]&lt;=12000,"Moderate Income",
HRData[[#This Row],[MonthlyIncome]]&lt;=16000,"High Income",
HRData[[#This Row],[MonthlyIncome]]&gt;16000,"Very High Income"
)</f>
        <v>Very Low Income</v>
      </c>
      <c r="Y1194">
        <v>24941</v>
      </c>
      <c r="Z1194">
        <v>4</v>
      </c>
      <c r="AA1194" t="s">
        <v>42</v>
      </c>
      <c r="AB1194" t="s">
        <v>35</v>
      </c>
      <c r="AC1194">
        <v>16</v>
      </c>
      <c r="AD1194" t="str" cm="1">
        <f t="array" ref="AD1194">_xlfn.IFS(HRData[[#This Row],[PercentSalaryHike]]&lt;=15,"11-15",HRData[[#This Row],[PercentSalaryHike]]&lt;=20,"16-20",HRData[[#This Row],[PercentSalaryHike]]&gt;=21,"21+")</f>
        <v>16-20</v>
      </c>
      <c r="AE1194">
        <v>3</v>
      </c>
      <c r="AF1194">
        <v>2</v>
      </c>
      <c r="AG1194">
        <v>80</v>
      </c>
      <c r="AH1194">
        <v>1</v>
      </c>
      <c r="AI1194">
        <v>17</v>
      </c>
      <c r="AJ1194">
        <v>2</v>
      </c>
      <c r="AK1194">
        <v>2</v>
      </c>
      <c r="AL1194">
        <v>2</v>
      </c>
      <c r="AM1194">
        <v>2</v>
      </c>
      <c r="AN1194">
        <v>2</v>
      </c>
      <c r="AO1194">
        <v>2</v>
      </c>
      <c r="AP119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1194" t="str">
        <f>IF(HRData[[#This Row],[Attrition]]="Yes","Left", IF(HRData[[#This Row],[Attrition_Risk_Score]]&gt;=6,"High",IF(HRData[[#This Row],[Attrition_Risk_Score]]&gt;=3,"Medium","Low")))</f>
        <v>High</v>
      </c>
      <c r="AR1194">
        <f>IF(HRData[[#This Row],[Attrition_Risk_Level]]&lt;&gt;"High","",HRData[[#This Row],[Attrition_Risk_Score]]*10000-HRData[[#This Row],[EmployeeNumber]])</f>
        <v>68326</v>
      </c>
    </row>
    <row r="1195" spans="1:44">
      <c r="A1195">
        <v>38</v>
      </c>
      <c r="B1195" t="str" cm="1">
        <f t="array" ref="B1195">_xlfn.IFS(
HRData[[#This Row],[Age]]&lt;=24,"18-24",
HRData[[#This Row],[Age]]&lt;=34,"25-34",
HRData[[#This Row],[Age]]&lt;=44,"35-44",
HRData[[#This Row],[Age]]&lt;=54,"45-54",
HRData[[#This Row],[Age]]&gt;=55,"55+"
)</f>
        <v>35-44</v>
      </c>
      <c r="C1195" t="s">
        <v>43</v>
      </c>
      <c r="D1195">
        <f>IF(HRData[[#This Row],[Attrition]]="Yes",1,0)</f>
        <v>0</v>
      </c>
      <c r="E1195" t="s">
        <v>44</v>
      </c>
      <c r="F1195">
        <v>148</v>
      </c>
      <c r="G1195" t="s">
        <v>45</v>
      </c>
      <c r="H1195">
        <v>2</v>
      </c>
      <c r="I1195">
        <v>3</v>
      </c>
      <c r="J1195" t="s">
        <v>51</v>
      </c>
      <c r="K1195">
        <v>1</v>
      </c>
      <c r="L1195">
        <v>1675</v>
      </c>
      <c r="M1195">
        <v>4</v>
      </c>
      <c r="N1195" t="str" cm="1">
        <f t="array" ref="N1195">_xlfn.IFS(HRData[[#This Row],[EnvironmentSatisfaction]]=1,"Very Dissatisfied",
HRData[[#This Row],[EnvironmentSatisfaction]]=2,"Dissatisfied",
HRData[[#This Row],[EnvironmentSatisfaction]]=3,"Satisfied",
HRData[[#This Row],[EnvironmentSatisfaction]]=4,"Very Satisfied"
)</f>
        <v>Very Satisfied</v>
      </c>
      <c r="O1195" t="s">
        <v>39</v>
      </c>
      <c r="P1195">
        <v>42</v>
      </c>
      <c r="Q1195">
        <v>2</v>
      </c>
      <c r="R1195">
        <v>1</v>
      </c>
      <c r="S1195" t="s">
        <v>50</v>
      </c>
      <c r="T1195">
        <v>2</v>
      </c>
      <c r="U1195" t="str" cm="1">
        <f t="array" ref="U1195">_xlfn.IFS(
HRData[[#This Row],[JobSatisfaction]]=1,"Very Dissatisfied",
HRData[[#This Row],[JobSatisfaction]]=2,"Dissatisfied",
HRData[[#This Row],[JobSatisfaction]]=3,"Satisfied",
HRData[[#This Row],[JobSatisfaction]]=4,"Very Satisfied"
)</f>
        <v>Dissatisfied</v>
      </c>
      <c r="V1195" t="s">
        <v>41</v>
      </c>
      <c r="W1195">
        <v>2440</v>
      </c>
      <c r="X1195" t="str" cm="1">
        <f t="array" ref="X1195">_xlfn.IFS(
HRData[[#This Row],[MonthlyIncome]]&lt;=4000,"Very Low Income",
HRData[[#This Row],[MonthlyIncome]]&lt;=8000,"Low Income",
HRData[[#This Row],[MonthlyIncome]]&lt;=12000,"Moderate Income",
HRData[[#This Row],[MonthlyIncome]]&lt;=16000,"High Income",
HRData[[#This Row],[MonthlyIncome]]&gt;16000,"Very High Income"
)</f>
        <v>Very Low Income</v>
      </c>
      <c r="Y1195">
        <v>23826</v>
      </c>
      <c r="Z1195">
        <v>1</v>
      </c>
      <c r="AA1195" t="s">
        <v>42</v>
      </c>
      <c r="AB1195" t="s">
        <v>43</v>
      </c>
      <c r="AC1195">
        <v>22</v>
      </c>
      <c r="AD1195" t="str" cm="1">
        <f t="array" ref="AD1195">_xlfn.IFS(HRData[[#This Row],[PercentSalaryHike]]&lt;=15,"11-15",HRData[[#This Row],[PercentSalaryHike]]&lt;=20,"16-20",HRData[[#This Row],[PercentSalaryHike]]&gt;=21,"21+")</f>
        <v>21+</v>
      </c>
      <c r="AE1195">
        <v>4</v>
      </c>
      <c r="AF1195">
        <v>2</v>
      </c>
      <c r="AG1195">
        <v>80</v>
      </c>
      <c r="AH1195">
        <v>0</v>
      </c>
      <c r="AI1195">
        <v>4</v>
      </c>
      <c r="AJ1195">
        <v>3</v>
      </c>
      <c r="AK1195">
        <v>3</v>
      </c>
      <c r="AL1195">
        <v>4</v>
      </c>
      <c r="AM1195">
        <v>3</v>
      </c>
      <c r="AN1195">
        <v>3</v>
      </c>
      <c r="AO1195">
        <v>3</v>
      </c>
      <c r="AP119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95" t="str">
        <f>IF(HRData[[#This Row],[Attrition]]="Yes","Left", IF(HRData[[#This Row],[Attrition_Risk_Score]]&gt;=6,"High",IF(HRData[[#This Row],[Attrition_Risk_Score]]&gt;=3,"Medium","Low")))</f>
        <v>Medium</v>
      </c>
      <c r="AR1195" t="str">
        <f>IF(HRData[[#This Row],[Attrition_Risk_Level]]&lt;&gt;"High","",HRData[[#This Row],[Attrition_Risk_Score]]*10000-HRData[[#This Row],[EmployeeNumber]])</f>
        <v/>
      </c>
    </row>
    <row r="1196" spans="1:44">
      <c r="A1196">
        <v>47</v>
      </c>
      <c r="B1196" t="str" cm="1">
        <f t="array" ref="B1196">_xlfn.IFS(
HRData[[#This Row],[Age]]&lt;=24,"18-24",
HRData[[#This Row],[Age]]&lt;=34,"25-34",
HRData[[#This Row],[Age]]&lt;=44,"35-44",
HRData[[#This Row],[Age]]&lt;=54,"45-54",
HRData[[#This Row],[Age]]&gt;=55,"55+"
)</f>
        <v>45-54</v>
      </c>
      <c r="C1196" t="s">
        <v>43</v>
      </c>
      <c r="D1196">
        <f>IF(HRData[[#This Row],[Attrition]]="Yes",1,0)</f>
        <v>0</v>
      </c>
      <c r="E1196" t="s">
        <v>36</v>
      </c>
      <c r="F1196">
        <v>1225</v>
      </c>
      <c r="G1196" t="s">
        <v>37</v>
      </c>
      <c r="H1196">
        <v>2</v>
      </c>
      <c r="I1196">
        <v>4</v>
      </c>
      <c r="J1196" t="s">
        <v>38</v>
      </c>
      <c r="K1196">
        <v>1</v>
      </c>
      <c r="L1196">
        <v>1676</v>
      </c>
      <c r="M1196">
        <v>2</v>
      </c>
      <c r="N1196" t="str" cm="1">
        <f t="array" ref="N1196">_xlfn.IFS(HRData[[#This Row],[EnvironmentSatisfaction]]=1,"Very Dissatisfied",
HRData[[#This Row],[EnvironmentSatisfaction]]=2,"Dissatisfied",
HRData[[#This Row],[EnvironmentSatisfaction]]=3,"Satisfied",
HRData[[#This Row],[EnvironmentSatisfaction]]=4,"Very Satisfied"
)</f>
        <v>Dissatisfied</v>
      </c>
      <c r="O1196" t="s">
        <v>39</v>
      </c>
      <c r="P1196">
        <v>47</v>
      </c>
      <c r="Q1196">
        <v>4</v>
      </c>
      <c r="R1196">
        <v>4</v>
      </c>
      <c r="S1196" t="s">
        <v>56</v>
      </c>
      <c r="T1196">
        <v>2</v>
      </c>
      <c r="U1196" t="str" cm="1">
        <f t="array" ref="U1196">_xlfn.IFS(
HRData[[#This Row],[JobSatisfaction]]=1,"Very Dissatisfied",
HRData[[#This Row],[JobSatisfaction]]=2,"Dissatisfied",
HRData[[#This Row],[JobSatisfaction]]=3,"Satisfied",
HRData[[#This Row],[JobSatisfaction]]=4,"Very Satisfied"
)</f>
        <v>Dissatisfied</v>
      </c>
      <c r="V1196" t="s">
        <v>52</v>
      </c>
      <c r="W1196">
        <v>15972</v>
      </c>
      <c r="X1196" t="str" cm="1">
        <f t="array" ref="X1196">_xlfn.IFS(
HRData[[#This Row],[MonthlyIncome]]&lt;=4000,"Very Low Income",
HRData[[#This Row],[MonthlyIncome]]&lt;=8000,"Low Income",
HRData[[#This Row],[MonthlyIncome]]&lt;=12000,"Moderate Income",
HRData[[#This Row],[MonthlyIncome]]&lt;=16000,"High Income",
HRData[[#This Row],[MonthlyIncome]]&gt;16000,"Very High Income"
)</f>
        <v>High Income</v>
      </c>
      <c r="Y1196">
        <v>21086</v>
      </c>
      <c r="Z1196">
        <v>6</v>
      </c>
      <c r="AA1196" t="s">
        <v>42</v>
      </c>
      <c r="AB1196" t="s">
        <v>43</v>
      </c>
      <c r="AC1196">
        <v>14</v>
      </c>
      <c r="AD1196" t="str" cm="1">
        <f t="array" ref="AD1196">_xlfn.IFS(HRData[[#This Row],[PercentSalaryHike]]&lt;=15,"11-15",HRData[[#This Row],[PercentSalaryHike]]&lt;=20,"16-20",HRData[[#This Row],[PercentSalaryHike]]&gt;=21,"21+")</f>
        <v>11-15</v>
      </c>
      <c r="AE1196">
        <v>3</v>
      </c>
      <c r="AF1196">
        <v>3</v>
      </c>
      <c r="AG1196">
        <v>80</v>
      </c>
      <c r="AH1196">
        <v>3</v>
      </c>
      <c r="AI1196">
        <v>29</v>
      </c>
      <c r="AJ1196">
        <v>2</v>
      </c>
      <c r="AK1196">
        <v>3</v>
      </c>
      <c r="AL1196">
        <v>3</v>
      </c>
      <c r="AM1196">
        <v>2</v>
      </c>
      <c r="AN1196">
        <v>1</v>
      </c>
      <c r="AO1196">
        <v>2</v>
      </c>
      <c r="AP119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196" t="str">
        <f>IF(HRData[[#This Row],[Attrition]]="Yes","Left", IF(HRData[[#This Row],[Attrition_Risk_Score]]&gt;=6,"High",IF(HRData[[#This Row],[Attrition_Risk_Score]]&gt;=3,"Medium","Low")))</f>
        <v>Low</v>
      </c>
      <c r="AR1196" t="str">
        <f>IF(HRData[[#This Row],[Attrition_Risk_Level]]&lt;&gt;"High","",HRData[[#This Row],[Attrition_Risk_Score]]*10000-HRData[[#This Row],[EmployeeNumber]])</f>
        <v/>
      </c>
    </row>
    <row r="1197" spans="1:44">
      <c r="A1197">
        <v>49</v>
      </c>
      <c r="B1197" t="str" cm="1">
        <f t="array" ref="B1197">_xlfn.IFS(
HRData[[#This Row],[Age]]&lt;=24,"18-24",
HRData[[#This Row],[Age]]&lt;=34,"25-34",
HRData[[#This Row],[Age]]&lt;=44,"35-44",
HRData[[#This Row],[Age]]&lt;=54,"45-54",
HRData[[#This Row],[Age]]&gt;=55,"55+"
)</f>
        <v>45-54</v>
      </c>
      <c r="C1197" t="s">
        <v>43</v>
      </c>
      <c r="D1197">
        <f>IF(HRData[[#This Row],[Attrition]]="Yes",1,0)</f>
        <v>0</v>
      </c>
      <c r="E1197" t="s">
        <v>36</v>
      </c>
      <c r="F1197">
        <v>809</v>
      </c>
      <c r="G1197" t="s">
        <v>45</v>
      </c>
      <c r="H1197">
        <v>1</v>
      </c>
      <c r="I1197">
        <v>3</v>
      </c>
      <c r="J1197" t="s">
        <v>38</v>
      </c>
      <c r="K1197">
        <v>1</v>
      </c>
      <c r="L1197">
        <v>1677</v>
      </c>
      <c r="M1197">
        <v>3</v>
      </c>
      <c r="N1197" t="str" cm="1">
        <f t="array" ref="N1197">_xlfn.IFS(HRData[[#This Row],[EnvironmentSatisfaction]]=1,"Very Dissatisfied",
HRData[[#This Row],[EnvironmentSatisfaction]]=2,"Dissatisfied",
HRData[[#This Row],[EnvironmentSatisfaction]]=3,"Satisfied",
HRData[[#This Row],[EnvironmentSatisfaction]]=4,"Very Satisfied"
)</f>
        <v>Satisfied</v>
      </c>
      <c r="O1197" t="s">
        <v>46</v>
      </c>
      <c r="P1197">
        <v>36</v>
      </c>
      <c r="Q1197">
        <v>3</v>
      </c>
      <c r="R1197">
        <v>4</v>
      </c>
      <c r="S1197" t="s">
        <v>56</v>
      </c>
      <c r="T1197">
        <v>3</v>
      </c>
      <c r="U1197" t="str" cm="1">
        <f t="array" ref="U1197">_xlfn.IFS(
HRData[[#This Row],[JobSatisfaction]]=1,"Very Dissatisfied",
HRData[[#This Row],[JobSatisfaction]]=2,"Dissatisfied",
HRData[[#This Row],[JobSatisfaction]]=3,"Satisfied",
HRData[[#This Row],[JobSatisfaction]]=4,"Very Satisfied"
)</f>
        <v>Satisfied</v>
      </c>
      <c r="V1197" t="s">
        <v>41</v>
      </c>
      <c r="W1197">
        <v>15379</v>
      </c>
      <c r="X1197" t="str" cm="1">
        <f t="array" ref="X1197">_xlfn.IFS(
HRData[[#This Row],[MonthlyIncome]]&lt;=4000,"Very Low Income",
HRData[[#This Row],[MonthlyIncome]]&lt;=8000,"Low Income",
HRData[[#This Row],[MonthlyIncome]]&lt;=12000,"Moderate Income",
HRData[[#This Row],[MonthlyIncome]]&lt;=16000,"High Income",
HRData[[#This Row],[MonthlyIncome]]&gt;16000,"Very High Income"
)</f>
        <v>High Income</v>
      </c>
      <c r="Y1197">
        <v>22384</v>
      </c>
      <c r="Z1197">
        <v>4</v>
      </c>
      <c r="AA1197" t="s">
        <v>42</v>
      </c>
      <c r="AB1197" t="s">
        <v>43</v>
      </c>
      <c r="AC1197">
        <v>14</v>
      </c>
      <c r="AD1197" t="str" cm="1">
        <f t="array" ref="AD1197">_xlfn.IFS(HRData[[#This Row],[PercentSalaryHike]]&lt;=15,"11-15",HRData[[#This Row],[PercentSalaryHike]]&lt;=20,"16-20",HRData[[#This Row],[PercentSalaryHike]]&gt;=21,"21+")</f>
        <v>11-15</v>
      </c>
      <c r="AE1197">
        <v>3</v>
      </c>
      <c r="AF1197">
        <v>1</v>
      </c>
      <c r="AG1197">
        <v>80</v>
      </c>
      <c r="AH1197">
        <v>0</v>
      </c>
      <c r="AI1197">
        <v>23</v>
      </c>
      <c r="AJ1197">
        <v>2</v>
      </c>
      <c r="AK1197">
        <v>3</v>
      </c>
      <c r="AL1197">
        <v>8</v>
      </c>
      <c r="AM1197">
        <v>7</v>
      </c>
      <c r="AN1197">
        <v>0</v>
      </c>
      <c r="AO1197">
        <v>0</v>
      </c>
      <c r="AP119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197" t="str">
        <f>IF(HRData[[#This Row],[Attrition]]="Yes","Left", IF(HRData[[#This Row],[Attrition_Risk_Score]]&gt;=6,"High",IF(HRData[[#This Row],[Attrition_Risk_Score]]&gt;=3,"Medium","Low")))</f>
        <v>Low</v>
      </c>
      <c r="AR1197" t="str">
        <f>IF(HRData[[#This Row],[Attrition_Risk_Level]]&lt;&gt;"High","",HRData[[#This Row],[Attrition_Risk_Score]]*10000-HRData[[#This Row],[EmployeeNumber]])</f>
        <v/>
      </c>
    </row>
    <row r="1198" spans="1:44">
      <c r="A1198">
        <v>41</v>
      </c>
      <c r="B1198" t="str" cm="1">
        <f t="array" ref="B1198">_xlfn.IFS(
HRData[[#This Row],[Age]]&lt;=24,"18-24",
HRData[[#This Row],[Age]]&lt;=34,"25-34",
HRData[[#This Row],[Age]]&lt;=44,"35-44",
HRData[[#This Row],[Age]]&lt;=54,"45-54",
HRData[[#This Row],[Age]]&gt;=55,"55+"
)</f>
        <v>35-44</v>
      </c>
      <c r="C1198" t="s">
        <v>43</v>
      </c>
      <c r="D1198">
        <f>IF(HRData[[#This Row],[Attrition]]="Yes",1,0)</f>
        <v>0</v>
      </c>
      <c r="E1198" t="s">
        <v>36</v>
      </c>
      <c r="F1198">
        <v>1206</v>
      </c>
      <c r="G1198" t="s">
        <v>37</v>
      </c>
      <c r="H1198">
        <v>23</v>
      </c>
      <c r="I1198">
        <v>2</v>
      </c>
      <c r="J1198" t="s">
        <v>38</v>
      </c>
      <c r="K1198">
        <v>1</v>
      </c>
      <c r="L1198">
        <v>1678</v>
      </c>
      <c r="M1198">
        <v>4</v>
      </c>
      <c r="N1198" t="str" cm="1">
        <f t="array" ref="N1198">_xlfn.IFS(HRData[[#This Row],[EnvironmentSatisfaction]]=1,"Very Dissatisfied",
HRData[[#This Row],[EnvironmentSatisfaction]]=2,"Dissatisfied",
HRData[[#This Row],[EnvironmentSatisfaction]]=3,"Satisfied",
HRData[[#This Row],[EnvironmentSatisfaction]]=4,"Very Satisfied"
)</f>
        <v>Very Satisfied</v>
      </c>
      <c r="O1198" t="s">
        <v>46</v>
      </c>
      <c r="P1198">
        <v>80</v>
      </c>
      <c r="Q1198">
        <v>3</v>
      </c>
      <c r="R1198">
        <v>3</v>
      </c>
      <c r="S1198" t="s">
        <v>40</v>
      </c>
      <c r="T1198">
        <v>3</v>
      </c>
      <c r="U1198" t="str" cm="1">
        <f t="array" ref="U1198">_xlfn.IFS(
HRData[[#This Row],[JobSatisfaction]]=1,"Very Dissatisfied",
HRData[[#This Row],[JobSatisfaction]]=2,"Dissatisfied",
HRData[[#This Row],[JobSatisfaction]]=3,"Satisfied",
HRData[[#This Row],[JobSatisfaction]]=4,"Very Satisfied"
)</f>
        <v>Satisfied</v>
      </c>
      <c r="V1198" t="s">
        <v>41</v>
      </c>
      <c r="W1198">
        <v>7082</v>
      </c>
      <c r="X1198" t="str" cm="1">
        <f t="array" ref="X1198">_xlfn.IFS(
HRData[[#This Row],[MonthlyIncome]]&lt;=4000,"Very Low Income",
HRData[[#This Row],[MonthlyIncome]]&lt;=8000,"Low Income",
HRData[[#This Row],[MonthlyIncome]]&lt;=12000,"Moderate Income",
HRData[[#This Row],[MonthlyIncome]]&lt;=16000,"High Income",
HRData[[#This Row],[MonthlyIncome]]&gt;16000,"Very High Income"
)</f>
        <v>Low Income</v>
      </c>
      <c r="Y1198">
        <v>11591</v>
      </c>
      <c r="Z1198">
        <v>3</v>
      </c>
      <c r="AA1198" t="s">
        <v>42</v>
      </c>
      <c r="AB1198" t="s">
        <v>35</v>
      </c>
      <c r="AC1198">
        <v>16</v>
      </c>
      <c r="AD1198" t="str" cm="1">
        <f t="array" ref="AD1198">_xlfn.IFS(HRData[[#This Row],[PercentSalaryHike]]&lt;=15,"11-15",HRData[[#This Row],[PercentSalaryHike]]&lt;=20,"16-20",HRData[[#This Row],[PercentSalaryHike]]&gt;=21,"21+")</f>
        <v>16-20</v>
      </c>
      <c r="AE1198">
        <v>3</v>
      </c>
      <c r="AF1198">
        <v>4</v>
      </c>
      <c r="AG1198">
        <v>80</v>
      </c>
      <c r="AH1198">
        <v>0</v>
      </c>
      <c r="AI1198">
        <v>21</v>
      </c>
      <c r="AJ1198">
        <v>2</v>
      </c>
      <c r="AK1198">
        <v>3</v>
      </c>
      <c r="AL1198">
        <v>2</v>
      </c>
      <c r="AM1198">
        <v>0</v>
      </c>
      <c r="AN1198">
        <v>0</v>
      </c>
      <c r="AO1198">
        <v>2</v>
      </c>
      <c r="AP119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98" t="str">
        <f>IF(HRData[[#This Row],[Attrition]]="Yes","Left", IF(HRData[[#This Row],[Attrition_Risk_Score]]&gt;=6,"High",IF(HRData[[#This Row],[Attrition_Risk_Score]]&gt;=3,"Medium","Low")))</f>
        <v>Medium</v>
      </c>
      <c r="AR1198" t="str">
        <f>IF(HRData[[#This Row],[Attrition_Risk_Level]]&lt;&gt;"High","",HRData[[#This Row],[Attrition_Risk_Score]]*10000-HRData[[#This Row],[EmployeeNumber]])</f>
        <v/>
      </c>
    </row>
    <row r="1199" spans="1:44">
      <c r="A1199">
        <v>20</v>
      </c>
      <c r="B1199" t="str" cm="1">
        <f t="array" ref="B1199">_xlfn.IFS(
HRData[[#This Row],[Age]]&lt;=24,"18-24",
HRData[[#This Row],[Age]]&lt;=34,"25-34",
HRData[[#This Row],[Age]]&lt;=44,"35-44",
HRData[[#This Row],[Age]]&lt;=54,"45-54",
HRData[[#This Row],[Age]]&gt;=55,"55+"
)</f>
        <v>18-24</v>
      </c>
      <c r="C1199" t="s">
        <v>43</v>
      </c>
      <c r="D1199">
        <f>IF(HRData[[#This Row],[Attrition]]="Yes",1,0)</f>
        <v>0</v>
      </c>
      <c r="E1199" t="s">
        <v>36</v>
      </c>
      <c r="F1199">
        <v>727</v>
      </c>
      <c r="G1199" t="s">
        <v>37</v>
      </c>
      <c r="H1199">
        <v>9</v>
      </c>
      <c r="I1199">
        <v>1</v>
      </c>
      <c r="J1199" t="s">
        <v>38</v>
      </c>
      <c r="K1199">
        <v>1</v>
      </c>
      <c r="L1199">
        <v>1680</v>
      </c>
      <c r="M1199">
        <v>4</v>
      </c>
      <c r="N1199" t="str" cm="1">
        <f t="array" ref="N1199">_xlfn.IFS(HRData[[#This Row],[EnvironmentSatisfaction]]=1,"Very Dissatisfied",
HRData[[#This Row],[EnvironmentSatisfaction]]=2,"Dissatisfied",
HRData[[#This Row],[EnvironmentSatisfaction]]=3,"Satisfied",
HRData[[#This Row],[EnvironmentSatisfaction]]=4,"Very Satisfied"
)</f>
        <v>Very Satisfied</v>
      </c>
      <c r="O1199" t="s">
        <v>46</v>
      </c>
      <c r="P1199">
        <v>54</v>
      </c>
      <c r="Q1199">
        <v>3</v>
      </c>
      <c r="R1199">
        <v>1</v>
      </c>
      <c r="S1199" t="s">
        <v>57</v>
      </c>
      <c r="T1199">
        <v>1</v>
      </c>
      <c r="U1199" t="str" cm="1">
        <f t="array" ref="U1199">_xlfn.IFS(
HRData[[#This Row],[JobSatisfaction]]=1,"Very Dissatisfied",
HRData[[#This Row],[JobSatisfaction]]=2,"Dissatisfied",
HRData[[#This Row],[JobSatisfaction]]=3,"Satisfied",
HRData[[#This Row],[JobSatisfaction]]=4,"Very Satisfied"
)</f>
        <v>Very Dissatisfied</v>
      </c>
      <c r="V1199" t="s">
        <v>41</v>
      </c>
      <c r="W1199">
        <v>2728</v>
      </c>
      <c r="X1199" t="str" cm="1">
        <f t="array" ref="X1199">_xlfn.IFS(
HRData[[#This Row],[MonthlyIncome]]&lt;=4000,"Very Low Income",
HRData[[#This Row],[MonthlyIncome]]&lt;=8000,"Low Income",
HRData[[#This Row],[MonthlyIncome]]&lt;=12000,"Moderate Income",
HRData[[#This Row],[MonthlyIncome]]&lt;=16000,"High Income",
HRData[[#This Row],[MonthlyIncome]]&gt;16000,"Very High Income"
)</f>
        <v>Very Low Income</v>
      </c>
      <c r="Y1199">
        <v>21082</v>
      </c>
      <c r="Z1199">
        <v>1</v>
      </c>
      <c r="AA1199" t="s">
        <v>42</v>
      </c>
      <c r="AB1199" t="s">
        <v>43</v>
      </c>
      <c r="AC1199">
        <v>11</v>
      </c>
      <c r="AD1199" t="str" cm="1">
        <f t="array" ref="AD1199">_xlfn.IFS(HRData[[#This Row],[PercentSalaryHike]]&lt;=15,"11-15",HRData[[#This Row],[PercentSalaryHike]]&lt;=20,"16-20",HRData[[#This Row],[PercentSalaryHike]]&gt;=21,"21+")</f>
        <v>11-15</v>
      </c>
      <c r="AE1199">
        <v>3</v>
      </c>
      <c r="AF1199">
        <v>1</v>
      </c>
      <c r="AG1199">
        <v>80</v>
      </c>
      <c r="AH1199">
        <v>0</v>
      </c>
      <c r="AI1199">
        <v>2</v>
      </c>
      <c r="AJ1199">
        <v>3</v>
      </c>
      <c r="AK1199">
        <v>3</v>
      </c>
      <c r="AL1199">
        <v>2</v>
      </c>
      <c r="AM1199">
        <v>2</v>
      </c>
      <c r="AN1199">
        <v>0</v>
      </c>
      <c r="AO1199">
        <v>2</v>
      </c>
      <c r="AP119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8</v>
      </c>
      <c r="AQ1199" t="str">
        <f>IF(HRData[[#This Row],[Attrition]]="Yes","Left", IF(HRData[[#This Row],[Attrition_Risk_Score]]&gt;=6,"High",IF(HRData[[#This Row],[Attrition_Risk_Score]]&gt;=3,"Medium","Low")))</f>
        <v>High</v>
      </c>
      <c r="AR1199">
        <f>IF(HRData[[#This Row],[Attrition_Risk_Level]]&lt;&gt;"High","",HRData[[#This Row],[Attrition_Risk_Score]]*10000-HRData[[#This Row],[EmployeeNumber]])</f>
        <v>78320</v>
      </c>
    </row>
    <row r="1200" spans="1:44">
      <c r="A1200">
        <v>33</v>
      </c>
      <c r="B1200" t="str" cm="1">
        <f t="array" ref="B1200">_xlfn.IFS(
HRData[[#This Row],[Age]]&lt;=24,"18-24",
HRData[[#This Row],[Age]]&lt;=34,"25-34",
HRData[[#This Row],[Age]]&lt;=44,"35-44",
HRData[[#This Row],[Age]]&lt;=54,"45-54",
HRData[[#This Row],[Age]]&gt;=55,"55+"
)</f>
        <v>25-34</v>
      </c>
      <c r="C1200" t="s">
        <v>43</v>
      </c>
      <c r="D1200">
        <f>IF(HRData[[#This Row],[Attrition]]="Yes",1,0)</f>
        <v>0</v>
      </c>
      <c r="E1200" t="s">
        <v>55</v>
      </c>
      <c r="F1200">
        <v>530</v>
      </c>
      <c r="G1200" t="s">
        <v>37</v>
      </c>
      <c r="H1200">
        <v>16</v>
      </c>
      <c r="I1200">
        <v>3</v>
      </c>
      <c r="J1200" t="s">
        <v>38</v>
      </c>
      <c r="K1200">
        <v>1</v>
      </c>
      <c r="L1200">
        <v>1681</v>
      </c>
      <c r="M1200">
        <v>3</v>
      </c>
      <c r="N1200" t="str" cm="1">
        <f t="array" ref="N1200">_xlfn.IFS(HRData[[#This Row],[EnvironmentSatisfaction]]=1,"Very Dissatisfied",
HRData[[#This Row],[EnvironmentSatisfaction]]=2,"Dissatisfied",
HRData[[#This Row],[EnvironmentSatisfaction]]=3,"Satisfied",
HRData[[#This Row],[EnvironmentSatisfaction]]=4,"Very Satisfied"
)</f>
        <v>Satisfied</v>
      </c>
      <c r="O1200" t="s">
        <v>39</v>
      </c>
      <c r="P1200">
        <v>36</v>
      </c>
      <c r="Q1200">
        <v>3</v>
      </c>
      <c r="R1200">
        <v>2</v>
      </c>
      <c r="S1200" t="s">
        <v>40</v>
      </c>
      <c r="T1200">
        <v>4</v>
      </c>
      <c r="U1200" t="str" cm="1">
        <f t="array" ref="U1200">_xlfn.IFS(
HRData[[#This Row],[JobSatisfaction]]=1,"Very Dissatisfied",
HRData[[#This Row],[JobSatisfaction]]=2,"Dissatisfied",
HRData[[#This Row],[JobSatisfaction]]=3,"Satisfied",
HRData[[#This Row],[JobSatisfaction]]=4,"Very Satisfied"
)</f>
        <v>Very Satisfied</v>
      </c>
      <c r="V1200" t="s">
        <v>52</v>
      </c>
      <c r="W1200">
        <v>5368</v>
      </c>
      <c r="X1200" t="str" cm="1">
        <f t="array" ref="X1200">_xlfn.IFS(
HRData[[#This Row],[MonthlyIncome]]&lt;=4000,"Very Low Income",
HRData[[#This Row],[MonthlyIncome]]&lt;=8000,"Low Income",
HRData[[#This Row],[MonthlyIncome]]&lt;=12000,"Moderate Income",
HRData[[#This Row],[MonthlyIncome]]&lt;=16000,"High Income",
HRData[[#This Row],[MonthlyIncome]]&gt;16000,"Very High Income"
)</f>
        <v>Low Income</v>
      </c>
      <c r="Y1200">
        <v>16130</v>
      </c>
      <c r="Z1200">
        <v>1</v>
      </c>
      <c r="AA1200" t="s">
        <v>42</v>
      </c>
      <c r="AB1200" t="s">
        <v>35</v>
      </c>
      <c r="AC1200">
        <v>25</v>
      </c>
      <c r="AD1200" t="str" cm="1">
        <f t="array" ref="AD1200">_xlfn.IFS(HRData[[#This Row],[PercentSalaryHike]]&lt;=15,"11-15",HRData[[#This Row],[PercentSalaryHike]]&lt;=20,"16-20",HRData[[#This Row],[PercentSalaryHike]]&gt;=21,"21+")</f>
        <v>21+</v>
      </c>
      <c r="AE1200">
        <v>4</v>
      </c>
      <c r="AF1200">
        <v>3</v>
      </c>
      <c r="AG1200">
        <v>80</v>
      </c>
      <c r="AH1200">
        <v>1</v>
      </c>
      <c r="AI1200">
        <v>7</v>
      </c>
      <c r="AJ1200">
        <v>2</v>
      </c>
      <c r="AK1200">
        <v>3</v>
      </c>
      <c r="AL1200">
        <v>6</v>
      </c>
      <c r="AM1200">
        <v>5</v>
      </c>
      <c r="AN1200">
        <v>1</v>
      </c>
      <c r="AO1200">
        <v>2</v>
      </c>
      <c r="AP120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200" t="str">
        <f>IF(HRData[[#This Row],[Attrition]]="Yes","Left", IF(HRData[[#This Row],[Attrition_Risk_Score]]&gt;=6,"High",IF(HRData[[#This Row],[Attrition_Risk_Score]]&gt;=3,"Medium","Low")))</f>
        <v>Medium</v>
      </c>
      <c r="AR1200" t="str">
        <f>IF(HRData[[#This Row],[Attrition_Risk_Level]]&lt;&gt;"High","",HRData[[#This Row],[Attrition_Risk_Score]]*10000-HRData[[#This Row],[EmployeeNumber]])</f>
        <v/>
      </c>
    </row>
    <row r="1201" spans="1:44">
      <c r="A1201">
        <v>36</v>
      </c>
      <c r="B1201" t="str" cm="1">
        <f t="array" ref="B1201">_xlfn.IFS(
HRData[[#This Row],[Age]]&lt;=24,"18-24",
HRData[[#This Row],[Age]]&lt;=34,"25-34",
HRData[[#This Row],[Age]]&lt;=44,"35-44",
HRData[[#This Row],[Age]]&lt;=54,"45-54",
HRData[[#This Row],[Age]]&gt;=55,"55+"
)</f>
        <v>35-44</v>
      </c>
      <c r="C1201" t="s">
        <v>43</v>
      </c>
      <c r="D1201">
        <f>IF(HRData[[#This Row],[Attrition]]="Yes",1,0)</f>
        <v>0</v>
      </c>
      <c r="E1201" t="s">
        <v>36</v>
      </c>
      <c r="F1201">
        <v>1351</v>
      </c>
      <c r="G1201" t="s">
        <v>45</v>
      </c>
      <c r="H1201">
        <v>26</v>
      </c>
      <c r="I1201">
        <v>4</v>
      </c>
      <c r="J1201" t="s">
        <v>38</v>
      </c>
      <c r="K1201">
        <v>1</v>
      </c>
      <c r="L1201">
        <v>1682</v>
      </c>
      <c r="M1201">
        <v>1</v>
      </c>
      <c r="N1201" t="str" cm="1">
        <f t="array" ref="N1201">_xlfn.IFS(HRData[[#This Row],[EnvironmentSatisfaction]]=1,"Very Dissatisfied",
HRData[[#This Row],[EnvironmentSatisfaction]]=2,"Dissatisfied",
HRData[[#This Row],[EnvironmentSatisfaction]]=3,"Satisfied",
HRData[[#This Row],[EnvironmentSatisfaction]]=4,"Very Satisfied"
)</f>
        <v>Very Dissatisfied</v>
      </c>
      <c r="O1201" t="s">
        <v>46</v>
      </c>
      <c r="P1201">
        <v>80</v>
      </c>
      <c r="Q1201">
        <v>3</v>
      </c>
      <c r="R1201">
        <v>2</v>
      </c>
      <c r="S1201" t="s">
        <v>54</v>
      </c>
      <c r="T1201">
        <v>3</v>
      </c>
      <c r="U1201" t="str" cm="1">
        <f t="array" ref="U1201">_xlfn.IFS(
HRData[[#This Row],[JobSatisfaction]]=1,"Very Dissatisfied",
HRData[[#This Row],[JobSatisfaction]]=2,"Dissatisfied",
HRData[[#This Row],[JobSatisfaction]]=3,"Satisfied",
HRData[[#This Row],[JobSatisfaction]]=4,"Very Satisfied"
)</f>
        <v>Satisfied</v>
      </c>
      <c r="V1201" t="s">
        <v>48</v>
      </c>
      <c r="W1201">
        <v>5347</v>
      </c>
      <c r="X1201" t="str" cm="1">
        <f t="array" ref="X1201">_xlfn.IFS(
HRData[[#This Row],[MonthlyIncome]]&lt;=4000,"Very Low Income",
HRData[[#This Row],[MonthlyIncome]]&lt;=8000,"Low Income",
HRData[[#This Row],[MonthlyIncome]]&lt;=12000,"Moderate Income",
HRData[[#This Row],[MonthlyIncome]]&lt;=16000,"High Income",
HRData[[#This Row],[MonthlyIncome]]&gt;16000,"Very High Income"
)</f>
        <v>Low Income</v>
      </c>
      <c r="Y1201">
        <v>7419</v>
      </c>
      <c r="Z1201">
        <v>6</v>
      </c>
      <c r="AA1201" t="s">
        <v>42</v>
      </c>
      <c r="AB1201" t="s">
        <v>43</v>
      </c>
      <c r="AC1201">
        <v>14</v>
      </c>
      <c r="AD1201" t="str" cm="1">
        <f t="array" ref="AD1201">_xlfn.IFS(HRData[[#This Row],[PercentSalaryHike]]&lt;=15,"11-15",HRData[[#This Row],[PercentSalaryHike]]&lt;=20,"16-20",HRData[[#This Row],[PercentSalaryHike]]&gt;=21,"21+")</f>
        <v>11-15</v>
      </c>
      <c r="AE1201">
        <v>3</v>
      </c>
      <c r="AF1201">
        <v>2</v>
      </c>
      <c r="AG1201">
        <v>80</v>
      </c>
      <c r="AH1201">
        <v>2</v>
      </c>
      <c r="AI1201">
        <v>10</v>
      </c>
      <c r="AJ1201">
        <v>2</v>
      </c>
      <c r="AK1201">
        <v>2</v>
      </c>
      <c r="AL1201">
        <v>3</v>
      </c>
      <c r="AM1201">
        <v>2</v>
      </c>
      <c r="AN1201">
        <v>0</v>
      </c>
      <c r="AO1201">
        <v>2</v>
      </c>
      <c r="AP120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201" t="str">
        <f>IF(HRData[[#This Row],[Attrition]]="Yes","Left", IF(HRData[[#This Row],[Attrition_Risk_Score]]&gt;=6,"High",IF(HRData[[#This Row],[Attrition_Risk_Score]]&gt;=3,"Medium","Low")))</f>
        <v>Low</v>
      </c>
      <c r="AR1201" t="str">
        <f>IF(HRData[[#This Row],[Attrition_Risk_Level]]&lt;&gt;"High","",HRData[[#This Row],[Attrition_Risk_Score]]*10000-HRData[[#This Row],[EmployeeNumber]])</f>
        <v/>
      </c>
    </row>
    <row r="1202" spans="1:44">
      <c r="A1202">
        <v>44</v>
      </c>
      <c r="B1202" t="str" cm="1">
        <f t="array" ref="B1202">_xlfn.IFS(
HRData[[#This Row],[Age]]&lt;=24,"18-24",
HRData[[#This Row],[Age]]&lt;=34,"25-34",
HRData[[#This Row],[Age]]&lt;=44,"35-44",
HRData[[#This Row],[Age]]&lt;=54,"45-54",
HRData[[#This Row],[Age]]&gt;=55,"55+"
)</f>
        <v>35-44</v>
      </c>
      <c r="C1202" t="s">
        <v>43</v>
      </c>
      <c r="D1202">
        <f>IF(HRData[[#This Row],[Attrition]]="Yes",1,0)</f>
        <v>0</v>
      </c>
      <c r="E1202" t="s">
        <v>36</v>
      </c>
      <c r="F1202">
        <v>528</v>
      </c>
      <c r="G1202" t="s">
        <v>61</v>
      </c>
      <c r="H1202">
        <v>1</v>
      </c>
      <c r="I1202">
        <v>3</v>
      </c>
      <c r="J1202" t="s">
        <v>38</v>
      </c>
      <c r="K1202">
        <v>1</v>
      </c>
      <c r="L1202">
        <v>1683</v>
      </c>
      <c r="M1202">
        <v>3</v>
      </c>
      <c r="N1202" t="str" cm="1">
        <f t="array" ref="N1202">_xlfn.IFS(HRData[[#This Row],[EnvironmentSatisfaction]]=1,"Very Dissatisfied",
HRData[[#This Row],[EnvironmentSatisfaction]]=2,"Dissatisfied",
HRData[[#This Row],[EnvironmentSatisfaction]]=3,"Satisfied",
HRData[[#This Row],[EnvironmentSatisfaction]]=4,"Very Satisfied"
)</f>
        <v>Satisfied</v>
      </c>
      <c r="O1202" t="s">
        <v>39</v>
      </c>
      <c r="P1202">
        <v>44</v>
      </c>
      <c r="Q1202">
        <v>3</v>
      </c>
      <c r="R1202">
        <v>1</v>
      </c>
      <c r="S1202" t="s">
        <v>61</v>
      </c>
      <c r="T1202">
        <v>4</v>
      </c>
      <c r="U1202" t="str" cm="1">
        <f t="array" ref="U1202">_xlfn.IFS(
HRData[[#This Row],[JobSatisfaction]]=1,"Very Dissatisfied",
HRData[[#This Row],[JobSatisfaction]]=2,"Dissatisfied",
HRData[[#This Row],[JobSatisfaction]]=3,"Satisfied",
HRData[[#This Row],[JobSatisfaction]]=4,"Very Satisfied"
)</f>
        <v>Very Satisfied</v>
      </c>
      <c r="V1202" t="s">
        <v>52</v>
      </c>
      <c r="W1202">
        <v>3195</v>
      </c>
      <c r="X1202" t="str" cm="1">
        <f t="array" ref="X1202">_xlfn.IFS(
HRData[[#This Row],[MonthlyIncome]]&lt;=4000,"Very Low Income",
HRData[[#This Row],[MonthlyIncome]]&lt;=8000,"Low Income",
HRData[[#This Row],[MonthlyIncome]]&lt;=12000,"Moderate Income",
HRData[[#This Row],[MonthlyIncome]]&lt;=16000,"High Income",
HRData[[#This Row],[MonthlyIncome]]&gt;16000,"Very High Income"
)</f>
        <v>Very Low Income</v>
      </c>
      <c r="Y1202">
        <v>4167</v>
      </c>
      <c r="Z1202">
        <v>4</v>
      </c>
      <c r="AA1202" t="s">
        <v>42</v>
      </c>
      <c r="AB1202" t="s">
        <v>35</v>
      </c>
      <c r="AC1202">
        <v>18</v>
      </c>
      <c r="AD1202" t="str" cm="1">
        <f t="array" ref="AD1202">_xlfn.IFS(HRData[[#This Row],[PercentSalaryHike]]&lt;=15,"11-15",HRData[[#This Row],[PercentSalaryHike]]&lt;=20,"16-20",HRData[[#This Row],[PercentSalaryHike]]&gt;=21,"21+")</f>
        <v>16-20</v>
      </c>
      <c r="AE1202">
        <v>3</v>
      </c>
      <c r="AF1202">
        <v>1</v>
      </c>
      <c r="AG1202">
        <v>80</v>
      </c>
      <c r="AH1202">
        <v>3</v>
      </c>
      <c r="AI1202">
        <v>8</v>
      </c>
      <c r="AJ1202">
        <v>2</v>
      </c>
      <c r="AK1202">
        <v>3</v>
      </c>
      <c r="AL1202">
        <v>2</v>
      </c>
      <c r="AM1202">
        <v>2</v>
      </c>
      <c r="AN1202">
        <v>2</v>
      </c>
      <c r="AO1202">
        <v>2</v>
      </c>
      <c r="AP120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202" t="str">
        <f>IF(HRData[[#This Row],[Attrition]]="Yes","Left", IF(HRData[[#This Row],[Attrition_Risk_Score]]&gt;=6,"High",IF(HRData[[#This Row],[Attrition_Risk_Score]]&gt;=3,"Medium","Low")))</f>
        <v>Medium</v>
      </c>
      <c r="AR1202" t="str">
        <f>IF(HRData[[#This Row],[Attrition_Risk_Level]]&lt;&gt;"High","",HRData[[#This Row],[Attrition_Risk_Score]]*10000-HRData[[#This Row],[EmployeeNumber]])</f>
        <v/>
      </c>
    </row>
    <row r="1203" spans="1:44">
      <c r="A1203">
        <v>23</v>
      </c>
      <c r="B1203" t="str" cm="1">
        <f t="array" ref="B1203">_xlfn.IFS(
HRData[[#This Row],[Age]]&lt;=24,"18-24",
HRData[[#This Row],[Age]]&lt;=34,"25-34",
HRData[[#This Row],[Age]]&lt;=44,"35-44",
HRData[[#This Row],[Age]]&lt;=54,"45-54",
HRData[[#This Row],[Age]]&gt;=55,"55+"
)</f>
        <v>18-24</v>
      </c>
      <c r="C1203" t="s">
        <v>35</v>
      </c>
      <c r="D1203">
        <f>IF(HRData[[#This Row],[Attrition]]="Yes",1,0)</f>
        <v>1</v>
      </c>
      <c r="E1203" t="s">
        <v>36</v>
      </c>
      <c r="F1203">
        <v>1320</v>
      </c>
      <c r="G1203" t="s">
        <v>45</v>
      </c>
      <c r="H1203">
        <v>8</v>
      </c>
      <c r="I1203">
        <v>1</v>
      </c>
      <c r="J1203" t="s">
        <v>51</v>
      </c>
      <c r="K1203">
        <v>1</v>
      </c>
      <c r="L1203">
        <v>1684</v>
      </c>
      <c r="M1203">
        <v>4</v>
      </c>
      <c r="N1203" t="str" cm="1">
        <f t="array" ref="N1203">_xlfn.IFS(HRData[[#This Row],[EnvironmentSatisfaction]]=1,"Very Dissatisfied",
HRData[[#This Row],[EnvironmentSatisfaction]]=2,"Dissatisfied",
HRData[[#This Row],[EnvironmentSatisfaction]]=3,"Satisfied",
HRData[[#This Row],[EnvironmentSatisfaction]]=4,"Very Satisfied"
)</f>
        <v>Very Satisfied</v>
      </c>
      <c r="O1203" t="s">
        <v>46</v>
      </c>
      <c r="P1203">
        <v>93</v>
      </c>
      <c r="Q1203">
        <v>2</v>
      </c>
      <c r="R1203">
        <v>1</v>
      </c>
      <c r="S1203" t="s">
        <v>50</v>
      </c>
      <c r="T1203">
        <v>3</v>
      </c>
      <c r="U1203" t="str" cm="1">
        <f t="array" ref="U1203">_xlfn.IFS(
HRData[[#This Row],[JobSatisfaction]]=1,"Very Dissatisfied",
HRData[[#This Row],[JobSatisfaction]]=2,"Dissatisfied",
HRData[[#This Row],[JobSatisfaction]]=3,"Satisfied",
HRData[[#This Row],[JobSatisfaction]]=4,"Very Satisfied"
)</f>
        <v>Satisfied</v>
      </c>
      <c r="V1203" t="s">
        <v>41</v>
      </c>
      <c r="W1203">
        <v>3989</v>
      </c>
      <c r="X1203" t="str" cm="1">
        <f t="array" ref="X1203">_xlfn.IFS(
HRData[[#This Row],[MonthlyIncome]]&lt;=4000,"Very Low Income",
HRData[[#This Row],[MonthlyIncome]]&lt;=8000,"Low Income",
HRData[[#This Row],[MonthlyIncome]]&lt;=12000,"Moderate Income",
HRData[[#This Row],[MonthlyIncome]]&lt;=16000,"High Income",
HRData[[#This Row],[MonthlyIncome]]&gt;16000,"Very High Income"
)</f>
        <v>Very Low Income</v>
      </c>
      <c r="Y1203">
        <v>20586</v>
      </c>
      <c r="Z1203">
        <v>1</v>
      </c>
      <c r="AA1203" t="s">
        <v>42</v>
      </c>
      <c r="AB1203" t="s">
        <v>35</v>
      </c>
      <c r="AC1203">
        <v>11</v>
      </c>
      <c r="AD1203" t="str" cm="1">
        <f t="array" ref="AD1203">_xlfn.IFS(HRData[[#This Row],[PercentSalaryHike]]&lt;=15,"11-15",HRData[[#This Row],[PercentSalaryHike]]&lt;=20,"16-20",HRData[[#This Row],[PercentSalaryHike]]&gt;=21,"21+")</f>
        <v>11-15</v>
      </c>
      <c r="AE1203">
        <v>3</v>
      </c>
      <c r="AF1203">
        <v>1</v>
      </c>
      <c r="AG1203">
        <v>80</v>
      </c>
      <c r="AH1203">
        <v>0</v>
      </c>
      <c r="AI1203">
        <v>5</v>
      </c>
      <c r="AJ1203">
        <v>2</v>
      </c>
      <c r="AK1203">
        <v>3</v>
      </c>
      <c r="AL1203">
        <v>5</v>
      </c>
      <c r="AM1203">
        <v>4</v>
      </c>
      <c r="AN1203">
        <v>1</v>
      </c>
      <c r="AO1203">
        <v>2</v>
      </c>
      <c r="AP120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03" t="str">
        <f>IF(HRData[[#This Row],[Attrition]]="Yes","Left", IF(HRData[[#This Row],[Attrition_Risk_Score]]&gt;=6,"High",IF(HRData[[#This Row],[Attrition_Risk_Score]]&gt;=3,"Medium","Low")))</f>
        <v>Left</v>
      </c>
      <c r="AR1203" t="str">
        <f>IF(HRData[[#This Row],[Attrition_Risk_Level]]&lt;&gt;"High","",HRData[[#This Row],[Attrition_Risk_Score]]*10000-HRData[[#This Row],[EmployeeNumber]])</f>
        <v/>
      </c>
    </row>
    <row r="1204" spans="1:44">
      <c r="A1204">
        <v>38</v>
      </c>
      <c r="B1204" t="str" cm="1">
        <f t="array" ref="B1204">_xlfn.IFS(
HRData[[#This Row],[Age]]&lt;=24,"18-24",
HRData[[#This Row],[Age]]&lt;=34,"25-34",
HRData[[#This Row],[Age]]&lt;=44,"35-44",
HRData[[#This Row],[Age]]&lt;=54,"45-54",
HRData[[#This Row],[Age]]&gt;=55,"55+"
)</f>
        <v>35-44</v>
      </c>
      <c r="C1204" t="s">
        <v>43</v>
      </c>
      <c r="D1204">
        <f>IF(HRData[[#This Row],[Attrition]]="Yes",1,0)</f>
        <v>0</v>
      </c>
      <c r="E1204" t="s">
        <v>36</v>
      </c>
      <c r="F1204">
        <v>1495</v>
      </c>
      <c r="G1204" t="s">
        <v>45</v>
      </c>
      <c r="H1204">
        <v>4</v>
      </c>
      <c r="I1204">
        <v>2</v>
      </c>
      <c r="J1204" t="s">
        <v>51</v>
      </c>
      <c r="K1204">
        <v>1</v>
      </c>
      <c r="L1204">
        <v>1687</v>
      </c>
      <c r="M1204">
        <v>4</v>
      </c>
      <c r="N1204" t="str" cm="1">
        <f t="array" ref="N1204">_xlfn.IFS(HRData[[#This Row],[EnvironmentSatisfaction]]=1,"Very Dissatisfied",
HRData[[#This Row],[EnvironmentSatisfaction]]=2,"Dissatisfied",
HRData[[#This Row],[EnvironmentSatisfaction]]=3,"Satisfied",
HRData[[#This Row],[EnvironmentSatisfaction]]=4,"Very Satisfied"
)</f>
        <v>Very Satisfied</v>
      </c>
      <c r="O1204" t="s">
        <v>39</v>
      </c>
      <c r="P1204">
        <v>87</v>
      </c>
      <c r="Q1204">
        <v>3</v>
      </c>
      <c r="R1204">
        <v>1</v>
      </c>
      <c r="S1204" t="s">
        <v>50</v>
      </c>
      <c r="T1204">
        <v>3</v>
      </c>
      <c r="U1204" t="str" cm="1">
        <f t="array" ref="U1204">_xlfn.IFS(
HRData[[#This Row],[JobSatisfaction]]=1,"Very Dissatisfied",
HRData[[#This Row],[JobSatisfaction]]=2,"Dissatisfied",
HRData[[#This Row],[JobSatisfaction]]=3,"Satisfied",
HRData[[#This Row],[JobSatisfaction]]=4,"Very Satisfied"
)</f>
        <v>Satisfied</v>
      </c>
      <c r="V1204" t="s">
        <v>48</v>
      </c>
      <c r="W1204">
        <v>3306</v>
      </c>
      <c r="X1204" t="str" cm="1">
        <f t="array" ref="X1204">_xlfn.IFS(
HRData[[#This Row],[MonthlyIncome]]&lt;=4000,"Very Low Income",
HRData[[#This Row],[MonthlyIncome]]&lt;=8000,"Low Income",
HRData[[#This Row],[MonthlyIncome]]&lt;=12000,"Moderate Income",
HRData[[#This Row],[MonthlyIncome]]&lt;=16000,"High Income",
HRData[[#This Row],[MonthlyIncome]]&gt;16000,"Very High Income"
)</f>
        <v>Very Low Income</v>
      </c>
      <c r="Y1204">
        <v>26176</v>
      </c>
      <c r="Z1204">
        <v>7</v>
      </c>
      <c r="AA1204" t="s">
        <v>42</v>
      </c>
      <c r="AB1204" t="s">
        <v>43</v>
      </c>
      <c r="AC1204">
        <v>19</v>
      </c>
      <c r="AD1204" t="str" cm="1">
        <f t="array" ref="AD1204">_xlfn.IFS(HRData[[#This Row],[PercentSalaryHike]]&lt;=15,"11-15",HRData[[#This Row],[PercentSalaryHike]]&lt;=20,"16-20",HRData[[#This Row],[PercentSalaryHike]]&gt;=21,"21+")</f>
        <v>16-20</v>
      </c>
      <c r="AE1204">
        <v>3</v>
      </c>
      <c r="AF1204">
        <v>4</v>
      </c>
      <c r="AG1204">
        <v>80</v>
      </c>
      <c r="AH1204">
        <v>1</v>
      </c>
      <c r="AI1204">
        <v>7</v>
      </c>
      <c r="AJ1204">
        <v>5</v>
      </c>
      <c r="AK1204">
        <v>2</v>
      </c>
      <c r="AL1204">
        <v>0</v>
      </c>
      <c r="AM1204">
        <v>0</v>
      </c>
      <c r="AN1204">
        <v>0</v>
      </c>
      <c r="AO1204">
        <v>0</v>
      </c>
      <c r="AP120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04" t="str">
        <f>IF(HRData[[#This Row],[Attrition]]="Yes","Left", IF(HRData[[#This Row],[Attrition_Risk_Score]]&gt;=6,"High",IF(HRData[[#This Row],[Attrition_Risk_Score]]&gt;=3,"Medium","Low")))</f>
        <v>Medium</v>
      </c>
      <c r="AR1204" t="str">
        <f>IF(HRData[[#This Row],[Attrition_Risk_Level]]&lt;&gt;"High","",HRData[[#This Row],[Attrition_Risk_Score]]*10000-HRData[[#This Row],[EmployeeNumber]])</f>
        <v/>
      </c>
    </row>
    <row r="1205" spans="1:44">
      <c r="A1205">
        <v>53</v>
      </c>
      <c r="B1205" t="str" cm="1">
        <f t="array" ref="B1205">_xlfn.IFS(
HRData[[#This Row],[Age]]&lt;=24,"18-24",
HRData[[#This Row],[Age]]&lt;=34,"25-34",
HRData[[#This Row],[Age]]&lt;=44,"35-44",
HRData[[#This Row],[Age]]&lt;=54,"45-54",
HRData[[#This Row],[Age]]&gt;=55,"55+"
)</f>
        <v>45-54</v>
      </c>
      <c r="C1205" t="s">
        <v>43</v>
      </c>
      <c r="D1205">
        <f>IF(HRData[[#This Row],[Attrition]]="Yes",1,0)</f>
        <v>0</v>
      </c>
      <c r="E1205" t="s">
        <v>36</v>
      </c>
      <c r="F1205">
        <v>1395</v>
      </c>
      <c r="G1205" t="s">
        <v>45</v>
      </c>
      <c r="H1205">
        <v>24</v>
      </c>
      <c r="I1205">
        <v>4</v>
      </c>
      <c r="J1205" t="s">
        <v>51</v>
      </c>
      <c r="K1205">
        <v>1</v>
      </c>
      <c r="L1205">
        <v>1689</v>
      </c>
      <c r="M1205">
        <v>2</v>
      </c>
      <c r="N1205" t="str" cm="1">
        <f t="array" ref="N1205">_xlfn.IFS(HRData[[#This Row],[EnvironmentSatisfaction]]=1,"Very Dissatisfied",
HRData[[#This Row],[EnvironmentSatisfaction]]=2,"Dissatisfied",
HRData[[#This Row],[EnvironmentSatisfaction]]=3,"Satisfied",
HRData[[#This Row],[EnvironmentSatisfaction]]=4,"Very Satisfied"
)</f>
        <v>Dissatisfied</v>
      </c>
      <c r="O1205" t="s">
        <v>46</v>
      </c>
      <c r="P1205">
        <v>48</v>
      </c>
      <c r="Q1205">
        <v>4</v>
      </c>
      <c r="R1205">
        <v>3</v>
      </c>
      <c r="S1205" t="s">
        <v>54</v>
      </c>
      <c r="T1205">
        <v>4</v>
      </c>
      <c r="U1205" t="str" cm="1">
        <f t="array" ref="U1205">_xlfn.IFS(
HRData[[#This Row],[JobSatisfaction]]=1,"Very Dissatisfied",
HRData[[#This Row],[JobSatisfaction]]=2,"Dissatisfied",
HRData[[#This Row],[JobSatisfaction]]=3,"Satisfied",
HRData[[#This Row],[JobSatisfaction]]=4,"Very Satisfied"
)</f>
        <v>Very Satisfied</v>
      </c>
      <c r="V1205" t="s">
        <v>48</v>
      </c>
      <c r="W1205">
        <v>7005</v>
      </c>
      <c r="X1205" t="str" cm="1">
        <f t="array" ref="X1205">_xlfn.IFS(
HRData[[#This Row],[MonthlyIncome]]&lt;=4000,"Very Low Income",
HRData[[#This Row],[MonthlyIncome]]&lt;=8000,"Low Income",
HRData[[#This Row],[MonthlyIncome]]&lt;=12000,"Moderate Income",
HRData[[#This Row],[MonthlyIncome]]&lt;=16000,"High Income",
HRData[[#This Row],[MonthlyIncome]]&gt;16000,"Very High Income"
)</f>
        <v>Low Income</v>
      </c>
      <c r="Y1205">
        <v>3458</v>
      </c>
      <c r="Z1205">
        <v>3</v>
      </c>
      <c r="AA1205" t="s">
        <v>42</v>
      </c>
      <c r="AB1205" t="s">
        <v>43</v>
      </c>
      <c r="AC1205">
        <v>15</v>
      </c>
      <c r="AD1205" t="str" cm="1">
        <f t="array" ref="AD1205">_xlfn.IFS(HRData[[#This Row],[PercentSalaryHike]]&lt;=15,"11-15",HRData[[#This Row],[PercentSalaryHike]]&lt;=20,"16-20",HRData[[#This Row],[PercentSalaryHike]]&gt;=21,"21+")</f>
        <v>11-15</v>
      </c>
      <c r="AE1205">
        <v>3</v>
      </c>
      <c r="AF1205">
        <v>3</v>
      </c>
      <c r="AG1205">
        <v>80</v>
      </c>
      <c r="AH1205">
        <v>0</v>
      </c>
      <c r="AI1205">
        <v>11</v>
      </c>
      <c r="AJ1205">
        <v>2</v>
      </c>
      <c r="AK1205">
        <v>3</v>
      </c>
      <c r="AL1205">
        <v>4</v>
      </c>
      <c r="AM1205">
        <v>3</v>
      </c>
      <c r="AN1205">
        <v>1</v>
      </c>
      <c r="AO1205">
        <v>2</v>
      </c>
      <c r="AP120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205" t="str">
        <f>IF(HRData[[#This Row],[Attrition]]="Yes","Left", IF(HRData[[#This Row],[Attrition_Risk_Score]]&gt;=6,"High",IF(HRData[[#This Row],[Attrition_Risk_Score]]&gt;=3,"Medium","Low")))</f>
        <v>Low</v>
      </c>
      <c r="AR1205" t="str">
        <f>IF(HRData[[#This Row],[Attrition_Risk_Level]]&lt;&gt;"High","",HRData[[#This Row],[Attrition_Risk_Score]]*10000-HRData[[#This Row],[EmployeeNumber]])</f>
        <v/>
      </c>
    </row>
    <row r="1206" spans="1:44">
      <c r="A1206">
        <v>48</v>
      </c>
      <c r="B1206" t="str" cm="1">
        <f t="array" ref="B1206">_xlfn.IFS(
HRData[[#This Row],[Age]]&lt;=24,"18-24",
HRData[[#This Row],[Age]]&lt;=34,"25-34",
HRData[[#This Row],[Age]]&lt;=44,"35-44",
HRData[[#This Row],[Age]]&lt;=54,"45-54",
HRData[[#This Row],[Age]]&gt;=55,"55+"
)</f>
        <v>45-54</v>
      </c>
      <c r="C1206" t="s">
        <v>35</v>
      </c>
      <c r="D1206">
        <f>IF(HRData[[#This Row],[Attrition]]="Yes",1,0)</f>
        <v>1</v>
      </c>
      <c r="E1206" t="s">
        <v>44</v>
      </c>
      <c r="F1206">
        <v>708</v>
      </c>
      <c r="G1206" t="s">
        <v>37</v>
      </c>
      <c r="H1206">
        <v>7</v>
      </c>
      <c r="I1206">
        <v>2</v>
      </c>
      <c r="J1206" t="s">
        <v>51</v>
      </c>
      <c r="K1206">
        <v>1</v>
      </c>
      <c r="L1206">
        <v>1691</v>
      </c>
      <c r="M1206">
        <v>4</v>
      </c>
      <c r="N1206" t="str" cm="1">
        <f t="array" ref="N1206">_xlfn.IFS(HRData[[#This Row],[EnvironmentSatisfaction]]=1,"Very Dissatisfied",
HRData[[#This Row],[EnvironmentSatisfaction]]=2,"Dissatisfied",
HRData[[#This Row],[EnvironmentSatisfaction]]=3,"Satisfied",
HRData[[#This Row],[EnvironmentSatisfaction]]=4,"Very Satisfied"
)</f>
        <v>Very Satisfied</v>
      </c>
      <c r="O1206" t="s">
        <v>39</v>
      </c>
      <c r="P1206">
        <v>95</v>
      </c>
      <c r="Q1206">
        <v>3</v>
      </c>
      <c r="R1206">
        <v>1</v>
      </c>
      <c r="S1206" t="s">
        <v>57</v>
      </c>
      <c r="T1206">
        <v>3</v>
      </c>
      <c r="U1206" t="str" cm="1">
        <f t="array" ref="U1206">_xlfn.IFS(
HRData[[#This Row],[JobSatisfaction]]=1,"Very Dissatisfied",
HRData[[#This Row],[JobSatisfaction]]=2,"Dissatisfied",
HRData[[#This Row],[JobSatisfaction]]=3,"Satisfied",
HRData[[#This Row],[JobSatisfaction]]=4,"Very Satisfied"
)</f>
        <v>Satisfied</v>
      </c>
      <c r="V1206" t="s">
        <v>48</v>
      </c>
      <c r="W1206">
        <v>2655</v>
      </c>
      <c r="X1206" t="str" cm="1">
        <f t="array" ref="X1206">_xlfn.IFS(
HRData[[#This Row],[MonthlyIncome]]&lt;=4000,"Very Low Income",
HRData[[#This Row],[MonthlyIncome]]&lt;=8000,"Low Income",
HRData[[#This Row],[MonthlyIncome]]&lt;=12000,"Moderate Income",
HRData[[#This Row],[MonthlyIncome]]&lt;=16000,"High Income",
HRData[[#This Row],[MonthlyIncome]]&gt;16000,"Very High Income"
)</f>
        <v>Very Low Income</v>
      </c>
      <c r="Y1206">
        <v>11740</v>
      </c>
      <c r="Z1206">
        <v>2</v>
      </c>
      <c r="AA1206" t="s">
        <v>42</v>
      </c>
      <c r="AB1206" t="s">
        <v>35</v>
      </c>
      <c r="AC1206">
        <v>11</v>
      </c>
      <c r="AD1206" t="str" cm="1">
        <f t="array" ref="AD1206">_xlfn.IFS(HRData[[#This Row],[PercentSalaryHike]]&lt;=15,"11-15",HRData[[#This Row],[PercentSalaryHike]]&lt;=20,"16-20",HRData[[#This Row],[PercentSalaryHike]]&gt;=21,"21+")</f>
        <v>11-15</v>
      </c>
      <c r="AE1206">
        <v>3</v>
      </c>
      <c r="AF1206">
        <v>3</v>
      </c>
      <c r="AG1206">
        <v>80</v>
      </c>
      <c r="AH1206">
        <v>2</v>
      </c>
      <c r="AI1206">
        <v>19</v>
      </c>
      <c r="AJ1206">
        <v>3</v>
      </c>
      <c r="AK1206">
        <v>3</v>
      </c>
      <c r="AL1206">
        <v>9</v>
      </c>
      <c r="AM1206">
        <v>7</v>
      </c>
      <c r="AN1206">
        <v>7</v>
      </c>
      <c r="AO1206">
        <v>7</v>
      </c>
      <c r="AP120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06" t="str">
        <f>IF(HRData[[#This Row],[Attrition]]="Yes","Left", IF(HRData[[#This Row],[Attrition_Risk_Score]]&gt;=6,"High",IF(HRData[[#This Row],[Attrition_Risk_Score]]&gt;=3,"Medium","Low")))</f>
        <v>Left</v>
      </c>
      <c r="AR1206" t="str">
        <f>IF(HRData[[#This Row],[Attrition_Risk_Level]]&lt;&gt;"High","",HRData[[#This Row],[Attrition_Risk_Score]]*10000-HRData[[#This Row],[EmployeeNumber]])</f>
        <v/>
      </c>
    </row>
    <row r="1207" spans="1:44">
      <c r="A1207">
        <v>32</v>
      </c>
      <c r="B1207" t="str" cm="1">
        <f t="array" ref="B1207">_xlfn.IFS(
HRData[[#This Row],[Age]]&lt;=24,"18-24",
HRData[[#This Row],[Age]]&lt;=34,"25-34",
HRData[[#This Row],[Age]]&lt;=44,"35-44",
HRData[[#This Row],[Age]]&lt;=54,"45-54",
HRData[[#This Row],[Age]]&gt;=55,"55+"
)</f>
        <v>25-34</v>
      </c>
      <c r="C1207" t="s">
        <v>35</v>
      </c>
      <c r="D1207">
        <f>IF(HRData[[#This Row],[Attrition]]="Yes",1,0)</f>
        <v>1</v>
      </c>
      <c r="E1207" t="s">
        <v>36</v>
      </c>
      <c r="F1207">
        <v>1259</v>
      </c>
      <c r="G1207" t="s">
        <v>45</v>
      </c>
      <c r="H1207">
        <v>2</v>
      </c>
      <c r="I1207">
        <v>4</v>
      </c>
      <c r="J1207" t="s">
        <v>38</v>
      </c>
      <c r="K1207">
        <v>1</v>
      </c>
      <c r="L1207">
        <v>1692</v>
      </c>
      <c r="M1207">
        <v>4</v>
      </c>
      <c r="N1207" t="str" cm="1">
        <f t="array" ref="N1207">_xlfn.IFS(HRData[[#This Row],[EnvironmentSatisfaction]]=1,"Very Dissatisfied",
HRData[[#This Row],[EnvironmentSatisfaction]]=2,"Dissatisfied",
HRData[[#This Row],[EnvironmentSatisfaction]]=3,"Satisfied",
HRData[[#This Row],[EnvironmentSatisfaction]]=4,"Very Satisfied"
)</f>
        <v>Very Satisfied</v>
      </c>
      <c r="O1207" t="s">
        <v>46</v>
      </c>
      <c r="P1207">
        <v>95</v>
      </c>
      <c r="Q1207">
        <v>3</v>
      </c>
      <c r="R1207">
        <v>1</v>
      </c>
      <c r="S1207" t="s">
        <v>50</v>
      </c>
      <c r="T1207">
        <v>2</v>
      </c>
      <c r="U1207" t="str" cm="1">
        <f t="array" ref="U1207">_xlfn.IFS(
HRData[[#This Row],[JobSatisfaction]]=1,"Very Dissatisfied",
HRData[[#This Row],[JobSatisfaction]]=2,"Dissatisfied",
HRData[[#This Row],[JobSatisfaction]]=3,"Satisfied",
HRData[[#This Row],[JobSatisfaction]]=4,"Very Satisfied"
)</f>
        <v>Dissatisfied</v>
      </c>
      <c r="V1207" t="s">
        <v>41</v>
      </c>
      <c r="W1207">
        <v>1393</v>
      </c>
      <c r="X1207" t="str" cm="1">
        <f t="array" ref="X1207">_xlfn.IFS(
HRData[[#This Row],[MonthlyIncome]]&lt;=4000,"Very Low Income",
HRData[[#This Row],[MonthlyIncome]]&lt;=8000,"Low Income",
HRData[[#This Row],[MonthlyIncome]]&lt;=12000,"Moderate Income",
HRData[[#This Row],[MonthlyIncome]]&lt;=16000,"High Income",
HRData[[#This Row],[MonthlyIncome]]&gt;16000,"Very High Income"
)</f>
        <v>Very Low Income</v>
      </c>
      <c r="Y1207">
        <v>24852</v>
      </c>
      <c r="Z1207">
        <v>1</v>
      </c>
      <c r="AA1207" t="s">
        <v>42</v>
      </c>
      <c r="AB1207" t="s">
        <v>43</v>
      </c>
      <c r="AC1207">
        <v>12</v>
      </c>
      <c r="AD1207" t="str" cm="1">
        <f t="array" ref="AD1207">_xlfn.IFS(HRData[[#This Row],[PercentSalaryHike]]&lt;=15,"11-15",HRData[[#This Row],[PercentSalaryHike]]&lt;=20,"16-20",HRData[[#This Row],[PercentSalaryHike]]&gt;=21,"21+")</f>
        <v>11-15</v>
      </c>
      <c r="AE1207">
        <v>3</v>
      </c>
      <c r="AF1207">
        <v>1</v>
      </c>
      <c r="AG1207">
        <v>80</v>
      </c>
      <c r="AH1207">
        <v>0</v>
      </c>
      <c r="AI1207">
        <v>1</v>
      </c>
      <c r="AJ1207">
        <v>2</v>
      </c>
      <c r="AK1207">
        <v>3</v>
      </c>
      <c r="AL1207">
        <v>1</v>
      </c>
      <c r="AM1207">
        <v>0</v>
      </c>
      <c r="AN1207">
        <v>0</v>
      </c>
      <c r="AO1207">
        <v>0</v>
      </c>
      <c r="AP120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07" t="str">
        <f>IF(HRData[[#This Row],[Attrition]]="Yes","Left", IF(HRData[[#This Row],[Attrition_Risk_Score]]&gt;=6,"High",IF(HRData[[#This Row],[Attrition_Risk_Score]]&gt;=3,"Medium","Low")))</f>
        <v>Left</v>
      </c>
      <c r="AR1207" t="str">
        <f>IF(HRData[[#This Row],[Attrition_Risk_Level]]&lt;&gt;"High","",HRData[[#This Row],[Attrition_Risk_Score]]*10000-HRData[[#This Row],[EmployeeNumber]])</f>
        <v/>
      </c>
    </row>
    <row r="1208" spans="1:44">
      <c r="A1208">
        <v>26</v>
      </c>
      <c r="B1208" t="str" cm="1">
        <f t="array" ref="B1208">_xlfn.IFS(
HRData[[#This Row],[Age]]&lt;=24,"18-24",
HRData[[#This Row],[Age]]&lt;=34,"25-34",
HRData[[#This Row],[Age]]&lt;=44,"35-44",
HRData[[#This Row],[Age]]&lt;=54,"45-54",
HRData[[#This Row],[Age]]&gt;=55,"55+"
)</f>
        <v>25-34</v>
      </c>
      <c r="C1208" t="s">
        <v>43</v>
      </c>
      <c r="D1208">
        <f>IF(HRData[[#This Row],[Attrition]]="Yes",1,0)</f>
        <v>0</v>
      </c>
      <c r="E1208" t="s">
        <v>55</v>
      </c>
      <c r="F1208">
        <v>786</v>
      </c>
      <c r="G1208" t="s">
        <v>45</v>
      </c>
      <c r="H1208">
        <v>7</v>
      </c>
      <c r="I1208">
        <v>3</v>
      </c>
      <c r="J1208" t="s">
        <v>51</v>
      </c>
      <c r="K1208">
        <v>1</v>
      </c>
      <c r="L1208">
        <v>1693</v>
      </c>
      <c r="M1208">
        <v>4</v>
      </c>
      <c r="N1208" t="str" cm="1">
        <f t="array" ref="N1208">_xlfn.IFS(HRData[[#This Row],[EnvironmentSatisfaction]]=1,"Very Dissatisfied",
HRData[[#This Row],[EnvironmentSatisfaction]]=2,"Dissatisfied",
HRData[[#This Row],[EnvironmentSatisfaction]]=3,"Satisfied",
HRData[[#This Row],[EnvironmentSatisfaction]]=4,"Very Satisfied"
)</f>
        <v>Very Satisfied</v>
      </c>
      <c r="O1208" t="s">
        <v>46</v>
      </c>
      <c r="P1208">
        <v>76</v>
      </c>
      <c r="Q1208">
        <v>3</v>
      </c>
      <c r="R1208">
        <v>1</v>
      </c>
      <c r="S1208" t="s">
        <v>50</v>
      </c>
      <c r="T1208">
        <v>4</v>
      </c>
      <c r="U1208" t="str" cm="1">
        <f t="array" ref="U1208">_xlfn.IFS(
HRData[[#This Row],[JobSatisfaction]]=1,"Very Dissatisfied",
HRData[[#This Row],[JobSatisfaction]]=2,"Dissatisfied",
HRData[[#This Row],[JobSatisfaction]]=3,"Satisfied",
HRData[[#This Row],[JobSatisfaction]]=4,"Very Satisfied"
)</f>
        <v>Very Satisfied</v>
      </c>
      <c r="V1208" t="s">
        <v>41</v>
      </c>
      <c r="W1208">
        <v>2570</v>
      </c>
      <c r="X1208" t="str" cm="1">
        <f t="array" ref="X1208">_xlfn.IFS(
HRData[[#This Row],[MonthlyIncome]]&lt;=4000,"Very Low Income",
HRData[[#This Row],[MonthlyIncome]]&lt;=8000,"Low Income",
HRData[[#This Row],[MonthlyIncome]]&lt;=12000,"Moderate Income",
HRData[[#This Row],[MonthlyIncome]]&lt;=16000,"High Income",
HRData[[#This Row],[MonthlyIncome]]&gt;16000,"Very High Income"
)</f>
        <v>Very Low Income</v>
      </c>
      <c r="Y1208">
        <v>11925</v>
      </c>
      <c r="Z1208">
        <v>1</v>
      </c>
      <c r="AA1208" t="s">
        <v>42</v>
      </c>
      <c r="AB1208" t="s">
        <v>43</v>
      </c>
      <c r="AC1208">
        <v>20</v>
      </c>
      <c r="AD1208" t="str" cm="1">
        <f t="array" ref="AD1208">_xlfn.IFS(HRData[[#This Row],[PercentSalaryHike]]&lt;=15,"11-15",HRData[[#This Row],[PercentSalaryHike]]&lt;=20,"16-20",HRData[[#This Row],[PercentSalaryHike]]&gt;=21,"21+")</f>
        <v>16-20</v>
      </c>
      <c r="AE1208">
        <v>4</v>
      </c>
      <c r="AF1208">
        <v>3</v>
      </c>
      <c r="AG1208">
        <v>80</v>
      </c>
      <c r="AH1208">
        <v>0</v>
      </c>
      <c r="AI1208">
        <v>7</v>
      </c>
      <c r="AJ1208">
        <v>5</v>
      </c>
      <c r="AK1208">
        <v>3</v>
      </c>
      <c r="AL1208">
        <v>7</v>
      </c>
      <c r="AM1208">
        <v>7</v>
      </c>
      <c r="AN1208">
        <v>5</v>
      </c>
      <c r="AO1208">
        <v>7</v>
      </c>
      <c r="AP120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208" t="str">
        <f>IF(HRData[[#This Row],[Attrition]]="Yes","Left", IF(HRData[[#This Row],[Attrition_Risk_Score]]&gt;=6,"High",IF(HRData[[#This Row],[Attrition_Risk_Score]]&gt;=3,"Medium","Low")))</f>
        <v>Medium</v>
      </c>
      <c r="AR1208" t="str">
        <f>IF(HRData[[#This Row],[Attrition_Risk_Level]]&lt;&gt;"High","",HRData[[#This Row],[Attrition_Risk_Score]]*10000-HRData[[#This Row],[EmployeeNumber]])</f>
        <v/>
      </c>
    </row>
    <row r="1209" spans="1:44">
      <c r="A1209">
        <v>55</v>
      </c>
      <c r="B1209" t="str" cm="1">
        <f t="array" ref="B1209">_xlfn.IFS(
HRData[[#This Row],[Age]]&lt;=24,"18-24",
HRData[[#This Row],[Age]]&lt;=34,"25-34",
HRData[[#This Row],[Age]]&lt;=44,"35-44",
HRData[[#This Row],[Age]]&lt;=54,"45-54",
HRData[[#This Row],[Age]]&gt;=55,"55+"
)</f>
        <v>55+</v>
      </c>
      <c r="C1209" t="s">
        <v>43</v>
      </c>
      <c r="D1209">
        <f>IF(HRData[[#This Row],[Attrition]]="Yes",1,0)</f>
        <v>0</v>
      </c>
      <c r="E1209" t="s">
        <v>36</v>
      </c>
      <c r="F1209">
        <v>1441</v>
      </c>
      <c r="G1209" t="s">
        <v>45</v>
      </c>
      <c r="H1209">
        <v>22</v>
      </c>
      <c r="I1209">
        <v>3</v>
      </c>
      <c r="J1209" t="s">
        <v>60</v>
      </c>
      <c r="K1209">
        <v>1</v>
      </c>
      <c r="L1209">
        <v>1694</v>
      </c>
      <c r="M1209">
        <v>1</v>
      </c>
      <c r="N1209" t="str" cm="1">
        <f t="array" ref="N1209">_xlfn.IFS(HRData[[#This Row],[EnvironmentSatisfaction]]=1,"Very Dissatisfied",
HRData[[#This Row],[EnvironmentSatisfaction]]=2,"Dissatisfied",
HRData[[#This Row],[EnvironmentSatisfaction]]=3,"Satisfied",
HRData[[#This Row],[EnvironmentSatisfaction]]=4,"Very Satisfied"
)</f>
        <v>Very Dissatisfied</v>
      </c>
      <c r="O1209" t="s">
        <v>46</v>
      </c>
      <c r="P1209">
        <v>94</v>
      </c>
      <c r="Q1209">
        <v>2</v>
      </c>
      <c r="R1209">
        <v>1</v>
      </c>
      <c r="S1209" t="s">
        <v>47</v>
      </c>
      <c r="T1209">
        <v>2</v>
      </c>
      <c r="U1209" t="str" cm="1">
        <f t="array" ref="U1209">_xlfn.IFS(
HRData[[#This Row],[JobSatisfaction]]=1,"Very Dissatisfied",
HRData[[#This Row],[JobSatisfaction]]=2,"Dissatisfied",
HRData[[#This Row],[JobSatisfaction]]=3,"Satisfied",
HRData[[#This Row],[JobSatisfaction]]=4,"Very Satisfied"
)</f>
        <v>Dissatisfied</v>
      </c>
      <c r="V1209" t="s">
        <v>52</v>
      </c>
      <c r="W1209">
        <v>3537</v>
      </c>
      <c r="X1209" t="str" cm="1">
        <f t="array" ref="X1209">_xlfn.IFS(
HRData[[#This Row],[MonthlyIncome]]&lt;=4000,"Very Low Income",
HRData[[#This Row],[MonthlyIncome]]&lt;=8000,"Low Income",
HRData[[#This Row],[MonthlyIncome]]&lt;=12000,"Moderate Income",
HRData[[#This Row],[MonthlyIncome]]&lt;=16000,"High Income",
HRData[[#This Row],[MonthlyIncome]]&gt;16000,"Very High Income"
)</f>
        <v>Very Low Income</v>
      </c>
      <c r="Y1209">
        <v>23737</v>
      </c>
      <c r="Z1209">
        <v>5</v>
      </c>
      <c r="AA1209" t="s">
        <v>42</v>
      </c>
      <c r="AB1209" t="s">
        <v>43</v>
      </c>
      <c r="AC1209">
        <v>12</v>
      </c>
      <c r="AD1209" t="str" cm="1">
        <f t="array" ref="AD1209">_xlfn.IFS(HRData[[#This Row],[PercentSalaryHike]]&lt;=15,"11-15",HRData[[#This Row],[PercentSalaryHike]]&lt;=20,"16-20",HRData[[#This Row],[PercentSalaryHike]]&gt;=21,"21+")</f>
        <v>11-15</v>
      </c>
      <c r="AE1209">
        <v>3</v>
      </c>
      <c r="AF1209">
        <v>4</v>
      </c>
      <c r="AG1209">
        <v>80</v>
      </c>
      <c r="AH1209">
        <v>1</v>
      </c>
      <c r="AI1209">
        <v>8</v>
      </c>
      <c r="AJ1209">
        <v>1</v>
      </c>
      <c r="AK1209">
        <v>3</v>
      </c>
      <c r="AL1209">
        <v>4</v>
      </c>
      <c r="AM1209">
        <v>2</v>
      </c>
      <c r="AN1209">
        <v>1</v>
      </c>
      <c r="AO1209">
        <v>2</v>
      </c>
      <c r="AP120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09" t="str">
        <f>IF(HRData[[#This Row],[Attrition]]="Yes","Left", IF(HRData[[#This Row],[Attrition_Risk_Score]]&gt;=6,"High",IF(HRData[[#This Row],[Attrition_Risk_Score]]&gt;=3,"Medium","Low")))</f>
        <v>Low</v>
      </c>
      <c r="AR1209" t="str">
        <f>IF(HRData[[#This Row],[Attrition_Risk_Level]]&lt;&gt;"High","",HRData[[#This Row],[Attrition_Risk_Score]]*10000-HRData[[#This Row],[EmployeeNumber]])</f>
        <v/>
      </c>
    </row>
    <row r="1210" spans="1:44">
      <c r="A1210">
        <v>34</v>
      </c>
      <c r="B1210" t="str" cm="1">
        <f t="array" ref="B1210">_xlfn.IFS(
HRData[[#This Row],[Age]]&lt;=24,"18-24",
HRData[[#This Row],[Age]]&lt;=34,"25-34",
HRData[[#This Row],[Age]]&lt;=44,"35-44",
HRData[[#This Row],[Age]]&lt;=54,"45-54",
HRData[[#This Row],[Age]]&gt;=55,"55+"
)</f>
        <v>25-34</v>
      </c>
      <c r="C1210" t="s">
        <v>43</v>
      </c>
      <c r="D1210">
        <f>IF(HRData[[#This Row],[Attrition]]="Yes",1,0)</f>
        <v>0</v>
      </c>
      <c r="E1210" t="s">
        <v>36</v>
      </c>
      <c r="F1210">
        <v>1157</v>
      </c>
      <c r="G1210" t="s">
        <v>45</v>
      </c>
      <c r="H1210">
        <v>5</v>
      </c>
      <c r="I1210">
        <v>2</v>
      </c>
      <c r="J1210" t="s">
        <v>51</v>
      </c>
      <c r="K1210">
        <v>1</v>
      </c>
      <c r="L1210">
        <v>1696</v>
      </c>
      <c r="M1210">
        <v>2</v>
      </c>
      <c r="N1210" t="str" cm="1">
        <f t="array" ref="N1210">_xlfn.IFS(HRData[[#This Row],[EnvironmentSatisfaction]]=1,"Very Dissatisfied",
HRData[[#This Row],[EnvironmentSatisfaction]]=2,"Dissatisfied",
HRData[[#This Row],[EnvironmentSatisfaction]]=3,"Satisfied",
HRData[[#This Row],[EnvironmentSatisfaction]]=4,"Very Satisfied"
)</f>
        <v>Dissatisfied</v>
      </c>
      <c r="O1210" t="s">
        <v>46</v>
      </c>
      <c r="P1210">
        <v>57</v>
      </c>
      <c r="Q1210">
        <v>2</v>
      </c>
      <c r="R1210">
        <v>2</v>
      </c>
      <c r="S1210" t="s">
        <v>50</v>
      </c>
      <c r="T1210">
        <v>4</v>
      </c>
      <c r="U1210" t="str" cm="1">
        <f t="array" ref="U1210">_xlfn.IFS(
HRData[[#This Row],[JobSatisfaction]]=1,"Very Dissatisfied",
HRData[[#This Row],[JobSatisfaction]]=2,"Dissatisfied",
HRData[[#This Row],[JobSatisfaction]]=3,"Satisfied",
HRData[[#This Row],[JobSatisfaction]]=4,"Very Satisfied"
)</f>
        <v>Very Satisfied</v>
      </c>
      <c r="V1210" t="s">
        <v>48</v>
      </c>
      <c r="W1210">
        <v>3986</v>
      </c>
      <c r="X1210" t="str" cm="1">
        <f t="array" ref="X1210">_xlfn.IFS(
HRData[[#This Row],[MonthlyIncome]]&lt;=4000,"Very Low Income",
HRData[[#This Row],[MonthlyIncome]]&lt;=8000,"Low Income",
HRData[[#This Row],[MonthlyIncome]]&lt;=12000,"Moderate Income",
HRData[[#This Row],[MonthlyIncome]]&lt;=16000,"High Income",
HRData[[#This Row],[MonthlyIncome]]&gt;16000,"Very High Income"
)</f>
        <v>Very Low Income</v>
      </c>
      <c r="Y1210">
        <v>11912</v>
      </c>
      <c r="Z1210">
        <v>1</v>
      </c>
      <c r="AA1210" t="s">
        <v>42</v>
      </c>
      <c r="AB1210" t="s">
        <v>43</v>
      </c>
      <c r="AC1210">
        <v>14</v>
      </c>
      <c r="AD1210" t="str" cm="1">
        <f t="array" ref="AD1210">_xlfn.IFS(HRData[[#This Row],[PercentSalaryHike]]&lt;=15,"11-15",HRData[[#This Row],[PercentSalaryHike]]&lt;=20,"16-20",HRData[[#This Row],[PercentSalaryHike]]&gt;=21,"21+")</f>
        <v>11-15</v>
      </c>
      <c r="AE1210">
        <v>3</v>
      </c>
      <c r="AF1210">
        <v>3</v>
      </c>
      <c r="AG1210">
        <v>80</v>
      </c>
      <c r="AH1210">
        <v>1</v>
      </c>
      <c r="AI1210">
        <v>15</v>
      </c>
      <c r="AJ1210">
        <v>3</v>
      </c>
      <c r="AK1210">
        <v>4</v>
      </c>
      <c r="AL1210">
        <v>15</v>
      </c>
      <c r="AM1210">
        <v>10</v>
      </c>
      <c r="AN1210">
        <v>4</v>
      </c>
      <c r="AO1210">
        <v>13</v>
      </c>
      <c r="AP121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210" t="str">
        <f>IF(HRData[[#This Row],[Attrition]]="Yes","Left", IF(HRData[[#This Row],[Attrition_Risk_Score]]&gt;=6,"High",IF(HRData[[#This Row],[Attrition_Risk_Score]]&gt;=3,"Medium","Low")))</f>
        <v>Medium</v>
      </c>
      <c r="AR1210" t="str">
        <f>IF(HRData[[#This Row],[Attrition_Risk_Level]]&lt;&gt;"High","",HRData[[#This Row],[Attrition_Risk_Score]]*10000-HRData[[#This Row],[EmployeeNumber]])</f>
        <v/>
      </c>
    </row>
    <row r="1211" spans="1:44">
      <c r="A1211">
        <v>60</v>
      </c>
      <c r="B1211" t="str" cm="1">
        <f t="array" ref="B1211">_xlfn.IFS(
HRData[[#This Row],[Age]]&lt;=24,"18-24",
HRData[[#This Row],[Age]]&lt;=34,"25-34",
HRData[[#This Row],[Age]]&lt;=44,"35-44",
HRData[[#This Row],[Age]]&lt;=54,"45-54",
HRData[[#This Row],[Age]]&gt;=55,"55+"
)</f>
        <v>55+</v>
      </c>
      <c r="C1211" t="s">
        <v>43</v>
      </c>
      <c r="D1211">
        <f>IF(HRData[[#This Row],[Attrition]]="Yes",1,0)</f>
        <v>0</v>
      </c>
      <c r="E1211" t="s">
        <v>36</v>
      </c>
      <c r="F1211">
        <v>370</v>
      </c>
      <c r="G1211" t="s">
        <v>45</v>
      </c>
      <c r="H1211">
        <v>1</v>
      </c>
      <c r="I1211">
        <v>4</v>
      </c>
      <c r="J1211" t="s">
        <v>51</v>
      </c>
      <c r="K1211">
        <v>1</v>
      </c>
      <c r="L1211">
        <v>1697</v>
      </c>
      <c r="M1211">
        <v>3</v>
      </c>
      <c r="N1211" t="str" cm="1">
        <f t="array" ref="N1211">_xlfn.IFS(HRData[[#This Row],[EnvironmentSatisfaction]]=1,"Very Dissatisfied",
HRData[[#This Row],[EnvironmentSatisfaction]]=2,"Dissatisfied",
HRData[[#This Row],[EnvironmentSatisfaction]]=3,"Satisfied",
HRData[[#This Row],[EnvironmentSatisfaction]]=4,"Very Satisfied"
)</f>
        <v>Satisfied</v>
      </c>
      <c r="O1211" t="s">
        <v>46</v>
      </c>
      <c r="P1211">
        <v>92</v>
      </c>
      <c r="Q1211">
        <v>1</v>
      </c>
      <c r="R1211">
        <v>3</v>
      </c>
      <c r="S1211" t="s">
        <v>54</v>
      </c>
      <c r="T1211">
        <v>4</v>
      </c>
      <c r="U1211" t="str" cm="1">
        <f t="array" ref="U1211">_xlfn.IFS(
HRData[[#This Row],[JobSatisfaction]]=1,"Very Dissatisfied",
HRData[[#This Row],[JobSatisfaction]]=2,"Dissatisfied",
HRData[[#This Row],[JobSatisfaction]]=3,"Satisfied",
HRData[[#This Row],[JobSatisfaction]]=4,"Very Satisfied"
)</f>
        <v>Very Satisfied</v>
      </c>
      <c r="V1211" t="s">
        <v>52</v>
      </c>
      <c r="W1211">
        <v>10883</v>
      </c>
      <c r="X1211" t="str" cm="1">
        <f t="array" ref="X1211">_xlfn.IFS(
HRData[[#This Row],[MonthlyIncome]]&lt;=4000,"Very Low Income",
HRData[[#This Row],[MonthlyIncome]]&lt;=8000,"Low Income",
HRData[[#This Row],[MonthlyIncome]]&lt;=12000,"Moderate Income",
HRData[[#This Row],[MonthlyIncome]]&lt;=16000,"High Income",
HRData[[#This Row],[MonthlyIncome]]&gt;16000,"Very High Income"
)</f>
        <v>Moderate Income</v>
      </c>
      <c r="Y1211">
        <v>20467</v>
      </c>
      <c r="Z1211">
        <v>3</v>
      </c>
      <c r="AA1211" t="s">
        <v>42</v>
      </c>
      <c r="AB1211" t="s">
        <v>43</v>
      </c>
      <c r="AC1211">
        <v>20</v>
      </c>
      <c r="AD1211" t="str" cm="1">
        <f t="array" ref="AD1211">_xlfn.IFS(HRData[[#This Row],[PercentSalaryHike]]&lt;=15,"11-15",HRData[[#This Row],[PercentSalaryHike]]&lt;=20,"16-20",HRData[[#This Row],[PercentSalaryHike]]&gt;=21,"21+")</f>
        <v>16-20</v>
      </c>
      <c r="AE1211">
        <v>4</v>
      </c>
      <c r="AF1211">
        <v>3</v>
      </c>
      <c r="AG1211">
        <v>80</v>
      </c>
      <c r="AH1211">
        <v>1</v>
      </c>
      <c r="AI1211">
        <v>19</v>
      </c>
      <c r="AJ1211">
        <v>2</v>
      </c>
      <c r="AK1211">
        <v>4</v>
      </c>
      <c r="AL1211">
        <v>1</v>
      </c>
      <c r="AM1211">
        <v>0</v>
      </c>
      <c r="AN1211">
        <v>0</v>
      </c>
      <c r="AO1211">
        <v>0</v>
      </c>
      <c r="AP121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211" t="str">
        <f>IF(HRData[[#This Row],[Attrition]]="Yes","Left", IF(HRData[[#This Row],[Attrition_Risk_Score]]&gt;=6,"High",IF(HRData[[#This Row],[Attrition_Risk_Score]]&gt;=3,"Medium","Low")))</f>
        <v>Low</v>
      </c>
      <c r="AR1211" t="str">
        <f>IF(HRData[[#This Row],[Attrition_Risk_Level]]&lt;&gt;"High","",HRData[[#This Row],[Attrition_Risk_Score]]*10000-HRData[[#This Row],[EmployeeNumber]])</f>
        <v/>
      </c>
    </row>
    <row r="1212" spans="1:44">
      <c r="A1212">
        <v>33</v>
      </c>
      <c r="B1212" t="str" cm="1">
        <f t="array" ref="B1212">_xlfn.IFS(
HRData[[#This Row],[Age]]&lt;=24,"18-24",
HRData[[#This Row],[Age]]&lt;=34,"25-34",
HRData[[#This Row],[Age]]&lt;=44,"35-44",
HRData[[#This Row],[Age]]&lt;=54,"45-54",
HRData[[#This Row],[Age]]&gt;=55,"55+"
)</f>
        <v>25-34</v>
      </c>
      <c r="C1212" t="s">
        <v>43</v>
      </c>
      <c r="D1212">
        <f>IF(HRData[[#This Row],[Attrition]]="Yes",1,0)</f>
        <v>0</v>
      </c>
      <c r="E1212" t="s">
        <v>36</v>
      </c>
      <c r="F1212">
        <v>267</v>
      </c>
      <c r="G1212" t="s">
        <v>45</v>
      </c>
      <c r="H1212">
        <v>21</v>
      </c>
      <c r="I1212">
        <v>3</v>
      </c>
      <c r="J1212" t="s">
        <v>51</v>
      </c>
      <c r="K1212">
        <v>1</v>
      </c>
      <c r="L1212">
        <v>1698</v>
      </c>
      <c r="M1212">
        <v>2</v>
      </c>
      <c r="N1212" t="str" cm="1">
        <f t="array" ref="N1212">_xlfn.IFS(HRData[[#This Row],[EnvironmentSatisfaction]]=1,"Very Dissatisfied",
HRData[[#This Row],[EnvironmentSatisfaction]]=2,"Dissatisfied",
HRData[[#This Row],[EnvironmentSatisfaction]]=3,"Satisfied",
HRData[[#This Row],[EnvironmentSatisfaction]]=4,"Very Satisfied"
)</f>
        <v>Dissatisfied</v>
      </c>
      <c r="O1212" t="s">
        <v>46</v>
      </c>
      <c r="P1212">
        <v>79</v>
      </c>
      <c r="Q1212">
        <v>4</v>
      </c>
      <c r="R1212">
        <v>1</v>
      </c>
      <c r="S1212" t="s">
        <v>50</v>
      </c>
      <c r="T1212">
        <v>2</v>
      </c>
      <c r="U1212" t="str" cm="1">
        <f t="array" ref="U1212">_xlfn.IFS(
HRData[[#This Row],[JobSatisfaction]]=1,"Very Dissatisfied",
HRData[[#This Row],[JobSatisfaction]]=2,"Dissatisfied",
HRData[[#This Row],[JobSatisfaction]]=3,"Satisfied",
HRData[[#This Row],[JobSatisfaction]]=4,"Very Satisfied"
)</f>
        <v>Dissatisfied</v>
      </c>
      <c r="V1212" t="s">
        <v>48</v>
      </c>
      <c r="W1212">
        <v>2028</v>
      </c>
      <c r="X1212" t="str" cm="1">
        <f t="array" ref="X1212">_xlfn.IFS(
HRData[[#This Row],[MonthlyIncome]]&lt;=4000,"Very Low Income",
HRData[[#This Row],[MonthlyIncome]]&lt;=8000,"Low Income",
HRData[[#This Row],[MonthlyIncome]]&lt;=12000,"Moderate Income",
HRData[[#This Row],[MonthlyIncome]]&lt;=16000,"High Income",
HRData[[#This Row],[MonthlyIncome]]&gt;16000,"Very High Income"
)</f>
        <v>Very Low Income</v>
      </c>
      <c r="Y1212">
        <v>13637</v>
      </c>
      <c r="Z1212">
        <v>1</v>
      </c>
      <c r="AA1212" t="s">
        <v>42</v>
      </c>
      <c r="AB1212" t="s">
        <v>43</v>
      </c>
      <c r="AC1212">
        <v>18</v>
      </c>
      <c r="AD1212" t="str" cm="1">
        <f t="array" ref="AD1212">_xlfn.IFS(HRData[[#This Row],[PercentSalaryHike]]&lt;=15,"11-15",HRData[[#This Row],[PercentSalaryHike]]&lt;=20,"16-20",HRData[[#This Row],[PercentSalaryHike]]&gt;=21,"21+")</f>
        <v>16-20</v>
      </c>
      <c r="AE1212">
        <v>3</v>
      </c>
      <c r="AF1212">
        <v>4</v>
      </c>
      <c r="AG1212">
        <v>80</v>
      </c>
      <c r="AH1212">
        <v>3</v>
      </c>
      <c r="AI1212">
        <v>14</v>
      </c>
      <c r="AJ1212">
        <v>6</v>
      </c>
      <c r="AK1212">
        <v>3</v>
      </c>
      <c r="AL1212">
        <v>14</v>
      </c>
      <c r="AM1212">
        <v>11</v>
      </c>
      <c r="AN1212">
        <v>2</v>
      </c>
      <c r="AO1212">
        <v>13</v>
      </c>
      <c r="AP121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212" t="str">
        <f>IF(HRData[[#This Row],[Attrition]]="Yes","Left", IF(HRData[[#This Row],[Attrition_Risk_Score]]&gt;=6,"High",IF(HRData[[#This Row],[Attrition_Risk_Score]]&gt;=3,"Medium","Low")))</f>
        <v>Medium</v>
      </c>
      <c r="AR1212" t="str">
        <f>IF(HRData[[#This Row],[Attrition_Risk_Level]]&lt;&gt;"High","",HRData[[#This Row],[Attrition_Risk_Score]]*10000-HRData[[#This Row],[EmployeeNumber]])</f>
        <v/>
      </c>
    </row>
    <row r="1213" spans="1:44">
      <c r="A1213">
        <v>37</v>
      </c>
      <c r="B1213" t="str" cm="1">
        <f t="array" ref="B1213">_xlfn.IFS(
HRData[[#This Row],[Age]]&lt;=24,"18-24",
HRData[[#This Row],[Age]]&lt;=34,"25-34",
HRData[[#This Row],[Age]]&lt;=44,"35-44",
HRData[[#This Row],[Age]]&lt;=54,"45-54",
HRData[[#This Row],[Age]]&gt;=55,"55+"
)</f>
        <v>35-44</v>
      </c>
      <c r="C1213" t="s">
        <v>43</v>
      </c>
      <c r="D1213">
        <f>IF(HRData[[#This Row],[Attrition]]="Yes",1,0)</f>
        <v>0</v>
      </c>
      <c r="E1213" t="s">
        <v>44</v>
      </c>
      <c r="F1213">
        <v>1278</v>
      </c>
      <c r="G1213" t="s">
        <v>37</v>
      </c>
      <c r="H1213">
        <v>1</v>
      </c>
      <c r="I1213">
        <v>4</v>
      </c>
      <c r="J1213" t="s">
        <v>51</v>
      </c>
      <c r="K1213">
        <v>1</v>
      </c>
      <c r="L1213">
        <v>1700</v>
      </c>
      <c r="M1213">
        <v>3</v>
      </c>
      <c r="N1213" t="str" cm="1">
        <f t="array" ref="N1213">_xlfn.IFS(HRData[[#This Row],[EnvironmentSatisfaction]]=1,"Very Dissatisfied",
HRData[[#This Row],[EnvironmentSatisfaction]]=2,"Dissatisfied",
HRData[[#This Row],[EnvironmentSatisfaction]]=3,"Satisfied",
HRData[[#This Row],[EnvironmentSatisfaction]]=4,"Very Satisfied"
)</f>
        <v>Satisfied</v>
      </c>
      <c r="O1213" t="s">
        <v>46</v>
      </c>
      <c r="P1213">
        <v>31</v>
      </c>
      <c r="Q1213">
        <v>1</v>
      </c>
      <c r="R1213">
        <v>2</v>
      </c>
      <c r="S1213" t="s">
        <v>40</v>
      </c>
      <c r="T1213">
        <v>4</v>
      </c>
      <c r="U1213" t="str" cm="1">
        <f t="array" ref="U1213">_xlfn.IFS(
HRData[[#This Row],[JobSatisfaction]]=1,"Very Dissatisfied",
HRData[[#This Row],[JobSatisfaction]]=2,"Dissatisfied",
HRData[[#This Row],[JobSatisfaction]]=3,"Satisfied",
HRData[[#This Row],[JobSatisfaction]]=4,"Very Satisfied"
)</f>
        <v>Very Satisfied</v>
      </c>
      <c r="V1213" t="s">
        <v>52</v>
      </c>
      <c r="W1213">
        <v>9525</v>
      </c>
      <c r="X1213" t="str" cm="1">
        <f t="array" ref="X1213">_xlfn.IFS(
HRData[[#This Row],[MonthlyIncome]]&lt;=4000,"Very Low Income",
HRData[[#This Row],[MonthlyIncome]]&lt;=8000,"Low Income",
HRData[[#This Row],[MonthlyIncome]]&lt;=12000,"Moderate Income",
HRData[[#This Row],[MonthlyIncome]]&lt;=16000,"High Income",
HRData[[#This Row],[MonthlyIncome]]&gt;16000,"Very High Income"
)</f>
        <v>Moderate Income</v>
      </c>
      <c r="Y1213">
        <v>7677</v>
      </c>
      <c r="Z1213">
        <v>1</v>
      </c>
      <c r="AA1213" t="s">
        <v>42</v>
      </c>
      <c r="AB1213" t="s">
        <v>43</v>
      </c>
      <c r="AC1213">
        <v>14</v>
      </c>
      <c r="AD1213" t="str" cm="1">
        <f t="array" ref="AD1213">_xlfn.IFS(HRData[[#This Row],[PercentSalaryHike]]&lt;=15,"11-15",HRData[[#This Row],[PercentSalaryHike]]&lt;=20,"16-20",HRData[[#This Row],[PercentSalaryHike]]&gt;=21,"21+")</f>
        <v>11-15</v>
      </c>
      <c r="AE1213">
        <v>3</v>
      </c>
      <c r="AF1213">
        <v>3</v>
      </c>
      <c r="AG1213">
        <v>80</v>
      </c>
      <c r="AH1213">
        <v>2</v>
      </c>
      <c r="AI1213">
        <v>6</v>
      </c>
      <c r="AJ1213">
        <v>2</v>
      </c>
      <c r="AK1213">
        <v>2</v>
      </c>
      <c r="AL1213">
        <v>6</v>
      </c>
      <c r="AM1213">
        <v>3</v>
      </c>
      <c r="AN1213">
        <v>1</v>
      </c>
      <c r="AO1213">
        <v>3</v>
      </c>
      <c r="AP121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213" t="str">
        <f>IF(HRData[[#This Row],[Attrition]]="Yes","Left", IF(HRData[[#This Row],[Attrition_Risk_Score]]&gt;=6,"High",IF(HRData[[#This Row],[Attrition_Risk_Score]]&gt;=3,"Medium","Low")))</f>
        <v>Low</v>
      </c>
      <c r="AR1213" t="str">
        <f>IF(HRData[[#This Row],[Attrition_Risk_Level]]&lt;&gt;"High","",HRData[[#This Row],[Attrition_Risk_Score]]*10000-HRData[[#This Row],[EmployeeNumber]])</f>
        <v/>
      </c>
    </row>
    <row r="1214" spans="1:44">
      <c r="A1214">
        <v>34</v>
      </c>
      <c r="B1214" t="str" cm="1">
        <f t="array" ref="B1214">_xlfn.IFS(
HRData[[#This Row],[Age]]&lt;=24,"18-24",
HRData[[#This Row],[Age]]&lt;=34,"25-34",
HRData[[#This Row],[Age]]&lt;=44,"35-44",
HRData[[#This Row],[Age]]&lt;=54,"45-54",
HRData[[#This Row],[Age]]&gt;=55,"55+"
)</f>
        <v>25-34</v>
      </c>
      <c r="C1214" t="s">
        <v>43</v>
      </c>
      <c r="D1214">
        <f>IF(HRData[[#This Row],[Attrition]]="Yes",1,0)</f>
        <v>0</v>
      </c>
      <c r="E1214" t="s">
        <v>36</v>
      </c>
      <c r="F1214">
        <v>678</v>
      </c>
      <c r="G1214" t="s">
        <v>45</v>
      </c>
      <c r="H1214">
        <v>19</v>
      </c>
      <c r="I1214">
        <v>3</v>
      </c>
      <c r="J1214" t="s">
        <v>38</v>
      </c>
      <c r="K1214">
        <v>1</v>
      </c>
      <c r="L1214">
        <v>1701</v>
      </c>
      <c r="M1214">
        <v>2</v>
      </c>
      <c r="N1214" t="str" cm="1">
        <f t="array" ref="N1214">_xlfn.IFS(HRData[[#This Row],[EnvironmentSatisfaction]]=1,"Very Dissatisfied",
HRData[[#This Row],[EnvironmentSatisfaction]]=2,"Dissatisfied",
HRData[[#This Row],[EnvironmentSatisfaction]]=3,"Satisfied",
HRData[[#This Row],[EnvironmentSatisfaction]]=4,"Very Satisfied"
)</f>
        <v>Dissatisfied</v>
      </c>
      <c r="O1214" t="s">
        <v>39</v>
      </c>
      <c r="P1214">
        <v>35</v>
      </c>
      <c r="Q1214">
        <v>2</v>
      </c>
      <c r="R1214">
        <v>1</v>
      </c>
      <c r="S1214" t="s">
        <v>47</v>
      </c>
      <c r="T1214">
        <v>4</v>
      </c>
      <c r="U1214" t="str" cm="1">
        <f t="array" ref="U1214">_xlfn.IFS(
HRData[[#This Row],[JobSatisfaction]]=1,"Very Dissatisfied",
HRData[[#This Row],[JobSatisfaction]]=2,"Dissatisfied",
HRData[[#This Row],[JobSatisfaction]]=3,"Satisfied",
HRData[[#This Row],[JobSatisfaction]]=4,"Very Satisfied"
)</f>
        <v>Very Satisfied</v>
      </c>
      <c r="V1214" t="s">
        <v>48</v>
      </c>
      <c r="W1214">
        <v>2929</v>
      </c>
      <c r="X1214" t="str" cm="1">
        <f t="array" ref="X1214">_xlfn.IFS(
HRData[[#This Row],[MonthlyIncome]]&lt;=4000,"Very Low Income",
HRData[[#This Row],[MonthlyIncome]]&lt;=8000,"Low Income",
HRData[[#This Row],[MonthlyIncome]]&lt;=12000,"Moderate Income",
HRData[[#This Row],[MonthlyIncome]]&lt;=16000,"High Income",
HRData[[#This Row],[MonthlyIncome]]&gt;16000,"Very High Income"
)</f>
        <v>Very Low Income</v>
      </c>
      <c r="Y1214">
        <v>20338</v>
      </c>
      <c r="Z1214">
        <v>1</v>
      </c>
      <c r="AA1214" t="s">
        <v>42</v>
      </c>
      <c r="AB1214" t="s">
        <v>43</v>
      </c>
      <c r="AC1214">
        <v>12</v>
      </c>
      <c r="AD1214" t="str" cm="1">
        <f t="array" ref="AD1214">_xlfn.IFS(HRData[[#This Row],[PercentSalaryHike]]&lt;=15,"11-15",HRData[[#This Row],[PercentSalaryHike]]&lt;=20,"16-20",HRData[[#This Row],[PercentSalaryHike]]&gt;=21,"21+")</f>
        <v>11-15</v>
      </c>
      <c r="AE1214">
        <v>3</v>
      </c>
      <c r="AF1214">
        <v>2</v>
      </c>
      <c r="AG1214">
        <v>80</v>
      </c>
      <c r="AH1214">
        <v>0</v>
      </c>
      <c r="AI1214">
        <v>10</v>
      </c>
      <c r="AJ1214">
        <v>3</v>
      </c>
      <c r="AK1214">
        <v>3</v>
      </c>
      <c r="AL1214">
        <v>10</v>
      </c>
      <c r="AM1214">
        <v>9</v>
      </c>
      <c r="AN1214">
        <v>8</v>
      </c>
      <c r="AO1214">
        <v>7</v>
      </c>
      <c r="AP121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14" t="str">
        <f>IF(HRData[[#This Row],[Attrition]]="Yes","Left", IF(HRData[[#This Row],[Attrition_Risk_Score]]&gt;=6,"High",IF(HRData[[#This Row],[Attrition_Risk_Score]]&gt;=3,"Medium","Low")))</f>
        <v>Medium</v>
      </c>
      <c r="AR1214" t="str">
        <f>IF(HRData[[#This Row],[Attrition_Risk_Level]]&lt;&gt;"High","",HRData[[#This Row],[Attrition_Risk_Score]]*10000-HRData[[#This Row],[EmployeeNumber]])</f>
        <v/>
      </c>
    </row>
    <row r="1215" spans="1:44">
      <c r="A1215">
        <v>23</v>
      </c>
      <c r="B1215" t="str" cm="1">
        <f t="array" ref="B1215">_xlfn.IFS(
HRData[[#This Row],[Age]]&lt;=24,"18-24",
HRData[[#This Row],[Age]]&lt;=34,"25-34",
HRData[[#This Row],[Age]]&lt;=44,"35-44",
HRData[[#This Row],[Age]]&lt;=54,"45-54",
HRData[[#This Row],[Age]]&gt;=55,"55+"
)</f>
        <v>18-24</v>
      </c>
      <c r="C1215" t="s">
        <v>35</v>
      </c>
      <c r="D1215">
        <f>IF(HRData[[#This Row],[Attrition]]="Yes",1,0)</f>
        <v>1</v>
      </c>
      <c r="E1215" t="s">
        <v>36</v>
      </c>
      <c r="F1215">
        <v>427</v>
      </c>
      <c r="G1215" t="s">
        <v>37</v>
      </c>
      <c r="H1215">
        <v>7</v>
      </c>
      <c r="I1215">
        <v>3</v>
      </c>
      <c r="J1215" t="s">
        <v>38</v>
      </c>
      <c r="K1215">
        <v>1</v>
      </c>
      <c r="L1215">
        <v>1702</v>
      </c>
      <c r="M1215">
        <v>3</v>
      </c>
      <c r="N1215" t="str" cm="1">
        <f t="array" ref="N1215">_xlfn.IFS(HRData[[#This Row],[EnvironmentSatisfaction]]=1,"Very Dissatisfied",
HRData[[#This Row],[EnvironmentSatisfaction]]=2,"Dissatisfied",
HRData[[#This Row],[EnvironmentSatisfaction]]=3,"Satisfied",
HRData[[#This Row],[EnvironmentSatisfaction]]=4,"Very Satisfied"
)</f>
        <v>Satisfied</v>
      </c>
      <c r="O1215" t="s">
        <v>46</v>
      </c>
      <c r="P1215">
        <v>99</v>
      </c>
      <c r="Q1215">
        <v>3</v>
      </c>
      <c r="R1215">
        <v>1</v>
      </c>
      <c r="S1215" t="s">
        <v>57</v>
      </c>
      <c r="T1215">
        <v>4</v>
      </c>
      <c r="U1215" t="str" cm="1">
        <f t="array" ref="U1215">_xlfn.IFS(
HRData[[#This Row],[JobSatisfaction]]=1,"Very Dissatisfied",
HRData[[#This Row],[JobSatisfaction]]=2,"Dissatisfied",
HRData[[#This Row],[JobSatisfaction]]=3,"Satisfied",
HRData[[#This Row],[JobSatisfaction]]=4,"Very Satisfied"
)</f>
        <v>Very Satisfied</v>
      </c>
      <c r="V1215" t="s">
        <v>52</v>
      </c>
      <c r="W1215">
        <v>2275</v>
      </c>
      <c r="X1215" t="str" cm="1">
        <f t="array" ref="X1215">_xlfn.IFS(
HRData[[#This Row],[MonthlyIncome]]&lt;=4000,"Very Low Income",
HRData[[#This Row],[MonthlyIncome]]&lt;=8000,"Low Income",
HRData[[#This Row],[MonthlyIncome]]&lt;=12000,"Moderate Income",
HRData[[#This Row],[MonthlyIncome]]&lt;=16000,"High Income",
HRData[[#This Row],[MonthlyIncome]]&gt;16000,"Very High Income"
)</f>
        <v>Very Low Income</v>
      </c>
      <c r="Y1215">
        <v>25103</v>
      </c>
      <c r="Z1215">
        <v>1</v>
      </c>
      <c r="AA1215" t="s">
        <v>42</v>
      </c>
      <c r="AB1215" t="s">
        <v>35</v>
      </c>
      <c r="AC1215">
        <v>21</v>
      </c>
      <c r="AD1215" t="str" cm="1">
        <f t="array" ref="AD1215">_xlfn.IFS(HRData[[#This Row],[PercentSalaryHike]]&lt;=15,"11-15",HRData[[#This Row],[PercentSalaryHike]]&lt;=20,"16-20",HRData[[#This Row],[PercentSalaryHike]]&gt;=21,"21+")</f>
        <v>21+</v>
      </c>
      <c r="AE1215">
        <v>4</v>
      </c>
      <c r="AF1215">
        <v>2</v>
      </c>
      <c r="AG1215">
        <v>80</v>
      </c>
      <c r="AH1215">
        <v>1</v>
      </c>
      <c r="AI1215">
        <v>3</v>
      </c>
      <c r="AJ1215">
        <v>2</v>
      </c>
      <c r="AK1215">
        <v>3</v>
      </c>
      <c r="AL1215">
        <v>3</v>
      </c>
      <c r="AM1215">
        <v>2</v>
      </c>
      <c r="AN1215">
        <v>0</v>
      </c>
      <c r="AO1215">
        <v>2</v>
      </c>
      <c r="AP121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15" t="str">
        <f>IF(HRData[[#This Row],[Attrition]]="Yes","Left", IF(HRData[[#This Row],[Attrition_Risk_Score]]&gt;=6,"High",IF(HRData[[#This Row],[Attrition_Risk_Score]]&gt;=3,"Medium","Low")))</f>
        <v>Left</v>
      </c>
      <c r="AR1215" t="str">
        <f>IF(HRData[[#This Row],[Attrition_Risk_Level]]&lt;&gt;"High","",HRData[[#This Row],[Attrition_Risk_Score]]*10000-HRData[[#This Row],[EmployeeNumber]])</f>
        <v/>
      </c>
    </row>
    <row r="1216" spans="1:44">
      <c r="A1216">
        <v>44</v>
      </c>
      <c r="B1216" t="str" cm="1">
        <f t="array" ref="B1216">_xlfn.IFS(
HRData[[#This Row],[Age]]&lt;=24,"18-24",
HRData[[#This Row],[Age]]&lt;=34,"25-34",
HRData[[#This Row],[Age]]&lt;=44,"35-44",
HRData[[#This Row],[Age]]&lt;=54,"45-54",
HRData[[#This Row],[Age]]&gt;=55,"55+"
)</f>
        <v>35-44</v>
      </c>
      <c r="C1216" t="s">
        <v>43</v>
      </c>
      <c r="D1216">
        <f>IF(HRData[[#This Row],[Attrition]]="Yes",1,0)</f>
        <v>0</v>
      </c>
      <c r="E1216" t="s">
        <v>36</v>
      </c>
      <c r="F1216">
        <v>921</v>
      </c>
      <c r="G1216" t="s">
        <v>45</v>
      </c>
      <c r="H1216">
        <v>2</v>
      </c>
      <c r="I1216">
        <v>3</v>
      </c>
      <c r="J1216" t="s">
        <v>38</v>
      </c>
      <c r="K1216">
        <v>1</v>
      </c>
      <c r="L1216">
        <v>1703</v>
      </c>
      <c r="M1216">
        <v>3</v>
      </c>
      <c r="N1216" t="str" cm="1">
        <f t="array" ref="N1216">_xlfn.IFS(HRData[[#This Row],[EnvironmentSatisfaction]]=1,"Very Dissatisfied",
HRData[[#This Row],[EnvironmentSatisfaction]]=2,"Dissatisfied",
HRData[[#This Row],[EnvironmentSatisfaction]]=3,"Satisfied",
HRData[[#This Row],[EnvironmentSatisfaction]]=4,"Very Satisfied"
)</f>
        <v>Satisfied</v>
      </c>
      <c r="O1216" t="s">
        <v>39</v>
      </c>
      <c r="P1216">
        <v>96</v>
      </c>
      <c r="Q1216">
        <v>4</v>
      </c>
      <c r="R1216">
        <v>3</v>
      </c>
      <c r="S1216" t="s">
        <v>54</v>
      </c>
      <c r="T1216">
        <v>4</v>
      </c>
      <c r="U1216" t="str" cm="1">
        <f t="array" ref="U1216">_xlfn.IFS(
HRData[[#This Row],[JobSatisfaction]]=1,"Very Dissatisfied",
HRData[[#This Row],[JobSatisfaction]]=2,"Dissatisfied",
HRData[[#This Row],[JobSatisfaction]]=3,"Satisfied",
HRData[[#This Row],[JobSatisfaction]]=4,"Very Satisfied"
)</f>
        <v>Very Satisfied</v>
      </c>
      <c r="V1216" t="s">
        <v>48</v>
      </c>
      <c r="W1216">
        <v>7879</v>
      </c>
      <c r="X1216" t="str" cm="1">
        <f t="array" ref="X1216">_xlfn.IFS(
HRData[[#This Row],[MonthlyIncome]]&lt;=4000,"Very Low Income",
HRData[[#This Row],[MonthlyIncome]]&lt;=8000,"Low Income",
HRData[[#This Row],[MonthlyIncome]]&lt;=12000,"Moderate Income",
HRData[[#This Row],[MonthlyIncome]]&lt;=16000,"High Income",
HRData[[#This Row],[MonthlyIncome]]&gt;16000,"Very High Income"
)</f>
        <v>Low Income</v>
      </c>
      <c r="Y1216">
        <v>14810</v>
      </c>
      <c r="Z1216">
        <v>1</v>
      </c>
      <c r="AA1216" t="s">
        <v>42</v>
      </c>
      <c r="AB1216" t="s">
        <v>35</v>
      </c>
      <c r="AC1216">
        <v>19</v>
      </c>
      <c r="AD1216" t="str" cm="1">
        <f t="array" ref="AD1216">_xlfn.IFS(HRData[[#This Row],[PercentSalaryHike]]&lt;=15,"11-15",HRData[[#This Row],[PercentSalaryHike]]&lt;=20,"16-20",HRData[[#This Row],[PercentSalaryHike]]&gt;=21,"21+")</f>
        <v>16-20</v>
      </c>
      <c r="AE1216">
        <v>3</v>
      </c>
      <c r="AF1216">
        <v>2</v>
      </c>
      <c r="AG1216">
        <v>80</v>
      </c>
      <c r="AH1216">
        <v>1</v>
      </c>
      <c r="AI1216">
        <v>9</v>
      </c>
      <c r="AJ1216">
        <v>2</v>
      </c>
      <c r="AK1216">
        <v>3</v>
      </c>
      <c r="AL1216">
        <v>8</v>
      </c>
      <c r="AM1216">
        <v>7</v>
      </c>
      <c r="AN1216">
        <v>6</v>
      </c>
      <c r="AO1216">
        <v>7</v>
      </c>
      <c r="AP121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16" t="str">
        <f>IF(HRData[[#This Row],[Attrition]]="Yes","Left", IF(HRData[[#This Row],[Attrition_Risk_Score]]&gt;=6,"High",IF(HRData[[#This Row],[Attrition_Risk_Score]]&gt;=3,"Medium","Low")))</f>
        <v>Medium</v>
      </c>
      <c r="AR1216" t="str">
        <f>IF(HRData[[#This Row],[Attrition_Risk_Level]]&lt;&gt;"High","",HRData[[#This Row],[Attrition_Risk_Score]]*10000-HRData[[#This Row],[EmployeeNumber]])</f>
        <v/>
      </c>
    </row>
    <row r="1217" spans="1:44">
      <c r="A1217">
        <v>35</v>
      </c>
      <c r="B1217" t="str" cm="1">
        <f t="array" ref="B1217">_xlfn.IFS(
HRData[[#This Row],[Age]]&lt;=24,"18-24",
HRData[[#This Row],[Age]]&lt;=34,"25-34",
HRData[[#This Row],[Age]]&lt;=44,"35-44",
HRData[[#This Row],[Age]]&lt;=54,"45-54",
HRData[[#This Row],[Age]]&gt;=55,"55+"
)</f>
        <v>35-44</v>
      </c>
      <c r="C1217" t="s">
        <v>43</v>
      </c>
      <c r="D1217">
        <f>IF(HRData[[#This Row],[Attrition]]="Yes",1,0)</f>
        <v>0</v>
      </c>
      <c r="E1217" t="s">
        <v>44</v>
      </c>
      <c r="F1217">
        <v>146</v>
      </c>
      <c r="G1217" t="s">
        <v>45</v>
      </c>
      <c r="H1217">
        <v>2</v>
      </c>
      <c r="I1217">
        <v>4</v>
      </c>
      <c r="J1217" t="s">
        <v>51</v>
      </c>
      <c r="K1217">
        <v>1</v>
      </c>
      <c r="L1217">
        <v>1704</v>
      </c>
      <c r="M1217">
        <v>1</v>
      </c>
      <c r="N1217" t="str" cm="1">
        <f t="array" ref="N1217">_xlfn.IFS(HRData[[#This Row],[EnvironmentSatisfaction]]=1,"Very Dissatisfied",
HRData[[#This Row],[EnvironmentSatisfaction]]=2,"Dissatisfied",
HRData[[#This Row],[EnvironmentSatisfaction]]=3,"Satisfied",
HRData[[#This Row],[EnvironmentSatisfaction]]=4,"Very Satisfied"
)</f>
        <v>Very Dissatisfied</v>
      </c>
      <c r="O1217" t="s">
        <v>46</v>
      </c>
      <c r="P1217">
        <v>79</v>
      </c>
      <c r="Q1217">
        <v>2</v>
      </c>
      <c r="R1217">
        <v>1</v>
      </c>
      <c r="S1217" t="s">
        <v>47</v>
      </c>
      <c r="T1217">
        <v>4</v>
      </c>
      <c r="U1217" t="str" cm="1">
        <f t="array" ref="U1217">_xlfn.IFS(
HRData[[#This Row],[JobSatisfaction]]=1,"Very Dissatisfied",
HRData[[#This Row],[JobSatisfaction]]=2,"Dissatisfied",
HRData[[#This Row],[JobSatisfaction]]=3,"Satisfied",
HRData[[#This Row],[JobSatisfaction]]=4,"Very Satisfied"
)</f>
        <v>Very Satisfied</v>
      </c>
      <c r="V1217" t="s">
        <v>41</v>
      </c>
      <c r="W1217">
        <v>4930</v>
      </c>
      <c r="X1217" t="str" cm="1">
        <f t="array" ref="X1217">_xlfn.IFS(
HRData[[#This Row],[MonthlyIncome]]&lt;=4000,"Very Low Income",
HRData[[#This Row],[MonthlyIncome]]&lt;=8000,"Low Income",
HRData[[#This Row],[MonthlyIncome]]&lt;=12000,"Moderate Income",
HRData[[#This Row],[MonthlyIncome]]&lt;=16000,"High Income",
HRData[[#This Row],[MonthlyIncome]]&gt;16000,"Very High Income"
)</f>
        <v>Low Income</v>
      </c>
      <c r="Y1217">
        <v>13970</v>
      </c>
      <c r="Z1217">
        <v>0</v>
      </c>
      <c r="AA1217" t="s">
        <v>42</v>
      </c>
      <c r="AB1217" t="s">
        <v>35</v>
      </c>
      <c r="AC1217">
        <v>14</v>
      </c>
      <c r="AD1217" t="str" cm="1">
        <f t="array" ref="AD1217">_xlfn.IFS(HRData[[#This Row],[PercentSalaryHike]]&lt;=15,"11-15",HRData[[#This Row],[PercentSalaryHike]]&lt;=20,"16-20",HRData[[#This Row],[PercentSalaryHike]]&gt;=21,"21+")</f>
        <v>11-15</v>
      </c>
      <c r="AE1217">
        <v>3</v>
      </c>
      <c r="AF1217">
        <v>3</v>
      </c>
      <c r="AG1217">
        <v>80</v>
      </c>
      <c r="AH1217">
        <v>0</v>
      </c>
      <c r="AI1217">
        <v>6</v>
      </c>
      <c r="AJ1217">
        <v>2</v>
      </c>
      <c r="AK1217">
        <v>4</v>
      </c>
      <c r="AL1217">
        <v>5</v>
      </c>
      <c r="AM1217">
        <v>4</v>
      </c>
      <c r="AN1217">
        <v>1</v>
      </c>
      <c r="AO1217">
        <v>4</v>
      </c>
      <c r="AP121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17" t="str">
        <f>IF(HRData[[#This Row],[Attrition]]="Yes","Left", IF(HRData[[#This Row],[Attrition_Risk_Score]]&gt;=6,"High",IF(HRData[[#This Row],[Attrition_Risk_Score]]&gt;=3,"Medium","Low")))</f>
        <v>Medium</v>
      </c>
      <c r="AR1217" t="str">
        <f>IF(HRData[[#This Row],[Attrition_Risk_Level]]&lt;&gt;"High","",HRData[[#This Row],[Attrition_Risk_Score]]*10000-HRData[[#This Row],[EmployeeNumber]])</f>
        <v/>
      </c>
    </row>
    <row r="1218" spans="1:44">
      <c r="A1218">
        <v>43</v>
      </c>
      <c r="B1218" t="str" cm="1">
        <f t="array" ref="B1218">_xlfn.IFS(
HRData[[#This Row],[Age]]&lt;=24,"18-24",
HRData[[#This Row],[Age]]&lt;=34,"25-34",
HRData[[#This Row],[Age]]&lt;=44,"35-44",
HRData[[#This Row],[Age]]&lt;=54,"45-54",
HRData[[#This Row],[Age]]&gt;=55,"55+"
)</f>
        <v>35-44</v>
      </c>
      <c r="C1218" t="s">
        <v>43</v>
      </c>
      <c r="D1218">
        <f>IF(HRData[[#This Row],[Attrition]]="Yes",1,0)</f>
        <v>0</v>
      </c>
      <c r="E1218" t="s">
        <v>36</v>
      </c>
      <c r="F1218">
        <v>1179</v>
      </c>
      <c r="G1218" t="s">
        <v>37</v>
      </c>
      <c r="H1218">
        <v>2</v>
      </c>
      <c r="I1218">
        <v>3</v>
      </c>
      <c r="J1218" t="s">
        <v>51</v>
      </c>
      <c r="K1218">
        <v>1</v>
      </c>
      <c r="L1218">
        <v>1706</v>
      </c>
      <c r="M1218">
        <v>4</v>
      </c>
      <c r="N1218" t="str" cm="1">
        <f t="array" ref="N1218">_xlfn.IFS(HRData[[#This Row],[EnvironmentSatisfaction]]=1,"Very Dissatisfied",
HRData[[#This Row],[EnvironmentSatisfaction]]=2,"Dissatisfied",
HRData[[#This Row],[EnvironmentSatisfaction]]=3,"Satisfied",
HRData[[#This Row],[EnvironmentSatisfaction]]=4,"Very Satisfied"
)</f>
        <v>Very Satisfied</v>
      </c>
      <c r="O1218" t="s">
        <v>46</v>
      </c>
      <c r="P1218">
        <v>73</v>
      </c>
      <c r="Q1218">
        <v>3</v>
      </c>
      <c r="R1218">
        <v>2</v>
      </c>
      <c r="S1218" t="s">
        <v>40</v>
      </c>
      <c r="T1218">
        <v>4</v>
      </c>
      <c r="U1218" t="str" cm="1">
        <f t="array" ref="U1218">_xlfn.IFS(
HRData[[#This Row],[JobSatisfaction]]=1,"Very Dissatisfied",
HRData[[#This Row],[JobSatisfaction]]=2,"Dissatisfied",
HRData[[#This Row],[JobSatisfaction]]=3,"Satisfied",
HRData[[#This Row],[JobSatisfaction]]=4,"Very Satisfied"
)</f>
        <v>Very Satisfied</v>
      </c>
      <c r="V1218" t="s">
        <v>48</v>
      </c>
      <c r="W1218">
        <v>7847</v>
      </c>
      <c r="X1218" t="str" cm="1">
        <f t="array" ref="X1218">_xlfn.IFS(
HRData[[#This Row],[MonthlyIncome]]&lt;=4000,"Very Low Income",
HRData[[#This Row],[MonthlyIncome]]&lt;=8000,"Low Income",
HRData[[#This Row],[MonthlyIncome]]&lt;=12000,"Moderate Income",
HRData[[#This Row],[MonthlyIncome]]&lt;=16000,"High Income",
HRData[[#This Row],[MonthlyIncome]]&gt;16000,"Very High Income"
)</f>
        <v>Low Income</v>
      </c>
      <c r="Y1218">
        <v>6069</v>
      </c>
      <c r="Z1218">
        <v>1</v>
      </c>
      <c r="AA1218" t="s">
        <v>42</v>
      </c>
      <c r="AB1218" t="s">
        <v>35</v>
      </c>
      <c r="AC1218">
        <v>17</v>
      </c>
      <c r="AD1218" t="str" cm="1">
        <f t="array" ref="AD1218">_xlfn.IFS(HRData[[#This Row],[PercentSalaryHike]]&lt;=15,"11-15",HRData[[#This Row],[PercentSalaryHike]]&lt;=20,"16-20",HRData[[#This Row],[PercentSalaryHike]]&gt;=21,"21+")</f>
        <v>16-20</v>
      </c>
      <c r="AE1218">
        <v>3</v>
      </c>
      <c r="AF1218">
        <v>1</v>
      </c>
      <c r="AG1218">
        <v>80</v>
      </c>
      <c r="AH1218">
        <v>1</v>
      </c>
      <c r="AI1218">
        <v>10</v>
      </c>
      <c r="AJ1218">
        <v>3</v>
      </c>
      <c r="AK1218">
        <v>3</v>
      </c>
      <c r="AL1218">
        <v>10</v>
      </c>
      <c r="AM1218">
        <v>9</v>
      </c>
      <c r="AN1218">
        <v>8</v>
      </c>
      <c r="AO1218">
        <v>8</v>
      </c>
      <c r="AP121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18" t="str">
        <f>IF(HRData[[#This Row],[Attrition]]="Yes","Left", IF(HRData[[#This Row],[Attrition_Risk_Score]]&gt;=6,"High",IF(HRData[[#This Row],[Attrition_Risk_Score]]&gt;=3,"Medium","Low")))</f>
        <v>Medium</v>
      </c>
      <c r="AR1218" t="str">
        <f>IF(HRData[[#This Row],[Attrition_Risk_Level]]&lt;&gt;"High","",HRData[[#This Row],[Attrition_Risk_Score]]*10000-HRData[[#This Row],[EmployeeNumber]])</f>
        <v/>
      </c>
    </row>
    <row r="1219" spans="1:44">
      <c r="A1219">
        <v>24</v>
      </c>
      <c r="B1219" t="str" cm="1">
        <f t="array" ref="B1219">_xlfn.IFS(
HRData[[#This Row],[Age]]&lt;=24,"18-24",
HRData[[#This Row],[Age]]&lt;=34,"25-34",
HRData[[#This Row],[Age]]&lt;=44,"35-44",
HRData[[#This Row],[Age]]&lt;=54,"45-54",
HRData[[#This Row],[Age]]&gt;=55,"55+"
)</f>
        <v>18-24</v>
      </c>
      <c r="C1219" t="s">
        <v>43</v>
      </c>
      <c r="D1219">
        <f>IF(HRData[[#This Row],[Attrition]]="Yes",1,0)</f>
        <v>0</v>
      </c>
      <c r="E1219" t="s">
        <v>36</v>
      </c>
      <c r="F1219">
        <v>581</v>
      </c>
      <c r="G1219" t="s">
        <v>45</v>
      </c>
      <c r="H1219">
        <v>9</v>
      </c>
      <c r="I1219">
        <v>3</v>
      </c>
      <c r="J1219" t="s">
        <v>51</v>
      </c>
      <c r="K1219">
        <v>1</v>
      </c>
      <c r="L1219">
        <v>1707</v>
      </c>
      <c r="M1219">
        <v>3</v>
      </c>
      <c r="N1219" t="str" cm="1">
        <f t="array" ref="N1219">_xlfn.IFS(HRData[[#This Row],[EnvironmentSatisfaction]]=1,"Very Dissatisfied",
HRData[[#This Row],[EnvironmentSatisfaction]]=2,"Dissatisfied",
HRData[[#This Row],[EnvironmentSatisfaction]]=3,"Satisfied",
HRData[[#This Row],[EnvironmentSatisfaction]]=4,"Very Satisfied"
)</f>
        <v>Satisfied</v>
      </c>
      <c r="O1219" t="s">
        <v>46</v>
      </c>
      <c r="P1219">
        <v>62</v>
      </c>
      <c r="Q1219">
        <v>4</v>
      </c>
      <c r="R1219">
        <v>1</v>
      </c>
      <c r="S1219" t="s">
        <v>47</v>
      </c>
      <c r="T1219">
        <v>3</v>
      </c>
      <c r="U1219" t="str" cm="1">
        <f t="array" ref="U1219">_xlfn.IFS(
HRData[[#This Row],[JobSatisfaction]]=1,"Very Dissatisfied",
HRData[[#This Row],[JobSatisfaction]]=2,"Dissatisfied",
HRData[[#This Row],[JobSatisfaction]]=3,"Satisfied",
HRData[[#This Row],[JobSatisfaction]]=4,"Very Satisfied"
)</f>
        <v>Satisfied</v>
      </c>
      <c r="V1219" t="s">
        <v>48</v>
      </c>
      <c r="W1219">
        <v>4401</v>
      </c>
      <c r="X1219" t="str" cm="1">
        <f t="array" ref="X1219">_xlfn.IFS(
HRData[[#This Row],[MonthlyIncome]]&lt;=4000,"Very Low Income",
HRData[[#This Row],[MonthlyIncome]]&lt;=8000,"Low Income",
HRData[[#This Row],[MonthlyIncome]]&lt;=12000,"Moderate Income",
HRData[[#This Row],[MonthlyIncome]]&lt;=16000,"High Income",
HRData[[#This Row],[MonthlyIncome]]&gt;16000,"Very High Income"
)</f>
        <v>Low Income</v>
      </c>
      <c r="Y1219">
        <v>17616</v>
      </c>
      <c r="Z1219">
        <v>1</v>
      </c>
      <c r="AA1219" t="s">
        <v>42</v>
      </c>
      <c r="AB1219" t="s">
        <v>43</v>
      </c>
      <c r="AC1219">
        <v>16</v>
      </c>
      <c r="AD1219" t="str" cm="1">
        <f t="array" ref="AD1219">_xlfn.IFS(HRData[[#This Row],[PercentSalaryHike]]&lt;=15,"11-15",HRData[[#This Row],[PercentSalaryHike]]&lt;=20,"16-20",HRData[[#This Row],[PercentSalaryHike]]&gt;=21,"21+")</f>
        <v>16-20</v>
      </c>
      <c r="AE1219">
        <v>3</v>
      </c>
      <c r="AF1219">
        <v>4</v>
      </c>
      <c r="AG1219">
        <v>80</v>
      </c>
      <c r="AH1219">
        <v>1</v>
      </c>
      <c r="AI1219">
        <v>5</v>
      </c>
      <c r="AJ1219">
        <v>1</v>
      </c>
      <c r="AK1219">
        <v>3</v>
      </c>
      <c r="AL1219">
        <v>5</v>
      </c>
      <c r="AM1219">
        <v>3</v>
      </c>
      <c r="AN1219">
        <v>0</v>
      </c>
      <c r="AO1219">
        <v>4</v>
      </c>
      <c r="AP121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19" t="str">
        <f>IF(HRData[[#This Row],[Attrition]]="Yes","Left", IF(HRData[[#This Row],[Attrition_Risk_Score]]&gt;=6,"High",IF(HRData[[#This Row],[Attrition_Risk_Score]]&gt;=3,"Medium","Low")))</f>
        <v>Medium</v>
      </c>
      <c r="AR1219" t="str">
        <f>IF(HRData[[#This Row],[Attrition_Risk_Level]]&lt;&gt;"High","",HRData[[#This Row],[Attrition_Risk_Score]]*10000-HRData[[#This Row],[EmployeeNumber]])</f>
        <v/>
      </c>
    </row>
    <row r="1220" spans="1:44">
      <c r="A1220">
        <v>41</v>
      </c>
      <c r="B1220" t="str" cm="1">
        <f t="array" ref="B1220">_xlfn.IFS(
HRData[[#This Row],[Age]]&lt;=24,"18-24",
HRData[[#This Row],[Age]]&lt;=34,"25-34",
HRData[[#This Row],[Age]]&lt;=44,"35-44",
HRData[[#This Row],[Age]]&lt;=54,"45-54",
HRData[[#This Row],[Age]]&gt;=55,"55+"
)</f>
        <v>35-44</v>
      </c>
      <c r="C1220" t="s">
        <v>43</v>
      </c>
      <c r="D1220">
        <f>IF(HRData[[#This Row],[Attrition]]="Yes",1,0)</f>
        <v>0</v>
      </c>
      <c r="E1220" t="s">
        <v>36</v>
      </c>
      <c r="F1220">
        <v>918</v>
      </c>
      <c r="G1220" t="s">
        <v>37</v>
      </c>
      <c r="H1220">
        <v>6</v>
      </c>
      <c r="I1220">
        <v>3</v>
      </c>
      <c r="J1220" t="s">
        <v>59</v>
      </c>
      <c r="K1220">
        <v>1</v>
      </c>
      <c r="L1220">
        <v>1708</v>
      </c>
      <c r="M1220">
        <v>4</v>
      </c>
      <c r="N1220" t="str" cm="1">
        <f t="array" ref="N1220">_xlfn.IFS(HRData[[#This Row],[EnvironmentSatisfaction]]=1,"Very Dissatisfied",
HRData[[#This Row],[EnvironmentSatisfaction]]=2,"Dissatisfied",
HRData[[#This Row],[EnvironmentSatisfaction]]=3,"Satisfied",
HRData[[#This Row],[EnvironmentSatisfaction]]=4,"Very Satisfied"
)</f>
        <v>Very Satisfied</v>
      </c>
      <c r="O1220" t="s">
        <v>46</v>
      </c>
      <c r="P1220">
        <v>35</v>
      </c>
      <c r="Q1220">
        <v>3</v>
      </c>
      <c r="R1220">
        <v>3</v>
      </c>
      <c r="S1220" t="s">
        <v>40</v>
      </c>
      <c r="T1220">
        <v>3</v>
      </c>
      <c r="U1220" t="str" cm="1">
        <f t="array" ref="U1220">_xlfn.IFS(
HRData[[#This Row],[JobSatisfaction]]=1,"Very Dissatisfied",
HRData[[#This Row],[JobSatisfaction]]=2,"Dissatisfied",
HRData[[#This Row],[JobSatisfaction]]=3,"Satisfied",
HRData[[#This Row],[JobSatisfaction]]=4,"Very Satisfied"
)</f>
        <v>Satisfied</v>
      </c>
      <c r="V1220" t="s">
        <v>41</v>
      </c>
      <c r="W1220">
        <v>9241</v>
      </c>
      <c r="X1220" t="str" cm="1">
        <f t="array" ref="X1220">_xlfn.IFS(
HRData[[#This Row],[MonthlyIncome]]&lt;=4000,"Very Low Income",
HRData[[#This Row],[MonthlyIncome]]&lt;=8000,"Low Income",
HRData[[#This Row],[MonthlyIncome]]&lt;=12000,"Moderate Income",
HRData[[#This Row],[MonthlyIncome]]&lt;=16000,"High Income",
HRData[[#This Row],[MonthlyIncome]]&gt;16000,"Very High Income"
)</f>
        <v>Moderate Income</v>
      </c>
      <c r="Y1220">
        <v>15869</v>
      </c>
      <c r="Z1220">
        <v>1</v>
      </c>
      <c r="AA1220" t="s">
        <v>42</v>
      </c>
      <c r="AB1220" t="s">
        <v>43</v>
      </c>
      <c r="AC1220">
        <v>12</v>
      </c>
      <c r="AD1220" t="str" cm="1">
        <f t="array" ref="AD1220">_xlfn.IFS(HRData[[#This Row],[PercentSalaryHike]]&lt;=15,"11-15",HRData[[#This Row],[PercentSalaryHike]]&lt;=20,"16-20",HRData[[#This Row],[PercentSalaryHike]]&gt;=21,"21+")</f>
        <v>11-15</v>
      </c>
      <c r="AE1220">
        <v>3</v>
      </c>
      <c r="AF1220">
        <v>2</v>
      </c>
      <c r="AG1220">
        <v>80</v>
      </c>
      <c r="AH1220">
        <v>0</v>
      </c>
      <c r="AI1220">
        <v>10</v>
      </c>
      <c r="AJ1220">
        <v>3</v>
      </c>
      <c r="AK1220">
        <v>3</v>
      </c>
      <c r="AL1220">
        <v>10</v>
      </c>
      <c r="AM1220">
        <v>8</v>
      </c>
      <c r="AN1220">
        <v>8</v>
      </c>
      <c r="AO1220">
        <v>7</v>
      </c>
      <c r="AP122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220" t="str">
        <f>IF(HRData[[#This Row],[Attrition]]="Yes","Left", IF(HRData[[#This Row],[Attrition_Risk_Score]]&gt;=6,"High",IF(HRData[[#This Row],[Attrition_Risk_Score]]&gt;=3,"Medium","Low")))</f>
        <v>Low</v>
      </c>
      <c r="AR1220" t="str">
        <f>IF(HRData[[#This Row],[Attrition_Risk_Level]]&lt;&gt;"High","",HRData[[#This Row],[Attrition_Risk_Score]]*10000-HRData[[#This Row],[EmployeeNumber]])</f>
        <v/>
      </c>
    </row>
    <row r="1221" spans="1:44">
      <c r="A1221">
        <v>29</v>
      </c>
      <c r="B1221" t="str" cm="1">
        <f t="array" ref="B1221">_xlfn.IFS(
HRData[[#This Row],[Age]]&lt;=24,"18-24",
HRData[[#This Row],[Age]]&lt;=34,"25-34",
HRData[[#This Row],[Age]]&lt;=44,"35-44",
HRData[[#This Row],[Age]]&lt;=54,"45-54",
HRData[[#This Row],[Age]]&gt;=55,"55+"
)</f>
        <v>25-34</v>
      </c>
      <c r="C1221" t="s">
        <v>43</v>
      </c>
      <c r="D1221">
        <f>IF(HRData[[#This Row],[Attrition]]="Yes",1,0)</f>
        <v>0</v>
      </c>
      <c r="E1221" t="s">
        <v>36</v>
      </c>
      <c r="F1221">
        <v>1082</v>
      </c>
      <c r="G1221" t="s">
        <v>45</v>
      </c>
      <c r="H1221">
        <v>9</v>
      </c>
      <c r="I1221">
        <v>4</v>
      </c>
      <c r="J1221" t="s">
        <v>51</v>
      </c>
      <c r="K1221">
        <v>1</v>
      </c>
      <c r="L1221">
        <v>1709</v>
      </c>
      <c r="M1221">
        <v>4</v>
      </c>
      <c r="N1221" t="str" cm="1">
        <f t="array" ref="N1221">_xlfn.IFS(HRData[[#This Row],[EnvironmentSatisfaction]]=1,"Very Dissatisfied",
HRData[[#This Row],[EnvironmentSatisfaction]]=2,"Dissatisfied",
HRData[[#This Row],[EnvironmentSatisfaction]]=3,"Satisfied",
HRData[[#This Row],[EnvironmentSatisfaction]]=4,"Very Satisfied"
)</f>
        <v>Very Satisfied</v>
      </c>
      <c r="O1221" t="s">
        <v>39</v>
      </c>
      <c r="P1221">
        <v>43</v>
      </c>
      <c r="Q1221">
        <v>3</v>
      </c>
      <c r="R1221">
        <v>1</v>
      </c>
      <c r="S1221" t="s">
        <v>50</v>
      </c>
      <c r="T1221">
        <v>3</v>
      </c>
      <c r="U1221" t="str" cm="1">
        <f t="array" ref="U1221">_xlfn.IFS(
HRData[[#This Row],[JobSatisfaction]]=1,"Very Dissatisfied",
HRData[[#This Row],[JobSatisfaction]]=2,"Dissatisfied",
HRData[[#This Row],[JobSatisfaction]]=3,"Satisfied",
HRData[[#This Row],[JobSatisfaction]]=4,"Very Satisfied"
)</f>
        <v>Satisfied</v>
      </c>
      <c r="V1221" t="s">
        <v>48</v>
      </c>
      <c r="W1221">
        <v>2974</v>
      </c>
      <c r="X1221" t="str" cm="1">
        <f t="array" ref="X1221">_xlfn.IFS(
HRData[[#This Row],[MonthlyIncome]]&lt;=4000,"Very Low Income",
HRData[[#This Row],[MonthlyIncome]]&lt;=8000,"Low Income",
HRData[[#This Row],[MonthlyIncome]]&lt;=12000,"Moderate Income",
HRData[[#This Row],[MonthlyIncome]]&lt;=16000,"High Income",
HRData[[#This Row],[MonthlyIncome]]&gt;16000,"Very High Income"
)</f>
        <v>Very Low Income</v>
      </c>
      <c r="Y1221">
        <v>25412</v>
      </c>
      <c r="Z1221">
        <v>9</v>
      </c>
      <c r="AA1221" t="s">
        <v>42</v>
      </c>
      <c r="AB1221" t="s">
        <v>43</v>
      </c>
      <c r="AC1221">
        <v>17</v>
      </c>
      <c r="AD1221" t="str" cm="1">
        <f t="array" ref="AD1221">_xlfn.IFS(HRData[[#This Row],[PercentSalaryHike]]&lt;=15,"11-15",HRData[[#This Row],[PercentSalaryHike]]&lt;=20,"16-20",HRData[[#This Row],[PercentSalaryHike]]&gt;=21,"21+")</f>
        <v>16-20</v>
      </c>
      <c r="AE1221">
        <v>3</v>
      </c>
      <c r="AF1221">
        <v>3</v>
      </c>
      <c r="AG1221">
        <v>80</v>
      </c>
      <c r="AH1221">
        <v>1</v>
      </c>
      <c r="AI1221">
        <v>9</v>
      </c>
      <c r="AJ1221">
        <v>2</v>
      </c>
      <c r="AK1221">
        <v>3</v>
      </c>
      <c r="AL1221">
        <v>5</v>
      </c>
      <c r="AM1221">
        <v>3</v>
      </c>
      <c r="AN1221">
        <v>1</v>
      </c>
      <c r="AO1221">
        <v>2</v>
      </c>
      <c r="AP122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221" t="str">
        <f>IF(HRData[[#This Row],[Attrition]]="Yes","Left", IF(HRData[[#This Row],[Attrition_Risk_Score]]&gt;=6,"High",IF(HRData[[#This Row],[Attrition_Risk_Score]]&gt;=3,"Medium","Low")))</f>
        <v>Medium</v>
      </c>
      <c r="AR1221" t="str">
        <f>IF(HRData[[#This Row],[Attrition_Risk_Level]]&lt;&gt;"High","",HRData[[#This Row],[Attrition_Risk_Score]]*10000-HRData[[#This Row],[EmployeeNumber]])</f>
        <v/>
      </c>
    </row>
    <row r="1222" spans="1:44">
      <c r="A1222">
        <v>36</v>
      </c>
      <c r="B1222" t="str" cm="1">
        <f t="array" ref="B1222">_xlfn.IFS(
HRData[[#This Row],[Age]]&lt;=24,"18-24",
HRData[[#This Row],[Age]]&lt;=34,"25-34",
HRData[[#This Row],[Age]]&lt;=44,"35-44",
HRData[[#This Row],[Age]]&lt;=54,"45-54",
HRData[[#This Row],[Age]]&gt;=55,"55+"
)</f>
        <v>35-44</v>
      </c>
      <c r="C1222" t="s">
        <v>43</v>
      </c>
      <c r="D1222">
        <f>IF(HRData[[#This Row],[Attrition]]="Yes",1,0)</f>
        <v>0</v>
      </c>
      <c r="E1222" t="s">
        <v>36</v>
      </c>
      <c r="F1222">
        <v>530</v>
      </c>
      <c r="G1222" t="s">
        <v>37</v>
      </c>
      <c r="H1222">
        <v>2</v>
      </c>
      <c r="I1222">
        <v>4</v>
      </c>
      <c r="J1222" t="s">
        <v>38</v>
      </c>
      <c r="K1222">
        <v>1</v>
      </c>
      <c r="L1222">
        <v>1710</v>
      </c>
      <c r="M1222">
        <v>3</v>
      </c>
      <c r="N1222" t="str" cm="1">
        <f t="array" ref="N1222">_xlfn.IFS(HRData[[#This Row],[EnvironmentSatisfaction]]=1,"Very Dissatisfied",
HRData[[#This Row],[EnvironmentSatisfaction]]=2,"Dissatisfied",
HRData[[#This Row],[EnvironmentSatisfaction]]=3,"Satisfied",
HRData[[#This Row],[EnvironmentSatisfaction]]=4,"Very Satisfied"
)</f>
        <v>Satisfied</v>
      </c>
      <c r="O1222" t="s">
        <v>39</v>
      </c>
      <c r="P1222">
        <v>51</v>
      </c>
      <c r="Q1222">
        <v>3</v>
      </c>
      <c r="R1222">
        <v>2</v>
      </c>
      <c r="S1222" t="s">
        <v>57</v>
      </c>
      <c r="T1222">
        <v>4</v>
      </c>
      <c r="U1222" t="str" cm="1">
        <f t="array" ref="U1222">_xlfn.IFS(
HRData[[#This Row],[JobSatisfaction]]=1,"Very Dissatisfied",
HRData[[#This Row],[JobSatisfaction]]=2,"Dissatisfied",
HRData[[#This Row],[JobSatisfaction]]=3,"Satisfied",
HRData[[#This Row],[JobSatisfaction]]=4,"Very Satisfied"
)</f>
        <v>Very Satisfied</v>
      </c>
      <c r="V1222" t="s">
        <v>41</v>
      </c>
      <c r="W1222">
        <v>4502</v>
      </c>
      <c r="X1222" t="str" cm="1">
        <f t="array" ref="X1222">_xlfn.IFS(
HRData[[#This Row],[MonthlyIncome]]&lt;=4000,"Very Low Income",
HRData[[#This Row],[MonthlyIncome]]&lt;=8000,"Low Income",
HRData[[#This Row],[MonthlyIncome]]&lt;=12000,"Moderate Income",
HRData[[#This Row],[MonthlyIncome]]&lt;=16000,"High Income",
HRData[[#This Row],[MonthlyIncome]]&gt;16000,"Very High Income"
)</f>
        <v>Low Income</v>
      </c>
      <c r="Y1222">
        <v>7439</v>
      </c>
      <c r="Z1222">
        <v>3</v>
      </c>
      <c r="AA1222" t="s">
        <v>42</v>
      </c>
      <c r="AB1222" t="s">
        <v>43</v>
      </c>
      <c r="AC1222">
        <v>15</v>
      </c>
      <c r="AD1222" t="str" cm="1">
        <f t="array" ref="AD1222">_xlfn.IFS(HRData[[#This Row],[PercentSalaryHike]]&lt;=15,"11-15",HRData[[#This Row],[PercentSalaryHike]]&lt;=20,"16-20",HRData[[#This Row],[PercentSalaryHike]]&gt;=21,"21+")</f>
        <v>11-15</v>
      </c>
      <c r="AE1222">
        <v>3</v>
      </c>
      <c r="AF1222">
        <v>3</v>
      </c>
      <c r="AG1222">
        <v>80</v>
      </c>
      <c r="AH1222">
        <v>0</v>
      </c>
      <c r="AI1222">
        <v>17</v>
      </c>
      <c r="AJ1222">
        <v>2</v>
      </c>
      <c r="AK1222">
        <v>2</v>
      </c>
      <c r="AL1222">
        <v>13</v>
      </c>
      <c r="AM1222">
        <v>7</v>
      </c>
      <c r="AN1222">
        <v>6</v>
      </c>
      <c r="AO1222">
        <v>7</v>
      </c>
      <c r="AP122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22" t="str">
        <f>IF(HRData[[#This Row],[Attrition]]="Yes","Left", IF(HRData[[#This Row],[Attrition_Risk_Score]]&gt;=6,"High",IF(HRData[[#This Row],[Attrition_Risk_Score]]&gt;=3,"Medium","Low")))</f>
        <v>Medium</v>
      </c>
      <c r="AR1222" t="str">
        <f>IF(HRData[[#This Row],[Attrition_Risk_Level]]&lt;&gt;"High","",HRData[[#This Row],[Attrition_Risk_Score]]*10000-HRData[[#This Row],[EmployeeNumber]])</f>
        <v/>
      </c>
    </row>
    <row r="1223" spans="1:44">
      <c r="A1223">
        <v>45</v>
      </c>
      <c r="B1223" t="str" cm="1">
        <f t="array" ref="B1223">_xlfn.IFS(
HRData[[#This Row],[Age]]&lt;=24,"18-24",
HRData[[#This Row],[Age]]&lt;=34,"25-34",
HRData[[#This Row],[Age]]&lt;=44,"35-44",
HRData[[#This Row],[Age]]&lt;=54,"45-54",
HRData[[#This Row],[Age]]&gt;=55,"55+"
)</f>
        <v>45-54</v>
      </c>
      <c r="C1223" t="s">
        <v>43</v>
      </c>
      <c r="D1223">
        <f>IF(HRData[[#This Row],[Attrition]]="Yes",1,0)</f>
        <v>0</v>
      </c>
      <c r="E1223" t="s">
        <v>55</v>
      </c>
      <c r="F1223">
        <v>1238</v>
      </c>
      <c r="G1223" t="s">
        <v>45</v>
      </c>
      <c r="H1223">
        <v>1</v>
      </c>
      <c r="I1223">
        <v>1</v>
      </c>
      <c r="J1223" t="s">
        <v>38</v>
      </c>
      <c r="K1223">
        <v>1</v>
      </c>
      <c r="L1223">
        <v>1712</v>
      </c>
      <c r="M1223">
        <v>3</v>
      </c>
      <c r="N1223" t="str" cm="1">
        <f t="array" ref="N1223">_xlfn.IFS(HRData[[#This Row],[EnvironmentSatisfaction]]=1,"Very Dissatisfied",
HRData[[#This Row],[EnvironmentSatisfaction]]=2,"Dissatisfied",
HRData[[#This Row],[EnvironmentSatisfaction]]=3,"Satisfied",
HRData[[#This Row],[EnvironmentSatisfaction]]=4,"Very Satisfied"
)</f>
        <v>Satisfied</v>
      </c>
      <c r="O1223" t="s">
        <v>46</v>
      </c>
      <c r="P1223">
        <v>74</v>
      </c>
      <c r="Q1223">
        <v>2</v>
      </c>
      <c r="R1223">
        <v>3</v>
      </c>
      <c r="S1223" t="s">
        <v>54</v>
      </c>
      <c r="T1223">
        <v>3</v>
      </c>
      <c r="U1223" t="str" cm="1">
        <f t="array" ref="U1223">_xlfn.IFS(
HRData[[#This Row],[JobSatisfaction]]=1,"Very Dissatisfied",
HRData[[#This Row],[JobSatisfaction]]=2,"Dissatisfied",
HRData[[#This Row],[JobSatisfaction]]=3,"Satisfied",
HRData[[#This Row],[JobSatisfaction]]=4,"Very Satisfied"
)</f>
        <v>Satisfied</v>
      </c>
      <c r="V1223" t="s">
        <v>48</v>
      </c>
      <c r="W1223">
        <v>10748</v>
      </c>
      <c r="X1223" t="str" cm="1">
        <f t="array" ref="X1223">_xlfn.IFS(
HRData[[#This Row],[MonthlyIncome]]&lt;=4000,"Very Low Income",
HRData[[#This Row],[MonthlyIncome]]&lt;=8000,"Low Income",
HRData[[#This Row],[MonthlyIncome]]&lt;=12000,"Moderate Income",
HRData[[#This Row],[MonthlyIncome]]&lt;=16000,"High Income",
HRData[[#This Row],[MonthlyIncome]]&gt;16000,"Very High Income"
)</f>
        <v>Moderate Income</v>
      </c>
      <c r="Y1223">
        <v>3395</v>
      </c>
      <c r="Z1223">
        <v>3</v>
      </c>
      <c r="AA1223" t="s">
        <v>42</v>
      </c>
      <c r="AB1223" t="s">
        <v>43</v>
      </c>
      <c r="AC1223">
        <v>23</v>
      </c>
      <c r="AD1223" t="str" cm="1">
        <f t="array" ref="AD1223">_xlfn.IFS(HRData[[#This Row],[PercentSalaryHike]]&lt;=15,"11-15",HRData[[#This Row],[PercentSalaryHike]]&lt;=20,"16-20",HRData[[#This Row],[PercentSalaryHike]]&gt;=21,"21+")</f>
        <v>21+</v>
      </c>
      <c r="AE1223">
        <v>4</v>
      </c>
      <c r="AF1223">
        <v>4</v>
      </c>
      <c r="AG1223">
        <v>80</v>
      </c>
      <c r="AH1223">
        <v>1</v>
      </c>
      <c r="AI1223">
        <v>25</v>
      </c>
      <c r="AJ1223">
        <v>3</v>
      </c>
      <c r="AK1223">
        <v>2</v>
      </c>
      <c r="AL1223">
        <v>23</v>
      </c>
      <c r="AM1223">
        <v>15</v>
      </c>
      <c r="AN1223">
        <v>14</v>
      </c>
      <c r="AO1223">
        <v>4</v>
      </c>
      <c r="AP122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223" t="str">
        <f>IF(HRData[[#This Row],[Attrition]]="Yes","Left", IF(HRData[[#This Row],[Attrition_Risk_Score]]&gt;=6,"High",IF(HRData[[#This Row],[Attrition_Risk_Score]]&gt;=3,"Medium","Low")))</f>
        <v>Low</v>
      </c>
      <c r="AR1223" t="str">
        <f>IF(HRData[[#This Row],[Attrition_Risk_Level]]&lt;&gt;"High","",HRData[[#This Row],[Attrition_Risk_Score]]*10000-HRData[[#This Row],[EmployeeNumber]])</f>
        <v/>
      </c>
    </row>
    <row r="1224" spans="1:44">
      <c r="A1224">
        <v>24</v>
      </c>
      <c r="B1224" t="str" cm="1">
        <f t="array" ref="B1224">_xlfn.IFS(
HRData[[#This Row],[Age]]&lt;=24,"18-24",
HRData[[#This Row],[Age]]&lt;=34,"25-34",
HRData[[#This Row],[Age]]&lt;=44,"35-44",
HRData[[#This Row],[Age]]&lt;=54,"45-54",
HRData[[#This Row],[Age]]&gt;=55,"55+"
)</f>
        <v>18-24</v>
      </c>
      <c r="C1224" t="s">
        <v>35</v>
      </c>
      <c r="D1224">
        <f>IF(HRData[[#This Row],[Attrition]]="Yes",1,0)</f>
        <v>1</v>
      </c>
      <c r="E1224" t="s">
        <v>36</v>
      </c>
      <c r="F1224">
        <v>240</v>
      </c>
      <c r="G1224" t="s">
        <v>61</v>
      </c>
      <c r="H1224">
        <v>22</v>
      </c>
      <c r="I1224">
        <v>1</v>
      </c>
      <c r="J1224" t="s">
        <v>61</v>
      </c>
      <c r="K1224">
        <v>1</v>
      </c>
      <c r="L1224">
        <v>1714</v>
      </c>
      <c r="M1224">
        <v>4</v>
      </c>
      <c r="N1224" t="str" cm="1">
        <f t="array" ref="N1224">_xlfn.IFS(HRData[[#This Row],[EnvironmentSatisfaction]]=1,"Very Dissatisfied",
HRData[[#This Row],[EnvironmentSatisfaction]]=2,"Dissatisfied",
HRData[[#This Row],[EnvironmentSatisfaction]]=3,"Satisfied",
HRData[[#This Row],[EnvironmentSatisfaction]]=4,"Very Satisfied"
)</f>
        <v>Very Satisfied</v>
      </c>
      <c r="O1224" t="s">
        <v>46</v>
      </c>
      <c r="P1224">
        <v>58</v>
      </c>
      <c r="Q1224">
        <v>1</v>
      </c>
      <c r="R1224">
        <v>1</v>
      </c>
      <c r="S1224" t="s">
        <v>61</v>
      </c>
      <c r="T1224">
        <v>3</v>
      </c>
      <c r="U1224" t="str" cm="1">
        <f t="array" ref="U1224">_xlfn.IFS(
HRData[[#This Row],[JobSatisfaction]]=1,"Very Dissatisfied",
HRData[[#This Row],[JobSatisfaction]]=2,"Dissatisfied",
HRData[[#This Row],[JobSatisfaction]]=3,"Satisfied",
HRData[[#This Row],[JobSatisfaction]]=4,"Very Satisfied"
)</f>
        <v>Satisfied</v>
      </c>
      <c r="V1224" t="s">
        <v>48</v>
      </c>
      <c r="W1224">
        <v>1555</v>
      </c>
      <c r="X1224" t="str" cm="1">
        <f t="array" ref="X1224">_xlfn.IFS(
HRData[[#This Row],[MonthlyIncome]]&lt;=4000,"Very Low Income",
HRData[[#This Row],[MonthlyIncome]]&lt;=8000,"Low Income",
HRData[[#This Row],[MonthlyIncome]]&lt;=12000,"Moderate Income",
HRData[[#This Row],[MonthlyIncome]]&lt;=16000,"High Income",
HRData[[#This Row],[MonthlyIncome]]&gt;16000,"Very High Income"
)</f>
        <v>Very Low Income</v>
      </c>
      <c r="Y1224">
        <v>11585</v>
      </c>
      <c r="Z1224">
        <v>1</v>
      </c>
      <c r="AA1224" t="s">
        <v>42</v>
      </c>
      <c r="AB1224" t="s">
        <v>43</v>
      </c>
      <c r="AC1224">
        <v>11</v>
      </c>
      <c r="AD1224" t="str" cm="1">
        <f t="array" ref="AD1224">_xlfn.IFS(HRData[[#This Row],[PercentSalaryHike]]&lt;=15,"11-15",HRData[[#This Row],[PercentSalaryHike]]&lt;=20,"16-20",HRData[[#This Row],[PercentSalaryHike]]&gt;=21,"21+")</f>
        <v>11-15</v>
      </c>
      <c r="AE1224">
        <v>3</v>
      </c>
      <c r="AF1224">
        <v>3</v>
      </c>
      <c r="AG1224">
        <v>80</v>
      </c>
      <c r="AH1224">
        <v>1</v>
      </c>
      <c r="AI1224">
        <v>1</v>
      </c>
      <c r="AJ1224">
        <v>2</v>
      </c>
      <c r="AK1224">
        <v>3</v>
      </c>
      <c r="AL1224">
        <v>1</v>
      </c>
      <c r="AM1224">
        <v>0</v>
      </c>
      <c r="AN1224">
        <v>0</v>
      </c>
      <c r="AO1224">
        <v>0</v>
      </c>
      <c r="AP122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24" t="str">
        <f>IF(HRData[[#This Row],[Attrition]]="Yes","Left", IF(HRData[[#This Row],[Attrition_Risk_Score]]&gt;=6,"High",IF(HRData[[#This Row],[Attrition_Risk_Score]]&gt;=3,"Medium","Low")))</f>
        <v>Left</v>
      </c>
      <c r="AR1224" t="str">
        <f>IF(HRData[[#This Row],[Attrition_Risk_Level]]&lt;&gt;"High","",HRData[[#This Row],[Attrition_Risk_Score]]*10000-HRData[[#This Row],[EmployeeNumber]])</f>
        <v/>
      </c>
    </row>
    <row r="1225" spans="1:44">
      <c r="A1225">
        <v>47</v>
      </c>
      <c r="B1225" t="str" cm="1">
        <f t="array" ref="B1225">_xlfn.IFS(
HRData[[#This Row],[Age]]&lt;=24,"18-24",
HRData[[#This Row],[Age]]&lt;=34,"25-34",
HRData[[#This Row],[Age]]&lt;=44,"35-44",
HRData[[#This Row],[Age]]&lt;=54,"45-54",
HRData[[#This Row],[Age]]&gt;=55,"55+"
)</f>
        <v>45-54</v>
      </c>
      <c r="C1225" t="s">
        <v>35</v>
      </c>
      <c r="D1225">
        <f>IF(HRData[[#This Row],[Attrition]]="Yes",1,0)</f>
        <v>1</v>
      </c>
      <c r="E1225" t="s">
        <v>44</v>
      </c>
      <c r="F1225">
        <v>1093</v>
      </c>
      <c r="G1225" t="s">
        <v>37</v>
      </c>
      <c r="H1225">
        <v>9</v>
      </c>
      <c r="I1225">
        <v>3</v>
      </c>
      <c r="J1225" t="s">
        <v>38</v>
      </c>
      <c r="K1225">
        <v>1</v>
      </c>
      <c r="L1225">
        <v>1716</v>
      </c>
      <c r="M1225">
        <v>3</v>
      </c>
      <c r="N1225" t="str" cm="1">
        <f t="array" ref="N1225">_xlfn.IFS(HRData[[#This Row],[EnvironmentSatisfaction]]=1,"Very Dissatisfied",
HRData[[#This Row],[EnvironmentSatisfaction]]=2,"Dissatisfied",
HRData[[#This Row],[EnvironmentSatisfaction]]=3,"Satisfied",
HRData[[#This Row],[EnvironmentSatisfaction]]=4,"Very Satisfied"
)</f>
        <v>Satisfied</v>
      </c>
      <c r="O1225" t="s">
        <v>46</v>
      </c>
      <c r="P1225">
        <v>82</v>
      </c>
      <c r="Q1225">
        <v>1</v>
      </c>
      <c r="R1225">
        <v>4</v>
      </c>
      <c r="S1225" t="s">
        <v>40</v>
      </c>
      <c r="T1225">
        <v>3</v>
      </c>
      <c r="U1225" t="str" cm="1">
        <f t="array" ref="U1225">_xlfn.IFS(
HRData[[#This Row],[JobSatisfaction]]=1,"Very Dissatisfied",
HRData[[#This Row],[JobSatisfaction]]=2,"Dissatisfied",
HRData[[#This Row],[JobSatisfaction]]=3,"Satisfied",
HRData[[#This Row],[JobSatisfaction]]=4,"Very Satisfied"
)</f>
        <v>Satisfied</v>
      </c>
      <c r="V1225" t="s">
        <v>48</v>
      </c>
      <c r="W1225">
        <v>12936</v>
      </c>
      <c r="X1225" t="str" cm="1">
        <f t="array" ref="X1225">_xlfn.IFS(
HRData[[#This Row],[MonthlyIncome]]&lt;=4000,"Very Low Income",
HRData[[#This Row],[MonthlyIncome]]&lt;=8000,"Low Income",
HRData[[#This Row],[MonthlyIncome]]&lt;=12000,"Moderate Income",
HRData[[#This Row],[MonthlyIncome]]&lt;=16000,"High Income",
HRData[[#This Row],[MonthlyIncome]]&gt;16000,"Very High Income"
)</f>
        <v>High Income</v>
      </c>
      <c r="Y1225">
        <v>24164</v>
      </c>
      <c r="Z1225">
        <v>7</v>
      </c>
      <c r="AA1225" t="s">
        <v>42</v>
      </c>
      <c r="AB1225" t="s">
        <v>43</v>
      </c>
      <c r="AC1225">
        <v>11</v>
      </c>
      <c r="AD1225" t="str" cm="1">
        <f t="array" ref="AD1225">_xlfn.IFS(HRData[[#This Row],[PercentSalaryHike]]&lt;=15,"11-15",HRData[[#This Row],[PercentSalaryHike]]&lt;=20,"16-20",HRData[[#This Row],[PercentSalaryHike]]&gt;=21,"21+")</f>
        <v>11-15</v>
      </c>
      <c r="AE1225">
        <v>3</v>
      </c>
      <c r="AF1225">
        <v>3</v>
      </c>
      <c r="AG1225">
        <v>80</v>
      </c>
      <c r="AH1225">
        <v>0</v>
      </c>
      <c r="AI1225">
        <v>25</v>
      </c>
      <c r="AJ1225">
        <v>3</v>
      </c>
      <c r="AK1225">
        <v>1</v>
      </c>
      <c r="AL1225">
        <v>23</v>
      </c>
      <c r="AM1225">
        <v>5</v>
      </c>
      <c r="AN1225">
        <v>14</v>
      </c>
      <c r="AO1225">
        <v>10</v>
      </c>
      <c r="AP122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25" t="str">
        <f>IF(HRData[[#This Row],[Attrition]]="Yes","Left", IF(HRData[[#This Row],[Attrition_Risk_Score]]&gt;=6,"High",IF(HRData[[#This Row],[Attrition_Risk_Score]]&gt;=3,"Medium","Low")))</f>
        <v>Left</v>
      </c>
      <c r="AR1225" t="str">
        <f>IF(HRData[[#This Row],[Attrition_Risk_Level]]&lt;&gt;"High","",HRData[[#This Row],[Attrition_Risk_Score]]*10000-HRData[[#This Row],[EmployeeNumber]])</f>
        <v/>
      </c>
    </row>
    <row r="1226" spans="1:44">
      <c r="A1226">
        <v>26</v>
      </c>
      <c r="B1226" t="str" cm="1">
        <f t="array" ref="B1226">_xlfn.IFS(
HRData[[#This Row],[Age]]&lt;=24,"18-24",
HRData[[#This Row],[Age]]&lt;=34,"25-34",
HRData[[#This Row],[Age]]&lt;=44,"35-44",
HRData[[#This Row],[Age]]&lt;=54,"45-54",
HRData[[#This Row],[Age]]&gt;=55,"55+"
)</f>
        <v>25-34</v>
      </c>
      <c r="C1226" t="s">
        <v>43</v>
      </c>
      <c r="D1226">
        <f>IF(HRData[[#This Row],[Attrition]]="Yes",1,0)</f>
        <v>0</v>
      </c>
      <c r="E1226" t="s">
        <v>36</v>
      </c>
      <c r="F1226">
        <v>390</v>
      </c>
      <c r="G1226" t="s">
        <v>45</v>
      </c>
      <c r="H1226">
        <v>17</v>
      </c>
      <c r="I1226">
        <v>4</v>
      </c>
      <c r="J1226" t="s">
        <v>51</v>
      </c>
      <c r="K1226">
        <v>1</v>
      </c>
      <c r="L1226">
        <v>1718</v>
      </c>
      <c r="M1226">
        <v>4</v>
      </c>
      <c r="N1226" t="str" cm="1">
        <f t="array" ref="N1226">_xlfn.IFS(HRData[[#This Row],[EnvironmentSatisfaction]]=1,"Very Dissatisfied",
HRData[[#This Row],[EnvironmentSatisfaction]]=2,"Dissatisfied",
HRData[[#This Row],[EnvironmentSatisfaction]]=3,"Satisfied",
HRData[[#This Row],[EnvironmentSatisfaction]]=4,"Very Satisfied"
)</f>
        <v>Very Satisfied</v>
      </c>
      <c r="O1226" t="s">
        <v>46</v>
      </c>
      <c r="P1226">
        <v>62</v>
      </c>
      <c r="Q1226">
        <v>1</v>
      </c>
      <c r="R1226">
        <v>1</v>
      </c>
      <c r="S1226" t="s">
        <v>50</v>
      </c>
      <c r="T1226">
        <v>3</v>
      </c>
      <c r="U1226" t="str" cm="1">
        <f t="array" ref="U1226">_xlfn.IFS(
HRData[[#This Row],[JobSatisfaction]]=1,"Very Dissatisfied",
HRData[[#This Row],[JobSatisfaction]]=2,"Dissatisfied",
HRData[[#This Row],[JobSatisfaction]]=3,"Satisfied",
HRData[[#This Row],[JobSatisfaction]]=4,"Very Satisfied"
)</f>
        <v>Satisfied</v>
      </c>
      <c r="V1226" t="s">
        <v>48</v>
      </c>
      <c r="W1226">
        <v>2305</v>
      </c>
      <c r="X1226" t="str" cm="1">
        <f t="array" ref="X1226">_xlfn.IFS(
HRData[[#This Row],[MonthlyIncome]]&lt;=4000,"Very Low Income",
HRData[[#This Row],[MonthlyIncome]]&lt;=8000,"Low Income",
HRData[[#This Row],[MonthlyIncome]]&lt;=12000,"Moderate Income",
HRData[[#This Row],[MonthlyIncome]]&lt;=16000,"High Income",
HRData[[#This Row],[MonthlyIncome]]&gt;16000,"Very High Income"
)</f>
        <v>Very Low Income</v>
      </c>
      <c r="Y1226">
        <v>6217</v>
      </c>
      <c r="Z1226">
        <v>1</v>
      </c>
      <c r="AA1226" t="s">
        <v>42</v>
      </c>
      <c r="AB1226" t="s">
        <v>43</v>
      </c>
      <c r="AC1226">
        <v>15</v>
      </c>
      <c r="AD1226" t="str" cm="1">
        <f t="array" ref="AD1226">_xlfn.IFS(HRData[[#This Row],[PercentSalaryHike]]&lt;=15,"11-15",HRData[[#This Row],[PercentSalaryHike]]&lt;=20,"16-20",HRData[[#This Row],[PercentSalaryHike]]&gt;=21,"21+")</f>
        <v>11-15</v>
      </c>
      <c r="AE1226">
        <v>3</v>
      </c>
      <c r="AF1226">
        <v>3</v>
      </c>
      <c r="AG1226">
        <v>80</v>
      </c>
      <c r="AH1226">
        <v>3</v>
      </c>
      <c r="AI1226">
        <v>3</v>
      </c>
      <c r="AJ1226">
        <v>3</v>
      </c>
      <c r="AK1226">
        <v>4</v>
      </c>
      <c r="AL1226">
        <v>3</v>
      </c>
      <c r="AM1226">
        <v>2</v>
      </c>
      <c r="AN1226">
        <v>0</v>
      </c>
      <c r="AO1226">
        <v>2</v>
      </c>
      <c r="AP122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226" t="str">
        <f>IF(HRData[[#This Row],[Attrition]]="Yes","Left", IF(HRData[[#This Row],[Attrition_Risk_Score]]&gt;=6,"High",IF(HRData[[#This Row],[Attrition_Risk_Score]]&gt;=3,"Medium","Low")))</f>
        <v>Medium</v>
      </c>
      <c r="AR1226" t="str">
        <f>IF(HRData[[#This Row],[Attrition_Risk_Level]]&lt;&gt;"High","",HRData[[#This Row],[Attrition_Risk_Score]]*10000-HRData[[#This Row],[EmployeeNumber]])</f>
        <v/>
      </c>
    </row>
    <row r="1227" spans="1:44">
      <c r="A1227">
        <v>45</v>
      </c>
      <c r="B1227" t="str" cm="1">
        <f t="array" ref="B1227">_xlfn.IFS(
HRData[[#This Row],[Age]]&lt;=24,"18-24",
HRData[[#This Row],[Age]]&lt;=34,"25-34",
HRData[[#This Row],[Age]]&lt;=44,"35-44",
HRData[[#This Row],[Age]]&lt;=54,"45-54",
HRData[[#This Row],[Age]]&gt;=55,"55+"
)</f>
        <v>45-54</v>
      </c>
      <c r="C1227" t="s">
        <v>43</v>
      </c>
      <c r="D1227">
        <f>IF(HRData[[#This Row],[Attrition]]="Yes",1,0)</f>
        <v>0</v>
      </c>
      <c r="E1227" t="s">
        <v>36</v>
      </c>
      <c r="F1227">
        <v>1005</v>
      </c>
      <c r="G1227" t="s">
        <v>45</v>
      </c>
      <c r="H1227">
        <v>28</v>
      </c>
      <c r="I1227">
        <v>2</v>
      </c>
      <c r="J1227" t="s">
        <v>60</v>
      </c>
      <c r="K1227">
        <v>1</v>
      </c>
      <c r="L1227">
        <v>1719</v>
      </c>
      <c r="M1227">
        <v>4</v>
      </c>
      <c r="N1227" t="str" cm="1">
        <f t="array" ref="N1227">_xlfn.IFS(HRData[[#This Row],[EnvironmentSatisfaction]]=1,"Very Dissatisfied",
HRData[[#This Row],[EnvironmentSatisfaction]]=2,"Dissatisfied",
HRData[[#This Row],[EnvironmentSatisfaction]]=3,"Satisfied",
HRData[[#This Row],[EnvironmentSatisfaction]]=4,"Very Satisfied"
)</f>
        <v>Very Satisfied</v>
      </c>
      <c r="O1227" t="s">
        <v>39</v>
      </c>
      <c r="P1227">
        <v>48</v>
      </c>
      <c r="Q1227">
        <v>2</v>
      </c>
      <c r="R1227">
        <v>4</v>
      </c>
      <c r="S1227" t="s">
        <v>58</v>
      </c>
      <c r="T1227">
        <v>2</v>
      </c>
      <c r="U1227" t="str" cm="1">
        <f t="array" ref="U1227">_xlfn.IFS(
HRData[[#This Row],[JobSatisfaction]]=1,"Very Dissatisfied",
HRData[[#This Row],[JobSatisfaction]]=2,"Dissatisfied",
HRData[[#This Row],[JobSatisfaction]]=3,"Satisfied",
HRData[[#This Row],[JobSatisfaction]]=4,"Very Satisfied"
)</f>
        <v>Dissatisfied</v>
      </c>
      <c r="V1227" t="s">
        <v>41</v>
      </c>
      <c r="W1227">
        <v>16704</v>
      </c>
      <c r="X1227" t="str" cm="1">
        <f t="array" ref="X1227">_xlfn.IFS(
HRData[[#This Row],[MonthlyIncome]]&lt;=4000,"Very Low Income",
HRData[[#This Row],[MonthlyIncome]]&lt;=8000,"Low Income",
HRData[[#This Row],[MonthlyIncome]]&lt;=12000,"Moderate Income",
HRData[[#This Row],[MonthlyIncome]]&lt;=16000,"High Income",
HRData[[#This Row],[MonthlyIncome]]&gt;16000,"Very High Income"
)</f>
        <v>Very High Income</v>
      </c>
      <c r="Y1227">
        <v>17119</v>
      </c>
      <c r="Z1227">
        <v>1</v>
      </c>
      <c r="AA1227" t="s">
        <v>42</v>
      </c>
      <c r="AB1227" t="s">
        <v>43</v>
      </c>
      <c r="AC1227">
        <v>11</v>
      </c>
      <c r="AD1227" t="str" cm="1">
        <f t="array" ref="AD1227">_xlfn.IFS(HRData[[#This Row],[PercentSalaryHike]]&lt;=15,"11-15",HRData[[#This Row],[PercentSalaryHike]]&lt;=20,"16-20",HRData[[#This Row],[PercentSalaryHike]]&gt;=21,"21+")</f>
        <v>11-15</v>
      </c>
      <c r="AE1227">
        <v>3</v>
      </c>
      <c r="AF1227">
        <v>3</v>
      </c>
      <c r="AG1227">
        <v>80</v>
      </c>
      <c r="AH1227">
        <v>0</v>
      </c>
      <c r="AI1227">
        <v>21</v>
      </c>
      <c r="AJ1227">
        <v>2</v>
      </c>
      <c r="AK1227">
        <v>3</v>
      </c>
      <c r="AL1227">
        <v>21</v>
      </c>
      <c r="AM1227">
        <v>6</v>
      </c>
      <c r="AN1227">
        <v>8</v>
      </c>
      <c r="AO1227">
        <v>6</v>
      </c>
      <c r="AP122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227" t="str">
        <f>IF(HRData[[#This Row],[Attrition]]="Yes","Left", IF(HRData[[#This Row],[Attrition_Risk_Score]]&gt;=6,"High",IF(HRData[[#This Row],[Attrition_Risk_Score]]&gt;=3,"Medium","Low")))</f>
        <v>Low</v>
      </c>
      <c r="AR1227" t="str">
        <f>IF(HRData[[#This Row],[Attrition_Risk_Level]]&lt;&gt;"High","",HRData[[#This Row],[Attrition_Risk_Score]]*10000-HRData[[#This Row],[EmployeeNumber]])</f>
        <v/>
      </c>
    </row>
    <row r="1228" spans="1:44">
      <c r="A1228">
        <v>32</v>
      </c>
      <c r="B1228" t="str" cm="1">
        <f t="array" ref="B1228">_xlfn.IFS(
HRData[[#This Row],[Age]]&lt;=24,"18-24",
HRData[[#This Row],[Age]]&lt;=34,"25-34",
HRData[[#This Row],[Age]]&lt;=44,"35-44",
HRData[[#This Row],[Age]]&lt;=54,"45-54",
HRData[[#This Row],[Age]]&gt;=55,"55+"
)</f>
        <v>25-34</v>
      </c>
      <c r="C1228" t="s">
        <v>43</v>
      </c>
      <c r="D1228">
        <f>IF(HRData[[#This Row],[Attrition]]="Yes",1,0)</f>
        <v>0</v>
      </c>
      <c r="E1228" t="s">
        <v>44</v>
      </c>
      <c r="F1228">
        <v>585</v>
      </c>
      <c r="G1228" t="s">
        <v>45</v>
      </c>
      <c r="H1228">
        <v>10</v>
      </c>
      <c r="I1228">
        <v>3</v>
      </c>
      <c r="J1228" t="s">
        <v>38</v>
      </c>
      <c r="K1228">
        <v>1</v>
      </c>
      <c r="L1228">
        <v>1720</v>
      </c>
      <c r="M1228">
        <v>1</v>
      </c>
      <c r="N1228" t="str" cm="1">
        <f t="array" ref="N1228">_xlfn.IFS(HRData[[#This Row],[EnvironmentSatisfaction]]=1,"Very Dissatisfied",
HRData[[#This Row],[EnvironmentSatisfaction]]=2,"Dissatisfied",
HRData[[#This Row],[EnvironmentSatisfaction]]=3,"Satisfied",
HRData[[#This Row],[EnvironmentSatisfaction]]=4,"Very Satisfied"
)</f>
        <v>Very Dissatisfied</v>
      </c>
      <c r="O1228" t="s">
        <v>46</v>
      </c>
      <c r="P1228">
        <v>56</v>
      </c>
      <c r="Q1228">
        <v>3</v>
      </c>
      <c r="R1228">
        <v>1</v>
      </c>
      <c r="S1228" t="s">
        <v>47</v>
      </c>
      <c r="T1228">
        <v>3</v>
      </c>
      <c r="U1228" t="str" cm="1">
        <f t="array" ref="U1228">_xlfn.IFS(
HRData[[#This Row],[JobSatisfaction]]=1,"Very Dissatisfied",
HRData[[#This Row],[JobSatisfaction]]=2,"Dissatisfied",
HRData[[#This Row],[JobSatisfaction]]=3,"Satisfied",
HRData[[#This Row],[JobSatisfaction]]=4,"Very Satisfied"
)</f>
        <v>Satisfied</v>
      </c>
      <c r="V1228" t="s">
        <v>48</v>
      </c>
      <c r="W1228">
        <v>3433</v>
      </c>
      <c r="X1228" t="str" cm="1">
        <f t="array" ref="X1228">_xlfn.IFS(
HRData[[#This Row],[MonthlyIncome]]&lt;=4000,"Very Low Income",
HRData[[#This Row],[MonthlyIncome]]&lt;=8000,"Low Income",
HRData[[#This Row],[MonthlyIncome]]&lt;=12000,"Moderate Income",
HRData[[#This Row],[MonthlyIncome]]&lt;=16000,"High Income",
HRData[[#This Row],[MonthlyIncome]]&gt;16000,"Very High Income"
)</f>
        <v>Very Low Income</v>
      </c>
      <c r="Y1228">
        <v>17360</v>
      </c>
      <c r="Z1228">
        <v>6</v>
      </c>
      <c r="AA1228" t="s">
        <v>42</v>
      </c>
      <c r="AB1228" t="s">
        <v>43</v>
      </c>
      <c r="AC1228">
        <v>13</v>
      </c>
      <c r="AD1228" t="str" cm="1">
        <f t="array" ref="AD1228">_xlfn.IFS(HRData[[#This Row],[PercentSalaryHike]]&lt;=15,"11-15",HRData[[#This Row],[PercentSalaryHike]]&lt;=20,"16-20",HRData[[#This Row],[PercentSalaryHike]]&gt;=21,"21+")</f>
        <v>11-15</v>
      </c>
      <c r="AE1228">
        <v>3</v>
      </c>
      <c r="AF1228">
        <v>1</v>
      </c>
      <c r="AG1228">
        <v>80</v>
      </c>
      <c r="AH1228">
        <v>1</v>
      </c>
      <c r="AI1228">
        <v>10</v>
      </c>
      <c r="AJ1228">
        <v>3</v>
      </c>
      <c r="AK1228">
        <v>2</v>
      </c>
      <c r="AL1228">
        <v>5</v>
      </c>
      <c r="AM1228">
        <v>2</v>
      </c>
      <c r="AN1228">
        <v>1</v>
      </c>
      <c r="AO1228">
        <v>3</v>
      </c>
      <c r="AP122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28" t="str">
        <f>IF(HRData[[#This Row],[Attrition]]="Yes","Left", IF(HRData[[#This Row],[Attrition_Risk_Score]]&gt;=6,"High",IF(HRData[[#This Row],[Attrition_Risk_Score]]&gt;=3,"Medium","Low")))</f>
        <v>Medium</v>
      </c>
      <c r="AR1228" t="str">
        <f>IF(HRData[[#This Row],[Attrition_Risk_Level]]&lt;&gt;"High","",HRData[[#This Row],[Attrition_Risk_Score]]*10000-HRData[[#This Row],[EmployeeNumber]])</f>
        <v/>
      </c>
    </row>
    <row r="1229" spans="1:44">
      <c r="A1229">
        <v>31</v>
      </c>
      <c r="B1229" t="str" cm="1">
        <f t="array" ref="B1229">_xlfn.IFS(
HRData[[#This Row],[Age]]&lt;=24,"18-24",
HRData[[#This Row],[Age]]&lt;=34,"25-34",
HRData[[#This Row],[Age]]&lt;=44,"35-44",
HRData[[#This Row],[Age]]&lt;=54,"45-54",
HRData[[#This Row],[Age]]&gt;=55,"55+"
)</f>
        <v>25-34</v>
      </c>
      <c r="C1229" t="s">
        <v>43</v>
      </c>
      <c r="D1229">
        <f>IF(HRData[[#This Row],[Attrition]]="Yes",1,0)</f>
        <v>0</v>
      </c>
      <c r="E1229" t="s">
        <v>36</v>
      </c>
      <c r="F1229">
        <v>741</v>
      </c>
      <c r="G1229" t="s">
        <v>45</v>
      </c>
      <c r="H1229">
        <v>2</v>
      </c>
      <c r="I1229">
        <v>4</v>
      </c>
      <c r="J1229" t="s">
        <v>38</v>
      </c>
      <c r="K1229">
        <v>1</v>
      </c>
      <c r="L1229">
        <v>1721</v>
      </c>
      <c r="M1229">
        <v>2</v>
      </c>
      <c r="N1229" t="str" cm="1">
        <f t="array" ref="N1229">_xlfn.IFS(HRData[[#This Row],[EnvironmentSatisfaction]]=1,"Very Dissatisfied",
HRData[[#This Row],[EnvironmentSatisfaction]]=2,"Dissatisfied",
HRData[[#This Row],[EnvironmentSatisfaction]]=3,"Satisfied",
HRData[[#This Row],[EnvironmentSatisfaction]]=4,"Very Satisfied"
)</f>
        <v>Dissatisfied</v>
      </c>
      <c r="O1229" t="s">
        <v>46</v>
      </c>
      <c r="P1229">
        <v>69</v>
      </c>
      <c r="Q1229">
        <v>3</v>
      </c>
      <c r="R1229">
        <v>1</v>
      </c>
      <c r="S1229" t="s">
        <v>50</v>
      </c>
      <c r="T1229">
        <v>3</v>
      </c>
      <c r="U1229" t="str" cm="1">
        <f t="array" ref="U1229">_xlfn.IFS(
HRData[[#This Row],[JobSatisfaction]]=1,"Very Dissatisfied",
HRData[[#This Row],[JobSatisfaction]]=2,"Dissatisfied",
HRData[[#This Row],[JobSatisfaction]]=3,"Satisfied",
HRData[[#This Row],[JobSatisfaction]]=4,"Very Satisfied"
)</f>
        <v>Satisfied</v>
      </c>
      <c r="V1229" t="s">
        <v>48</v>
      </c>
      <c r="W1229">
        <v>3477</v>
      </c>
      <c r="X1229" t="str" cm="1">
        <f t="array" ref="X1229">_xlfn.IFS(
HRData[[#This Row],[MonthlyIncome]]&lt;=4000,"Very Low Income",
HRData[[#This Row],[MonthlyIncome]]&lt;=8000,"Low Income",
HRData[[#This Row],[MonthlyIncome]]&lt;=12000,"Moderate Income",
HRData[[#This Row],[MonthlyIncome]]&lt;=16000,"High Income",
HRData[[#This Row],[MonthlyIncome]]&gt;16000,"Very High Income"
)</f>
        <v>Very Low Income</v>
      </c>
      <c r="Y1229">
        <v>18103</v>
      </c>
      <c r="Z1229">
        <v>1</v>
      </c>
      <c r="AA1229" t="s">
        <v>42</v>
      </c>
      <c r="AB1229" t="s">
        <v>43</v>
      </c>
      <c r="AC1229">
        <v>14</v>
      </c>
      <c r="AD1229" t="str" cm="1">
        <f t="array" ref="AD1229">_xlfn.IFS(HRData[[#This Row],[PercentSalaryHike]]&lt;=15,"11-15",HRData[[#This Row],[PercentSalaryHike]]&lt;=20,"16-20",HRData[[#This Row],[PercentSalaryHike]]&gt;=21,"21+")</f>
        <v>11-15</v>
      </c>
      <c r="AE1229">
        <v>3</v>
      </c>
      <c r="AF1229">
        <v>4</v>
      </c>
      <c r="AG1229">
        <v>80</v>
      </c>
      <c r="AH1229">
        <v>1</v>
      </c>
      <c r="AI1229">
        <v>6</v>
      </c>
      <c r="AJ1229">
        <v>2</v>
      </c>
      <c r="AK1229">
        <v>4</v>
      </c>
      <c r="AL1229">
        <v>5</v>
      </c>
      <c r="AM1229">
        <v>2</v>
      </c>
      <c r="AN1229">
        <v>0</v>
      </c>
      <c r="AO1229">
        <v>3</v>
      </c>
      <c r="AP122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229" t="str">
        <f>IF(HRData[[#This Row],[Attrition]]="Yes","Left", IF(HRData[[#This Row],[Attrition_Risk_Score]]&gt;=6,"High",IF(HRData[[#This Row],[Attrition_Risk_Score]]&gt;=3,"Medium","Low")))</f>
        <v>Medium</v>
      </c>
      <c r="AR1229" t="str">
        <f>IF(HRData[[#This Row],[Attrition_Risk_Level]]&lt;&gt;"High","",HRData[[#This Row],[Attrition_Risk_Score]]*10000-HRData[[#This Row],[EmployeeNumber]])</f>
        <v/>
      </c>
    </row>
    <row r="1230" spans="1:44">
      <c r="A1230">
        <v>41</v>
      </c>
      <c r="B1230" t="str" cm="1">
        <f t="array" ref="B1230">_xlfn.IFS(
HRData[[#This Row],[Age]]&lt;=24,"18-24",
HRData[[#This Row],[Age]]&lt;=34,"25-34",
HRData[[#This Row],[Age]]&lt;=44,"35-44",
HRData[[#This Row],[Age]]&lt;=54,"45-54",
HRData[[#This Row],[Age]]&gt;=55,"55+"
)</f>
        <v>35-44</v>
      </c>
      <c r="C1230" t="s">
        <v>43</v>
      </c>
      <c r="D1230">
        <f>IF(HRData[[#This Row],[Attrition]]="Yes",1,0)</f>
        <v>0</v>
      </c>
      <c r="E1230" t="s">
        <v>55</v>
      </c>
      <c r="F1230">
        <v>552</v>
      </c>
      <c r="G1230" t="s">
        <v>61</v>
      </c>
      <c r="H1230">
        <v>4</v>
      </c>
      <c r="I1230">
        <v>3</v>
      </c>
      <c r="J1230" t="s">
        <v>61</v>
      </c>
      <c r="K1230">
        <v>1</v>
      </c>
      <c r="L1230">
        <v>1722</v>
      </c>
      <c r="M1230">
        <v>3</v>
      </c>
      <c r="N1230" t="str" cm="1">
        <f t="array" ref="N1230">_xlfn.IFS(HRData[[#This Row],[EnvironmentSatisfaction]]=1,"Very Dissatisfied",
HRData[[#This Row],[EnvironmentSatisfaction]]=2,"Dissatisfied",
HRData[[#This Row],[EnvironmentSatisfaction]]=3,"Satisfied",
HRData[[#This Row],[EnvironmentSatisfaction]]=4,"Very Satisfied"
)</f>
        <v>Satisfied</v>
      </c>
      <c r="O1230" t="s">
        <v>46</v>
      </c>
      <c r="P1230">
        <v>60</v>
      </c>
      <c r="Q1230">
        <v>1</v>
      </c>
      <c r="R1230">
        <v>2</v>
      </c>
      <c r="S1230" t="s">
        <v>61</v>
      </c>
      <c r="T1230">
        <v>2</v>
      </c>
      <c r="U1230" t="str" cm="1">
        <f t="array" ref="U1230">_xlfn.IFS(
HRData[[#This Row],[JobSatisfaction]]=1,"Very Dissatisfied",
HRData[[#This Row],[JobSatisfaction]]=2,"Dissatisfied",
HRData[[#This Row],[JobSatisfaction]]=3,"Satisfied",
HRData[[#This Row],[JobSatisfaction]]=4,"Very Satisfied"
)</f>
        <v>Dissatisfied</v>
      </c>
      <c r="V1230" t="s">
        <v>48</v>
      </c>
      <c r="W1230">
        <v>6430</v>
      </c>
      <c r="X1230" t="str" cm="1">
        <f t="array" ref="X1230">_xlfn.IFS(
HRData[[#This Row],[MonthlyIncome]]&lt;=4000,"Very Low Income",
HRData[[#This Row],[MonthlyIncome]]&lt;=8000,"Low Income",
HRData[[#This Row],[MonthlyIncome]]&lt;=12000,"Moderate Income",
HRData[[#This Row],[MonthlyIncome]]&lt;=16000,"High Income",
HRData[[#This Row],[MonthlyIncome]]&gt;16000,"Very High Income"
)</f>
        <v>Low Income</v>
      </c>
      <c r="Y1230">
        <v>20794</v>
      </c>
      <c r="Z1230">
        <v>6</v>
      </c>
      <c r="AA1230" t="s">
        <v>42</v>
      </c>
      <c r="AB1230" t="s">
        <v>43</v>
      </c>
      <c r="AC1230">
        <v>19</v>
      </c>
      <c r="AD1230" t="str" cm="1">
        <f t="array" ref="AD1230">_xlfn.IFS(HRData[[#This Row],[PercentSalaryHike]]&lt;=15,"11-15",HRData[[#This Row],[PercentSalaryHike]]&lt;=20,"16-20",HRData[[#This Row],[PercentSalaryHike]]&gt;=21,"21+")</f>
        <v>16-20</v>
      </c>
      <c r="AE1230">
        <v>3</v>
      </c>
      <c r="AF1230">
        <v>2</v>
      </c>
      <c r="AG1230">
        <v>80</v>
      </c>
      <c r="AH1230">
        <v>1</v>
      </c>
      <c r="AI1230">
        <v>10</v>
      </c>
      <c r="AJ1230">
        <v>4</v>
      </c>
      <c r="AK1230">
        <v>3</v>
      </c>
      <c r="AL1230">
        <v>3</v>
      </c>
      <c r="AM1230">
        <v>2</v>
      </c>
      <c r="AN1230">
        <v>1</v>
      </c>
      <c r="AO1230">
        <v>2</v>
      </c>
      <c r="AP123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30" t="str">
        <f>IF(HRData[[#This Row],[Attrition]]="Yes","Left", IF(HRData[[#This Row],[Attrition_Risk_Score]]&gt;=6,"High",IF(HRData[[#This Row],[Attrition_Risk_Score]]&gt;=3,"Medium","Low")))</f>
        <v>Low</v>
      </c>
      <c r="AR1230" t="str">
        <f>IF(HRData[[#This Row],[Attrition_Risk_Level]]&lt;&gt;"High","",HRData[[#This Row],[Attrition_Risk_Score]]*10000-HRData[[#This Row],[EmployeeNumber]])</f>
        <v/>
      </c>
    </row>
    <row r="1231" spans="1:44">
      <c r="A1231">
        <v>40</v>
      </c>
      <c r="B1231" t="str" cm="1">
        <f t="array" ref="B1231">_xlfn.IFS(
HRData[[#This Row],[Age]]&lt;=24,"18-24",
HRData[[#This Row],[Age]]&lt;=34,"25-34",
HRData[[#This Row],[Age]]&lt;=44,"35-44",
HRData[[#This Row],[Age]]&lt;=54,"45-54",
HRData[[#This Row],[Age]]&gt;=55,"55+"
)</f>
        <v>35-44</v>
      </c>
      <c r="C1231" t="s">
        <v>43</v>
      </c>
      <c r="D1231">
        <f>IF(HRData[[#This Row],[Attrition]]="Yes",1,0)</f>
        <v>0</v>
      </c>
      <c r="E1231" t="s">
        <v>36</v>
      </c>
      <c r="F1231">
        <v>369</v>
      </c>
      <c r="G1231" t="s">
        <v>45</v>
      </c>
      <c r="H1231">
        <v>8</v>
      </c>
      <c r="I1231">
        <v>2</v>
      </c>
      <c r="J1231" t="s">
        <v>38</v>
      </c>
      <c r="K1231">
        <v>1</v>
      </c>
      <c r="L1231">
        <v>1724</v>
      </c>
      <c r="M1231">
        <v>2</v>
      </c>
      <c r="N1231" t="str" cm="1">
        <f t="array" ref="N1231">_xlfn.IFS(HRData[[#This Row],[EnvironmentSatisfaction]]=1,"Very Dissatisfied",
HRData[[#This Row],[EnvironmentSatisfaction]]=2,"Dissatisfied",
HRData[[#This Row],[EnvironmentSatisfaction]]=3,"Satisfied",
HRData[[#This Row],[EnvironmentSatisfaction]]=4,"Very Satisfied"
)</f>
        <v>Dissatisfied</v>
      </c>
      <c r="O1231" t="s">
        <v>39</v>
      </c>
      <c r="P1231">
        <v>92</v>
      </c>
      <c r="Q1231">
        <v>3</v>
      </c>
      <c r="R1231">
        <v>2</v>
      </c>
      <c r="S1231" t="s">
        <v>53</v>
      </c>
      <c r="T1231">
        <v>1</v>
      </c>
      <c r="U1231" t="str" cm="1">
        <f t="array" ref="U1231">_xlfn.IFS(
HRData[[#This Row],[JobSatisfaction]]=1,"Very Dissatisfied",
HRData[[#This Row],[JobSatisfaction]]=2,"Dissatisfied",
HRData[[#This Row],[JobSatisfaction]]=3,"Satisfied",
HRData[[#This Row],[JobSatisfaction]]=4,"Very Satisfied"
)</f>
        <v>Very Dissatisfied</v>
      </c>
      <c r="V1231" t="s">
        <v>48</v>
      </c>
      <c r="W1231">
        <v>6516</v>
      </c>
      <c r="X1231" t="str" cm="1">
        <f t="array" ref="X1231">_xlfn.IFS(
HRData[[#This Row],[MonthlyIncome]]&lt;=4000,"Very Low Income",
HRData[[#This Row],[MonthlyIncome]]&lt;=8000,"Low Income",
HRData[[#This Row],[MonthlyIncome]]&lt;=12000,"Moderate Income",
HRData[[#This Row],[MonthlyIncome]]&lt;=16000,"High Income",
HRData[[#This Row],[MonthlyIncome]]&gt;16000,"Very High Income"
)</f>
        <v>Low Income</v>
      </c>
      <c r="Y1231">
        <v>5041</v>
      </c>
      <c r="Z1231">
        <v>2</v>
      </c>
      <c r="AA1231" t="s">
        <v>42</v>
      </c>
      <c r="AB1231" t="s">
        <v>35</v>
      </c>
      <c r="AC1231">
        <v>16</v>
      </c>
      <c r="AD1231" t="str" cm="1">
        <f t="array" ref="AD1231">_xlfn.IFS(HRData[[#This Row],[PercentSalaryHike]]&lt;=15,"11-15",HRData[[#This Row],[PercentSalaryHike]]&lt;=20,"16-20",HRData[[#This Row],[PercentSalaryHike]]&gt;=21,"21+")</f>
        <v>16-20</v>
      </c>
      <c r="AE1231">
        <v>3</v>
      </c>
      <c r="AF1231">
        <v>2</v>
      </c>
      <c r="AG1231">
        <v>80</v>
      </c>
      <c r="AH1231">
        <v>1</v>
      </c>
      <c r="AI1231">
        <v>18</v>
      </c>
      <c r="AJ1231">
        <v>3</v>
      </c>
      <c r="AK1231">
        <v>3</v>
      </c>
      <c r="AL1231">
        <v>1</v>
      </c>
      <c r="AM1231">
        <v>0</v>
      </c>
      <c r="AN1231">
        <v>0</v>
      </c>
      <c r="AO1231">
        <v>0</v>
      </c>
      <c r="AP123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231" t="str">
        <f>IF(HRData[[#This Row],[Attrition]]="Yes","Left", IF(HRData[[#This Row],[Attrition_Risk_Score]]&gt;=6,"High",IF(HRData[[#This Row],[Attrition_Risk_Score]]&gt;=3,"Medium","Low")))</f>
        <v>Medium</v>
      </c>
      <c r="AR1231" t="str">
        <f>IF(HRData[[#This Row],[Attrition_Risk_Level]]&lt;&gt;"High","",HRData[[#This Row],[Attrition_Risk_Score]]*10000-HRData[[#This Row],[EmployeeNumber]])</f>
        <v/>
      </c>
    </row>
    <row r="1232" spans="1:44">
      <c r="A1232">
        <v>24</v>
      </c>
      <c r="B1232" t="str" cm="1">
        <f t="array" ref="B1232">_xlfn.IFS(
HRData[[#This Row],[Age]]&lt;=24,"18-24",
HRData[[#This Row],[Age]]&lt;=34,"25-34",
HRData[[#This Row],[Age]]&lt;=44,"35-44",
HRData[[#This Row],[Age]]&lt;=54,"45-54",
HRData[[#This Row],[Age]]&gt;=55,"55+"
)</f>
        <v>18-24</v>
      </c>
      <c r="C1232" t="s">
        <v>43</v>
      </c>
      <c r="D1232">
        <f>IF(HRData[[#This Row],[Attrition]]="Yes",1,0)</f>
        <v>0</v>
      </c>
      <c r="E1232" t="s">
        <v>36</v>
      </c>
      <c r="F1232">
        <v>506</v>
      </c>
      <c r="G1232" t="s">
        <v>45</v>
      </c>
      <c r="H1232">
        <v>29</v>
      </c>
      <c r="I1232">
        <v>1</v>
      </c>
      <c r="J1232" t="s">
        <v>51</v>
      </c>
      <c r="K1232">
        <v>1</v>
      </c>
      <c r="L1232">
        <v>1725</v>
      </c>
      <c r="M1232">
        <v>2</v>
      </c>
      <c r="N1232" t="str" cm="1">
        <f t="array" ref="N1232">_xlfn.IFS(HRData[[#This Row],[EnvironmentSatisfaction]]=1,"Very Dissatisfied",
HRData[[#This Row],[EnvironmentSatisfaction]]=2,"Dissatisfied",
HRData[[#This Row],[EnvironmentSatisfaction]]=3,"Satisfied",
HRData[[#This Row],[EnvironmentSatisfaction]]=4,"Very Satisfied"
)</f>
        <v>Dissatisfied</v>
      </c>
      <c r="O1232" t="s">
        <v>46</v>
      </c>
      <c r="P1232">
        <v>91</v>
      </c>
      <c r="Q1232">
        <v>3</v>
      </c>
      <c r="R1232">
        <v>1</v>
      </c>
      <c r="S1232" t="s">
        <v>50</v>
      </c>
      <c r="T1232">
        <v>1</v>
      </c>
      <c r="U1232" t="str" cm="1">
        <f t="array" ref="U1232">_xlfn.IFS(
HRData[[#This Row],[JobSatisfaction]]=1,"Very Dissatisfied",
HRData[[#This Row],[JobSatisfaction]]=2,"Dissatisfied",
HRData[[#This Row],[JobSatisfaction]]=3,"Satisfied",
HRData[[#This Row],[JobSatisfaction]]=4,"Very Satisfied"
)</f>
        <v>Very Dissatisfied</v>
      </c>
      <c r="V1232" t="s">
        <v>52</v>
      </c>
      <c r="W1232">
        <v>3907</v>
      </c>
      <c r="X1232" t="str" cm="1">
        <f t="array" ref="X1232">_xlfn.IFS(
HRData[[#This Row],[MonthlyIncome]]&lt;=4000,"Very Low Income",
HRData[[#This Row],[MonthlyIncome]]&lt;=8000,"Low Income",
HRData[[#This Row],[MonthlyIncome]]&lt;=12000,"Moderate Income",
HRData[[#This Row],[MonthlyIncome]]&lt;=16000,"High Income",
HRData[[#This Row],[MonthlyIncome]]&gt;16000,"Very High Income"
)</f>
        <v>Very Low Income</v>
      </c>
      <c r="Y1232">
        <v>3622</v>
      </c>
      <c r="Z1232">
        <v>1</v>
      </c>
      <c r="AA1232" t="s">
        <v>42</v>
      </c>
      <c r="AB1232" t="s">
        <v>43</v>
      </c>
      <c r="AC1232">
        <v>13</v>
      </c>
      <c r="AD1232" t="str" cm="1">
        <f t="array" ref="AD1232">_xlfn.IFS(HRData[[#This Row],[PercentSalaryHike]]&lt;=15,"11-15",HRData[[#This Row],[PercentSalaryHike]]&lt;=20,"16-20",HRData[[#This Row],[PercentSalaryHike]]&gt;=21,"21+")</f>
        <v>11-15</v>
      </c>
      <c r="AE1232">
        <v>3</v>
      </c>
      <c r="AF1232">
        <v>2</v>
      </c>
      <c r="AG1232">
        <v>80</v>
      </c>
      <c r="AH1232">
        <v>3</v>
      </c>
      <c r="AI1232">
        <v>6</v>
      </c>
      <c r="AJ1232">
        <v>2</v>
      </c>
      <c r="AK1232">
        <v>4</v>
      </c>
      <c r="AL1232">
        <v>6</v>
      </c>
      <c r="AM1232">
        <v>2</v>
      </c>
      <c r="AN1232">
        <v>1</v>
      </c>
      <c r="AO1232">
        <v>2</v>
      </c>
      <c r="AP123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1232" t="str">
        <f>IF(HRData[[#This Row],[Attrition]]="Yes","Left", IF(HRData[[#This Row],[Attrition_Risk_Score]]&gt;=6,"High",IF(HRData[[#This Row],[Attrition_Risk_Score]]&gt;=3,"Medium","Low")))</f>
        <v>High</v>
      </c>
      <c r="AR1232">
        <f>IF(HRData[[#This Row],[Attrition_Risk_Level]]&lt;&gt;"High","",HRData[[#This Row],[Attrition_Risk_Score]]*10000-HRData[[#This Row],[EmployeeNumber]])</f>
        <v>68275</v>
      </c>
    </row>
    <row r="1233" spans="1:44">
      <c r="A1233">
        <v>46</v>
      </c>
      <c r="B1233" t="str" cm="1">
        <f t="array" ref="B1233">_xlfn.IFS(
HRData[[#This Row],[Age]]&lt;=24,"18-24",
HRData[[#This Row],[Age]]&lt;=34,"25-34",
HRData[[#This Row],[Age]]&lt;=44,"35-44",
HRData[[#This Row],[Age]]&lt;=54,"45-54",
HRData[[#This Row],[Age]]&gt;=55,"55+"
)</f>
        <v>45-54</v>
      </c>
      <c r="C1233" t="s">
        <v>43</v>
      </c>
      <c r="D1233">
        <f>IF(HRData[[#This Row],[Attrition]]="Yes",1,0)</f>
        <v>0</v>
      </c>
      <c r="E1233" t="s">
        <v>36</v>
      </c>
      <c r="F1233">
        <v>717</v>
      </c>
      <c r="G1233" t="s">
        <v>45</v>
      </c>
      <c r="H1233">
        <v>13</v>
      </c>
      <c r="I1233">
        <v>4</v>
      </c>
      <c r="J1233" t="s">
        <v>38</v>
      </c>
      <c r="K1233">
        <v>1</v>
      </c>
      <c r="L1233">
        <v>1727</v>
      </c>
      <c r="M1233">
        <v>3</v>
      </c>
      <c r="N1233" t="str" cm="1">
        <f t="array" ref="N1233">_xlfn.IFS(HRData[[#This Row],[EnvironmentSatisfaction]]=1,"Very Dissatisfied",
HRData[[#This Row],[EnvironmentSatisfaction]]=2,"Dissatisfied",
HRData[[#This Row],[EnvironmentSatisfaction]]=3,"Satisfied",
HRData[[#This Row],[EnvironmentSatisfaction]]=4,"Very Satisfied"
)</f>
        <v>Satisfied</v>
      </c>
      <c r="O1233" t="s">
        <v>46</v>
      </c>
      <c r="P1233">
        <v>34</v>
      </c>
      <c r="Q1233">
        <v>3</v>
      </c>
      <c r="R1233">
        <v>2</v>
      </c>
      <c r="S1233" t="s">
        <v>54</v>
      </c>
      <c r="T1233">
        <v>2</v>
      </c>
      <c r="U1233" t="str" cm="1">
        <f t="array" ref="U1233">_xlfn.IFS(
HRData[[#This Row],[JobSatisfaction]]=1,"Very Dissatisfied",
HRData[[#This Row],[JobSatisfaction]]=2,"Dissatisfied",
HRData[[#This Row],[JobSatisfaction]]=3,"Satisfied",
HRData[[#This Row],[JobSatisfaction]]=4,"Very Satisfied"
)</f>
        <v>Dissatisfied</v>
      </c>
      <c r="V1233" t="s">
        <v>41</v>
      </c>
      <c r="W1233">
        <v>5562</v>
      </c>
      <c r="X1233" t="str" cm="1">
        <f t="array" ref="X1233">_xlfn.IFS(
HRData[[#This Row],[MonthlyIncome]]&lt;=4000,"Very Low Income",
HRData[[#This Row],[MonthlyIncome]]&lt;=8000,"Low Income",
HRData[[#This Row],[MonthlyIncome]]&lt;=12000,"Moderate Income",
HRData[[#This Row],[MonthlyIncome]]&lt;=16000,"High Income",
HRData[[#This Row],[MonthlyIncome]]&gt;16000,"Very High Income"
)</f>
        <v>Low Income</v>
      </c>
      <c r="Y1233">
        <v>9697</v>
      </c>
      <c r="Z1233">
        <v>6</v>
      </c>
      <c r="AA1233" t="s">
        <v>42</v>
      </c>
      <c r="AB1233" t="s">
        <v>43</v>
      </c>
      <c r="AC1233">
        <v>14</v>
      </c>
      <c r="AD1233" t="str" cm="1">
        <f t="array" ref="AD1233">_xlfn.IFS(HRData[[#This Row],[PercentSalaryHike]]&lt;=15,"11-15",HRData[[#This Row],[PercentSalaryHike]]&lt;=20,"16-20",HRData[[#This Row],[PercentSalaryHike]]&gt;=21,"21+")</f>
        <v>11-15</v>
      </c>
      <c r="AE1233">
        <v>3</v>
      </c>
      <c r="AF1233">
        <v>4</v>
      </c>
      <c r="AG1233">
        <v>80</v>
      </c>
      <c r="AH1233">
        <v>0</v>
      </c>
      <c r="AI1233">
        <v>19</v>
      </c>
      <c r="AJ1233">
        <v>3</v>
      </c>
      <c r="AK1233">
        <v>3</v>
      </c>
      <c r="AL1233">
        <v>10</v>
      </c>
      <c r="AM1233">
        <v>7</v>
      </c>
      <c r="AN1233">
        <v>0</v>
      </c>
      <c r="AO1233">
        <v>9</v>
      </c>
      <c r="AP123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233" t="str">
        <f>IF(HRData[[#This Row],[Attrition]]="Yes","Left", IF(HRData[[#This Row],[Attrition_Risk_Score]]&gt;=6,"High",IF(HRData[[#This Row],[Attrition_Risk_Score]]&gt;=3,"Medium","Low")))</f>
        <v>Low</v>
      </c>
      <c r="AR1233" t="str">
        <f>IF(HRData[[#This Row],[Attrition_Risk_Level]]&lt;&gt;"High","",HRData[[#This Row],[Attrition_Risk_Score]]*10000-HRData[[#This Row],[EmployeeNumber]])</f>
        <v/>
      </c>
    </row>
    <row r="1234" spans="1:44">
      <c r="A1234">
        <v>35</v>
      </c>
      <c r="B1234" t="str" cm="1">
        <f t="array" ref="B1234">_xlfn.IFS(
HRData[[#This Row],[Age]]&lt;=24,"18-24",
HRData[[#This Row],[Age]]&lt;=34,"25-34",
HRData[[#This Row],[Age]]&lt;=44,"35-44",
HRData[[#This Row],[Age]]&lt;=54,"45-54",
HRData[[#This Row],[Age]]&gt;=55,"55+"
)</f>
        <v>35-44</v>
      </c>
      <c r="C1234" t="s">
        <v>43</v>
      </c>
      <c r="D1234">
        <f>IF(HRData[[#This Row],[Attrition]]="Yes",1,0)</f>
        <v>0</v>
      </c>
      <c r="E1234" t="s">
        <v>36</v>
      </c>
      <c r="F1234">
        <v>1370</v>
      </c>
      <c r="G1234" t="s">
        <v>45</v>
      </c>
      <c r="H1234">
        <v>27</v>
      </c>
      <c r="I1234">
        <v>4</v>
      </c>
      <c r="J1234" t="s">
        <v>38</v>
      </c>
      <c r="K1234">
        <v>1</v>
      </c>
      <c r="L1234">
        <v>1728</v>
      </c>
      <c r="M1234">
        <v>4</v>
      </c>
      <c r="N1234" t="str" cm="1">
        <f t="array" ref="N1234">_xlfn.IFS(HRData[[#This Row],[EnvironmentSatisfaction]]=1,"Very Dissatisfied",
HRData[[#This Row],[EnvironmentSatisfaction]]=2,"Dissatisfied",
HRData[[#This Row],[EnvironmentSatisfaction]]=3,"Satisfied",
HRData[[#This Row],[EnvironmentSatisfaction]]=4,"Very Satisfied"
)</f>
        <v>Very Satisfied</v>
      </c>
      <c r="O1234" t="s">
        <v>46</v>
      </c>
      <c r="P1234">
        <v>49</v>
      </c>
      <c r="Q1234">
        <v>3</v>
      </c>
      <c r="R1234">
        <v>2</v>
      </c>
      <c r="S1234" t="s">
        <v>53</v>
      </c>
      <c r="T1234">
        <v>3</v>
      </c>
      <c r="U1234" t="str" cm="1">
        <f t="array" ref="U1234">_xlfn.IFS(
HRData[[#This Row],[JobSatisfaction]]=1,"Very Dissatisfied",
HRData[[#This Row],[JobSatisfaction]]=2,"Dissatisfied",
HRData[[#This Row],[JobSatisfaction]]=3,"Satisfied",
HRData[[#This Row],[JobSatisfaction]]=4,"Very Satisfied"
)</f>
        <v>Satisfied</v>
      </c>
      <c r="V1234" t="s">
        <v>48</v>
      </c>
      <c r="W1234">
        <v>6883</v>
      </c>
      <c r="X1234" t="str" cm="1">
        <f t="array" ref="X1234">_xlfn.IFS(
HRData[[#This Row],[MonthlyIncome]]&lt;=4000,"Very Low Income",
HRData[[#This Row],[MonthlyIncome]]&lt;=8000,"Low Income",
HRData[[#This Row],[MonthlyIncome]]&lt;=12000,"Moderate Income",
HRData[[#This Row],[MonthlyIncome]]&lt;=16000,"High Income",
HRData[[#This Row],[MonthlyIncome]]&gt;16000,"Very High Income"
)</f>
        <v>Low Income</v>
      </c>
      <c r="Y1234">
        <v>5151</v>
      </c>
      <c r="Z1234">
        <v>2</v>
      </c>
      <c r="AA1234" t="s">
        <v>42</v>
      </c>
      <c r="AB1234" t="s">
        <v>43</v>
      </c>
      <c r="AC1234">
        <v>16</v>
      </c>
      <c r="AD1234" t="str" cm="1">
        <f t="array" ref="AD1234">_xlfn.IFS(HRData[[#This Row],[PercentSalaryHike]]&lt;=15,"11-15",HRData[[#This Row],[PercentSalaryHike]]&lt;=20,"16-20",HRData[[#This Row],[PercentSalaryHike]]&gt;=21,"21+")</f>
        <v>16-20</v>
      </c>
      <c r="AE1234">
        <v>3</v>
      </c>
      <c r="AF1234">
        <v>2</v>
      </c>
      <c r="AG1234">
        <v>80</v>
      </c>
      <c r="AH1234">
        <v>1</v>
      </c>
      <c r="AI1234">
        <v>17</v>
      </c>
      <c r="AJ1234">
        <v>3</v>
      </c>
      <c r="AK1234">
        <v>3</v>
      </c>
      <c r="AL1234">
        <v>7</v>
      </c>
      <c r="AM1234">
        <v>7</v>
      </c>
      <c r="AN1234">
        <v>0</v>
      </c>
      <c r="AO1234">
        <v>7</v>
      </c>
      <c r="AP123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234" t="str">
        <f>IF(HRData[[#This Row],[Attrition]]="Yes","Left", IF(HRData[[#This Row],[Attrition_Risk_Score]]&gt;=6,"High",IF(HRData[[#This Row],[Attrition_Risk_Score]]&gt;=3,"Medium","Low")))</f>
        <v>Low</v>
      </c>
      <c r="AR1234" t="str">
        <f>IF(HRData[[#This Row],[Attrition_Risk_Level]]&lt;&gt;"High","",HRData[[#This Row],[Attrition_Risk_Score]]*10000-HRData[[#This Row],[EmployeeNumber]])</f>
        <v/>
      </c>
    </row>
    <row r="1235" spans="1:44">
      <c r="A1235">
        <v>30</v>
      </c>
      <c r="B1235" t="str" cm="1">
        <f t="array" ref="B1235">_xlfn.IFS(
HRData[[#This Row],[Age]]&lt;=24,"18-24",
HRData[[#This Row],[Age]]&lt;=34,"25-34",
HRData[[#This Row],[Age]]&lt;=44,"35-44",
HRData[[#This Row],[Age]]&lt;=54,"45-54",
HRData[[#This Row],[Age]]&gt;=55,"55+"
)</f>
        <v>25-34</v>
      </c>
      <c r="C1235" t="s">
        <v>43</v>
      </c>
      <c r="D1235">
        <f>IF(HRData[[#This Row],[Attrition]]="Yes",1,0)</f>
        <v>0</v>
      </c>
      <c r="E1235" t="s">
        <v>36</v>
      </c>
      <c r="F1235">
        <v>793</v>
      </c>
      <c r="G1235" t="s">
        <v>45</v>
      </c>
      <c r="H1235">
        <v>16</v>
      </c>
      <c r="I1235">
        <v>1</v>
      </c>
      <c r="J1235" t="s">
        <v>38</v>
      </c>
      <c r="K1235">
        <v>1</v>
      </c>
      <c r="L1235">
        <v>1729</v>
      </c>
      <c r="M1235">
        <v>2</v>
      </c>
      <c r="N1235" t="str" cm="1">
        <f t="array" ref="N1235">_xlfn.IFS(HRData[[#This Row],[EnvironmentSatisfaction]]=1,"Very Dissatisfied",
HRData[[#This Row],[EnvironmentSatisfaction]]=2,"Dissatisfied",
HRData[[#This Row],[EnvironmentSatisfaction]]=3,"Satisfied",
HRData[[#This Row],[EnvironmentSatisfaction]]=4,"Very Satisfied"
)</f>
        <v>Dissatisfied</v>
      </c>
      <c r="O1235" t="s">
        <v>46</v>
      </c>
      <c r="P1235">
        <v>33</v>
      </c>
      <c r="Q1235">
        <v>3</v>
      </c>
      <c r="R1235">
        <v>1</v>
      </c>
      <c r="S1235" t="s">
        <v>47</v>
      </c>
      <c r="T1235">
        <v>4</v>
      </c>
      <c r="U1235" t="str" cm="1">
        <f t="array" ref="U1235">_xlfn.IFS(
HRData[[#This Row],[JobSatisfaction]]=1,"Very Dissatisfied",
HRData[[#This Row],[JobSatisfaction]]=2,"Dissatisfied",
HRData[[#This Row],[JobSatisfaction]]=3,"Satisfied",
HRData[[#This Row],[JobSatisfaction]]=4,"Very Satisfied"
)</f>
        <v>Very Satisfied</v>
      </c>
      <c r="V1235" t="s">
        <v>48</v>
      </c>
      <c r="W1235">
        <v>2862</v>
      </c>
      <c r="X1235" t="str" cm="1">
        <f t="array" ref="X1235">_xlfn.IFS(
HRData[[#This Row],[MonthlyIncome]]&lt;=4000,"Very Low Income",
HRData[[#This Row],[MonthlyIncome]]&lt;=8000,"Low Income",
HRData[[#This Row],[MonthlyIncome]]&lt;=12000,"Moderate Income",
HRData[[#This Row],[MonthlyIncome]]&lt;=16000,"High Income",
HRData[[#This Row],[MonthlyIncome]]&gt;16000,"Very High Income"
)</f>
        <v>Very Low Income</v>
      </c>
      <c r="Y1235">
        <v>3811</v>
      </c>
      <c r="Z1235">
        <v>1</v>
      </c>
      <c r="AA1235" t="s">
        <v>42</v>
      </c>
      <c r="AB1235" t="s">
        <v>43</v>
      </c>
      <c r="AC1235">
        <v>12</v>
      </c>
      <c r="AD1235" t="str" cm="1">
        <f t="array" ref="AD1235">_xlfn.IFS(HRData[[#This Row],[PercentSalaryHike]]&lt;=15,"11-15",HRData[[#This Row],[PercentSalaryHike]]&lt;=20,"16-20",HRData[[#This Row],[PercentSalaryHike]]&gt;=21,"21+")</f>
        <v>11-15</v>
      </c>
      <c r="AE1235">
        <v>3</v>
      </c>
      <c r="AF1235">
        <v>2</v>
      </c>
      <c r="AG1235">
        <v>80</v>
      </c>
      <c r="AH1235">
        <v>1</v>
      </c>
      <c r="AI1235">
        <v>10</v>
      </c>
      <c r="AJ1235">
        <v>2</v>
      </c>
      <c r="AK1235">
        <v>2</v>
      </c>
      <c r="AL1235">
        <v>10</v>
      </c>
      <c r="AM1235">
        <v>0</v>
      </c>
      <c r="AN1235">
        <v>0</v>
      </c>
      <c r="AO1235">
        <v>8</v>
      </c>
      <c r="AP123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35" t="str">
        <f>IF(HRData[[#This Row],[Attrition]]="Yes","Left", IF(HRData[[#This Row],[Attrition_Risk_Score]]&gt;=6,"High",IF(HRData[[#This Row],[Attrition_Risk_Score]]&gt;=3,"Medium","Low")))</f>
        <v>Medium</v>
      </c>
      <c r="AR1235" t="str">
        <f>IF(HRData[[#This Row],[Attrition_Risk_Level]]&lt;&gt;"High","",HRData[[#This Row],[Attrition_Risk_Score]]*10000-HRData[[#This Row],[EmployeeNumber]])</f>
        <v/>
      </c>
    </row>
    <row r="1236" spans="1:44">
      <c r="A1236">
        <v>47</v>
      </c>
      <c r="B1236" t="str" cm="1">
        <f t="array" ref="B1236">_xlfn.IFS(
HRData[[#This Row],[Age]]&lt;=24,"18-24",
HRData[[#This Row],[Age]]&lt;=34,"25-34",
HRData[[#This Row],[Age]]&lt;=44,"35-44",
HRData[[#This Row],[Age]]&lt;=54,"45-54",
HRData[[#This Row],[Age]]&gt;=55,"55+"
)</f>
        <v>45-54</v>
      </c>
      <c r="C1236" t="s">
        <v>43</v>
      </c>
      <c r="D1236">
        <f>IF(HRData[[#This Row],[Attrition]]="Yes",1,0)</f>
        <v>0</v>
      </c>
      <c r="E1236" t="s">
        <v>55</v>
      </c>
      <c r="F1236">
        <v>543</v>
      </c>
      <c r="G1236" t="s">
        <v>37</v>
      </c>
      <c r="H1236">
        <v>2</v>
      </c>
      <c r="I1236">
        <v>4</v>
      </c>
      <c r="J1236" t="s">
        <v>59</v>
      </c>
      <c r="K1236">
        <v>1</v>
      </c>
      <c r="L1236">
        <v>1731</v>
      </c>
      <c r="M1236">
        <v>3</v>
      </c>
      <c r="N1236" t="str" cm="1">
        <f t="array" ref="N1236">_xlfn.IFS(HRData[[#This Row],[EnvironmentSatisfaction]]=1,"Very Dissatisfied",
HRData[[#This Row],[EnvironmentSatisfaction]]=2,"Dissatisfied",
HRData[[#This Row],[EnvironmentSatisfaction]]=3,"Satisfied",
HRData[[#This Row],[EnvironmentSatisfaction]]=4,"Very Satisfied"
)</f>
        <v>Satisfied</v>
      </c>
      <c r="O1236" t="s">
        <v>46</v>
      </c>
      <c r="P1236">
        <v>87</v>
      </c>
      <c r="Q1236">
        <v>3</v>
      </c>
      <c r="R1236">
        <v>2</v>
      </c>
      <c r="S1236" t="s">
        <v>40</v>
      </c>
      <c r="T1236">
        <v>2</v>
      </c>
      <c r="U1236" t="str" cm="1">
        <f t="array" ref="U1236">_xlfn.IFS(
HRData[[#This Row],[JobSatisfaction]]=1,"Very Dissatisfied",
HRData[[#This Row],[JobSatisfaction]]=2,"Dissatisfied",
HRData[[#This Row],[JobSatisfaction]]=3,"Satisfied",
HRData[[#This Row],[JobSatisfaction]]=4,"Very Satisfied"
)</f>
        <v>Dissatisfied</v>
      </c>
      <c r="V1236" t="s">
        <v>48</v>
      </c>
      <c r="W1236">
        <v>4978</v>
      </c>
      <c r="X1236" t="str" cm="1">
        <f t="array" ref="X1236">_xlfn.IFS(
HRData[[#This Row],[MonthlyIncome]]&lt;=4000,"Very Low Income",
HRData[[#This Row],[MonthlyIncome]]&lt;=8000,"Low Income",
HRData[[#This Row],[MonthlyIncome]]&lt;=12000,"Moderate Income",
HRData[[#This Row],[MonthlyIncome]]&lt;=16000,"High Income",
HRData[[#This Row],[MonthlyIncome]]&gt;16000,"Very High Income"
)</f>
        <v>Low Income</v>
      </c>
      <c r="Y1236">
        <v>3536</v>
      </c>
      <c r="Z1236">
        <v>7</v>
      </c>
      <c r="AA1236" t="s">
        <v>42</v>
      </c>
      <c r="AB1236" t="s">
        <v>43</v>
      </c>
      <c r="AC1236">
        <v>11</v>
      </c>
      <c r="AD1236" t="str" cm="1">
        <f t="array" ref="AD1236">_xlfn.IFS(HRData[[#This Row],[PercentSalaryHike]]&lt;=15,"11-15",HRData[[#This Row],[PercentSalaryHike]]&lt;=20,"16-20",HRData[[#This Row],[PercentSalaryHike]]&gt;=21,"21+")</f>
        <v>11-15</v>
      </c>
      <c r="AE1236">
        <v>3</v>
      </c>
      <c r="AF1236">
        <v>4</v>
      </c>
      <c r="AG1236">
        <v>80</v>
      </c>
      <c r="AH1236">
        <v>1</v>
      </c>
      <c r="AI1236">
        <v>4</v>
      </c>
      <c r="AJ1236">
        <v>3</v>
      </c>
      <c r="AK1236">
        <v>1</v>
      </c>
      <c r="AL1236">
        <v>1</v>
      </c>
      <c r="AM1236">
        <v>0</v>
      </c>
      <c r="AN1236">
        <v>0</v>
      </c>
      <c r="AO1236">
        <v>0</v>
      </c>
      <c r="AP123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236" t="str">
        <f>IF(HRData[[#This Row],[Attrition]]="Yes","Left", IF(HRData[[#This Row],[Attrition_Risk_Score]]&gt;=6,"High",IF(HRData[[#This Row],[Attrition_Risk_Score]]&gt;=3,"Medium","Low")))</f>
        <v>Low</v>
      </c>
      <c r="AR1236" t="str">
        <f>IF(HRData[[#This Row],[Attrition_Risk_Level]]&lt;&gt;"High","",HRData[[#This Row],[Attrition_Risk_Score]]*10000-HRData[[#This Row],[EmployeeNumber]])</f>
        <v/>
      </c>
    </row>
    <row r="1237" spans="1:44">
      <c r="A1237">
        <v>46</v>
      </c>
      <c r="B1237" t="str" cm="1">
        <f t="array" ref="B1237">_xlfn.IFS(
HRData[[#This Row],[Age]]&lt;=24,"18-24",
HRData[[#This Row],[Age]]&lt;=34,"25-34",
HRData[[#This Row],[Age]]&lt;=44,"35-44",
HRData[[#This Row],[Age]]&lt;=54,"45-54",
HRData[[#This Row],[Age]]&gt;=55,"55+"
)</f>
        <v>45-54</v>
      </c>
      <c r="C1237" t="s">
        <v>43</v>
      </c>
      <c r="D1237">
        <f>IF(HRData[[#This Row],[Attrition]]="Yes",1,0)</f>
        <v>0</v>
      </c>
      <c r="E1237" t="s">
        <v>36</v>
      </c>
      <c r="F1237">
        <v>1277</v>
      </c>
      <c r="G1237" t="s">
        <v>37</v>
      </c>
      <c r="H1237">
        <v>2</v>
      </c>
      <c r="I1237">
        <v>3</v>
      </c>
      <c r="J1237" t="s">
        <v>38</v>
      </c>
      <c r="K1237">
        <v>1</v>
      </c>
      <c r="L1237">
        <v>1732</v>
      </c>
      <c r="M1237">
        <v>3</v>
      </c>
      <c r="N1237" t="str" cm="1">
        <f t="array" ref="N1237">_xlfn.IFS(HRData[[#This Row],[EnvironmentSatisfaction]]=1,"Very Dissatisfied",
HRData[[#This Row],[EnvironmentSatisfaction]]=2,"Dissatisfied",
HRData[[#This Row],[EnvironmentSatisfaction]]=3,"Satisfied",
HRData[[#This Row],[EnvironmentSatisfaction]]=4,"Very Satisfied"
)</f>
        <v>Satisfied</v>
      </c>
      <c r="O1237" t="s">
        <v>46</v>
      </c>
      <c r="P1237">
        <v>74</v>
      </c>
      <c r="Q1237">
        <v>3</v>
      </c>
      <c r="R1237">
        <v>3</v>
      </c>
      <c r="S1237" t="s">
        <v>40</v>
      </c>
      <c r="T1237">
        <v>4</v>
      </c>
      <c r="U1237" t="str" cm="1">
        <f t="array" ref="U1237">_xlfn.IFS(
HRData[[#This Row],[JobSatisfaction]]=1,"Very Dissatisfied",
HRData[[#This Row],[JobSatisfaction]]=2,"Dissatisfied",
HRData[[#This Row],[JobSatisfaction]]=3,"Satisfied",
HRData[[#This Row],[JobSatisfaction]]=4,"Very Satisfied"
)</f>
        <v>Very Satisfied</v>
      </c>
      <c r="V1237" t="s">
        <v>52</v>
      </c>
      <c r="W1237">
        <v>10368</v>
      </c>
      <c r="X1237" t="str" cm="1">
        <f t="array" ref="X1237">_xlfn.IFS(
HRData[[#This Row],[MonthlyIncome]]&lt;=4000,"Very Low Income",
HRData[[#This Row],[MonthlyIncome]]&lt;=8000,"Low Income",
HRData[[#This Row],[MonthlyIncome]]&lt;=12000,"Moderate Income",
HRData[[#This Row],[MonthlyIncome]]&lt;=16000,"High Income",
HRData[[#This Row],[MonthlyIncome]]&gt;16000,"Very High Income"
)</f>
        <v>Moderate Income</v>
      </c>
      <c r="Y1237">
        <v>5596</v>
      </c>
      <c r="Z1237">
        <v>4</v>
      </c>
      <c r="AA1237" t="s">
        <v>42</v>
      </c>
      <c r="AB1237" t="s">
        <v>35</v>
      </c>
      <c r="AC1237">
        <v>12</v>
      </c>
      <c r="AD1237" t="str" cm="1">
        <f t="array" ref="AD1237">_xlfn.IFS(HRData[[#This Row],[PercentSalaryHike]]&lt;=15,"11-15",HRData[[#This Row],[PercentSalaryHike]]&lt;=20,"16-20",HRData[[#This Row],[PercentSalaryHike]]&gt;=21,"21+")</f>
        <v>11-15</v>
      </c>
      <c r="AE1237">
        <v>3</v>
      </c>
      <c r="AF1237">
        <v>2</v>
      </c>
      <c r="AG1237">
        <v>80</v>
      </c>
      <c r="AH1237">
        <v>1</v>
      </c>
      <c r="AI1237">
        <v>13</v>
      </c>
      <c r="AJ1237">
        <v>5</v>
      </c>
      <c r="AK1237">
        <v>2</v>
      </c>
      <c r="AL1237">
        <v>10</v>
      </c>
      <c r="AM1237">
        <v>6</v>
      </c>
      <c r="AN1237">
        <v>0</v>
      </c>
      <c r="AO1237">
        <v>3</v>
      </c>
      <c r="AP123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37" t="str">
        <f>IF(HRData[[#This Row],[Attrition]]="Yes","Left", IF(HRData[[#This Row],[Attrition_Risk_Score]]&gt;=6,"High",IF(HRData[[#This Row],[Attrition_Risk_Score]]&gt;=3,"Medium","Low")))</f>
        <v>Low</v>
      </c>
      <c r="AR1237" t="str">
        <f>IF(HRData[[#This Row],[Attrition_Risk_Level]]&lt;&gt;"High","",HRData[[#This Row],[Attrition_Risk_Score]]*10000-HRData[[#This Row],[EmployeeNumber]])</f>
        <v/>
      </c>
    </row>
    <row r="1238" spans="1:44">
      <c r="A1238">
        <v>36</v>
      </c>
      <c r="B1238" t="str" cm="1">
        <f t="array" ref="B1238">_xlfn.IFS(
HRData[[#This Row],[Age]]&lt;=24,"18-24",
HRData[[#This Row],[Age]]&lt;=34,"25-34",
HRData[[#This Row],[Age]]&lt;=44,"35-44",
HRData[[#This Row],[Age]]&lt;=54,"45-54",
HRData[[#This Row],[Age]]&gt;=55,"55+"
)</f>
        <v>35-44</v>
      </c>
      <c r="C1238" t="s">
        <v>35</v>
      </c>
      <c r="D1238">
        <f>IF(HRData[[#This Row],[Attrition]]="Yes",1,0)</f>
        <v>1</v>
      </c>
      <c r="E1238" t="s">
        <v>36</v>
      </c>
      <c r="F1238">
        <v>1456</v>
      </c>
      <c r="G1238" t="s">
        <v>37</v>
      </c>
      <c r="H1238">
        <v>13</v>
      </c>
      <c r="I1238">
        <v>5</v>
      </c>
      <c r="J1238" t="s">
        <v>59</v>
      </c>
      <c r="K1238">
        <v>1</v>
      </c>
      <c r="L1238">
        <v>1733</v>
      </c>
      <c r="M1238">
        <v>2</v>
      </c>
      <c r="N1238" t="str" cm="1">
        <f t="array" ref="N1238">_xlfn.IFS(HRData[[#This Row],[EnvironmentSatisfaction]]=1,"Very Dissatisfied",
HRData[[#This Row],[EnvironmentSatisfaction]]=2,"Dissatisfied",
HRData[[#This Row],[EnvironmentSatisfaction]]=3,"Satisfied",
HRData[[#This Row],[EnvironmentSatisfaction]]=4,"Very Satisfied"
)</f>
        <v>Dissatisfied</v>
      </c>
      <c r="O1238" t="s">
        <v>46</v>
      </c>
      <c r="P1238">
        <v>96</v>
      </c>
      <c r="Q1238">
        <v>2</v>
      </c>
      <c r="R1238">
        <v>2</v>
      </c>
      <c r="S1238" t="s">
        <v>40</v>
      </c>
      <c r="T1238">
        <v>1</v>
      </c>
      <c r="U1238" t="str" cm="1">
        <f t="array" ref="U1238">_xlfn.IFS(
HRData[[#This Row],[JobSatisfaction]]=1,"Very Dissatisfied",
HRData[[#This Row],[JobSatisfaction]]=2,"Dissatisfied",
HRData[[#This Row],[JobSatisfaction]]=3,"Satisfied",
HRData[[#This Row],[JobSatisfaction]]=4,"Very Satisfied"
)</f>
        <v>Very Dissatisfied</v>
      </c>
      <c r="V1238" t="s">
        <v>52</v>
      </c>
      <c r="W1238">
        <v>6134</v>
      </c>
      <c r="X1238" t="str" cm="1">
        <f t="array" ref="X1238">_xlfn.IFS(
HRData[[#This Row],[MonthlyIncome]]&lt;=4000,"Very Low Income",
HRData[[#This Row],[MonthlyIncome]]&lt;=8000,"Low Income",
HRData[[#This Row],[MonthlyIncome]]&lt;=12000,"Moderate Income",
HRData[[#This Row],[MonthlyIncome]]&lt;=16000,"High Income",
HRData[[#This Row],[MonthlyIncome]]&gt;16000,"Very High Income"
)</f>
        <v>Low Income</v>
      </c>
      <c r="Y1238">
        <v>8658</v>
      </c>
      <c r="Z1238">
        <v>5</v>
      </c>
      <c r="AA1238" t="s">
        <v>42</v>
      </c>
      <c r="AB1238" t="s">
        <v>35</v>
      </c>
      <c r="AC1238">
        <v>13</v>
      </c>
      <c r="AD1238" t="str" cm="1">
        <f t="array" ref="AD1238">_xlfn.IFS(HRData[[#This Row],[PercentSalaryHike]]&lt;=15,"11-15",HRData[[#This Row],[PercentSalaryHike]]&lt;=20,"16-20",HRData[[#This Row],[PercentSalaryHike]]&gt;=21,"21+")</f>
        <v>11-15</v>
      </c>
      <c r="AE1238">
        <v>3</v>
      </c>
      <c r="AF1238">
        <v>2</v>
      </c>
      <c r="AG1238">
        <v>80</v>
      </c>
      <c r="AH1238">
        <v>3</v>
      </c>
      <c r="AI1238">
        <v>16</v>
      </c>
      <c r="AJ1238">
        <v>3</v>
      </c>
      <c r="AK1238">
        <v>3</v>
      </c>
      <c r="AL1238">
        <v>2</v>
      </c>
      <c r="AM1238">
        <v>2</v>
      </c>
      <c r="AN1238">
        <v>2</v>
      </c>
      <c r="AO1238">
        <v>2</v>
      </c>
      <c r="AP123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38" t="str">
        <f>IF(HRData[[#This Row],[Attrition]]="Yes","Left", IF(HRData[[#This Row],[Attrition_Risk_Score]]&gt;=6,"High",IF(HRData[[#This Row],[Attrition_Risk_Score]]&gt;=3,"Medium","Low")))</f>
        <v>Left</v>
      </c>
      <c r="AR1238" t="str">
        <f>IF(HRData[[#This Row],[Attrition_Risk_Level]]&lt;&gt;"High","",HRData[[#This Row],[Attrition_Risk_Score]]*10000-HRData[[#This Row],[EmployeeNumber]])</f>
        <v/>
      </c>
    </row>
    <row r="1239" spans="1:44">
      <c r="A1239">
        <v>32</v>
      </c>
      <c r="B1239" t="str" cm="1">
        <f t="array" ref="B1239">_xlfn.IFS(
HRData[[#This Row],[Age]]&lt;=24,"18-24",
HRData[[#This Row],[Age]]&lt;=34,"25-34",
HRData[[#This Row],[Age]]&lt;=44,"35-44",
HRData[[#This Row],[Age]]&lt;=54,"45-54",
HRData[[#This Row],[Age]]&gt;=55,"55+"
)</f>
        <v>25-34</v>
      </c>
      <c r="C1239" t="s">
        <v>35</v>
      </c>
      <c r="D1239">
        <f>IF(HRData[[#This Row],[Attrition]]="Yes",1,0)</f>
        <v>1</v>
      </c>
      <c r="E1239" t="s">
        <v>36</v>
      </c>
      <c r="F1239">
        <v>964</v>
      </c>
      <c r="G1239" t="s">
        <v>37</v>
      </c>
      <c r="H1239">
        <v>1</v>
      </c>
      <c r="I1239">
        <v>2</v>
      </c>
      <c r="J1239" t="s">
        <v>38</v>
      </c>
      <c r="K1239">
        <v>1</v>
      </c>
      <c r="L1239">
        <v>1734</v>
      </c>
      <c r="M1239">
        <v>1</v>
      </c>
      <c r="N1239" t="str" cm="1">
        <f t="array" ref="N1239">_xlfn.IFS(HRData[[#This Row],[EnvironmentSatisfaction]]=1,"Very Dissatisfied",
HRData[[#This Row],[EnvironmentSatisfaction]]=2,"Dissatisfied",
HRData[[#This Row],[EnvironmentSatisfaction]]=3,"Satisfied",
HRData[[#This Row],[EnvironmentSatisfaction]]=4,"Very Satisfied"
)</f>
        <v>Very Dissatisfied</v>
      </c>
      <c r="O1239" t="s">
        <v>46</v>
      </c>
      <c r="P1239">
        <v>34</v>
      </c>
      <c r="Q1239">
        <v>1</v>
      </c>
      <c r="R1239">
        <v>2</v>
      </c>
      <c r="S1239" t="s">
        <v>40</v>
      </c>
      <c r="T1239">
        <v>2</v>
      </c>
      <c r="U1239" t="str" cm="1">
        <f t="array" ref="U1239">_xlfn.IFS(
HRData[[#This Row],[JobSatisfaction]]=1,"Very Dissatisfied",
HRData[[#This Row],[JobSatisfaction]]=2,"Dissatisfied",
HRData[[#This Row],[JobSatisfaction]]=3,"Satisfied",
HRData[[#This Row],[JobSatisfaction]]=4,"Very Satisfied"
)</f>
        <v>Dissatisfied</v>
      </c>
      <c r="V1239" t="s">
        <v>41</v>
      </c>
      <c r="W1239">
        <v>6735</v>
      </c>
      <c r="X1239" t="str" cm="1">
        <f t="array" ref="X1239">_xlfn.IFS(
HRData[[#This Row],[MonthlyIncome]]&lt;=4000,"Very Low Income",
HRData[[#This Row],[MonthlyIncome]]&lt;=8000,"Low Income",
HRData[[#This Row],[MonthlyIncome]]&lt;=12000,"Moderate Income",
HRData[[#This Row],[MonthlyIncome]]&lt;=16000,"High Income",
HRData[[#This Row],[MonthlyIncome]]&gt;16000,"Very High Income"
)</f>
        <v>Low Income</v>
      </c>
      <c r="Y1239">
        <v>12147</v>
      </c>
      <c r="Z1239">
        <v>6</v>
      </c>
      <c r="AA1239" t="s">
        <v>42</v>
      </c>
      <c r="AB1239" t="s">
        <v>43</v>
      </c>
      <c r="AC1239">
        <v>15</v>
      </c>
      <c r="AD1239" t="str" cm="1">
        <f t="array" ref="AD1239">_xlfn.IFS(HRData[[#This Row],[PercentSalaryHike]]&lt;=15,"11-15",HRData[[#This Row],[PercentSalaryHike]]&lt;=20,"16-20",HRData[[#This Row],[PercentSalaryHike]]&gt;=21,"21+")</f>
        <v>11-15</v>
      </c>
      <c r="AE1239">
        <v>3</v>
      </c>
      <c r="AF1239">
        <v>2</v>
      </c>
      <c r="AG1239">
        <v>80</v>
      </c>
      <c r="AH1239">
        <v>0</v>
      </c>
      <c r="AI1239">
        <v>10</v>
      </c>
      <c r="AJ1239">
        <v>2</v>
      </c>
      <c r="AK1239">
        <v>3</v>
      </c>
      <c r="AL1239">
        <v>0</v>
      </c>
      <c r="AM1239">
        <v>0</v>
      </c>
      <c r="AN1239">
        <v>0</v>
      </c>
      <c r="AO1239">
        <v>0</v>
      </c>
      <c r="AP123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39" t="str">
        <f>IF(HRData[[#This Row],[Attrition]]="Yes","Left", IF(HRData[[#This Row],[Attrition_Risk_Score]]&gt;=6,"High",IF(HRData[[#This Row],[Attrition_Risk_Score]]&gt;=3,"Medium","Low")))</f>
        <v>Left</v>
      </c>
      <c r="AR1239" t="str">
        <f>IF(HRData[[#This Row],[Attrition_Risk_Level]]&lt;&gt;"High","",HRData[[#This Row],[Attrition_Risk_Score]]*10000-HRData[[#This Row],[EmployeeNumber]])</f>
        <v/>
      </c>
    </row>
    <row r="1240" spans="1:44">
      <c r="A1240">
        <v>23</v>
      </c>
      <c r="B1240" t="str" cm="1">
        <f t="array" ref="B1240">_xlfn.IFS(
HRData[[#This Row],[Age]]&lt;=24,"18-24",
HRData[[#This Row],[Age]]&lt;=34,"25-34",
HRData[[#This Row],[Age]]&lt;=44,"35-44",
HRData[[#This Row],[Age]]&lt;=54,"45-54",
HRData[[#This Row],[Age]]&gt;=55,"55+"
)</f>
        <v>18-24</v>
      </c>
      <c r="C1240" t="s">
        <v>43</v>
      </c>
      <c r="D1240">
        <f>IF(HRData[[#This Row],[Attrition]]="Yes",1,0)</f>
        <v>0</v>
      </c>
      <c r="E1240" t="s">
        <v>36</v>
      </c>
      <c r="F1240">
        <v>160</v>
      </c>
      <c r="G1240" t="s">
        <v>45</v>
      </c>
      <c r="H1240">
        <v>4</v>
      </c>
      <c r="I1240">
        <v>1</v>
      </c>
      <c r="J1240" t="s">
        <v>51</v>
      </c>
      <c r="K1240">
        <v>1</v>
      </c>
      <c r="L1240">
        <v>1735</v>
      </c>
      <c r="M1240">
        <v>3</v>
      </c>
      <c r="N1240" t="str" cm="1">
        <f t="array" ref="N1240">_xlfn.IFS(HRData[[#This Row],[EnvironmentSatisfaction]]=1,"Very Dissatisfied",
HRData[[#This Row],[EnvironmentSatisfaction]]=2,"Dissatisfied",
HRData[[#This Row],[EnvironmentSatisfaction]]=3,"Satisfied",
HRData[[#This Row],[EnvironmentSatisfaction]]=4,"Very Satisfied"
)</f>
        <v>Satisfied</v>
      </c>
      <c r="O1240" t="s">
        <v>39</v>
      </c>
      <c r="P1240">
        <v>51</v>
      </c>
      <c r="Q1240">
        <v>3</v>
      </c>
      <c r="R1240">
        <v>1</v>
      </c>
      <c r="S1240" t="s">
        <v>50</v>
      </c>
      <c r="T1240">
        <v>2</v>
      </c>
      <c r="U1240" t="str" cm="1">
        <f t="array" ref="U1240">_xlfn.IFS(
HRData[[#This Row],[JobSatisfaction]]=1,"Very Dissatisfied",
HRData[[#This Row],[JobSatisfaction]]=2,"Dissatisfied",
HRData[[#This Row],[JobSatisfaction]]=3,"Satisfied",
HRData[[#This Row],[JobSatisfaction]]=4,"Very Satisfied"
)</f>
        <v>Dissatisfied</v>
      </c>
      <c r="V1240" t="s">
        <v>41</v>
      </c>
      <c r="W1240">
        <v>3295</v>
      </c>
      <c r="X1240" t="str" cm="1">
        <f t="array" ref="X1240">_xlfn.IFS(
HRData[[#This Row],[MonthlyIncome]]&lt;=4000,"Very Low Income",
HRData[[#This Row],[MonthlyIncome]]&lt;=8000,"Low Income",
HRData[[#This Row],[MonthlyIncome]]&lt;=12000,"Moderate Income",
HRData[[#This Row],[MonthlyIncome]]&lt;=16000,"High Income",
HRData[[#This Row],[MonthlyIncome]]&gt;16000,"Very High Income"
)</f>
        <v>Very Low Income</v>
      </c>
      <c r="Y1240">
        <v>12862</v>
      </c>
      <c r="Z1240">
        <v>1</v>
      </c>
      <c r="AA1240" t="s">
        <v>42</v>
      </c>
      <c r="AB1240" t="s">
        <v>43</v>
      </c>
      <c r="AC1240">
        <v>13</v>
      </c>
      <c r="AD1240" t="str" cm="1">
        <f t="array" ref="AD1240">_xlfn.IFS(HRData[[#This Row],[PercentSalaryHike]]&lt;=15,"11-15",HRData[[#This Row],[PercentSalaryHike]]&lt;=20,"16-20",HRData[[#This Row],[PercentSalaryHike]]&gt;=21,"21+")</f>
        <v>11-15</v>
      </c>
      <c r="AE1240">
        <v>3</v>
      </c>
      <c r="AF1240">
        <v>3</v>
      </c>
      <c r="AG1240">
        <v>80</v>
      </c>
      <c r="AH1240">
        <v>0</v>
      </c>
      <c r="AI1240">
        <v>3</v>
      </c>
      <c r="AJ1240">
        <v>3</v>
      </c>
      <c r="AK1240">
        <v>1</v>
      </c>
      <c r="AL1240">
        <v>3</v>
      </c>
      <c r="AM1240">
        <v>2</v>
      </c>
      <c r="AN1240">
        <v>1</v>
      </c>
      <c r="AO1240">
        <v>2</v>
      </c>
      <c r="AP124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240" t="str">
        <f>IF(HRData[[#This Row],[Attrition]]="Yes","Left", IF(HRData[[#This Row],[Attrition_Risk_Score]]&gt;=6,"High",IF(HRData[[#This Row],[Attrition_Risk_Score]]&gt;=3,"Medium","Low")))</f>
        <v>Medium</v>
      </c>
      <c r="AR1240" t="str">
        <f>IF(HRData[[#This Row],[Attrition_Risk_Level]]&lt;&gt;"High","",HRData[[#This Row],[Attrition_Risk_Score]]*10000-HRData[[#This Row],[EmployeeNumber]])</f>
        <v/>
      </c>
    </row>
    <row r="1241" spans="1:44">
      <c r="A1241">
        <v>31</v>
      </c>
      <c r="B1241" t="str" cm="1">
        <f t="array" ref="B1241">_xlfn.IFS(
HRData[[#This Row],[Age]]&lt;=24,"18-24",
HRData[[#This Row],[Age]]&lt;=34,"25-34",
HRData[[#This Row],[Age]]&lt;=44,"35-44",
HRData[[#This Row],[Age]]&lt;=54,"45-54",
HRData[[#This Row],[Age]]&gt;=55,"55+"
)</f>
        <v>25-34</v>
      </c>
      <c r="C1241" t="s">
        <v>43</v>
      </c>
      <c r="D1241">
        <f>IF(HRData[[#This Row],[Attrition]]="Yes",1,0)</f>
        <v>0</v>
      </c>
      <c r="E1241" t="s">
        <v>44</v>
      </c>
      <c r="F1241">
        <v>163</v>
      </c>
      <c r="G1241" t="s">
        <v>45</v>
      </c>
      <c r="H1241">
        <v>24</v>
      </c>
      <c r="I1241">
        <v>1</v>
      </c>
      <c r="J1241" t="s">
        <v>60</v>
      </c>
      <c r="K1241">
        <v>1</v>
      </c>
      <c r="L1241">
        <v>1736</v>
      </c>
      <c r="M1241">
        <v>4</v>
      </c>
      <c r="N1241" t="str" cm="1">
        <f t="array" ref="N1241">_xlfn.IFS(HRData[[#This Row],[EnvironmentSatisfaction]]=1,"Very Dissatisfied",
HRData[[#This Row],[EnvironmentSatisfaction]]=2,"Dissatisfied",
HRData[[#This Row],[EnvironmentSatisfaction]]=3,"Satisfied",
HRData[[#This Row],[EnvironmentSatisfaction]]=4,"Very Satisfied"
)</f>
        <v>Very Satisfied</v>
      </c>
      <c r="O1241" t="s">
        <v>39</v>
      </c>
      <c r="P1241">
        <v>30</v>
      </c>
      <c r="Q1241">
        <v>3</v>
      </c>
      <c r="R1241">
        <v>2</v>
      </c>
      <c r="S1241" t="s">
        <v>53</v>
      </c>
      <c r="T1241">
        <v>4</v>
      </c>
      <c r="U1241" t="str" cm="1">
        <f t="array" ref="U1241">_xlfn.IFS(
HRData[[#This Row],[JobSatisfaction]]=1,"Very Dissatisfied",
HRData[[#This Row],[JobSatisfaction]]=2,"Dissatisfied",
HRData[[#This Row],[JobSatisfaction]]=3,"Satisfied",
HRData[[#This Row],[JobSatisfaction]]=4,"Very Satisfied"
)</f>
        <v>Very Satisfied</v>
      </c>
      <c r="V1241" t="s">
        <v>41</v>
      </c>
      <c r="W1241">
        <v>5238</v>
      </c>
      <c r="X1241" t="str" cm="1">
        <f t="array" ref="X1241">_xlfn.IFS(
HRData[[#This Row],[MonthlyIncome]]&lt;=4000,"Very Low Income",
HRData[[#This Row],[MonthlyIncome]]&lt;=8000,"Low Income",
HRData[[#This Row],[MonthlyIncome]]&lt;=12000,"Moderate Income",
HRData[[#This Row],[MonthlyIncome]]&lt;=16000,"High Income",
HRData[[#This Row],[MonthlyIncome]]&gt;16000,"Very High Income"
)</f>
        <v>Low Income</v>
      </c>
      <c r="Y1241">
        <v>6670</v>
      </c>
      <c r="Z1241">
        <v>2</v>
      </c>
      <c r="AA1241" t="s">
        <v>42</v>
      </c>
      <c r="AB1241" t="s">
        <v>43</v>
      </c>
      <c r="AC1241">
        <v>20</v>
      </c>
      <c r="AD1241" t="str" cm="1">
        <f t="array" ref="AD1241">_xlfn.IFS(HRData[[#This Row],[PercentSalaryHike]]&lt;=15,"11-15",HRData[[#This Row],[PercentSalaryHike]]&lt;=20,"16-20",HRData[[#This Row],[PercentSalaryHike]]&gt;=21,"21+")</f>
        <v>16-20</v>
      </c>
      <c r="AE1241">
        <v>4</v>
      </c>
      <c r="AF1241">
        <v>4</v>
      </c>
      <c r="AG1241">
        <v>80</v>
      </c>
      <c r="AH1241">
        <v>0</v>
      </c>
      <c r="AI1241">
        <v>9</v>
      </c>
      <c r="AJ1241">
        <v>3</v>
      </c>
      <c r="AK1241">
        <v>2</v>
      </c>
      <c r="AL1241">
        <v>5</v>
      </c>
      <c r="AM1241">
        <v>4</v>
      </c>
      <c r="AN1241">
        <v>1</v>
      </c>
      <c r="AO1241">
        <v>4</v>
      </c>
      <c r="AP124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41" t="str">
        <f>IF(HRData[[#This Row],[Attrition]]="Yes","Left", IF(HRData[[#This Row],[Attrition_Risk_Score]]&gt;=6,"High",IF(HRData[[#This Row],[Attrition_Risk_Score]]&gt;=3,"Medium","Low")))</f>
        <v>Low</v>
      </c>
      <c r="AR1241" t="str">
        <f>IF(HRData[[#This Row],[Attrition_Risk_Level]]&lt;&gt;"High","",HRData[[#This Row],[Attrition_Risk_Score]]*10000-HRData[[#This Row],[EmployeeNumber]])</f>
        <v/>
      </c>
    </row>
    <row r="1242" spans="1:44">
      <c r="A1242">
        <v>39</v>
      </c>
      <c r="B1242" t="str" cm="1">
        <f t="array" ref="B1242">_xlfn.IFS(
HRData[[#This Row],[Age]]&lt;=24,"18-24",
HRData[[#This Row],[Age]]&lt;=34,"25-34",
HRData[[#This Row],[Age]]&lt;=44,"35-44",
HRData[[#This Row],[Age]]&lt;=54,"45-54",
HRData[[#This Row],[Age]]&gt;=55,"55+"
)</f>
        <v>35-44</v>
      </c>
      <c r="C1242" t="s">
        <v>43</v>
      </c>
      <c r="D1242">
        <f>IF(HRData[[#This Row],[Attrition]]="Yes",1,0)</f>
        <v>0</v>
      </c>
      <c r="E1242" t="s">
        <v>55</v>
      </c>
      <c r="F1242">
        <v>792</v>
      </c>
      <c r="G1242" t="s">
        <v>45</v>
      </c>
      <c r="H1242">
        <v>1</v>
      </c>
      <c r="I1242">
        <v>3</v>
      </c>
      <c r="J1242" t="s">
        <v>38</v>
      </c>
      <c r="K1242">
        <v>1</v>
      </c>
      <c r="L1242">
        <v>1737</v>
      </c>
      <c r="M1242">
        <v>4</v>
      </c>
      <c r="N1242" t="str" cm="1">
        <f t="array" ref="N1242">_xlfn.IFS(HRData[[#This Row],[EnvironmentSatisfaction]]=1,"Very Dissatisfied",
HRData[[#This Row],[EnvironmentSatisfaction]]=2,"Dissatisfied",
HRData[[#This Row],[EnvironmentSatisfaction]]=3,"Satisfied",
HRData[[#This Row],[EnvironmentSatisfaction]]=4,"Very Satisfied"
)</f>
        <v>Very Satisfied</v>
      </c>
      <c r="O1242" t="s">
        <v>46</v>
      </c>
      <c r="P1242">
        <v>77</v>
      </c>
      <c r="Q1242">
        <v>3</v>
      </c>
      <c r="R1242">
        <v>2</v>
      </c>
      <c r="S1242" t="s">
        <v>50</v>
      </c>
      <c r="T1242">
        <v>4</v>
      </c>
      <c r="U1242" t="str" cm="1">
        <f t="array" ref="U1242">_xlfn.IFS(
HRData[[#This Row],[JobSatisfaction]]=1,"Very Dissatisfied",
HRData[[#This Row],[JobSatisfaction]]=2,"Dissatisfied",
HRData[[#This Row],[JobSatisfaction]]=3,"Satisfied",
HRData[[#This Row],[JobSatisfaction]]=4,"Very Satisfied"
)</f>
        <v>Very Satisfied</v>
      </c>
      <c r="V1242" t="s">
        <v>48</v>
      </c>
      <c r="W1242">
        <v>6472</v>
      </c>
      <c r="X1242" t="str" cm="1">
        <f t="array" ref="X1242">_xlfn.IFS(
HRData[[#This Row],[MonthlyIncome]]&lt;=4000,"Very Low Income",
HRData[[#This Row],[MonthlyIncome]]&lt;=8000,"Low Income",
HRData[[#This Row],[MonthlyIncome]]&lt;=12000,"Moderate Income",
HRData[[#This Row],[MonthlyIncome]]&lt;=16000,"High Income",
HRData[[#This Row],[MonthlyIncome]]&gt;16000,"Very High Income"
)</f>
        <v>Low Income</v>
      </c>
      <c r="Y1242">
        <v>8989</v>
      </c>
      <c r="Z1242">
        <v>1</v>
      </c>
      <c r="AA1242" t="s">
        <v>42</v>
      </c>
      <c r="AB1242" t="s">
        <v>35</v>
      </c>
      <c r="AC1242">
        <v>15</v>
      </c>
      <c r="AD1242" t="str" cm="1">
        <f t="array" ref="AD1242">_xlfn.IFS(HRData[[#This Row],[PercentSalaryHike]]&lt;=15,"11-15",HRData[[#This Row],[PercentSalaryHike]]&lt;=20,"16-20",HRData[[#This Row],[PercentSalaryHike]]&gt;=21,"21+")</f>
        <v>11-15</v>
      </c>
      <c r="AE1242">
        <v>3</v>
      </c>
      <c r="AF1242">
        <v>4</v>
      </c>
      <c r="AG1242">
        <v>80</v>
      </c>
      <c r="AH1242">
        <v>1</v>
      </c>
      <c r="AI1242">
        <v>9</v>
      </c>
      <c r="AJ1242">
        <v>2</v>
      </c>
      <c r="AK1242">
        <v>3</v>
      </c>
      <c r="AL1242">
        <v>9</v>
      </c>
      <c r="AM1242">
        <v>8</v>
      </c>
      <c r="AN1242">
        <v>5</v>
      </c>
      <c r="AO1242">
        <v>8</v>
      </c>
      <c r="AP124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242" t="str">
        <f>IF(HRData[[#This Row],[Attrition]]="Yes","Left", IF(HRData[[#This Row],[Attrition_Risk_Score]]&gt;=6,"High",IF(HRData[[#This Row],[Attrition_Risk_Score]]&gt;=3,"Medium","Low")))</f>
        <v>Medium</v>
      </c>
      <c r="AR1242" t="str">
        <f>IF(HRData[[#This Row],[Attrition_Risk_Level]]&lt;&gt;"High","",HRData[[#This Row],[Attrition_Risk_Score]]*10000-HRData[[#This Row],[EmployeeNumber]])</f>
        <v/>
      </c>
    </row>
    <row r="1243" spans="1:44">
      <c r="A1243">
        <v>32</v>
      </c>
      <c r="B1243" t="str" cm="1">
        <f t="array" ref="B1243">_xlfn.IFS(
HRData[[#This Row],[Age]]&lt;=24,"18-24",
HRData[[#This Row],[Age]]&lt;=34,"25-34",
HRData[[#This Row],[Age]]&lt;=44,"35-44",
HRData[[#This Row],[Age]]&lt;=54,"45-54",
HRData[[#This Row],[Age]]&gt;=55,"55+"
)</f>
        <v>25-34</v>
      </c>
      <c r="C1243" t="s">
        <v>43</v>
      </c>
      <c r="D1243">
        <f>IF(HRData[[#This Row],[Attrition]]="Yes",1,0)</f>
        <v>0</v>
      </c>
      <c r="E1243" t="s">
        <v>36</v>
      </c>
      <c r="F1243">
        <v>371</v>
      </c>
      <c r="G1243" t="s">
        <v>37</v>
      </c>
      <c r="H1243">
        <v>19</v>
      </c>
      <c r="I1243">
        <v>3</v>
      </c>
      <c r="J1243" t="s">
        <v>38</v>
      </c>
      <c r="K1243">
        <v>1</v>
      </c>
      <c r="L1243">
        <v>1739</v>
      </c>
      <c r="M1243">
        <v>4</v>
      </c>
      <c r="N1243" t="str" cm="1">
        <f t="array" ref="N1243">_xlfn.IFS(HRData[[#This Row],[EnvironmentSatisfaction]]=1,"Very Dissatisfied",
HRData[[#This Row],[EnvironmentSatisfaction]]=2,"Dissatisfied",
HRData[[#This Row],[EnvironmentSatisfaction]]=3,"Satisfied",
HRData[[#This Row],[EnvironmentSatisfaction]]=4,"Very Satisfied"
)</f>
        <v>Very Satisfied</v>
      </c>
      <c r="O1243" t="s">
        <v>46</v>
      </c>
      <c r="P1243">
        <v>80</v>
      </c>
      <c r="Q1243">
        <v>1</v>
      </c>
      <c r="R1243">
        <v>3</v>
      </c>
      <c r="S1243" t="s">
        <v>40</v>
      </c>
      <c r="T1243">
        <v>3</v>
      </c>
      <c r="U1243" t="str" cm="1">
        <f t="array" ref="U1243">_xlfn.IFS(
HRData[[#This Row],[JobSatisfaction]]=1,"Very Dissatisfied",
HRData[[#This Row],[JobSatisfaction]]=2,"Dissatisfied",
HRData[[#This Row],[JobSatisfaction]]=3,"Satisfied",
HRData[[#This Row],[JobSatisfaction]]=4,"Very Satisfied"
)</f>
        <v>Satisfied</v>
      </c>
      <c r="V1243" t="s">
        <v>48</v>
      </c>
      <c r="W1243">
        <v>9610</v>
      </c>
      <c r="X1243" t="str" cm="1">
        <f t="array" ref="X1243">_xlfn.IFS(
HRData[[#This Row],[MonthlyIncome]]&lt;=4000,"Very Low Income",
HRData[[#This Row],[MonthlyIncome]]&lt;=8000,"Low Income",
HRData[[#This Row],[MonthlyIncome]]&lt;=12000,"Moderate Income",
HRData[[#This Row],[MonthlyIncome]]&lt;=16000,"High Income",
HRData[[#This Row],[MonthlyIncome]]&gt;16000,"Very High Income"
)</f>
        <v>Moderate Income</v>
      </c>
      <c r="Y1243">
        <v>3840</v>
      </c>
      <c r="Z1243">
        <v>3</v>
      </c>
      <c r="AA1243" t="s">
        <v>42</v>
      </c>
      <c r="AB1243" t="s">
        <v>43</v>
      </c>
      <c r="AC1243">
        <v>13</v>
      </c>
      <c r="AD1243" t="str" cm="1">
        <f t="array" ref="AD1243">_xlfn.IFS(HRData[[#This Row],[PercentSalaryHike]]&lt;=15,"11-15",HRData[[#This Row],[PercentSalaryHike]]&lt;=20,"16-20",HRData[[#This Row],[PercentSalaryHike]]&gt;=21,"21+")</f>
        <v>11-15</v>
      </c>
      <c r="AE1243">
        <v>3</v>
      </c>
      <c r="AF1243">
        <v>3</v>
      </c>
      <c r="AG1243">
        <v>80</v>
      </c>
      <c r="AH1243">
        <v>1</v>
      </c>
      <c r="AI1243">
        <v>10</v>
      </c>
      <c r="AJ1243">
        <v>2</v>
      </c>
      <c r="AK1243">
        <v>1</v>
      </c>
      <c r="AL1243">
        <v>4</v>
      </c>
      <c r="AM1243">
        <v>3</v>
      </c>
      <c r="AN1243">
        <v>0</v>
      </c>
      <c r="AO1243">
        <v>2</v>
      </c>
      <c r="AP124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243" t="str">
        <f>IF(HRData[[#This Row],[Attrition]]="Yes","Left", IF(HRData[[#This Row],[Attrition_Risk_Score]]&gt;=6,"High",IF(HRData[[#This Row],[Attrition_Risk_Score]]&gt;=3,"Medium","Low")))</f>
        <v>Low</v>
      </c>
      <c r="AR1243" t="str">
        <f>IF(HRData[[#This Row],[Attrition_Risk_Level]]&lt;&gt;"High","",HRData[[#This Row],[Attrition_Risk_Score]]*10000-HRData[[#This Row],[EmployeeNumber]])</f>
        <v/>
      </c>
    </row>
    <row r="1244" spans="1:44">
      <c r="A1244">
        <v>40</v>
      </c>
      <c r="B1244" t="str" cm="1">
        <f t="array" ref="B1244">_xlfn.IFS(
HRData[[#This Row],[Age]]&lt;=24,"18-24",
HRData[[#This Row],[Age]]&lt;=34,"25-34",
HRData[[#This Row],[Age]]&lt;=44,"35-44",
HRData[[#This Row],[Age]]&lt;=54,"45-54",
HRData[[#This Row],[Age]]&gt;=55,"55+"
)</f>
        <v>35-44</v>
      </c>
      <c r="C1244" t="s">
        <v>43</v>
      </c>
      <c r="D1244">
        <f>IF(HRData[[#This Row],[Attrition]]="Yes",1,0)</f>
        <v>0</v>
      </c>
      <c r="E1244" t="s">
        <v>36</v>
      </c>
      <c r="F1244">
        <v>611</v>
      </c>
      <c r="G1244" t="s">
        <v>37</v>
      </c>
      <c r="H1244">
        <v>7</v>
      </c>
      <c r="I1244">
        <v>4</v>
      </c>
      <c r="J1244" t="s">
        <v>51</v>
      </c>
      <c r="K1244">
        <v>1</v>
      </c>
      <c r="L1244">
        <v>1740</v>
      </c>
      <c r="M1244">
        <v>2</v>
      </c>
      <c r="N1244" t="str" cm="1">
        <f t="array" ref="N1244">_xlfn.IFS(HRData[[#This Row],[EnvironmentSatisfaction]]=1,"Very Dissatisfied",
HRData[[#This Row],[EnvironmentSatisfaction]]=2,"Dissatisfied",
HRData[[#This Row],[EnvironmentSatisfaction]]=3,"Satisfied",
HRData[[#This Row],[EnvironmentSatisfaction]]=4,"Very Satisfied"
)</f>
        <v>Dissatisfied</v>
      </c>
      <c r="O1244" t="s">
        <v>46</v>
      </c>
      <c r="P1244">
        <v>88</v>
      </c>
      <c r="Q1244">
        <v>3</v>
      </c>
      <c r="R1244">
        <v>5</v>
      </c>
      <c r="S1244" t="s">
        <v>56</v>
      </c>
      <c r="T1244">
        <v>2</v>
      </c>
      <c r="U1244" t="str" cm="1">
        <f t="array" ref="U1244">_xlfn.IFS(
HRData[[#This Row],[JobSatisfaction]]=1,"Very Dissatisfied",
HRData[[#This Row],[JobSatisfaction]]=2,"Dissatisfied",
HRData[[#This Row],[JobSatisfaction]]=3,"Satisfied",
HRData[[#This Row],[JobSatisfaction]]=4,"Very Satisfied"
)</f>
        <v>Dissatisfied</v>
      </c>
      <c r="V1244" t="s">
        <v>41</v>
      </c>
      <c r="W1244">
        <v>19833</v>
      </c>
      <c r="X1244" t="str" cm="1">
        <f t="array" ref="X1244">_xlfn.IFS(
HRData[[#This Row],[MonthlyIncome]]&lt;=4000,"Very Low Income",
HRData[[#This Row],[MonthlyIncome]]&lt;=8000,"Low Income",
HRData[[#This Row],[MonthlyIncome]]&lt;=12000,"Moderate Income",
HRData[[#This Row],[MonthlyIncome]]&lt;=16000,"High Income",
HRData[[#This Row],[MonthlyIncome]]&gt;16000,"Very High Income"
)</f>
        <v>Very High Income</v>
      </c>
      <c r="Y1244">
        <v>4349</v>
      </c>
      <c r="Z1244">
        <v>1</v>
      </c>
      <c r="AA1244" t="s">
        <v>42</v>
      </c>
      <c r="AB1244" t="s">
        <v>43</v>
      </c>
      <c r="AC1244">
        <v>14</v>
      </c>
      <c r="AD1244" t="str" cm="1">
        <f t="array" ref="AD1244">_xlfn.IFS(HRData[[#This Row],[PercentSalaryHike]]&lt;=15,"11-15",HRData[[#This Row],[PercentSalaryHike]]&lt;=20,"16-20",HRData[[#This Row],[PercentSalaryHike]]&gt;=21,"21+")</f>
        <v>11-15</v>
      </c>
      <c r="AE1244">
        <v>3</v>
      </c>
      <c r="AF1244">
        <v>2</v>
      </c>
      <c r="AG1244">
        <v>80</v>
      </c>
      <c r="AH1244">
        <v>0</v>
      </c>
      <c r="AI1244">
        <v>21</v>
      </c>
      <c r="AJ1244">
        <v>3</v>
      </c>
      <c r="AK1244">
        <v>2</v>
      </c>
      <c r="AL1244">
        <v>21</v>
      </c>
      <c r="AM1244">
        <v>8</v>
      </c>
      <c r="AN1244">
        <v>12</v>
      </c>
      <c r="AO1244">
        <v>8</v>
      </c>
      <c r="AP124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244" t="str">
        <f>IF(HRData[[#This Row],[Attrition]]="Yes","Left", IF(HRData[[#This Row],[Attrition_Risk_Score]]&gt;=6,"High",IF(HRData[[#This Row],[Attrition_Risk_Score]]&gt;=3,"Medium","Low")))</f>
        <v>Low</v>
      </c>
      <c r="AR1244" t="str">
        <f>IF(HRData[[#This Row],[Attrition_Risk_Level]]&lt;&gt;"High","",HRData[[#This Row],[Attrition_Risk_Score]]*10000-HRData[[#This Row],[EmployeeNumber]])</f>
        <v/>
      </c>
    </row>
    <row r="1245" spans="1:44">
      <c r="A1245">
        <v>45</v>
      </c>
      <c r="B1245" t="str" cm="1">
        <f t="array" ref="B1245">_xlfn.IFS(
HRData[[#This Row],[Age]]&lt;=24,"18-24",
HRData[[#This Row],[Age]]&lt;=34,"25-34",
HRData[[#This Row],[Age]]&lt;=44,"35-44",
HRData[[#This Row],[Age]]&lt;=54,"45-54",
HRData[[#This Row],[Age]]&gt;=55,"55+"
)</f>
        <v>45-54</v>
      </c>
      <c r="C1245" t="s">
        <v>43</v>
      </c>
      <c r="D1245">
        <f>IF(HRData[[#This Row],[Attrition]]="Yes",1,0)</f>
        <v>0</v>
      </c>
      <c r="E1245" t="s">
        <v>36</v>
      </c>
      <c r="F1245">
        <v>176</v>
      </c>
      <c r="G1245" t="s">
        <v>61</v>
      </c>
      <c r="H1245">
        <v>4</v>
      </c>
      <c r="I1245">
        <v>3</v>
      </c>
      <c r="J1245" t="s">
        <v>38</v>
      </c>
      <c r="K1245">
        <v>1</v>
      </c>
      <c r="L1245">
        <v>1744</v>
      </c>
      <c r="M1245">
        <v>3</v>
      </c>
      <c r="N1245" t="str" cm="1">
        <f t="array" ref="N1245">_xlfn.IFS(HRData[[#This Row],[EnvironmentSatisfaction]]=1,"Very Dissatisfied",
HRData[[#This Row],[EnvironmentSatisfaction]]=2,"Dissatisfied",
HRData[[#This Row],[EnvironmentSatisfaction]]=3,"Satisfied",
HRData[[#This Row],[EnvironmentSatisfaction]]=4,"Very Satisfied"
)</f>
        <v>Satisfied</v>
      </c>
      <c r="O1245" t="s">
        <v>39</v>
      </c>
      <c r="P1245">
        <v>56</v>
      </c>
      <c r="Q1245">
        <v>1</v>
      </c>
      <c r="R1245">
        <v>3</v>
      </c>
      <c r="S1245" t="s">
        <v>61</v>
      </c>
      <c r="T1245">
        <v>3</v>
      </c>
      <c r="U1245" t="str" cm="1">
        <f t="array" ref="U1245">_xlfn.IFS(
HRData[[#This Row],[JobSatisfaction]]=1,"Very Dissatisfied",
HRData[[#This Row],[JobSatisfaction]]=2,"Dissatisfied",
HRData[[#This Row],[JobSatisfaction]]=3,"Satisfied",
HRData[[#This Row],[JobSatisfaction]]=4,"Very Satisfied"
)</f>
        <v>Satisfied</v>
      </c>
      <c r="V1245" t="s">
        <v>48</v>
      </c>
      <c r="W1245">
        <v>9756</v>
      </c>
      <c r="X1245" t="str" cm="1">
        <f t="array" ref="X1245">_xlfn.IFS(
HRData[[#This Row],[MonthlyIncome]]&lt;=4000,"Very Low Income",
HRData[[#This Row],[MonthlyIncome]]&lt;=8000,"Low Income",
HRData[[#This Row],[MonthlyIncome]]&lt;=12000,"Moderate Income",
HRData[[#This Row],[MonthlyIncome]]&lt;=16000,"High Income",
HRData[[#This Row],[MonthlyIncome]]&gt;16000,"Very High Income"
)</f>
        <v>Moderate Income</v>
      </c>
      <c r="Y1245">
        <v>6595</v>
      </c>
      <c r="Z1245">
        <v>4</v>
      </c>
      <c r="AA1245" t="s">
        <v>42</v>
      </c>
      <c r="AB1245" t="s">
        <v>43</v>
      </c>
      <c r="AC1245">
        <v>21</v>
      </c>
      <c r="AD1245" t="str" cm="1">
        <f t="array" ref="AD1245">_xlfn.IFS(HRData[[#This Row],[PercentSalaryHike]]&lt;=15,"11-15",HRData[[#This Row],[PercentSalaryHike]]&lt;=20,"16-20",HRData[[#This Row],[PercentSalaryHike]]&gt;=21,"21+")</f>
        <v>21+</v>
      </c>
      <c r="AE1245">
        <v>4</v>
      </c>
      <c r="AF1245">
        <v>3</v>
      </c>
      <c r="AG1245">
        <v>80</v>
      </c>
      <c r="AH1245">
        <v>2</v>
      </c>
      <c r="AI1245">
        <v>9</v>
      </c>
      <c r="AJ1245">
        <v>2</v>
      </c>
      <c r="AK1245">
        <v>4</v>
      </c>
      <c r="AL1245">
        <v>5</v>
      </c>
      <c r="AM1245">
        <v>0</v>
      </c>
      <c r="AN1245">
        <v>0</v>
      </c>
      <c r="AO1245">
        <v>3</v>
      </c>
      <c r="AP124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245" t="str">
        <f>IF(HRData[[#This Row],[Attrition]]="Yes","Left", IF(HRData[[#This Row],[Attrition_Risk_Score]]&gt;=6,"High",IF(HRData[[#This Row],[Attrition_Risk_Score]]&gt;=3,"Medium","Low")))</f>
        <v>Low</v>
      </c>
      <c r="AR1245" t="str">
        <f>IF(HRData[[#This Row],[Attrition_Risk_Level]]&lt;&gt;"High","",HRData[[#This Row],[Attrition_Risk_Score]]*10000-HRData[[#This Row],[EmployeeNumber]])</f>
        <v/>
      </c>
    </row>
    <row r="1246" spans="1:44">
      <c r="A1246">
        <v>30</v>
      </c>
      <c r="B1246" t="str" cm="1">
        <f t="array" ref="B1246">_xlfn.IFS(
HRData[[#This Row],[Age]]&lt;=24,"18-24",
HRData[[#This Row],[Age]]&lt;=34,"25-34",
HRData[[#This Row],[Age]]&lt;=44,"35-44",
HRData[[#This Row],[Age]]&lt;=54,"45-54",
HRData[[#This Row],[Age]]&gt;=55,"55+"
)</f>
        <v>25-34</v>
      </c>
      <c r="C1246" t="s">
        <v>43</v>
      </c>
      <c r="D1246">
        <f>IF(HRData[[#This Row],[Attrition]]="Yes",1,0)</f>
        <v>0</v>
      </c>
      <c r="E1246" t="s">
        <v>44</v>
      </c>
      <c r="F1246">
        <v>1312</v>
      </c>
      <c r="G1246" t="s">
        <v>45</v>
      </c>
      <c r="H1246">
        <v>2</v>
      </c>
      <c r="I1246">
        <v>4</v>
      </c>
      <c r="J1246" t="s">
        <v>60</v>
      </c>
      <c r="K1246">
        <v>1</v>
      </c>
      <c r="L1246">
        <v>1745</v>
      </c>
      <c r="M1246">
        <v>4</v>
      </c>
      <c r="N1246" t="str" cm="1">
        <f t="array" ref="N1246">_xlfn.IFS(HRData[[#This Row],[EnvironmentSatisfaction]]=1,"Very Dissatisfied",
HRData[[#This Row],[EnvironmentSatisfaction]]=2,"Dissatisfied",
HRData[[#This Row],[EnvironmentSatisfaction]]=3,"Satisfied",
HRData[[#This Row],[EnvironmentSatisfaction]]=4,"Very Satisfied"
)</f>
        <v>Very Satisfied</v>
      </c>
      <c r="O1246" t="s">
        <v>39</v>
      </c>
      <c r="P1246">
        <v>78</v>
      </c>
      <c r="Q1246">
        <v>2</v>
      </c>
      <c r="R1246">
        <v>1</v>
      </c>
      <c r="S1246" t="s">
        <v>47</v>
      </c>
      <c r="T1246">
        <v>1</v>
      </c>
      <c r="U1246" t="str" cm="1">
        <f t="array" ref="U1246">_xlfn.IFS(
HRData[[#This Row],[JobSatisfaction]]=1,"Very Dissatisfied",
HRData[[#This Row],[JobSatisfaction]]=2,"Dissatisfied",
HRData[[#This Row],[JobSatisfaction]]=3,"Satisfied",
HRData[[#This Row],[JobSatisfaction]]=4,"Very Satisfied"
)</f>
        <v>Very Dissatisfied</v>
      </c>
      <c r="V1246" t="s">
        <v>41</v>
      </c>
      <c r="W1246">
        <v>4968</v>
      </c>
      <c r="X1246" t="str" cm="1">
        <f t="array" ref="X1246">_xlfn.IFS(
HRData[[#This Row],[MonthlyIncome]]&lt;=4000,"Very Low Income",
HRData[[#This Row],[MonthlyIncome]]&lt;=8000,"Low Income",
HRData[[#This Row],[MonthlyIncome]]&lt;=12000,"Moderate Income",
HRData[[#This Row],[MonthlyIncome]]&lt;=16000,"High Income",
HRData[[#This Row],[MonthlyIncome]]&gt;16000,"Very High Income"
)</f>
        <v>Low Income</v>
      </c>
      <c r="Y1246">
        <v>26427</v>
      </c>
      <c r="Z1246">
        <v>0</v>
      </c>
      <c r="AA1246" t="s">
        <v>42</v>
      </c>
      <c r="AB1246" t="s">
        <v>43</v>
      </c>
      <c r="AC1246">
        <v>16</v>
      </c>
      <c r="AD1246" t="str" cm="1">
        <f t="array" ref="AD1246">_xlfn.IFS(HRData[[#This Row],[PercentSalaryHike]]&lt;=15,"11-15",HRData[[#This Row],[PercentSalaryHike]]&lt;=20,"16-20",HRData[[#This Row],[PercentSalaryHike]]&gt;=21,"21+")</f>
        <v>16-20</v>
      </c>
      <c r="AE1246">
        <v>3</v>
      </c>
      <c r="AF1246">
        <v>4</v>
      </c>
      <c r="AG1246">
        <v>80</v>
      </c>
      <c r="AH1246">
        <v>0</v>
      </c>
      <c r="AI1246">
        <v>10</v>
      </c>
      <c r="AJ1246">
        <v>2</v>
      </c>
      <c r="AK1246">
        <v>3</v>
      </c>
      <c r="AL1246">
        <v>9</v>
      </c>
      <c r="AM1246">
        <v>7</v>
      </c>
      <c r="AN1246">
        <v>0</v>
      </c>
      <c r="AO1246">
        <v>7</v>
      </c>
      <c r="AP124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246" t="str">
        <f>IF(HRData[[#This Row],[Attrition]]="Yes","Left", IF(HRData[[#This Row],[Attrition_Risk_Score]]&gt;=6,"High",IF(HRData[[#This Row],[Attrition_Risk_Score]]&gt;=3,"Medium","Low")))</f>
        <v>Medium</v>
      </c>
      <c r="AR1246" t="str">
        <f>IF(HRData[[#This Row],[Attrition_Risk_Level]]&lt;&gt;"High","",HRData[[#This Row],[Attrition_Risk_Score]]*10000-HRData[[#This Row],[EmployeeNumber]])</f>
        <v/>
      </c>
    </row>
    <row r="1247" spans="1:44">
      <c r="A1247">
        <v>24</v>
      </c>
      <c r="B1247" t="str" cm="1">
        <f t="array" ref="B1247">_xlfn.IFS(
HRData[[#This Row],[Age]]&lt;=24,"18-24",
HRData[[#This Row],[Age]]&lt;=34,"25-34",
HRData[[#This Row],[Age]]&lt;=44,"35-44",
HRData[[#This Row],[Age]]&lt;=54,"45-54",
HRData[[#This Row],[Age]]&gt;=55,"55+"
)</f>
        <v>18-24</v>
      </c>
      <c r="C1247" t="s">
        <v>43</v>
      </c>
      <c r="D1247">
        <f>IF(HRData[[#This Row],[Attrition]]="Yes",1,0)</f>
        <v>0</v>
      </c>
      <c r="E1247" t="s">
        <v>44</v>
      </c>
      <c r="F1247">
        <v>897</v>
      </c>
      <c r="G1247" t="s">
        <v>61</v>
      </c>
      <c r="H1247">
        <v>10</v>
      </c>
      <c r="I1247">
        <v>3</v>
      </c>
      <c r="J1247" t="s">
        <v>51</v>
      </c>
      <c r="K1247">
        <v>1</v>
      </c>
      <c r="L1247">
        <v>1746</v>
      </c>
      <c r="M1247">
        <v>1</v>
      </c>
      <c r="N1247" t="str" cm="1">
        <f t="array" ref="N1247">_xlfn.IFS(HRData[[#This Row],[EnvironmentSatisfaction]]=1,"Very Dissatisfied",
HRData[[#This Row],[EnvironmentSatisfaction]]=2,"Dissatisfied",
HRData[[#This Row],[EnvironmentSatisfaction]]=3,"Satisfied",
HRData[[#This Row],[EnvironmentSatisfaction]]=4,"Very Satisfied"
)</f>
        <v>Very Dissatisfied</v>
      </c>
      <c r="O1247" t="s">
        <v>46</v>
      </c>
      <c r="P1247">
        <v>59</v>
      </c>
      <c r="Q1247">
        <v>3</v>
      </c>
      <c r="R1247">
        <v>1</v>
      </c>
      <c r="S1247" t="s">
        <v>61</v>
      </c>
      <c r="T1247">
        <v>4</v>
      </c>
      <c r="U1247" t="str" cm="1">
        <f t="array" ref="U1247">_xlfn.IFS(
HRData[[#This Row],[JobSatisfaction]]=1,"Very Dissatisfied",
HRData[[#This Row],[JobSatisfaction]]=2,"Dissatisfied",
HRData[[#This Row],[JobSatisfaction]]=3,"Satisfied",
HRData[[#This Row],[JobSatisfaction]]=4,"Very Satisfied"
)</f>
        <v>Very Satisfied</v>
      </c>
      <c r="V1247" t="s">
        <v>48</v>
      </c>
      <c r="W1247">
        <v>2145</v>
      </c>
      <c r="X1247" t="str" cm="1">
        <f t="array" ref="X1247">_xlfn.IFS(
HRData[[#This Row],[MonthlyIncome]]&lt;=4000,"Very Low Income",
HRData[[#This Row],[MonthlyIncome]]&lt;=8000,"Low Income",
HRData[[#This Row],[MonthlyIncome]]&lt;=12000,"Moderate Income",
HRData[[#This Row],[MonthlyIncome]]&lt;=16000,"High Income",
HRData[[#This Row],[MonthlyIncome]]&gt;16000,"Very High Income"
)</f>
        <v>Very Low Income</v>
      </c>
      <c r="Y1247">
        <v>2097</v>
      </c>
      <c r="Z1247">
        <v>0</v>
      </c>
      <c r="AA1247" t="s">
        <v>42</v>
      </c>
      <c r="AB1247" t="s">
        <v>43</v>
      </c>
      <c r="AC1247">
        <v>14</v>
      </c>
      <c r="AD1247" t="str" cm="1">
        <f t="array" ref="AD1247">_xlfn.IFS(HRData[[#This Row],[PercentSalaryHike]]&lt;=15,"11-15",HRData[[#This Row],[PercentSalaryHike]]&lt;=20,"16-20",HRData[[#This Row],[PercentSalaryHike]]&gt;=21,"21+")</f>
        <v>11-15</v>
      </c>
      <c r="AE1247">
        <v>3</v>
      </c>
      <c r="AF1247">
        <v>4</v>
      </c>
      <c r="AG1247">
        <v>80</v>
      </c>
      <c r="AH1247">
        <v>1</v>
      </c>
      <c r="AI1247">
        <v>3</v>
      </c>
      <c r="AJ1247">
        <v>2</v>
      </c>
      <c r="AK1247">
        <v>3</v>
      </c>
      <c r="AL1247">
        <v>2</v>
      </c>
      <c r="AM1247">
        <v>2</v>
      </c>
      <c r="AN1247">
        <v>2</v>
      </c>
      <c r="AO1247">
        <v>1</v>
      </c>
      <c r="AP124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247" t="str">
        <f>IF(HRData[[#This Row],[Attrition]]="Yes","Left", IF(HRData[[#This Row],[Attrition_Risk_Score]]&gt;=6,"High",IF(HRData[[#This Row],[Attrition_Risk_Score]]&gt;=3,"Medium","Low")))</f>
        <v>Medium</v>
      </c>
      <c r="AR1247" t="str">
        <f>IF(HRData[[#This Row],[Attrition_Risk_Level]]&lt;&gt;"High","",HRData[[#This Row],[Attrition_Risk_Score]]*10000-HRData[[#This Row],[EmployeeNumber]])</f>
        <v/>
      </c>
    </row>
    <row r="1248" spans="1:44">
      <c r="A1248">
        <v>30</v>
      </c>
      <c r="B1248" t="str" cm="1">
        <f t="array" ref="B1248">_xlfn.IFS(
HRData[[#This Row],[Age]]&lt;=24,"18-24",
HRData[[#This Row],[Age]]&lt;=34,"25-34",
HRData[[#This Row],[Age]]&lt;=44,"35-44",
HRData[[#This Row],[Age]]&lt;=54,"45-54",
HRData[[#This Row],[Age]]&gt;=55,"55+"
)</f>
        <v>25-34</v>
      </c>
      <c r="C1248" t="s">
        <v>35</v>
      </c>
      <c r="D1248">
        <f>IF(HRData[[#This Row],[Attrition]]="Yes",1,0)</f>
        <v>1</v>
      </c>
      <c r="E1248" t="s">
        <v>44</v>
      </c>
      <c r="F1248">
        <v>600</v>
      </c>
      <c r="G1248" t="s">
        <v>61</v>
      </c>
      <c r="H1248">
        <v>8</v>
      </c>
      <c r="I1248">
        <v>3</v>
      </c>
      <c r="J1248" t="s">
        <v>61</v>
      </c>
      <c r="K1248">
        <v>1</v>
      </c>
      <c r="L1248">
        <v>1747</v>
      </c>
      <c r="M1248">
        <v>3</v>
      </c>
      <c r="N1248" t="str" cm="1">
        <f t="array" ref="N1248">_xlfn.IFS(HRData[[#This Row],[EnvironmentSatisfaction]]=1,"Very Dissatisfied",
HRData[[#This Row],[EnvironmentSatisfaction]]=2,"Dissatisfied",
HRData[[#This Row],[EnvironmentSatisfaction]]=3,"Satisfied",
HRData[[#This Row],[EnvironmentSatisfaction]]=4,"Very Satisfied"
)</f>
        <v>Satisfied</v>
      </c>
      <c r="O1248" t="s">
        <v>39</v>
      </c>
      <c r="P1248">
        <v>66</v>
      </c>
      <c r="Q1248">
        <v>2</v>
      </c>
      <c r="R1248">
        <v>1</v>
      </c>
      <c r="S1248" t="s">
        <v>61</v>
      </c>
      <c r="T1248">
        <v>4</v>
      </c>
      <c r="U1248" t="str" cm="1">
        <f t="array" ref="U1248">_xlfn.IFS(
HRData[[#This Row],[JobSatisfaction]]=1,"Very Dissatisfied",
HRData[[#This Row],[JobSatisfaction]]=2,"Dissatisfied",
HRData[[#This Row],[JobSatisfaction]]=3,"Satisfied",
HRData[[#This Row],[JobSatisfaction]]=4,"Very Satisfied"
)</f>
        <v>Very Satisfied</v>
      </c>
      <c r="V1248" t="s">
        <v>52</v>
      </c>
      <c r="W1248">
        <v>2180</v>
      </c>
      <c r="X1248" t="str" cm="1">
        <f t="array" ref="X1248">_xlfn.IFS(
HRData[[#This Row],[MonthlyIncome]]&lt;=4000,"Very Low Income",
HRData[[#This Row],[MonthlyIncome]]&lt;=8000,"Low Income",
HRData[[#This Row],[MonthlyIncome]]&lt;=12000,"Moderate Income",
HRData[[#This Row],[MonthlyIncome]]&lt;=16000,"High Income",
HRData[[#This Row],[MonthlyIncome]]&gt;16000,"Very High Income"
)</f>
        <v>Very Low Income</v>
      </c>
      <c r="Y1248">
        <v>9732</v>
      </c>
      <c r="Z1248">
        <v>6</v>
      </c>
      <c r="AA1248" t="s">
        <v>42</v>
      </c>
      <c r="AB1248" t="s">
        <v>43</v>
      </c>
      <c r="AC1248">
        <v>11</v>
      </c>
      <c r="AD1248" t="str" cm="1">
        <f t="array" ref="AD1248">_xlfn.IFS(HRData[[#This Row],[PercentSalaryHike]]&lt;=15,"11-15",HRData[[#This Row],[PercentSalaryHike]]&lt;=20,"16-20",HRData[[#This Row],[PercentSalaryHike]]&gt;=21,"21+")</f>
        <v>11-15</v>
      </c>
      <c r="AE1248">
        <v>3</v>
      </c>
      <c r="AF1248">
        <v>3</v>
      </c>
      <c r="AG1248">
        <v>80</v>
      </c>
      <c r="AH1248">
        <v>1</v>
      </c>
      <c r="AI1248">
        <v>6</v>
      </c>
      <c r="AJ1248">
        <v>0</v>
      </c>
      <c r="AK1248">
        <v>2</v>
      </c>
      <c r="AL1248">
        <v>4</v>
      </c>
      <c r="AM1248">
        <v>2</v>
      </c>
      <c r="AN1248">
        <v>1</v>
      </c>
      <c r="AO1248">
        <v>2</v>
      </c>
      <c r="AP124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48" t="str">
        <f>IF(HRData[[#This Row],[Attrition]]="Yes","Left", IF(HRData[[#This Row],[Attrition_Risk_Score]]&gt;=6,"High",IF(HRData[[#This Row],[Attrition_Risk_Score]]&gt;=3,"Medium","Low")))</f>
        <v>Left</v>
      </c>
      <c r="AR1248" t="str">
        <f>IF(HRData[[#This Row],[Attrition_Risk_Level]]&lt;&gt;"High","",HRData[[#This Row],[Attrition_Risk_Score]]*10000-HRData[[#This Row],[EmployeeNumber]])</f>
        <v/>
      </c>
    </row>
    <row r="1249" spans="1:44">
      <c r="A1249">
        <v>31</v>
      </c>
      <c r="B1249" t="str" cm="1">
        <f t="array" ref="B1249">_xlfn.IFS(
HRData[[#This Row],[Age]]&lt;=24,"18-24",
HRData[[#This Row],[Age]]&lt;=34,"25-34",
HRData[[#This Row],[Age]]&lt;=44,"35-44",
HRData[[#This Row],[Age]]&lt;=54,"45-54",
HRData[[#This Row],[Age]]&gt;=55,"55+"
)</f>
        <v>25-34</v>
      </c>
      <c r="C1249" t="s">
        <v>43</v>
      </c>
      <c r="D1249">
        <f>IF(HRData[[#This Row],[Attrition]]="Yes",1,0)</f>
        <v>0</v>
      </c>
      <c r="E1249" t="s">
        <v>36</v>
      </c>
      <c r="F1249">
        <v>1003</v>
      </c>
      <c r="G1249" t="s">
        <v>37</v>
      </c>
      <c r="H1249">
        <v>5</v>
      </c>
      <c r="I1249">
        <v>3</v>
      </c>
      <c r="J1249" t="s">
        <v>60</v>
      </c>
      <c r="K1249">
        <v>1</v>
      </c>
      <c r="L1249">
        <v>1749</v>
      </c>
      <c r="M1249">
        <v>1</v>
      </c>
      <c r="N1249" t="str" cm="1">
        <f t="array" ref="N1249">_xlfn.IFS(HRData[[#This Row],[EnvironmentSatisfaction]]=1,"Very Dissatisfied",
HRData[[#This Row],[EnvironmentSatisfaction]]=2,"Dissatisfied",
HRData[[#This Row],[EnvironmentSatisfaction]]=3,"Satisfied",
HRData[[#This Row],[EnvironmentSatisfaction]]=4,"Very Satisfied"
)</f>
        <v>Very Dissatisfied</v>
      </c>
      <c r="O1249" t="s">
        <v>46</v>
      </c>
      <c r="P1249">
        <v>51</v>
      </c>
      <c r="Q1249">
        <v>3</v>
      </c>
      <c r="R1249">
        <v>2</v>
      </c>
      <c r="S1249" t="s">
        <v>40</v>
      </c>
      <c r="T1249">
        <v>3</v>
      </c>
      <c r="U1249" t="str" cm="1">
        <f t="array" ref="U1249">_xlfn.IFS(
HRData[[#This Row],[JobSatisfaction]]=1,"Very Dissatisfied",
HRData[[#This Row],[JobSatisfaction]]=2,"Dissatisfied",
HRData[[#This Row],[JobSatisfaction]]=3,"Satisfied",
HRData[[#This Row],[JobSatisfaction]]=4,"Very Satisfied"
)</f>
        <v>Satisfied</v>
      </c>
      <c r="V1249" t="s">
        <v>48</v>
      </c>
      <c r="W1249">
        <v>8346</v>
      </c>
      <c r="X1249" t="str" cm="1">
        <f t="array" ref="X1249">_xlfn.IFS(
HRData[[#This Row],[MonthlyIncome]]&lt;=4000,"Very Low Income",
HRData[[#This Row],[MonthlyIncome]]&lt;=8000,"Low Income",
HRData[[#This Row],[MonthlyIncome]]&lt;=12000,"Moderate Income",
HRData[[#This Row],[MonthlyIncome]]&lt;=16000,"High Income",
HRData[[#This Row],[MonthlyIncome]]&gt;16000,"Very High Income"
)</f>
        <v>Moderate Income</v>
      </c>
      <c r="Y1249">
        <v>20943</v>
      </c>
      <c r="Z1249">
        <v>1</v>
      </c>
      <c r="AA1249" t="s">
        <v>42</v>
      </c>
      <c r="AB1249" t="s">
        <v>43</v>
      </c>
      <c r="AC1249">
        <v>19</v>
      </c>
      <c r="AD1249" t="str" cm="1">
        <f t="array" ref="AD1249">_xlfn.IFS(HRData[[#This Row],[PercentSalaryHike]]&lt;=15,"11-15",HRData[[#This Row],[PercentSalaryHike]]&lt;=20,"16-20",HRData[[#This Row],[PercentSalaryHike]]&gt;=21,"21+")</f>
        <v>16-20</v>
      </c>
      <c r="AE1249">
        <v>3</v>
      </c>
      <c r="AF1249">
        <v>3</v>
      </c>
      <c r="AG1249">
        <v>80</v>
      </c>
      <c r="AH1249">
        <v>1</v>
      </c>
      <c r="AI1249">
        <v>6</v>
      </c>
      <c r="AJ1249">
        <v>3</v>
      </c>
      <c r="AK1249">
        <v>3</v>
      </c>
      <c r="AL1249">
        <v>5</v>
      </c>
      <c r="AM1249">
        <v>2</v>
      </c>
      <c r="AN1249">
        <v>0</v>
      </c>
      <c r="AO1249">
        <v>2</v>
      </c>
      <c r="AP124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249" t="str">
        <f>IF(HRData[[#This Row],[Attrition]]="Yes","Left", IF(HRData[[#This Row],[Attrition_Risk_Score]]&gt;=6,"High",IF(HRData[[#This Row],[Attrition_Risk_Score]]&gt;=3,"Medium","Low")))</f>
        <v>Low</v>
      </c>
      <c r="AR1249" t="str">
        <f>IF(HRData[[#This Row],[Attrition_Risk_Level]]&lt;&gt;"High","",HRData[[#This Row],[Attrition_Risk_Score]]*10000-HRData[[#This Row],[EmployeeNumber]])</f>
        <v/>
      </c>
    </row>
    <row r="1250" spans="1:44">
      <c r="A1250">
        <v>27</v>
      </c>
      <c r="B1250" t="str" cm="1">
        <f t="array" ref="B1250">_xlfn.IFS(
HRData[[#This Row],[Age]]&lt;=24,"18-24",
HRData[[#This Row],[Age]]&lt;=34,"25-34",
HRData[[#This Row],[Age]]&lt;=44,"35-44",
HRData[[#This Row],[Age]]&lt;=54,"45-54",
HRData[[#This Row],[Age]]&gt;=55,"55+"
)</f>
        <v>25-34</v>
      </c>
      <c r="C1250" t="s">
        <v>43</v>
      </c>
      <c r="D1250">
        <f>IF(HRData[[#This Row],[Attrition]]="Yes",1,0)</f>
        <v>0</v>
      </c>
      <c r="E1250" t="s">
        <v>36</v>
      </c>
      <c r="F1250">
        <v>1054</v>
      </c>
      <c r="G1250" t="s">
        <v>45</v>
      </c>
      <c r="H1250">
        <v>8</v>
      </c>
      <c r="I1250">
        <v>3</v>
      </c>
      <c r="J1250" t="s">
        <v>51</v>
      </c>
      <c r="K1250">
        <v>1</v>
      </c>
      <c r="L1250">
        <v>1751</v>
      </c>
      <c r="M1250">
        <v>3</v>
      </c>
      <c r="N1250" t="str" cm="1">
        <f t="array" ref="N1250">_xlfn.IFS(HRData[[#This Row],[EnvironmentSatisfaction]]=1,"Very Dissatisfied",
HRData[[#This Row],[EnvironmentSatisfaction]]=2,"Dissatisfied",
HRData[[#This Row],[EnvironmentSatisfaction]]=3,"Satisfied",
HRData[[#This Row],[EnvironmentSatisfaction]]=4,"Very Satisfied"
)</f>
        <v>Satisfied</v>
      </c>
      <c r="O1250" t="s">
        <v>39</v>
      </c>
      <c r="P1250">
        <v>67</v>
      </c>
      <c r="Q1250">
        <v>3</v>
      </c>
      <c r="R1250">
        <v>1</v>
      </c>
      <c r="S1250" t="s">
        <v>47</v>
      </c>
      <c r="T1250">
        <v>4</v>
      </c>
      <c r="U1250" t="str" cm="1">
        <f t="array" ref="U1250">_xlfn.IFS(
HRData[[#This Row],[JobSatisfaction]]=1,"Very Dissatisfied",
HRData[[#This Row],[JobSatisfaction]]=2,"Dissatisfied",
HRData[[#This Row],[JobSatisfaction]]=3,"Satisfied",
HRData[[#This Row],[JobSatisfaction]]=4,"Very Satisfied"
)</f>
        <v>Very Satisfied</v>
      </c>
      <c r="V1250" t="s">
        <v>41</v>
      </c>
      <c r="W1250">
        <v>3445</v>
      </c>
      <c r="X1250" t="str" cm="1">
        <f t="array" ref="X1250">_xlfn.IFS(
HRData[[#This Row],[MonthlyIncome]]&lt;=4000,"Very Low Income",
HRData[[#This Row],[MonthlyIncome]]&lt;=8000,"Low Income",
HRData[[#This Row],[MonthlyIncome]]&lt;=12000,"Moderate Income",
HRData[[#This Row],[MonthlyIncome]]&lt;=16000,"High Income",
HRData[[#This Row],[MonthlyIncome]]&gt;16000,"Very High Income"
)</f>
        <v>Very Low Income</v>
      </c>
      <c r="Y1250">
        <v>6152</v>
      </c>
      <c r="Z1250">
        <v>1</v>
      </c>
      <c r="AA1250" t="s">
        <v>42</v>
      </c>
      <c r="AB1250" t="s">
        <v>43</v>
      </c>
      <c r="AC1250">
        <v>11</v>
      </c>
      <c r="AD1250" t="str" cm="1">
        <f t="array" ref="AD1250">_xlfn.IFS(HRData[[#This Row],[PercentSalaryHike]]&lt;=15,"11-15",HRData[[#This Row],[PercentSalaryHike]]&lt;=20,"16-20",HRData[[#This Row],[PercentSalaryHike]]&gt;=21,"21+")</f>
        <v>11-15</v>
      </c>
      <c r="AE1250">
        <v>3</v>
      </c>
      <c r="AF1250">
        <v>3</v>
      </c>
      <c r="AG1250">
        <v>80</v>
      </c>
      <c r="AH1250">
        <v>0</v>
      </c>
      <c r="AI1250">
        <v>6</v>
      </c>
      <c r="AJ1250">
        <v>5</v>
      </c>
      <c r="AK1250">
        <v>2</v>
      </c>
      <c r="AL1250">
        <v>6</v>
      </c>
      <c r="AM1250">
        <v>2</v>
      </c>
      <c r="AN1250">
        <v>1</v>
      </c>
      <c r="AO1250">
        <v>4</v>
      </c>
      <c r="AP125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50" t="str">
        <f>IF(HRData[[#This Row],[Attrition]]="Yes","Left", IF(HRData[[#This Row],[Attrition_Risk_Score]]&gt;=6,"High",IF(HRData[[#This Row],[Attrition_Risk_Score]]&gt;=3,"Medium","Low")))</f>
        <v>Medium</v>
      </c>
      <c r="AR1250" t="str">
        <f>IF(HRData[[#This Row],[Attrition_Risk_Level]]&lt;&gt;"High","",HRData[[#This Row],[Attrition_Risk_Score]]*10000-HRData[[#This Row],[EmployeeNumber]])</f>
        <v/>
      </c>
    </row>
    <row r="1251" spans="1:44">
      <c r="A1251">
        <v>29</v>
      </c>
      <c r="B1251" t="str" cm="1">
        <f t="array" ref="B1251">_xlfn.IFS(
HRData[[#This Row],[Age]]&lt;=24,"18-24",
HRData[[#This Row],[Age]]&lt;=34,"25-34",
HRData[[#This Row],[Age]]&lt;=44,"35-44",
HRData[[#This Row],[Age]]&lt;=54,"45-54",
HRData[[#This Row],[Age]]&gt;=55,"55+"
)</f>
        <v>25-34</v>
      </c>
      <c r="C1251" t="s">
        <v>35</v>
      </c>
      <c r="D1251">
        <f>IF(HRData[[#This Row],[Attrition]]="Yes",1,0)</f>
        <v>1</v>
      </c>
      <c r="E1251" t="s">
        <v>36</v>
      </c>
      <c r="F1251">
        <v>428</v>
      </c>
      <c r="G1251" t="s">
        <v>37</v>
      </c>
      <c r="H1251">
        <v>9</v>
      </c>
      <c r="I1251">
        <v>3</v>
      </c>
      <c r="J1251" t="s">
        <v>59</v>
      </c>
      <c r="K1251">
        <v>1</v>
      </c>
      <c r="L1251">
        <v>1752</v>
      </c>
      <c r="M1251">
        <v>2</v>
      </c>
      <c r="N1251" t="str" cm="1">
        <f t="array" ref="N1251">_xlfn.IFS(HRData[[#This Row],[EnvironmentSatisfaction]]=1,"Very Dissatisfied",
HRData[[#This Row],[EnvironmentSatisfaction]]=2,"Dissatisfied",
HRData[[#This Row],[EnvironmentSatisfaction]]=3,"Satisfied",
HRData[[#This Row],[EnvironmentSatisfaction]]=4,"Very Satisfied"
)</f>
        <v>Dissatisfied</v>
      </c>
      <c r="O1251" t="s">
        <v>39</v>
      </c>
      <c r="P1251">
        <v>52</v>
      </c>
      <c r="Q1251">
        <v>1</v>
      </c>
      <c r="R1251">
        <v>1</v>
      </c>
      <c r="S1251" t="s">
        <v>57</v>
      </c>
      <c r="T1251">
        <v>2</v>
      </c>
      <c r="U1251" t="str" cm="1">
        <f t="array" ref="U1251">_xlfn.IFS(
HRData[[#This Row],[JobSatisfaction]]=1,"Very Dissatisfied",
HRData[[#This Row],[JobSatisfaction]]=2,"Dissatisfied",
HRData[[#This Row],[JobSatisfaction]]=3,"Satisfied",
HRData[[#This Row],[JobSatisfaction]]=4,"Very Satisfied"
)</f>
        <v>Dissatisfied</v>
      </c>
      <c r="V1251" t="s">
        <v>41</v>
      </c>
      <c r="W1251">
        <v>2760</v>
      </c>
      <c r="X1251" t="str" cm="1">
        <f t="array" ref="X1251">_xlfn.IFS(
HRData[[#This Row],[MonthlyIncome]]&lt;=4000,"Very Low Income",
HRData[[#This Row],[MonthlyIncome]]&lt;=8000,"Low Income",
HRData[[#This Row],[MonthlyIncome]]&lt;=12000,"Moderate Income",
HRData[[#This Row],[MonthlyIncome]]&lt;=16000,"High Income",
HRData[[#This Row],[MonthlyIncome]]&gt;16000,"Very High Income"
)</f>
        <v>Very Low Income</v>
      </c>
      <c r="Y1251">
        <v>14630</v>
      </c>
      <c r="Z1251">
        <v>1</v>
      </c>
      <c r="AA1251" t="s">
        <v>42</v>
      </c>
      <c r="AB1251" t="s">
        <v>43</v>
      </c>
      <c r="AC1251">
        <v>13</v>
      </c>
      <c r="AD1251" t="str" cm="1">
        <f t="array" ref="AD1251">_xlfn.IFS(HRData[[#This Row],[PercentSalaryHike]]&lt;=15,"11-15",HRData[[#This Row],[PercentSalaryHike]]&lt;=20,"16-20",HRData[[#This Row],[PercentSalaryHike]]&gt;=21,"21+")</f>
        <v>11-15</v>
      </c>
      <c r="AE1251">
        <v>3</v>
      </c>
      <c r="AF1251">
        <v>3</v>
      </c>
      <c r="AG1251">
        <v>80</v>
      </c>
      <c r="AH1251">
        <v>0</v>
      </c>
      <c r="AI1251">
        <v>2</v>
      </c>
      <c r="AJ1251">
        <v>3</v>
      </c>
      <c r="AK1251">
        <v>3</v>
      </c>
      <c r="AL1251">
        <v>2</v>
      </c>
      <c r="AM1251">
        <v>2</v>
      </c>
      <c r="AN1251">
        <v>2</v>
      </c>
      <c r="AO1251">
        <v>2</v>
      </c>
      <c r="AP125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51" t="str">
        <f>IF(HRData[[#This Row],[Attrition]]="Yes","Left", IF(HRData[[#This Row],[Attrition_Risk_Score]]&gt;=6,"High",IF(HRData[[#This Row],[Attrition_Risk_Score]]&gt;=3,"Medium","Low")))</f>
        <v>Left</v>
      </c>
      <c r="AR1251" t="str">
        <f>IF(HRData[[#This Row],[Attrition_Risk_Level]]&lt;&gt;"High","",HRData[[#This Row],[Attrition_Risk_Score]]*10000-HRData[[#This Row],[EmployeeNumber]])</f>
        <v/>
      </c>
    </row>
    <row r="1252" spans="1:44">
      <c r="A1252">
        <v>29</v>
      </c>
      <c r="B1252" t="str" cm="1">
        <f t="array" ref="B1252">_xlfn.IFS(
HRData[[#This Row],[Age]]&lt;=24,"18-24",
HRData[[#This Row],[Age]]&lt;=34,"25-34",
HRData[[#This Row],[Age]]&lt;=44,"35-44",
HRData[[#This Row],[Age]]&lt;=54,"45-54",
HRData[[#This Row],[Age]]&gt;=55,"55+"
)</f>
        <v>25-34</v>
      </c>
      <c r="C1252" t="s">
        <v>43</v>
      </c>
      <c r="D1252">
        <f>IF(HRData[[#This Row],[Attrition]]="Yes",1,0)</f>
        <v>0</v>
      </c>
      <c r="E1252" t="s">
        <v>44</v>
      </c>
      <c r="F1252">
        <v>461</v>
      </c>
      <c r="G1252" t="s">
        <v>45</v>
      </c>
      <c r="H1252">
        <v>1</v>
      </c>
      <c r="I1252">
        <v>3</v>
      </c>
      <c r="J1252" t="s">
        <v>38</v>
      </c>
      <c r="K1252">
        <v>1</v>
      </c>
      <c r="L1252">
        <v>1753</v>
      </c>
      <c r="M1252">
        <v>4</v>
      </c>
      <c r="N1252" t="str" cm="1">
        <f t="array" ref="N1252">_xlfn.IFS(HRData[[#This Row],[EnvironmentSatisfaction]]=1,"Very Dissatisfied",
HRData[[#This Row],[EnvironmentSatisfaction]]=2,"Dissatisfied",
HRData[[#This Row],[EnvironmentSatisfaction]]=3,"Satisfied",
HRData[[#This Row],[EnvironmentSatisfaction]]=4,"Very Satisfied"
)</f>
        <v>Very Satisfied</v>
      </c>
      <c r="O1252" t="s">
        <v>46</v>
      </c>
      <c r="P1252">
        <v>70</v>
      </c>
      <c r="Q1252">
        <v>4</v>
      </c>
      <c r="R1252">
        <v>2</v>
      </c>
      <c r="S1252" t="s">
        <v>54</v>
      </c>
      <c r="T1252">
        <v>3</v>
      </c>
      <c r="U1252" t="str" cm="1">
        <f t="array" ref="U1252">_xlfn.IFS(
HRData[[#This Row],[JobSatisfaction]]=1,"Very Dissatisfied",
HRData[[#This Row],[JobSatisfaction]]=2,"Dissatisfied",
HRData[[#This Row],[JobSatisfaction]]=3,"Satisfied",
HRData[[#This Row],[JobSatisfaction]]=4,"Very Satisfied"
)</f>
        <v>Satisfied</v>
      </c>
      <c r="V1252" t="s">
        <v>41</v>
      </c>
      <c r="W1252">
        <v>6294</v>
      </c>
      <c r="X1252" t="str" cm="1">
        <f t="array" ref="X1252">_xlfn.IFS(
HRData[[#This Row],[MonthlyIncome]]&lt;=4000,"Very Low Income",
HRData[[#This Row],[MonthlyIncome]]&lt;=8000,"Low Income",
HRData[[#This Row],[MonthlyIncome]]&lt;=12000,"Moderate Income",
HRData[[#This Row],[MonthlyIncome]]&lt;=16000,"High Income",
HRData[[#This Row],[MonthlyIncome]]&gt;16000,"Very High Income"
)</f>
        <v>Low Income</v>
      </c>
      <c r="Y1252">
        <v>23060</v>
      </c>
      <c r="Z1252">
        <v>8</v>
      </c>
      <c r="AA1252" t="s">
        <v>42</v>
      </c>
      <c r="AB1252" t="s">
        <v>35</v>
      </c>
      <c r="AC1252">
        <v>12</v>
      </c>
      <c r="AD1252" t="str" cm="1">
        <f t="array" ref="AD1252">_xlfn.IFS(HRData[[#This Row],[PercentSalaryHike]]&lt;=15,"11-15",HRData[[#This Row],[PercentSalaryHike]]&lt;=20,"16-20",HRData[[#This Row],[PercentSalaryHike]]&gt;=21,"21+")</f>
        <v>11-15</v>
      </c>
      <c r="AE1252">
        <v>3</v>
      </c>
      <c r="AF1252">
        <v>4</v>
      </c>
      <c r="AG1252">
        <v>80</v>
      </c>
      <c r="AH1252">
        <v>0</v>
      </c>
      <c r="AI1252">
        <v>10</v>
      </c>
      <c r="AJ1252">
        <v>5</v>
      </c>
      <c r="AK1252">
        <v>4</v>
      </c>
      <c r="AL1252">
        <v>3</v>
      </c>
      <c r="AM1252">
        <v>2</v>
      </c>
      <c r="AN1252">
        <v>0</v>
      </c>
      <c r="AO1252">
        <v>2</v>
      </c>
      <c r="AP125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252" t="str">
        <f>IF(HRData[[#This Row],[Attrition]]="Yes","Left", IF(HRData[[#This Row],[Attrition_Risk_Score]]&gt;=6,"High",IF(HRData[[#This Row],[Attrition_Risk_Score]]&gt;=3,"Medium","Low")))</f>
        <v>Medium</v>
      </c>
      <c r="AR1252" t="str">
        <f>IF(HRData[[#This Row],[Attrition_Risk_Level]]&lt;&gt;"High","",HRData[[#This Row],[Attrition_Risk_Score]]*10000-HRData[[#This Row],[EmployeeNumber]])</f>
        <v/>
      </c>
    </row>
    <row r="1253" spans="1:44">
      <c r="A1253">
        <v>30</v>
      </c>
      <c r="B1253" t="str" cm="1">
        <f t="array" ref="B1253">_xlfn.IFS(
HRData[[#This Row],[Age]]&lt;=24,"18-24",
HRData[[#This Row],[Age]]&lt;=34,"25-34",
HRData[[#This Row],[Age]]&lt;=44,"35-44",
HRData[[#This Row],[Age]]&lt;=54,"45-54",
HRData[[#This Row],[Age]]&gt;=55,"55+"
)</f>
        <v>25-34</v>
      </c>
      <c r="C1253" t="s">
        <v>43</v>
      </c>
      <c r="D1253">
        <f>IF(HRData[[#This Row],[Attrition]]="Yes",1,0)</f>
        <v>0</v>
      </c>
      <c r="E1253" t="s">
        <v>36</v>
      </c>
      <c r="F1253">
        <v>979</v>
      </c>
      <c r="G1253" t="s">
        <v>37</v>
      </c>
      <c r="H1253">
        <v>15</v>
      </c>
      <c r="I1253">
        <v>2</v>
      </c>
      <c r="J1253" t="s">
        <v>59</v>
      </c>
      <c r="K1253">
        <v>1</v>
      </c>
      <c r="L1253">
        <v>1754</v>
      </c>
      <c r="M1253">
        <v>3</v>
      </c>
      <c r="N1253" t="str" cm="1">
        <f t="array" ref="N1253">_xlfn.IFS(HRData[[#This Row],[EnvironmentSatisfaction]]=1,"Very Dissatisfied",
HRData[[#This Row],[EnvironmentSatisfaction]]=2,"Dissatisfied",
HRData[[#This Row],[EnvironmentSatisfaction]]=3,"Satisfied",
HRData[[#This Row],[EnvironmentSatisfaction]]=4,"Very Satisfied"
)</f>
        <v>Satisfied</v>
      </c>
      <c r="O1253" t="s">
        <v>46</v>
      </c>
      <c r="P1253">
        <v>94</v>
      </c>
      <c r="Q1253">
        <v>2</v>
      </c>
      <c r="R1253">
        <v>3</v>
      </c>
      <c r="S1253" t="s">
        <v>40</v>
      </c>
      <c r="T1253">
        <v>1</v>
      </c>
      <c r="U1253" t="str" cm="1">
        <f t="array" ref="U1253">_xlfn.IFS(
HRData[[#This Row],[JobSatisfaction]]=1,"Very Dissatisfied",
HRData[[#This Row],[JobSatisfaction]]=2,"Dissatisfied",
HRData[[#This Row],[JobSatisfaction]]=3,"Satisfied",
HRData[[#This Row],[JobSatisfaction]]=4,"Very Satisfied"
)</f>
        <v>Very Dissatisfied</v>
      </c>
      <c r="V1253" t="s">
        <v>52</v>
      </c>
      <c r="W1253">
        <v>7140</v>
      </c>
      <c r="X1253" t="str" cm="1">
        <f t="array" ref="X1253">_xlfn.IFS(
HRData[[#This Row],[MonthlyIncome]]&lt;=4000,"Very Low Income",
HRData[[#This Row],[MonthlyIncome]]&lt;=8000,"Low Income",
HRData[[#This Row],[MonthlyIncome]]&lt;=12000,"Moderate Income",
HRData[[#This Row],[MonthlyIncome]]&lt;=16000,"High Income",
HRData[[#This Row],[MonthlyIncome]]&gt;16000,"Very High Income"
)</f>
        <v>Low Income</v>
      </c>
      <c r="Y1253">
        <v>3088</v>
      </c>
      <c r="Z1253">
        <v>2</v>
      </c>
      <c r="AA1253" t="s">
        <v>42</v>
      </c>
      <c r="AB1253" t="s">
        <v>43</v>
      </c>
      <c r="AC1253">
        <v>11</v>
      </c>
      <c r="AD1253" t="str" cm="1">
        <f t="array" ref="AD1253">_xlfn.IFS(HRData[[#This Row],[PercentSalaryHike]]&lt;=15,"11-15",HRData[[#This Row],[PercentSalaryHike]]&lt;=20,"16-20",HRData[[#This Row],[PercentSalaryHike]]&gt;=21,"21+")</f>
        <v>11-15</v>
      </c>
      <c r="AE1253">
        <v>3</v>
      </c>
      <c r="AF1253">
        <v>1</v>
      </c>
      <c r="AG1253">
        <v>80</v>
      </c>
      <c r="AH1253">
        <v>1</v>
      </c>
      <c r="AI1253">
        <v>12</v>
      </c>
      <c r="AJ1253">
        <v>2</v>
      </c>
      <c r="AK1253">
        <v>3</v>
      </c>
      <c r="AL1253">
        <v>7</v>
      </c>
      <c r="AM1253">
        <v>7</v>
      </c>
      <c r="AN1253">
        <v>1</v>
      </c>
      <c r="AO1253">
        <v>7</v>
      </c>
      <c r="AP125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253" t="str">
        <f>IF(HRData[[#This Row],[Attrition]]="Yes","Left", IF(HRData[[#This Row],[Attrition_Risk_Score]]&gt;=6,"High",IF(HRData[[#This Row],[Attrition_Risk_Score]]&gt;=3,"Medium","Low")))</f>
        <v>Medium</v>
      </c>
      <c r="AR1253" t="str">
        <f>IF(HRData[[#This Row],[Attrition_Risk_Level]]&lt;&gt;"High","",HRData[[#This Row],[Attrition_Risk_Score]]*10000-HRData[[#This Row],[EmployeeNumber]])</f>
        <v/>
      </c>
    </row>
    <row r="1254" spans="1:44">
      <c r="A1254">
        <v>34</v>
      </c>
      <c r="B1254" t="str" cm="1">
        <f t="array" ref="B1254">_xlfn.IFS(
HRData[[#This Row],[Age]]&lt;=24,"18-24",
HRData[[#This Row],[Age]]&lt;=34,"25-34",
HRData[[#This Row],[Age]]&lt;=44,"35-44",
HRData[[#This Row],[Age]]&lt;=54,"45-54",
HRData[[#This Row],[Age]]&gt;=55,"55+"
)</f>
        <v>25-34</v>
      </c>
      <c r="C1254" t="s">
        <v>43</v>
      </c>
      <c r="D1254">
        <f>IF(HRData[[#This Row],[Attrition]]="Yes",1,0)</f>
        <v>0</v>
      </c>
      <c r="E1254" t="s">
        <v>36</v>
      </c>
      <c r="F1254">
        <v>181</v>
      </c>
      <c r="G1254" t="s">
        <v>45</v>
      </c>
      <c r="H1254">
        <v>2</v>
      </c>
      <c r="I1254">
        <v>4</v>
      </c>
      <c r="J1254" t="s">
        <v>51</v>
      </c>
      <c r="K1254">
        <v>1</v>
      </c>
      <c r="L1254">
        <v>1755</v>
      </c>
      <c r="M1254">
        <v>4</v>
      </c>
      <c r="N1254" t="str" cm="1">
        <f t="array" ref="N1254">_xlfn.IFS(HRData[[#This Row],[EnvironmentSatisfaction]]=1,"Very Dissatisfied",
HRData[[#This Row],[EnvironmentSatisfaction]]=2,"Dissatisfied",
HRData[[#This Row],[EnvironmentSatisfaction]]=3,"Satisfied",
HRData[[#This Row],[EnvironmentSatisfaction]]=4,"Very Satisfied"
)</f>
        <v>Very Satisfied</v>
      </c>
      <c r="O1254" t="s">
        <v>46</v>
      </c>
      <c r="P1254">
        <v>97</v>
      </c>
      <c r="Q1254">
        <v>4</v>
      </c>
      <c r="R1254">
        <v>1</v>
      </c>
      <c r="S1254" t="s">
        <v>47</v>
      </c>
      <c r="T1254">
        <v>4</v>
      </c>
      <c r="U1254" t="str" cm="1">
        <f t="array" ref="U1254">_xlfn.IFS(
HRData[[#This Row],[JobSatisfaction]]=1,"Very Dissatisfied",
HRData[[#This Row],[JobSatisfaction]]=2,"Dissatisfied",
HRData[[#This Row],[JobSatisfaction]]=3,"Satisfied",
HRData[[#This Row],[JobSatisfaction]]=4,"Very Satisfied"
)</f>
        <v>Very Satisfied</v>
      </c>
      <c r="V1254" t="s">
        <v>48</v>
      </c>
      <c r="W1254">
        <v>2932</v>
      </c>
      <c r="X1254" t="str" cm="1">
        <f t="array" ref="X1254">_xlfn.IFS(
HRData[[#This Row],[MonthlyIncome]]&lt;=4000,"Very Low Income",
HRData[[#This Row],[MonthlyIncome]]&lt;=8000,"Low Income",
HRData[[#This Row],[MonthlyIncome]]&lt;=12000,"Moderate Income",
HRData[[#This Row],[MonthlyIncome]]&lt;=16000,"High Income",
HRData[[#This Row],[MonthlyIncome]]&gt;16000,"Very High Income"
)</f>
        <v>Very Low Income</v>
      </c>
      <c r="Y1254">
        <v>5586</v>
      </c>
      <c r="Z1254">
        <v>0</v>
      </c>
      <c r="AA1254" t="s">
        <v>42</v>
      </c>
      <c r="AB1254" t="s">
        <v>35</v>
      </c>
      <c r="AC1254">
        <v>14</v>
      </c>
      <c r="AD1254" t="str" cm="1">
        <f t="array" ref="AD1254">_xlfn.IFS(HRData[[#This Row],[PercentSalaryHike]]&lt;=15,"11-15",HRData[[#This Row],[PercentSalaryHike]]&lt;=20,"16-20",HRData[[#This Row],[PercentSalaryHike]]&gt;=21,"21+")</f>
        <v>11-15</v>
      </c>
      <c r="AE1254">
        <v>3</v>
      </c>
      <c r="AF1254">
        <v>1</v>
      </c>
      <c r="AG1254">
        <v>80</v>
      </c>
      <c r="AH1254">
        <v>3</v>
      </c>
      <c r="AI1254">
        <v>6</v>
      </c>
      <c r="AJ1254">
        <v>3</v>
      </c>
      <c r="AK1254">
        <v>3</v>
      </c>
      <c r="AL1254">
        <v>5</v>
      </c>
      <c r="AM1254">
        <v>0</v>
      </c>
      <c r="AN1254">
        <v>1</v>
      </c>
      <c r="AO1254">
        <v>2</v>
      </c>
      <c r="AP125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254" t="str">
        <f>IF(HRData[[#This Row],[Attrition]]="Yes","Left", IF(HRData[[#This Row],[Attrition_Risk_Score]]&gt;=6,"High",IF(HRData[[#This Row],[Attrition_Risk_Score]]&gt;=3,"Medium","Low")))</f>
        <v>Medium</v>
      </c>
      <c r="AR1254" t="str">
        <f>IF(HRData[[#This Row],[Attrition_Risk_Level]]&lt;&gt;"High","",HRData[[#This Row],[Attrition_Risk_Score]]*10000-HRData[[#This Row],[EmployeeNumber]])</f>
        <v/>
      </c>
    </row>
    <row r="1255" spans="1:44">
      <c r="A1255">
        <v>33</v>
      </c>
      <c r="B1255" t="str" cm="1">
        <f t="array" ref="B1255">_xlfn.IFS(
HRData[[#This Row],[Age]]&lt;=24,"18-24",
HRData[[#This Row],[Age]]&lt;=34,"25-34",
HRData[[#This Row],[Age]]&lt;=44,"35-44",
HRData[[#This Row],[Age]]&lt;=54,"45-54",
HRData[[#This Row],[Age]]&gt;=55,"55+"
)</f>
        <v>25-34</v>
      </c>
      <c r="C1255" t="s">
        <v>43</v>
      </c>
      <c r="D1255">
        <f>IF(HRData[[#This Row],[Attrition]]="Yes",1,0)</f>
        <v>0</v>
      </c>
      <c r="E1255" t="s">
        <v>55</v>
      </c>
      <c r="F1255">
        <v>1283</v>
      </c>
      <c r="G1255" t="s">
        <v>37</v>
      </c>
      <c r="H1255">
        <v>2</v>
      </c>
      <c r="I1255">
        <v>3</v>
      </c>
      <c r="J1255" t="s">
        <v>59</v>
      </c>
      <c r="K1255">
        <v>1</v>
      </c>
      <c r="L1255">
        <v>1756</v>
      </c>
      <c r="M1255">
        <v>4</v>
      </c>
      <c r="N1255" t="str" cm="1">
        <f t="array" ref="N1255">_xlfn.IFS(HRData[[#This Row],[EnvironmentSatisfaction]]=1,"Very Dissatisfied",
HRData[[#This Row],[EnvironmentSatisfaction]]=2,"Dissatisfied",
HRData[[#This Row],[EnvironmentSatisfaction]]=3,"Satisfied",
HRData[[#This Row],[EnvironmentSatisfaction]]=4,"Very Satisfied"
)</f>
        <v>Very Satisfied</v>
      </c>
      <c r="O1255" t="s">
        <v>39</v>
      </c>
      <c r="P1255">
        <v>62</v>
      </c>
      <c r="Q1255">
        <v>3</v>
      </c>
      <c r="R1255">
        <v>2</v>
      </c>
      <c r="S1255" t="s">
        <v>40</v>
      </c>
      <c r="T1255">
        <v>2</v>
      </c>
      <c r="U1255" t="str" cm="1">
        <f t="array" ref="U1255">_xlfn.IFS(
HRData[[#This Row],[JobSatisfaction]]=1,"Very Dissatisfied",
HRData[[#This Row],[JobSatisfaction]]=2,"Dissatisfied",
HRData[[#This Row],[JobSatisfaction]]=3,"Satisfied",
HRData[[#This Row],[JobSatisfaction]]=4,"Very Satisfied"
)</f>
        <v>Dissatisfied</v>
      </c>
      <c r="V1255" t="s">
        <v>41</v>
      </c>
      <c r="W1255">
        <v>5147</v>
      </c>
      <c r="X1255" t="str" cm="1">
        <f t="array" ref="X1255">_xlfn.IFS(
HRData[[#This Row],[MonthlyIncome]]&lt;=4000,"Very Low Income",
HRData[[#This Row],[MonthlyIncome]]&lt;=8000,"Low Income",
HRData[[#This Row],[MonthlyIncome]]&lt;=12000,"Moderate Income",
HRData[[#This Row],[MonthlyIncome]]&lt;=16000,"High Income",
HRData[[#This Row],[MonthlyIncome]]&gt;16000,"Very High Income"
)</f>
        <v>Low Income</v>
      </c>
      <c r="Y1255">
        <v>10697</v>
      </c>
      <c r="Z1255">
        <v>8</v>
      </c>
      <c r="AA1255" t="s">
        <v>42</v>
      </c>
      <c r="AB1255" t="s">
        <v>43</v>
      </c>
      <c r="AC1255">
        <v>15</v>
      </c>
      <c r="AD1255" t="str" cm="1">
        <f t="array" ref="AD1255">_xlfn.IFS(HRData[[#This Row],[PercentSalaryHike]]&lt;=15,"11-15",HRData[[#This Row],[PercentSalaryHike]]&lt;=20,"16-20",HRData[[#This Row],[PercentSalaryHike]]&gt;=21,"21+")</f>
        <v>11-15</v>
      </c>
      <c r="AE1255">
        <v>3</v>
      </c>
      <c r="AF1255">
        <v>4</v>
      </c>
      <c r="AG1255">
        <v>80</v>
      </c>
      <c r="AH1255">
        <v>0</v>
      </c>
      <c r="AI1255">
        <v>13</v>
      </c>
      <c r="AJ1255">
        <v>2</v>
      </c>
      <c r="AK1255">
        <v>2</v>
      </c>
      <c r="AL1255">
        <v>11</v>
      </c>
      <c r="AM1255">
        <v>7</v>
      </c>
      <c r="AN1255">
        <v>1</v>
      </c>
      <c r="AO1255">
        <v>7</v>
      </c>
      <c r="AP125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55" t="str">
        <f>IF(HRData[[#This Row],[Attrition]]="Yes","Left", IF(HRData[[#This Row],[Attrition_Risk_Score]]&gt;=6,"High",IF(HRData[[#This Row],[Attrition_Risk_Score]]&gt;=3,"Medium","Low")))</f>
        <v>Low</v>
      </c>
      <c r="AR1255" t="str">
        <f>IF(HRData[[#This Row],[Attrition_Risk_Level]]&lt;&gt;"High","",HRData[[#This Row],[Attrition_Risk_Score]]*10000-HRData[[#This Row],[EmployeeNumber]])</f>
        <v/>
      </c>
    </row>
    <row r="1256" spans="1:44">
      <c r="A1256">
        <v>49</v>
      </c>
      <c r="B1256" t="str" cm="1">
        <f t="array" ref="B1256">_xlfn.IFS(
HRData[[#This Row],[Age]]&lt;=24,"18-24",
HRData[[#This Row],[Age]]&lt;=34,"25-34",
HRData[[#This Row],[Age]]&lt;=44,"35-44",
HRData[[#This Row],[Age]]&lt;=54,"45-54",
HRData[[#This Row],[Age]]&gt;=55,"55+"
)</f>
        <v>45-54</v>
      </c>
      <c r="C1256" t="s">
        <v>43</v>
      </c>
      <c r="D1256">
        <f>IF(HRData[[#This Row],[Attrition]]="Yes",1,0)</f>
        <v>0</v>
      </c>
      <c r="E1256" t="s">
        <v>36</v>
      </c>
      <c r="F1256">
        <v>1313</v>
      </c>
      <c r="G1256" t="s">
        <v>37</v>
      </c>
      <c r="H1256">
        <v>11</v>
      </c>
      <c r="I1256">
        <v>4</v>
      </c>
      <c r="J1256" t="s">
        <v>59</v>
      </c>
      <c r="K1256">
        <v>1</v>
      </c>
      <c r="L1256">
        <v>1757</v>
      </c>
      <c r="M1256">
        <v>4</v>
      </c>
      <c r="N1256" t="str" cm="1">
        <f t="array" ref="N1256">_xlfn.IFS(HRData[[#This Row],[EnvironmentSatisfaction]]=1,"Very Dissatisfied",
HRData[[#This Row],[EnvironmentSatisfaction]]=2,"Dissatisfied",
HRData[[#This Row],[EnvironmentSatisfaction]]=3,"Satisfied",
HRData[[#This Row],[EnvironmentSatisfaction]]=4,"Very Satisfied"
)</f>
        <v>Very Satisfied</v>
      </c>
      <c r="O1256" t="s">
        <v>39</v>
      </c>
      <c r="P1256">
        <v>80</v>
      </c>
      <c r="Q1256">
        <v>3</v>
      </c>
      <c r="R1256">
        <v>2</v>
      </c>
      <c r="S1256" t="s">
        <v>40</v>
      </c>
      <c r="T1256">
        <v>4</v>
      </c>
      <c r="U1256" t="str" cm="1">
        <f t="array" ref="U1256">_xlfn.IFS(
HRData[[#This Row],[JobSatisfaction]]=1,"Very Dissatisfied",
HRData[[#This Row],[JobSatisfaction]]=2,"Dissatisfied",
HRData[[#This Row],[JobSatisfaction]]=3,"Satisfied",
HRData[[#This Row],[JobSatisfaction]]=4,"Very Satisfied"
)</f>
        <v>Very Satisfied</v>
      </c>
      <c r="V1256" t="s">
        <v>41</v>
      </c>
      <c r="W1256">
        <v>4507</v>
      </c>
      <c r="X1256" t="str" cm="1">
        <f t="array" ref="X1256">_xlfn.IFS(
HRData[[#This Row],[MonthlyIncome]]&lt;=4000,"Very Low Income",
HRData[[#This Row],[MonthlyIncome]]&lt;=8000,"Low Income",
HRData[[#This Row],[MonthlyIncome]]&lt;=12000,"Moderate Income",
HRData[[#This Row],[MonthlyIncome]]&lt;=16000,"High Income",
HRData[[#This Row],[MonthlyIncome]]&gt;16000,"Very High Income"
)</f>
        <v>Low Income</v>
      </c>
      <c r="Y1256">
        <v>8191</v>
      </c>
      <c r="Z1256">
        <v>3</v>
      </c>
      <c r="AA1256" t="s">
        <v>42</v>
      </c>
      <c r="AB1256" t="s">
        <v>43</v>
      </c>
      <c r="AC1256">
        <v>12</v>
      </c>
      <c r="AD1256" t="str" cm="1">
        <f t="array" ref="AD1256">_xlfn.IFS(HRData[[#This Row],[PercentSalaryHike]]&lt;=15,"11-15",HRData[[#This Row],[PercentSalaryHike]]&lt;=20,"16-20",HRData[[#This Row],[PercentSalaryHike]]&gt;=21,"21+")</f>
        <v>11-15</v>
      </c>
      <c r="AE1256">
        <v>3</v>
      </c>
      <c r="AF1256">
        <v>3</v>
      </c>
      <c r="AG1256">
        <v>80</v>
      </c>
      <c r="AH1256">
        <v>0</v>
      </c>
      <c r="AI1256">
        <v>8</v>
      </c>
      <c r="AJ1256">
        <v>1</v>
      </c>
      <c r="AK1256">
        <v>4</v>
      </c>
      <c r="AL1256">
        <v>5</v>
      </c>
      <c r="AM1256">
        <v>1</v>
      </c>
      <c r="AN1256">
        <v>0</v>
      </c>
      <c r="AO1256">
        <v>4</v>
      </c>
      <c r="AP125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256" t="str">
        <f>IF(HRData[[#This Row],[Attrition]]="Yes","Left", IF(HRData[[#This Row],[Attrition_Risk_Score]]&gt;=6,"High",IF(HRData[[#This Row],[Attrition_Risk_Score]]&gt;=3,"Medium","Low")))</f>
        <v>Low</v>
      </c>
      <c r="AR1256" t="str">
        <f>IF(HRData[[#This Row],[Attrition_Risk_Level]]&lt;&gt;"High","",HRData[[#This Row],[Attrition_Risk_Score]]*10000-HRData[[#This Row],[EmployeeNumber]])</f>
        <v/>
      </c>
    </row>
    <row r="1257" spans="1:44">
      <c r="A1257">
        <v>33</v>
      </c>
      <c r="B1257" t="str" cm="1">
        <f t="array" ref="B1257">_xlfn.IFS(
HRData[[#This Row],[Age]]&lt;=24,"18-24",
HRData[[#This Row],[Age]]&lt;=34,"25-34",
HRData[[#This Row],[Age]]&lt;=44,"35-44",
HRData[[#This Row],[Age]]&lt;=54,"45-54",
HRData[[#This Row],[Age]]&gt;=55,"55+"
)</f>
        <v>25-34</v>
      </c>
      <c r="C1257" t="s">
        <v>35</v>
      </c>
      <c r="D1257">
        <f>IF(HRData[[#This Row],[Attrition]]="Yes",1,0)</f>
        <v>1</v>
      </c>
      <c r="E1257" t="s">
        <v>36</v>
      </c>
      <c r="F1257">
        <v>211</v>
      </c>
      <c r="G1257" t="s">
        <v>37</v>
      </c>
      <c r="H1257">
        <v>16</v>
      </c>
      <c r="I1257">
        <v>3</v>
      </c>
      <c r="J1257" t="s">
        <v>38</v>
      </c>
      <c r="K1257">
        <v>1</v>
      </c>
      <c r="L1257">
        <v>1758</v>
      </c>
      <c r="M1257">
        <v>1</v>
      </c>
      <c r="N1257" t="str" cm="1">
        <f t="array" ref="N1257">_xlfn.IFS(HRData[[#This Row],[EnvironmentSatisfaction]]=1,"Very Dissatisfied",
HRData[[#This Row],[EnvironmentSatisfaction]]=2,"Dissatisfied",
HRData[[#This Row],[EnvironmentSatisfaction]]=3,"Satisfied",
HRData[[#This Row],[EnvironmentSatisfaction]]=4,"Very Satisfied"
)</f>
        <v>Very Dissatisfied</v>
      </c>
      <c r="O1257" t="s">
        <v>39</v>
      </c>
      <c r="P1257">
        <v>74</v>
      </c>
      <c r="Q1257">
        <v>3</v>
      </c>
      <c r="R1257">
        <v>3</v>
      </c>
      <c r="S1257" t="s">
        <v>40</v>
      </c>
      <c r="T1257">
        <v>1</v>
      </c>
      <c r="U1257" t="str" cm="1">
        <f t="array" ref="U1257">_xlfn.IFS(
HRData[[#This Row],[JobSatisfaction]]=1,"Very Dissatisfied",
HRData[[#This Row],[JobSatisfaction]]=2,"Dissatisfied",
HRData[[#This Row],[JobSatisfaction]]=3,"Satisfied",
HRData[[#This Row],[JobSatisfaction]]=4,"Very Satisfied"
)</f>
        <v>Very Dissatisfied</v>
      </c>
      <c r="V1257" t="s">
        <v>41</v>
      </c>
      <c r="W1257">
        <v>8564</v>
      </c>
      <c r="X1257" t="str" cm="1">
        <f t="array" ref="X1257">_xlfn.IFS(
HRData[[#This Row],[MonthlyIncome]]&lt;=4000,"Very Low Income",
HRData[[#This Row],[MonthlyIncome]]&lt;=8000,"Low Income",
HRData[[#This Row],[MonthlyIncome]]&lt;=12000,"Moderate Income",
HRData[[#This Row],[MonthlyIncome]]&lt;=16000,"High Income",
HRData[[#This Row],[MonthlyIncome]]&gt;16000,"Very High Income"
)</f>
        <v>Moderate Income</v>
      </c>
      <c r="Y1257">
        <v>10092</v>
      </c>
      <c r="Z1257">
        <v>2</v>
      </c>
      <c r="AA1257" t="s">
        <v>42</v>
      </c>
      <c r="AB1257" t="s">
        <v>35</v>
      </c>
      <c r="AC1257">
        <v>20</v>
      </c>
      <c r="AD1257" t="str" cm="1">
        <f t="array" ref="AD1257">_xlfn.IFS(HRData[[#This Row],[PercentSalaryHike]]&lt;=15,"11-15",HRData[[#This Row],[PercentSalaryHike]]&lt;=20,"16-20",HRData[[#This Row],[PercentSalaryHike]]&gt;=21,"21+")</f>
        <v>16-20</v>
      </c>
      <c r="AE1257">
        <v>4</v>
      </c>
      <c r="AF1257">
        <v>3</v>
      </c>
      <c r="AG1257">
        <v>80</v>
      </c>
      <c r="AH1257">
        <v>0</v>
      </c>
      <c r="AI1257">
        <v>11</v>
      </c>
      <c r="AJ1257">
        <v>2</v>
      </c>
      <c r="AK1257">
        <v>2</v>
      </c>
      <c r="AL1257">
        <v>0</v>
      </c>
      <c r="AM1257">
        <v>0</v>
      </c>
      <c r="AN1257">
        <v>0</v>
      </c>
      <c r="AO1257">
        <v>0</v>
      </c>
      <c r="AP125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57" t="str">
        <f>IF(HRData[[#This Row],[Attrition]]="Yes","Left", IF(HRData[[#This Row],[Attrition_Risk_Score]]&gt;=6,"High",IF(HRData[[#This Row],[Attrition_Risk_Score]]&gt;=3,"Medium","Low")))</f>
        <v>Left</v>
      </c>
      <c r="AR1257" t="str">
        <f>IF(HRData[[#This Row],[Attrition_Risk_Level]]&lt;&gt;"High","",HRData[[#This Row],[Attrition_Risk_Score]]*10000-HRData[[#This Row],[EmployeeNumber]])</f>
        <v/>
      </c>
    </row>
    <row r="1258" spans="1:44">
      <c r="A1258">
        <v>38</v>
      </c>
      <c r="B1258" t="str" cm="1">
        <f t="array" ref="B1258">_xlfn.IFS(
HRData[[#This Row],[Age]]&lt;=24,"18-24",
HRData[[#This Row],[Age]]&lt;=34,"25-34",
HRData[[#This Row],[Age]]&lt;=44,"35-44",
HRData[[#This Row],[Age]]&lt;=54,"45-54",
HRData[[#This Row],[Age]]&gt;=55,"55+"
)</f>
        <v>35-44</v>
      </c>
      <c r="C1258" t="s">
        <v>43</v>
      </c>
      <c r="D1258">
        <f>IF(HRData[[#This Row],[Attrition]]="Yes",1,0)</f>
        <v>0</v>
      </c>
      <c r="E1258" t="s">
        <v>44</v>
      </c>
      <c r="F1258">
        <v>594</v>
      </c>
      <c r="G1258" t="s">
        <v>45</v>
      </c>
      <c r="H1258">
        <v>2</v>
      </c>
      <c r="I1258">
        <v>2</v>
      </c>
      <c r="J1258" t="s">
        <v>51</v>
      </c>
      <c r="K1258">
        <v>1</v>
      </c>
      <c r="L1258">
        <v>1760</v>
      </c>
      <c r="M1258">
        <v>3</v>
      </c>
      <c r="N1258" t="str" cm="1">
        <f t="array" ref="N1258">_xlfn.IFS(HRData[[#This Row],[EnvironmentSatisfaction]]=1,"Very Dissatisfied",
HRData[[#This Row],[EnvironmentSatisfaction]]=2,"Dissatisfied",
HRData[[#This Row],[EnvironmentSatisfaction]]=3,"Satisfied",
HRData[[#This Row],[EnvironmentSatisfaction]]=4,"Very Satisfied"
)</f>
        <v>Satisfied</v>
      </c>
      <c r="O1258" t="s">
        <v>39</v>
      </c>
      <c r="P1258">
        <v>75</v>
      </c>
      <c r="Q1258">
        <v>2</v>
      </c>
      <c r="R1258">
        <v>1</v>
      </c>
      <c r="S1258" t="s">
        <v>50</v>
      </c>
      <c r="T1258">
        <v>2</v>
      </c>
      <c r="U1258" t="str" cm="1">
        <f t="array" ref="U1258">_xlfn.IFS(
HRData[[#This Row],[JobSatisfaction]]=1,"Very Dissatisfied",
HRData[[#This Row],[JobSatisfaction]]=2,"Dissatisfied",
HRData[[#This Row],[JobSatisfaction]]=3,"Satisfied",
HRData[[#This Row],[JobSatisfaction]]=4,"Very Satisfied"
)</f>
        <v>Dissatisfied</v>
      </c>
      <c r="V1258" t="s">
        <v>48</v>
      </c>
      <c r="W1258">
        <v>2468</v>
      </c>
      <c r="X1258" t="str" cm="1">
        <f t="array" ref="X1258">_xlfn.IFS(
HRData[[#This Row],[MonthlyIncome]]&lt;=4000,"Very Low Income",
HRData[[#This Row],[MonthlyIncome]]&lt;=8000,"Low Income",
HRData[[#This Row],[MonthlyIncome]]&lt;=12000,"Moderate Income",
HRData[[#This Row],[MonthlyIncome]]&lt;=16000,"High Income",
HRData[[#This Row],[MonthlyIncome]]&gt;16000,"Very High Income"
)</f>
        <v>Very Low Income</v>
      </c>
      <c r="Y1258">
        <v>15963</v>
      </c>
      <c r="Z1258">
        <v>4</v>
      </c>
      <c r="AA1258" t="s">
        <v>42</v>
      </c>
      <c r="AB1258" t="s">
        <v>43</v>
      </c>
      <c r="AC1258">
        <v>14</v>
      </c>
      <c r="AD1258" t="str" cm="1">
        <f t="array" ref="AD1258">_xlfn.IFS(HRData[[#This Row],[PercentSalaryHike]]&lt;=15,"11-15",HRData[[#This Row],[PercentSalaryHike]]&lt;=20,"16-20",HRData[[#This Row],[PercentSalaryHike]]&gt;=21,"21+")</f>
        <v>11-15</v>
      </c>
      <c r="AE1258">
        <v>3</v>
      </c>
      <c r="AF1258">
        <v>2</v>
      </c>
      <c r="AG1258">
        <v>80</v>
      </c>
      <c r="AH1258">
        <v>1</v>
      </c>
      <c r="AI1258">
        <v>9</v>
      </c>
      <c r="AJ1258">
        <v>4</v>
      </c>
      <c r="AK1258">
        <v>2</v>
      </c>
      <c r="AL1258">
        <v>6</v>
      </c>
      <c r="AM1258">
        <v>1</v>
      </c>
      <c r="AN1258">
        <v>0</v>
      </c>
      <c r="AO1258">
        <v>5</v>
      </c>
      <c r="AP125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58" t="str">
        <f>IF(HRData[[#This Row],[Attrition]]="Yes","Left", IF(HRData[[#This Row],[Attrition_Risk_Score]]&gt;=6,"High",IF(HRData[[#This Row],[Attrition_Risk_Score]]&gt;=3,"Medium","Low")))</f>
        <v>Medium</v>
      </c>
      <c r="AR1258" t="str">
        <f>IF(HRData[[#This Row],[Attrition_Risk_Level]]&lt;&gt;"High","",HRData[[#This Row],[Attrition_Risk_Score]]*10000-HRData[[#This Row],[EmployeeNumber]])</f>
        <v/>
      </c>
    </row>
    <row r="1259" spans="1:44">
      <c r="A1259">
        <v>31</v>
      </c>
      <c r="B1259" t="str" cm="1">
        <f t="array" ref="B1259">_xlfn.IFS(
HRData[[#This Row],[Age]]&lt;=24,"18-24",
HRData[[#This Row],[Age]]&lt;=34,"25-34",
HRData[[#This Row],[Age]]&lt;=44,"35-44",
HRData[[#This Row],[Age]]&lt;=54,"45-54",
HRData[[#This Row],[Age]]&gt;=55,"55+"
)</f>
        <v>25-34</v>
      </c>
      <c r="C1259" t="s">
        <v>35</v>
      </c>
      <c r="D1259">
        <f>IF(HRData[[#This Row],[Attrition]]="Yes",1,0)</f>
        <v>1</v>
      </c>
      <c r="E1259" t="s">
        <v>36</v>
      </c>
      <c r="F1259">
        <v>1079</v>
      </c>
      <c r="G1259" t="s">
        <v>37</v>
      </c>
      <c r="H1259">
        <v>16</v>
      </c>
      <c r="I1259">
        <v>4</v>
      </c>
      <c r="J1259" t="s">
        <v>59</v>
      </c>
      <c r="K1259">
        <v>1</v>
      </c>
      <c r="L1259">
        <v>1761</v>
      </c>
      <c r="M1259">
        <v>1</v>
      </c>
      <c r="N1259" t="str" cm="1">
        <f t="array" ref="N1259">_xlfn.IFS(HRData[[#This Row],[EnvironmentSatisfaction]]=1,"Very Dissatisfied",
HRData[[#This Row],[EnvironmentSatisfaction]]=2,"Dissatisfied",
HRData[[#This Row],[EnvironmentSatisfaction]]=3,"Satisfied",
HRData[[#This Row],[EnvironmentSatisfaction]]=4,"Very Satisfied"
)</f>
        <v>Very Dissatisfied</v>
      </c>
      <c r="O1259" t="s">
        <v>46</v>
      </c>
      <c r="P1259">
        <v>70</v>
      </c>
      <c r="Q1259">
        <v>3</v>
      </c>
      <c r="R1259">
        <v>3</v>
      </c>
      <c r="S1259" t="s">
        <v>40</v>
      </c>
      <c r="T1259">
        <v>3</v>
      </c>
      <c r="U1259" t="str" cm="1">
        <f t="array" ref="U1259">_xlfn.IFS(
HRData[[#This Row],[JobSatisfaction]]=1,"Very Dissatisfied",
HRData[[#This Row],[JobSatisfaction]]=2,"Dissatisfied",
HRData[[#This Row],[JobSatisfaction]]=3,"Satisfied",
HRData[[#This Row],[JobSatisfaction]]=4,"Very Satisfied"
)</f>
        <v>Satisfied</v>
      </c>
      <c r="V1259" t="s">
        <v>48</v>
      </c>
      <c r="W1259">
        <v>8161</v>
      </c>
      <c r="X1259" t="str" cm="1">
        <f t="array" ref="X1259">_xlfn.IFS(
HRData[[#This Row],[MonthlyIncome]]&lt;=4000,"Very Low Income",
HRData[[#This Row],[MonthlyIncome]]&lt;=8000,"Low Income",
HRData[[#This Row],[MonthlyIncome]]&lt;=12000,"Moderate Income",
HRData[[#This Row],[MonthlyIncome]]&lt;=16000,"High Income",
HRData[[#This Row],[MonthlyIncome]]&gt;16000,"Very High Income"
)</f>
        <v>Moderate Income</v>
      </c>
      <c r="Y1259">
        <v>19002</v>
      </c>
      <c r="Z1259">
        <v>2</v>
      </c>
      <c r="AA1259" t="s">
        <v>42</v>
      </c>
      <c r="AB1259" t="s">
        <v>43</v>
      </c>
      <c r="AC1259">
        <v>13</v>
      </c>
      <c r="AD1259" t="str" cm="1">
        <f t="array" ref="AD1259">_xlfn.IFS(HRData[[#This Row],[PercentSalaryHike]]&lt;=15,"11-15",HRData[[#This Row],[PercentSalaryHike]]&lt;=20,"16-20",HRData[[#This Row],[PercentSalaryHike]]&gt;=21,"21+")</f>
        <v>11-15</v>
      </c>
      <c r="AE1259">
        <v>3</v>
      </c>
      <c r="AF1259">
        <v>1</v>
      </c>
      <c r="AG1259">
        <v>80</v>
      </c>
      <c r="AH1259">
        <v>3</v>
      </c>
      <c r="AI1259">
        <v>10</v>
      </c>
      <c r="AJ1259">
        <v>2</v>
      </c>
      <c r="AK1259">
        <v>3</v>
      </c>
      <c r="AL1259">
        <v>1</v>
      </c>
      <c r="AM1259">
        <v>0</v>
      </c>
      <c r="AN1259">
        <v>0</v>
      </c>
      <c r="AO1259">
        <v>0</v>
      </c>
      <c r="AP125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59" t="str">
        <f>IF(HRData[[#This Row],[Attrition]]="Yes","Left", IF(HRData[[#This Row],[Attrition_Risk_Score]]&gt;=6,"High",IF(HRData[[#This Row],[Attrition_Risk_Score]]&gt;=3,"Medium","Low")))</f>
        <v>Left</v>
      </c>
      <c r="AR1259" t="str">
        <f>IF(HRData[[#This Row],[Attrition_Risk_Level]]&lt;&gt;"High","",HRData[[#This Row],[Attrition_Risk_Score]]*10000-HRData[[#This Row],[EmployeeNumber]])</f>
        <v/>
      </c>
    </row>
    <row r="1260" spans="1:44">
      <c r="A1260">
        <v>29</v>
      </c>
      <c r="B1260" t="str" cm="1">
        <f t="array" ref="B1260">_xlfn.IFS(
HRData[[#This Row],[Age]]&lt;=24,"18-24",
HRData[[#This Row],[Age]]&lt;=34,"25-34",
HRData[[#This Row],[Age]]&lt;=44,"35-44",
HRData[[#This Row],[Age]]&lt;=54,"45-54",
HRData[[#This Row],[Age]]&gt;=55,"55+"
)</f>
        <v>25-34</v>
      </c>
      <c r="C1260" t="s">
        <v>43</v>
      </c>
      <c r="D1260">
        <f>IF(HRData[[#This Row],[Attrition]]="Yes",1,0)</f>
        <v>0</v>
      </c>
      <c r="E1260" t="s">
        <v>36</v>
      </c>
      <c r="F1260">
        <v>590</v>
      </c>
      <c r="G1260" t="s">
        <v>45</v>
      </c>
      <c r="H1260">
        <v>4</v>
      </c>
      <c r="I1260">
        <v>3</v>
      </c>
      <c r="J1260" t="s">
        <v>60</v>
      </c>
      <c r="K1260">
        <v>1</v>
      </c>
      <c r="L1260">
        <v>1762</v>
      </c>
      <c r="M1260">
        <v>4</v>
      </c>
      <c r="N1260" t="str" cm="1">
        <f t="array" ref="N1260">_xlfn.IFS(HRData[[#This Row],[EnvironmentSatisfaction]]=1,"Very Dissatisfied",
HRData[[#This Row],[EnvironmentSatisfaction]]=2,"Dissatisfied",
HRData[[#This Row],[EnvironmentSatisfaction]]=3,"Satisfied",
HRData[[#This Row],[EnvironmentSatisfaction]]=4,"Very Satisfied"
)</f>
        <v>Very Satisfied</v>
      </c>
      <c r="O1260" t="s">
        <v>39</v>
      </c>
      <c r="P1260">
        <v>91</v>
      </c>
      <c r="Q1260">
        <v>2</v>
      </c>
      <c r="R1260">
        <v>1</v>
      </c>
      <c r="S1260" t="s">
        <v>47</v>
      </c>
      <c r="T1260">
        <v>1</v>
      </c>
      <c r="U1260" t="str" cm="1">
        <f t="array" ref="U1260">_xlfn.IFS(
HRData[[#This Row],[JobSatisfaction]]=1,"Very Dissatisfied",
HRData[[#This Row],[JobSatisfaction]]=2,"Dissatisfied",
HRData[[#This Row],[JobSatisfaction]]=3,"Satisfied",
HRData[[#This Row],[JobSatisfaction]]=4,"Very Satisfied"
)</f>
        <v>Very Dissatisfied</v>
      </c>
      <c r="V1260" t="s">
        <v>52</v>
      </c>
      <c r="W1260">
        <v>2109</v>
      </c>
      <c r="X1260" t="str" cm="1">
        <f t="array" ref="X1260">_xlfn.IFS(
HRData[[#This Row],[MonthlyIncome]]&lt;=4000,"Very Low Income",
HRData[[#This Row],[MonthlyIncome]]&lt;=8000,"Low Income",
HRData[[#This Row],[MonthlyIncome]]&lt;=12000,"Moderate Income",
HRData[[#This Row],[MonthlyIncome]]&lt;=16000,"High Income",
HRData[[#This Row],[MonthlyIncome]]&gt;16000,"Very High Income"
)</f>
        <v>Very Low Income</v>
      </c>
      <c r="Y1260">
        <v>10007</v>
      </c>
      <c r="Z1260">
        <v>1</v>
      </c>
      <c r="AA1260" t="s">
        <v>42</v>
      </c>
      <c r="AB1260" t="s">
        <v>43</v>
      </c>
      <c r="AC1260">
        <v>13</v>
      </c>
      <c r="AD1260" t="str" cm="1">
        <f t="array" ref="AD1260">_xlfn.IFS(HRData[[#This Row],[PercentSalaryHike]]&lt;=15,"11-15",HRData[[#This Row],[PercentSalaryHike]]&lt;=20,"16-20",HRData[[#This Row],[PercentSalaryHike]]&gt;=21,"21+")</f>
        <v>11-15</v>
      </c>
      <c r="AE1260">
        <v>3</v>
      </c>
      <c r="AF1260">
        <v>3</v>
      </c>
      <c r="AG1260">
        <v>80</v>
      </c>
      <c r="AH1260">
        <v>1</v>
      </c>
      <c r="AI1260">
        <v>1</v>
      </c>
      <c r="AJ1260">
        <v>2</v>
      </c>
      <c r="AK1260">
        <v>3</v>
      </c>
      <c r="AL1260">
        <v>1</v>
      </c>
      <c r="AM1260">
        <v>0</v>
      </c>
      <c r="AN1260">
        <v>0</v>
      </c>
      <c r="AO1260">
        <v>0</v>
      </c>
      <c r="AP126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260" t="str">
        <f>IF(HRData[[#This Row],[Attrition]]="Yes","Left", IF(HRData[[#This Row],[Attrition_Risk_Score]]&gt;=6,"High",IF(HRData[[#This Row],[Attrition_Risk_Score]]&gt;=3,"Medium","Low")))</f>
        <v>Medium</v>
      </c>
      <c r="AR1260" t="str">
        <f>IF(HRData[[#This Row],[Attrition_Risk_Level]]&lt;&gt;"High","",HRData[[#This Row],[Attrition_Risk_Score]]*10000-HRData[[#This Row],[EmployeeNumber]])</f>
        <v/>
      </c>
    </row>
    <row r="1261" spans="1:44">
      <c r="A1261">
        <v>30</v>
      </c>
      <c r="B1261" t="str" cm="1">
        <f t="array" ref="B1261">_xlfn.IFS(
HRData[[#This Row],[Age]]&lt;=24,"18-24",
HRData[[#This Row],[Age]]&lt;=34,"25-34",
HRData[[#This Row],[Age]]&lt;=44,"35-44",
HRData[[#This Row],[Age]]&lt;=54,"45-54",
HRData[[#This Row],[Age]]&gt;=55,"55+"
)</f>
        <v>25-34</v>
      </c>
      <c r="C1261" t="s">
        <v>43</v>
      </c>
      <c r="D1261">
        <f>IF(HRData[[#This Row],[Attrition]]="Yes",1,0)</f>
        <v>0</v>
      </c>
      <c r="E1261" t="s">
        <v>36</v>
      </c>
      <c r="F1261">
        <v>305</v>
      </c>
      <c r="G1261" t="s">
        <v>45</v>
      </c>
      <c r="H1261">
        <v>16</v>
      </c>
      <c r="I1261">
        <v>3</v>
      </c>
      <c r="J1261" t="s">
        <v>38</v>
      </c>
      <c r="K1261">
        <v>1</v>
      </c>
      <c r="L1261">
        <v>1763</v>
      </c>
      <c r="M1261">
        <v>3</v>
      </c>
      <c r="N1261" t="str" cm="1">
        <f t="array" ref="N1261">_xlfn.IFS(HRData[[#This Row],[EnvironmentSatisfaction]]=1,"Very Dissatisfied",
HRData[[#This Row],[EnvironmentSatisfaction]]=2,"Dissatisfied",
HRData[[#This Row],[EnvironmentSatisfaction]]=3,"Satisfied",
HRData[[#This Row],[EnvironmentSatisfaction]]=4,"Very Satisfied"
)</f>
        <v>Satisfied</v>
      </c>
      <c r="O1261" t="s">
        <v>46</v>
      </c>
      <c r="P1261">
        <v>58</v>
      </c>
      <c r="Q1261">
        <v>4</v>
      </c>
      <c r="R1261">
        <v>2</v>
      </c>
      <c r="S1261" t="s">
        <v>54</v>
      </c>
      <c r="T1261">
        <v>3</v>
      </c>
      <c r="U1261" t="str" cm="1">
        <f t="array" ref="U1261">_xlfn.IFS(
HRData[[#This Row],[JobSatisfaction]]=1,"Very Dissatisfied",
HRData[[#This Row],[JobSatisfaction]]=2,"Dissatisfied",
HRData[[#This Row],[JobSatisfaction]]=3,"Satisfied",
HRData[[#This Row],[JobSatisfaction]]=4,"Very Satisfied"
)</f>
        <v>Satisfied</v>
      </c>
      <c r="V1261" t="s">
        <v>48</v>
      </c>
      <c r="W1261">
        <v>5294</v>
      </c>
      <c r="X1261" t="str" cm="1">
        <f t="array" ref="X1261">_xlfn.IFS(
HRData[[#This Row],[MonthlyIncome]]&lt;=4000,"Very Low Income",
HRData[[#This Row],[MonthlyIncome]]&lt;=8000,"Low Income",
HRData[[#This Row],[MonthlyIncome]]&lt;=12000,"Moderate Income",
HRData[[#This Row],[MonthlyIncome]]&lt;=16000,"High Income",
HRData[[#This Row],[MonthlyIncome]]&gt;16000,"Very High Income"
)</f>
        <v>Low Income</v>
      </c>
      <c r="Y1261">
        <v>9128</v>
      </c>
      <c r="Z1261">
        <v>3</v>
      </c>
      <c r="AA1261" t="s">
        <v>42</v>
      </c>
      <c r="AB1261" t="s">
        <v>43</v>
      </c>
      <c r="AC1261">
        <v>16</v>
      </c>
      <c r="AD1261" t="str" cm="1">
        <f t="array" ref="AD1261">_xlfn.IFS(HRData[[#This Row],[PercentSalaryHike]]&lt;=15,"11-15",HRData[[#This Row],[PercentSalaryHike]]&lt;=20,"16-20",HRData[[#This Row],[PercentSalaryHike]]&gt;=21,"21+")</f>
        <v>16-20</v>
      </c>
      <c r="AE1261">
        <v>3</v>
      </c>
      <c r="AF1261">
        <v>3</v>
      </c>
      <c r="AG1261">
        <v>80</v>
      </c>
      <c r="AH1261">
        <v>1</v>
      </c>
      <c r="AI1261">
        <v>10</v>
      </c>
      <c r="AJ1261">
        <v>3</v>
      </c>
      <c r="AK1261">
        <v>3</v>
      </c>
      <c r="AL1261">
        <v>7</v>
      </c>
      <c r="AM1261">
        <v>0</v>
      </c>
      <c r="AN1261">
        <v>1</v>
      </c>
      <c r="AO1261">
        <v>7</v>
      </c>
      <c r="AP126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61" t="str">
        <f>IF(HRData[[#This Row],[Attrition]]="Yes","Left", IF(HRData[[#This Row],[Attrition_Risk_Score]]&gt;=6,"High",IF(HRData[[#This Row],[Attrition_Risk_Score]]&gt;=3,"Medium","Low")))</f>
        <v>Low</v>
      </c>
      <c r="AR1261" t="str">
        <f>IF(HRData[[#This Row],[Attrition_Risk_Level]]&lt;&gt;"High","",HRData[[#This Row],[Attrition_Risk_Score]]*10000-HRData[[#This Row],[EmployeeNumber]])</f>
        <v/>
      </c>
    </row>
    <row r="1262" spans="1:44">
      <c r="A1262">
        <v>32</v>
      </c>
      <c r="B1262" t="str" cm="1">
        <f t="array" ref="B1262">_xlfn.IFS(
HRData[[#This Row],[Age]]&lt;=24,"18-24",
HRData[[#This Row],[Age]]&lt;=34,"25-34",
HRData[[#This Row],[Age]]&lt;=44,"35-44",
HRData[[#This Row],[Age]]&lt;=54,"45-54",
HRData[[#This Row],[Age]]&gt;=55,"55+"
)</f>
        <v>25-34</v>
      </c>
      <c r="C1262" t="s">
        <v>43</v>
      </c>
      <c r="D1262">
        <f>IF(HRData[[#This Row],[Attrition]]="Yes",1,0)</f>
        <v>0</v>
      </c>
      <c r="E1262" t="s">
        <v>55</v>
      </c>
      <c r="F1262">
        <v>953</v>
      </c>
      <c r="G1262" t="s">
        <v>45</v>
      </c>
      <c r="H1262">
        <v>5</v>
      </c>
      <c r="I1262">
        <v>4</v>
      </c>
      <c r="J1262" t="s">
        <v>60</v>
      </c>
      <c r="K1262">
        <v>1</v>
      </c>
      <c r="L1262">
        <v>1764</v>
      </c>
      <c r="M1262">
        <v>2</v>
      </c>
      <c r="N1262" t="str" cm="1">
        <f t="array" ref="N1262">_xlfn.IFS(HRData[[#This Row],[EnvironmentSatisfaction]]=1,"Very Dissatisfied",
HRData[[#This Row],[EnvironmentSatisfaction]]=2,"Dissatisfied",
HRData[[#This Row],[EnvironmentSatisfaction]]=3,"Satisfied",
HRData[[#This Row],[EnvironmentSatisfaction]]=4,"Very Satisfied"
)</f>
        <v>Dissatisfied</v>
      </c>
      <c r="O1262" t="s">
        <v>46</v>
      </c>
      <c r="P1262">
        <v>65</v>
      </c>
      <c r="Q1262">
        <v>3</v>
      </c>
      <c r="R1262">
        <v>1</v>
      </c>
      <c r="S1262" t="s">
        <v>47</v>
      </c>
      <c r="T1262">
        <v>2</v>
      </c>
      <c r="U1262" t="str" cm="1">
        <f t="array" ref="U1262">_xlfn.IFS(
HRData[[#This Row],[JobSatisfaction]]=1,"Very Dissatisfied",
HRData[[#This Row],[JobSatisfaction]]=2,"Dissatisfied",
HRData[[#This Row],[JobSatisfaction]]=3,"Satisfied",
HRData[[#This Row],[JobSatisfaction]]=4,"Very Satisfied"
)</f>
        <v>Dissatisfied</v>
      </c>
      <c r="V1262" t="s">
        <v>41</v>
      </c>
      <c r="W1262">
        <v>2718</v>
      </c>
      <c r="X1262" t="str" cm="1">
        <f t="array" ref="X1262">_xlfn.IFS(
HRData[[#This Row],[MonthlyIncome]]&lt;=4000,"Very Low Income",
HRData[[#This Row],[MonthlyIncome]]&lt;=8000,"Low Income",
HRData[[#This Row],[MonthlyIncome]]&lt;=12000,"Moderate Income",
HRData[[#This Row],[MonthlyIncome]]&lt;=16000,"High Income",
HRData[[#This Row],[MonthlyIncome]]&gt;16000,"Very High Income"
)</f>
        <v>Very Low Income</v>
      </c>
      <c r="Y1262">
        <v>17674</v>
      </c>
      <c r="Z1262">
        <v>2</v>
      </c>
      <c r="AA1262" t="s">
        <v>42</v>
      </c>
      <c r="AB1262" t="s">
        <v>43</v>
      </c>
      <c r="AC1262">
        <v>14</v>
      </c>
      <c r="AD1262" t="str" cm="1">
        <f t="array" ref="AD1262">_xlfn.IFS(HRData[[#This Row],[PercentSalaryHike]]&lt;=15,"11-15",HRData[[#This Row],[PercentSalaryHike]]&lt;=20,"16-20",HRData[[#This Row],[PercentSalaryHike]]&gt;=21,"21+")</f>
        <v>11-15</v>
      </c>
      <c r="AE1262">
        <v>3</v>
      </c>
      <c r="AF1262">
        <v>2</v>
      </c>
      <c r="AG1262">
        <v>80</v>
      </c>
      <c r="AH1262">
        <v>0</v>
      </c>
      <c r="AI1262">
        <v>12</v>
      </c>
      <c r="AJ1262">
        <v>3</v>
      </c>
      <c r="AK1262">
        <v>3</v>
      </c>
      <c r="AL1262">
        <v>7</v>
      </c>
      <c r="AM1262">
        <v>7</v>
      </c>
      <c r="AN1262">
        <v>0</v>
      </c>
      <c r="AO1262">
        <v>7</v>
      </c>
      <c r="AP126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62" t="str">
        <f>IF(HRData[[#This Row],[Attrition]]="Yes","Left", IF(HRData[[#This Row],[Attrition_Risk_Score]]&gt;=6,"High",IF(HRData[[#This Row],[Attrition_Risk_Score]]&gt;=3,"Medium","Low")))</f>
        <v>Medium</v>
      </c>
      <c r="AR1262" t="str">
        <f>IF(HRData[[#This Row],[Attrition_Risk_Level]]&lt;&gt;"High","",HRData[[#This Row],[Attrition_Risk_Score]]*10000-HRData[[#This Row],[EmployeeNumber]])</f>
        <v/>
      </c>
    </row>
    <row r="1263" spans="1:44">
      <c r="A1263">
        <v>38</v>
      </c>
      <c r="B1263" t="str" cm="1">
        <f t="array" ref="B1263">_xlfn.IFS(
HRData[[#This Row],[Age]]&lt;=24,"18-24",
HRData[[#This Row],[Age]]&lt;=34,"25-34",
HRData[[#This Row],[Age]]&lt;=44,"35-44",
HRData[[#This Row],[Age]]&lt;=54,"45-54",
HRData[[#This Row],[Age]]&gt;=55,"55+"
)</f>
        <v>35-44</v>
      </c>
      <c r="C1263" t="s">
        <v>43</v>
      </c>
      <c r="D1263">
        <f>IF(HRData[[#This Row],[Attrition]]="Yes",1,0)</f>
        <v>0</v>
      </c>
      <c r="E1263" t="s">
        <v>36</v>
      </c>
      <c r="F1263">
        <v>833</v>
      </c>
      <c r="G1263" t="s">
        <v>45</v>
      </c>
      <c r="H1263">
        <v>18</v>
      </c>
      <c r="I1263">
        <v>3</v>
      </c>
      <c r="J1263" t="s">
        <v>51</v>
      </c>
      <c r="K1263">
        <v>1</v>
      </c>
      <c r="L1263">
        <v>1766</v>
      </c>
      <c r="M1263">
        <v>2</v>
      </c>
      <c r="N1263" t="str" cm="1">
        <f t="array" ref="N1263">_xlfn.IFS(HRData[[#This Row],[EnvironmentSatisfaction]]=1,"Very Dissatisfied",
HRData[[#This Row],[EnvironmentSatisfaction]]=2,"Dissatisfied",
HRData[[#This Row],[EnvironmentSatisfaction]]=3,"Satisfied",
HRData[[#This Row],[EnvironmentSatisfaction]]=4,"Very Satisfied"
)</f>
        <v>Dissatisfied</v>
      </c>
      <c r="O1263" t="s">
        <v>46</v>
      </c>
      <c r="P1263">
        <v>60</v>
      </c>
      <c r="Q1263">
        <v>1</v>
      </c>
      <c r="R1263">
        <v>2</v>
      </c>
      <c r="S1263" t="s">
        <v>54</v>
      </c>
      <c r="T1263">
        <v>4</v>
      </c>
      <c r="U1263" t="str" cm="1">
        <f t="array" ref="U1263">_xlfn.IFS(
HRData[[#This Row],[JobSatisfaction]]=1,"Very Dissatisfied",
HRData[[#This Row],[JobSatisfaction]]=2,"Dissatisfied",
HRData[[#This Row],[JobSatisfaction]]=3,"Satisfied",
HRData[[#This Row],[JobSatisfaction]]=4,"Very Satisfied"
)</f>
        <v>Very Satisfied</v>
      </c>
      <c r="V1263" t="s">
        <v>48</v>
      </c>
      <c r="W1263">
        <v>5811</v>
      </c>
      <c r="X1263" t="str" cm="1">
        <f t="array" ref="X1263">_xlfn.IFS(
HRData[[#This Row],[MonthlyIncome]]&lt;=4000,"Very Low Income",
HRData[[#This Row],[MonthlyIncome]]&lt;=8000,"Low Income",
HRData[[#This Row],[MonthlyIncome]]&lt;=12000,"Moderate Income",
HRData[[#This Row],[MonthlyIncome]]&lt;=16000,"High Income",
HRData[[#This Row],[MonthlyIncome]]&gt;16000,"Very High Income"
)</f>
        <v>Low Income</v>
      </c>
      <c r="Y1263">
        <v>24539</v>
      </c>
      <c r="Z1263">
        <v>3</v>
      </c>
      <c r="AA1263" t="s">
        <v>42</v>
      </c>
      <c r="AB1263" t="s">
        <v>35</v>
      </c>
      <c r="AC1263">
        <v>16</v>
      </c>
      <c r="AD1263" t="str" cm="1">
        <f t="array" ref="AD1263">_xlfn.IFS(HRData[[#This Row],[PercentSalaryHike]]&lt;=15,"11-15",HRData[[#This Row],[PercentSalaryHike]]&lt;=20,"16-20",HRData[[#This Row],[PercentSalaryHike]]&gt;=21,"21+")</f>
        <v>16-20</v>
      </c>
      <c r="AE1263">
        <v>3</v>
      </c>
      <c r="AF1263">
        <v>3</v>
      </c>
      <c r="AG1263">
        <v>80</v>
      </c>
      <c r="AH1263">
        <v>1</v>
      </c>
      <c r="AI1263">
        <v>15</v>
      </c>
      <c r="AJ1263">
        <v>2</v>
      </c>
      <c r="AK1263">
        <v>3</v>
      </c>
      <c r="AL1263">
        <v>1</v>
      </c>
      <c r="AM1263">
        <v>0</v>
      </c>
      <c r="AN1263">
        <v>1</v>
      </c>
      <c r="AO1263">
        <v>0</v>
      </c>
      <c r="AP126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63" t="str">
        <f>IF(HRData[[#This Row],[Attrition]]="Yes","Left", IF(HRData[[#This Row],[Attrition_Risk_Score]]&gt;=6,"High",IF(HRData[[#This Row],[Attrition_Risk_Score]]&gt;=3,"Medium","Low")))</f>
        <v>Medium</v>
      </c>
      <c r="AR1263" t="str">
        <f>IF(HRData[[#This Row],[Attrition_Risk_Level]]&lt;&gt;"High","",HRData[[#This Row],[Attrition_Risk_Score]]*10000-HRData[[#This Row],[EmployeeNumber]])</f>
        <v/>
      </c>
    </row>
    <row r="1264" spans="1:44">
      <c r="A1264">
        <v>43</v>
      </c>
      <c r="B1264" t="str" cm="1">
        <f t="array" ref="B1264">_xlfn.IFS(
HRData[[#This Row],[Age]]&lt;=24,"18-24",
HRData[[#This Row],[Age]]&lt;=34,"25-34",
HRData[[#This Row],[Age]]&lt;=44,"35-44",
HRData[[#This Row],[Age]]&lt;=54,"45-54",
HRData[[#This Row],[Age]]&gt;=55,"55+"
)</f>
        <v>35-44</v>
      </c>
      <c r="C1264" t="s">
        <v>35</v>
      </c>
      <c r="D1264">
        <f>IF(HRData[[#This Row],[Attrition]]="Yes",1,0)</f>
        <v>1</v>
      </c>
      <c r="E1264" t="s">
        <v>44</v>
      </c>
      <c r="F1264">
        <v>807</v>
      </c>
      <c r="G1264" t="s">
        <v>45</v>
      </c>
      <c r="H1264">
        <v>17</v>
      </c>
      <c r="I1264">
        <v>3</v>
      </c>
      <c r="J1264" t="s">
        <v>60</v>
      </c>
      <c r="K1264">
        <v>1</v>
      </c>
      <c r="L1264">
        <v>1767</v>
      </c>
      <c r="M1264">
        <v>3</v>
      </c>
      <c r="N1264" t="str" cm="1">
        <f t="array" ref="N1264">_xlfn.IFS(HRData[[#This Row],[EnvironmentSatisfaction]]=1,"Very Dissatisfied",
HRData[[#This Row],[EnvironmentSatisfaction]]=2,"Dissatisfied",
HRData[[#This Row],[EnvironmentSatisfaction]]=3,"Satisfied",
HRData[[#This Row],[EnvironmentSatisfaction]]=4,"Very Satisfied"
)</f>
        <v>Satisfied</v>
      </c>
      <c r="O1264" t="s">
        <v>46</v>
      </c>
      <c r="P1264">
        <v>38</v>
      </c>
      <c r="Q1264">
        <v>2</v>
      </c>
      <c r="R1264">
        <v>1</v>
      </c>
      <c r="S1264" t="s">
        <v>47</v>
      </c>
      <c r="T1264">
        <v>3</v>
      </c>
      <c r="U1264" t="str" cm="1">
        <f t="array" ref="U1264">_xlfn.IFS(
HRData[[#This Row],[JobSatisfaction]]=1,"Very Dissatisfied",
HRData[[#This Row],[JobSatisfaction]]=2,"Dissatisfied",
HRData[[#This Row],[JobSatisfaction]]=3,"Satisfied",
HRData[[#This Row],[JobSatisfaction]]=4,"Very Satisfied"
)</f>
        <v>Satisfied</v>
      </c>
      <c r="V1264" t="s">
        <v>48</v>
      </c>
      <c r="W1264">
        <v>2437</v>
      </c>
      <c r="X1264" t="str" cm="1">
        <f t="array" ref="X1264">_xlfn.IFS(
HRData[[#This Row],[MonthlyIncome]]&lt;=4000,"Very Low Income",
HRData[[#This Row],[MonthlyIncome]]&lt;=8000,"Low Income",
HRData[[#This Row],[MonthlyIncome]]&lt;=12000,"Moderate Income",
HRData[[#This Row],[MonthlyIncome]]&lt;=16000,"High Income",
HRData[[#This Row],[MonthlyIncome]]&gt;16000,"Very High Income"
)</f>
        <v>Very Low Income</v>
      </c>
      <c r="Y1264">
        <v>15587</v>
      </c>
      <c r="Z1264">
        <v>9</v>
      </c>
      <c r="AA1264" t="s">
        <v>42</v>
      </c>
      <c r="AB1264" t="s">
        <v>35</v>
      </c>
      <c r="AC1264">
        <v>16</v>
      </c>
      <c r="AD1264" t="str" cm="1">
        <f t="array" ref="AD1264">_xlfn.IFS(HRData[[#This Row],[PercentSalaryHike]]&lt;=15,"11-15",HRData[[#This Row],[PercentSalaryHike]]&lt;=20,"16-20",HRData[[#This Row],[PercentSalaryHike]]&gt;=21,"21+")</f>
        <v>16-20</v>
      </c>
      <c r="AE1264">
        <v>3</v>
      </c>
      <c r="AF1264">
        <v>4</v>
      </c>
      <c r="AG1264">
        <v>80</v>
      </c>
      <c r="AH1264">
        <v>1</v>
      </c>
      <c r="AI1264">
        <v>6</v>
      </c>
      <c r="AJ1264">
        <v>4</v>
      </c>
      <c r="AK1264">
        <v>3</v>
      </c>
      <c r="AL1264">
        <v>1</v>
      </c>
      <c r="AM1264">
        <v>0</v>
      </c>
      <c r="AN1264">
        <v>0</v>
      </c>
      <c r="AO1264">
        <v>0</v>
      </c>
      <c r="AP126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64" t="str">
        <f>IF(HRData[[#This Row],[Attrition]]="Yes","Left", IF(HRData[[#This Row],[Attrition_Risk_Score]]&gt;=6,"High",IF(HRData[[#This Row],[Attrition_Risk_Score]]&gt;=3,"Medium","Low")))</f>
        <v>Left</v>
      </c>
      <c r="AR1264" t="str">
        <f>IF(HRData[[#This Row],[Attrition_Risk_Level]]&lt;&gt;"High","",HRData[[#This Row],[Attrition_Risk_Score]]*10000-HRData[[#This Row],[EmployeeNumber]])</f>
        <v/>
      </c>
    </row>
    <row r="1265" spans="1:44">
      <c r="A1265">
        <v>42</v>
      </c>
      <c r="B1265" t="str" cm="1">
        <f t="array" ref="B1265">_xlfn.IFS(
HRData[[#This Row],[Age]]&lt;=24,"18-24",
HRData[[#This Row],[Age]]&lt;=34,"25-34",
HRData[[#This Row],[Age]]&lt;=44,"35-44",
HRData[[#This Row],[Age]]&lt;=54,"45-54",
HRData[[#This Row],[Age]]&gt;=55,"55+"
)</f>
        <v>35-44</v>
      </c>
      <c r="C1265" t="s">
        <v>43</v>
      </c>
      <c r="D1265">
        <f>IF(HRData[[#This Row],[Attrition]]="Yes",1,0)</f>
        <v>0</v>
      </c>
      <c r="E1265" t="s">
        <v>36</v>
      </c>
      <c r="F1265">
        <v>855</v>
      </c>
      <c r="G1265" t="s">
        <v>45</v>
      </c>
      <c r="H1265">
        <v>12</v>
      </c>
      <c r="I1265">
        <v>3</v>
      </c>
      <c r="J1265" t="s">
        <v>51</v>
      </c>
      <c r="K1265">
        <v>1</v>
      </c>
      <c r="L1265">
        <v>1768</v>
      </c>
      <c r="M1265">
        <v>2</v>
      </c>
      <c r="N1265" t="str" cm="1">
        <f t="array" ref="N1265">_xlfn.IFS(HRData[[#This Row],[EnvironmentSatisfaction]]=1,"Very Dissatisfied",
HRData[[#This Row],[EnvironmentSatisfaction]]=2,"Dissatisfied",
HRData[[#This Row],[EnvironmentSatisfaction]]=3,"Satisfied",
HRData[[#This Row],[EnvironmentSatisfaction]]=4,"Very Satisfied"
)</f>
        <v>Dissatisfied</v>
      </c>
      <c r="O1265" t="s">
        <v>46</v>
      </c>
      <c r="P1265">
        <v>57</v>
      </c>
      <c r="Q1265">
        <v>3</v>
      </c>
      <c r="R1265">
        <v>1</v>
      </c>
      <c r="S1265" t="s">
        <v>50</v>
      </c>
      <c r="T1265">
        <v>2</v>
      </c>
      <c r="U1265" t="str" cm="1">
        <f t="array" ref="U1265">_xlfn.IFS(
HRData[[#This Row],[JobSatisfaction]]=1,"Very Dissatisfied",
HRData[[#This Row],[JobSatisfaction]]=2,"Dissatisfied",
HRData[[#This Row],[JobSatisfaction]]=3,"Satisfied",
HRData[[#This Row],[JobSatisfaction]]=4,"Very Satisfied"
)</f>
        <v>Dissatisfied</v>
      </c>
      <c r="V1265" t="s">
        <v>52</v>
      </c>
      <c r="W1265">
        <v>2766</v>
      </c>
      <c r="X1265" t="str" cm="1">
        <f t="array" ref="X1265">_xlfn.IFS(
HRData[[#This Row],[MonthlyIncome]]&lt;=4000,"Very Low Income",
HRData[[#This Row],[MonthlyIncome]]&lt;=8000,"Low Income",
HRData[[#This Row],[MonthlyIncome]]&lt;=12000,"Moderate Income",
HRData[[#This Row],[MonthlyIncome]]&lt;=16000,"High Income",
HRData[[#This Row],[MonthlyIncome]]&gt;16000,"Very High Income"
)</f>
        <v>Very Low Income</v>
      </c>
      <c r="Y1265">
        <v>8952</v>
      </c>
      <c r="Z1265">
        <v>8</v>
      </c>
      <c r="AA1265" t="s">
        <v>42</v>
      </c>
      <c r="AB1265" t="s">
        <v>43</v>
      </c>
      <c r="AC1265">
        <v>22</v>
      </c>
      <c r="AD1265" t="str" cm="1">
        <f t="array" ref="AD1265">_xlfn.IFS(HRData[[#This Row],[PercentSalaryHike]]&lt;=15,"11-15",HRData[[#This Row],[PercentSalaryHike]]&lt;=20,"16-20",HRData[[#This Row],[PercentSalaryHike]]&gt;=21,"21+")</f>
        <v>21+</v>
      </c>
      <c r="AE1265">
        <v>4</v>
      </c>
      <c r="AF1265">
        <v>2</v>
      </c>
      <c r="AG1265">
        <v>80</v>
      </c>
      <c r="AH1265">
        <v>3</v>
      </c>
      <c r="AI1265">
        <v>7</v>
      </c>
      <c r="AJ1265">
        <v>6</v>
      </c>
      <c r="AK1265">
        <v>2</v>
      </c>
      <c r="AL1265">
        <v>5</v>
      </c>
      <c r="AM1265">
        <v>3</v>
      </c>
      <c r="AN1265">
        <v>0</v>
      </c>
      <c r="AO1265">
        <v>4</v>
      </c>
      <c r="AP126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65" t="str">
        <f>IF(HRData[[#This Row],[Attrition]]="Yes","Left", IF(HRData[[#This Row],[Attrition_Risk_Score]]&gt;=6,"High",IF(HRData[[#This Row],[Attrition_Risk_Score]]&gt;=3,"Medium","Low")))</f>
        <v>Medium</v>
      </c>
      <c r="AR1265" t="str">
        <f>IF(HRData[[#This Row],[Attrition_Risk_Level]]&lt;&gt;"High","",HRData[[#This Row],[Attrition_Risk_Score]]*10000-HRData[[#This Row],[EmployeeNumber]])</f>
        <v/>
      </c>
    </row>
    <row r="1266" spans="1:44">
      <c r="A1266">
        <v>55</v>
      </c>
      <c r="B1266" t="str" cm="1">
        <f t="array" ref="B1266">_xlfn.IFS(
HRData[[#This Row],[Age]]&lt;=24,"18-24",
HRData[[#This Row],[Age]]&lt;=34,"25-34",
HRData[[#This Row],[Age]]&lt;=44,"35-44",
HRData[[#This Row],[Age]]&lt;=54,"45-54",
HRData[[#This Row],[Age]]&gt;=55,"55+"
)</f>
        <v>55+</v>
      </c>
      <c r="C1266" t="s">
        <v>43</v>
      </c>
      <c r="D1266">
        <f>IF(HRData[[#This Row],[Attrition]]="Yes",1,0)</f>
        <v>0</v>
      </c>
      <c r="E1266" t="s">
        <v>36</v>
      </c>
      <c r="F1266">
        <v>478</v>
      </c>
      <c r="G1266" t="s">
        <v>45</v>
      </c>
      <c r="H1266">
        <v>2</v>
      </c>
      <c r="I1266">
        <v>3</v>
      </c>
      <c r="J1266" t="s">
        <v>51</v>
      </c>
      <c r="K1266">
        <v>1</v>
      </c>
      <c r="L1266">
        <v>1770</v>
      </c>
      <c r="M1266">
        <v>3</v>
      </c>
      <c r="N1266" t="str" cm="1">
        <f t="array" ref="N1266">_xlfn.IFS(HRData[[#This Row],[EnvironmentSatisfaction]]=1,"Very Dissatisfied",
HRData[[#This Row],[EnvironmentSatisfaction]]=2,"Dissatisfied",
HRData[[#This Row],[EnvironmentSatisfaction]]=3,"Satisfied",
HRData[[#This Row],[EnvironmentSatisfaction]]=4,"Very Satisfied"
)</f>
        <v>Satisfied</v>
      </c>
      <c r="O1266" t="s">
        <v>46</v>
      </c>
      <c r="P1266">
        <v>60</v>
      </c>
      <c r="Q1266">
        <v>2</v>
      </c>
      <c r="R1266">
        <v>5</v>
      </c>
      <c r="S1266" t="s">
        <v>58</v>
      </c>
      <c r="T1266">
        <v>1</v>
      </c>
      <c r="U1266" t="str" cm="1">
        <f t="array" ref="U1266">_xlfn.IFS(
HRData[[#This Row],[JobSatisfaction]]=1,"Very Dissatisfied",
HRData[[#This Row],[JobSatisfaction]]=2,"Dissatisfied",
HRData[[#This Row],[JobSatisfaction]]=3,"Satisfied",
HRData[[#This Row],[JobSatisfaction]]=4,"Very Satisfied"
)</f>
        <v>Very Dissatisfied</v>
      </c>
      <c r="V1266" t="s">
        <v>48</v>
      </c>
      <c r="W1266">
        <v>19038</v>
      </c>
      <c r="X1266" t="str" cm="1">
        <f t="array" ref="X1266">_xlfn.IFS(
HRData[[#This Row],[MonthlyIncome]]&lt;=4000,"Very Low Income",
HRData[[#This Row],[MonthlyIncome]]&lt;=8000,"Low Income",
HRData[[#This Row],[MonthlyIncome]]&lt;=12000,"Moderate Income",
HRData[[#This Row],[MonthlyIncome]]&lt;=16000,"High Income",
HRData[[#This Row],[MonthlyIncome]]&gt;16000,"Very High Income"
)</f>
        <v>Very High Income</v>
      </c>
      <c r="Y1266">
        <v>19805</v>
      </c>
      <c r="Z1266">
        <v>8</v>
      </c>
      <c r="AA1266" t="s">
        <v>42</v>
      </c>
      <c r="AB1266" t="s">
        <v>43</v>
      </c>
      <c r="AC1266">
        <v>12</v>
      </c>
      <c r="AD1266" t="str" cm="1">
        <f t="array" ref="AD1266">_xlfn.IFS(HRData[[#This Row],[PercentSalaryHike]]&lt;=15,"11-15",HRData[[#This Row],[PercentSalaryHike]]&lt;=20,"16-20",HRData[[#This Row],[PercentSalaryHike]]&gt;=21,"21+")</f>
        <v>11-15</v>
      </c>
      <c r="AE1266">
        <v>3</v>
      </c>
      <c r="AF1266">
        <v>2</v>
      </c>
      <c r="AG1266">
        <v>80</v>
      </c>
      <c r="AH1266">
        <v>3</v>
      </c>
      <c r="AI1266">
        <v>34</v>
      </c>
      <c r="AJ1266">
        <v>2</v>
      </c>
      <c r="AK1266">
        <v>3</v>
      </c>
      <c r="AL1266">
        <v>1</v>
      </c>
      <c r="AM1266">
        <v>0</v>
      </c>
      <c r="AN1266">
        <v>0</v>
      </c>
      <c r="AO1266">
        <v>0</v>
      </c>
      <c r="AP126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66" t="str">
        <f>IF(HRData[[#This Row],[Attrition]]="Yes","Left", IF(HRData[[#This Row],[Attrition_Risk_Score]]&gt;=6,"High",IF(HRData[[#This Row],[Attrition_Risk_Score]]&gt;=3,"Medium","Low")))</f>
        <v>Low</v>
      </c>
      <c r="AR1266" t="str">
        <f>IF(HRData[[#This Row],[Attrition_Risk_Level]]&lt;&gt;"High","",HRData[[#This Row],[Attrition_Risk_Score]]*10000-HRData[[#This Row],[EmployeeNumber]])</f>
        <v/>
      </c>
    </row>
    <row r="1267" spans="1:44">
      <c r="A1267">
        <v>33</v>
      </c>
      <c r="B1267" t="str" cm="1">
        <f t="array" ref="B1267">_xlfn.IFS(
HRData[[#This Row],[Age]]&lt;=24,"18-24",
HRData[[#This Row],[Age]]&lt;=34,"25-34",
HRData[[#This Row],[Age]]&lt;=44,"35-44",
HRData[[#This Row],[Age]]&lt;=54,"45-54",
HRData[[#This Row],[Age]]&gt;=55,"55+"
)</f>
        <v>25-34</v>
      </c>
      <c r="C1267" t="s">
        <v>43</v>
      </c>
      <c r="D1267">
        <f>IF(HRData[[#This Row],[Attrition]]="Yes",1,0)</f>
        <v>0</v>
      </c>
      <c r="E1267" t="s">
        <v>55</v>
      </c>
      <c r="F1267">
        <v>775</v>
      </c>
      <c r="G1267" t="s">
        <v>45</v>
      </c>
      <c r="H1267">
        <v>4</v>
      </c>
      <c r="I1267">
        <v>3</v>
      </c>
      <c r="J1267" t="s">
        <v>60</v>
      </c>
      <c r="K1267">
        <v>1</v>
      </c>
      <c r="L1267">
        <v>1771</v>
      </c>
      <c r="M1267">
        <v>4</v>
      </c>
      <c r="N1267" t="str" cm="1">
        <f t="array" ref="N1267">_xlfn.IFS(HRData[[#This Row],[EnvironmentSatisfaction]]=1,"Very Dissatisfied",
HRData[[#This Row],[EnvironmentSatisfaction]]=2,"Dissatisfied",
HRData[[#This Row],[EnvironmentSatisfaction]]=3,"Satisfied",
HRData[[#This Row],[EnvironmentSatisfaction]]=4,"Very Satisfied"
)</f>
        <v>Very Satisfied</v>
      </c>
      <c r="O1267" t="s">
        <v>46</v>
      </c>
      <c r="P1267">
        <v>90</v>
      </c>
      <c r="Q1267">
        <v>3</v>
      </c>
      <c r="R1267">
        <v>2</v>
      </c>
      <c r="S1267" t="s">
        <v>47</v>
      </c>
      <c r="T1267">
        <v>2</v>
      </c>
      <c r="U1267" t="str" cm="1">
        <f t="array" ref="U1267">_xlfn.IFS(
HRData[[#This Row],[JobSatisfaction]]=1,"Very Dissatisfied",
HRData[[#This Row],[JobSatisfaction]]=2,"Dissatisfied",
HRData[[#This Row],[JobSatisfaction]]=3,"Satisfied",
HRData[[#This Row],[JobSatisfaction]]=4,"Very Satisfied"
)</f>
        <v>Dissatisfied</v>
      </c>
      <c r="V1267" t="s">
        <v>52</v>
      </c>
      <c r="W1267">
        <v>3055</v>
      </c>
      <c r="X1267" t="str" cm="1">
        <f t="array" ref="X1267">_xlfn.IFS(
HRData[[#This Row],[MonthlyIncome]]&lt;=4000,"Very Low Income",
HRData[[#This Row],[MonthlyIncome]]&lt;=8000,"Low Income",
HRData[[#This Row],[MonthlyIncome]]&lt;=12000,"Moderate Income",
HRData[[#This Row],[MonthlyIncome]]&lt;=16000,"High Income",
HRData[[#This Row],[MonthlyIncome]]&gt;16000,"Very High Income"
)</f>
        <v>Very Low Income</v>
      </c>
      <c r="Y1267">
        <v>6194</v>
      </c>
      <c r="Z1267">
        <v>5</v>
      </c>
      <c r="AA1267" t="s">
        <v>42</v>
      </c>
      <c r="AB1267" t="s">
        <v>43</v>
      </c>
      <c r="AC1267">
        <v>15</v>
      </c>
      <c r="AD1267" t="str" cm="1">
        <f t="array" ref="AD1267">_xlfn.IFS(HRData[[#This Row],[PercentSalaryHike]]&lt;=15,"11-15",HRData[[#This Row],[PercentSalaryHike]]&lt;=20,"16-20",HRData[[#This Row],[PercentSalaryHike]]&gt;=21,"21+")</f>
        <v>11-15</v>
      </c>
      <c r="AE1267">
        <v>3</v>
      </c>
      <c r="AF1267">
        <v>4</v>
      </c>
      <c r="AG1267">
        <v>80</v>
      </c>
      <c r="AH1267">
        <v>2</v>
      </c>
      <c r="AI1267">
        <v>11</v>
      </c>
      <c r="AJ1267">
        <v>2</v>
      </c>
      <c r="AK1267">
        <v>2</v>
      </c>
      <c r="AL1267">
        <v>9</v>
      </c>
      <c r="AM1267">
        <v>8</v>
      </c>
      <c r="AN1267">
        <v>1</v>
      </c>
      <c r="AO1267">
        <v>7</v>
      </c>
      <c r="AP126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67" t="str">
        <f>IF(HRData[[#This Row],[Attrition]]="Yes","Left", IF(HRData[[#This Row],[Attrition_Risk_Score]]&gt;=6,"High",IF(HRData[[#This Row],[Attrition_Risk_Score]]&gt;=3,"Medium","Low")))</f>
        <v>Medium</v>
      </c>
      <c r="AR1267" t="str">
        <f>IF(HRData[[#This Row],[Attrition_Risk_Level]]&lt;&gt;"High","",HRData[[#This Row],[Attrition_Risk_Score]]*10000-HRData[[#This Row],[EmployeeNumber]])</f>
        <v/>
      </c>
    </row>
    <row r="1268" spans="1:44">
      <c r="A1268">
        <v>41</v>
      </c>
      <c r="B1268" t="str" cm="1">
        <f t="array" ref="B1268">_xlfn.IFS(
HRData[[#This Row],[Age]]&lt;=24,"18-24",
HRData[[#This Row],[Age]]&lt;=34,"25-34",
HRData[[#This Row],[Age]]&lt;=44,"35-44",
HRData[[#This Row],[Age]]&lt;=54,"45-54",
HRData[[#This Row],[Age]]&gt;=55,"55+"
)</f>
        <v>35-44</v>
      </c>
      <c r="C1268" t="s">
        <v>43</v>
      </c>
      <c r="D1268">
        <f>IF(HRData[[#This Row],[Attrition]]="Yes",1,0)</f>
        <v>0</v>
      </c>
      <c r="E1268" t="s">
        <v>36</v>
      </c>
      <c r="F1268">
        <v>548</v>
      </c>
      <c r="G1268" t="s">
        <v>45</v>
      </c>
      <c r="H1268">
        <v>9</v>
      </c>
      <c r="I1268">
        <v>4</v>
      </c>
      <c r="J1268" t="s">
        <v>38</v>
      </c>
      <c r="K1268">
        <v>1</v>
      </c>
      <c r="L1268">
        <v>1772</v>
      </c>
      <c r="M1268">
        <v>3</v>
      </c>
      <c r="N1268" t="str" cm="1">
        <f t="array" ref="N1268">_xlfn.IFS(HRData[[#This Row],[EnvironmentSatisfaction]]=1,"Very Dissatisfied",
HRData[[#This Row],[EnvironmentSatisfaction]]=2,"Dissatisfied",
HRData[[#This Row],[EnvironmentSatisfaction]]=3,"Satisfied",
HRData[[#This Row],[EnvironmentSatisfaction]]=4,"Very Satisfied"
)</f>
        <v>Satisfied</v>
      </c>
      <c r="O1268" t="s">
        <v>46</v>
      </c>
      <c r="P1268">
        <v>94</v>
      </c>
      <c r="Q1268">
        <v>3</v>
      </c>
      <c r="R1268">
        <v>1</v>
      </c>
      <c r="S1268" t="s">
        <v>50</v>
      </c>
      <c r="T1268">
        <v>1</v>
      </c>
      <c r="U1268" t="str" cm="1">
        <f t="array" ref="U1268">_xlfn.IFS(
HRData[[#This Row],[JobSatisfaction]]=1,"Very Dissatisfied",
HRData[[#This Row],[JobSatisfaction]]=2,"Dissatisfied",
HRData[[#This Row],[JobSatisfaction]]=3,"Satisfied",
HRData[[#This Row],[JobSatisfaction]]=4,"Very Satisfied"
)</f>
        <v>Very Dissatisfied</v>
      </c>
      <c r="V1268" t="s">
        <v>52</v>
      </c>
      <c r="W1268">
        <v>2289</v>
      </c>
      <c r="X1268" t="str" cm="1">
        <f t="array" ref="X1268">_xlfn.IFS(
HRData[[#This Row],[MonthlyIncome]]&lt;=4000,"Very Low Income",
HRData[[#This Row],[MonthlyIncome]]&lt;=8000,"Low Income",
HRData[[#This Row],[MonthlyIncome]]&lt;=12000,"Moderate Income",
HRData[[#This Row],[MonthlyIncome]]&lt;=16000,"High Income",
HRData[[#This Row],[MonthlyIncome]]&gt;16000,"Very High Income"
)</f>
        <v>Very Low Income</v>
      </c>
      <c r="Y1268">
        <v>20520</v>
      </c>
      <c r="Z1268">
        <v>1</v>
      </c>
      <c r="AA1268" t="s">
        <v>42</v>
      </c>
      <c r="AB1268" t="s">
        <v>43</v>
      </c>
      <c r="AC1268">
        <v>20</v>
      </c>
      <c r="AD1268" t="str" cm="1">
        <f t="array" ref="AD1268">_xlfn.IFS(HRData[[#This Row],[PercentSalaryHike]]&lt;=15,"11-15",HRData[[#This Row],[PercentSalaryHike]]&lt;=20,"16-20",HRData[[#This Row],[PercentSalaryHike]]&gt;=21,"21+")</f>
        <v>16-20</v>
      </c>
      <c r="AE1268">
        <v>4</v>
      </c>
      <c r="AF1268">
        <v>2</v>
      </c>
      <c r="AG1268">
        <v>80</v>
      </c>
      <c r="AH1268">
        <v>2</v>
      </c>
      <c r="AI1268">
        <v>5</v>
      </c>
      <c r="AJ1268">
        <v>2</v>
      </c>
      <c r="AK1268">
        <v>3</v>
      </c>
      <c r="AL1268">
        <v>5</v>
      </c>
      <c r="AM1268">
        <v>3</v>
      </c>
      <c r="AN1268">
        <v>0</v>
      </c>
      <c r="AO1268">
        <v>4</v>
      </c>
      <c r="AP126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268" t="str">
        <f>IF(HRData[[#This Row],[Attrition]]="Yes","Left", IF(HRData[[#This Row],[Attrition_Risk_Score]]&gt;=6,"High",IF(HRData[[#This Row],[Attrition_Risk_Score]]&gt;=3,"Medium","Low")))</f>
        <v>Medium</v>
      </c>
      <c r="AR1268" t="str">
        <f>IF(HRData[[#This Row],[Attrition_Risk_Level]]&lt;&gt;"High","",HRData[[#This Row],[Attrition_Risk_Score]]*10000-HRData[[#This Row],[EmployeeNumber]])</f>
        <v/>
      </c>
    </row>
    <row r="1269" spans="1:44">
      <c r="A1269">
        <v>34</v>
      </c>
      <c r="B1269" t="str" cm="1">
        <f t="array" ref="B1269">_xlfn.IFS(
HRData[[#This Row],[Age]]&lt;=24,"18-24",
HRData[[#This Row],[Age]]&lt;=34,"25-34",
HRData[[#This Row],[Age]]&lt;=44,"35-44",
HRData[[#This Row],[Age]]&lt;=54,"45-54",
HRData[[#This Row],[Age]]&gt;=55,"55+"
)</f>
        <v>25-34</v>
      </c>
      <c r="C1269" t="s">
        <v>43</v>
      </c>
      <c r="D1269">
        <f>IF(HRData[[#This Row],[Attrition]]="Yes",1,0)</f>
        <v>0</v>
      </c>
      <c r="E1269" t="s">
        <v>55</v>
      </c>
      <c r="F1269">
        <v>1375</v>
      </c>
      <c r="G1269" t="s">
        <v>37</v>
      </c>
      <c r="H1269">
        <v>10</v>
      </c>
      <c r="I1269">
        <v>3</v>
      </c>
      <c r="J1269" t="s">
        <v>38</v>
      </c>
      <c r="K1269">
        <v>1</v>
      </c>
      <c r="L1269">
        <v>1774</v>
      </c>
      <c r="M1269">
        <v>4</v>
      </c>
      <c r="N1269" t="str" cm="1">
        <f t="array" ref="N1269">_xlfn.IFS(HRData[[#This Row],[EnvironmentSatisfaction]]=1,"Very Dissatisfied",
HRData[[#This Row],[EnvironmentSatisfaction]]=2,"Dissatisfied",
HRData[[#This Row],[EnvironmentSatisfaction]]=3,"Satisfied",
HRData[[#This Row],[EnvironmentSatisfaction]]=4,"Very Satisfied"
)</f>
        <v>Very Satisfied</v>
      </c>
      <c r="O1269" t="s">
        <v>46</v>
      </c>
      <c r="P1269">
        <v>87</v>
      </c>
      <c r="Q1269">
        <v>3</v>
      </c>
      <c r="R1269">
        <v>2</v>
      </c>
      <c r="S1269" t="s">
        <v>40</v>
      </c>
      <c r="T1269">
        <v>3</v>
      </c>
      <c r="U1269" t="str" cm="1">
        <f t="array" ref="U1269">_xlfn.IFS(
HRData[[#This Row],[JobSatisfaction]]=1,"Very Dissatisfied",
HRData[[#This Row],[JobSatisfaction]]=2,"Dissatisfied",
HRData[[#This Row],[JobSatisfaction]]=3,"Satisfied",
HRData[[#This Row],[JobSatisfaction]]=4,"Very Satisfied"
)</f>
        <v>Satisfied</v>
      </c>
      <c r="V1269" t="s">
        <v>52</v>
      </c>
      <c r="W1269">
        <v>4001</v>
      </c>
      <c r="X1269" t="str" cm="1">
        <f t="array" ref="X1269">_xlfn.IFS(
HRData[[#This Row],[MonthlyIncome]]&lt;=4000,"Very Low Income",
HRData[[#This Row],[MonthlyIncome]]&lt;=8000,"Low Income",
HRData[[#This Row],[MonthlyIncome]]&lt;=12000,"Moderate Income",
HRData[[#This Row],[MonthlyIncome]]&lt;=16000,"High Income",
HRData[[#This Row],[MonthlyIncome]]&gt;16000,"Very High Income"
)</f>
        <v>Low Income</v>
      </c>
      <c r="Y1269">
        <v>12313</v>
      </c>
      <c r="Z1269">
        <v>1</v>
      </c>
      <c r="AA1269" t="s">
        <v>42</v>
      </c>
      <c r="AB1269" t="s">
        <v>35</v>
      </c>
      <c r="AC1269">
        <v>14</v>
      </c>
      <c r="AD1269" t="str" cm="1">
        <f t="array" ref="AD1269">_xlfn.IFS(HRData[[#This Row],[PercentSalaryHike]]&lt;=15,"11-15",HRData[[#This Row],[PercentSalaryHike]]&lt;=20,"16-20",HRData[[#This Row],[PercentSalaryHike]]&gt;=21,"21+")</f>
        <v>11-15</v>
      </c>
      <c r="AE1269">
        <v>3</v>
      </c>
      <c r="AF1269">
        <v>3</v>
      </c>
      <c r="AG1269">
        <v>80</v>
      </c>
      <c r="AH1269">
        <v>1</v>
      </c>
      <c r="AI1269">
        <v>15</v>
      </c>
      <c r="AJ1269">
        <v>3</v>
      </c>
      <c r="AK1269">
        <v>3</v>
      </c>
      <c r="AL1269">
        <v>15</v>
      </c>
      <c r="AM1269">
        <v>14</v>
      </c>
      <c r="AN1269">
        <v>0</v>
      </c>
      <c r="AO1269">
        <v>7</v>
      </c>
      <c r="AP126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269" t="str">
        <f>IF(HRData[[#This Row],[Attrition]]="Yes","Left", IF(HRData[[#This Row],[Attrition_Risk_Score]]&gt;=6,"High",IF(HRData[[#This Row],[Attrition_Risk_Score]]&gt;=3,"Medium","Low")))</f>
        <v>Medium</v>
      </c>
      <c r="AR1269" t="str">
        <f>IF(HRData[[#This Row],[Attrition_Risk_Level]]&lt;&gt;"High","",HRData[[#This Row],[Attrition_Risk_Score]]*10000-HRData[[#This Row],[EmployeeNumber]])</f>
        <v/>
      </c>
    </row>
    <row r="1270" spans="1:44">
      <c r="A1270">
        <v>53</v>
      </c>
      <c r="B1270" t="str" cm="1">
        <f t="array" ref="B1270">_xlfn.IFS(
HRData[[#This Row],[Age]]&lt;=24,"18-24",
HRData[[#This Row],[Age]]&lt;=34,"25-34",
HRData[[#This Row],[Age]]&lt;=44,"35-44",
HRData[[#This Row],[Age]]&lt;=54,"45-54",
HRData[[#This Row],[Age]]&gt;=55,"55+"
)</f>
        <v>45-54</v>
      </c>
      <c r="C1270" t="s">
        <v>43</v>
      </c>
      <c r="D1270">
        <f>IF(HRData[[#This Row],[Attrition]]="Yes",1,0)</f>
        <v>0</v>
      </c>
      <c r="E1270" t="s">
        <v>55</v>
      </c>
      <c r="F1270">
        <v>661</v>
      </c>
      <c r="G1270" t="s">
        <v>45</v>
      </c>
      <c r="H1270">
        <v>1</v>
      </c>
      <c r="I1270">
        <v>4</v>
      </c>
      <c r="J1270" t="s">
        <v>51</v>
      </c>
      <c r="K1270">
        <v>1</v>
      </c>
      <c r="L1270">
        <v>1775</v>
      </c>
      <c r="M1270">
        <v>1</v>
      </c>
      <c r="N1270" t="str" cm="1">
        <f t="array" ref="N1270">_xlfn.IFS(HRData[[#This Row],[EnvironmentSatisfaction]]=1,"Very Dissatisfied",
HRData[[#This Row],[EnvironmentSatisfaction]]=2,"Dissatisfied",
HRData[[#This Row],[EnvironmentSatisfaction]]=3,"Satisfied",
HRData[[#This Row],[EnvironmentSatisfaction]]=4,"Very Satisfied"
)</f>
        <v>Very Dissatisfied</v>
      </c>
      <c r="O1270" t="s">
        <v>39</v>
      </c>
      <c r="P1270">
        <v>60</v>
      </c>
      <c r="Q1270">
        <v>2</v>
      </c>
      <c r="R1270">
        <v>4</v>
      </c>
      <c r="S1270" t="s">
        <v>53</v>
      </c>
      <c r="T1270">
        <v>3</v>
      </c>
      <c r="U1270" t="str" cm="1">
        <f t="array" ref="U1270">_xlfn.IFS(
HRData[[#This Row],[JobSatisfaction]]=1,"Very Dissatisfied",
HRData[[#This Row],[JobSatisfaction]]=2,"Dissatisfied",
HRData[[#This Row],[JobSatisfaction]]=3,"Satisfied",
HRData[[#This Row],[JobSatisfaction]]=4,"Very Satisfied"
)</f>
        <v>Satisfied</v>
      </c>
      <c r="V1270" t="s">
        <v>48</v>
      </c>
      <c r="W1270">
        <v>12965</v>
      </c>
      <c r="X1270" t="str" cm="1">
        <f t="array" ref="X1270">_xlfn.IFS(
HRData[[#This Row],[MonthlyIncome]]&lt;=4000,"Very Low Income",
HRData[[#This Row],[MonthlyIncome]]&lt;=8000,"Low Income",
HRData[[#This Row],[MonthlyIncome]]&lt;=12000,"Moderate Income",
HRData[[#This Row],[MonthlyIncome]]&lt;=16000,"High Income",
HRData[[#This Row],[MonthlyIncome]]&gt;16000,"Very High Income"
)</f>
        <v>High Income</v>
      </c>
      <c r="Y1270">
        <v>22308</v>
      </c>
      <c r="Z1270">
        <v>4</v>
      </c>
      <c r="AA1270" t="s">
        <v>42</v>
      </c>
      <c r="AB1270" t="s">
        <v>35</v>
      </c>
      <c r="AC1270">
        <v>20</v>
      </c>
      <c r="AD1270" t="str" cm="1">
        <f t="array" ref="AD1270">_xlfn.IFS(HRData[[#This Row],[PercentSalaryHike]]&lt;=15,"11-15",HRData[[#This Row],[PercentSalaryHike]]&lt;=20,"16-20",HRData[[#This Row],[PercentSalaryHike]]&gt;=21,"21+")</f>
        <v>16-20</v>
      </c>
      <c r="AE1270">
        <v>4</v>
      </c>
      <c r="AF1270">
        <v>4</v>
      </c>
      <c r="AG1270">
        <v>80</v>
      </c>
      <c r="AH1270">
        <v>3</v>
      </c>
      <c r="AI1270">
        <v>27</v>
      </c>
      <c r="AJ1270">
        <v>2</v>
      </c>
      <c r="AK1270">
        <v>2</v>
      </c>
      <c r="AL1270">
        <v>3</v>
      </c>
      <c r="AM1270">
        <v>2</v>
      </c>
      <c r="AN1270">
        <v>0</v>
      </c>
      <c r="AO1270">
        <v>2</v>
      </c>
      <c r="AP127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70" t="str">
        <f>IF(HRData[[#This Row],[Attrition]]="Yes","Left", IF(HRData[[#This Row],[Attrition_Risk_Score]]&gt;=6,"High",IF(HRData[[#This Row],[Attrition_Risk_Score]]&gt;=3,"Medium","Low")))</f>
        <v>Low</v>
      </c>
      <c r="AR1270" t="str">
        <f>IF(HRData[[#This Row],[Attrition_Risk_Level]]&lt;&gt;"High","",HRData[[#This Row],[Attrition_Risk_Score]]*10000-HRData[[#This Row],[EmployeeNumber]])</f>
        <v/>
      </c>
    </row>
    <row r="1271" spans="1:44">
      <c r="A1271">
        <v>43</v>
      </c>
      <c r="B1271" t="str" cm="1">
        <f t="array" ref="B1271">_xlfn.IFS(
HRData[[#This Row],[Age]]&lt;=24,"18-24",
HRData[[#This Row],[Age]]&lt;=34,"25-34",
HRData[[#This Row],[Age]]&lt;=44,"35-44",
HRData[[#This Row],[Age]]&lt;=54,"45-54",
HRData[[#This Row],[Age]]&gt;=55,"55+"
)</f>
        <v>35-44</v>
      </c>
      <c r="C1271" t="s">
        <v>43</v>
      </c>
      <c r="D1271">
        <f>IF(HRData[[#This Row],[Attrition]]="Yes",1,0)</f>
        <v>0</v>
      </c>
      <c r="E1271" t="s">
        <v>36</v>
      </c>
      <c r="F1271">
        <v>244</v>
      </c>
      <c r="G1271" t="s">
        <v>61</v>
      </c>
      <c r="H1271">
        <v>2</v>
      </c>
      <c r="I1271">
        <v>3</v>
      </c>
      <c r="J1271" t="s">
        <v>38</v>
      </c>
      <c r="K1271">
        <v>1</v>
      </c>
      <c r="L1271">
        <v>1778</v>
      </c>
      <c r="M1271">
        <v>2</v>
      </c>
      <c r="N1271" t="str" cm="1">
        <f t="array" ref="N1271">_xlfn.IFS(HRData[[#This Row],[EnvironmentSatisfaction]]=1,"Very Dissatisfied",
HRData[[#This Row],[EnvironmentSatisfaction]]=2,"Dissatisfied",
HRData[[#This Row],[EnvironmentSatisfaction]]=3,"Satisfied",
HRData[[#This Row],[EnvironmentSatisfaction]]=4,"Very Satisfied"
)</f>
        <v>Dissatisfied</v>
      </c>
      <c r="O1271" t="s">
        <v>46</v>
      </c>
      <c r="P1271">
        <v>97</v>
      </c>
      <c r="Q1271">
        <v>3</v>
      </c>
      <c r="R1271">
        <v>1</v>
      </c>
      <c r="S1271" t="s">
        <v>61</v>
      </c>
      <c r="T1271">
        <v>4</v>
      </c>
      <c r="U1271" t="str" cm="1">
        <f t="array" ref="U1271">_xlfn.IFS(
HRData[[#This Row],[JobSatisfaction]]=1,"Very Dissatisfied",
HRData[[#This Row],[JobSatisfaction]]=2,"Dissatisfied",
HRData[[#This Row],[JobSatisfaction]]=3,"Satisfied",
HRData[[#This Row],[JobSatisfaction]]=4,"Very Satisfied"
)</f>
        <v>Very Satisfied</v>
      </c>
      <c r="V1271" t="s">
        <v>41</v>
      </c>
      <c r="W1271">
        <v>3539</v>
      </c>
      <c r="X1271" t="str" cm="1">
        <f t="array" ref="X1271">_xlfn.IFS(
HRData[[#This Row],[MonthlyIncome]]&lt;=4000,"Very Low Income",
HRData[[#This Row],[MonthlyIncome]]&lt;=8000,"Low Income",
HRData[[#This Row],[MonthlyIncome]]&lt;=12000,"Moderate Income",
HRData[[#This Row],[MonthlyIncome]]&lt;=16000,"High Income",
HRData[[#This Row],[MonthlyIncome]]&gt;16000,"Very High Income"
)</f>
        <v>Very Low Income</v>
      </c>
      <c r="Y1271">
        <v>5033</v>
      </c>
      <c r="Z1271">
        <v>0</v>
      </c>
      <c r="AA1271" t="s">
        <v>42</v>
      </c>
      <c r="AB1271" t="s">
        <v>43</v>
      </c>
      <c r="AC1271">
        <v>13</v>
      </c>
      <c r="AD1271" t="str" cm="1">
        <f t="array" ref="AD1271">_xlfn.IFS(HRData[[#This Row],[PercentSalaryHike]]&lt;=15,"11-15",HRData[[#This Row],[PercentSalaryHike]]&lt;=20,"16-20",HRData[[#This Row],[PercentSalaryHike]]&gt;=21,"21+")</f>
        <v>11-15</v>
      </c>
      <c r="AE1271">
        <v>3</v>
      </c>
      <c r="AF1271">
        <v>2</v>
      </c>
      <c r="AG1271">
        <v>80</v>
      </c>
      <c r="AH1271">
        <v>0</v>
      </c>
      <c r="AI1271">
        <v>10</v>
      </c>
      <c r="AJ1271">
        <v>5</v>
      </c>
      <c r="AK1271">
        <v>3</v>
      </c>
      <c r="AL1271">
        <v>9</v>
      </c>
      <c r="AM1271">
        <v>7</v>
      </c>
      <c r="AN1271">
        <v>1</v>
      </c>
      <c r="AO1271">
        <v>8</v>
      </c>
      <c r="AP127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71" t="str">
        <f>IF(HRData[[#This Row],[Attrition]]="Yes","Left", IF(HRData[[#This Row],[Attrition_Risk_Score]]&gt;=6,"High",IF(HRData[[#This Row],[Attrition_Risk_Score]]&gt;=3,"Medium","Low")))</f>
        <v>Medium</v>
      </c>
      <c r="AR1271" t="str">
        <f>IF(HRData[[#This Row],[Attrition_Risk_Level]]&lt;&gt;"High","",HRData[[#This Row],[Attrition_Risk_Score]]*10000-HRData[[#This Row],[EmployeeNumber]])</f>
        <v/>
      </c>
    </row>
    <row r="1272" spans="1:44">
      <c r="A1272">
        <v>34</v>
      </c>
      <c r="B1272" t="str" cm="1">
        <f t="array" ref="B1272">_xlfn.IFS(
HRData[[#This Row],[Age]]&lt;=24,"18-24",
HRData[[#This Row],[Age]]&lt;=34,"25-34",
HRData[[#This Row],[Age]]&lt;=44,"35-44",
HRData[[#This Row],[Age]]&lt;=54,"45-54",
HRData[[#This Row],[Age]]&gt;=55,"55+"
)</f>
        <v>25-34</v>
      </c>
      <c r="C1272" t="s">
        <v>43</v>
      </c>
      <c r="D1272">
        <f>IF(HRData[[#This Row],[Attrition]]="Yes",1,0)</f>
        <v>0</v>
      </c>
      <c r="E1272" t="s">
        <v>36</v>
      </c>
      <c r="F1272">
        <v>511</v>
      </c>
      <c r="G1272" t="s">
        <v>37</v>
      </c>
      <c r="H1272">
        <v>3</v>
      </c>
      <c r="I1272">
        <v>2</v>
      </c>
      <c r="J1272" t="s">
        <v>38</v>
      </c>
      <c r="K1272">
        <v>1</v>
      </c>
      <c r="L1272">
        <v>1779</v>
      </c>
      <c r="M1272">
        <v>4</v>
      </c>
      <c r="N1272" t="str" cm="1">
        <f t="array" ref="N1272">_xlfn.IFS(HRData[[#This Row],[EnvironmentSatisfaction]]=1,"Very Dissatisfied",
HRData[[#This Row],[EnvironmentSatisfaction]]=2,"Dissatisfied",
HRData[[#This Row],[EnvironmentSatisfaction]]=3,"Satisfied",
HRData[[#This Row],[EnvironmentSatisfaction]]=4,"Very Satisfied"
)</f>
        <v>Very Satisfied</v>
      </c>
      <c r="O1272" t="s">
        <v>39</v>
      </c>
      <c r="P1272">
        <v>32</v>
      </c>
      <c r="Q1272">
        <v>1</v>
      </c>
      <c r="R1272">
        <v>2</v>
      </c>
      <c r="S1272" t="s">
        <v>40</v>
      </c>
      <c r="T1272">
        <v>4</v>
      </c>
      <c r="U1272" t="str" cm="1">
        <f t="array" ref="U1272">_xlfn.IFS(
HRData[[#This Row],[JobSatisfaction]]=1,"Very Dissatisfied",
HRData[[#This Row],[JobSatisfaction]]=2,"Dissatisfied",
HRData[[#This Row],[JobSatisfaction]]=3,"Satisfied",
HRData[[#This Row],[JobSatisfaction]]=4,"Very Satisfied"
)</f>
        <v>Very Satisfied</v>
      </c>
      <c r="V1272" t="s">
        <v>41</v>
      </c>
      <c r="W1272">
        <v>6029</v>
      </c>
      <c r="X1272" t="str" cm="1">
        <f t="array" ref="X1272">_xlfn.IFS(
HRData[[#This Row],[MonthlyIncome]]&lt;=4000,"Very Low Income",
HRData[[#This Row],[MonthlyIncome]]&lt;=8000,"Low Income",
HRData[[#This Row],[MonthlyIncome]]&lt;=12000,"Moderate Income",
HRData[[#This Row],[MonthlyIncome]]&lt;=16000,"High Income",
HRData[[#This Row],[MonthlyIncome]]&gt;16000,"Very High Income"
)</f>
        <v>Low Income</v>
      </c>
      <c r="Y1272">
        <v>25353</v>
      </c>
      <c r="Z1272">
        <v>5</v>
      </c>
      <c r="AA1272" t="s">
        <v>42</v>
      </c>
      <c r="AB1272" t="s">
        <v>43</v>
      </c>
      <c r="AC1272">
        <v>12</v>
      </c>
      <c r="AD1272" t="str" cm="1">
        <f t="array" ref="AD1272">_xlfn.IFS(HRData[[#This Row],[PercentSalaryHike]]&lt;=15,"11-15",HRData[[#This Row],[PercentSalaryHike]]&lt;=20,"16-20",HRData[[#This Row],[PercentSalaryHike]]&gt;=21,"21+")</f>
        <v>11-15</v>
      </c>
      <c r="AE1272">
        <v>3</v>
      </c>
      <c r="AF1272">
        <v>1</v>
      </c>
      <c r="AG1272">
        <v>80</v>
      </c>
      <c r="AH1272">
        <v>0</v>
      </c>
      <c r="AI1272">
        <v>6</v>
      </c>
      <c r="AJ1272">
        <v>3</v>
      </c>
      <c r="AK1272">
        <v>3</v>
      </c>
      <c r="AL1272">
        <v>2</v>
      </c>
      <c r="AM1272">
        <v>2</v>
      </c>
      <c r="AN1272">
        <v>2</v>
      </c>
      <c r="AO1272">
        <v>2</v>
      </c>
      <c r="AP127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72" t="str">
        <f>IF(HRData[[#This Row],[Attrition]]="Yes","Left", IF(HRData[[#This Row],[Attrition_Risk_Score]]&gt;=6,"High",IF(HRData[[#This Row],[Attrition_Risk_Score]]&gt;=3,"Medium","Low")))</f>
        <v>Low</v>
      </c>
      <c r="AR1272" t="str">
        <f>IF(HRData[[#This Row],[Attrition_Risk_Level]]&lt;&gt;"High","",HRData[[#This Row],[Attrition_Risk_Score]]*10000-HRData[[#This Row],[EmployeeNumber]])</f>
        <v/>
      </c>
    </row>
    <row r="1273" spans="1:44">
      <c r="A1273">
        <v>21</v>
      </c>
      <c r="B1273" t="str" cm="1">
        <f t="array" ref="B1273">_xlfn.IFS(
HRData[[#This Row],[Age]]&lt;=24,"18-24",
HRData[[#This Row],[Age]]&lt;=34,"25-34",
HRData[[#This Row],[Age]]&lt;=44,"35-44",
HRData[[#This Row],[Age]]&lt;=54,"45-54",
HRData[[#This Row],[Age]]&gt;=55,"55+"
)</f>
        <v>18-24</v>
      </c>
      <c r="C1273" t="s">
        <v>35</v>
      </c>
      <c r="D1273">
        <f>IF(HRData[[#This Row],[Attrition]]="Yes",1,0)</f>
        <v>1</v>
      </c>
      <c r="E1273" t="s">
        <v>36</v>
      </c>
      <c r="F1273">
        <v>337</v>
      </c>
      <c r="G1273" t="s">
        <v>37</v>
      </c>
      <c r="H1273">
        <v>7</v>
      </c>
      <c r="I1273">
        <v>1</v>
      </c>
      <c r="J1273" t="s">
        <v>59</v>
      </c>
      <c r="K1273">
        <v>1</v>
      </c>
      <c r="L1273">
        <v>1780</v>
      </c>
      <c r="M1273">
        <v>2</v>
      </c>
      <c r="N1273" t="str" cm="1">
        <f t="array" ref="N1273">_xlfn.IFS(HRData[[#This Row],[EnvironmentSatisfaction]]=1,"Very Dissatisfied",
HRData[[#This Row],[EnvironmentSatisfaction]]=2,"Dissatisfied",
HRData[[#This Row],[EnvironmentSatisfaction]]=3,"Satisfied",
HRData[[#This Row],[EnvironmentSatisfaction]]=4,"Very Satisfied"
)</f>
        <v>Dissatisfied</v>
      </c>
      <c r="O1273" t="s">
        <v>46</v>
      </c>
      <c r="P1273">
        <v>31</v>
      </c>
      <c r="Q1273">
        <v>3</v>
      </c>
      <c r="R1273">
        <v>1</v>
      </c>
      <c r="S1273" t="s">
        <v>57</v>
      </c>
      <c r="T1273">
        <v>2</v>
      </c>
      <c r="U1273" t="str" cm="1">
        <f t="array" ref="U1273">_xlfn.IFS(
HRData[[#This Row],[JobSatisfaction]]=1,"Very Dissatisfied",
HRData[[#This Row],[JobSatisfaction]]=2,"Dissatisfied",
HRData[[#This Row],[JobSatisfaction]]=3,"Satisfied",
HRData[[#This Row],[JobSatisfaction]]=4,"Very Satisfied"
)</f>
        <v>Dissatisfied</v>
      </c>
      <c r="V1273" t="s">
        <v>41</v>
      </c>
      <c r="W1273">
        <v>2679</v>
      </c>
      <c r="X1273" t="str" cm="1">
        <f t="array" ref="X1273">_xlfn.IFS(
HRData[[#This Row],[MonthlyIncome]]&lt;=4000,"Very Low Income",
HRData[[#This Row],[MonthlyIncome]]&lt;=8000,"Low Income",
HRData[[#This Row],[MonthlyIncome]]&lt;=12000,"Moderate Income",
HRData[[#This Row],[MonthlyIncome]]&lt;=16000,"High Income",
HRData[[#This Row],[MonthlyIncome]]&gt;16000,"Very High Income"
)</f>
        <v>Very Low Income</v>
      </c>
      <c r="Y1273">
        <v>4567</v>
      </c>
      <c r="Z1273">
        <v>1</v>
      </c>
      <c r="AA1273" t="s">
        <v>42</v>
      </c>
      <c r="AB1273" t="s">
        <v>43</v>
      </c>
      <c r="AC1273">
        <v>13</v>
      </c>
      <c r="AD1273" t="str" cm="1">
        <f t="array" ref="AD1273">_xlfn.IFS(HRData[[#This Row],[PercentSalaryHike]]&lt;=15,"11-15",HRData[[#This Row],[PercentSalaryHike]]&lt;=20,"16-20",HRData[[#This Row],[PercentSalaryHike]]&gt;=21,"21+")</f>
        <v>11-15</v>
      </c>
      <c r="AE1273">
        <v>3</v>
      </c>
      <c r="AF1273">
        <v>2</v>
      </c>
      <c r="AG1273">
        <v>80</v>
      </c>
      <c r="AH1273">
        <v>0</v>
      </c>
      <c r="AI1273">
        <v>1</v>
      </c>
      <c r="AJ1273">
        <v>3</v>
      </c>
      <c r="AK1273">
        <v>3</v>
      </c>
      <c r="AL1273">
        <v>1</v>
      </c>
      <c r="AM1273">
        <v>0</v>
      </c>
      <c r="AN1273">
        <v>1</v>
      </c>
      <c r="AO1273">
        <v>0</v>
      </c>
      <c r="AP127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73" t="str">
        <f>IF(HRData[[#This Row],[Attrition]]="Yes","Left", IF(HRData[[#This Row],[Attrition_Risk_Score]]&gt;=6,"High",IF(HRData[[#This Row],[Attrition_Risk_Score]]&gt;=3,"Medium","Low")))</f>
        <v>Left</v>
      </c>
      <c r="AR1273" t="str">
        <f>IF(HRData[[#This Row],[Attrition_Risk_Level]]&lt;&gt;"High","",HRData[[#This Row],[Attrition_Risk_Score]]*10000-HRData[[#This Row],[EmployeeNumber]])</f>
        <v/>
      </c>
    </row>
    <row r="1274" spans="1:44">
      <c r="A1274">
        <v>38</v>
      </c>
      <c r="B1274" t="str" cm="1">
        <f t="array" ref="B1274">_xlfn.IFS(
HRData[[#This Row],[Age]]&lt;=24,"18-24",
HRData[[#This Row],[Age]]&lt;=34,"25-34",
HRData[[#This Row],[Age]]&lt;=44,"35-44",
HRData[[#This Row],[Age]]&lt;=54,"45-54",
HRData[[#This Row],[Age]]&gt;=55,"55+"
)</f>
        <v>35-44</v>
      </c>
      <c r="C1274" t="s">
        <v>43</v>
      </c>
      <c r="D1274">
        <f>IF(HRData[[#This Row],[Attrition]]="Yes",1,0)</f>
        <v>0</v>
      </c>
      <c r="E1274" t="s">
        <v>36</v>
      </c>
      <c r="F1274">
        <v>1153</v>
      </c>
      <c r="G1274" t="s">
        <v>45</v>
      </c>
      <c r="H1274">
        <v>6</v>
      </c>
      <c r="I1274">
        <v>2</v>
      </c>
      <c r="J1274" t="s">
        <v>49</v>
      </c>
      <c r="K1274">
        <v>1</v>
      </c>
      <c r="L1274">
        <v>1782</v>
      </c>
      <c r="M1274">
        <v>4</v>
      </c>
      <c r="N1274" t="str" cm="1">
        <f t="array" ref="N1274">_xlfn.IFS(HRData[[#This Row],[EnvironmentSatisfaction]]=1,"Very Dissatisfied",
HRData[[#This Row],[EnvironmentSatisfaction]]=2,"Dissatisfied",
HRData[[#This Row],[EnvironmentSatisfaction]]=3,"Satisfied",
HRData[[#This Row],[EnvironmentSatisfaction]]=4,"Very Satisfied"
)</f>
        <v>Very Satisfied</v>
      </c>
      <c r="O1274" t="s">
        <v>39</v>
      </c>
      <c r="P1274">
        <v>40</v>
      </c>
      <c r="Q1274">
        <v>2</v>
      </c>
      <c r="R1274">
        <v>1</v>
      </c>
      <c r="S1274" t="s">
        <v>50</v>
      </c>
      <c r="T1274">
        <v>3</v>
      </c>
      <c r="U1274" t="str" cm="1">
        <f t="array" ref="U1274">_xlfn.IFS(
HRData[[#This Row],[JobSatisfaction]]=1,"Very Dissatisfied",
HRData[[#This Row],[JobSatisfaction]]=2,"Dissatisfied",
HRData[[#This Row],[JobSatisfaction]]=3,"Satisfied",
HRData[[#This Row],[JobSatisfaction]]=4,"Very Satisfied"
)</f>
        <v>Satisfied</v>
      </c>
      <c r="V1274" t="s">
        <v>48</v>
      </c>
      <c r="W1274">
        <v>3702</v>
      </c>
      <c r="X1274" t="str" cm="1">
        <f t="array" ref="X1274">_xlfn.IFS(
HRData[[#This Row],[MonthlyIncome]]&lt;=4000,"Very Low Income",
HRData[[#This Row],[MonthlyIncome]]&lt;=8000,"Low Income",
HRData[[#This Row],[MonthlyIncome]]&lt;=12000,"Moderate Income",
HRData[[#This Row],[MonthlyIncome]]&lt;=16000,"High Income",
HRData[[#This Row],[MonthlyIncome]]&gt;16000,"Very High Income"
)</f>
        <v>Very Low Income</v>
      </c>
      <c r="Y1274">
        <v>16376</v>
      </c>
      <c r="Z1274">
        <v>1</v>
      </c>
      <c r="AA1274" t="s">
        <v>42</v>
      </c>
      <c r="AB1274" t="s">
        <v>43</v>
      </c>
      <c r="AC1274">
        <v>11</v>
      </c>
      <c r="AD1274" t="str" cm="1">
        <f t="array" ref="AD1274">_xlfn.IFS(HRData[[#This Row],[PercentSalaryHike]]&lt;=15,"11-15",HRData[[#This Row],[PercentSalaryHike]]&lt;=20,"16-20",HRData[[#This Row],[PercentSalaryHike]]&gt;=21,"21+")</f>
        <v>11-15</v>
      </c>
      <c r="AE1274">
        <v>3</v>
      </c>
      <c r="AF1274">
        <v>2</v>
      </c>
      <c r="AG1274">
        <v>80</v>
      </c>
      <c r="AH1274">
        <v>1</v>
      </c>
      <c r="AI1274">
        <v>5</v>
      </c>
      <c r="AJ1274">
        <v>3</v>
      </c>
      <c r="AK1274">
        <v>3</v>
      </c>
      <c r="AL1274">
        <v>5</v>
      </c>
      <c r="AM1274">
        <v>4</v>
      </c>
      <c r="AN1274">
        <v>0</v>
      </c>
      <c r="AO1274">
        <v>4</v>
      </c>
      <c r="AP127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74" t="str">
        <f>IF(HRData[[#This Row],[Attrition]]="Yes","Left", IF(HRData[[#This Row],[Attrition_Risk_Score]]&gt;=6,"High",IF(HRData[[#This Row],[Attrition_Risk_Score]]&gt;=3,"Medium","Low")))</f>
        <v>Medium</v>
      </c>
      <c r="AR1274" t="str">
        <f>IF(HRData[[#This Row],[Attrition_Risk_Level]]&lt;&gt;"High","",HRData[[#This Row],[Attrition_Risk_Score]]*10000-HRData[[#This Row],[EmployeeNumber]])</f>
        <v/>
      </c>
    </row>
    <row r="1275" spans="1:44">
      <c r="A1275">
        <v>22</v>
      </c>
      <c r="B1275" t="str" cm="1">
        <f t="array" ref="B1275">_xlfn.IFS(
HRData[[#This Row],[Age]]&lt;=24,"18-24",
HRData[[#This Row],[Age]]&lt;=34,"25-34",
HRData[[#This Row],[Age]]&lt;=44,"35-44",
HRData[[#This Row],[Age]]&lt;=54,"45-54",
HRData[[#This Row],[Age]]&gt;=55,"55+"
)</f>
        <v>18-24</v>
      </c>
      <c r="C1275" t="s">
        <v>35</v>
      </c>
      <c r="D1275">
        <f>IF(HRData[[#This Row],[Attrition]]="Yes",1,0)</f>
        <v>1</v>
      </c>
      <c r="E1275" t="s">
        <v>36</v>
      </c>
      <c r="F1275">
        <v>1294</v>
      </c>
      <c r="G1275" t="s">
        <v>45</v>
      </c>
      <c r="H1275">
        <v>8</v>
      </c>
      <c r="I1275">
        <v>1</v>
      </c>
      <c r="J1275" t="s">
        <v>51</v>
      </c>
      <c r="K1275">
        <v>1</v>
      </c>
      <c r="L1275">
        <v>1783</v>
      </c>
      <c r="M1275">
        <v>3</v>
      </c>
      <c r="N1275" t="str" cm="1">
        <f t="array" ref="N1275">_xlfn.IFS(HRData[[#This Row],[EnvironmentSatisfaction]]=1,"Very Dissatisfied",
HRData[[#This Row],[EnvironmentSatisfaction]]=2,"Dissatisfied",
HRData[[#This Row],[EnvironmentSatisfaction]]=3,"Satisfied",
HRData[[#This Row],[EnvironmentSatisfaction]]=4,"Very Satisfied"
)</f>
        <v>Satisfied</v>
      </c>
      <c r="O1275" t="s">
        <v>39</v>
      </c>
      <c r="P1275">
        <v>79</v>
      </c>
      <c r="Q1275">
        <v>3</v>
      </c>
      <c r="R1275">
        <v>1</v>
      </c>
      <c r="S1275" t="s">
        <v>50</v>
      </c>
      <c r="T1275">
        <v>1</v>
      </c>
      <c r="U1275" t="str" cm="1">
        <f t="array" ref="U1275">_xlfn.IFS(
HRData[[#This Row],[JobSatisfaction]]=1,"Very Dissatisfied",
HRData[[#This Row],[JobSatisfaction]]=2,"Dissatisfied",
HRData[[#This Row],[JobSatisfaction]]=3,"Satisfied",
HRData[[#This Row],[JobSatisfaction]]=4,"Very Satisfied"
)</f>
        <v>Very Dissatisfied</v>
      </c>
      <c r="V1275" t="s">
        <v>48</v>
      </c>
      <c r="W1275">
        <v>2398</v>
      </c>
      <c r="X1275" t="str" cm="1">
        <f t="array" ref="X1275">_xlfn.IFS(
HRData[[#This Row],[MonthlyIncome]]&lt;=4000,"Very Low Income",
HRData[[#This Row],[MonthlyIncome]]&lt;=8000,"Low Income",
HRData[[#This Row],[MonthlyIncome]]&lt;=12000,"Moderate Income",
HRData[[#This Row],[MonthlyIncome]]&lt;=16000,"High Income",
HRData[[#This Row],[MonthlyIncome]]&gt;16000,"Very High Income"
)</f>
        <v>Very Low Income</v>
      </c>
      <c r="Y1275">
        <v>15999</v>
      </c>
      <c r="Z1275">
        <v>1</v>
      </c>
      <c r="AA1275" t="s">
        <v>42</v>
      </c>
      <c r="AB1275" t="s">
        <v>35</v>
      </c>
      <c r="AC1275">
        <v>17</v>
      </c>
      <c r="AD1275" t="str" cm="1">
        <f t="array" ref="AD1275">_xlfn.IFS(HRData[[#This Row],[PercentSalaryHike]]&lt;=15,"11-15",HRData[[#This Row],[PercentSalaryHike]]&lt;=20,"16-20",HRData[[#This Row],[PercentSalaryHike]]&gt;=21,"21+")</f>
        <v>16-20</v>
      </c>
      <c r="AE1275">
        <v>3</v>
      </c>
      <c r="AF1275">
        <v>3</v>
      </c>
      <c r="AG1275">
        <v>80</v>
      </c>
      <c r="AH1275">
        <v>0</v>
      </c>
      <c r="AI1275">
        <v>1</v>
      </c>
      <c r="AJ1275">
        <v>6</v>
      </c>
      <c r="AK1275">
        <v>3</v>
      </c>
      <c r="AL1275">
        <v>1</v>
      </c>
      <c r="AM1275">
        <v>0</v>
      </c>
      <c r="AN1275">
        <v>0</v>
      </c>
      <c r="AO1275">
        <v>0</v>
      </c>
      <c r="AP127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75" t="str">
        <f>IF(HRData[[#This Row],[Attrition]]="Yes","Left", IF(HRData[[#This Row],[Attrition_Risk_Score]]&gt;=6,"High",IF(HRData[[#This Row],[Attrition_Risk_Score]]&gt;=3,"Medium","Low")))</f>
        <v>Left</v>
      </c>
      <c r="AR1275" t="str">
        <f>IF(HRData[[#This Row],[Attrition_Risk_Level]]&lt;&gt;"High","",HRData[[#This Row],[Attrition_Risk_Score]]*10000-HRData[[#This Row],[EmployeeNumber]])</f>
        <v/>
      </c>
    </row>
    <row r="1276" spans="1:44">
      <c r="A1276">
        <v>31</v>
      </c>
      <c r="B1276" t="str" cm="1">
        <f t="array" ref="B1276">_xlfn.IFS(
HRData[[#This Row],[Age]]&lt;=24,"18-24",
HRData[[#This Row],[Age]]&lt;=34,"25-34",
HRData[[#This Row],[Age]]&lt;=44,"35-44",
HRData[[#This Row],[Age]]&lt;=54,"45-54",
HRData[[#This Row],[Age]]&gt;=55,"55+"
)</f>
        <v>25-34</v>
      </c>
      <c r="C1276" t="s">
        <v>43</v>
      </c>
      <c r="D1276">
        <f>IF(HRData[[#This Row],[Attrition]]="Yes",1,0)</f>
        <v>0</v>
      </c>
      <c r="E1276" t="s">
        <v>36</v>
      </c>
      <c r="F1276">
        <v>196</v>
      </c>
      <c r="G1276" t="s">
        <v>37</v>
      </c>
      <c r="H1276">
        <v>29</v>
      </c>
      <c r="I1276">
        <v>4</v>
      </c>
      <c r="J1276" t="s">
        <v>59</v>
      </c>
      <c r="K1276">
        <v>1</v>
      </c>
      <c r="L1276">
        <v>1784</v>
      </c>
      <c r="M1276">
        <v>1</v>
      </c>
      <c r="N1276" t="str" cm="1">
        <f t="array" ref="N1276">_xlfn.IFS(HRData[[#This Row],[EnvironmentSatisfaction]]=1,"Very Dissatisfied",
HRData[[#This Row],[EnvironmentSatisfaction]]=2,"Dissatisfied",
HRData[[#This Row],[EnvironmentSatisfaction]]=3,"Satisfied",
HRData[[#This Row],[EnvironmentSatisfaction]]=4,"Very Satisfied"
)</f>
        <v>Very Dissatisfied</v>
      </c>
      <c r="O1276" t="s">
        <v>39</v>
      </c>
      <c r="P1276">
        <v>91</v>
      </c>
      <c r="Q1276">
        <v>2</v>
      </c>
      <c r="R1276">
        <v>2</v>
      </c>
      <c r="S1276" t="s">
        <v>40</v>
      </c>
      <c r="T1276">
        <v>4</v>
      </c>
      <c r="U1276" t="str" cm="1">
        <f t="array" ref="U1276">_xlfn.IFS(
HRData[[#This Row],[JobSatisfaction]]=1,"Very Dissatisfied",
HRData[[#This Row],[JobSatisfaction]]=2,"Dissatisfied",
HRData[[#This Row],[JobSatisfaction]]=3,"Satisfied",
HRData[[#This Row],[JobSatisfaction]]=4,"Very Satisfied"
)</f>
        <v>Very Satisfied</v>
      </c>
      <c r="V1276" t="s">
        <v>48</v>
      </c>
      <c r="W1276">
        <v>5468</v>
      </c>
      <c r="X1276" t="str" cm="1">
        <f t="array" ref="X1276">_xlfn.IFS(
HRData[[#This Row],[MonthlyIncome]]&lt;=4000,"Very Low Income",
HRData[[#This Row],[MonthlyIncome]]&lt;=8000,"Low Income",
HRData[[#This Row],[MonthlyIncome]]&lt;=12000,"Moderate Income",
HRData[[#This Row],[MonthlyIncome]]&lt;=16000,"High Income",
HRData[[#This Row],[MonthlyIncome]]&gt;16000,"Very High Income"
)</f>
        <v>Low Income</v>
      </c>
      <c r="Y1276">
        <v>13402</v>
      </c>
      <c r="Z1276">
        <v>1</v>
      </c>
      <c r="AA1276" t="s">
        <v>42</v>
      </c>
      <c r="AB1276" t="s">
        <v>43</v>
      </c>
      <c r="AC1276">
        <v>14</v>
      </c>
      <c r="AD1276" t="str" cm="1">
        <f t="array" ref="AD1276">_xlfn.IFS(HRData[[#This Row],[PercentSalaryHike]]&lt;=15,"11-15",HRData[[#This Row],[PercentSalaryHike]]&lt;=20,"16-20",HRData[[#This Row],[PercentSalaryHike]]&gt;=21,"21+")</f>
        <v>11-15</v>
      </c>
      <c r="AE1276">
        <v>3</v>
      </c>
      <c r="AF1276">
        <v>1</v>
      </c>
      <c r="AG1276">
        <v>80</v>
      </c>
      <c r="AH1276">
        <v>2</v>
      </c>
      <c r="AI1276">
        <v>13</v>
      </c>
      <c r="AJ1276">
        <v>3</v>
      </c>
      <c r="AK1276">
        <v>3</v>
      </c>
      <c r="AL1276">
        <v>12</v>
      </c>
      <c r="AM1276">
        <v>7</v>
      </c>
      <c r="AN1276">
        <v>5</v>
      </c>
      <c r="AO1276">
        <v>7</v>
      </c>
      <c r="AP127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76" t="str">
        <f>IF(HRData[[#This Row],[Attrition]]="Yes","Left", IF(HRData[[#This Row],[Attrition_Risk_Score]]&gt;=6,"High",IF(HRData[[#This Row],[Attrition_Risk_Score]]&gt;=3,"Medium","Low")))</f>
        <v>Low</v>
      </c>
      <c r="AR1276" t="str">
        <f>IF(HRData[[#This Row],[Attrition_Risk_Level]]&lt;&gt;"High","",HRData[[#This Row],[Attrition_Risk_Score]]*10000-HRData[[#This Row],[EmployeeNumber]])</f>
        <v/>
      </c>
    </row>
    <row r="1277" spans="1:44">
      <c r="A1277">
        <v>51</v>
      </c>
      <c r="B1277" t="str" cm="1">
        <f t="array" ref="B1277">_xlfn.IFS(
HRData[[#This Row],[Age]]&lt;=24,"18-24",
HRData[[#This Row],[Age]]&lt;=34,"25-34",
HRData[[#This Row],[Age]]&lt;=44,"35-44",
HRData[[#This Row],[Age]]&lt;=54,"45-54",
HRData[[#This Row],[Age]]&gt;=55,"55+"
)</f>
        <v>45-54</v>
      </c>
      <c r="C1277" t="s">
        <v>43</v>
      </c>
      <c r="D1277">
        <f>IF(HRData[[#This Row],[Attrition]]="Yes",1,0)</f>
        <v>0</v>
      </c>
      <c r="E1277" t="s">
        <v>36</v>
      </c>
      <c r="F1277">
        <v>942</v>
      </c>
      <c r="G1277" t="s">
        <v>45</v>
      </c>
      <c r="H1277">
        <v>3</v>
      </c>
      <c r="I1277">
        <v>3</v>
      </c>
      <c r="J1277" t="s">
        <v>60</v>
      </c>
      <c r="K1277">
        <v>1</v>
      </c>
      <c r="L1277">
        <v>1786</v>
      </c>
      <c r="M1277">
        <v>1</v>
      </c>
      <c r="N1277" t="str" cm="1">
        <f t="array" ref="N1277">_xlfn.IFS(HRData[[#This Row],[EnvironmentSatisfaction]]=1,"Very Dissatisfied",
HRData[[#This Row],[EnvironmentSatisfaction]]=2,"Dissatisfied",
HRData[[#This Row],[EnvironmentSatisfaction]]=3,"Satisfied",
HRData[[#This Row],[EnvironmentSatisfaction]]=4,"Very Satisfied"
)</f>
        <v>Very Dissatisfied</v>
      </c>
      <c r="O1277" t="s">
        <v>39</v>
      </c>
      <c r="P1277">
        <v>53</v>
      </c>
      <c r="Q1277">
        <v>3</v>
      </c>
      <c r="R1277">
        <v>3</v>
      </c>
      <c r="S1277" t="s">
        <v>56</v>
      </c>
      <c r="T1277">
        <v>3</v>
      </c>
      <c r="U1277" t="str" cm="1">
        <f t="array" ref="U1277">_xlfn.IFS(
HRData[[#This Row],[JobSatisfaction]]=1,"Very Dissatisfied",
HRData[[#This Row],[JobSatisfaction]]=2,"Dissatisfied",
HRData[[#This Row],[JobSatisfaction]]=3,"Satisfied",
HRData[[#This Row],[JobSatisfaction]]=4,"Very Satisfied"
)</f>
        <v>Satisfied</v>
      </c>
      <c r="V1277" t="s">
        <v>48</v>
      </c>
      <c r="W1277">
        <v>13116</v>
      </c>
      <c r="X1277" t="str" cm="1">
        <f t="array" ref="X1277">_xlfn.IFS(
HRData[[#This Row],[MonthlyIncome]]&lt;=4000,"Very Low Income",
HRData[[#This Row],[MonthlyIncome]]&lt;=8000,"Low Income",
HRData[[#This Row],[MonthlyIncome]]&lt;=12000,"Moderate Income",
HRData[[#This Row],[MonthlyIncome]]&lt;=16000,"High Income",
HRData[[#This Row],[MonthlyIncome]]&gt;16000,"Very High Income"
)</f>
        <v>High Income</v>
      </c>
      <c r="Y1277">
        <v>22984</v>
      </c>
      <c r="Z1277">
        <v>2</v>
      </c>
      <c r="AA1277" t="s">
        <v>42</v>
      </c>
      <c r="AB1277" t="s">
        <v>43</v>
      </c>
      <c r="AC1277">
        <v>11</v>
      </c>
      <c r="AD1277" t="str" cm="1">
        <f t="array" ref="AD1277">_xlfn.IFS(HRData[[#This Row],[PercentSalaryHike]]&lt;=15,"11-15",HRData[[#This Row],[PercentSalaryHike]]&lt;=20,"16-20",HRData[[#This Row],[PercentSalaryHike]]&gt;=21,"21+")</f>
        <v>11-15</v>
      </c>
      <c r="AE1277">
        <v>3</v>
      </c>
      <c r="AF1277">
        <v>4</v>
      </c>
      <c r="AG1277">
        <v>80</v>
      </c>
      <c r="AH1277">
        <v>0</v>
      </c>
      <c r="AI1277">
        <v>15</v>
      </c>
      <c r="AJ1277">
        <v>2</v>
      </c>
      <c r="AK1277">
        <v>3</v>
      </c>
      <c r="AL1277">
        <v>2</v>
      </c>
      <c r="AM1277">
        <v>2</v>
      </c>
      <c r="AN1277">
        <v>2</v>
      </c>
      <c r="AO1277">
        <v>2</v>
      </c>
      <c r="AP127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277" t="str">
        <f>IF(HRData[[#This Row],[Attrition]]="Yes","Left", IF(HRData[[#This Row],[Attrition_Risk_Score]]&gt;=6,"High",IF(HRData[[#This Row],[Attrition_Risk_Score]]&gt;=3,"Medium","Low")))</f>
        <v>Low</v>
      </c>
      <c r="AR1277" t="str">
        <f>IF(HRData[[#This Row],[Attrition_Risk_Level]]&lt;&gt;"High","",HRData[[#This Row],[Attrition_Risk_Score]]*10000-HRData[[#This Row],[EmployeeNumber]])</f>
        <v/>
      </c>
    </row>
    <row r="1278" spans="1:44">
      <c r="A1278">
        <v>37</v>
      </c>
      <c r="B1278" t="str" cm="1">
        <f t="array" ref="B1278">_xlfn.IFS(
HRData[[#This Row],[Age]]&lt;=24,"18-24",
HRData[[#This Row],[Age]]&lt;=34,"25-34",
HRData[[#This Row],[Age]]&lt;=44,"35-44",
HRData[[#This Row],[Age]]&lt;=54,"45-54",
HRData[[#This Row],[Age]]&gt;=55,"55+"
)</f>
        <v>35-44</v>
      </c>
      <c r="C1278" t="s">
        <v>43</v>
      </c>
      <c r="D1278">
        <f>IF(HRData[[#This Row],[Attrition]]="Yes",1,0)</f>
        <v>0</v>
      </c>
      <c r="E1278" t="s">
        <v>36</v>
      </c>
      <c r="F1278">
        <v>589</v>
      </c>
      <c r="G1278" t="s">
        <v>37</v>
      </c>
      <c r="H1278">
        <v>9</v>
      </c>
      <c r="I1278">
        <v>2</v>
      </c>
      <c r="J1278" t="s">
        <v>59</v>
      </c>
      <c r="K1278">
        <v>1</v>
      </c>
      <c r="L1278">
        <v>1787</v>
      </c>
      <c r="M1278">
        <v>2</v>
      </c>
      <c r="N1278" t="str" cm="1">
        <f t="array" ref="N1278">_xlfn.IFS(HRData[[#This Row],[EnvironmentSatisfaction]]=1,"Very Dissatisfied",
HRData[[#This Row],[EnvironmentSatisfaction]]=2,"Dissatisfied",
HRData[[#This Row],[EnvironmentSatisfaction]]=3,"Satisfied",
HRData[[#This Row],[EnvironmentSatisfaction]]=4,"Very Satisfied"
)</f>
        <v>Dissatisfied</v>
      </c>
      <c r="O1278" t="s">
        <v>46</v>
      </c>
      <c r="P1278">
        <v>46</v>
      </c>
      <c r="Q1278">
        <v>2</v>
      </c>
      <c r="R1278">
        <v>2</v>
      </c>
      <c r="S1278" t="s">
        <v>40</v>
      </c>
      <c r="T1278">
        <v>2</v>
      </c>
      <c r="U1278" t="str" cm="1">
        <f t="array" ref="U1278">_xlfn.IFS(
HRData[[#This Row],[JobSatisfaction]]=1,"Very Dissatisfied",
HRData[[#This Row],[JobSatisfaction]]=2,"Dissatisfied",
HRData[[#This Row],[JobSatisfaction]]=3,"Satisfied",
HRData[[#This Row],[JobSatisfaction]]=4,"Very Satisfied"
)</f>
        <v>Dissatisfied</v>
      </c>
      <c r="V1278" t="s">
        <v>48</v>
      </c>
      <c r="W1278">
        <v>4189</v>
      </c>
      <c r="X1278" t="str" cm="1">
        <f t="array" ref="X1278">_xlfn.IFS(
HRData[[#This Row],[MonthlyIncome]]&lt;=4000,"Very Low Income",
HRData[[#This Row],[MonthlyIncome]]&lt;=8000,"Low Income",
HRData[[#This Row],[MonthlyIncome]]&lt;=12000,"Moderate Income",
HRData[[#This Row],[MonthlyIncome]]&lt;=16000,"High Income",
HRData[[#This Row],[MonthlyIncome]]&gt;16000,"Very High Income"
)</f>
        <v>Low Income</v>
      </c>
      <c r="Y1278">
        <v>8800</v>
      </c>
      <c r="Z1278">
        <v>1</v>
      </c>
      <c r="AA1278" t="s">
        <v>42</v>
      </c>
      <c r="AB1278" t="s">
        <v>43</v>
      </c>
      <c r="AC1278">
        <v>14</v>
      </c>
      <c r="AD1278" t="str" cm="1">
        <f t="array" ref="AD1278">_xlfn.IFS(HRData[[#This Row],[PercentSalaryHike]]&lt;=15,"11-15",HRData[[#This Row],[PercentSalaryHike]]&lt;=20,"16-20",HRData[[#This Row],[PercentSalaryHike]]&gt;=21,"21+")</f>
        <v>11-15</v>
      </c>
      <c r="AE1278">
        <v>3</v>
      </c>
      <c r="AF1278">
        <v>1</v>
      </c>
      <c r="AG1278">
        <v>80</v>
      </c>
      <c r="AH1278">
        <v>2</v>
      </c>
      <c r="AI1278">
        <v>5</v>
      </c>
      <c r="AJ1278">
        <v>2</v>
      </c>
      <c r="AK1278">
        <v>3</v>
      </c>
      <c r="AL1278">
        <v>5</v>
      </c>
      <c r="AM1278">
        <v>2</v>
      </c>
      <c r="AN1278">
        <v>0</v>
      </c>
      <c r="AO1278">
        <v>3</v>
      </c>
      <c r="AP127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278" t="str">
        <f>IF(HRData[[#This Row],[Attrition]]="Yes","Left", IF(HRData[[#This Row],[Attrition_Risk_Score]]&gt;=6,"High",IF(HRData[[#This Row],[Attrition_Risk_Score]]&gt;=3,"Medium","Low")))</f>
        <v>Low</v>
      </c>
      <c r="AR1278" t="str">
        <f>IF(HRData[[#This Row],[Attrition_Risk_Level]]&lt;&gt;"High","",HRData[[#This Row],[Attrition_Risk_Score]]*10000-HRData[[#This Row],[EmployeeNumber]])</f>
        <v/>
      </c>
    </row>
    <row r="1279" spans="1:44">
      <c r="A1279">
        <v>46</v>
      </c>
      <c r="B1279" t="str" cm="1">
        <f t="array" ref="B1279">_xlfn.IFS(
HRData[[#This Row],[Age]]&lt;=24,"18-24",
HRData[[#This Row],[Age]]&lt;=34,"25-34",
HRData[[#This Row],[Age]]&lt;=44,"35-44",
HRData[[#This Row],[Age]]&lt;=54,"45-54",
HRData[[#This Row],[Age]]&gt;=55,"55+"
)</f>
        <v>45-54</v>
      </c>
      <c r="C1279" t="s">
        <v>43</v>
      </c>
      <c r="D1279">
        <f>IF(HRData[[#This Row],[Attrition]]="Yes",1,0)</f>
        <v>0</v>
      </c>
      <c r="E1279" t="s">
        <v>36</v>
      </c>
      <c r="F1279">
        <v>734</v>
      </c>
      <c r="G1279" t="s">
        <v>45</v>
      </c>
      <c r="H1279">
        <v>2</v>
      </c>
      <c r="I1279">
        <v>4</v>
      </c>
      <c r="J1279" t="s">
        <v>51</v>
      </c>
      <c r="K1279">
        <v>1</v>
      </c>
      <c r="L1279">
        <v>1789</v>
      </c>
      <c r="M1279">
        <v>3</v>
      </c>
      <c r="N1279" t="str" cm="1">
        <f t="array" ref="N1279">_xlfn.IFS(HRData[[#This Row],[EnvironmentSatisfaction]]=1,"Very Dissatisfied",
HRData[[#This Row],[EnvironmentSatisfaction]]=2,"Dissatisfied",
HRData[[#This Row],[EnvironmentSatisfaction]]=3,"Satisfied",
HRData[[#This Row],[EnvironmentSatisfaction]]=4,"Very Satisfied"
)</f>
        <v>Satisfied</v>
      </c>
      <c r="O1279" t="s">
        <v>46</v>
      </c>
      <c r="P1279">
        <v>46</v>
      </c>
      <c r="Q1279">
        <v>3</v>
      </c>
      <c r="R1279">
        <v>5</v>
      </c>
      <c r="S1279" t="s">
        <v>58</v>
      </c>
      <c r="T1279">
        <v>4</v>
      </c>
      <c r="U1279" t="str" cm="1">
        <f t="array" ref="U1279">_xlfn.IFS(
HRData[[#This Row],[JobSatisfaction]]=1,"Very Dissatisfied",
HRData[[#This Row],[JobSatisfaction]]=2,"Dissatisfied",
HRData[[#This Row],[JobSatisfaction]]=3,"Satisfied",
HRData[[#This Row],[JobSatisfaction]]=4,"Very Satisfied"
)</f>
        <v>Very Satisfied</v>
      </c>
      <c r="V1279" t="s">
        <v>52</v>
      </c>
      <c r="W1279">
        <v>19328</v>
      </c>
      <c r="X1279" t="str" cm="1">
        <f t="array" ref="X1279">_xlfn.IFS(
HRData[[#This Row],[MonthlyIncome]]&lt;=4000,"Very Low Income",
HRData[[#This Row],[MonthlyIncome]]&lt;=8000,"Low Income",
HRData[[#This Row],[MonthlyIncome]]&lt;=12000,"Moderate Income",
HRData[[#This Row],[MonthlyIncome]]&lt;=16000,"High Income",
HRData[[#This Row],[MonthlyIncome]]&gt;16000,"Very High Income"
)</f>
        <v>Very High Income</v>
      </c>
      <c r="Y1279">
        <v>14218</v>
      </c>
      <c r="Z1279">
        <v>7</v>
      </c>
      <c r="AA1279" t="s">
        <v>42</v>
      </c>
      <c r="AB1279" t="s">
        <v>35</v>
      </c>
      <c r="AC1279">
        <v>17</v>
      </c>
      <c r="AD1279" t="str" cm="1">
        <f t="array" ref="AD1279">_xlfn.IFS(HRData[[#This Row],[PercentSalaryHike]]&lt;=15,"11-15",HRData[[#This Row],[PercentSalaryHike]]&lt;=20,"16-20",HRData[[#This Row],[PercentSalaryHike]]&gt;=21,"21+")</f>
        <v>16-20</v>
      </c>
      <c r="AE1279">
        <v>3</v>
      </c>
      <c r="AF1279">
        <v>3</v>
      </c>
      <c r="AG1279">
        <v>80</v>
      </c>
      <c r="AH1279">
        <v>1</v>
      </c>
      <c r="AI1279">
        <v>24</v>
      </c>
      <c r="AJ1279">
        <v>3</v>
      </c>
      <c r="AK1279">
        <v>3</v>
      </c>
      <c r="AL1279">
        <v>2</v>
      </c>
      <c r="AM1279">
        <v>1</v>
      </c>
      <c r="AN1279">
        <v>2</v>
      </c>
      <c r="AO1279">
        <v>2</v>
      </c>
      <c r="AP127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79" t="str">
        <f>IF(HRData[[#This Row],[Attrition]]="Yes","Left", IF(HRData[[#This Row],[Attrition_Risk_Score]]&gt;=6,"High",IF(HRData[[#This Row],[Attrition_Risk_Score]]&gt;=3,"Medium","Low")))</f>
        <v>Low</v>
      </c>
      <c r="AR1279" t="str">
        <f>IF(HRData[[#This Row],[Attrition_Risk_Level]]&lt;&gt;"High","",HRData[[#This Row],[Attrition_Risk_Score]]*10000-HRData[[#This Row],[EmployeeNumber]])</f>
        <v/>
      </c>
    </row>
    <row r="1280" spans="1:44">
      <c r="A1280">
        <v>36</v>
      </c>
      <c r="B1280" t="str" cm="1">
        <f t="array" ref="B1280">_xlfn.IFS(
HRData[[#This Row],[Age]]&lt;=24,"18-24",
HRData[[#This Row],[Age]]&lt;=34,"25-34",
HRData[[#This Row],[Age]]&lt;=44,"35-44",
HRData[[#This Row],[Age]]&lt;=54,"45-54",
HRData[[#This Row],[Age]]&gt;=55,"55+"
)</f>
        <v>35-44</v>
      </c>
      <c r="C1280" t="s">
        <v>43</v>
      </c>
      <c r="D1280">
        <f>IF(HRData[[#This Row],[Attrition]]="Yes",1,0)</f>
        <v>0</v>
      </c>
      <c r="E1280" t="s">
        <v>36</v>
      </c>
      <c r="F1280">
        <v>1383</v>
      </c>
      <c r="G1280" t="s">
        <v>45</v>
      </c>
      <c r="H1280">
        <v>10</v>
      </c>
      <c r="I1280">
        <v>3</v>
      </c>
      <c r="J1280" t="s">
        <v>38</v>
      </c>
      <c r="K1280">
        <v>1</v>
      </c>
      <c r="L1280">
        <v>1790</v>
      </c>
      <c r="M1280">
        <v>4</v>
      </c>
      <c r="N1280" t="str" cm="1">
        <f t="array" ref="N1280">_xlfn.IFS(HRData[[#This Row],[EnvironmentSatisfaction]]=1,"Very Dissatisfied",
HRData[[#This Row],[EnvironmentSatisfaction]]=2,"Dissatisfied",
HRData[[#This Row],[EnvironmentSatisfaction]]=3,"Satisfied",
HRData[[#This Row],[EnvironmentSatisfaction]]=4,"Very Satisfied"
)</f>
        <v>Very Satisfied</v>
      </c>
      <c r="O1280" t="s">
        <v>46</v>
      </c>
      <c r="P1280">
        <v>90</v>
      </c>
      <c r="Q1280">
        <v>3</v>
      </c>
      <c r="R1280">
        <v>3</v>
      </c>
      <c r="S1280" t="s">
        <v>54</v>
      </c>
      <c r="T1280">
        <v>1</v>
      </c>
      <c r="U1280" t="str" cm="1">
        <f t="array" ref="U1280">_xlfn.IFS(
HRData[[#This Row],[JobSatisfaction]]=1,"Very Dissatisfied",
HRData[[#This Row],[JobSatisfaction]]=2,"Dissatisfied",
HRData[[#This Row],[JobSatisfaction]]=3,"Satisfied",
HRData[[#This Row],[JobSatisfaction]]=4,"Very Satisfied"
)</f>
        <v>Very Dissatisfied</v>
      </c>
      <c r="V1280" t="s">
        <v>48</v>
      </c>
      <c r="W1280">
        <v>8321</v>
      </c>
      <c r="X1280" t="str" cm="1">
        <f t="array" ref="X1280">_xlfn.IFS(
HRData[[#This Row],[MonthlyIncome]]&lt;=4000,"Very Low Income",
HRData[[#This Row],[MonthlyIncome]]&lt;=8000,"Low Income",
HRData[[#This Row],[MonthlyIncome]]&lt;=12000,"Moderate Income",
HRData[[#This Row],[MonthlyIncome]]&lt;=16000,"High Income",
HRData[[#This Row],[MonthlyIncome]]&gt;16000,"Very High Income"
)</f>
        <v>Moderate Income</v>
      </c>
      <c r="Y1280">
        <v>25949</v>
      </c>
      <c r="Z1280">
        <v>7</v>
      </c>
      <c r="AA1280" t="s">
        <v>42</v>
      </c>
      <c r="AB1280" t="s">
        <v>35</v>
      </c>
      <c r="AC1280">
        <v>13</v>
      </c>
      <c r="AD1280" t="str" cm="1">
        <f t="array" ref="AD1280">_xlfn.IFS(HRData[[#This Row],[PercentSalaryHike]]&lt;=15,"11-15",HRData[[#This Row],[PercentSalaryHike]]&lt;=20,"16-20",HRData[[#This Row],[PercentSalaryHike]]&gt;=21,"21+")</f>
        <v>11-15</v>
      </c>
      <c r="AE1280">
        <v>3</v>
      </c>
      <c r="AF1280">
        <v>4</v>
      </c>
      <c r="AG1280">
        <v>80</v>
      </c>
      <c r="AH1280">
        <v>1</v>
      </c>
      <c r="AI1280">
        <v>15</v>
      </c>
      <c r="AJ1280">
        <v>1</v>
      </c>
      <c r="AK1280">
        <v>3</v>
      </c>
      <c r="AL1280">
        <v>12</v>
      </c>
      <c r="AM1280">
        <v>8</v>
      </c>
      <c r="AN1280">
        <v>5</v>
      </c>
      <c r="AO1280">
        <v>7</v>
      </c>
      <c r="AP128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280" t="str">
        <f>IF(HRData[[#This Row],[Attrition]]="Yes","Left", IF(HRData[[#This Row],[Attrition_Risk_Score]]&gt;=6,"High",IF(HRData[[#This Row],[Attrition_Risk_Score]]&gt;=3,"Medium","Low")))</f>
        <v>Medium</v>
      </c>
      <c r="AR1280" t="str">
        <f>IF(HRData[[#This Row],[Attrition_Risk_Level]]&lt;&gt;"High","",HRData[[#This Row],[Attrition_Risk_Score]]*10000-HRData[[#This Row],[EmployeeNumber]])</f>
        <v/>
      </c>
    </row>
    <row r="1281" spans="1:44">
      <c r="A1281">
        <v>44</v>
      </c>
      <c r="B1281" t="str" cm="1">
        <f t="array" ref="B1281">_xlfn.IFS(
HRData[[#This Row],[Age]]&lt;=24,"18-24",
HRData[[#This Row],[Age]]&lt;=34,"25-34",
HRData[[#This Row],[Age]]&lt;=44,"35-44",
HRData[[#This Row],[Age]]&lt;=54,"45-54",
HRData[[#This Row],[Age]]&gt;=55,"55+"
)</f>
        <v>35-44</v>
      </c>
      <c r="C1281" t="s">
        <v>35</v>
      </c>
      <c r="D1281">
        <f>IF(HRData[[#This Row],[Attrition]]="Yes",1,0)</f>
        <v>1</v>
      </c>
      <c r="E1281" t="s">
        <v>44</v>
      </c>
      <c r="F1281">
        <v>429</v>
      </c>
      <c r="G1281" t="s">
        <v>45</v>
      </c>
      <c r="H1281">
        <v>1</v>
      </c>
      <c r="I1281">
        <v>2</v>
      </c>
      <c r="J1281" t="s">
        <v>51</v>
      </c>
      <c r="K1281">
        <v>1</v>
      </c>
      <c r="L1281">
        <v>1792</v>
      </c>
      <c r="M1281">
        <v>3</v>
      </c>
      <c r="N1281" t="str" cm="1">
        <f t="array" ref="N1281">_xlfn.IFS(HRData[[#This Row],[EnvironmentSatisfaction]]=1,"Very Dissatisfied",
HRData[[#This Row],[EnvironmentSatisfaction]]=2,"Dissatisfied",
HRData[[#This Row],[EnvironmentSatisfaction]]=3,"Satisfied",
HRData[[#This Row],[EnvironmentSatisfaction]]=4,"Very Satisfied"
)</f>
        <v>Satisfied</v>
      </c>
      <c r="O1281" t="s">
        <v>46</v>
      </c>
      <c r="P1281">
        <v>99</v>
      </c>
      <c r="Q1281">
        <v>3</v>
      </c>
      <c r="R1281">
        <v>1</v>
      </c>
      <c r="S1281" t="s">
        <v>47</v>
      </c>
      <c r="T1281">
        <v>2</v>
      </c>
      <c r="U1281" t="str" cm="1">
        <f t="array" ref="U1281">_xlfn.IFS(
HRData[[#This Row],[JobSatisfaction]]=1,"Very Dissatisfied",
HRData[[#This Row],[JobSatisfaction]]=2,"Dissatisfied",
HRData[[#This Row],[JobSatisfaction]]=3,"Satisfied",
HRData[[#This Row],[JobSatisfaction]]=4,"Very Satisfied"
)</f>
        <v>Dissatisfied</v>
      </c>
      <c r="V1281" t="s">
        <v>52</v>
      </c>
      <c r="W1281">
        <v>2342</v>
      </c>
      <c r="X1281" t="str" cm="1">
        <f t="array" ref="X1281">_xlfn.IFS(
HRData[[#This Row],[MonthlyIncome]]&lt;=4000,"Very Low Income",
HRData[[#This Row],[MonthlyIncome]]&lt;=8000,"Low Income",
HRData[[#This Row],[MonthlyIncome]]&lt;=12000,"Moderate Income",
HRData[[#This Row],[MonthlyIncome]]&lt;=16000,"High Income",
HRData[[#This Row],[MonthlyIncome]]&gt;16000,"Very High Income"
)</f>
        <v>Very Low Income</v>
      </c>
      <c r="Y1281">
        <v>11092</v>
      </c>
      <c r="Z1281">
        <v>1</v>
      </c>
      <c r="AA1281" t="s">
        <v>42</v>
      </c>
      <c r="AB1281" t="s">
        <v>35</v>
      </c>
      <c r="AC1281">
        <v>12</v>
      </c>
      <c r="AD1281" t="str" cm="1">
        <f t="array" ref="AD1281">_xlfn.IFS(HRData[[#This Row],[PercentSalaryHike]]&lt;=15,"11-15",HRData[[#This Row],[PercentSalaryHike]]&lt;=20,"16-20",HRData[[#This Row],[PercentSalaryHike]]&gt;=21,"21+")</f>
        <v>11-15</v>
      </c>
      <c r="AE1281">
        <v>3</v>
      </c>
      <c r="AF1281">
        <v>3</v>
      </c>
      <c r="AG1281">
        <v>80</v>
      </c>
      <c r="AH1281">
        <v>3</v>
      </c>
      <c r="AI1281">
        <v>6</v>
      </c>
      <c r="AJ1281">
        <v>2</v>
      </c>
      <c r="AK1281">
        <v>2</v>
      </c>
      <c r="AL1281">
        <v>5</v>
      </c>
      <c r="AM1281">
        <v>3</v>
      </c>
      <c r="AN1281">
        <v>2</v>
      </c>
      <c r="AO1281">
        <v>3</v>
      </c>
      <c r="AP128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81" t="str">
        <f>IF(HRData[[#This Row],[Attrition]]="Yes","Left", IF(HRData[[#This Row],[Attrition_Risk_Score]]&gt;=6,"High",IF(HRData[[#This Row],[Attrition_Risk_Score]]&gt;=3,"Medium","Low")))</f>
        <v>Left</v>
      </c>
      <c r="AR1281" t="str">
        <f>IF(HRData[[#This Row],[Attrition_Risk_Level]]&lt;&gt;"High","",HRData[[#This Row],[Attrition_Risk_Score]]*10000-HRData[[#This Row],[EmployeeNumber]])</f>
        <v/>
      </c>
    </row>
    <row r="1282" spans="1:44">
      <c r="A1282">
        <v>37</v>
      </c>
      <c r="B1282" t="str" cm="1">
        <f t="array" ref="B1282">_xlfn.IFS(
HRData[[#This Row],[Age]]&lt;=24,"18-24",
HRData[[#This Row],[Age]]&lt;=34,"25-34",
HRData[[#This Row],[Age]]&lt;=44,"35-44",
HRData[[#This Row],[Age]]&lt;=54,"45-54",
HRData[[#This Row],[Age]]&gt;=55,"55+"
)</f>
        <v>35-44</v>
      </c>
      <c r="C1282" t="s">
        <v>43</v>
      </c>
      <c r="D1282">
        <f>IF(HRData[[#This Row],[Attrition]]="Yes",1,0)</f>
        <v>0</v>
      </c>
      <c r="E1282" t="s">
        <v>36</v>
      </c>
      <c r="F1282">
        <v>1239</v>
      </c>
      <c r="G1282" t="s">
        <v>61</v>
      </c>
      <c r="H1282">
        <v>8</v>
      </c>
      <c r="I1282">
        <v>2</v>
      </c>
      <c r="J1282" t="s">
        <v>49</v>
      </c>
      <c r="K1282">
        <v>1</v>
      </c>
      <c r="L1282">
        <v>1794</v>
      </c>
      <c r="M1282">
        <v>3</v>
      </c>
      <c r="N1282" t="str" cm="1">
        <f t="array" ref="N1282">_xlfn.IFS(HRData[[#This Row],[EnvironmentSatisfaction]]=1,"Very Dissatisfied",
HRData[[#This Row],[EnvironmentSatisfaction]]=2,"Dissatisfied",
HRData[[#This Row],[EnvironmentSatisfaction]]=3,"Satisfied",
HRData[[#This Row],[EnvironmentSatisfaction]]=4,"Very Satisfied"
)</f>
        <v>Satisfied</v>
      </c>
      <c r="O1282" t="s">
        <v>46</v>
      </c>
      <c r="P1282">
        <v>89</v>
      </c>
      <c r="Q1282">
        <v>3</v>
      </c>
      <c r="R1282">
        <v>2</v>
      </c>
      <c r="S1282" t="s">
        <v>61</v>
      </c>
      <c r="T1282">
        <v>2</v>
      </c>
      <c r="U1282" t="str" cm="1">
        <f t="array" ref="U1282">_xlfn.IFS(
HRData[[#This Row],[JobSatisfaction]]=1,"Very Dissatisfied",
HRData[[#This Row],[JobSatisfaction]]=2,"Dissatisfied",
HRData[[#This Row],[JobSatisfaction]]=3,"Satisfied",
HRData[[#This Row],[JobSatisfaction]]=4,"Very Satisfied"
)</f>
        <v>Dissatisfied</v>
      </c>
      <c r="V1282" t="s">
        <v>52</v>
      </c>
      <c r="W1282">
        <v>4071</v>
      </c>
      <c r="X1282" t="str" cm="1">
        <f t="array" ref="X1282">_xlfn.IFS(
HRData[[#This Row],[MonthlyIncome]]&lt;=4000,"Very Low Income",
HRData[[#This Row],[MonthlyIncome]]&lt;=8000,"Low Income",
HRData[[#This Row],[MonthlyIncome]]&lt;=12000,"Moderate Income",
HRData[[#This Row],[MonthlyIncome]]&lt;=16000,"High Income",
HRData[[#This Row],[MonthlyIncome]]&gt;16000,"Very High Income"
)</f>
        <v>Low Income</v>
      </c>
      <c r="Y1282">
        <v>12832</v>
      </c>
      <c r="Z1282">
        <v>2</v>
      </c>
      <c r="AA1282" t="s">
        <v>42</v>
      </c>
      <c r="AB1282" t="s">
        <v>43</v>
      </c>
      <c r="AC1282">
        <v>13</v>
      </c>
      <c r="AD1282" t="str" cm="1">
        <f t="array" ref="AD1282">_xlfn.IFS(HRData[[#This Row],[PercentSalaryHike]]&lt;=15,"11-15",HRData[[#This Row],[PercentSalaryHike]]&lt;=20,"16-20",HRData[[#This Row],[PercentSalaryHike]]&gt;=21,"21+")</f>
        <v>11-15</v>
      </c>
      <c r="AE1282">
        <v>3</v>
      </c>
      <c r="AF1282">
        <v>3</v>
      </c>
      <c r="AG1282">
        <v>80</v>
      </c>
      <c r="AH1282">
        <v>0</v>
      </c>
      <c r="AI1282">
        <v>19</v>
      </c>
      <c r="AJ1282">
        <v>4</v>
      </c>
      <c r="AK1282">
        <v>2</v>
      </c>
      <c r="AL1282">
        <v>10</v>
      </c>
      <c r="AM1282">
        <v>0</v>
      </c>
      <c r="AN1282">
        <v>4</v>
      </c>
      <c r="AO1282">
        <v>7</v>
      </c>
      <c r="AP128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82" t="str">
        <f>IF(HRData[[#This Row],[Attrition]]="Yes","Left", IF(HRData[[#This Row],[Attrition_Risk_Score]]&gt;=6,"High",IF(HRData[[#This Row],[Attrition_Risk_Score]]&gt;=3,"Medium","Low")))</f>
        <v>Low</v>
      </c>
      <c r="AR1282" t="str">
        <f>IF(HRData[[#This Row],[Attrition_Risk_Level]]&lt;&gt;"High","",HRData[[#This Row],[Attrition_Risk_Score]]*10000-HRData[[#This Row],[EmployeeNumber]])</f>
        <v/>
      </c>
    </row>
    <row r="1283" spans="1:44">
      <c r="A1283">
        <v>35</v>
      </c>
      <c r="B1283" t="str" cm="1">
        <f t="array" ref="B1283">_xlfn.IFS(
HRData[[#This Row],[Age]]&lt;=24,"18-24",
HRData[[#This Row],[Age]]&lt;=34,"25-34",
HRData[[#This Row],[Age]]&lt;=44,"35-44",
HRData[[#This Row],[Age]]&lt;=54,"45-54",
HRData[[#This Row],[Age]]&gt;=55,"55+"
)</f>
        <v>35-44</v>
      </c>
      <c r="C1283" t="s">
        <v>35</v>
      </c>
      <c r="D1283">
        <f>IF(HRData[[#This Row],[Attrition]]="Yes",1,0)</f>
        <v>1</v>
      </c>
      <c r="E1283" t="s">
        <v>36</v>
      </c>
      <c r="F1283">
        <v>303</v>
      </c>
      <c r="G1283" t="s">
        <v>37</v>
      </c>
      <c r="H1283">
        <v>27</v>
      </c>
      <c r="I1283">
        <v>3</v>
      </c>
      <c r="J1283" t="s">
        <v>38</v>
      </c>
      <c r="K1283">
        <v>1</v>
      </c>
      <c r="L1283">
        <v>1797</v>
      </c>
      <c r="M1283">
        <v>3</v>
      </c>
      <c r="N1283" t="str" cm="1">
        <f t="array" ref="N1283">_xlfn.IFS(HRData[[#This Row],[EnvironmentSatisfaction]]=1,"Very Dissatisfied",
HRData[[#This Row],[EnvironmentSatisfaction]]=2,"Dissatisfied",
HRData[[#This Row],[EnvironmentSatisfaction]]=3,"Satisfied",
HRData[[#This Row],[EnvironmentSatisfaction]]=4,"Very Satisfied"
)</f>
        <v>Satisfied</v>
      </c>
      <c r="O1283" t="s">
        <v>46</v>
      </c>
      <c r="P1283">
        <v>84</v>
      </c>
      <c r="Q1283">
        <v>3</v>
      </c>
      <c r="R1283">
        <v>2</v>
      </c>
      <c r="S1283" t="s">
        <v>40</v>
      </c>
      <c r="T1283">
        <v>4</v>
      </c>
      <c r="U1283" t="str" cm="1">
        <f t="array" ref="U1283">_xlfn.IFS(
HRData[[#This Row],[JobSatisfaction]]=1,"Very Dissatisfied",
HRData[[#This Row],[JobSatisfaction]]=2,"Dissatisfied",
HRData[[#This Row],[JobSatisfaction]]=3,"Satisfied",
HRData[[#This Row],[JobSatisfaction]]=4,"Very Satisfied"
)</f>
        <v>Very Satisfied</v>
      </c>
      <c r="V1283" t="s">
        <v>41</v>
      </c>
      <c r="W1283">
        <v>5813</v>
      </c>
      <c r="X1283" t="str" cm="1">
        <f t="array" ref="X1283">_xlfn.IFS(
HRData[[#This Row],[MonthlyIncome]]&lt;=4000,"Very Low Income",
HRData[[#This Row],[MonthlyIncome]]&lt;=8000,"Low Income",
HRData[[#This Row],[MonthlyIncome]]&lt;=12000,"Moderate Income",
HRData[[#This Row],[MonthlyIncome]]&lt;=16000,"High Income",
HRData[[#This Row],[MonthlyIncome]]&gt;16000,"Very High Income"
)</f>
        <v>Low Income</v>
      </c>
      <c r="Y1283">
        <v>13492</v>
      </c>
      <c r="Z1283">
        <v>1</v>
      </c>
      <c r="AA1283" t="s">
        <v>42</v>
      </c>
      <c r="AB1283" t="s">
        <v>35</v>
      </c>
      <c r="AC1283">
        <v>18</v>
      </c>
      <c r="AD1283" t="str" cm="1">
        <f t="array" ref="AD1283">_xlfn.IFS(HRData[[#This Row],[PercentSalaryHike]]&lt;=15,"11-15",HRData[[#This Row],[PercentSalaryHike]]&lt;=20,"16-20",HRData[[#This Row],[PercentSalaryHike]]&gt;=21,"21+")</f>
        <v>16-20</v>
      </c>
      <c r="AE1283">
        <v>3</v>
      </c>
      <c r="AF1283">
        <v>4</v>
      </c>
      <c r="AG1283">
        <v>80</v>
      </c>
      <c r="AH1283">
        <v>0</v>
      </c>
      <c r="AI1283">
        <v>10</v>
      </c>
      <c r="AJ1283">
        <v>2</v>
      </c>
      <c r="AK1283">
        <v>3</v>
      </c>
      <c r="AL1283">
        <v>10</v>
      </c>
      <c r="AM1283">
        <v>7</v>
      </c>
      <c r="AN1283">
        <v>7</v>
      </c>
      <c r="AO1283">
        <v>7</v>
      </c>
      <c r="AP128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83" t="str">
        <f>IF(HRData[[#This Row],[Attrition]]="Yes","Left", IF(HRData[[#This Row],[Attrition_Risk_Score]]&gt;=6,"High",IF(HRData[[#This Row],[Attrition_Risk_Score]]&gt;=3,"Medium","Low")))</f>
        <v>Left</v>
      </c>
      <c r="AR1283" t="str">
        <f>IF(HRData[[#This Row],[Attrition_Risk_Level]]&lt;&gt;"High","",HRData[[#This Row],[Attrition_Risk_Score]]*10000-HRData[[#This Row],[EmployeeNumber]])</f>
        <v/>
      </c>
    </row>
    <row r="1284" spans="1:44">
      <c r="A1284">
        <v>33</v>
      </c>
      <c r="B1284" t="str" cm="1">
        <f t="array" ref="B1284">_xlfn.IFS(
HRData[[#This Row],[Age]]&lt;=24,"18-24",
HRData[[#This Row],[Age]]&lt;=34,"25-34",
HRData[[#This Row],[Age]]&lt;=44,"35-44",
HRData[[#This Row],[Age]]&lt;=54,"45-54",
HRData[[#This Row],[Age]]&gt;=55,"55+"
)</f>
        <v>25-34</v>
      </c>
      <c r="C1284" t="s">
        <v>43</v>
      </c>
      <c r="D1284">
        <f>IF(HRData[[#This Row],[Attrition]]="Yes",1,0)</f>
        <v>0</v>
      </c>
      <c r="E1284" t="s">
        <v>36</v>
      </c>
      <c r="F1284">
        <v>867</v>
      </c>
      <c r="G1284" t="s">
        <v>45</v>
      </c>
      <c r="H1284">
        <v>8</v>
      </c>
      <c r="I1284">
        <v>4</v>
      </c>
      <c r="J1284" t="s">
        <v>38</v>
      </c>
      <c r="K1284">
        <v>1</v>
      </c>
      <c r="L1284">
        <v>1798</v>
      </c>
      <c r="M1284">
        <v>4</v>
      </c>
      <c r="N1284" t="str" cm="1">
        <f t="array" ref="N1284">_xlfn.IFS(HRData[[#This Row],[EnvironmentSatisfaction]]=1,"Very Dissatisfied",
HRData[[#This Row],[EnvironmentSatisfaction]]=2,"Dissatisfied",
HRData[[#This Row],[EnvironmentSatisfaction]]=3,"Satisfied",
HRData[[#This Row],[EnvironmentSatisfaction]]=4,"Very Satisfied"
)</f>
        <v>Very Satisfied</v>
      </c>
      <c r="O1284" t="s">
        <v>46</v>
      </c>
      <c r="P1284">
        <v>90</v>
      </c>
      <c r="Q1284">
        <v>4</v>
      </c>
      <c r="R1284">
        <v>1</v>
      </c>
      <c r="S1284" t="s">
        <v>47</v>
      </c>
      <c r="T1284">
        <v>1</v>
      </c>
      <c r="U1284" t="str" cm="1">
        <f t="array" ref="U1284">_xlfn.IFS(
HRData[[#This Row],[JobSatisfaction]]=1,"Very Dissatisfied",
HRData[[#This Row],[JobSatisfaction]]=2,"Dissatisfied",
HRData[[#This Row],[JobSatisfaction]]=3,"Satisfied",
HRData[[#This Row],[JobSatisfaction]]=4,"Very Satisfied"
)</f>
        <v>Very Dissatisfied</v>
      </c>
      <c r="V1284" t="s">
        <v>48</v>
      </c>
      <c r="W1284">
        <v>3143</v>
      </c>
      <c r="X1284" t="str" cm="1">
        <f t="array" ref="X1284">_xlfn.IFS(
HRData[[#This Row],[MonthlyIncome]]&lt;=4000,"Very Low Income",
HRData[[#This Row],[MonthlyIncome]]&lt;=8000,"Low Income",
HRData[[#This Row],[MonthlyIncome]]&lt;=12000,"Moderate Income",
HRData[[#This Row],[MonthlyIncome]]&lt;=16000,"High Income",
HRData[[#This Row],[MonthlyIncome]]&gt;16000,"Very High Income"
)</f>
        <v>Very Low Income</v>
      </c>
      <c r="Y1284">
        <v>6076</v>
      </c>
      <c r="Z1284">
        <v>6</v>
      </c>
      <c r="AA1284" t="s">
        <v>42</v>
      </c>
      <c r="AB1284" t="s">
        <v>43</v>
      </c>
      <c r="AC1284">
        <v>19</v>
      </c>
      <c r="AD1284" t="str" cm="1">
        <f t="array" ref="AD1284">_xlfn.IFS(HRData[[#This Row],[PercentSalaryHike]]&lt;=15,"11-15",HRData[[#This Row],[PercentSalaryHike]]&lt;=20,"16-20",HRData[[#This Row],[PercentSalaryHike]]&gt;=21,"21+")</f>
        <v>16-20</v>
      </c>
      <c r="AE1284">
        <v>3</v>
      </c>
      <c r="AF1284">
        <v>2</v>
      </c>
      <c r="AG1284">
        <v>80</v>
      </c>
      <c r="AH1284">
        <v>1</v>
      </c>
      <c r="AI1284">
        <v>14</v>
      </c>
      <c r="AJ1284">
        <v>1</v>
      </c>
      <c r="AK1284">
        <v>3</v>
      </c>
      <c r="AL1284">
        <v>10</v>
      </c>
      <c r="AM1284">
        <v>8</v>
      </c>
      <c r="AN1284">
        <v>7</v>
      </c>
      <c r="AO1284">
        <v>6</v>
      </c>
      <c r="AP128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284" t="str">
        <f>IF(HRData[[#This Row],[Attrition]]="Yes","Left", IF(HRData[[#This Row],[Attrition_Risk_Score]]&gt;=6,"High",IF(HRData[[#This Row],[Attrition_Risk_Score]]&gt;=3,"Medium","Low")))</f>
        <v>Medium</v>
      </c>
      <c r="AR1284" t="str">
        <f>IF(HRData[[#This Row],[Attrition_Risk_Level]]&lt;&gt;"High","",HRData[[#This Row],[Attrition_Risk_Score]]*10000-HRData[[#This Row],[EmployeeNumber]])</f>
        <v/>
      </c>
    </row>
    <row r="1285" spans="1:44">
      <c r="A1285">
        <v>28</v>
      </c>
      <c r="B1285" t="str" cm="1">
        <f t="array" ref="B1285">_xlfn.IFS(
HRData[[#This Row],[Age]]&lt;=24,"18-24",
HRData[[#This Row],[Age]]&lt;=34,"25-34",
HRData[[#This Row],[Age]]&lt;=44,"35-44",
HRData[[#This Row],[Age]]&lt;=54,"45-54",
HRData[[#This Row],[Age]]&gt;=55,"55+"
)</f>
        <v>25-34</v>
      </c>
      <c r="C1285" t="s">
        <v>43</v>
      </c>
      <c r="D1285">
        <f>IF(HRData[[#This Row],[Attrition]]="Yes",1,0)</f>
        <v>0</v>
      </c>
      <c r="E1285" t="s">
        <v>36</v>
      </c>
      <c r="F1285">
        <v>1181</v>
      </c>
      <c r="G1285" t="s">
        <v>45</v>
      </c>
      <c r="H1285">
        <v>1</v>
      </c>
      <c r="I1285">
        <v>3</v>
      </c>
      <c r="J1285" t="s">
        <v>38</v>
      </c>
      <c r="K1285">
        <v>1</v>
      </c>
      <c r="L1285">
        <v>1799</v>
      </c>
      <c r="M1285">
        <v>3</v>
      </c>
      <c r="N1285" t="str" cm="1">
        <f t="array" ref="N1285">_xlfn.IFS(HRData[[#This Row],[EnvironmentSatisfaction]]=1,"Very Dissatisfied",
HRData[[#This Row],[EnvironmentSatisfaction]]=2,"Dissatisfied",
HRData[[#This Row],[EnvironmentSatisfaction]]=3,"Satisfied",
HRData[[#This Row],[EnvironmentSatisfaction]]=4,"Very Satisfied"
)</f>
        <v>Satisfied</v>
      </c>
      <c r="O1285" t="s">
        <v>46</v>
      </c>
      <c r="P1285">
        <v>82</v>
      </c>
      <c r="Q1285">
        <v>3</v>
      </c>
      <c r="R1285">
        <v>1</v>
      </c>
      <c r="S1285" t="s">
        <v>47</v>
      </c>
      <c r="T1285">
        <v>4</v>
      </c>
      <c r="U1285" t="str" cm="1">
        <f t="array" ref="U1285">_xlfn.IFS(
HRData[[#This Row],[JobSatisfaction]]=1,"Very Dissatisfied",
HRData[[#This Row],[JobSatisfaction]]=2,"Dissatisfied",
HRData[[#This Row],[JobSatisfaction]]=3,"Satisfied",
HRData[[#This Row],[JobSatisfaction]]=4,"Very Satisfied"
)</f>
        <v>Very Satisfied</v>
      </c>
      <c r="V1285" t="s">
        <v>48</v>
      </c>
      <c r="W1285">
        <v>2044</v>
      </c>
      <c r="X1285" t="str" cm="1">
        <f t="array" ref="X1285">_xlfn.IFS(
HRData[[#This Row],[MonthlyIncome]]&lt;=4000,"Very Low Income",
HRData[[#This Row],[MonthlyIncome]]&lt;=8000,"Low Income",
HRData[[#This Row],[MonthlyIncome]]&lt;=12000,"Moderate Income",
HRData[[#This Row],[MonthlyIncome]]&lt;=16000,"High Income",
HRData[[#This Row],[MonthlyIncome]]&gt;16000,"Very High Income"
)</f>
        <v>Very Low Income</v>
      </c>
      <c r="Y1285">
        <v>5531</v>
      </c>
      <c r="Z1285">
        <v>1</v>
      </c>
      <c r="AA1285" t="s">
        <v>42</v>
      </c>
      <c r="AB1285" t="s">
        <v>43</v>
      </c>
      <c r="AC1285">
        <v>11</v>
      </c>
      <c r="AD1285" t="str" cm="1">
        <f t="array" ref="AD1285">_xlfn.IFS(HRData[[#This Row],[PercentSalaryHike]]&lt;=15,"11-15",HRData[[#This Row],[PercentSalaryHike]]&lt;=20,"16-20",HRData[[#This Row],[PercentSalaryHike]]&gt;=21,"21+")</f>
        <v>11-15</v>
      </c>
      <c r="AE1285">
        <v>3</v>
      </c>
      <c r="AF1285">
        <v>3</v>
      </c>
      <c r="AG1285">
        <v>80</v>
      </c>
      <c r="AH1285">
        <v>1</v>
      </c>
      <c r="AI1285">
        <v>5</v>
      </c>
      <c r="AJ1285">
        <v>6</v>
      </c>
      <c r="AK1285">
        <v>4</v>
      </c>
      <c r="AL1285">
        <v>5</v>
      </c>
      <c r="AM1285">
        <v>3</v>
      </c>
      <c r="AN1285">
        <v>0</v>
      </c>
      <c r="AO1285">
        <v>3</v>
      </c>
      <c r="AP128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85" t="str">
        <f>IF(HRData[[#This Row],[Attrition]]="Yes","Left", IF(HRData[[#This Row],[Attrition_Risk_Score]]&gt;=6,"High",IF(HRData[[#This Row],[Attrition_Risk_Score]]&gt;=3,"Medium","Low")))</f>
        <v>Medium</v>
      </c>
      <c r="AR1285" t="str">
        <f>IF(HRData[[#This Row],[Attrition_Risk_Level]]&lt;&gt;"High","",HRData[[#This Row],[Attrition_Risk_Score]]*10000-HRData[[#This Row],[EmployeeNumber]])</f>
        <v/>
      </c>
    </row>
    <row r="1286" spans="1:44">
      <c r="A1286">
        <v>39</v>
      </c>
      <c r="B1286" t="str" cm="1">
        <f t="array" ref="B1286">_xlfn.IFS(
HRData[[#This Row],[Age]]&lt;=24,"18-24",
HRData[[#This Row],[Age]]&lt;=34,"25-34",
HRData[[#This Row],[Age]]&lt;=44,"35-44",
HRData[[#This Row],[Age]]&lt;=54,"45-54",
HRData[[#This Row],[Age]]&gt;=55,"55+"
)</f>
        <v>35-44</v>
      </c>
      <c r="C1286" t="s">
        <v>43</v>
      </c>
      <c r="D1286">
        <f>IF(HRData[[#This Row],[Attrition]]="Yes",1,0)</f>
        <v>0</v>
      </c>
      <c r="E1286" t="s">
        <v>36</v>
      </c>
      <c r="F1286">
        <v>1253</v>
      </c>
      <c r="G1286" t="s">
        <v>45</v>
      </c>
      <c r="H1286">
        <v>10</v>
      </c>
      <c r="I1286">
        <v>1</v>
      </c>
      <c r="J1286" t="s">
        <v>51</v>
      </c>
      <c r="K1286">
        <v>1</v>
      </c>
      <c r="L1286">
        <v>1800</v>
      </c>
      <c r="M1286">
        <v>3</v>
      </c>
      <c r="N1286" t="str" cm="1">
        <f t="array" ref="N1286">_xlfn.IFS(HRData[[#This Row],[EnvironmentSatisfaction]]=1,"Very Dissatisfied",
HRData[[#This Row],[EnvironmentSatisfaction]]=2,"Dissatisfied",
HRData[[#This Row],[EnvironmentSatisfaction]]=3,"Satisfied",
HRData[[#This Row],[EnvironmentSatisfaction]]=4,"Very Satisfied"
)</f>
        <v>Satisfied</v>
      </c>
      <c r="O1286" t="s">
        <v>46</v>
      </c>
      <c r="P1286">
        <v>65</v>
      </c>
      <c r="Q1286">
        <v>3</v>
      </c>
      <c r="R1286">
        <v>3</v>
      </c>
      <c r="S1286" t="s">
        <v>58</v>
      </c>
      <c r="T1286">
        <v>3</v>
      </c>
      <c r="U1286" t="str" cm="1">
        <f t="array" ref="U1286">_xlfn.IFS(
HRData[[#This Row],[JobSatisfaction]]=1,"Very Dissatisfied",
HRData[[#This Row],[JobSatisfaction]]=2,"Dissatisfied",
HRData[[#This Row],[JobSatisfaction]]=3,"Satisfied",
HRData[[#This Row],[JobSatisfaction]]=4,"Very Satisfied"
)</f>
        <v>Satisfied</v>
      </c>
      <c r="V1286" t="s">
        <v>41</v>
      </c>
      <c r="W1286">
        <v>13464</v>
      </c>
      <c r="X1286" t="str" cm="1">
        <f t="array" ref="X1286">_xlfn.IFS(
HRData[[#This Row],[MonthlyIncome]]&lt;=4000,"Very Low Income",
HRData[[#This Row],[MonthlyIncome]]&lt;=8000,"Low Income",
HRData[[#This Row],[MonthlyIncome]]&lt;=12000,"Moderate Income",
HRData[[#This Row],[MonthlyIncome]]&lt;=16000,"High Income",
HRData[[#This Row],[MonthlyIncome]]&gt;16000,"Very High Income"
)</f>
        <v>High Income</v>
      </c>
      <c r="Y1286">
        <v>7914</v>
      </c>
      <c r="Z1286">
        <v>7</v>
      </c>
      <c r="AA1286" t="s">
        <v>42</v>
      </c>
      <c r="AB1286" t="s">
        <v>43</v>
      </c>
      <c r="AC1286">
        <v>21</v>
      </c>
      <c r="AD1286" t="str" cm="1">
        <f t="array" ref="AD1286">_xlfn.IFS(HRData[[#This Row],[PercentSalaryHike]]&lt;=15,"11-15",HRData[[#This Row],[PercentSalaryHike]]&lt;=20,"16-20",HRData[[#This Row],[PercentSalaryHike]]&gt;=21,"21+")</f>
        <v>21+</v>
      </c>
      <c r="AE1286">
        <v>4</v>
      </c>
      <c r="AF1286">
        <v>3</v>
      </c>
      <c r="AG1286">
        <v>80</v>
      </c>
      <c r="AH1286">
        <v>0</v>
      </c>
      <c r="AI1286">
        <v>9</v>
      </c>
      <c r="AJ1286">
        <v>3</v>
      </c>
      <c r="AK1286">
        <v>3</v>
      </c>
      <c r="AL1286">
        <v>4</v>
      </c>
      <c r="AM1286">
        <v>3</v>
      </c>
      <c r="AN1286">
        <v>2</v>
      </c>
      <c r="AO1286">
        <v>2</v>
      </c>
      <c r="AP128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286" t="str">
        <f>IF(HRData[[#This Row],[Attrition]]="Yes","Left", IF(HRData[[#This Row],[Attrition_Risk_Score]]&gt;=6,"High",IF(HRData[[#This Row],[Attrition_Risk_Score]]&gt;=3,"Medium","Low")))</f>
        <v>Low</v>
      </c>
      <c r="AR1286" t="str">
        <f>IF(HRData[[#This Row],[Attrition_Risk_Level]]&lt;&gt;"High","",HRData[[#This Row],[Attrition_Risk_Score]]*10000-HRData[[#This Row],[EmployeeNumber]])</f>
        <v/>
      </c>
    </row>
    <row r="1287" spans="1:44">
      <c r="A1287">
        <v>46</v>
      </c>
      <c r="B1287" t="str" cm="1">
        <f t="array" ref="B1287">_xlfn.IFS(
HRData[[#This Row],[Age]]&lt;=24,"18-24",
HRData[[#This Row],[Age]]&lt;=34,"25-34",
HRData[[#This Row],[Age]]&lt;=44,"35-44",
HRData[[#This Row],[Age]]&lt;=54,"45-54",
HRData[[#This Row],[Age]]&gt;=55,"55+"
)</f>
        <v>45-54</v>
      </c>
      <c r="C1287" t="s">
        <v>43</v>
      </c>
      <c r="D1287">
        <f>IF(HRData[[#This Row],[Attrition]]="Yes",1,0)</f>
        <v>0</v>
      </c>
      <c r="E1287" t="s">
        <v>55</v>
      </c>
      <c r="F1287">
        <v>849</v>
      </c>
      <c r="G1287" t="s">
        <v>37</v>
      </c>
      <c r="H1287">
        <v>26</v>
      </c>
      <c r="I1287">
        <v>2</v>
      </c>
      <c r="J1287" t="s">
        <v>38</v>
      </c>
      <c r="K1287">
        <v>1</v>
      </c>
      <c r="L1287">
        <v>1801</v>
      </c>
      <c r="M1287">
        <v>2</v>
      </c>
      <c r="N1287" t="str" cm="1">
        <f t="array" ref="N1287">_xlfn.IFS(HRData[[#This Row],[EnvironmentSatisfaction]]=1,"Very Dissatisfied",
HRData[[#This Row],[EnvironmentSatisfaction]]=2,"Dissatisfied",
HRData[[#This Row],[EnvironmentSatisfaction]]=3,"Satisfied",
HRData[[#This Row],[EnvironmentSatisfaction]]=4,"Very Satisfied"
)</f>
        <v>Dissatisfied</v>
      </c>
      <c r="O1287" t="s">
        <v>46</v>
      </c>
      <c r="P1287">
        <v>98</v>
      </c>
      <c r="Q1287">
        <v>2</v>
      </c>
      <c r="R1287">
        <v>2</v>
      </c>
      <c r="S1287" t="s">
        <v>40</v>
      </c>
      <c r="T1287">
        <v>2</v>
      </c>
      <c r="U1287" t="str" cm="1">
        <f t="array" ref="U1287">_xlfn.IFS(
HRData[[#This Row],[JobSatisfaction]]=1,"Very Dissatisfied",
HRData[[#This Row],[JobSatisfaction]]=2,"Dissatisfied",
HRData[[#This Row],[JobSatisfaction]]=3,"Satisfied",
HRData[[#This Row],[JobSatisfaction]]=4,"Very Satisfied"
)</f>
        <v>Dissatisfied</v>
      </c>
      <c r="V1287" t="s">
        <v>41</v>
      </c>
      <c r="W1287">
        <v>7991</v>
      </c>
      <c r="X1287" t="str" cm="1">
        <f t="array" ref="X1287">_xlfn.IFS(
HRData[[#This Row],[MonthlyIncome]]&lt;=4000,"Very Low Income",
HRData[[#This Row],[MonthlyIncome]]&lt;=8000,"Low Income",
HRData[[#This Row],[MonthlyIncome]]&lt;=12000,"Moderate Income",
HRData[[#This Row],[MonthlyIncome]]&lt;=16000,"High Income",
HRData[[#This Row],[MonthlyIncome]]&gt;16000,"Very High Income"
)</f>
        <v>Low Income</v>
      </c>
      <c r="Y1287">
        <v>25166</v>
      </c>
      <c r="Z1287">
        <v>8</v>
      </c>
      <c r="AA1287" t="s">
        <v>42</v>
      </c>
      <c r="AB1287" t="s">
        <v>43</v>
      </c>
      <c r="AC1287">
        <v>15</v>
      </c>
      <c r="AD1287" t="str" cm="1">
        <f t="array" ref="AD1287">_xlfn.IFS(HRData[[#This Row],[PercentSalaryHike]]&lt;=15,"11-15",HRData[[#This Row],[PercentSalaryHike]]&lt;=20,"16-20",HRData[[#This Row],[PercentSalaryHike]]&gt;=21,"21+")</f>
        <v>11-15</v>
      </c>
      <c r="AE1287">
        <v>3</v>
      </c>
      <c r="AF1287">
        <v>3</v>
      </c>
      <c r="AG1287">
        <v>80</v>
      </c>
      <c r="AH1287">
        <v>0</v>
      </c>
      <c r="AI1287">
        <v>6</v>
      </c>
      <c r="AJ1287">
        <v>3</v>
      </c>
      <c r="AK1287">
        <v>3</v>
      </c>
      <c r="AL1287">
        <v>2</v>
      </c>
      <c r="AM1287">
        <v>2</v>
      </c>
      <c r="AN1287">
        <v>2</v>
      </c>
      <c r="AO1287">
        <v>2</v>
      </c>
      <c r="AP128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287" t="str">
        <f>IF(HRData[[#This Row],[Attrition]]="Yes","Left", IF(HRData[[#This Row],[Attrition_Risk_Score]]&gt;=6,"High",IF(HRData[[#This Row],[Attrition_Risk_Score]]&gt;=3,"Medium","Low")))</f>
        <v>Low</v>
      </c>
      <c r="AR1287" t="str">
        <f>IF(HRData[[#This Row],[Attrition_Risk_Level]]&lt;&gt;"High","",HRData[[#This Row],[Attrition_Risk_Score]]*10000-HRData[[#This Row],[EmployeeNumber]])</f>
        <v/>
      </c>
    </row>
    <row r="1288" spans="1:44">
      <c r="A1288">
        <v>40</v>
      </c>
      <c r="B1288" t="str" cm="1">
        <f t="array" ref="B1288">_xlfn.IFS(
HRData[[#This Row],[Age]]&lt;=24,"18-24",
HRData[[#This Row],[Age]]&lt;=34,"25-34",
HRData[[#This Row],[Age]]&lt;=44,"35-44",
HRData[[#This Row],[Age]]&lt;=54,"45-54",
HRData[[#This Row],[Age]]&gt;=55,"55+"
)</f>
        <v>35-44</v>
      </c>
      <c r="C1288" t="s">
        <v>43</v>
      </c>
      <c r="D1288">
        <f>IF(HRData[[#This Row],[Attrition]]="Yes",1,0)</f>
        <v>0</v>
      </c>
      <c r="E1288" t="s">
        <v>36</v>
      </c>
      <c r="F1288">
        <v>616</v>
      </c>
      <c r="G1288" t="s">
        <v>45</v>
      </c>
      <c r="H1288">
        <v>2</v>
      </c>
      <c r="I1288">
        <v>2</v>
      </c>
      <c r="J1288" t="s">
        <v>38</v>
      </c>
      <c r="K1288">
        <v>1</v>
      </c>
      <c r="L1288">
        <v>1802</v>
      </c>
      <c r="M1288">
        <v>3</v>
      </c>
      <c r="N1288" t="str" cm="1">
        <f t="array" ref="N1288">_xlfn.IFS(HRData[[#This Row],[EnvironmentSatisfaction]]=1,"Very Dissatisfied",
HRData[[#This Row],[EnvironmentSatisfaction]]=2,"Dissatisfied",
HRData[[#This Row],[EnvironmentSatisfaction]]=3,"Satisfied",
HRData[[#This Row],[EnvironmentSatisfaction]]=4,"Very Satisfied"
)</f>
        <v>Satisfied</v>
      </c>
      <c r="O1288" t="s">
        <v>39</v>
      </c>
      <c r="P1288">
        <v>99</v>
      </c>
      <c r="Q1288">
        <v>3</v>
      </c>
      <c r="R1288">
        <v>1</v>
      </c>
      <c r="S1288" t="s">
        <v>50</v>
      </c>
      <c r="T1288">
        <v>1</v>
      </c>
      <c r="U1288" t="str" cm="1">
        <f t="array" ref="U1288">_xlfn.IFS(
HRData[[#This Row],[JobSatisfaction]]=1,"Very Dissatisfied",
HRData[[#This Row],[JobSatisfaction]]=2,"Dissatisfied",
HRData[[#This Row],[JobSatisfaction]]=3,"Satisfied",
HRData[[#This Row],[JobSatisfaction]]=4,"Very Satisfied"
)</f>
        <v>Very Dissatisfied</v>
      </c>
      <c r="V1288" t="s">
        <v>48</v>
      </c>
      <c r="W1288">
        <v>3377</v>
      </c>
      <c r="X1288" t="str" cm="1">
        <f t="array" ref="X1288">_xlfn.IFS(
HRData[[#This Row],[MonthlyIncome]]&lt;=4000,"Very Low Income",
HRData[[#This Row],[MonthlyIncome]]&lt;=8000,"Low Income",
HRData[[#This Row],[MonthlyIncome]]&lt;=12000,"Moderate Income",
HRData[[#This Row],[MonthlyIncome]]&lt;=16000,"High Income",
HRData[[#This Row],[MonthlyIncome]]&gt;16000,"Very High Income"
)</f>
        <v>Very Low Income</v>
      </c>
      <c r="Y1288">
        <v>25605</v>
      </c>
      <c r="Z1288">
        <v>4</v>
      </c>
      <c r="AA1288" t="s">
        <v>42</v>
      </c>
      <c r="AB1288" t="s">
        <v>43</v>
      </c>
      <c r="AC1288">
        <v>17</v>
      </c>
      <c r="AD1288" t="str" cm="1">
        <f t="array" ref="AD1288">_xlfn.IFS(HRData[[#This Row],[PercentSalaryHike]]&lt;=15,"11-15",HRData[[#This Row],[PercentSalaryHike]]&lt;=20,"16-20",HRData[[#This Row],[PercentSalaryHike]]&gt;=21,"21+")</f>
        <v>16-20</v>
      </c>
      <c r="AE1288">
        <v>3</v>
      </c>
      <c r="AF1288">
        <v>4</v>
      </c>
      <c r="AG1288">
        <v>80</v>
      </c>
      <c r="AH1288">
        <v>1</v>
      </c>
      <c r="AI1288">
        <v>7</v>
      </c>
      <c r="AJ1288">
        <v>5</v>
      </c>
      <c r="AK1288">
        <v>2</v>
      </c>
      <c r="AL1288">
        <v>4</v>
      </c>
      <c r="AM1288">
        <v>3</v>
      </c>
      <c r="AN1288">
        <v>0</v>
      </c>
      <c r="AO1288">
        <v>2</v>
      </c>
      <c r="AP128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288" t="str">
        <f>IF(HRData[[#This Row],[Attrition]]="Yes","Left", IF(HRData[[#This Row],[Attrition_Risk_Score]]&gt;=6,"High",IF(HRData[[#This Row],[Attrition_Risk_Score]]&gt;=3,"Medium","Low")))</f>
        <v>Medium</v>
      </c>
      <c r="AR1288" t="str">
        <f>IF(HRData[[#This Row],[Attrition_Risk_Level]]&lt;&gt;"High","",HRData[[#This Row],[Attrition_Risk_Score]]*10000-HRData[[#This Row],[EmployeeNumber]])</f>
        <v/>
      </c>
    </row>
    <row r="1289" spans="1:44">
      <c r="A1289">
        <v>42</v>
      </c>
      <c r="B1289" t="str" cm="1">
        <f t="array" ref="B1289">_xlfn.IFS(
HRData[[#This Row],[Age]]&lt;=24,"18-24",
HRData[[#This Row],[Age]]&lt;=34,"25-34",
HRData[[#This Row],[Age]]&lt;=44,"35-44",
HRData[[#This Row],[Age]]&lt;=54,"45-54",
HRData[[#This Row],[Age]]&gt;=55,"55+"
)</f>
        <v>35-44</v>
      </c>
      <c r="C1289" t="s">
        <v>43</v>
      </c>
      <c r="D1289">
        <f>IF(HRData[[#This Row],[Attrition]]="Yes",1,0)</f>
        <v>0</v>
      </c>
      <c r="E1289" t="s">
        <v>36</v>
      </c>
      <c r="F1289">
        <v>1128</v>
      </c>
      <c r="G1289" t="s">
        <v>45</v>
      </c>
      <c r="H1289">
        <v>13</v>
      </c>
      <c r="I1289">
        <v>3</v>
      </c>
      <c r="J1289" t="s">
        <v>51</v>
      </c>
      <c r="K1289">
        <v>1</v>
      </c>
      <c r="L1289">
        <v>1803</v>
      </c>
      <c r="M1289">
        <v>2</v>
      </c>
      <c r="N1289" t="str" cm="1">
        <f t="array" ref="N1289">_xlfn.IFS(HRData[[#This Row],[EnvironmentSatisfaction]]=1,"Very Dissatisfied",
HRData[[#This Row],[EnvironmentSatisfaction]]=2,"Dissatisfied",
HRData[[#This Row],[EnvironmentSatisfaction]]=3,"Satisfied",
HRData[[#This Row],[EnvironmentSatisfaction]]=4,"Very Satisfied"
)</f>
        <v>Dissatisfied</v>
      </c>
      <c r="O1289" t="s">
        <v>46</v>
      </c>
      <c r="P1289">
        <v>95</v>
      </c>
      <c r="Q1289">
        <v>4</v>
      </c>
      <c r="R1289">
        <v>2</v>
      </c>
      <c r="S1289" t="s">
        <v>54</v>
      </c>
      <c r="T1289">
        <v>1</v>
      </c>
      <c r="U1289" t="str" cm="1">
        <f t="array" ref="U1289">_xlfn.IFS(
HRData[[#This Row],[JobSatisfaction]]=1,"Very Dissatisfied",
HRData[[#This Row],[JobSatisfaction]]=2,"Dissatisfied",
HRData[[#This Row],[JobSatisfaction]]=3,"Satisfied",
HRData[[#This Row],[JobSatisfaction]]=4,"Very Satisfied"
)</f>
        <v>Very Dissatisfied</v>
      </c>
      <c r="V1289" t="s">
        <v>48</v>
      </c>
      <c r="W1289">
        <v>5538</v>
      </c>
      <c r="X1289" t="str" cm="1">
        <f t="array" ref="X1289">_xlfn.IFS(
HRData[[#This Row],[MonthlyIncome]]&lt;=4000,"Very Low Income",
HRData[[#This Row],[MonthlyIncome]]&lt;=8000,"Low Income",
HRData[[#This Row],[MonthlyIncome]]&lt;=12000,"Moderate Income",
HRData[[#This Row],[MonthlyIncome]]&lt;=16000,"High Income",
HRData[[#This Row],[MonthlyIncome]]&gt;16000,"Very High Income"
)</f>
        <v>Low Income</v>
      </c>
      <c r="Y1289">
        <v>5696</v>
      </c>
      <c r="Z1289">
        <v>5</v>
      </c>
      <c r="AA1289" t="s">
        <v>42</v>
      </c>
      <c r="AB1289" t="s">
        <v>43</v>
      </c>
      <c r="AC1289">
        <v>18</v>
      </c>
      <c r="AD1289" t="str" cm="1">
        <f t="array" ref="AD1289">_xlfn.IFS(HRData[[#This Row],[PercentSalaryHike]]&lt;=15,"11-15",HRData[[#This Row],[PercentSalaryHike]]&lt;=20,"16-20",HRData[[#This Row],[PercentSalaryHike]]&gt;=21,"21+")</f>
        <v>16-20</v>
      </c>
      <c r="AE1289">
        <v>3</v>
      </c>
      <c r="AF1289">
        <v>3</v>
      </c>
      <c r="AG1289">
        <v>80</v>
      </c>
      <c r="AH1289">
        <v>2</v>
      </c>
      <c r="AI1289">
        <v>10</v>
      </c>
      <c r="AJ1289">
        <v>2</v>
      </c>
      <c r="AK1289">
        <v>2</v>
      </c>
      <c r="AL1289">
        <v>0</v>
      </c>
      <c r="AM1289">
        <v>0</v>
      </c>
      <c r="AN1289">
        <v>0</v>
      </c>
      <c r="AO1289">
        <v>0</v>
      </c>
      <c r="AP128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89" t="str">
        <f>IF(HRData[[#This Row],[Attrition]]="Yes","Left", IF(HRData[[#This Row],[Attrition_Risk_Score]]&gt;=6,"High",IF(HRData[[#This Row],[Attrition_Risk_Score]]&gt;=3,"Medium","Low")))</f>
        <v>Medium</v>
      </c>
      <c r="AR1289" t="str">
        <f>IF(HRData[[#This Row],[Attrition_Risk_Level]]&lt;&gt;"High","",HRData[[#This Row],[Attrition_Risk_Score]]*10000-HRData[[#This Row],[EmployeeNumber]])</f>
        <v/>
      </c>
    </row>
    <row r="1290" spans="1:44">
      <c r="A1290">
        <v>35</v>
      </c>
      <c r="B1290" t="str" cm="1">
        <f t="array" ref="B1290">_xlfn.IFS(
HRData[[#This Row],[Age]]&lt;=24,"18-24",
HRData[[#This Row],[Age]]&lt;=34,"25-34",
HRData[[#This Row],[Age]]&lt;=44,"35-44",
HRData[[#This Row],[Age]]&lt;=54,"45-54",
HRData[[#This Row],[Age]]&gt;=55,"55+"
)</f>
        <v>35-44</v>
      </c>
      <c r="C1290" t="s">
        <v>43</v>
      </c>
      <c r="D1290">
        <f>IF(HRData[[#This Row],[Attrition]]="Yes",1,0)</f>
        <v>0</v>
      </c>
      <c r="E1290" t="s">
        <v>55</v>
      </c>
      <c r="F1290">
        <v>1180</v>
      </c>
      <c r="G1290" t="s">
        <v>45</v>
      </c>
      <c r="H1290">
        <v>2</v>
      </c>
      <c r="I1290">
        <v>2</v>
      </c>
      <c r="J1290" t="s">
        <v>51</v>
      </c>
      <c r="K1290">
        <v>1</v>
      </c>
      <c r="L1290">
        <v>1804</v>
      </c>
      <c r="M1290">
        <v>2</v>
      </c>
      <c r="N1290" t="str" cm="1">
        <f t="array" ref="N1290">_xlfn.IFS(HRData[[#This Row],[EnvironmentSatisfaction]]=1,"Very Dissatisfied",
HRData[[#This Row],[EnvironmentSatisfaction]]=2,"Dissatisfied",
HRData[[#This Row],[EnvironmentSatisfaction]]=3,"Satisfied",
HRData[[#This Row],[EnvironmentSatisfaction]]=4,"Very Satisfied"
)</f>
        <v>Dissatisfied</v>
      </c>
      <c r="O1290" t="s">
        <v>46</v>
      </c>
      <c r="P1290">
        <v>90</v>
      </c>
      <c r="Q1290">
        <v>3</v>
      </c>
      <c r="R1290">
        <v>2</v>
      </c>
      <c r="S1290" t="s">
        <v>53</v>
      </c>
      <c r="T1290">
        <v>4</v>
      </c>
      <c r="U1290" t="str" cm="1">
        <f t="array" ref="U1290">_xlfn.IFS(
HRData[[#This Row],[JobSatisfaction]]=1,"Very Dissatisfied",
HRData[[#This Row],[JobSatisfaction]]=2,"Dissatisfied",
HRData[[#This Row],[JobSatisfaction]]=3,"Satisfied",
HRData[[#This Row],[JobSatisfaction]]=4,"Very Satisfied"
)</f>
        <v>Very Satisfied</v>
      </c>
      <c r="V1290" t="s">
        <v>52</v>
      </c>
      <c r="W1290">
        <v>5762</v>
      </c>
      <c r="X1290" t="str" cm="1">
        <f t="array" ref="X1290">_xlfn.IFS(
HRData[[#This Row],[MonthlyIncome]]&lt;=4000,"Very Low Income",
HRData[[#This Row],[MonthlyIncome]]&lt;=8000,"Low Income",
HRData[[#This Row],[MonthlyIncome]]&lt;=12000,"Moderate Income",
HRData[[#This Row],[MonthlyIncome]]&lt;=16000,"High Income",
HRData[[#This Row],[MonthlyIncome]]&gt;16000,"Very High Income"
)</f>
        <v>Low Income</v>
      </c>
      <c r="Y1290">
        <v>24442</v>
      </c>
      <c r="Z1290">
        <v>2</v>
      </c>
      <c r="AA1290" t="s">
        <v>42</v>
      </c>
      <c r="AB1290" t="s">
        <v>43</v>
      </c>
      <c r="AC1290">
        <v>14</v>
      </c>
      <c r="AD1290" t="str" cm="1">
        <f t="array" ref="AD1290">_xlfn.IFS(HRData[[#This Row],[PercentSalaryHike]]&lt;=15,"11-15",HRData[[#This Row],[PercentSalaryHike]]&lt;=20,"16-20",HRData[[#This Row],[PercentSalaryHike]]&gt;=21,"21+")</f>
        <v>11-15</v>
      </c>
      <c r="AE1290">
        <v>3</v>
      </c>
      <c r="AF1290">
        <v>3</v>
      </c>
      <c r="AG1290">
        <v>80</v>
      </c>
      <c r="AH1290">
        <v>1</v>
      </c>
      <c r="AI1290">
        <v>15</v>
      </c>
      <c r="AJ1290">
        <v>6</v>
      </c>
      <c r="AK1290">
        <v>3</v>
      </c>
      <c r="AL1290">
        <v>7</v>
      </c>
      <c r="AM1290">
        <v>7</v>
      </c>
      <c r="AN1290">
        <v>1</v>
      </c>
      <c r="AO1290">
        <v>7</v>
      </c>
      <c r="AP129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290" t="str">
        <f>IF(HRData[[#This Row],[Attrition]]="Yes","Left", IF(HRData[[#This Row],[Attrition_Risk_Score]]&gt;=6,"High",IF(HRData[[#This Row],[Attrition_Risk_Score]]&gt;=3,"Medium","Low")))</f>
        <v>Low</v>
      </c>
      <c r="AR1290" t="str">
        <f>IF(HRData[[#This Row],[Attrition_Risk_Level]]&lt;&gt;"High","",HRData[[#This Row],[Attrition_Risk_Score]]*10000-HRData[[#This Row],[EmployeeNumber]])</f>
        <v/>
      </c>
    </row>
    <row r="1291" spans="1:44">
      <c r="A1291">
        <v>38</v>
      </c>
      <c r="B1291" t="str" cm="1">
        <f t="array" ref="B1291">_xlfn.IFS(
HRData[[#This Row],[Age]]&lt;=24,"18-24",
HRData[[#This Row],[Age]]&lt;=34,"25-34",
HRData[[#This Row],[Age]]&lt;=44,"35-44",
HRData[[#This Row],[Age]]&lt;=54,"45-54",
HRData[[#This Row],[Age]]&gt;=55,"55+"
)</f>
        <v>35-44</v>
      </c>
      <c r="C1291" t="s">
        <v>43</v>
      </c>
      <c r="D1291">
        <f>IF(HRData[[#This Row],[Attrition]]="Yes",1,0)</f>
        <v>0</v>
      </c>
      <c r="E1291" t="s">
        <v>55</v>
      </c>
      <c r="F1291">
        <v>1336</v>
      </c>
      <c r="G1291" t="s">
        <v>61</v>
      </c>
      <c r="H1291">
        <v>2</v>
      </c>
      <c r="I1291">
        <v>3</v>
      </c>
      <c r="J1291" t="s">
        <v>61</v>
      </c>
      <c r="K1291">
        <v>1</v>
      </c>
      <c r="L1291">
        <v>1805</v>
      </c>
      <c r="M1291">
        <v>1</v>
      </c>
      <c r="N1291" t="str" cm="1">
        <f t="array" ref="N1291">_xlfn.IFS(HRData[[#This Row],[EnvironmentSatisfaction]]=1,"Very Dissatisfied",
HRData[[#This Row],[EnvironmentSatisfaction]]=2,"Dissatisfied",
HRData[[#This Row],[EnvironmentSatisfaction]]=3,"Satisfied",
HRData[[#This Row],[EnvironmentSatisfaction]]=4,"Very Satisfied"
)</f>
        <v>Very Dissatisfied</v>
      </c>
      <c r="O1291" t="s">
        <v>46</v>
      </c>
      <c r="P1291">
        <v>100</v>
      </c>
      <c r="Q1291">
        <v>3</v>
      </c>
      <c r="R1291">
        <v>1</v>
      </c>
      <c r="S1291" t="s">
        <v>61</v>
      </c>
      <c r="T1291">
        <v>2</v>
      </c>
      <c r="U1291" t="str" cm="1">
        <f t="array" ref="U1291">_xlfn.IFS(
HRData[[#This Row],[JobSatisfaction]]=1,"Very Dissatisfied",
HRData[[#This Row],[JobSatisfaction]]=2,"Dissatisfied",
HRData[[#This Row],[JobSatisfaction]]=3,"Satisfied",
HRData[[#This Row],[JobSatisfaction]]=4,"Very Satisfied"
)</f>
        <v>Dissatisfied</v>
      </c>
      <c r="V1291" t="s">
        <v>52</v>
      </c>
      <c r="W1291">
        <v>2592</v>
      </c>
      <c r="X1291" t="str" cm="1">
        <f t="array" ref="X1291">_xlfn.IFS(
HRData[[#This Row],[MonthlyIncome]]&lt;=4000,"Very Low Income",
HRData[[#This Row],[MonthlyIncome]]&lt;=8000,"Low Income",
HRData[[#This Row],[MonthlyIncome]]&lt;=12000,"Moderate Income",
HRData[[#This Row],[MonthlyIncome]]&lt;=16000,"High Income",
HRData[[#This Row],[MonthlyIncome]]&gt;16000,"Very High Income"
)</f>
        <v>Very Low Income</v>
      </c>
      <c r="Y1291">
        <v>7129</v>
      </c>
      <c r="Z1291">
        <v>5</v>
      </c>
      <c r="AA1291" t="s">
        <v>42</v>
      </c>
      <c r="AB1291" t="s">
        <v>43</v>
      </c>
      <c r="AC1291">
        <v>13</v>
      </c>
      <c r="AD1291" t="str" cm="1">
        <f t="array" ref="AD1291">_xlfn.IFS(HRData[[#This Row],[PercentSalaryHike]]&lt;=15,"11-15",HRData[[#This Row],[PercentSalaryHike]]&lt;=20,"16-20",HRData[[#This Row],[PercentSalaryHike]]&gt;=21,"21+")</f>
        <v>11-15</v>
      </c>
      <c r="AE1291">
        <v>3</v>
      </c>
      <c r="AF1291">
        <v>4</v>
      </c>
      <c r="AG1291">
        <v>80</v>
      </c>
      <c r="AH1291">
        <v>3</v>
      </c>
      <c r="AI1291">
        <v>13</v>
      </c>
      <c r="AJ1291">
        <v>3</v>
      </c>
      <c r="AK1291">
        <v>3</v>
      </c>
      <c r="AL1291">
        <v>11</v>
      </c>
      <c r="AM1291">
        <v>10</v>
      </c>
      <c r="AN1291">
        <v>3</v>
      </c>
      <c r="AO1291">
        <v>8</v>
      </c>
      <c r="AP129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91" t="str">
        <f>IF(HRData[[#This Row],[Attrition]]="Yes","Left", IF(HRData[[#This Row],[Attrition_Risk_Score]]&gt;=6,"High",IF(HRData[[#This Row],[Attrition_Risk_Score]]&gt;=3,"Medium","Low")))</f>
        <v>Medium</v>
      </c>
      <c r="AR1291" t="str">
        <f>IF(HRData[[#This Row],[Attrition_Risk_Level]]&lt;&gt;"High","",HRData[[#This Row],[Attrition_Risk_Score]]*10000-HRData[[#This Row],[EmployeeNumber]])</f>
        <v/>
      </c>
    </row>
    <row r="1292" spans="1:44">
      <c r="A1292">
        <v>34</v>
      </c>
      <c r="B1292" t="str" cm="1">
        <f t="array" ref="B1292">_xlfn.IFS(
HRData[[#This Row],[Age]]&lt;=24,"18-24",
HRData[[#This Row],[Age]]&lt;=34,"25-34",
HRData[[#This Row],[Age]]&lt;=44,"35-44",
HRData[[#This Row],[Age]]&lt;=54,"45-54",
HRData[[#This Row],[Age]]&gt;=55,"55+"
)</f>
        <v>25-34</v>
      </c>
      <c r="C1292" t="s">
        <v>35</v>
      </c>
      <c r="D1292">
        <f>IF(HRData[[#This Row],[Attrition]]="Yes",1,0)</f>
        <v>1</v>
      </c>
      <c r="E1292" t="s">
        <v>44</v>
      </c>
      <c r="F1292">
        <v>234</v>
      </c>
      <c r="G1292" t="s">
        <v>45</v>
      </c>
      <c r="H1292">
        <v>9</v>
      </c>
      <c r="I1292">
        <v>4</v>
      </c>
      <c r="J1292" t="s">
        <v>38</v>
      </c>
      <c r="K1292">
        <v>1</v>
      </c>
      <c r="L1292">
        <v>1807</v>
      </c>
      <c r="M1292">
        <v>4</v>
      </c>
      <c r="N1292" t="str" cm="1">
        <f t="array" ref="N1292">_xlfn.IFS(HRData[[#This Row],[EnvironmentSatisfaction]]=1,"Very Dissatisfied",
HRData[[#This Row],[EnvironmentSatisfaction]]=2,"Dissatisfied",
HRData[[#This Row],[EnvironmentSatisfaction]]=3,"Satisfied",
HRData[[#This Row],[EnvironmentSatisfaction]]=4,"Very Satisfied"
)</f>
        <v>Very Satisfied</v>
      </c>
      <c r="O1292" t="s">
        <v>46</v>
      </c>
      <c r="P1292">
        <v>93</v>
      </c>
      <c r="Q1292">
        <v>3</v>
      </c>
      <c r="R1292">
        <v>2</v>
      </c>
      <c r="S1292" t="s">
        <v>50</v>
      </c>
      <c r="T1292">
        <v>1</v>
      </c>
      <c r="U1292" t="str" cm="1">
        <f t="array" ref="U1292">_xlfn.IFS(
HRData[[#This Row],[JobSatisfaction]]=1,"Very Dissatisfied",
HRData[[#This Row],[JobSatisfaction]]=2,"Dissatisfied",
HRData[[#This Row],[JobSatisfaction]]=3,"Satisfied",
HRData[[#This Row],[JobSatisfaction]]=4,"Very Satisfied"
)</f>
        <v>Very Dissatisfied</v>
      </c>
      <c r="V1292" t="s">
        <v>48</v>
      </c>
      <c r="W1292">
        <v>5346</v>
      </c>
      <c r="X1292" t="str" cm="1">
        <f t="array" ref="X1292">_xlfn.IFS(
HRData[[#This Row],[MonthlyIncome]]&lt;=4000,"Very Low Income",
HRData[[#This Row],[MonthlyIncome]]&lt;=8000,"Low Income",
HRData[[#This Row],[MonthlyIncome]]&lt;=12000,"Moderate Income",
HRData[[#This Row],[MonthlyIncome]]&lt;=16000,"High Income",
HRData[[#This Row],[MonthlyIncome]]&gt;16000,"Very High Income"
)</f>
        <v>Low Income</v>
      </c>
      <c r="Y1292">
        <v>6208</v>
      </c>
      <c r="Z1292">
        <v>4</v>
      </c>
      <c r="AA1292" t="s">
        <v>42</v>
      </c>
      <c r="AB1292" t="s">
        <v>43</v>
      </c>
      <c r="AC1292">
        <v>17</v>
      </c>
      <c r="AD1292" t="str" cm="1">
        <f t="array" ref="AD1292">_xlfn.IFS(HRData[[#This Row],[PercentSalaryHike]]&lt;=15,"11-15",HRData[[#This Row],[PercentSalaryHike]]&lt;=20,"16-20",HRData[[#This Row],[PercentSalaryHike]]&gt;=21,"21+")</f>
        <v>16-20</v>
      </c>
      <c r="AE1292">
        <v>3</v>
      </c>
      <c r="AF1292">
        <v>3</v>
      </c>
      <c r="AG1292">
        <v>80</v>
      </c>
      <c r="AH1292">
        <v>1</v>
      </c>
      <c r="AI1292">
        <v>11</v>
      </c>
      <c r="AJ1292">
        <v>3</v>
      </c>
      <c r="AK1292">
        <v>2</v>
      </c>
      <c r="AL1292">
        <v>7</v>
      </c>
      <c r="AM1292">
        <v>1</v>
      </c>
      <c r="AN1292">
        <v>0</v>
      </c>
      <c r="AO1292">
        <v>7</v>
      </c>
      <c r="AP129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92" t="str">
        <f>IF(HRData[[#This Row],[Attrition]]="Yes","Left", IF(HRData[[#This Row],[Attrition_Risk_Score]]&gt;=6,"High",IF(HRData[[#This Row],[Attrition_Risk_Score]]&gt;=3,"Medium","Low")))</f>
        <v>Left</v>
      </c>
      <c r="AR1292" t="str">
        <f>IF(HRData[[#This Row],[Attrition_Risk_Level]]&lt;&gt;"High","",HRData[[#This Row],[Attrition_Risk_Score]]*10000-HRData[[#This Row],[EmployeeNumber]])</f>
        <v/>
      </c>
    </row>
    <row r="1293" spans="1:44">
      <c r="A1293">
        <v>37</v>
      </c>
      <c r="B1293" t="str" cm="1">
        <f t="array" ref="B1293">_xlfn.IFS(
HRData[[#This Row],[Age]]&lt;=24,"18-24",
HRData[[#This Row],[Age]]&lt;=34,"25-34",
HRData[[#This Row],[Age]]&lt;=44,"35-44",
HRData[[#This Row],[Age]]&lt;=54,"45-54",
HRData[[#This Row],[Age]]&gt;=55,"55+"
)</f>
        <v>35-44</v>
      </c>
      <c r="C1293" t="s">
        <v>35</v>
      </c>
      <c r="D1293">
        <f>IF(HRData[[#This Row],[Attrition]]="Yes",1,0)</f>
        <v>1</v>
      </c>
      <c r="E1293" t="s">
        <v>36</v>
      </c>
      <c r="F1293">
        <v>370</v>
      </c>
      <c r="G1293" t="s">
        <v>45</v>
      </c>
      <c r="H1293">
        <v>10</v>
      </c>
      <c r="I1293">
        <v>4</v>
      </c>
      <c r="J1293" t="s">
        <v>51</v>
      </c>
      <c r="K1293">
        <v>1</v>
      </c>
      <c r="L1293">
        <v>1809</v>
      </c>
      <c r="M1293">
        <v>4</v>
      </c>
      <c r="N1293" t="str" cm="1">
        <f t="array" ref="N1293">_xlfn.IFS(HRData[[#This Row],[EnvironmentSatisfaction]]=1,"Very Dissatisfied",
HRData[[#This Row],[EnvironmentSatisfaction]]=2,"Dissatisfied",
HRData[[#This Row],[EnvironmentSatisfaction]]=3,"Satisfied",
HRData[[#This Row],[EnvironmentSatisfaction]]=4,"Very Satisfied"
)</f>
        <v>Very Satisfied</v>
      </c>
      <c r="O1293" t="s">
        <v>46</v>
      </c>
      <c r="P1293">
        <v>58</v>
      </c>
      <c r="Q1293">
        <v>3</v>
      </c>
      <c r="R1293">
        <v>2</v>
      </c>
      <c r="S1293" t="s">
        <v>53</v>
      </c>
      <c r="T1293">
        <v>1</v>
      </c>
      <c r="U1293" t="str" cm="1">
        <f t="array" ref="U1293">_xlfn.IFS(
HRData[[#This Row],[JobSatisfaction]]=1,"Very Dissatisfied",
HRData[[#This Row],[JobSatisfaction]]=2,"Dissatisfied",
HRData[[#This Row],[JobSatisfaction]]=3,"Satisfied",
HRData[[#This Row],[JobSatisfaction]]=4,"Very Satisfied"
)</f>
        <v>Very Dissatisfied</v>
      </c>
      <c r="V1293" t="s">
        <v>41</v>
      </c>
      <c r="W1293">
        <v>4213</v>
      </c>
      <c r="X1293" t="str" cm="1">
        <f t="array" ref="X1293">_xlfn.IFS(
HRData[[#This Row],[MonthlyIncome]]&lt;=4000,"Very Low Income",
HRData[[#This Row],[MonthlyIncome]]&lt;=8000,"Low Income",
HRData[[#This Row],[MonthlyIncome]]&lt;=12000,"Moderate Income",
HRData[[#This Row],[MonthlyIncome]]&lt;=16000,"High Income",
HRData[[#This Row],[MonthlyIncome]]&gt;16000,"Very High Income"
)</f>
        <v>Low Income</v>
      </c>
      <c r="Y1293">
        <v>4992</v>
      </c>
      <c r="Z1293">
        <v>1</v>
      </c>
      <c r="AA1293" t="s">
        <v>42</v>
      </c>
      <c r="AB1293" t="s">
        <v>43</v>
      </c>
      <c r="AC1293">
        <v>15</v>
      </c>
      <c r="AD1293" t="str" cm="1">
        <f t="array" ref="AD1293">_xlfn.IFS(HRData[[#This Row],[PercentSalaryHike]]&lt;=15,"11-15",HRData[[#This Row],[PercentSalaryHike]]&lt;=20,"16-20",HRData[[#This Row],[PercentSalaryHike]]&gt;=21,"21+")</f>
        <v>11-15</v>
      </c>
      <c r="AE1293">
        <v>3</v>
      </c>
      <c r="AF1293">
        <v>2</v>
      </c>
      <c r="AG1293">
        <v>80</v>
      </c>
      <c r="AH1293">
        <v>0</v>
      </c>
      <c r="AI1293">
        <v>10</v>
      </c>
      <c r="AJ1293">
        <v>4</v>
      </c>
      <c r="AK1293">
        <v>1</v>
      </c>
      <c r="AL1293">
        <v>10</v>
      </c>
      <c r="AM1293">
        <v>3</v>
      </c>
      <c r="AN1293">
        <v>0</v>
      </c>
      <c r="AO1293">
        <v>8</v>
      </c>
      <c r="AP129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93" t="str">
        <f>IF(HRData[[#This Row],[Attrition]]="Yes","Left", IF(HRData[[#This Row],[Attrition_Risk_Score]]&gt;=6,"High",IF(HRData[[#This Row],[Attrition_Risk_Score]]&gt;=3,"Medium","Low")))</f>
        <v>Left</v>
      </c>
      <c r="AR1293" t="str">
        <f>IF(HRData[[#This Row],[Attrition_Risk_Level]]&lt;&gt;"High","",HRData[[#This Row],[Attrition_Risk_Score]]*10000-HRData[[#This Row],[EmployeeNumber]])</f>
        <v/>
      </c>
    </row>
    <row r="1294" spans="1:44">
      <c r="A1294">
        <v>39</v>
      </c>
      <c r="B1294" t="str" cm="1">
        <f t="array" ref="B1294">_xlfn.IFS(
HRData[[#This Row],[Age]]&lt;=24,"18-24",
HRData[[#This Row],[Age]]&lt;=34,"25-34",
HRData[[#This Row],[Age]]&lt;=44,"35-44",
HRData[[#This Row],[Age]]&lt;=54,"45-54",
HRData[[#This Row],[Age]]&gt;=55,"55+"
)</f>
        <v>35-44</v>
      </c>
      <c r="C1294" t="s">
        <v>43</v>
      </c>
      <c r="D1294">
        <f>IF(HRData[[#This Row],[Attrition]]="Yes",1,0)</f>
        <v>0</v>
      </c>
      <c r="E1294" t="s">
        <v>44</v>
      </c>
      <c r="F1294">
        <v>766</v>
      </c>
      <c r="G1294" t="s">
        <v>37</v>
      </c>
      <c r="H1294">
        <v>20</v>
      </c>
      <c r="I1294">
        <v>3</v>
      </c>
      <c r="J1294" t="s">
        <v>38</v>
      </c>
      <c r="K1294">
        <v>1</v>
      </c>
      <c r="L1294">
        <v>1812</v>
      </c>
      <c r="M1294">
        <v>3</v>
      </c>
      <c r="N1294" t="str" cm="1">
        <f t="array" ref="N1294">_xlfn.IFS(HRData[[#This Row],[EnvironmentSatisfaction]]=1,"Very Dissatisfied",
HRData[[#This Row],[EnvironmentSatisfaction]]=2,"Dissatisfied",
HRData[[#This Row],[EnvironmentSatisfaction]]=3,"Satisfied",
HRData[[#This Row],[EnvironmentSatisfaction]]=4,"Very Satisfied"
)</f>
        <v>Satisfied</v>
      </c>
      <c r="O1294" t="s">
        <v>46</v>
      </c>
      <c r="P1294">
        <v>83</v>
      </c>
      <c r="Q1294">
        <v>3</v>
      </c>
      <c r="R1294">
        <v>2</v>
      </c>
      <c r="S1294" t="s">
        <v>40</v>
      </c>
      <c r="T1294">
        <v>4</v>
      </c>
      <c r="U1294" t="str" cm="1">
        <f t="array" ref="U1294">_xlfn.IFS(
HRData[[#This Row],[JobSatisfaction]]=1,"Very Dissatisfied",
HRData[[#This Row],[JobSatisfaction]]=2,"Dissatisfied",
HRData[[#This Row],[JobSatisfaction]]=3,"Satisfied",
HRData[[#This Row],[JobSatisfaction]]=4,"Very Satisfied"
)</f>
        <v>Very Satisfied</v>
      </c>
      <c r="V1294" t="s">
        <v>52</v>
      </c>
      <c r="W1294">
        <v>4127</v>
      </c>
      <c r="X1294" t="str" cm="1">
        <f t="array" ref="X1294">_xlfn.IFS(
HRData[[#This Row],[MonthlyIncome]]&lt;=4000,"Very Low Income",
HRData[[#This Row],[MonthlyIncome]]&lt;=8000,"Low Income",
HRData[[#This Row],[MonthlyIncome]]&lt;=12000,"Moderate Income",
HRData[[#This Row],[MonthlyIncome]]&lt;=16000,"High Income",
HRData[[#This Row],[MonthlyIncome]]&gt;16000,"Very High Income"
)</f>
        <v>Low Income</v>
      </c>
      <c r="Y1294">
        <v>19188</v>
      </c>
      <c r="Z1294">
        <v>2</v>
      </c>
      <c r="AA1294" t="s">
        <v>42</v>
      </c>
      <c r="AB1294" t="s">
        <v>43</v>
      </c>
      <c r="AC1294">
        <v>18</v>
      </c>
      <c r="AD1294" t="str" cm="1">
        <f t="array" ref="AD1294">_xlfn.IFS(HRData[[#This Row],[PercentSalaryHike]]&lt;=15,"11-15",HRData[[#This Row],[PercentSalaryHike]]&lt;=20,"16-20",HRData[[#This Row],[PercentSalaryHike]]&gt;=21,"21+")</f>
        <v>16-20</v>
      </c>
      <c r="AE1294">
        <v>3</v>
      </c>
      <c r="AF1294">
        <v>4</v>
      </c>
      <c r="AG1294">
        <v>80</v>
      </c>
      <c r="AH1294">
        <v>1</v>
      </c>
      <c r="AI1294">
        <v>7</v>
      </c>
      <c r="AJ1294">
        <v>6</v>
      </c>
      <c r="AK1294">
        <v>3</v>
      </c>
      <c r="AL1294">
        <v>2</v>
      </c>
      <c r="AM1294">
        <v>1</v>
      </c>
      <c r="AN1294">
        <v>2</v>
      </c>
      <c r="AO1294">
        <v>2</v>
      </c>
      <c r="AP129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294" t="str">
        <f>IF(HRData[[#This Row],[Attrition]]="Yes","Left", IF(HRData[[#This Row],[Attrition_Risk_Score]]&gt;=6,"High",IF(HRData[[#This Row],[Attrition_Risk_Score]]&gt;=3,"Medium","Low")))</f>
        <v>Low</v>
      </c>
      <c r="AR1294" t="str">
        <f>IF(HRData[[#This Row],[Attrition_Risk_Level]]&lt;&gt;"High","",HRData[[#This Row],[Attrition_Risk_Score]]*10000-HRData[[#This Row],[EmployeeNumber]])</f>
        <v/>
      </c>
    </row>
    <row r="1295" spans="1:44">
      <c r="A1295">
        <v>43</v>
      </c>
      <c r="B1295" t="str" cm="1">
        <f t="array" ref="B1295">_xlfn.IFS(
HRData[[#This Row],[Age]]&lt;=24,"18-24",
HRData[[#This Row],[Age]]&lt;=34,"25-34",
HRData[[#This Row],[Age]]&lt;=44,"35-44",
HRData[[#This Row],[Age]]&lt;=54,"45-54",
HRData[[#This Row],[Age]]&gt;=55,"55+"
)</f>
        <v>35-44</v>
      </c>
      <c r="C1295" t="s">
        <v>43</v>
      </c>
      <c r="D1295">
        <f>IF(HRData[[#This Row],[Attrition]]="Yes",1,0)</f>
        <v>0</v>
      </c>
      <c r="E1295" t="s">
        <v>55</v>
      </c>
      <c r="F1295">
        <v>343</v>
      </c>
      <c r="G1295" t="s">
        <v>45</v>
      </c>
      <c r="H1295">
        <v>9</v>
      </c>
      <c r="I1295">
        <v>3</v>
      </c>
      <c r="J1295" t="s">
        <v>38</v>
      </c>
      <c r="K1295">
        <v>1</v>
      </c>
      <c r="L1295">
        <v>1813</v>
      </c>
      <c r="M1295">
        <v>1</v>
      </c>
      <c r="N1295" t="str" cm="1">
        <f t="array" ref="N1295">_xlfn.IFS(HRData[[#This Row],[EnvironmentSatisfaction]]=1,"Very Dissatisfied",
HRData[[#This Row],[EnvironmentSatisfaction]]=2,"Dissatisfied",
HRData[[#This Row],[EnvironmentSatisfaction]]=3,"Satisfied",
HRData[[#This Row],[EnvironmentSatisfaction]]=4,"Very Satisfied"
)</f>
        <v>Very Dissatisfied</v>
      </c>
      <c r="O1295" t="s">
        <v>46</v>
      </c>
      <c r="P1295">
        <v>52</v>
      </c>
      <c r="Q1295">
        <v>3</v>
      </c>
      <c r="R1295">
        <v>1</v>
      </c>
      <c r="S1295" t="s">
        <v>47</v>
      </c>
      <c r="T1295">
        <v>3</v>
      </c>
      <c r="U1295" t="str" cm="1">
        <f t="array" ref="U1295">_xlfn.IFS(
HRData[[#This Row],[JobSatisfaction]]=1,"Very Dissatisfied",
HRData[[#This Row],[JobSatisfaction]]=2,"Dissatisfied",
HRData[[#This Row],[JobSatisfaction]]=3,"Satisfied",
HRData[[#This Row],[JobSatisfaction]]=4,"Very Satisfied"
)</f>
        <v>Satisfied</v>
      </c>
      <c r="V1295" t="s">
        <v>41</v>
      </c>
      <c r="W1295">
        <v>2438</v>
      </c>
      <c r="X1295" t="str" cm="1">
        <f t="array" ref="X1295">_xlfn.IFS(
HRData[[#This Row],[MonthlyIncome]]&lt;=4000,"Very Low Income",
HRData[[#This Row],[MonthlyIncome]]&lt;=8000,"Low Income",
HRData[[#This Row],[MonthlyIncome]]&lt;=12000,"Moderate Income",
HRData[[#This Row],[MonthlyIncome]]&lt;=16000,"High Income",
HRData[[#This Row],[MonthlyIncome]]&gt;16000,"Very High Income"
)</f>
        <v>Very Low Income</v>
      </c>
      <c r="Y1295">
        <v>24978</v>
      </c>
      <c r="Z1295">
        <v>4</v>
      </c>
      <c r="AA1295" t="s">
        <v>42</v>
      </c>
      <c r="AB1295" t="s">
        <v>43</v>
      </c>
      <c r="AC1295">
        <v>13</v>
      </c>
      <c r="AD1295" t="str" cm="1">
        <f t="array" ref="AD1295">_xlfn.IFS(HRData[[#This Row],[PercentSalaryHike]]&lt;=15,"11-15",HRData[[#This Row],[PercentSalaryHike]]&lt;=20,"16-20",HRData[[#This Row],[PercentSalaryHike]]&gt;=21,"21+")</f>
        <v>11-15</v>
      </c>
      <c r="AE1295">
        <v>3</v>
      </c>
      <c r="AF1295">
        <v>3</v>
      </c>
      <c r="AG1295">
        <v>80</v>
      </c>
      <c r="AH1295">
        <v>0</v>
      </c>
      <c r="AI1295">
        <v>7</v>
      </c>
      <c r="AJ1295">
        <v>2</v>
      </c>
      <c r="AK1295">
        <v>2</v>
      </c>
      <c r="AL1295">
        <v>3</v>
      </c>
      <c r="AM1295">
        <v>2</v>
      </c>
      <c r="AN1295">
        <v>1</v>
      </c>
      <c r="AO1295">
        <v>2</v>
      </c>
      <c r="AP129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95" t="str">
        <f>IF(HRData[[#This Row],[Attrition]]="Yes","Left", IF(HRData[[#This Row],[Attrition_Risk_Score]]&gt;=6,"High",IF(HRData[[#This Row],[Attrition_Risk_Score]]&gt;=3,"Medium","Low")))</f>
        <v>Low</v>
      </c>
      <c r="AR1295" t="str">
        <f>IF(HRData[[#This Row],[Attrition_Risk_Level]]&lt;&gt;"High","",HRData[[#This Row],[Attrition_Risk_Score]]*10000-HRData[[#This Row],[EmployeeNumber]])</f>
        <v/>
      </c>
    </row>
    <row r="1296" spans="1:44">
      <c r="A1296">
        <v>41</v>
      </c>
      <c r="B1296" t="str" cm="1">
        <f t="array" ref="B1296">_xlfn.IFS(
HRData[[#This Row],[Age]]&lt;=24,"18-24",
HRData[[#This Row],[Age]]&lt;=34,"25-34",
HRData[[#This Row],[Age]]&lt;=44,"35-44",
HRData[[#This Row],[Age]]&lt;=54,"45-54",
HRData[[#This Row],[Age]]&gt;=55,"55+"
)</f>
        <v>35-44</v>
      </c>
      <c r="C1296" t="s">
        <v>43</v>
      </c>
      <c r="D1296">
        <f>IF(HRData[[#This Row],[Attrition]]="Yes",1,0)</f>
        <v>0</v>
      </c>
      <c r="E1296" t="s">
        <v>36</v>
      </c>
      <c r="F1296">
        <v>447</v>
      </c>
      <c r="G1296" t="s">
        <v>45</v>
      </c>
      <c r="H1296">
        <v>5</v>
      </c>
      <c r="I1296">
        <v>3</v>
      </c>
      <c r="J1296" t="s">
        <v>38</v>
      </c>
      <c r="K1296">
        <v>1</v>
      </c>
      <c r="L1296">
        <v>1814</v>
      </c>
      <c r="M1296">
        <v>2</v>
      </c>
      <c r="N1296" t="str" cm="1">
        <f t="array" ref="N1296">_xlfn.IFS(HRData[[#This Row],[EnvironmentSatisfaction]]=1,"Very Dissatisfied",
HRData[[#This Row],[EnvironmentSatisfaction]]=2,"Dissatisfied",
HRData[[#This Row],[EnvironmentSatisfaction]]=3,"Satisfied",
HRData[[#This Row],[EnvironmentSatisfaction]]=4,"Very Satisfied"
)</f>
        <v>Dissatisfied</v>
      </c>
      <c r="O1296" t="s">
        <v>46</v>
      </c>
      <c r="P1296">
        <v>85</v>
      </c>
      <c r="Q1296">
        <v>4</v>
      </c>
      <c r="R1296">
        <v>2</v>
      </c>
      <c r="S1296" t="s">
        <v>54</v>
      </c>
      <c r="T1296">
        <v>2</v>
      </c>
      <c r="U1296" t="str" cm="1">
        <f t="array" ref="U1296">_xlfn.IFS(
HRData[[#This Row],[JobSatisfaction]]=1,"Very Dissatisfied",
HRData[[#This Row],[JobSatisfaction]]=2,"Dissatisfied",
HRData[[#This Row],[JobSatisfaction]]=3,"Satisfied",
HRData[[#This Row],[JobSatisfaction]]=4,"Very Satisfied"
)</f>
        <v>Dissatisfied</v>
      </c>
      <c r="V1296" t="s">
        <v>41</v>
      </c>
      <c r="W1296">
        <v>6870</v>
      </c>
      <c r="X1296" t="str" cm="1">
        <f t="array" ref="X1296">_xlfn.IFS(
HRData[[#This Row],[MonthlyIncome]]&lt;=4000,"Very Low Income",
HRData[[#This Row],[MonthlyIncome]]&lt;=8000,"Low Income",
HRData[[#This Row],[MonthlyIncome]]&lt;=12000,"Moderate Income",
HRData[[#This Row],[MonthlyIncome]]&lt;=16000,"High Income",
HRData[[#This Row],[MonthlyIncome]]&gt;16000,"Very High Income"
)</f>
        <v>Low Income</v>
      </c>
      <c r="Y1296">
        <v>15530</v>
      </c>
      <c r="Z1296">
        <v>3</v>
      </c>
      <c r="AA1296" t="s">
        <v>42</v>
      </c>
      <c r="AB1296" t="s">
        <v>43</v>
      </c>
      <c r="AC1296">
        <v>12</v>
      </c>
      <c r="AD1296" t="str" cm="1">
        <f t="array" ref="AD1296">_xlfn.IFS(HRData[[#This Row],[PercentSalaryHike]]&lt;=15,"11-15",HRData[[#This Row],[PercentSalaryHike]]&lt;=20,"16-20",HRData[[#This Row],[PercentSalaryHike]]&gt;=21,"21+")</f>
        <v>11-15</v>
      </c>
      <c r="AE1296">
        <v>3</v>
      </c>
      <c r="AF1296">
        <v>1</v>
      </c>
      <c r="AG1296">
        <v>80</v>
      </c>
      <c r="AH1296">
        <v>0</v>
      </c>
      <c r="AI1296">
        <v>11</v>
      </c>
      <c r="AJ1296">
        <v>3</v>
      </c>
      <c r="AK1296">
        <v>1</v>
      </c>
      <c r="AL1296">
        <v>3</v>
      </c>
      <c r="AM1296">
        <v>2</v>
      </c>
      <c r="AN1296">
        <v>1</v>
      </c>
      <c r="AO1296">
        <v>2</v>
      </c>
      <c r="AP129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296" t="str">
        <f>IF(HRData[[#This Row],[Attrition]]="Yes","Left", IF(HRData[[#This Row],[Attrition_Risk_Score]]&gt;=6,"High",IF(HRData[[#This Row],[Attrition_Risk_Score]]&gt;=3,"Medium","Low")))</f>
        <v>Low</v>
      </c>
      <c r="AR1296" t="str">
        <f>IF(HRData[[#This Row],[Attrition_Risk_Level]]&lt;&gt;"High","",HRData[[#This Row],[Attrition_Risk_Score]]*10000-HRData[[#This Row],[EmployeeNumber]])</f>
        <v/>
      </c>
    </row>
    <row r="1297" spans="1:44">
      <c r="A1297">
        <v>41</v>
      </c>
      <c r="B1297" t="str" cm="1">
        <f t="array" ref="B1297">_xlfn.IFS(
HRData[[#This Row],[Age]]&lt;=24,"18-24",
HRData[[#This Row],[Age]]&lt;=34,"25-34",
HRData[[#This Row],[Age]]&lt;=44,"35-44",
HRData[[#This Row],[Age]]&lt;=54,"45-54",
HRData[[#This Row],[Age]]&gt;=55,"55+"
)</f>
        <v>35-44</v>
      </c>
      <c r="C1297" t="s">
        <v>43</v>
      </c>
      <c r="D1297">
        <f>IF(HRData[[#This Row],[Attrition]]="Yes",1,0)</f>
        <v>0</v>
      </c>
      <c r="E1297" t="s">
        <v>36</v>
      </c>
      <c r="F1297">
        <v>796</v>
      </c>
      <c r="G1297" t="s">
        <v>37</v>
      </c>
      <c r="H1297">
        <v>4</v>
      </c>
      <c r="I1297">
        <v>1</v>
      </c>
      <c r="J1297" t="s">
        <v>59</v>
      </c>
      <c r="K1297">
        <v>1</v>
      </c>
      <c r="L1297">
        <v>1815</v>
      </c>
      <c r="M1297">
        <v>3</v>
      </c>
      <c r="N1297" t="str" cm="1">
        <f t="array" ref="N1297">_xlfn.IFS(HRData[[#This Row],[EnvironmentSatisfaction]]=1,"Very Dissatisfied",
HRData[[#This Row],[EnvironmentSatisfaction]]=2,"Dissatisfied",
HRData[[#This Row],[EnvironmentSatisfaction]]=3,"Satisfied",
HRData[[#This Row],[EnvironmentSatisfaction]]=4,"Very Satisfied"
)</f>
        <v>Satisfied</v>
      </c>
      <c r="O1297" t="s">
        <v>39</v>
      </c>
      <c r="P1297">
        <v>81</v>
      </c>
      <c r="Q1297">
        <v>3</v>
      </c>
      <c r="R1297">
        <v>3</v>
      </c>
      <c r="S1297" t="s">
        <v>40</v>
      </c>
      <c r="T1297">
        <v>3</v>
      </c>
      <c r="U1297" t="str" cm="1">
        <f t="array" ref="U1297">_xlfn.IFS(
HRData[[#This Row],[JobSatisfaction]]=1,"Very Dissatisfied",
HRData[[#This Row],[JobSatisfaction]]=2,"Dissatisfied",
HRData[[#This Row],[JobSatisfaction]]=3,"Satisfied",
HRData[[#This Row],[JobSatisfaction]]=4,"Very Satisfied"
)</f>
        <v>Satisfied</v>
      </c>
      <c r="V1297" t="s">
        <v>52</v>
      </c>
      <c r="W1297">
        <v>10447</v>
      </c>
      <c r="X1297" t="str" cm="1">
        <f t="array" ref="X1297">_xlfn.IFS(
HRData[[#This Row],[MonthlyIncome]]&lt;=4000,"Very Low Income",
HRData[[#This Row],[MonthlyIncome]]&lt;=8000,"Low Income",
HRData[[#This Row],[MonthlyIncome]]&lt;=12000,"Moderate Income",
HRData[[#This Row],[MonthlyIncome]]&lt;=16000,"High Income",
HRData[[#This Row],[MonthlyIncome]]&gt;16000,"Very High Income"
)</f>
        <v>Moderate Income</v>
      </c>
      <c r="Y1297">
        <v>26458</v>
      </c>
      <c r="Z1297">
        <v>0</v>
      </c>
      <c r="AA1297" t="s">
        <v>42</v>
      </c>
      <c r="AB1297" t="s">
        <v>35</v>
      </c>
      <c r="AC1297">
        <v>13</v>
      </c>
      <c r="AD1297" t="str" cm="1">
        <f t="array" ref="AD1297">_xlfn.IFS(HRData[[#This Row],[PercentSalaryHike]]&lt;=15,"11-15",HRData[[#This Row],[PercentSalaryHike]]&lt;=20,"16-20",HRData[[#This Row],[PercentSalaryHike]]&gt;=21,"21+")</f>
        <v>11-15</v>
      </c>
      <c r="AE1297">
        <v>3</v>
      </c>
      <c r="AF1297">
        <v>4</v>
      </c>
      <c r="AG1297">
        <v>80</v>
      </c>
      <c r="AH1297">
        <v>1</v>
      </c>
      <c r="AI1297">
        <v>23</v>
      </c>
      <c r="AJ1297">
        <v>3</v>
      </c>
      <c r="AK1297">
        <v>4</v>
      </c>
      <c r="AL1297">
        <v>22</v>
      </c>
      <c r="AM1297">
        <v>14</v>
      </c>
      <c r="AN1297">
        <v>13</v>
      </c>
      <c r="AO1297">
        <v>5</v>
      </c>
      <c r="AP129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97" t="str">
        <f>IF(HRData[[#This Row],[Attrition]]="Yes","Left", IF(HRData[[#This Row],[Attrition_Risk_Score]]&gt;=6,"High",IF(HRData[[#This Row],[Attrition_Risk_Score]]&gt;=3,"Medium","Low")))</f>
        <v>Low</v>
      </c>
      <c r="AR1297" t="str">
        <f>IF(HRData[[#This Row],[Attrition_Risk_Level]]&lt;&gt;"High","",HRData[[#This Row],[Attrition_Risk_Score]]*10000-HRData[[#This Row],[EmployeeNumber]])</f>
        <v/>
      </c>
    </row>
    <row r="1298" spans="1:44">
      <c r="A1298">
        <v>30</v>
      </c>
      <c r="B1298" t="str" cm="1">
        <f t="array" ref="B1298">_xlfn.IFS(
HRData[[#This Row],[Age]]&lt;=24,"18-24",
HRData[[#This Row],[Age]]&lt;=34,"25-34",
HRData[[#This Row],[Age]]&lt;=44,"35-44",
HRData[[#This Row],[Age]]&lt;=54,"45-54",
HRData[[#This Row],[Age]]&gt;=55,"55+"
)</f>
        <v>25-34</v>
      </c>
      <c r="C1298" t="s">
        <v>43</v>
      </c>
      <c r="D1298">
        <f>IF(HRData[[#This Row],[Attrition]]="Yes",1,0)</f>
        <v>0</v>
      </c>
      <c r="E1298" t="s">
        <v>36</v>
      </c>
      <c r="F1298">
        <v>1092</v>
      </c>
      <c r="G1298" t="s">
        <v>45</v>
      </c>
      <c r="H1298">
        <v>10</v>
      </c>
      <c r="I1298">
        <v>3</v>
      </c>
      <c r="J1298" t="s">
        <v>51</v>
      </c>
      <c r="K1298">
        <v>1</v>
      </c>
      <c r="L1298">
        <v>1816</v>
      </c>
      <c r="M1298">
        <v>1</v>
      </c>
      <c r="N1298" t="str" cm="1">
        <f t="array" ref="N1298">_xlfn.IFS(HRData[[#This Row],[EnvironmentSatisfaction]]=1,"Very Dissatisfied",
HRData[[#This Row],[EnvironmentSatisfaction]]=2,"Dissatisfied",
HRData[[#This Row],[EnvironmentSatisfaction]]=3,"Satisfied",
HRData[[#This Row],[EnvironmentSatisfaction]]=4,"Very Satisfied"
)</f>
        <v>Very Dissatisfied</v>
      </c>
      <c r="O1298" t="s">
        <v>39</v>
      </c>
      <c r="P1298">
        <v>64</v>
      </c>
      <c r="Q1298">
        <v>3</v>
      </c>
      <c r="R1298">
        <v>3</v>
      </c>
      <c r="S1298" t="s">
        <v>53</v>
      </c>
      <c r="T1298">
        <v>3</v>
      </c>
      <c r="U1298" t="str" cm="1">
        <f t="array" ref="U1298">_xlfn.IFS(
HRData[[#This Row],[JobSatisfaction]]=1,"Very Dissatisfied",
HRData[[#This Row],[JobSatisfaction]]=2,"Dissatisfied",
HRData[[#This Row],[JobSatisfaction]]=3,"Satisfied",
HRData[[#This Row],[JobSatisfaction]]=4,"Very Satisfied"
)</f>
        <v>Satisfied</v>
      </c>
      <c r="V1298" t="s">
        <v>41</v>
      </c>
      <c r="W1298">
        <v>9667</v>
      </c>
      <c r="X1298" t="str" cm="1">
        <f t="array" ref="X1298">_xlfn.IFS(
HRData[[#This Row],[MonthlyIncome]]&lt;=4000,"Very Low Income",
HRData[[#This Row],[MonthlyIncome]]&lt;=8000,"Low Income",
HRData[[#This Row],[MonthlyIncome]]&lt;=12000,"Moderate Income",
HRData[[#This Row],[MonthlyIncome]]&lt;=16000,"High Income",
HRData[[#This Row],[MonthlyIncome]]&gt;16000,"Very High Income"
)</f>
        <v>Moderate Income</v>
      </c>
      <c r="Y1298">
        <v>2739</v>
      </c>
      <c r="Z1298">
        <v>9</v>
      </c>
      <c r="AA1298" t="s">
        <v>42</v>
      </c>
      <c r="AB1298" t="s">
        <v>43</v>
      </c>
      <c r="AC1298">
        <v>14</v>
      </c>
      <c r="AD1298" t="str" cm="1">
        <f t="array" ref="AD1298">_xlfn.IFS(HRData[[#This Row],[PercentSalaryHike]]&lt;=15,"11-15",HRData[[#This Row],[PercentSalaryHike]]&lt;=20,"16-20",HRData[[#This Row],[PercentSalaryHike]]&gt;=21,"21+")</f>
        <v>11-15</v>
      </c>
      <c r="AE1298">
        <v>3</v>
      </c>
      <c r="AF1298">
        <v>2</v>
      </c>
      <c r="AG1298">
        <v>80</v>
      </c>
      <c r="AH1298">
        <v>0</v>
      </c>
      <c r="AI1298">
        <v>9</v>
      </c>
      <c r="AJ1298">
        <v>3</v>
      </c>
      <c r="AK1298">
        <v>3</v>
      </c>
      <c r="AL1298">
        <v>7</v>
      </c>
      <c r="AM1298">
        <v>7</v>
      </c>
      <c r="AN1298">
        <v>0</v>
      </c>
      <c r="AO1298">
        <v>2</v>
      </c>
      <c r="AP129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298" t="str">
        <f>IF(HRData[[#This Row],[Attrition]]="Yes","Left", IF(HRData[[#This Row],[Attrition_Risk_Score]]&gt;=6,"High",IF(HRData[[#This Row],[Attrition_Risk_Score]]&gt;=3,"Medium","Low")))</f>
        <v>Low</v>
      </c>
      <c r="AR1298" t="str">
        <f>IF(HRData[[#This Row],[Attrition_Risk_Level]]&lt;&gt;"High","",HRData[[#This Row],[Attrition_Risk_Score]]*10000-HRData[[#This Row],[EmployeeNumber]])</f>
        <v/>
      </c>
    </row>
    <row r="1299" spans="1:44">
      <c r="A1299">
        <v>26</v>
      </c>
      <c r="B1299" t="str" cm="1">
        <f t="array" ref="B1299">_xlfn.IFS(
HRData[[#This Row],[Age]]&lt;=24,"18-24",
HRData[[#This Row],[Age]]&lt;=34,"25-34",
HRData[[#This Row],[Age]]&lt;=44,"35-44",
HRData[[#This Row],[Age]]&lt;=54,"45-54",
HRData[[#This Row],[Age]]&gt;=55,"55+"
)</f>
        <v>25-34</v>
      </c>
      <c r="C1299" t="s">
        <v>35</v>
      </c>
      <c r="D1299">
        <f>IF(HRData[[#This Row],[Attrition]]="Yes",1,0)</f>
        <v>1</v>
      </c>
      <c r="E1299" t="s">
        <v>36</v>
      </c>
      <c r="F1299">
        <v>920</v>
      </c>
      <c r="G1299" t="s">
        <v>61</v>
      </c>
      <c r="H1299">
        <v>20</v>
      </c>
      <c r="I1299">
        <v>2</v>
      </c>
      <c r="J1299" t="s">
        <v>51</v>
      </c>
      <c r="K1299">
        <v>1</v>
      </c>
      <c r="L1299">
        <v>1818</v>
      </c>
      <c r="M1299">
        <v>4</v>
      </c>
      <c r="N1299" t="str" cm="1">
        <f t="array" ref="N1299">_xlfn.IFS(HRData[[#This Row],[EnvironmentSatisfaction]]=1,"Very Dissatisfied",
HRData[[#This Row],[EnvironmentSatisfaction]]=2,"Dissatisfied",
HRData[[#This Row],[EnvironmentSatisfaction]]=3,"Satisfied",
HRData[[#This Row],[EnvironmentSatisfaction]]=4,"Very Satisfied"
)</f>
        <v>Very Satisfied</v>
      </c>
      <c r="O1299" t="s">
        <v>39</v>
      </c>
      <c r="P1299">
        <v>69</v>
      </c>
      <c r="Q1299">
        <v>3</v>
      </c>
      <c r="R1299">
        <v>1</v>
      </c>
      <c r="S1299" t="s">
        <v>61</v>
      </c>
      <c r="T1299">
        <v>2</v>
      </c>
      <c r="U1299" t="str" cm="1">
        <f t="array" ref="U1299">_xlfn.IFS(
HRData[[#This Row],[JobSatisfaction]]=1,"Very Dissatisfied",
HRData[[#This Row],[JobSatisfaction]]=2,"Dissatisfied",
HRData[[#This Row],[JobSatisfaction]]=3,"Satisfied",
HRData[[#This Row],[JobSatisfaction]]=4,"Very Satisfied"
)</f>
        <v>Dissatisfied</v>
      </c>
      <c r="V1299" t="s">
        <v>48</v>
      </c>
      <c r="W1299">
        <v>2148</v>
      </c>
      <c r="X1299" t="str" cm="1">
        <f t="array" ref="X1299">_xlfn.IFS(
HRData[[#This Row],[MonthlyIncome]]&lt;=4000,"Very Low Income",
HRData[[#This Row],[MonthlyIncome]]&lt;=8000,"Low Income",
HRData[[#This Row],[MonthlyIncome]]&lt;=12000,"Moderate Income",
HRData[[#This Row],[MonthlyIncome]]&lt;=16000,"High Income",
HRData[[#This Row],[MonthlyIncome]]&gt;16000,"Very High Income"
)</f>
        <v>Very Low Income</v>
      </c>
      <c r="Y1299">
        <v>6889</v>
      </c>
      <c r="Z1299">
        <v>0</v>
      </c>
      <c r="AA1299" t="s">
        <v>42</v>
      </c>
      <c r="AB1299" t="s">
        <v>35</v>
      </c>
      <c r="AC1299">
        <v>11</v>
      </c>
      <c r="AD1299" t="str" cm="1">
        <f t="array" ref="AD1299">_xlfn.IFS(HRData[[#This Row],[PercentSalaryHike]]&lt;=15,"11-15",HRData[[#This Row],[PercentSalaryHike]]&lt;=20,"16-20",HRData[[#This Row],[PercentSalaryHike]]&gt;=21,"21+")</f>
        <v>11-15</v>
      </c>
      <c r="AE1299">
        <v>3</v>
      </c>
      <c r="AF1299">
        <v>3</v>
      </c>
      <c r="AG1299">
        <v>80</v>
      </c>
      <c r="AH1299">
        <v>0</v>
      </c>
      <c r="AI1299">
        <v>6</v>
      </c>
      <c r="AJ1299">
        <v>3</v>
      </c>
      <c r="AK1299">
        <v>3</v>
      </c>
      <c r="AL1299">
        <v>5</v>
      </c>
      <c r="AM1299">
        <v>1</v>
      </c>
      <c r="AN1299">
        <v>1</v>
      </c>
      <c r="AO1299">
        <v>4</v>
      </c>
      <c r="AP129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99" t="str">
        <f>IF(HRData[[#This Row],[Attrition]]="Yes","Left", IF(HRData[[#This Row],[Attrition_Risk_Score]]&gt;=6,"High",IF(HRData[[#This Row],[Attrition_Risk_Score]]&gt;=3,"Medium","Low")))</f>
        <v>Left</v>
      </c>
      <c r="AR1299" t="str">
        <f>IF(HRData[[#This Row],[Attrition_Risk_Level]]&lt;&gt;"High","",HRData[[#This Row],[Attrition_Risk_Score]]*10000-HRData[[#This Row],[EmployeeNumber]])</f>
        <v/>
      </c>
    </row>
    <row r="1300" spans="1:44">
      <c r="A1300">
        <v>46</v>
      </c>
      <c r="B1300" t="str" cm="1">
        <f t="array" ref="B1300">_xlfn.IFS(
HRData[[#This Row],[Age]]&lt;=24,"18-24",
HRData[[#This Row],[Age]]&lt;=34,"25-34",
HRData[[#This Row],[Age]]&lt;=44,"35-44",
HRData[[#This Row],[Age]]&lt;=54,"45-54",
HRData[[#This Row],[Age]]&gt;=55,"55+"
)</f>
        <v>45-54</v>
      </c>
      <c r="C1300" t="s">
        <v>35</v>
      </c>
      <c r="D1300">
        <f>IF(HRData[[#This Row],[Attrition]]="Yes",1,0)</f>
        <v>1</v>
      </c>
      <c r="E1300" t="s">
        <v>36</v>
      </c>
      <c r="F1300">
        <v>261</v>
      </c>
      <c r="G1300" t="s">
        <v>45</v>
      </c>
      <c r="H1300">
        <v>21</v>
      </c>
      <c r="I1300">
        <v>2</v>
      </c>
      <c r="J1300" t="s">
        <v>51</v>
      </c>
      <c r="K1300">
        <v>1</v>
      </c>
      <c r="L1300">
        <v>1821</v>
      </c>
      <c r="M1300">
        <v>4</v>
      </c>
      <c r="N1300" t="str" cm="1">
        <f t="array" ref="N1300">_xlfn.IFS(HRData[[#This Row],[EnvironmentSatisfaction]]=1,"Very Dissatisfied",
HRData[[#This Row],[EnvironmentSatisfaction]]=2,"Dissatisfied",
HRData[[#This Row],[EnvironmentSatisfaction]]=3,"Satisfied",
HRData[[#This Row],[EnvironmentSatisfaction]]=4,"Very Satisfied"
)</f>
        <v>Very Satisfied</v>
      </c>
      <c r="O1300" t="s">
        <v>39</v>
      </c>
      <c r="P1300">
        <v>66</v>
      </c>
      <c r="Q1300">
        <v>3</v>
      </c>
      <c r="R1300">
        <v>2</v>
      </c>
      <c r="S1300" t="s">
        <v>54</v>
      </c>
      <c r="T1300">
        <v>2</v>
      </c>
      <c r="U1300" t="str" cm="1">
        <f t="array" ref="U1300">_xlfn.IFS(
HRData[[#This Row],[JobSatisfaction]]=1,"Very Dissatisfied",
HRData[[#This Row],[JobSatisfaction]]=2,"Dissatisfied",
HRData[[#This Row],[JobSatisfaction]]=3,"Satisfied",
HRData[[#This Row],[JobSatisfaction]]=4,"Very Satisfied"
)</f>
        <v>Dissatisfied</v>
      </c>
      <c r="V1300" t="s">
        <v>48</v>
      </c>
      <c r="W1300">
        <v>8926</v>
      </c>
      <c r="X1300" t="str" cm="1">
        <f t="array" ref="X1300">_xlfn.IFS(
HRData[[#This Row],[MonthlyIncome]]&lt;=4000,"Very Low Income",
HRData[[#This Row],[MonthlyIncome]]&lt;=8000,"Low Income",
HRData[[#This Row],[MonthlyIncome]]&lt;=12000,"Moderate Income",
HRData[[#This Row],[MonthlyIncome]]&lt;=16000,"High Income",
HRData[[#This Row],[MonthlyIncome]]&gt;16000,"Very High Income"
)</f>
        <v>Moderate Income</v>
      </c>
      <c r="Y1300">
        <v>10842</v>
      </c>
      <c r="Z1300">
        <v>4</v>
      </c>
      <c r="AA1300" t="s">
        <v>42</v>
      </c>
      <c r="AB1300" t="s">
        <v>43</v>
      </c>
      <c r="AC1300">
        <v>22</v>
      </c>
      <c r="AD1300" t="str" cm="1">
        <f t="array" ref="AD1300">_xlfn.IFS(HRData[[#This Row],[PercentSalaryHike]]&lt;=15,"11-15",HRData[[#This Row],[PercentSalaryHike]]&lt;=20,"16-20",HRData[[#This Row],[PercentSalaryHike]]&gt;=21,"21+")</f>
        <v>21+</v>
      </c>
      <c r="AE1300">
        <v>4</v>
      </c>
      <c r="AF1300">
        <v>4</v>
      </c>
      <c r="AG1300">
        <v>80</v>
      </c>
      <c r="AH1300">
        <v>1</v>
      </c>
      <c r="AI1300">
        <v>13</v>
      </c>
      <c r="AJ1300">
        <v>2</v>
      </c>
      <c r="AK1300">
        <v>4</v>
      </c>
      <c r="AL1300">
        <v>9</v>
      </c>
      <c r="AM1300">
        <v>7</v>
      </c>
      <c r="AN1300">
        <v>3</v>
      </c>
      <c r="AO1300">
        <v>7</v>
      </c>
      <c r="AP130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00" t="str">
        <f>IF(HRData[[#This Row],[Attrition]]="Yes","Left", IF(HRData[[#This Row],[Attrition_Risk_Score]]&gt;=6,"High",IF(HRData[[#This Row],[Attrition_Risk_Score]]&gt;=3,"Medium","Low")))</f>
        <v>Left</v>
      </c>
      <c r="AR1300" t="str">
        <f>IF(HRData[[#This Row],[Attrition_Risk_Level]]&lt;&gt;"High","",HRData[[#This Row],[Attrition_Risk_Score]]*10000-HRData[[#This Row],[EmployeeNumber]])</f>
        <v/>
      </c>
    </row>
    <row r="1301" spans="1:44">
      <c r="A1301">
        <v>40</v>
      </c>
      <c r="B1301" t="str" cm="1">
        <f t="array" ref="B1301">_xlfn.IFS(
HRData[[#This Row],[Age]]&lt;=24,"18-24",
HRData[[#This Row],[Age]]&lt;=34,"25-34",
HRData[[#This Row],[Age]]&lt;=44,"35-44",
HRData[[#This Row],[Age]]&lt;=54,"45-54",
HRData[[#This Row],[Age]]&gt;=55,"55+"
)</f>
        <v>35-44</v>
      </c>
      <c r="C1301" t="s">
        <v>43</v>
      </c>
      <c r="D1301">
        <f>IF(HRData[[#This Row],[Attrition]]="Yes",1,0)</f>
        <v>0</v>
      </c>
      <c r="E1301" t="s">
        <v>36</v>
      </c>
      <c r="F1301">
        <v>1194</v>
      </c>
      <c r="G1301" t="s">
        <v>45</v>
      </c>
      <c r="H1301">
        <v>1</v>
      </c>
      <c r="I1301">
        <v>3</v>
      </c>
      <c r="J1301" t="s">
        <v>38</v>
      </c>
      <c r="K1301">
        <v>1</v>
      </c>
      <c r="L1301">
        <v>1822</v>
      </c>
      <c r="M1301">
        <v>3</v>
      </c>
      <c r="N1301" t="str" cm="1">
        <f t="array" ref="N1301">_xlfn.IFS(HRData[[#This Row],[EnvironmentSatisfaction]]=1,"Very Dissatisfied",
HRData[[#This Row],[EnvironmentSatisfaction]]=2,"Dissatisfied",
HRData[[#This Row],[EnvironmentSatisfaction]]=3,"Satisfied",
HRData[[#This Row],[EnvironmentSatisfaction]]=4,"Very Satisfied"
)</f>
        <v>Satisfied</v>
      </c>
      <c r="O1301" t="s">
        <v>39</v>
      </c>
      <c r="P1301">
        <v>52</v>
      </c>
      <c r="Q1301">
        <v>3</v>
      </c>
      <c r="R1301">
        <v>2</v>
      </c>
      <c r="S1301" t="s">
        <v>54</v>
      </c>
      <c r="T1301">
        <v>4</v>
      </c>
      <c r="U1301" t="str" cm="1">
        <f t="array" ref="U1301">_xlfn.IFS(
HRData[[#This Row],[JobSatisfaction]]=1,"Very Dissatisfied",
HRData[[#This Row],[JobSatisfaction]]=2,"Dissatisfied",
HRData[[#This Row],[JobSatisfaction]]=3,"Satisfied",
HRData[[#This Row],[JobSatisfaction]]=4,"Very Satisfied"
)</f>
        <v>Very Satisfied</v>
      </c>
      <c r="V1301" t="s">
        <v>52</v>
      </c>
      <c r="W1301">
        <v>6513</v>
      </c>
      <c r="X1301" t="str" cm="1">
        <f t="array" ref="X1301">_xlfn.IFS(
HRData[[#This Row],[MonthlyIncome]]&lt;=4000,"Very Low Income",
HRData[[#This Row],[MonthlyIncome]]&lt;=8000,"Low Income",
HRData[[#This Row],[MonthlyIncome]]&lt;=12000,"Moderate Income",
HRData[[#This Row],[MonthlyIncome]]&lt;=16000,"High Income",
HRData[[#This Row],[MonthlyIncome]]&gt;16000,"Very High Income"
)</f>
        <v>Low Income</v>
      </c>
      <c r="Y1301">
        <v>9060</v>
      </c>
      <c r="Z1301">
        <v>4</v>
      </c>
      <c r="AA1301" t="s">
        <v>42</v>
      </c>
      <c r="AB1301" t="s">
        <v>43</v>
      </c>
      <c r="AC1301">
        <v>17</v>
      </c>
      <c r="AD1301" t="str" cm="1">
        <f t="array" ref="AD1301">_xlfn.IFS(HRData[[#This Row],[PercentSalaryHike]]&lt;=15,"11-15",HRData[[#This Row],[PercentSalaryHike]]&lt;=20,"16-20",HRData[[#This Row],[PercentSalaryHike]]&gt;=21,"21+")</f>
        <v>16-20</v>
      </c>
      <c r="AE1301">
        <v>3</v>
      </c>
      <c r="AF1301">
        <v>4</v>
      </c>
      <c r="AG1301">
        <v>80</v>
      </c>
      <c r="AH1301">
        <v>1</v>
      </c>
      <c r="AI1301">
        <v>12</v>
      </c>
      <c r="AJ1301">
        <v>3</v>
      </c>
      <c r="AK1301">
        <v>3</v>
      </c>
      <c r="AL1301">
        <v>5</v>
      </c>
      <c r="AM1301">
        <v>3</v>
      </c>
      <c r="AN1301">
        <v>0</v>
      </c>
      <c r="AO1301">
        <v>3</v>
      </c>
      <c r="AP130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01" t="str">
        <f>IF(HRData[[#This Row],[Attrition]]="Yes","Left", IF(HRData[[#This Row],[Attrition_Risk_Score]]&gt;=6,"High",IF(HRData[[#This Row],[Attrition_Risk_Score]]&gt;=3,"Medium","Low")))</f>
        <v>Low</v>
      </c>
      <c r="AR1301" t="str">
        <f>IF(HRData[[#This Row],[Attrition_Risk_Level]]&lt;&gt;"High","",HRData[[#This Row],[Attrition_Risk_Score]]*10000-HRData[[#This Row],[EmployeeNumber]])</f>
        <v/>
      </c>
    </row>
    <row r="1302" spans="1:44">
      <c r="A1302">
        <v>34</v>
      </c>
      <c r="B1302" t="str" cm="1">
        <f t="array" ref="B1302">_xlfn.IFS(
HRData[[#This Row],[Age]]&lt;=24,"18-24",
HRData[[#This Row],[Age]]&lt;=34,"25-34",
HRData[[#This Row],[Age]]&lt;=44,"35-44",
HRData[[#This Row],[Age]]&lt;=54,"45-54",
HRData[[#This Row],[Age]]&gt;=55,"55+"
)</f>
        <v>25-34</v>
      </c>
      <c r="C1302" t="s">
        <v>43</v>
      </c>
      <c r="D1302">
        <f>IF(HRData[[#This Row],[Attrition]]="Yes",1,0)</f>
        <v>0</v>
      </c>
      <c r="E1302" t="s">
        <v>36</v>
      </c>
      <c r="F1302">
        <v>810</v>
      </c>
      <c r="G1302" t="s">
        <v>37</v>
      </c>
      <c r="H1302">
        <v>8</v>
      </c>
      <c r="I1302">
        <v>2</v>
      </c>
      <c r="J1302" t="s">
        <v>60</v>
      </c>
      <c r="K1302">
        <v>1</v>
      </c>
      <c r="L1302">
        <v>1823</v>
      </c>
      <c r="M1302">
        <v>2</v>
      </c>
      <c r="N1302" t="str" cm="1">
        <f t="array" ref="N1302">_xlfn.IFS(HRData[[#This Row],[EnvironmentSatisfaction]]=1,"Very Dissatisfied",
HRData[[#This Row],[EnvironmentSatisfaction]]=2,"Dissatisfied",
HRData[[#This Row],[EnvironmentSatisfaction]]=3,"Satisfied",
HRData[[#This Row],[EnvironmentSatisfaction]]=4,"Very Satisfied"
)</f>
        <v>Dissatisfied</v>
      </c>
      <c r="O1302" t="s">
        <v>46</v>
      </c>
      <c r="P1302">
        <v>92</v>
      </c>
      <c r="Q1302">
        <v>4</v>
      </c>
      <c r="R1302">
        <v>2</v>
      </c>
      <c r="S1302" t="s">
        <v>40</v>
      </c>
      <c r="T1302">
        <v>3</v>
      </c>
      <c r="U1302" t="str" cm="1">
        <f t="array" ref="U1302">_xlfn.IFS(
HRData[[#This Row],[JobSatisfaction]]=1,"Very Dissatisfied",
HRData[[#This Row],[JobSatisfaction]]=2,"Dissatisfied",
HRData[[#This Row],[JobSatisfaction]]=3,"Satisfied",
HRData[[#This Row],[JobSatisfaction]]=4,"Very Satisfied"
)</f>
        <v>Satisfied</v>
      </c>
      <c r="V1302" t="s">
        <v>48</v>
      </c>
      <c r="W1302">
        <v>6799</v>
      </c>
      <c r="X1302" t="str" cm="1">
        <f t="array" ref="X1302">_xlfn.IFS(
HRData[[#This Row],[MonthlyIncome]]&lt;=4000,"Very Low Income",
HRData[[#This Row],[MonthlyIncome]]&lt;=8000,"Low Income",
HRData[[#This Row],[MonthlyIncome]]&lt;=12000,"Moderate Income",
HRData[[#This Row],[MonthlyIncome]]&lt;=16000,"High Income",
HRData[[#This Row],[MonthlyIncome]]&gt;16000,"Very High Income"
)</f>
        <v>Low Income</v>
      </c>
      <c r="Y1302">
        <v>22128</v>
      </c>
      <c r="Z1302">
        <v>1</v>
      </c>
      <c r="AA1302" t="s">
        <v>42</v>
      </c>
      <c r="AB1302" t="s">
        <v>43</v>
      </c>
      <c r="AC1302">
        <v>21</v>
      </c>
      <c r="AD1302" t="str" cm="1">
        <f t="array" ref="AD1302">_xlfn.IFS(HRData[[#This Row],[PercentSalaryHike]]&lt;=15,"11-15",HRData[[#This Row],[PercentSalaryHike]]&lt;=20,"16-20",HRData[[#This Row],[PercentSalaryHike]]&gt;=21,"21+")</f>
        <v>21+</v>
      </c>
      <c r="AE1302">
        <v>4</v>
      </c>
      <c r="AF1302">
        <v>3</v>
      </c>
      <c r="AG1302">
        <v>80</v>
      </c>
      <c r="AH1302">
        <v>2</v>
      </c>
      <c r="AI1302">
        <v>10</v>
      </c>
      <c r="AJ1302">
        <v>5</v>
      </c>
      <c r="AK1302">
        <v>3</v>
      </c>
      <c r="AL1302">
        <v>10</v>
      </c>
      <c r="AM1302">
        <v>8</v>
      </c>
      <c r="AN1302">
        <v>4</v>
      </c>
      <c r="AO1302">
        <v>8</v>
      </c>
      <c r="AP130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02" t="str">
        <f>IF(HRData[[#This Row],[Attrition]]="Yes","Left", IF(HRData[[#This Row],[Attrition_Risk_Score]]&gt;=6,"High",IF(HRData[[#This Row],[Attrition_Risk_Score]]&gt;=3,"Medium","Low")))</f>
        <v>Low</v>
      </c>
      <c r="AR1302" t="str">
        <f>IF(HRData[[#This Row],[Attrition_Risk_Level]]&lt;&gt;"High","",HRData[[#This Row],[Attrition_Risk_Score]]*10000-HRData[[#This Row],[EmployeeNumber]])</f>
        <v/>
      </c>
    </row>
    <row r="1303" spans="1:44">
      <c r="A1303">
        <v>58</v>
      </c>
      <c r="B1303" t="str" cm="1">
        <f t="array" ref="B1303">_xlfn.IFS(
HRData[[#This Row],[Age]]&lt;=24,"18-24",
HRData[[#This Row],[Age]]&lt;=34,"25-34",
HRData[[#This Row],[Age]]&lt;=44,"35-44",
HRData[[#This Row],[Age]]&lt;=54,"45-54",
HRData[[#This Row],[Age]]&gt;=55,"55+"
)</f>
        <v>55+</v>
      </c>
      <c r="C1303" t="s">
        <v>43</v>
      </c>
      <c r="D1303">
        <f>IF(HRData[[#This Row],[Attrition]]="Yes",1,0)</f>
        <v>0</v>
      </c>
      <c r="E1303" t="s">
        <v>55</v>
      </c>
      <c r="F1303">
        <v>350</v>
      </c>
      <c r="G1303" t="s">
        <v>37</v>
      </c>
      <c r="H1303">
        <v>2</v>
      </c>
      <c r="I1303">
        <v>3</v>
      </c>
      <c r="J1303" t="s">
        <v>51</v>
      </c>
      <c r="K1303">
        <v>1</v>
      </c>
      <c r="L1303">
        <v>1824</v>
      </c>
      <c r="M1303">
        <v>2</v>
      </c>
      <c r="N1303" t="str" cm="1">
        <f t="array" ref="N1303">_xlfn.IFS(HRData[[#This Row],[EnvironmentSatisfaction]]=1,"Very Dissatisfied",
HRData[[#This Row],[EnvironmentSatisfaction]]=2,"Dissatisfied",
HRData[[#This Row],[EnvironmentSatisfaction]]=3,"Satisfied",
HRData[[#This Row],[EnvironmentSatisfaction]]=4,"Very Satisfied"
)</f>
        <v>Dissatisfied</v>
      </c>
      <c r="O1303" t="s">
        <v>46</v>
      </c>
      <c r="P1303">
        <v>52</v>
      </c>
      <c r="Q1303">
        <v>3</v>
      </c>
      <c r="R1303">
        <v>4</v>
      </c>
      <c r="S1303" t="s">
        <v>56</v>
      </c>
      <c r="T1303">
        <v>2</v>
      </c>
      <c r="U1303" t="str" cm="1">
        <f t="array" ref="U1303">_xlfn.IFS(
HRData[[#This Row],[JobSatisfaction]]=1,"Very Dissatisfied",
HRData[[#This Row],[JobSatisfaction]]=2,"Dissatisfied",
HRData[[#This Row],[JobSatisfaction]]=3,"Satisfied",
HRData[[#This Row],[JobSatisfaction]]=4,"Very Satisfied"
)</f>
        <v>Dissatisfied</v>
      </c>
      <c r="V1303" t="s">
        <v>52</v>
      </c>
      <c r="W1303">
        <v>16291</v>
      </c>
      <c r="X1303" t="str" cm="1">
        <f t="array" ref="X1303">_xlfn.IFS(
HRData[[#This Row],[MonthlyIncome]]&lt;=4000,"Very Low Income",
HRData[[#This Row],[MonthlyIncome]]&lt;=8000,"Low Income",
HRData[[#This Row],[MonthlyIncome]]&lt;=12000,"Moderate Income",
HRData[[#This Row],[MonthlyIncome]]&lt;=16000,"High Income",
HRData[[#This Row],[MonthlyIncome]]&gt;16000,"Very High Income"
)</f>
        <v>Very High Income</v>
      </c>
      <c r="Y1303">
        <v>22577</v>
      </c>
      <c r="Z1303">
        <v>4</v>
      </c>
      <c r="AA1303" t="s">
        <v>42</v>
      </c>
      <c r="AB1303" t="s">
        <v>43</v>
      </c>
      <c r="AC1303">
        <v>22</v>
      </c>
      <c r="AD1303" t="str" cm="1">
        <f t="array" ref="AD1303">_xlfn.IFS(HRData[[#This Row],[PercentSalaryHike]]&lt;=15,"11-15",HRData[[#This Row],[PercentSalaryHike]]&lt;=20,"16-20",HRData[[#This Row],[PercentSalaryHike]]&gt;=21,"21+")</f>
        <v>21+</v>
      </c>
      <c r="AE1303">
        <v>4</v>
      </c>
      <c r="AF1303">
        <v>4</v>
      </c>
      <c r="AG1303">
        <v>80</v>
      </c>
      <c r="AH1303">
        <v>1</v>
      </c>
      <c r="AI1303">
        <v>37</v>
      </c>
      <c r="AJ1303">
        <v>0</v>
      </c>
      <c r="AK1303">
        <v>2</v>
      </c>
      <c r="AL1303">
        <v>16</v>
      </c>
      <c r="AM1303">
        <v>9</v>
      </c>
      <c r="AN1303">
        <v>14</v>
      </c>
      <c r="AO1303">
        <v>14</v>
      </c>
      <c r="AP130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303" t="str">
        <f>IF(HRData[[#This Row],[Attrition]]="Yes","Left", IF(HRData[[#This Row],[Attrition_Risk_Score]]&gt;=6,"High",IF(HRData[[#This Row],[Attrition_Risk_Score]]&gt;=3,"Medium","Low")))</f>
        <v>Low</v>
      </c>
      <c r="AR1303" t="str">
        <f>IF(HRData[[#This Row],[Attrition_Risk_Level]]&lt;&gt;"High","",HRData[[#This Row],[Attrition_Risk_Score]]*10000-HRData[[#This Row],[EmployeeNumber]])</f>
        <v/>
      </c>
    </row>
    <row r="1304" spans="1:44">
      <c r="A1304">
        <v>35</v>
      </c>
      <c r="B1304" t="str" cm="1">
        <f t="array" ref="B1304">_xlfn.IFS(
HRData[[#This Row],[Age]]&lt;=24,"18-24",
HRData[[#This Row],[Age]]&lt;=34,"25-34",
HRData[[#This Row],[Age]]&lt;=44,"35-44",
HRData[[#This Row],[Age]]&lt;=54,"45-54",
HRData[[#This Row],[Age]]&gt;=55,"55+"
)</f>
        <v>35-44</v>
      </c>
      <c r="C1304" t="s">
        <v>43</v>
      </c>
      <c r="D1304">
        <f>IF(HRData[[#This Row],[Attrition]]="Yes",1,0)</f>
        <v>0</v>
      </c>
      <c r="E1304" t="s">
        <v>36</v>
      </c>
      <c r="F1304">
        <v>185</v>
      </c>
      <c r="G1304" t="s">
        <v>45</v>
      </c>
      <c r="H1304">
        <v>23</v>
      </c>
      <c r="I1304">
        <v>4</v>
      </c>
      <c r="J1304" t="s">
        <v>51</v>
      </c>
      <c r="K1304">
        <v>1</v>
      </c>
      <c r="L1304">
        <v>1826</v>
      </c>
      <c r="M1304">
        <v>2</v>
      </c>
      <c r="N1304" t="str" cm="1">
        <f t="array" ref="N1304">_xlfn.IFS(HRData[[#This Row],[EnvironmentSatisfaction]]=1,"Very Dissatisfied",
HRData[[#This Row],[EnvironmentSatisfaction]]=2,"Dissatisfied",
HRData[[#This Row],[EnvironmentSatisfaction]]=3,"Satisfied",
HRData[[#This Row],[EnvironmentSatisfaction]]=4,"Very Satisfied"
)</f>
        <v>Dissatisfied</v>
      </c>
      <c r="O1304" t="s">
        <v>46</v>
      </c>
      <c r="P1304">
        <v>91</v>
      </c>
      <c r="Q1304">
        <v>1</v>
      </c>
      <c r="R1304">
        <v>1</v>
      </c>
      <c r="S1304" t="s">
        <v>50</v>
      </c>
      <c r="T1304">
        <v>3</v>
      </c>
      <c r="U1304" t="str" cm="1">
        <f t="array" ref="U1304">_xlfn.IFS(
HRData[[#This Row],[JobSatisfaction]]=1,"Very Dissatisfied",
HRData[[#This Row],[JobSatisfaction]]=2,"Dissatisfied",
HRData[[#This Row],[JobSatisfaction]]=3,"Satisfied",
HRData[[#This Row],[JobSatisfaction]]=4,"Very Satisfied"
)</f>
        <v>Satisfied</v>
      </c>
      <c r="V1304" t="s">
        <v>48</v>
      </c>
      <c r="W1304">
        <v>2705</v>
      </c>
      <c r="X1304" t="str" cm="1">
        <f t="array" ref="X1304">_xlfn.IFS(
HRData[[#This Row],[MonthlyIncome]]&lt;=4000,"Very Low Income",
HRData[[#This Row],[MonthlyIncome]]&lt;=8000,"Low Income",
HRData[[#This Row],[MonthlyIncome]]&lt;=12000,"Moderate Income",
HRData[[#This Row],[MonthlyIncome]]&lt;=16000,"High Income",
HRData[[#This Row],[MonthlyIncome]]&gt;16000,"Very High Income"
)</f>
        <v>Very Low Income</v>
      </c>
      <c r="Y1304">
        <v>9696</v>
      </c>
      <c r="Z1304">
        <v>0</v>
      </c>
      <c r="AA1304" t="s">
        <v>42</v>
      </c>
      <c r="AB1304" t="s">
        <v>43</v>
      </c>
      <c r="AC1304">
        <v>16</v>
      </c>
      <c r="AD1304" t="str" cm="1">
        <f t="array" ref="AD1304">_xlfn.IFS(HRData[[#This Row],[PercentSalaryHike]]&lt;=15,"11-15",HRData[[#This Row],[PercentSalaryHike]]&lt;=20,"16-20",HRData[[#This Row],[PercentSalaryHike]]&gt;=21,"21+")</f>
        <v>16-20</v>
      </c>
      <c r="AE1304">
        <v>3</v>
      </c>
      <c r="AF1304">
        <v>2</v>
      </c>
      <c r="AG1304">
        <v>80</v>
      </c>
      <c r="AH1304">
        <v>1</v>
      </c>
      <c r="AI1304">
        <v>6</v>
      </c>
      <c r="AJ1304">
        <v>2</v>
      </c>
      <c r="AK1304">
        <v>4</v>
      </c>
      <c r="AL1304">
        <v>5</v>
      </c>
      <c r="AM1304">
        <v>4</v>
      </c>
      <c r="AN1304">
        <v>0</v>
      </c>
      <c r="AO1304">
        <v>3</v>
      </c>
      <c r="AP130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04" t="str">
        <f>IF(HRData[[#This Row],[Attrition]]="Yes","Left", IF(HRData[[#This Row],[Attrition_Risk_Score]]&gt;=6,"High",IF(HRData[[#This Row],[Attrition_Risk_Score]]&gt;=3,"Medium","Low")))</f>
        <v>Medium</v>
      </c>
      <c r="AR1304" t="str">
        <f>IF(HRData[[#This Row],[Attrition_Risk_Level]]&lt;&gt;"High","",HRData[[#This Row],[Attrition_Risk_Score]]*10000-HRData[[#This Row],[EmployeeNumber]])</f>
        <v/>
      </c>
    </row>
    <row r="1305" spans="1:44">
      <c r="A1305">
        <v>47</v>
      </c>
      <c r="B1305" t="str" cm="1">
        <f t="array" ref="B1305">_xlfn.IFS(
HRData[[#This Row],[Age]]&lt;=24,"18-24",
HRData[[#This Row],[Age]]&lt;=34,"25-34",
HRData[[#This Row],[Age]]&lt;=44,"35-44",
HRData[[#This Row],[Age]]&lt;=54,"45-54",
HRData[[#This Row],[Age]]&gt;=55,"55+"
)</f>
        <v>45-54</v>
      </c>
      <c r="C1305" t="s">
        <v>43</v>
      </c>
      <c r="D1305">
        <f>IF(HRData[[#This Row],[Attrition]]="Yes",1,0)</f>
        <v>0</v>
      </c>
      <c r="E1305" t="s">
        <v>36</v>
      </c>
      <c r="F1305">
        <v>1001</v>
      </c>
      <c r="G1305" t="s">
        <v>45</v>
      </c>
      <c r="H1305">
        <v>4</v>
      </c>
      <c r="I1305">
        <v>3</v>
      </c>
      <c r="J1305" t="s">
        <v>38</v>
      </c>
      <c r="K1305">
        <v>1</v>
      </c>
      <c r="L1305">
        <v>1827</v>
      </c>
      <c r="M1305">
        <v>3</v>
      </c>
      <c r="N1305" t="str" cm="1">
        <f t="array" ref="N1305">_xlfn.IFS(HRData[[#This Row],[EnvironmentSatisfaction]]=1,"Very Dissatisfied",
HRData[[#This Row],[EnvironmentSatisfaction]]=2,"Dissatisfied",
HRData[[#This Row],[EnvironmentSatisfaction]]=3,"Satisfied",
HRData[[#This Row],[EnvironmentSatisfaction]]=4,"Very Satisfied"
)</f>
        <v>Satisfied</v>
      </c>
      <c r="O1305" t="s">
        <v>39</v>
      </c>
      <c r="P1305">
        <v>92</v>
      </c>
      <c r="Q1305">
        <v>2</v>
      </c>
      <c r="R1305">
        <v>3</v>
      </c>
      <c r="S1305" t="s">
        <v>53</v>
      </c>
      <c r="T1305">
        <v>2</v>
      </c>
      <c r="U1305" t="str" cm="1">
        <f t="array" ref="U1305">_xlfn.IFS(
HRData[[#This Row],[JobSatisfaction]]=1,"Very Dissatisfied",
HRData[[#This Row],[JobSatisfaction]]=2,"Dissatisfied",
HRData[[#This Row],[JobSatisfaction]]=3,"Satisfied",
HRData[[#This Row],[JobSatisfaction]]=4,"Very Satisfied"
)</f>
        <v>Dissatisfied</v>
      </c>
      <c r="V1305" t="s">
        <v>52</v>
      </c>
      <c r="W1305">
        <v>10333</v>
      </c>
      <c r="X1305" t="str" cm="1">
        <f t="array" ref="X1305">_xlfn.IFS(
HRData[[#This Row],[MonthlyIncome]]&lt;=4000,"Very Low Income",
HRData[[#This Row],[MonthlyIncome]]&lt;=8000,"Low Income",
HRData[[#This Row],[MonthlyIncome]]&lt;=12000,"Moderate Income",
HRData[[#This Row],[MonthlyIncome]]&lt;=16000,"High Income",
HRData[[#This Row],[MonthlyIncome]]&gt;16000,"Very High Income"
)</f>
        <v>Moderate Income</v>
      </c>
      <c r="Y1305">
        <v>19271</v>
      </c>
      <c r="Z1305">
        <v>8</v>
      </c>
      <c r="AA1305" t="s">
        <v>42</v>
      </c>
      <c r="AB1305" t="s">
        <v>35</v>
      </c>
      <c r="AC1305">
        <v>12</v>
      </c>
      <c r="AD1305" t="str" cm="1">
        <f t="array" ref="AD1305">_xlfn.IFS(HRData[[#This Row],[PercentSalaryHike]]&lt;=15,"11-15",HRData[[#This Row],[PercentSalaryHike]]&lt;=20,"16-20",HRData[[#This Row],[PercentSalaryHike]]&gt;=21,"21+")</f>
        <v>11-15</v>
      </c>
      <c r="AE1305">
        <v>3</v>
      </c>
      <c r="AF1305">
        <v>3</v>
      </c>
      <c r="AG1305">
        <v>80</v>
      </c>
      <c r="AH1305">
        <v>1</v>
      </c>
      <c r="AI1305">
        <v>28</v>
      </c>
      <c r="AJ1305">
        <v>4</v>
      </c>
      <c r="AK1305">
        <v>3</v>
      </c>
      <c r="AL1305">
        <v>22</v>
      </c>
      <c r="AM1305">
        <v>11</v>
      </c>
      <c r="AN1305">
        <v>14</v>
      </c>
      <c r="AO1305">
        <v>10</v>
      </c>
      <c r="AP130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05" t="str">
        <f>IF(HRData[[#This Row],[Attrition]]="Yes","Left", IF(HRData[[#This Row],[Attrition_Risk_Score]]&gt;=6,"High",IF(HRData[[#This Row],[Attrition_Risk_Score]]&gt;=3,"Medium","Low")))</f>
        <v>Low</v>
      </c>
      <c r="AR1305" t="str">
        <f>IF(HRData[[#This Row],[Attrition_Risk_Level]]&lt;&gt;"High","",HRData[[#This Row],[Attrition_Risk_Score]]*10000-HRData[[#This Row],[EmployeeNumber]])</f>
        <v/>
      </c>
    </row>
    <row r="1306" spans="1:44">
      <c r="A1306">
        <v>40</v>
      </c>
      <c r="B1306" t="str" cm="1">
        <f t="array" ref="B1306">_xlfn.IFS(
HRData[[#This Row],[Age]]&lt;=24,"18-24",
HRData[[#This Row],[Age]]&lt;=34,"25-34",
HRData[[#This Row],[Age]]&lt;=44,"35-44",
HRData[[#This Row],[Age]]&lt;=54,"45-54",
HRData[[#This Row],[Age]]&gt;=55,"55+"
)</f>
        <v>35-44</v>
      </c>
      <c r="C1306" t="s">
        <v>43</v>
      </c>
      <c r="D1306">
        <f>IF(HRData[[#This Row],[Attrition]]="Yes",1,0)</f>
        <v>0</v>
      </c>
      <c r="E1306" t="s">
        <v>36</v>
      </c>
      <c r="F1306">
        <v>750</v>
      </c>
      <c r="G1306" t="s">
        <v>45</v>
      </c>
      <c r="H1306">
        <v>12</v>
      </c>
      <c r="I1306">
        <v>3</v>
      </c>
      <c r="J1306" t="s">
        <v>38</v>
      </c>
      <c r="K1306">
        <v>1</v>
      </c>
      <c r="L1306">
        <v>1829</v>
      </c>
      <c r="M1306">
        <v>2</v>
      </c>
      <c r="N1306" t="str" cm="1">
        <f t="array" ref="N1306">_xlfn.IFS(HRData[[#This Row],[EnvironmentSatisfaction]]=1,"Very Dissatisfied",
HRData[[#This Row],[EnvironmentSatisfaction]]=2,"Dissatisfied",
HRData[[#This Row],[EnvironmentSatisfaction]]=3,"Satisfied",
HRData[[#This Row],[EnvironmentSatisfaction]]=4,"Very Satisfied"
)</f>
        <v>Dissatisfied</v>
      </c>
      <c r="O1306" t="s">
        <v>39</v>
      </c>
      <c r="P1306">
        <v>47</v>
      </c>
      <c r="Q1306">
        <v>3</v>
      </c>
      <c r="R1306">
        <v>2</v>
      </c>
      <c r="S1306" t="s">
        <v>54</v>
      </c>
      <c r="T1306">
        <v>1</v>
      </c>
      <c r="U1306" t="str" cm="1">
        <f t="array" ref="U1306">_xlfn.IFS(
HRData[[#This Row],[JobSatisfaction]]=1,"Very Dissatisfied",
HRData[[#This Row],[JobSatisfaction]]=2,"Dissatisfied",
HRData[[#This Row],[JobSatisfaction]]=3,"Satisfied",
HRData[[#This Row],[JobSatisfaction]]=4,"Very Satisfied"
)</f>
        <v>Very Dissatisfied</v>
      </c>
      <c r="V1306" t="s">
        <v>52</v>
      </c>
      <c r="W1306">
        <v>4448</v>
      </c>
      <c r="X1306" t="str" cm="1">
        <f t="array" ref="X1306">_xlfn.IFS(
HRData[[#This Row],[MonthlyIncome]]&lt;=4000,"Very Low Income",
HRData[[#This Row],[MonthlyIncome]]&lt;=8000,"Low Income",
HRData[[#This Row],[MonthlyIncome]]&lt;=12000,"Moderate Income",
HRData[[#This Row],[MonthlyIncome]]&lt;=16000,"High Income",
HRData[[#This Row],[MonthlyIncome]]&gt;16000,"Very High Income"
)</f>
        <v>Low Income</v>
      </c>
      <c r="Y1306">
        <v>10748</v>
      </c>
      <c r="Z1306">
        <v>2</v>
      </c>
      <c r="AA1306" t="s">
        <v>42</v>
      </c>
      <c r="AB1306" t="s">
        <v>43</v>
      </c>
      <c r="AC1306">
        <v>12</v>
      </c>
      <c r="AD1306" t="str" cm="1">
        <f t="array" ref="AD1306">_xlfn.IFS(HRData[[#This Row],[PercentSalaryHike]]&lt;=15,"11-15",HRData[[#This Row],[PercentSalaryHike]]&lt;=20,"16-20",HRData[[#This Row],[PercentSalaryHike]]&gt;=21,"21+")</f>
        <v>11-15</v>
      </c>
      <c r="AE1306">
        <v>3</v>
      </c>
      <c r="AF1306">
        <v>2</v>
      </c>
      <c r="AG1306">
        <v>80</v>
      </c>
      <c r="AH1306">
        <v>1</v>
      </c>
      <c r="AI1306">
        <v>15</v>
      </c>
      <c r="AJ1306">
        <v>3</v>
      </c>
      <c r="AK1306">
        <v>3</v>
      </c>
      <c r="AL1306">
        <v>7</v>
      </c>
      <c r="AM1306">
        <v>4</v>
      </c>
      <c r="AN1306">
        <v>7</v>
      </c>
      <c r="AO1306">
        <v>7</v>
      </c>
      <c r="AP130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06" t="str">
        <f>IF(HRData[[#This Row],[Attrition]]="Yes","Left", IF(HRData[[#This Row],[Attrition_Risk_Score]]&gt;=6,"High",IF(HRData[[#This Row],[Attrition_Risk_Score]]&gt;=3,"Medium","Low")))</f>
        <v>Medium</v>
      </c>
      <c r="AR1306" t="str">
        <f>IF(HRData[[#This Row],[Attrition_Risk_Level]]&lt;&gt;"High","",HRData[[#This Row],[Attrition_Risk_Score]]*10000-HRData[[#This Row],[EmployeeNumber]])</f>
        <v/>
      </c>
    </row>
    <row r="1307" spans="1:44">
      <c r="A1307">
        <v>54</v>
      </c>
      <c r="B1307" t="str" cm="1">
        <f t="array" ref="B1307">_xlfn.IFS(
HRData[[#This Row],[Age]]&lt;=24,"18-24",
HRData[[#This Row],[Age]]&lt;=34,"25-34",
HRData[[#This Row],[Age]]&lt;=44,"35-44",
HRData[[#This Row],[Age]]&lt;=54,"45-54",
HRData[[#This Row],[Age]]&gt;=55,"55+"
)</f>
        <v>45-54</v>
      </c>
      <c r="C1307" t="s">
        <v>43</v>
      </c>
      <c r="D1307">
        <f>IF(HRData[[#This Row],[Attrition]]="Yes",1,0)</f>
        <v>0</v>
      </c>
      <c r="E1307" t="s">
        <v>36</v>
      </c>
      <c r="F1307">
        <v>431</v>
      </c>
      <c r="G1307" t="s">
        <v>45</v>
      </c>
      <c r="H1307">
        <v>7</v>
      </c>
      <c r="I1307">
        <v>4</v>
      </c>
      <c r="J1307" t="s">
        <v>51</v>
      </c>
      <c r="K1307">
        <v>1</v>
      </c>
      <c r="L1307">
        <v>1830</v>
      </c>
      <c r="M1307">
        <v>4</v>
      </c>
      <c r="N1307" t="str" cm="1">
        <f t="array" ref="N1307">_xlfn.IFS(HRData[[#This Row],[EnvironmentSatisfaction]]=1,"Very Dissatisfied",
HRData[[#This Row],[EnvironmentSatisfaction]]=2,"Dissatisfied",
HRData[[#This Row],[EnvironmentSatisfaction]]=3,"Satisfied",
HRData[[#This Row],[EnvironmentSatisfaction]]=4,"Very Satisfied"
)</f>
        <v>Very Satisfied</v>
      </c>
      <c r="O1307" t="s">
        <v>39</v>
      </c>
      <c r="P1307">
        <v>68</v>
      </c>
      <c r="Q1307">
        <v>3</v>
      </c>
      <c r="R1307">
        <v>2</v>
      </c>
      <c r="S1307" t="s">
        <v>47</v>
      </c>
      <c r="T1307">
        <v>4</v>
      </c>
      <c r="U1307" t="str" cm="1">
        <f t="array" ref="U1307">_xlfn.IFS(
HRData[[#This Row],[JobSatisfaction]]=1,"Very Dissatisfied",
HRData[[#This Row],[JobSatisfaction]]=2,"Dissatisfied",
HRData[[#This Row],[JobSatisfaction]]=3,"Satisfied",
HRData[[#This Row],[JobSatisfaction]]=4,"Very Satisfied"
)</f>
        <v>Very Satisfied</v>
      </c>
      <c r="V1307" t="s">
        <v>48</v>
      </c>
      <c r="W1307">
        <v>6854</v>
      </c>
      <c r="X1307" t="str" cm="1">
        <f t="array" ref="X1307">_xlfn.IFS(
HRData[[#This Row],[MonthlyIncome]]&lt;=4000,"Very Low Income",
HRData[[#This Row],[MonthlyIncome]]&lt;=8000,"Low Income",
HRData[[#This Row],[MonthlyIncome]]&lt;=12000,"Moderate Income",
HRData[[#This Row],[MonthlyIncome]]&lt;=16000,"High Income",
HRData[[#This Row],[MonthlyIncome]]&gt;16000,"Very High Income"
)</f>
        <v>Low Income</v>
      </c>
      <c r="Y1307">
        <v>15696</v>
      </c>
      <c r="Z1307">
        <v>4</v>
      </c>
      <c r="AA1307" t="s">
        <v>42</v>
      </c>
      <c r="AB1307" t="s">
        <v>43</v>
      </c>
      <c r="AC1307">
        <v>15</v>
      </c>
      <c r="AD1307" t="str" cm="1">
        <f t="array" ref="AD1307">_xlfn.IFS(HRData[[#This Row],[PercentSalaryHike]]&lt;=15,"11-15",HRData[[#This Row],[PercentSalaryHike]]&lt;=20,"16-20",HRData[[#This Row],[PercentSalaryHike]]&gt;=21,"21+")</f>
        <v>11-15</v>
      </c>
      <c r="AE1307">
        <v>3</v>
      </c>
      <c r="AF1307">
        <v>2</v>
      </c>
      <c r="AG1307">
        <v>80</v>
      </c>
      <c r="AH1307">
        <v>1</v>
      </c>
      <c r="AI1307">
        <v>14</v>
      </c>
      <c r="AJ1307">
        <v>2</v>
      </c>
      <c r="AK1307">
        <v>2</v>
      </c>
      <c r="AL1307">
        <v>7</v>
      </c>
      <c r="AM1307">
        <v>1</v>
      </c>
      <c r="AN1307">
        <v>1</v>
      </c>
      <c r="AO1307">
        <v>7</v>
      </c>
      <c r="AP130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07" t="str">
        <f>IF(HRData[[#This Row],[Attrition]]="Yes","Left", IF(HRData[[#This Row],[Attrition_Risk_Score]]&gt;=6,"High",IF(HRData[[#This Row],[Attrition_Risk_Score]]&gt;=3,"Medium","Low")))</f>
        <v>Low</v>
      </c>
      <c r="AR1307" t="str">
        <f>IF(HRData[[#This Row],[Attrition_Risk_Level]]&lt;&gt;"High","",HRData[[#This Row],[Attrition_Risk_Score]]*10000-HRData[[#This Row],[EmployeeNumber]])</f>
        <v/>
      </c>
    </row>
    <row r="1308" spans="1:44">
      <c r="A1308">
        <v>31</v>
      </c>
      <c r="B1308" t="str" cm="1">
        <f t="array" ref="B1308">_xlfn.IFS(
HRData[[#This Row],[Age]]&lt;=24,"18-24",
HRData[[#This Row],[Age]]&lt;=34,"25-34",
HRData[[#This Row],[Age]]&lt;=44,"35-44",
HRData[[#This Row],[Age]]&lt;=54,"45-54",
HRData[[#This Row],[Age]]&gt;=55,"55+"
)</f>
        <v>25-34</v>
      </c>
      <c r="C1308" t="s">
        <v>43</v>
      </c>
      <c r="D1308">
        <f>IF(HRData[[#This Row],[Attrition]]="Yes",1,0)</f>
        <v>0</v>
      </c>
      <c r="E1308" t="s">
        <v>44</v>
      </c>
      <c r="F1308">
        <v>1125</v>
      </c>
      <c r="G1308" t="s">
        <v>37</v>
      </c>
      <c r="H1308">
        <v>7</v>
      </c>
      <c r="I1308">
        <v>4</v>
      </c>
      <c r="J1308" t="s">
        <v>59</v>
      </c>
      <c r="K1308">
        <v>1</v>
      </c>
      <c r="L1308">
        <v>1833</v>
      </c>
      <c r="M1308">
        <v>1</v>
      </c>
      <c r="N1308" t="str" cm="1">
        <f t="array" ref="N1308">_xlfn.IFS(HRData[[#This Row],[EnvironmentSatisfaction]]=1,"Very Dissatisfied",
HRData[[#This Row],[EnvironmentSatisfaction]]=2,"Dissatisfied",
HRData[[#This Row],[EnvironmentSatisfaction]]=3,"Satisfied",
HRData[[#This Row],[EnvironmentSatisfaction]]=4,"Very Satisfied"
)</f>
        <v>Very Dissatisfied</v>
      </c>
      <c r="O1308" t="s">
        <v>39</v>
      </c>
      <c r="P1308">
        <v>68</v>
      </c>
      <c r="Q1308">
        <v>3</v>
      </c>
      <c r="R1308">
        <v>3</v>
      </c>
      <c r="S1308" t="s">
        <v>40</v>
      </c>
      <c r="T1308">
        <v>1</v>
      </c>
      <c r="U1308" t="str" cm="1">
        <f t="array" ref="U1308">_xlfn.IFS(
HRData[[#This Row],[JobSatisfaction]]=1,"Very Dissatisfied",
HRData[[#This Row],[JobSatisfaction]]=2,"Dissatisfied",
HRData[[#This Row],[JobSatisfaction]]=3,"Satisfied",
HRData[[#This Row],[JobSatisfaction]]=4,"Very Satisfied"
)</f>
        <v>Very Dissatisfied</v>
      </c>
      <c r="V1308" t="s">
        <v>48</v>
      </c>
      <c r="W1308">
        <v>9637</v>
      </c>
      <c r="X1308" t="str" cm="1">
        <f t="array" ref="X1308">_xlfn.IFS(
HRData[[#This Row],[MonthlyIncome]]&lt;=4000,"Very Low Income",
HRData[[#This Row],[MonthlyIncome]]&lt;=8000,"Low Income",
HRData[[#This Row],[MonthlyIncome]]&lt;=12000,"Moderate Income",
HRData[[#This Row],[MonthlyIncome]]&lt;=16000,"High Income",
HRData[[#This Row],[MonthlyIncome]]&gt;16000,"Very High Income"
)</f>
        <v>Moderate Income</v>
      </c>
      <c r="Y1308">
        <v>8277</v>
      </c>
      <c r="Z1308">
        <v>2</v>
      </c>
      <c r="AA1308" t="s">
        <v>42</v>
      </c>
      <c r="AB1308" t="s">
        <v>43</v>
      </c>
      <c r="AC1308">
        <v>14</v>
      </c>
      <c r="AD1308" t="str" cm="1">
        <f t="array" ref="AD1308">_xlfn.IFS(HRData[[#This Row],[PercentSalaryHike]]&lt;=15,"11-15",HRData[[#This Row],[PercentSalaryHike]]&lt;=20,"16-20",HRData[[#This Row],[PercentSalaryHike]]&gt;=21,"21+")</f>
        <v>11-15</v>
      </c>
      <c r="AE1308">
        <v>3</v>
      </c>
      <c r="AF1308">
        <v>4</v>
      </c>
      <c r="AG1308">
        <v>80</v>
      </c>
      <c r="AH1308">
        <v>2</v>
      </c>
      <c r="AI1308">
        <v>9</v>
      </c>
      <c r="AJ1308">
        <v>3</v>
      </c>
      <c r="AK1308">
        <v>3</v>
      </c>
      <c r="AL1308">
        <v>3</v>
      </c>
      <c r="AM1308">
        <v>2</v>
      </c>
      <c r="AN1308">
        <v>2</v>
      </c>
      <c r="AO1308">
        <v>2</v>
      </c>
      <c r="AP130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08" t="str">
        <f>IF(HRData[[#This Row],[Attrition]]="Yes","Left", IF(HRData[[#This Row],[Attrition_Risk_Score]]&gt;=6,"High",IF(HRData[[#This Row],[Attrition_Risk_Score]]&gt;=3,"Medium","Low")))</f>
        <v>Medium</v>
      </c>
      <c r="AR1308" t="str">
        <f>IF(HRData[[#This Row],[Attrition_Risk_Level]]&lt;&gt;"High","",HRData[[#This Row],[Attrition_Risk_Score]]*10000-HRData[[#This Row],[EmployeeNumber]])</f>
        <v/>
      </c>
    </row>
    <row r="1309" spans="1:44">
      <c r="A1309">
        <v>28</v>
      </c>
      <c r="B1309" t="str" cm="1">
        <f t="array" ref="B1309">_xlfn.IFS(
HRData[[#This Row],[Age]]&lt;=24,"18-24",
HRData[[#This Row],[Age]]&lt;=34,"25-34",
HRData[[#This Row],[Age]]&lt;=44,"35-44",
HRData[[#This Row],[Age]]&lt;=54,"45-54",
HRData[[#This Row],[Age]]&gt;=55,"55+"
)</f>
        <v>25-34</v>
      </c>
      <c r="C1309" t="s">
        <v>43</v>
      </c>
      <c r="D1309">
        <f>IF(HRData[[#This Row],[Attrition]]="Yes",1,0)</f>
        <v>0</v>
      </c>
      <c r="E1309" t="s">
        <v>36</v>
      </c>
      <c r="F1309">
        <v>1217</v>
      </c>
      <c r="G1309" t="s">
        <v>45</v>
      </c>
      <c r="H1309">
        <v>1</v>
      </c>
      <c r="I1309">
        <v>3</v>
      </c>
      <c r="J1309" t="s">
        <v>51</v>
      </c>
      <c r="K1309">
        <v>1</v>
      </c>
      <c r="L1309">
        <v>1834</v>
      </c>
      <c r="M1309">
        <v>3</v>
      </c>
      <c r="N1309" t="str" cm="1">
        <f t="array" ref="N1309">_xlfn.IFS(HRData[[#This Row],[EnvironmentSatisfaction]]=1,"Very Dissatisfied",
HRData[[#This Row],[EnvironmentSatisfaction]]=2,"Dissatisfied",
HRData[[#This Row],[EnvironmentSatisfaction]]=3,"Satisfied",
HRData[[#This Row],[EnvironmentSatisfaction]]=4,"Very Satisfied"
)</f>
        <v>Satisfied</v>
      </c>
      <c r="O1309" t="s">
        <v>39</v>
      </c>
      <c r="P1309">
        <v>67</v>
      </c>
      <c r="Q1309">
        <v>3</v>
      </c>
      <c r="R1309">
        <v>1</v>
      </c>
      <c r="S1309" t="s">
        <v>47</v>
      </c>
      <c r="T1309">
        <v>1</v>
      </c>
      <c r="U1309" t="str" cm="1">
        <f t="array" ref="U1309">_xlfn.IFS(
HRData[[#This Row],[JobSatisfaction]]=1,"Very Dissatisfied",
HRData[[#This Row],[JobSatisfaction]]=2,"Dissatisfied",
HRData[[#This Row],[JobSatisfaction]]=3,"Satisfied",
HRData[[#This Row],[JobSatisfaction]]=4,"Very Satisfied"
)</f>
        <v>Very Dissatisfied</v>
      </c>
      <c r="V1309" t="s">
        <v>48</v>
      </c>
      <c r="W1309">
        <v>3591</v>
      </c>
      <c r="X1309" t="str" cm="1">
        <f t="array" ref="X1309">_xlfn.IFS(
HRData[[#This Row],[MonthlyIncome]]&lt;=4000,"Very Low Income",
HRData[[#This Row],[MonthlyIncome]]&lt;=8000,"Low Income",
HRData[[#This Row],[MonthlyIncome]]&lt;=12000,"Moderate Income",
HRData[[#This Row],[MonthlyIncome]]&lt;=16000,"High Income",
HRData[[#This Row],[MonthlyIncome]]&gt;16000,"Very High Income"
)</f>
        <v>Very Low Income</v>
      </c>
      <c r="Y1309">
        <v>12719</v>
      </c>
      <c r="Z1309">
        <v>1</v>
      </c>
      <c r="AA1309" t="s">
        <v>42</v>
      </c>
      <c r="AB1309" t="s">
        <v>43</v>
      </c>
      <c r="AC1309">
        <v>25</v>
      </c>
      <c r="AD1309" t="str" cm="1">
        <f t="array" ref="AD1309">_xlfn.IFS(HRData[[#This Row],[PercentSalaryHike]]&lt;=15,"11-15",HRData[[#This Row],[PercentSalaryHike]]&lt;=20,"16-20",HRData[[#This Row],[PercentSalaryHike]]&gt;=21,"21+")</f>
        <v>21+</v>
      </c>
      <c r="AE1309">
        <v>4</v>
      </c>
      <c r="AF1309">
        <v>3</v>
      </c>
      <c r="AG1309">
        <v>80</v>
      </c>
      <c r="AH1309">
        <v>1</v>
      </c>
      <c r="AI1309">
        <v>3</v>
      </c>
      <c r="AJ1309">
        <v>3</v>
      </c>
      <c r="AK1309">
        <v>3</v>
      </c>
      <c r="AL1309">
        <v>3</v>
      </c>
      <c r="AM1309">
        <v>2</v>
      </c>
      <c r="AN1309">
        <v>1</v>
      </c>
      <c r="AO1309">
        <v>2</v>
      </c>
      <c r="AP130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309" t="str">
        <f>IF(HRData[[#This Row],[Attrition]]="Yes","Left", IF(HRData[[#This Row],[Attrition_Risk_Score]]&gt;=6,"High",IF(HRData[[#This Row],[Attrition_Risk_Score]]&gt;=3,"Medium","Low")))</f>
        <v>Medium</v>
      </c>
      <c r="AR1309" t="str">
        <f>IF(HRData[[#This Row],[Attrition_Risk_Level]]&lt;&gt;"High","",HRData[[#This Row],[Attrition_Risk_Score]]*10000-HRData[[#This Row],[EmployeeNumber]])</f>
        <v/>
      </c>
    </row>
    <row r="1310" spans="1:44">
      <c r="A1310">
        <v>38</v>
      </c>
      <c r="B1310" t="str" cm="1">
        <f t="array" ref="B1310">_xlfn.IFS(
HRData[[#This Row],[Age]]&lt;=24,"18-24",
HRData[[#This Row],[Age]]&lt;=34,"25-34",
HRData[[#This Row],[Age]]&lt;=44,"35-44",
HRData[[#This Row],[Age]]&lt;=54,"45-54",
HRData[[#This Row],[Age]]&gt;=55,"55+"
)</f>
        <v>35-44</v>
      </c>
      <c r="C1310" t="s">
        <v>43</v>
      </c>
      <c r="D1310">
        <f>IF(HRData[[#This Row],[Attrition]]="Yes",1,0)</f>
        <v>0</v>
      </c>
      <c r="E1310" t="s">
        <v>36</v>
      </c>
      <c r="F1310">
        <v>723</v>
      </c>
      <c r="G1310" t="s">
        <v>37</v>
      </c>
      <c r="H1310">
        <v>2</v>
      </c>
      <c r="I1310">
        <v>4</v>
      </c>
      <c r="J1310" t="s">
        <v>59</v>
      </c>
      <c r="K1310">
        <v>1</v>
      </c>
      <c r="L1310">
        <v>1835</v>
      </c>
      <c r="M1310">
        <v>2</v>
      </c>
      <c r="N1310" t="str" cm="1">
        <f t="array" ref="N1310">_xlfn.IFS(HRData[[#This Row],[EnvironmentSatisfaction]]=1,"Very Dissatisfied",
HRData[[#This Row],[EnvironmentSatisfaction]]=2,"Dissatisfied",
HRData[[#This Row],[EnvironmentSatisfaction]]=3,"Satisfied",
HRData[[#This Row],[EnvironmentSatisfaction]]=4,"Very Satisfied"
)</f>
        <v>Dissatisfied</v>
      </c>
      <c r="O1310" t="s">
        <v>39</v>
      </c>
      <c r="P1310">
        <v>77</v>
      </c>
      <c r="Q1310">
        <v>1</v>
      </c>
      <c r="R1310">
        <v>2</v>
      </c>
      <c r="S1310" t="s">
        <v>57</v>
      </c>
      <c r="T1310">
        <v>4</v>
      </c>
      <c r="U1310" t="str" cm="1">
        <f t="array" ref="U1310">_xlfn.IFS(
HRData[[#This Row],[JobSatisfaction]]=1,"Very Dissatisfied",
HRData[[#This Row],[JobSatisfaction]]=2,"Dissatisfied",
HRData[[#This Row],[JobSatisfaction]]=3,"Satisfied",
HRData[[#This Row],[JobSatisfaction]]=4,"Very Satisfied"
)</f>
        <v>Very Satisfied</v>
      </c>
      <c r="V1310" t="s">
        <v>48</v>
      </c>
      <c r="W1310">
        <v>5405</v>
      </c>
      <c r="X1310" t="str" cm="1">
        <f t="array" ref="X1310">_xlfn.IFS(
HRData[[#This Row],[MonthlyIncome]]&lt;=4000,"Very Low Income",
HRData[[#This Row],[MonthlyIncome]]&lt;=8000,"Low Income",
HRData[[#This Row],[MonthlyIncome]]&lt;=12000,"Moderate Income",
HRData[[#This Row],[MonthlyIncome]]&lt;=16000,"High Income",
HRData[[#This Row],[MonthlyIncome]]&gt;16000,"Very High Income"
)</f>
        <v>Low Income</v>
      </c>
      <c r="Y1310">
        <v>4244</v>
      </c>
      <c r="Z1310">
        <v>2</v>
      </c>
      <c r="AA1310" t="s">
        <v>42</v>
      </c>
      <c r="AB1310" t="s">
        <v>35</v>
      </c>
      <c r="AC1310">
        <v>20</v>
      </c>
      <c r="AD1310" t="str" cm="1">
        <f t="array" ref="AD1310">_xlfn.IFS(HRData[[#This Row],[PercentSalaryHike]]&lt;=15,"11-15",HRData[[#This Row],[PercentSalaryHike]]&lt;=20,"16-20",HRData[[#This Row],[PercentSalaryHike]]&gt;=21,"21+")</f>
        <v>16-20</v>
      </c>
      <c r="AE1310">
        <v>4</v>
      </c>
      <c r="AF1310">
        <v>1</v>
      </c>
      <c r="AG1310">
        <v>80</v>
      </c>
      <c r="AH1310">
        <v>2</v>
      </c>
      <c r="AI1310">
        <v>20</v>
      </c>
      <c r="AJ1310">
        <v>4</v>
      </c>
      <c r="AK1310">
        <v>2</v>
      </c>
      <c r="AL1310">
        <v>4</v>
      </c>
      <c r="AM1310">
        <v>2</v>
      </c>
      <c r="AN1310">
        <v>0</v>
      </c>
      <c r="AO1310">
        <v>3</v>
      </c>
      <c r="AP131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310" t="str">
        <f>IF(HRData[[#This Row],[Attrition]]="Yes","Left", IF(HRData[[#This Row],[Attrition_Risk_Score]]&gt;=6,"High",IF(HRData[[#This Row],[Attrition_Risk_Score]]&gt;=3,"Medium","Low")))</f>
        <v>Medium</v>
      </c>
      <c r="AR1310" t="str">
        <f>IF(HRData[[#This Row],[Attrition_Risk_Level]]&lt;&gt;"High","",HRData[[#This Row],[Attrition_Risk_Score]]*10000-HRData[[#This Row],[EmployeeNumber]])</f>
        <v/>
      </c>
    </row>
    <row r="1311" spans="1:44">
      <c r="A1311">
        <v>26</v>
      </c>
      <c r="B1311" t="str" cm="1">
        <f t="array" ref="B1311">_xlfn.IFS(
HRData[[#This Row],[Age]]&lt;=24,"18-24",
HRData[[#This Row],[Age]]&lt;=34,"25-34",
HRData[[#This Row],[Age]]&lt;=44,"35-44",
HRData[[#This Row],[Age]]&lt;=54,"45-54",
HRData[[#This Row],[Age]]&gt;=55,"55+"
)</f>
        <v>25-34</v>
      </c>
      <c r="C1311" t="s">
        <v>43</v>
      </c>
      <c r="D1311">
        <f>IF(HRData[[#This Row],[Attrition]]="Yes",1,0)</f>
        <v>0</v>
      </c>
      <c r="E1311" t="s">
        <v>36</v>
      </c>
      <c r="F1311">
        <v>572</v>
      </c>
      <c r="G1311" t="s">
        <v>37</v>
      </c>
      <c r="H1311">
        <v>10</v>
      </c>
      <c r="I1311">
        <v>3</v>
      </c>
      <c r="J1311" t="s">
        <v>51</v>
      </c>
      <c r="K1311">
        <v>1</v>
      </c>
      <c r="L1311">
        <v>1836</v>
      </c>
      <c r="M1311">
        <v>3</v>
      </c>
      <c r="N1311" t="str" cm="1">
        <f t="array" ref="N1311">_xlfn.IFS(HRData[[#This Row],[EnvironmentSatisfaction]]=1,"Very Dissatisfied",
HRData[[#This Row],[EnvironmentSatisfaction]]=2,"Dissatisfied",
HRData[[#This Row],[EnvironmentSatisfaction]]=3,"Satisfied",
HRData[[#This Row],[EnvironmentSatisfaction]]=4,"Very Satisfied"
)</f>
        <v>Satisfied</v>
      </c>
      <c r="O1311" t="s">
        <v>46</v>
      </c>
      <c r="P1311">
        <v>46</v>
      </c>
      <c r="Q1311">
        <v>3</v>
      </c>
      <c r="R1311">
        <v>2</v>
      </c>
      <c r="S1311" t="s">
        <v>40</v>
      </c>
      <c r="T1311">
        <v>4</v>
      </c>
      <c r="U1311" t="str" cm="1">
        <f t="array" ref="U1311">_xlfn.IFS(
HRData[[#This Row],[JobSatisfaction]]=1,"Very Dissatisfied",
HRData[[#This Row],[JobSatisfaction]]=2,"Dissatisfied",
HRData[[#This Row],[JobSatisfaction]]=3,"Satisfied",
HRData[[#This Row],[JobSatisfaction]]=4,"Very Satisfied"
)</f>
        <v>Very Satisfied</v>
      </c>
      <c r="V1311" t="s">
        <v>41</v>
      </c>
      <c r="W1311">
        <v>4684</v>
      </c>
      <c r="X1311" t="str" cm="1">
        <f t="array" ref="X1311">_xlfn.IFS(
HRData[[#This Row],[MonthlyIncome]]&lt;=4000,"Very Low Income",
HRData[[#This Row],[MonthlyIncome]]&lt;=8000,"Low Income",
HRData[[#This Row],[MonthlyIncome]]&lt;=12000,"Moderate Income",
HRData[[#This Row],[MonthlyIncome]]&lt;=16000,"High Income",
HRData[[#This Row],[MonthlyIncome]]&gt;16000,"Very High Income"
)</f>
        <v>Low Income</v>
      </c>
      <c r="Y1311">
        <v>9125</v>
      </c>
      <c r="Z1311">
        <v>1</v>
      </c>
      <c r="AA1311" t="s">
        <v>42</v>
      </c>
      <c r="AB1311" t="s">
        <v>43</v>
      </c>
      <c r="AC1311">
        <v>13</v>
      </c>
      <c r="AD1311" t="str" cm="1">
        <f t="array" ref="AD1311">_xlfn.IFS(HRData[[#This Row],[PercentSalaryHike]]&lt;=15,"11-15",HRData[[#This Row],[PercentSalaryHike]]&lt;=20,"16-20",HRData[[#This Row],[PercentSalaryHike]]&gt;=21,"21+")</f>
        <v>11-15</v>
      </c>
      <c r="AE1311">
        <v>3</v>
      </c>
      <c r="AF1311">
        <v>1</v>
      </c>
      <c r="AG1311">
        <v>80</v>
      </c>
      <c r="AH1311">
        <v>0</v>
      </c>
      <c r="AI1311">
        <v>5</v>
      </c>
      <c r="AJ1311">
        <v>4</v>
      </c>
      <c r="AK1311">
        <v>3</v>
      </c>
      <c r="AL1311">
        <v>5</v>
      </c>
      <c r="AM1311">
        <v>3</v>
      </c>
      <c r="AN1311">
        <v>1</v>
      </c>
      <c r="AO1311">
        <v>2</v>
      </c>
      <c r="AP131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11" t="str">
        <f>IF(HRData[[#This Row],[Attrition]]="Yes","Left", IF(HRData[[#This Row],[Attrition_Risk_Score]]&gt;=6,"High",IF(HRData[[#This Row],[Attrition_Risk_Score]]&gt;=3,"Medium","Low")))</f>
        <v>Low</v>
      </c>
      <c r="AR1311" t="str">
        <f>IF(HRData[[#This Row],[Attrition_Risk_Level]]&lt;&gt;"High","",HRData[[#This Row],[Attrition_Risk_Score]]*10000-HRData[[#This Row],[EmployeeNumber]])</f>
        <v/>
      </c>
    </row>
    <row r="1312" spans="1:44">
      <c r="A1312">
        <v>58</v>
      </c>
      <c r="B1312" t="str" cm="1">
        <f t="array" ref="B1312">_xlfn.IFS(
HRData[[#This Row],[Age]]&lt;=24,"18-24",
HRData[[#This Row],[Age]]&lt;=34,"25-34",
HRData[[#This Row],[Age]]&lt;=44,"35-44",
HRData[[#This Row],[Age]]&lt;=54,"45-54",
HRData[[#This Row],[Age]]&gt;=55,"55+"
)</f>
        <v>55+</v>
      </c>
      <c r="C1312" t="s">
        <v>43</v>
      </c>
      <c r="D1312">
        <f>IF(HRData[[#This Row],[Attrition]]="Yes",1,0)</f>
        <v>0</v>
      </c>
      <c r="E1312" t="s">
        <v>44</v>
      </c>
      <c r="F1312">
        <v>1216</v>
      </c>
      <c r="G1312" t="s">
        <v>45</v>
      </c>
      <c r="H1312">
        <v>15</v>
      </c>
      <c r="I1312">
        <v>4</v>
      </c>
      <c r="J1312" t="s">
        <v>38</v>
      </c>
      <c r="K1312">
        <v>1</v>
      </c>
      <c r="L1312">
        <v>1837</v>
      </c>
      <c r="M1312">
        <v>1</v>
      </c>
      <c r="N1312" t="str" cm="1">
        <f t="array" ref="N1312">_xlfn.IFS(HRData[[#This Row],[EnvironmentSatisfaction]]=1,"Very Dissatisfied",
HRData[[#This Row],[EnvironmentSatisfaction]]=2,"Dissatisfied",
HRData[[#This Row],[EnvironmentSatisfaction]]=3,"Satisfied",
HRData[[#This Row],[EnvironmentSatisfaction]]=4,"Very Satisfied"
)</f>
        <v>Very Dissatisfied</v>
      </c>
      <c r="O1312" t="s">
        <v>46</v>
      </c>
      <c r="P1312">
        <v>87</v>
      </c>
      <c r="Q1312">
        <v>3</v>
      </c>
      <c r="R1312">
        <v>4</v>
      </c>
      <c r="S1312" t="s">
        <v>58</v>
      </c>
      <c r="T1312">
        <v>3</v>
      </c>
      <c r="U1312" t="str" cm="1">
        <f t="array" ref="U1312">_xlfn.IFS(
HRData[[#This Row],[JobSatisfaction]]=1,"Very Dissatisfied",
HRData[[#This Row],[JobSatisfaction]]=2,"Dissatisfied",
HRData[[#This Row],[JobSatisfaction]]=3,"Satisfied",
HRData[[#This Row],[JobSatisfaction]]=4,"Very Satisfied"
)</f>
        <v>Satisfied</v>
      </c>
      <c r="V1312" t="s">
        <v>48</v>
      </c>
      <c r="W1312">
        <v>15787</v>
      </c>
      <c r="X1312" t="str" cm="1">
        <f t="array" ref="X1312">_xlfn.IFS(
HRData[[#This Row],[MonthlyIncome]]&lt;=4000,"Very Low Income",
HRData[[#This Row],[MonthlyIncome]]&lt;=8000,"Low Income",
HRData[[#This Row],[MonthlyIncome]]&lt;=12000,"Moderate Income",
HRData[[#This Row],[MonthlyIncome]]&lt;=16000,"High Income",
HRData[[#This Row],[MonthlyIncome]]&gt;16000,"Very High Income"
)</f>
        <v>High Income</v>
      </c>
      <c r="Y1312">
        <v>21624</v>
      </c>
      <c r="Z1312">
        <v>2</v>
      </c>
      <c r="AA1312" t="s">
        <v>42</v>
      </c>
      <c r="AB1312" t="s">
        <v>35</v>
      </c>
      <c r="AC1312">
        <v>14</v>
      </c>
      <c r="AD1312" t="str" cm="1">
        <f t="array" ref="AD1312">_xlfn.IFS(HRData[[#This Row],[PercentSalaryHike]]&lt;=15,"11-15",HRData[[#This Row],[PercentSalaryHike]]&lt;=20,"16-20",HRData[[#This Row],[PercentSalaryHike]]&gt;=21,"21+")</f>
        <v>11-15</v>
      </c>
      <c r="AE1312">
        <v>3</v>
      </c>
      <c r="AF1312">
        <v>2</v>
      </c>
      <c r="AG1312">
        <v>80</v>
      </c>
      <c r="AH1312">
        <v>0</v>
      </c>
      <c r="AI1312">
        <v>23</v>
      </c>
      <c r="AJ1312">
        <v>3</v>
      </c>
      <c r="AK1312">
        <v>3</v>
      </c>
      <c r="AL1312">
        <v>2</v>
      </c>
      <c r="AM1312">
        <v>2</v>
      </c>
      <c r="AN1312">
        <v>2</v>
      </c>
      <c r="AO1312">
        <v>2</v>
      </c>
      <c r="AP131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12" t="str">
        <f>IF(HRData[[#This Row],[Attrition]]="Yes","Left", IF(HRData[[#This Row],[Attrition_Risk_Score]]&gt;=6,"High",IF(HRData[[#This Row],[Attrition_Risk_Score]]&gt;=3,"Medium","Low")))</f>
        <v>Low</v>
      </c>
      <c r="AR1312" t="str">
        <f>IF(HRData[[#This Row],[Attrition_Risk_Level]]&lt;&gt;"High","",HRData[[#This Row],[Attrition_Risk_Score]]*10000-HRData[[#This Row],[EmployeeNumber]])</f>
        <v/>
      </c>
    </row>
    <row r="1313" spans="1:44">
      <c r="A1313">
        <v>18</v>
      </c>
      <c r="B1313" t="str" cm="1">
        <f t="array" ref="B1313">_xlfn.IFS(
HRData[[#This Row],[Age]]&lt;=24,"18-24",
HRData[[#This Row],[Age]]&lt;=34,"25-34",
HRData[[#This Row],[Age]]&lt;=44,"35-44",
HRData[[#This Row],[Age]]&lt;=54,"45-54",
HRData[[#This Row],[Age]]&gt;=55,"55+"
)</f>
        <v>18-24</v>
      </c>
      <c r="C1313" t="s">
        <v>43</v>
      </c>
      <c r="D1313">
        <f>IF(HRData[[#This Row],[Attrition]]="Yes",1,0)</f>
        <v>0</v>
      </c>
      <c r="E1313" t="s">
        <v>55</v>
      </c>
      <c r="F1313">
        <v>1431</v>
      </c>
      <c r="G1313" t="s">
        <v>45</v>
      </c>
      <c r="H1313">
        <v>14</v>
      </c>
      <c r="I1313">
        <v>3</v>
      </c>
      <c r="J1313" t="s">
        <v>51</v>
      </c>
      <c r="K1313">
        <v>1</v>
      </c>
      <c r="L1313">
        <v>1839</v>
      </c>
      <c r="M1313">
        <v>2</v>
      </c>
      <c r="N1313" t="str" cm="1">
        <f t="array" ref="N1313">_xlfn.IFS(HRData[[#This Row],[EnvironmentSatisfaction]]=1,"Very Dissatisfied",
HRData[[#This Row],[EnvironmentSatisfaction]]=2,"Dissatisfied",
HRData[[#This Row],[EnvironmentSatisfaction]]=3,"Satisfied",
HRData[[#This Row],[EnvironmentSatisfaction]]=4,"Very Satisfied"
)</f>
        <v>Dissatisfied</v>
      </c>
      <c r="O1313" t="s">
        <v>39</v>
      </c>
      <c r="P1313">
        <v>33</v>
      </c>
      <c r="Q1313">
        <v>3</v>
      </c>
      <c r="R1313">
        <v>1</v>
      </c>
      <c r="S1313" t="s">
        <v>47</v>
      </c>
      <c r="T1313">
        <v>3</v>
      </c>
      <c r="U1313" t="str" cm="1">
        <f t="array" ref="U1313">_xlfn.IFS(
HRData[[#This Row],[JobSatisfaction]]=1,"Very Dissatisfied",
HRData[[#This Row],[JobSatisfaction]]=2,"Dissatisfied",
HRData[[#This Row],[JobSatisfaction]]=3,"Satisfied",
HRData[[#This Row],[JobSatisfaction]]=4,"Very Satisfied"
)</f>
        <v>Satisfied</v>
      </c>
      <c r="V1313" t="s">
        <v>41</v>
      </c>
      <c r="W1313">
        <v>1514</v>
      </c>
      <c r="X1313" t="str" cm="1">
        <f t="array" ref="X1313">_xlfn.IFS(
HRData[[#This Row],[MonthlyIncome]]&lt;=4000,"Very Low Income",
HRData[[#This Row],[MonthlyIncome]]&lt;=8000,"Low Income",
HRData[[#This Row],[MonthlyIncome]]&lt;=12000,"Moderate Income",
HRData[[#This Row],[MonthlyIncome]]&lt;=16000,"High Income",
HRData[[#This Row],[MonthlyIncome]]&gt;16000,"Very High Income"
)</f>
        <v>Very Low Income</v>
      </c>
      <c r="Y1313">
        <v>8018</v>
      </c>
      <c r="Z1313">
        <v>1</v>
      </c>
      <c r="AA1313" t="s">
        <v>42</v>
      </c>
      <c r="AB1313" t="s">
        <v>43</v>
      </c>
      <c r="AC1313">
        <v>16</v>
      </c>
      <c r="AD1313" t="str" cm="1">
        <f t="array" ref="AD1313">_xlfn.IFS(HRData[[#This Row],[PercentSalaryHike]]&lt;=15,"11-15",HRData[[#This Row],[PercentSalaryHike]]&lt;=20,"16-20",HRData[[#This Row],[PercentSalaryHike]]&gt;=21,"21+")</f>
        <v>16-20</v>
      </c>
      <c r="AE1313">
        <v>3</v>
      </c>
      <c r="AF1313">
        <v>3</v>
      </c>
      <c r="AG1313">
        <v>80</v>
      </c>
      <c r="AH1313">
        <v>0</v>
      </c>
      <c r="AI1313">
        <v>0</v>
      </c>
      <c r="AJ1313">
        <v>4</v>
      </c>
      <c r="AK1313">
        <v>1</v>
      </c>
      <c r="AL1313">
        <v>0</v>
      </c>
      <c r="AM1313">
        <v>0</v>
      </c>
      <c r="AN1313">
        <v>0</v>
      </c>
      <c r="AO1313">
        <v>0</v>
      </c>
      <c r="AP131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313" t="str">
        <f>IF(HRData[[#This Row],[Attrition]]="Yes","Left", IF(HRData[[#This Row],[Attrition_Risk_Score]]&gt;=6,"High",IF(HRData[[#This Row],[Attrition_Risk_Score]]&gt;=3,"Medium","Low")))</f>
        <v>Medium</v>
      </c>
      <c r="AR1313" t="str">
        <f>IF(HRData[[#This Row],[Attrition_Risk_Level]]&lt;&gt;"High","",HRData[[#This Row],[Attrition_Risk_Score]]*10000-HRData[[#This Row],[EmployeeNumber]])</f>
        <v/>
      </c>
    </row>
    <row r="1314" spans="1:44">
      <c r="A1314">
        <v>31</v>
      </c>
      <c r="B1314" t="str" cm="1">
        <f t="array" ref="B1314">_xlfn.IFS(
HRData[[#This Row],[Age]]&lt;=24,"18-24",
HRData[[#This Row],[Age]]&lt;=34,"25-34",
HRData[[#This Row],[Age]]&lt;=44,"35-44",
HRData[[#This Row],[Age]]&lt;=54,"45-54",
HRData[[#This Row],[Age]]&gt;=55,"55+"
)</f>
        <v>25-34</v>
      </c>
      <c r="C1314" t="s">
        <v>35</v>
      </c>
      <c r="D1314">
        <f>IF(HRData[[#This Row],[Attrition]]="Yes",1,0)</f>
        <v>1</v>
      </c>
      <c r="E1314" t="s">
        <v>36</v>
      </c>
      <c r="F1314">
        <v>359</v>
      </c>
      <c r="G1314" t="s">
        <v>61</v>
      </c>
      <c r="H1314">
        <v>18</v>
      </c>
      <c r="I1314">
        <v>5</v>
      </c>
      <c r="J1314" t="s">
        <v>61</v>
      </c>
      <c r="K1314">
        <v>1</v>
      </c>
      <c r="L1314">
        <v>1842</v>
      </c>
      <c r="M1314">
        <v>4</v>
      </c>
      <c r="N1314" t="str" cm="1">
        <f t="array" ref="N1314">_xlfn.IFS(HRData[[#This Row],[EnvironmentSatisfaction]]=1,"Very Dissatisfied",
HRData[[#This Row],[EnvironmentSatisfaction]]=2,"Dissatisfied",
HRData[[#This Row],[EnvironmentSatisfaction]]=3,"Satisfied",
HRData[[#This Row],[EnvironmentSatisfaction]]=4,"Very Satisfied"
)</f>
        <v>Very Satisfied</v>
      </c>
      <c r="O1314" t="s">
        <v>46</v>
      </c>
      <c r="P1314">
        <v>89</v>
      </c>
      <c r="Q1314">
        <v>4</v>
      </c>
      <c r="R1314">
        <v>1</v>
      </c>
      <c r="S1314" t="s">
        <v>61</v>
      </c>
      <c r="T1314">
        <v>1</v>
      </c>
      <c r="U1314" t="str" cm="1">
        <f t="array" ref="U1314">_xlfn.IFS(
HRData[[#This Row],[JobSatisfaction]]=1,"Very Dissatisfied",
HRData[[#This Row],[JobSatisfaction]]=2,"Dissatisfied",
HRData[[#This Row],[JobSatisfaction]]=3,"Satisfied",
HRData[[#This Row],[JobSatisfaction]]=4,"Very Satisfied"
)</f>
        <v>Very Dissatisfied</v>
      </c>
      <c r="V1314" t="s">
        <v>48</v>
      </c>
      <c r="W1314">
        <v>2956</v>
      </c>
      <c r="X1314" t="str" cm="1">
        <f t="array" ref="X1314">_xlfn.IFS(
HRData[[#This Row],[MonthlyIncome]]&lt;=4000,"Very Low Income",
HRData[[#This Row],[MonthlyIncome]]&lt;=8000,"Low Income",
HRData[[#This Row],[MonthlyIncome]]&lt;=12000,"Moderate Income",
HRData[[#This Row],[MonthlyIncome]]&lt;=16000,"High Income",
HRData[[#This Row],[MonthlyIncome]]&gt;16000,"Very High Income"
)</f>
        <v>Very Low Income</v>
      </c>
      <c r="Y1314">
        <v>21495</v>
      </c>
      <c r="Z1314">
        <v>0</v>
      </c>
      <c r="AA1314" t="s">
        <v>42</v>
      </c>
      <c r="AB1314" t="s">
        <v>43</v>
      </c>
      <c r="AC1314">
        <v>17</v>
      </c>
      <c r="AD1314" t="str" cm="1">
        <f t="array" ref="AD1314">_xlfn.IFS(HRData[[#This Row],[PercentSalaryHike]]&lt;=15,"11-15",HRData[[#This Row],[PercentSalaryHike]]&lt;=20,"16-20",HRData[[#This Row],[PercentSalaryHike]]&gt;=21,"21+")</f>
        <v>16-20</v>
      </c>
      <c r="AE1314">
        <v>3</v>
      </c>
      <c r="AF1314">
        <v>3</v>
      </c>
      <c r="AG1314">
        <v>80</v>
      </c>
      <c r="AH1314">
        <v>0</v>
      </c>
      <c r="AI1314">
        <v>2</v>
      </c>
      <c r="AJ1314">
        <v>4</v>
      </c>
      <c r="AK1314">
        <v>3</v>
      </c>
      <c r="AL1314">
        <v>1</v>
      </c>
      <c r="AM1314">
        <v>0</v>
      </c>
      <c r="AN1314">
        <v>0</v>
      </c>
      <c r="AO1314">
        <v>0</v>
      </c>
      <c r="AP131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14" t="str">
        <f>IF(HRData[[#This Row],[Attrition]]="Yes","Left", IF(HRData[[#This Row],[Attrition_Risk_Score]]&gt;=6,"High",IF(HRData[[#This Row],[Attrition_Risk_Score]]&gt;=3,"Medium","Low")))</f>
        <v>Left</v>
      </c>
      <c r="AR1314" t="str">
        <f>IF(HRData[[#This Row],[Attrition_Risk_Level]]&lt;&gt;"High","",HRData[[#This Row],[Attrition_Risk_Score]]*10000-HRData[[#This Row],[EmployeeNumber]])</f>
        <v/>
      </c>
    </row>
    <row r="1315" spans="1:44">
      <c r="A1315">
        <v>29</v>
      </c>
      <c r="B1315" t="str" cm="1">
        <f t="array" ref="B1315">_xlfn.IFS(
HRData[[#This Row],[Age]]&lt;=24,"18-24",
HRData[[#This Row],[Age]]&lt;=34,"25-34",
HRData[[#This Row],[Age]]&lt;=44,"35-44",
HRData[[#This Row],[Age]]&lt;=54,"45-54",
HRData[[#This Row],[Age]]&gt;=55,"55+"
)</f>
        <v>25-34</v>
      </c>
      <c r="C1315" t="s">
        <v>35</v>
      </c>
      <c r="D1315">
        <f>IF(HRData[[#This Row],[Attrition]]="Yes",1,0)</f>
        <v>1</v>
      </c>
      <c r="E1315" t="s">
        <v>36</v>
      </c>
      <c r="F1315">
        <v>350</v>
      </c>
      <c r="G1315" t="s">
        <v>61</v>
      </c>
      <c r="H1315">
        <v>13</v>
      </c>
      <c r="I1315">
        <v>3</v>
      </c>
      <c r="J1315" t="s">
        <v>61</v>
      </c>
      <c r="K1315">
        <v>1</v>
      </c>
      <c r="L1315">
        <v>1844</v>
      </c>
      <c r="M1315">
        <v>1</v>
      </c>
      <c r="N1315" t="str" cm="1">
        <f t="array" ref="N1315">_xlfn.IFS(HRData[[#This Row],[EnvironmentSatisfaction]]=1,"Very Dissatisfied",
HRData[[#This Row],[EnvironmentSatisfaction]]=2,"Dissatisfied",
HRData[[#This Row],[EnvironmentSatisfaction]]=3,"Satisfied",
HRData[[#This Row],[EnvironmentSatisfaction]]=4,"Very Satisfied"
)</f>
        <v>Very Dissatisfied</v>
      </c>
      <c r="O1315" t="s">
        <v>46</v>
      </c>
      <c r="P1315">
        <v>56</v>
      </c>
      <c r="Q1315">
        <v>2</v>
      </c>
      <c r="R1315">
        <v>1</v>
      </c>
      <c r="S1315" t="s">
        <v>61</v>
      </c>
      <c r="T1315">
        <v>1</v>
      </c>
      <c r="U1315" t="str" cm="1">
        <f t="array" ref="U1315">_xlfn.IFS(
HRData[[#This Row],[JobSatisfaction]]=1,"Very Dissatisfied",
HRData[[#This Row],[JobSatisfaction]]=2,"Dissatisfied",
HRData[[#This Row],[JobSatisfaction]]=3,"Satisfied",
HRData[[#This Row],[JobSatisfaction]]=4,"Very Satisfied"
)</f>
        <v>Very Dissatisfied</v>
      </c>
      <c r="V1315" t="s">
        <v>52</v>
      </c>
      <c r="W1315">
        <v>2335</v>
      </c>
      <c r="X1315" t="str" cm="1">
        <f t="array" ref="X1315">_xlfn.IFS(
HRData[[#This Row],[MonthlyIncome]]&lt;=4000,"Very Low Income",
HRData[[#This Row],[MonthlyIncome]]&lt;=8000,"Low Income",
HRData[[#This Row],[MonthlyIncome]]&lt;=12000,"Moderate Income",
HRData[[#This Row],[MonthlyIncome]]&lt;=16000,"High Income",
HRData[[#This Row],[MonthlyIncome]]&gt;16000,"Very High Income"
)</f>
        <v>Very Low Income</v>
      </c>
      <c r="Y1315">
        <v>3157</v>
      </c>
      <c r="Z1315">
        <v>4</v>
      </c>
      <c r="AA1315" t="s">
        <v>42</v>
      </c>
      <c r="AB1315" t="s">
        <v>35</v>
      </c>
      <c r="AC1315">
        <v>15</v>
      </c>
      <c r="AD1315" t="str" cm="1">
        <f t="array" ref="AD1315">_xlfn.IFS(HRData[[#This Row],[PercentSalaryHike]]&lt;=15,"11-15",HRData[[#This Row],[PercentSalaryHike]]&lt;=20,"16-20",HRData[[#This Row],[PercentSalaryHike]]&gt;=21,"21+")</f>
        <v>11-15</v>
      </c>
      <c r="AE1315">
        <v>3</v>
      </c>
      <c r="AF1315">
        <v>4</v>
      </c>
      <c r="AG1315">
        <v>80</v>
      </c>
      <c r="AH1315">
        <v>3</v>
      </c>
      <c r="AI1315">
        <v>4</v>
      </c>
      <c r="AJ1315">
        <v>3</v>
      </c>
      <c r="AK1315">
        <v>3</v>
      </c>
      <c r="AL1315">
        <v>2</v>
      </c>
      <c r="AM1315">
        <v>2</v>
      </c>
      <c r="AN1315">
        <v>2</v>
      </c>
      <c r="AO1315">
        <v>0</v>
      </c>
      <c r="AP131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15" t="str">
        <f>IF(HRData[[#This Row],[Attrition]]="Yes","Left", IF(HRData[[#This Row],[Attrition_Risk_Score]]&gt;=6,"High",IF(HRData[[#This Row],[Attrition_Risk_Score]]&gt;=3,"Medium","Low")))</f>
        <v>Left</v>
      </c>
      <c r="AR1315" t="str">
        <f>IF(HRData[[#This Row],[Attrition_Risk_Level]]&lt;&gt;"High","",HRData[[#This Row],[Attrition_Risk_Score]]*10000-HRData[[#This Row],[EmployeeNumber]])</f>
        <v/>
      </c>
    </row>
    <row r="1316" spans="1:44">
      <c r="A1316">
        <v>45</v>
      </c>
      <c r="B1316" t="str" cm="1">
        <f t="array" ref="B1316">_xlfn.IFS(
HRData[[#This Row],[Age]]&lt;=24,"18-24",
HRData[[#This Row],[Age]]&lt;=34,"25-34",
HRData[[#This Row],[Age]]&lt;=44,"35-44",
HRData[[#This Row],[Age]]&lt;=54,"45-54",
HRData[[#This Row],[Age]]&gt;=55,"55+"
)</f>
        <v>45-54</v>
      </c>
      <c r="C1316" t="s">
        <v>43</v>
      </c>
      <c r="D1316">
        <f>IF(HRData[[#This Row],[Attrition]]="Yes",1,0)</f>
        <v>0</v>
      </c>
      <c r="E1316" t="s">
        <v>55</v>
      </c>
      <c r="F1316">
        <v>589</v>
      </c>
      <c r="G1316" t="s">
        <v>37</v>
      </c>
      <c r="H1316">
        <v>2</v>
      </c>
      <c r="I1316">
        <v>4</v>
      </c>
      <c r="J1316" t="s">
        <v>38</v>
      </c>
      <c r="K1316">
        <v>1</v>
      </c>
      <c r="L1316">
        <v>1845</v>
      </c>
      <c r="M1316">
        <v>3</v>
      </c>
      <c r="N1316" t="str" cm="1">
        <f t="array" ref="N1316">_xlfn.IFS(HRData[[#This Row],[EnvironmentSatisfaction]]=1,"Very Dissatisfied",
HRData[[#This Row],[EnvironmentSatisfaction]]=2,"Dissatisfied",
HRData[[#This Row],[EnvironmentSatisfaction]]=3,"Satisfied",
HRData[[#This Row],[EnvironmentSatisfaction]]=4,"Very Satisfied"
)</f>
        <v>Satisfied</v>
      </c>
      <c r="O1316" t="s">
        <v>39</v>
      </c>
      <c r="P1316">
        <v>67</v>
      </c>
      <c r="Q1316">
        <v>3</v>
      </c>
      <c r="R1316">
        <v>2</v>
      </c>
      <c r="S1316" t="s">
        <v>40</v>
      </c>
      <c r="T1316">
        <v>3</v>
      </c>
      <c r="U1316" t="str" cm="1">
        <f t="array" ref="U1316">_xlfn.IFS(
HRData[[#This Row],[JobSatisfaction]]=1,"Very Dissatisfied",
HRData[[#This Row],[JobSatisfaction]]=2,"Dissatisfied",
HRData[[#This Row],[JobSatisfaction]]=3,"Satisfied",
HRData[[#This Row],[JobSatisfaction]]=4,"Very Satisfied"
)</f>
        <v>Satisfied</v>
      </c>
      <c r="V1316" t="s">
        <v>48</v>
      </c>
      <c r="W1316">
        <v>5154</v>
      </c>
      <c r="X1316" t="str" cm="1">
        <f t="array" ref="X1316">_xlfn.IFS(
HRData[[#This Row],[MonthlyIncome]]&lt;=4000,"Very Low Income",
HRData[[#This Row],[MonthlyIncome]]&lt;=8000,"Low Income",
HRData[[#This Row],[MonthlyIncome]]&lt;=12000,"Moderate Income",
HRData[[#This Row],[MonthlyIncome]]&lt;=16000,"High Income",
HRData[[#This Row],[MonthlyIncome]]&gt;16000,"Very High Income"
)</f>
        <v>Low Income</v>
      </c>
      <c r="Y1316">
        <v>19665</v>
      </c>
      <c r="Z1316">
        <v>4</v>
      </c>
      <c r="AA1316" t="s">
        <v>42</v>
      </c>
      <c r="AB1316" t="s">
        <v>43</v>
      </c>
      <c r="AC1316">
        <v>22</v>
      </c>
      <c r="AD1316" t="str" cm="1">
        <f t="array" ref="AD1316">_xlfn.IFS(HRData[[#This Row],[PercentSalaryHike]]&lt;=15,"11-15",HRData[[#This Row],[PercentSalaryHike]]&lt;=20,"16-20",HRData[[#This Row],[PercentSalaryHike]]&gt;=21,"21+")</f>
        <v>21+</v>
      </c>
      <c r="AE1316">
        <v>4</v>
      </c>
      <c r="AF1316">
        <v>2</v>
      </c>
      <c r="AG1316">
        <v>80</v>
      </c>
      <c r="AH1316">
        <v>2</v>
      </c>
      <c r="AI1316">
        <v>10</v>
      </c>
      <c r="AJ1316">
        <v>3</v>
      </c>
      <c r="AK1316">
        <v>4</v>
      </c>
      <c r="AL1316">
        <v>8</v>
      </c>
      <c r="AM1316">
        <v>7</v>
      </c>
      <c r="AN1316">
        <v>5</v>
      </c>
      <c r="AO1316">
        <v>7</v>
      </c>
      <c r="AP131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16" t="str">
        <f>IF(HRData[[#This Row],[Attrition]]="Yes","Left", IF(HRData[[#This Row],[Attrition_Risk_Score]]&gt;=6,"High",IF(HRData[[#This Row],[Attrition_Risk_Score]]&gt;=3,"Medium","Low")))</f>
        <v>Low</v>
      </c>
      <c r="AR1316" t="str">
        <f>IF(HRData[[#This Row],[Attrition_Risk_Level]]&lt;&gt;"High","",HRData[[#This Row],[Attrition_Risk_Score]]*10000-HRData[[#This Row],[EmployeeNumber]])</f>
        <v/>
      </c>
    </row>
    <row r="1317" spans="1:44">
      <c r="A1317">
        <v>36</v>
      </c>
      <c r="B1317" t="str" cm="1">
        <f t="array" ref="B1317">_xlfn.IFS(
HRData[[#This Row],[Age]]&lt;=24,"18-24",
HRData[[#This Row],[Age]]&lt;=34,"25-34",
HRData[[#This Row],[Age]]&lt;=44,"35-44",
HRData[[#This Row],[Age]]&lt;=54,"45-54",
HRData[[#This Row],[Age]]&gt;=55,"55+"
)</f>
        <v>35-44</v>
      </c>
      <c r="C1317" t="s">
        <v>43</v>
      </c>
      <c r="D1317">
        <f>IF(HRData[[#This Row],[Attrition]]="Yes",1,0)</f>
        <v>0</v>
      </c>
      <c r="E1317" t="s">
        <v>36</v>
      </c>
      <c r="F1317">
        <v>430</v>
      </c>
      <c r="G1317" t="s">
        <v>45</v>
      </c>
      <c r="H1317">
        <v>2</v>
      </c>
      <c r="I1317">
        <v>4</v>
      </c>
      <c r="J1317" t="s">
        <v>49</v>
      </c>
      <c r="K1317">
        <v>1</v>
      </c>
      <c r="L1317">
        <v>1847</v>
      </c>
      <c r="M1317">
        <v>4</v>
      </c>
      <c r="N1317" t="str" cm="1">
        <f t="array" ref="N1317">_xlfn.IFS(HRData[[#This Row],[EnvironmentSatisfaction]]=1,"Very Dissatisfied",
HRData[[#This Row],[EnvironmentSatisfaction]]=2,"Dissatisfied",
HRData[[#This Row],[EnvironmentSatisfaction]]=3,"Satisfied",
HRData[[#This Row],[EnvironmentSatisfaction]]=4,"Very Satisfied"
)</f>
        <v>Very Satisfied</v>
      </c>
      <c r="O1317" t="s">
        <v>39</v>
      </c>
      <c r="P1317">
        <v>73</v>
      </c>
      <c r="Q1317">
        <v>3</v>
      </c>
      <c r="R1317">
        <v>2</v>
      </c>
      <c r="S1317" t="s">
        <v>47</v>
      </c>
      <c r="T1317">
        <v>2</v>
      </c>
      <c r="U1317" t="str" cm="1">
        <f t="array" ref="U1317">_xlfn.IFS(
HRData[[#This Row],[JobSatisfaction]]=1,"Very Dissatisfied",
HRData[[#This Row],[JobSatisfaction]]=2,"Dissatisfied",
HRData[[#This Row],[JobSatisfaction]]=3,"Satisfied",
HRData[[#This Row],[JobSatisfaction]]=4,"Very Satisfied"
)</f>
        <v>Dissatisfied</v>
      </c>
      <c r="V1317" t="s">
        <v>48</v>
      </c>
      <c r="W1317">
        <v>6962</v>
      </c>
      <c r="X1317" t="str" cm="1">
        <f t="array" ref="X1317">_xlfn.IFS(
HRData[[#This Row],[MonthlyIncome]]&lt;=4000,"Very Low Income",
HRData[[#This Row],[MonthlyIncome]]&lt;=8000,"Low Income",
HRData[[#This Row],[MonthlyIncome]]&lt;=12000,"Moderate Income",
HRData[[#This Row],[MonthlyIncome]]&lt;=16000,"High Income",
HRData[[#This Row],[MonthlyIncome]]&gt;16000,"Very High Income"
)</f>
        <v>Low Income</v>
      </c>
      <c r="Y1317">
        <v>19573</v>
      </c>
      <c r="Z1317">
        <v>4</v>
      </c>
      <c r="AA1317" t="s">
        <v>42</v>
      </c>
      <c r="AB1317" t="s">
        <v>35</v>
      </c>
      <c r="AC1317">
        <v>22</v>
      </c>
      <c r="AD1317" t="str" cm="1">
        <f t="array" ref="AD1317">_xlfn.IFS(HRData[[#This Row],[PercentSalaryHike]]&lt;=15,"11-15",HRData[[#This Row],[PercentSalaryHike]]&lt;=20,"16-20",HRData[[#This Row],[PercentSalaryHike]]&gt;=21,"21+")</f>
        <v>21+</v>
      </c>
      <c r="AE1317">
        <v>4</v>
      </c>
      <c r="AF1317">
        <v>4</v>
      </c>
      <c r="AG1317">
        <v>80</v>
      </c>
      <c r="AH1317">
        <v>1</v>
      </c>
      <c r="AI1317">
        <v>15</v>
      </c>
      <c r="AJ1317">
        <v>2</v>
      </c>
      <c r="AK1317">
        <v>3</v>
      </c>
      <c r="AL1317">
        <v>1</v>
      </c>
      <c r="AM1317">
        <v>0</v>
      </c>
      <c r="AN1317">
        <v>0</v>
      </c>
      <c r="AO1317">
        <v>0</v>
      </c>
      <c r="AP131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17" t="str">
        <f>IF(HRData[[#This Row],[Attrition]]="Yes","Left", IF(HRData[[#This Row],[Attrition_Risk_Score]]&gt;=6,"High",IF(HRData[[#This Row],[Attrition_Risk_Score]]&gt;=3,"Medium","Low")))</f>
        <v>Medium</v>
      </c>
      <c r="AR1317" t="str">
        <f>IF(HRData[[#This Row],[Attrition_Risk_Level]]&lt;&gt;"High","",HRData[[#This Row],[Attrition_Risk_Score]]*10000-HRData[[#This Row],[EmployeeNumber]])</f>
        <v/>
      </c>
    </row>
    <row r="1318" spans="1:44">
      <c r="A1318">
        <v>43</v>
      </c>
      <c r="B1318" t="str" cm="1">
        <f t="array" ref="B1318">_xlfn.IFS(
HRData[[#This Row],[Age]]&lt;=24,"18-24",
HRData[[#This Row],[Age]]&lt;=34,"25-34",
HRData[[#This Row],[Age]]&lt;=44,"35-44",
HRData[[#This Row],[Age]]&lt;=54,"45-54",
HRData[[#This Row],[Age]]&gt;=55,"55+"
)</f>
        <v>35-44</v>
      </c>
      <c r="C1318" t="s">
        <v>43</v>
      </c>
      <c r="D1318">
        <f>IF(HRData[[#This Row],[Attrition]]="Yes",1,0)</f>
        <v>0</v>
      </c>
      <c r="E1318" t="s">
        <v>44</v>
      </c>
      <c r="F1318">
        <v>1422</v>
      </c>
      <c r="G1318" t="s">
        <v>37</v>
      </c>
      <c r="H1318">
        <v>2</v>
      </c>
      <c r="I1318">
        <v>4</v>
      </c>
      <c r="J1318" t="s">
        <v>38</v>
      </c>
      <c r="K1318">
        <v>1</v>
      </c>
      <c r="L1318">
        <v>1849</v>
      </c>
      <c r="M1318">
        <v>1</v>
      </c>
      <c r="N1318" t="str" cm="1">
        <f t="array" ref="N1318">_xlfn.IFS(HRData[[#This Row],[EnvironmentSatisfaction]]=1,"Very Dissatisfied",
HRData[[#This Row],[EnvironmentSatisfaction]]=2,"Dissatisfied",
HRData[[#This Row],[EnvironmentSatisfaction]]=3,"Satisfied",
HRData[[#This Row],[EnvironmentSatisfaction]]=4,"Very Satisfied"
)</f>
        <v>Very Dissatisfied</v>
      </c>
      <c r="O1318" t="s">
        <v>46</v>
      </c>
      <c r="P1318">
        <v>92</v>
      </c>
      <c r="Q1318">
        <v>3</v>
      </c>
      <c r="R1318">
        <v>2</v>
      </c>
      <c r="S1318" t="s">
        <v>40</v>
      </c>
      <c r="T1318">
        <v>4</v>
      </c>
      <c r="U1318" t="str" cm="1">
        <f t="array" ref="U1318">_xlfn.IFS(
HRData[[#This Row],[JobSatisfaction]]=1,"Very Dissatisfied",
HRData[[#This Row],[JobSatisfaction]]=2,"Dissatisfied",
HRData[[#This Row],[JobSatisfaction]]=3,"Satisfied",
HRData[[#This Row],[JobSatisfaction]]=4,"Very Satisfied"
)</f>
        <v>Very Satisfied</v>
      </c>
      <c r="V1318" t="s">
        <v>48</v>
      </c>
      <c r="W1318">
        <v>5675</v>
      </c>
      <c r="X1318" t="str" cm="1">
        <f t="array" ref="X1318">_xlfn.IFS(
HRData[[#This Row],[MonthlyIncome]]&lt;=4000,"Very Low Income",
HRData[[#This Row],[MonthlyIncome]]&lt;=8000,"Low Income",
HRData[[#This Row],[MonthlyIncome]]&lt;=12000,"Moderate Income",
HRData[[#This Row],[MonthlyIncome]]&lt;=16000,"High Income",
HRData[[#This Row],[MonthlyIncome]]&gt;16000,"Very High Income"
)</f>
        <v>Low Income</v>
      </c>
      <c r="Y1318">
        <v>19246</v>
      </c>
      <c r="Z1318">
        <v>1</v>
      </c>
      <c r="AA1318" t="s">
        <v>42</v>
      </c>
      <c r="AB1318" t="s">
        <v>43</v>
      </c>
      <c r="AC1318">
        <v>20</v>
      </c>
      <c r="AD1318" t="str" cm="1">
        <f t="array" ref="AD1318">_xlfn.IFS(HRData[[#This Row],[PercentSalaryHike]]&lt;=15,"11-15",HRData[[#This Row],[PercentSalaryHike]]&lt;=20,"16-20",HRData[[#This Row],[PercentSalaryHike]]&gt;=21,"21+")</f>
        <v>16-20</v>
      </c>
      <c r="AE1318">
        <v>4</v>
      </c>
      <c r="AF1318">
        <v>3</v>
      </c>
      <c r="AG1318">
        <v>80</v>
      </c>
      <c r="AH1318">
        <v>1</v>
      </c>
      <c r="AI1318">
        <v>7</v>
      </c>
      <c r="AJ1318">
        <v>5</v>
      </c>
      <c r="AK1318">
        <v>3</v>
      </c>
      <c r="AL1318">
        <v>7</v>
      </c>
      <c r="AM1318">
        <v>7</v>
      </c>
      <c r="AN1318">
        <v>7</v>
      </c>
      <c r="AO1318">
        <v>7</v>
      </c>
      <c r="AP131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18" t="str">
        <f>IF(HRData[[#This Row],[Attrition]]="Yes","Left", IF(HRData[[#This Row],[Attrition_Risk_Score]]&gt;=6,"High",IF(HRData[[#This Row],[Attrition_Risk_Score]]&gt;=3,"Medium","Low")))</f>
        <v>Low</v>
      </c>
      <c r="AR1318" t="str">
        <f>IF(HRData[[#This Row],[Attrition_Risk_Level]]&lt;&gt;"High","",HRData[[#This Row],[Attrition_Risk_Score]]*10000-HRData[[#This Row],[EmployeeNumber]])</f>
        <v/>
      </c>
    </row>
    <row r="1319" spans="1:44">
      <c r="A1319">
        <v>27</v>
      </c>
      <c r="B1319" t="str" cm="1">
        <f t="array" ref="B1319">_xlfn.IFS(
HRData[[#This Row],[Age]]&lt;=24,"18-24",
HRData[[#This Row],[Age]]&lt;=34,"25-34",
HRData[[#This Row],[Age]]&lt;=44,"35-44",
HRData[[#This Row],[Age]]&lt;=54,"45-54",
HRData[[#This Row],[Age]]&gt;=55,"55+"
)</f>
        <v>25-34</v>
      </c>
      <c r="C1319" t="s">
        <v>43</v>
      </c>
      <c r="D1319">
        <f>IF(HRData[[#This Row],[Attrition]]="Yes",1,0)</f>
        <v>0</v>
      </c>
      <c r="E1319" t="s">
        <v>44</v>
      </c>
      <c r="F1319">
        <v>1297</v>
      </c>
      <c r="G1319" t="s">
        <v>45</v>
      </c>
      <c r="H1319">
        <v>5</v>
      </c>
      <c r="I1319">
        <v>2</v>
      </c>
      <c r="J1319" t="s">
        <v>38</v>
      </c>
      <c r="K1319">
        <v>1</v>
      </c>
      <c r="L1319">
        <v>1850</v>
      </c>
      <c r="M1319">
        <v>4</v>
      </c>
      <c r="N1319" t="str" cm="1">
        <f t="array" ref="N1319">_xlfn.IFS(HRData[[#This Row],[EnvironmentSatisfaction]]=1,"Very Dissatisfied",
HRData[[#This Row],[EnvironmentSatisfaction]]=2,"Dissatisfied",
HRData[[#This Row],[EnvironmentSatisfaction]]=3,"Satisfied",
HRData[[#This Row],[EnvironmentSatisfaction]]=4,"Very Satisfied"
)</f>
        <v>Very Satisfied</v>
      </c>
      <c r="O1319" t="s">
        <v>39</v>
      </c>
      <c r="P1319">
        <v>53</v>
      </c>
      <c r="Q1319">
        <v>3</v>
      </c>
      <c r="R1319">
        <v>1</v>
      </c>
      <c r="S1319" t="s">
        <v>50</v>
      </c>
      <c r="T1319">
        <v>4</v>
      </c>
      <c r="U1319" t="str" cm="1">
        <f t="array" ref="U1319">_xlfn.IFS(
HRData[[#This Row],[JobSatisfaction]]=1,"Very Dissatisfied",
HRData[[#This Row],[JobSatisfaction]]=2,"Dissatisfied",
HRData[[#This Row],[JobSatisfaction]]=3,"Satisfied",
HRData[[#This Row],[JobSatisfaction]]=4,"Very Satisfied"
)</f>
        <v>Very Satisfied</v>
      </c>
      <c r="V1319" t="s">
        <v>41</v>
      </c>
      <c r="W1319">
        <v>2379</v>
      </c>
      <c r="X1319" t="str" cm="1">
        <f t="array" ref="X1319">_xlfn.IFS(
HRData[[#This Row],[MonthlyIncome]]&lt;=4000,"Very Low Income",
HRData[[#This Row],[MonthlyIncome]]&lt;=8000,"Low Income",
HRData[[#This Row],[MonthlyIncome]]&lt;=12000,"Moderate Income",
HRData[[#This Row],[MonthlyIncome]]&lt;=16000,"High Income",
HRData[[#This Row],[MonthlyIncome]]&gt;16000,"Very High Income"
)</f>
        <v>Very Low Income</v>
      </c>
      <c r="Y1319">
        <v>19826</v>
      </c>
      <c r="Z1319">
        <v>0</v>
      </c>
      <c r="AA1319" t="s">
        <v>42</v>
      </c>
      <c r="AB1319" t="s">
        <v>35</v>
      </c>
      <c r="AC1319">
        <v>14</v>
      </c>
      <c r="AD1319" t="str" cm="1">
        <f t="array" ref="AD1319">_xlfn.IFS(HRData[[#This Row],[PercentSalaryHike]]&lt;=15,"11-15",HRData[[#This Row],[PercentSalaryHike]]&lt;=20,"16-20",HRData[[#This Row],[PercentSalaryHike]]&gt;=21,"21+")</f>
        <v>11-15</v>
      </c>
      <c r="AE1319">
        <v>3</v>
      </c>
      <c r="AF1319">
        <v>3</v>
      </c>
      <c r="AG1319">
        <v>80</v>
      </c>
      <c r="AH1319">
        <v>0</v>
      </c>
      <c r="AI1319">
        <v>6</v>
      </c>
      <c r="AJ1319">
        <v>3</v>
      </c>
      <c r="AK1319">
        <v>2</v>
      </c>
      <c r="AL1319">
        <v>5</v>
      </c>
      <c r="AM1319">
        <v>4</v>
      </c>
      <c r="AN1319">
        <v>0</v>
      </c>
      <c r="AO1319">
        <v>2</v>
      </c>
      <c r="AP131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319" t="str">
        <f>IF(HRData[[#This Row],[Attrition]]="Yes","Left", IF(HRData[[#This Row],[Attrition_Risk_Score]]&gt;=6,"High",IF(HRData[[#This Row],[Attrition_Risk_Score]]&gt;=3,"Medium","Low")))</f>
        <v>High</v>
      </c>
      <c r="AR1319">
        <f>IF(HRData[[#This Row],[Attrition_Risk_Level]]&lt;&gt;"High","",HRData[[#This Row],[Attrition_Risk_Score]]*10000-HRData[[#This Row],[EmployeeNumber]])</f>
        <v>58150</v>
      </c>
    </row>
    <row r="1320" spans="1:44">
      <c r="A1320">
        <v>29</v>
      </c>
      <c r="B1320" t="str" cm="1">
        <f t="array" ref="B1320">_xlfn.IFS(
HRData[[#This Row],[Age]]&lt;=24,"18-24",
HRData[[#This Row],[Age]]&lt;=34,"25-34",
HRData[[#This Row],[Age]]&lt;=44,"35-44",
HRData[[#This Row],[Age]]&lt;=54,"45-54",
HRData[[#This Row],[Age]]&gt;=55,"55+"
)</f>
        <v>25-34</v>
      </c>
      <c r="C1320" t="s">
        <v>43</v>
      </c>
      <c r="D1320">
        <f>IF(HRData[[#This Row],[Attrition]]="Yes",1,0)</f>
        <v>0</v>
      </c>
      <c r="E1320" t="s">
        <v>44</v>
      </c>
      <c r="F1320">
        <v>574</v>
      </c>
      <c r="G1320" t="s">
        <v>45</v>
      </c>
      <c r="H1320">
        <v>20</v>
      </c>
      <c r="I1320">
        <v>1</v>
      </c>
      <c r="J1320" t="s">
        <v>51</v>
      </c>
      <c r="K1320">
        <v>1</v>
      </c>
      <c r="L1320">
        <v>1852</v>
      </c>
      <c r="M1320">
        <v>4</v>
      </c>
      <c r="N1320" t="str" cm="1">
        <f t="array" ref="N1320">_xlfn.IFS(HRData[[#This Row],[EnvironmentSatisfaction]]=1,"Very Dissatisfied",
HRData[[#This Row],[EnvironmentSatisfaction]]=2,"Dissatisfied",
HRData[[#This Row],[EnvironmentSatisfaction]]=3,"Satisfied",
HRData[[#This Row],[EnvironmentSatisfaction]]=4,"Very Satisfied"
)</f>
        <v>Very Satisfied</v>
      </c>
      <c r="O1320" t="s">
        <v>46</v>
      </c>
      <c r="P1320">
        <v>40</v>
      </c>
      <c r="Q1320">
        <v>3</v>
      </c>
      <c r="R1320">
        <v>1</v>
      </c>
      <c r="S1320" t="s">
        <v>50</v>
      </c>
      <c r="T1320">
        <v>4</v>
      </c>
      <c r="U1320" t="str" cm="1">
        <f t="array" ref="U1320">_xlfn.IFS(
HRData[[#This Row],[JobSatisfaction]]=1,"Very Dissatisfied",
HRData[[#This Row],[JobSatisfaction]]=2,"Dissatisfied",
HRData[[#This Row],[JobSatisfaction]]=3,"Satisfied",
HRData[[#This Row],[JobSatisfaction]]=4,"Very Satisfied"
)</f>
        <v>Very Satisfied</v>
      </c>
      <c r="V1320" t="s">
        <v>48</v>
      </c>
      <c r="W1320">
        <v>3812</v>
      </c>
      <c r="X1320" t="str" cm="1">
        <f t="array" ref="X1320">_xlfn.IFS(
HRData[[#This Row],[MonthlyIncome]]&lt;=4000,"Very Low Income",
HRData[[#This Row],[MonthlyIncome]]&lt;=8000,"Low Income",
HRData[[#This Row],[MonthlyIncome]]&lt;=12000,"Moderate Income",
HRData[[#This Row],[MonthlyIncome]]&lt;=16000,"High Income",
HRData[[#This Row],[MonthlyIncome]]&gt;16000,"Very High Income"
)</f>
        <v>Very Low Income</v>
      </c>
      <c r="Y1320">
        <v>7003</v>
      </c>
      <c r="Z1320">
        <v>1</v>
      </c>
      <c r="AA1320" t="s">
        <v>42</v>
      </c>
      <c r="AB1320" t="s">
        <v>43</v>
      </c>
      <c r="AC1320">
        <v>13</v>
      </c>
      <c r="AD1320" t="str" cm="1">
        <f t="array" ref="AD1320">_xlfn.IFS(HRData[[#This Row],[PercentSalaryHike]]&lt;=15,"11-15",HRData[[#This Row],[PercentSalaryHike]]&lt;=20,"16-20",HRData[[#This Row],[PercentSalaryHike]]&gt;=21,"21+")</f>
        <v>11-15</v>
      </c>
      <c r="AE1320">
        <v>3</v>
      </c>
      <c r="AF1320">
        <v>2</v>
      </c>
      <c r="AG1320">
        <v>80</v>
      </c>
      <c r="AH1320">
        <v>0</v>
      </c>
      <c r="AI1320">
        <v>11</v>
      </c>
      <c r="AJ1320">
        <v>3</v>
      </c>
      <c r="AK1320">
        <v>4</v>
      </c>
      <c r="AL1320">
        <v>11</v>
      </c>
      <c r="AM1320">
        <v>8</v>
      </c>
      <c r="AN1320">
        <v>3</v>
      </c>
      <c r="AO1320">
        <v>10</v>
      </c>
      <c r="AP132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320" t="str">
        <f>IF(HRData[[#This Row],[Attrition]]="Yes","Left", IF(HRData[[#This Row],[Attrition_Risk_Score]]&gt;=6,"High",IF(HRData[[#This Row],[Attrition_Risk_Score]]&gt;=3,"Medium","Low")))</f>
        <v>Medium</v>
      </c>
      <c r="AR1320" t="str">
        <f>IF(HRData[[#This Row],[Attrition_Risk_Level]]&lt;&gt;"High","",HRData[[#This Row],[Attrition_Risk_Score]]*10000-HRData[[#This Row],[EmployeeNumber]])</f>
        <v/>
      </c>
    </row>
    <row r="1321" spans="1:44">
      <c r="A1321">
        <v>32</v>
      </c>
      <c r="B1321" t="str" cm="1">
        <f t="array" ref="B1321">_xlfn.IFS(
HRData[[#This Row],[Age]]&lt;=24,"18-24",
HRData[[#This Row],[Age]]&lt;=34,"25-34",
HRData[[#This Row],[Age]]&lt;=44,"35-44",
HRData[[#This Row],[Age]]&lt;=54,"45-54",
HRData[[#This Row],[Age]]&gt;=55,"55+"
)</f>
        <v>25-34</v>
      </c>
      <c r="C1321" t="s">
        <v>43</v>
      </c>
      <c r="D1321">
        <f>IF(HRData[[#This Row],[Attrition]]="Yes",1,0)</f>
        <v>0</v>
      </c>
      <c r="E1321" t="s">
        <v>44</v>
      </c>
      <c r="F1321">
        <v>1318</v>
      </c>
      <c r="G1321" t="s">
        <v>37</v>
      </c>
      <c r="H1321">
        <v>10</v>
      </c>
      <c r="I1321">
        <v>4</v>
      </c>
      <c r="J1321" t="s">
        <v>59</v>
      </c>
      <c r="K1321">
        <v>1</v>
      </c>
      <c r="L1321">
        <v>1853</v>
      </c>
      <c r="M1321">
        <v>4</v>
      </c>
      <c r="N1321" t="str" cm="1">
        <f t="array" ref="N1321">_xlfn.IFS(HRData[[#This Row],[EnvironmentSatisfaction]]=1,"Very Dissatisfied",
HRData[[#This Row],[EnvironmentSatisfaction]]=2,"Dissatisfied",
HRData[[#This Row],[EnvironmentSatisfaction]]=3,"Satisfied",
HRData[[#This Row],[EnvironmentSatisfaction]]=4,"Very Satisfied"
)</f>
        <v>Very Satisfied</v>
      </c>
      <c r="O1321" t="s">
        <v>46</v>
      </c>
      <c r="P1321">
        <v>79</v>
      </c>
      <c r="Q1321">
        <v>3</v>
      </c>
      <c r="R1321">
        <v>2</v>
      </c>
      <c r="S1321" t="s">
        <v>40</v>
      </c>
      <c r="T1321">
        <v>4</v>
      </c>
      <c r="U1321" t="str" cm="1">
        <f t="array" ref="U1321">_xlfn.IFS(
HRData[[#This Row],[JobSatisfaction]]=1,"Very Dissatisfied",
HRData[[#This Row],[JobSatisfaction]]=2,"Dissatisfied",
HRData[[#This Row],[JobSatisfaction]]=3,"Satisfied",
HRData[[#This Row],[JobSatisfaction]]=4,"Very Satisfied"
)</f>
        <v>Very Satisfied</v>
      </c>
      <c r="V1321" t="s">
        <v>41</v>
      </c>
      <c r="W1321">
        <v>4648</v>
      </c>
      <c r="X1321" t="str" cm="1">
        <f t="array" ref="X1321">_xlfn.IFS(
HRData[[#This Row],[MonthlyIncome]]&lt;=4000,"Very Low Income",
HRData[[#This Row],[MonthlyIncome]]&lt;=8000,"Low Income",
HRData[[#This Row],[MonthlyIncome]]&lt;=12000,"Moderate Income",
HRData[[#This Row],[MonthlyIncome]]&lt;=16000,"High Income",
HRData[[#This Row],[MonthlyIncome]]&gt;16000,"Very High Income"
)</f>
        <v>Low Income</v>
      </c>
      <c r="Y1321">
        <v>26075</v>
      </c>
      <c r="Z1321">
        <v>8</v>
      </c>
      <c r="AA1321" t="s">
        <v>42</v>
      </c>
      <c r="AB1321" t="s">
        <v>43</v>
      </c>
      <c r="AC1321">
        <v>13</v>
      </c>
      <c r="AD1321" t="str" cm="1">
        <f t="array" ref="AD1321">_xlfn.IFS(HRData[[#This Row],[PercentSalaryHike]]&lt;=15,"11-15",HRData[[#This Row],[PercentSalaryHike]]&lt;=20,"16-20",HRData[[#This Row],[PercentSalaryHike]]&gt;=21,"21+")</f>
        <v>11-15</v>
      </c>
      <c r="AE1321">
        <v>3</v>
      </c>
      <c r="AF1321">
        <v>3</v>
      </c>
      <c r="AG1321">
        <v>80</v>
      </c>
      <c r="AH1321">
        <v>0</v>
      </c>
      <c r="AI1321">
        <v>4</v>
      </c>
      <c r="AJ1321">
        <v>2</v>
      </c>
      <c r="AK1321">
        <v>4</v>
      </c>
      <c r="AL1321">
        <v>0</v>
      </c>
      <c r="AM1321">
        <v>0</v>
      </c>
      <c r="AN1321">
        <v>0</v>
      </c>
      <c r="AO1321">
        <v>0</v>
      </c>
      <c r="AP132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21" t="str">
        <f>IF(HRData[[#This Row],[Attrition]]="Yes","Left", IF(HRData[[#This Row],[Attrition_Risk_Score]]&gt;=6,"High",IF(HRData[[#This Row],[Attrition_Risk_Score]]&gt;=3,"Medium","Low")))</f>
        <v>Low</v>
      </c>
      <c r="AR1321" t="str">
        <f>IF(HRData[[#This Row],[Attrition_Risk_Level]]&lt;&gt;"High","",HRData[[#This Row],[Attrition_Risk_Score]]*10000-HRData[[#This Row],[EmployeeNumber]])</f>
        <v/>
      </c>
    </row>
    <row r="1322" spans="1:44">
      <c r="A1322">
        <v>42</v>
      </c>
      <c r="B1322" t="str" cm="1">
        <f t="array" ref="B1322">_xlfn.IFS(
HRData[[#This Row],[Age]]&lt;=24,"18-24",
HRData[[#This Row],[Age]]&lt;=34,"25-34",
HRData[[#This Row],[Age]]&lt;=44,"35-44",
HRData[[#This Row],[Age]]&lt;=54,"45-54",
HRData[[#This Row],[Age]]&gt;=55,"55+"
)</f>
        <v>35-44</v>
      </c>
      <c r="C1322" t="s">
        <v>43</v>
      </c>
      <c r="D1322">
        <f>IF(HRData[[#This Row],[Attrition]]="Yes",1,0)</f>
        <v>0</v>
      </c>
      <c r="E1322" t="s">
        <v>55</v>
      </c>
      <c r="F1322">
        <v>355</v>
      </c>
      <c r="G1322" t="s">
        <v>45</v>
      </c>
      <c r="H1322">
        <v>10</v>
      </c>
      <c r="I1322">
        <v>4</v>
      </c>
      <c r="J1322" t="s">
        <v>60</v>
      </c>
      <c r="K1322">
        <v>1</v>
      </c>
      <c r="L1322">
        <v>1854</v>
      </c>
      <c r="M1322">
        <v>3</v>
      </c>
      <c r="N1322" t="str" cm="1">
        <f t="array" ref="N1322">_xlfn.IFS(HRData[[#This Row],[EnvironmentSatisfaction]]=1,"Very Dissatisfied",
HRData[[#This Row],[EnvironmentSatisfaction]]=2,"Dissatisfied",
HRData[[#This Row],[EnvironmentSatisfaction]]=3,"Satisfied",
HRData[[#This Row],[EnvironmentSatisfaction]]=4,"Very Satisfied"
)</f>
        <v>Satisfied</v>
      </c>
      <c r="O1322" t="s">
        <v>46</v>
      </c>
      <c r="P1322">
        <v>38</v>
      </c>
      <c r="Q1322">
        <v>3</v>
      </c>
      <c r="R1322">
        <v>1</v>
      </c>
      <c r="S1322" t="s">
        <v>47</v>
      </c>
      <c r="T1322">
        <v>3</v>
      </c>
      <c r="U1322" t="str" cm="1">
        <f t="array" ref="U1322">_xlfn.IFS(
HRData[[#This Row],[JobSatisfaction]]=1,"Very Dissatisfied",
HRData[[#This Row],[JobSatisfaction]]=2,"Dissatisfied",
HRData[[#This Row],[JobSatisfaction]]=3,"Satisfied",
HRData[[#This Row],[JobSatisfaction]]=4,"Very Satisfied"
)</f>
        <v>Satisfied</v>
      </c>
      <c r="V1322" t="s">
        <v>48</v>
      </c>
      <c r="W1322">
        <v>2936</v>
      </c>
      <c r="X1322" t="str" cm="1">
        <f t="array" ref="X1322">_xlfn.IFS(
HRData[[#This Row],[MonthlyIncome]]&lt;=4000,"Very Low Income",
HRData[[#This Row],[MonthlyIncome]]&lt;=8000,"Low Income",
HRData[[#This Row],[MonthlyIncome]]&lt;=12000,"Moderate Income",
HRData[[#This Row],[MonthlyIncome]]&lt;=16000,"High Income",
HRData[[#This Row],[MonthlyIncome]]&gt;16000,"Very High Income"
)</f>
        <v>Very Low Income</v>
      </c>
      <c r="Y1322">
        <v>6161</v>
      </c>
      <c r="Z1322">
        <v>3</v>
      </c>
      <c r="AA1322" t="s">
        <v>42</v>
      </c>
      <c r="AB1322" t="s">
        <v>43</v>
      </c>
      <c r="AC1322">
        <v>22</v>
      </c>
      <c r="AD1322" t="str" cm="1">
        <f t="array" ref="AD1322">_xlfn.IFS(HRData[[#This Row],[PercentSalaryHike]]&lt;=15,"11-15",HRData[[#This Row],[PercentSalaryHike]]&lt;=20,"16-20",HRData[[#This Row],[PercentSalaryHike]]&gt;=21,"21+")</f>
        <v>21+</v>
      </c>
      <c r="AE1322">
        <v>4</v>
      </c>
      <c r="AF1322">
        <v>2</v>
      </c>
      <c r="AG1322">
        <v>80</v>
      </c>
      <c r="AH1322">
        <v>2</v>
      </c>
      <c r="AI1322">
        <v>10</v>
      </c>
      <c r="AJ1322">
        <v>1</v>
      </c>
      <c r="AK1322">
        <v>2</v>
      </c>
      <c r="AL1322">
        <v>6</v>
      </c>
      <c r="AM1322">
        <v>3</v>
      </c>
      <c r="AN1322">
        <v>3</v>
      </c>
      <c r="AO1322">
        <v>3</v>
      </c>
      <c r="AP132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22" t="str">
        <f>IF(HRData[[#This Row],[Attrition]]="Yes","Left", IF(HRData[[#This Row],[Attrition_Risk_Score]]&gt;=6,"High",IF(HRData[[#This Row],[Attrition_Risk_Score]]&gt;=3,"Medium","Low")))</f>
        <v>Low</v>
      </c>
      <c r="AR1322" t="str">
        <f>IF(HRData[[#This Row],[Attrition_Risk_Level]]&lt;&gt;"High","",HRData[[#This Row],[Attrition_Risk_Score]]*10000-HRData[[#This Row],[EmployeeNumber]])</f>
        <v/>
      </c>
    </row>
    <row r="1323" spans="1:44">
      <c r="A1323">
        <v>47</v>
      </c>
      <c r="B1323" t="str" cm="1">
        <f t="array" ref="B1323">_xlfn.IFS(
HRData[[#This Row],[Age]]&lt;=24,"18-24",
HRData[[#This Row],[Age]]&lt;=34,"25-34",
HRData[[#This Row],[Age]]&lt;=44,"35-44",
HRData[[#This Row],[Age]]&lt;=54,"45-54",
HRData[[#This Row],[Age]]&gt;=55,"55+"
)</f>
        <v>45-54</v>
      </c>
      <c r="C1323" t="s">
        <v>43</v>
      </c>
      <c r="D1323">
        <f>IF(HRData[[#This Row],[Attrition]]="Yes",1,0)</f>
        <v>0</v>
      </c>
      <c r="E1323" t="s">
        <v>36</v>
      </c>
      <c r="F1323">
        <v>207</v>
      </c>
      <c r="G1323" t="s">
        <v>45</v>
      </c>
      <c r="H1323">
        <v>9</v>
      </c>
      <c r="I1323">
        <v>4</v>
      </c>
      <c r="J1323" t="s">
        <v>38</v>
      </c>
      <c r="K1323">
        <v>1</v>
      </c>
      <c r="L1323">
        <v>1856</v>
      </c>
      <c r="M1323">
        <v>2</v>
      </c>
      <c r="N1323" t="str" cm="1">
        <f t="array" ref="N1323">_xlfn.IFS(HRData[[#This Row],[EnvironmentSatisfaction]]=1,"Very Dissatisfied",
HRData[[#This Row],[EnvironmentSatisfaction]]=2,"Dissatisfied",
HRData[[#This Row],[EnvironmentSatisfaction]]=3,"Satisfied",
HRData[[#This Row],[EnvironmentSatisfaction]]=4,"Very Satisfied"
)</f>
        <v>Dissatisfied</v>
      </c>
      <c r="O1323" t="s">
        <v>39</v>
      </c>
      <c r="P1323">
        <v>64</v>
      </c>
      <c r="Q1323">
        <v>3</v>
      </c>
      <c r="R1323">
        <v>1</v>
      </c>
      <c r="S1323" t="s">
        <v>50</v>
      </c>
      <c r="T1323">
        <v>3</v>
      </c>
      <c r="U1323" t="str" cm="1">
        <f t="array" ref="U1323">_xlfn.IFS(
HRData[[#This Row],[JobSatisfaction]]=1,"Very Dissatisfied",
HRData[[#This Row],[JobSatisfaction]]=2,"Dissatisfied",
HRData[[#This Row],[JobSatisfaction]]=3,"Satisfied",
HRData[[#This Row],[JobSatisfaction]]=4,"Very Satisfied"
)</f>
        <v>Satisfied</v>
      </c>
      <c r="V1323" t="s">
        <v>41</v>
      </c>
      <c r="W1323">
        <v>2105</v>
      </c>
      <c r="X1323" t="str" cm="1">
        <f t="array" ref="X1323">_xlfn.IFS(
HRData[[#This Row],[MonthlyIncome]]&lt;=4000,"Very Low Income",
HRData[[#This Row],[MonthlyIncome]]&lt;=8000,"Low Income",
HRData[[#This Row],[MonthlyIncome]]&lt;=12000,"Moderate Income",
HRData[[#This Row],[MonthlyIncome]]&lt;=16000,"High Income",
HRData[[#This Row],[MonthlyIncome]]&gt;16000,"Very High Income"
)</f>
        <v>Very Low Income</v>
      </c>
      <c r="Y1323">
        <v>5411</v>
      </c>
      <c r="Z1323">
        <v>4</v>
      </c>
      <c r="AA1323" t="s">
        <v>42</v>
      </c>
      <c r="AB1323" t="s">
        <v>43</v>
      </c>
      <c r="AC1323">
        <v>12</v>
      </c>
      <c r="AD1323" t="str" cm="1">
        <f t="array" ref="AD1323">_xlfn.IFS(HRData[[#This Row],[PercentSalaryHike]]&lt;=15,"11-15",HRData[[#This Row],[PercentSalaryHike]]&lt;=20,"16-20",HRData[[#This Row],[PercentSalaryHike]]&gt;=21,"21+")</f>
        <v>11-15</v>
      </c>
      <c r="AE1323">
        <v>3</v>
      </c>
      <c r="AF1323">
        <v>3</v>
      </c>
      <c r="AG1323">
        <v>80</v>
      </c>
      <c r="AH1323">
        <v>0</v>
      </c>
      <c r="AI1323">
        <v>7</v>
      </c>
      <c r="AJ1323">
        <v>2</v>
      </c>
      <c r="AK1323">
        <v>3</v>
      </c>
      <c r="AL1323">
        <v>2</v>
      </c>
      <c r="AM1323">
        <v>2</v>
      </c>
      <c r="AN1323">
        <v>2</v>
      </c>
      <c r="AO1323">
        <v>0</v>
      </c>
      <c r="AP132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23" t="str">
        <f>IF(HRData[[#This Row],[Attrition]]="Yes","Left", IF(HRData[[#This Row],[Attrition_Risk_Score]]&gt;=6,"High",IF(HRData[[#This Row],[Attrition_Risk_Score]]&gt;=3,"Medium","Low")))</f>
        <v>Medium</v>
      </c>
      <c r="AR1323" t="str">
        <f>IF(HRData[[#This Row],[Attrition_Risk_Level]]&lt;&gt;"High","",HRData[[#This Row],[Attrition_Risk_Score]]*10000-HRData[[#This Row],[EmployeeNumber]])</f>
        <v/>
      </c>
    </row>
    <row r="1324" spans="1:44">
      <c r="A1324">
        <v>46</v>
      </c>
      <c r="B1324" t="str" cm="1">
        <f t="array" ref="B1324">_xlfn.IFS(
HRData[[#This Row],[Age]]&lt;=24,"18-24",
HRData[[#This Row],[Age]]&lt;=34,"25-34",
HRData[[#This Row],[Age]]&lt;=44,"35-44",
HRData[[#This Row],[Age]]&lt;=54,"45-54",
HRData[[#This Row],[Age]]&gt;=55,"55+"
)</f>
        <v>45-54</v>
      </c>
      <c r="C1324" t="s">
        <v>43</v>
      </c>
      <c r="D1324">
        <f>IF(HRData[[#This Row],[Attrition]]="Yes",1,0)</f>
        <v>0</v>
      </c>
      <c r="E1324" t="s">
        <v>36</v>
      </c>
      <c r="F1324">
        <v>706</v>
      </c>
      <c r="G1324" t="s">
        <v>45</v>
      </c>
      <c r="H1324">
        <v>2</v>
      </c>
      <c r="I1324">
        <v>2</v>
      </c>
      <c r="J1324" t="s">
        <v>38</v>
      </c>
      <c r="K1324">
        <v>1</v>
      </c>
      <c r="L1324">
        <v>1857</v>
      </c>
      <c r="M1324">
        <v>4</v>
      </c>
      <c r="N1324" t="str" cm="1">
        <f t="array" ref="N1324">_xlfn.IFS(HRData[[#This Row],[EnvironmentSatisfaction]]=1,"Very Dissatisfied",
HRData[[#This Row],[EnvironmentSatisfaction]]=2,"Dissatisfied",
HRData[[#This Row],[EnvironmentSatisfaction]]=3,"Satisfied",
HRData[[#This Row],[EnvironmentSatisfaction]]=4,"Very Satisfied"
)</f>
        <v>Very Satisfied</v>
      </c>
      <c r="O1324" t="s">
        <v>46</v>
      </c>
      <c r="P1324">
        <v>82</v>
      </c>
      <c r="Q1324">
        <v>3</v>
      </c>
      <c r="R1324">
        <v>3</v>
      </c>
      <c r="S1324" t="s">
        <v>53</v>
      </c>
      <c r="T1324">
        <v>4</v>
      </c>
      <c r="U1324" t="str" cm="1">
        <f t="array" ref="U1324">_xlfn.IFS(
HRData[[#This Row],[JobSatisfaction]]=1,"Very Dissatisfied",
HRData[[#This Row],[JobSatisfaction]]=2,"Dissatisfied",
HRData[[#This Row],[JobSatisfaction]]=3,"Satisfied",
HRData[[#This Row],[JobSatisfaction]]=4,"Very Satisfied"
)</f>
        <v>Very Satisfied</v>
      </c>
      <c r="V1324" t="s">
        <v>52</v>
      </c>
      <c r="W1324">
        <v>8578</v>
      </c>
      <c r="X1324" t="str" cm="1">
        <f t="array" ref="X1324">_xlfn.IFS(
HRData[[#This Row],[MonthlyIncome]]&lt;=4000,"Very Low Income",
HRData[[#This Row],[MonthlyIncome]]&lt;=8000,"Low Income",
HRData[[#This Row],[MonthlyIncome]]&lt;=12000,"Moderate Income",
HRData[[#This Row],[MonthlyIncome]]&lt;=16000,"High Income",
HRData[[#This Row],[MonthlyIncome]]&gt;16000,"Very High Income"
)</f>
        <v>Moderate Income</v>
      </c>
      <c r="Y1324">
        <v>19989</v>
      </c>
      <c r="Z1324">
        <v>3</v>
      </c>
      <c r="AA1324" t="s">
        <v>42</v>
      </c>
      <c r="AB1324" t="s">
        <v>43</v>
      </c>
      <c r="AC1324">
        <v>14</v>
      </c>
      <c r="AD1324" t="str" cm="1">
        <f t="array" ref="AD1324">_xlfn.IFS(HRData[[#This Row],[PercentSalaryHike]]&lt;=15,"11-15",HRData[[#This Row],[PercentSalaryHike]]&lt;=20,"16-20",HRData[[#This Row],[PercentSalaryHike]]&gt;=21,"21+")</f>
        <v>11-15</v>
      </c>
      <c r="AE1324">
        <v>3</v>
      </c>
      <c r="AF1324">
        <v>3</v>
      </c>
      <c r="AG1324">
        <v>80</v>
      </c>
      <c r="AH1324">
        <v>1</v>
      </c>
      <c r="AI1324">
        <v>12</v>
      </c>
      <c r="AJ1324">
        <v>4</v>
      </c>
      <c r="AK1324">
        <v>2</v>
      </c>
      <c r="AL1324">
        <v>9</v>
      </c>
      <c r="AM1324">
        <v>8</v>
      </c>
      <c r="AN1324">
        <v>4</v>
      </c>
      <c r="AO1324">
        <v>7</v>
      </c>
      <c r="AP132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324" t="str">
        <f>IF(HRData[[#This Row],[Attrition]]="Yes","Left", IF(HRData[[#This Row],[Attrition_Risk_Score]]&gt;=6,"High",IF(HRData[[#This Row],[Attrition_Risk_Score]]&gt;=3,"Medium","Low")))</f>
        <v>Low</v>
      </c>
      <c r="AR1324" t="str">
        <f>IF(HRData[[#This Row],[Attrition_Risk_Level]]&lt;&gt;"High","",HRData[[#This Row],[Attrition_Risk_Score]]*10000-HRData[[#This Row],[EmployeeNumber]])</f>
        <v/>
      </c>
    </row>
    <row r="1325" spans="1:44">
      <c r="A1325">
        <v>28</v>
      </c>
      <c r="B1325" t="str" cm="1">
        <f t="array" ref="B1325">_xlfn.IFS(
HRData[[#This Row],[Age]]&lt;=24,"18-24",
HRData[[#This Row],[Age]]&lt;=34,"25-34",
HRData[[#This Row],[Age]]&lt;=44,"35-44",
HRData[[#This Row],[Age]]&lt;=54,"45-54",
HRData[[#This Row],[Age]]&gt;=55,"55+"
)</f>
        <v>25-34</v>
      </c>
      <c r="C1325" t="s">
        <v>43</v>
      </c>
      <c r="D1325">
        <f>IF(HRData[[#This Row],[Attrition]]="Yes",1,0)</f>
        <v>0</v>
      </c>
      <c r="E1325" t="s">
        <v>55</v>
      </c>
      <c r="F1325">
        <v>280</v>
      </c>
      <c r="G1325" t="s">
        <v>61</v>
      </c>
      <c r="H1325">
        <v>1</v>
      </c>
      <c r="I1325">
        <v>2</v>
      </c>
      <c r="J1325" t="s">
        <v>38</v>
      </c>
      <c r="K1325">
        <v>1</v>
      </c>
      <c r="L1325">
        <v>1858</v>
      </c>
      <c r="M1325">
        <v>3</v>
      </c>
      <c r="N1325" t="str" cm="1">
        <f t="array" ref="N1325">_xlfn.IFS(HRData[[#This Row],[EnvironmentSatisfaction]]=1,"Very Dissatisfied",
HRData[[#This Row],[EnvironmentSatisfaction]]=2,"Dissatisfied",
HRData[[#This Row],[EnvironmentSatisfaction]]=3,"Satisfied",
HRData[[#This Row],[EnvironmentSatisfaction]]=4,"Very Satisfied"
)</f>
        <v>Satisfied</v>
      </c>
      <c r="O1325" t="s">
        <v>46</v>
      </c>
      <c r="P1325">
        <v>43</v>
      </c>
      <c r="Q1325">
        <v>3</v>
      </c>
      <c r="R1325">
        <v>1</v>
      </c>
      <c r="S1325" t="s">
        <v>61</v>
      </c>
      <c r="T1325">
        <v>4</v>
      </c>
      <c r="U1325" t="str" cm="1">
        <f t="array" ref="U1325">_xlfn.IFS(
HRData[[#This Row],[JobSatisfaction]]=1,"Very Dissatisfied",
HRData[[#This Row],[JobSatisfaction]]=2,"Dissatisfied",
HRData[[#This Row],[JobSatisfaction]]=3,"Satisfied",
HRData[[#This Row],[JobSatisfaction]]=4,"Very Satisfied"
)</f>
        <v>Very Satisfied</v>
      </c>
      <c r="V1325" t="s">
        <v>52</v>
      </c>
      <c r="W1325">
        <v>2706</v>
      </c>
      <c r="X1325" t="str" cm="1">
        <f t="array" ref="X1325">_xlfn.IFS(
HRData[[#This Row],[MonthlyIncome]]&lt;=4000,"Very Low Income",
HRData[[#This Row],[MonthlyIncome]]&lt;=8000,"Low Income",
HRData[[#This Row],[MonthlyIncome]]&lt;=12000,"Moderate Income",
HRData[[#This Row],[MonthlyIncome]]&lt;=16000,"High Income",
HRData[[#This Row],[MonthlyIncome]]&gt;16000,"Very High Income"
)</f>
        <v>Very Low Income</v>
      </c>
      <c r="Y1325">
        <v>10494</v>
      </c>
      <c r="Z1325">
        <v>1</v>
      </c>
      <c r="AA1325" t="s">
        <v>42</v>
      </c>
      <c r="AB1325" t="s">
        <v>43</v>
      </c>
      <c r="AC1325">
        <v>15</v>
      </c>
      <c r="AD1325" t="str" cm="1">
        <f t="array" ref="AD1325">_xlfn.IFS(HRData[[#This Row],[PercentSalaryHike]]&lt;=15,"11-15",HRData[[#This Row],[PercentSalaryHike]]&lt;=20,"16-20",HRData[[#This Row],[PercentSalaryHike]]&gt;=21,"21+")</f>
        <v>11-15</v>
      </c>
      <c r="AE1325">
        <v>3</v>
      </c>
      <c r="AF1325">
        <v>2</v>
      </c>
      <c r="AG1325">
        <v>80</v>
      </c>
      <c r="AH1325">
        <v>1</v>
      </c>
      <c r="AI1325">
        <v>3</v>
      </c>
      <c r="AJ1325">
        <v>2</v>
      </c>
      <c r="AK1325">
        <v>3</v>
      </c>
      <c r="AL1325">
        <v>3</v>
      </c>
      <c r="AM1325">
        <v>2</v>
      </c>
      <c r="AN1325">
        <v>2</v>
      </c>
      <c r="AO1325">
        <v>2</v>
      </c>
      <c r="AP132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325" t="str">
        <f>IF(HRData[[#This Row],[Attrition]]="Yes","Left", IF(HRData[[#This Row],[Attrition_Risk_Score]]&gt;=6,"High",IF(HRData[[#This Row],[Attrition_Risk_Score]]&gt;=3,"Medium","Low")))</f>
        <v>Medium</v>
      </c>
      <c r="AR1325" t="str">
        <f>IF(HRData[[#This Row],[Attrition_Risk_Level]]&lt;&gt;"High","",HRData[[#This Row],[Attrition_Risk_Score]]*10000-HRData[[#This Row],[EmployeeNumber]])</f>
        <v/>
      </c>
    </row>
    <row r="1326" spans="1:44">
      <c r="A1326">
        <v>29</v>
      </c>
      <c r="B1326" t="str" cm="1">
        <f t="array" ref="B1326">_xlfn.IFS(
HRData[[#This Row],[Age]]&lt;=24,"18-24",
HRData[[#This Row],[Age]]&lt;=34,"25-34",
HRData[[#This Row],[Age]]&lt;=44,"35-44",
HRData[[#This Row],[Age]]&lt;=54,"45-54",
HRData[[#This Row],[Age]]&gt;=55,"55+"
)</f>
        <v>25-34</v>
      </c>
      <c r="C1326" t="s">
        <v>43</v>
      </c>
      <c r="D1326">
        <f>IF(HRData[[#This Row],[Attrition]]="Yes",1,0)</f>
        <v>0</v>
      </c>
      <c r="E1326" t="s">
        <v>36</v>
      </c>
      <c r="F1326">
        <v>726</v>
      </c>
      <c r="G1326" t="s">
        <v>45</v>
      </c>
      <c r="H1326">
        <v>29</v>
      </c>
      <c r="I1326">
        <v>1</v>
      </c>
      <c r="J1326" t="s">
        <v>38</v>
      </c>
      <c r="K1326">
        <v>1</v>
      </c>
      <c r="L1326">
        <v>1859</v>
      </c>
      <c r="M1326">
        <v>4</v>
      </c>
      <c r="N1326" t="str" cm="1">
        <f t="array" ref="N1326">_xlfn.IFS(HRData[[#This Row],[EnvironmentSatisfaction]]=1,"Very Dissatisfied",
HRData[[#This Row],[EnvironmentSatisfaction]]=2,"Dissatisfied",
HRData[[#This Row],[EnvironmentSatisfaction]]=3,"Satisfied",
HRData[[#This Row],[EnvironmentSatisfaction]]=4,"Very Satisfied"
)</f>
        <v>Very Satisfied</v>
      </c>
      <c r="O1326" t="s">
        <v>46</v>
      </c>
      <c r="P1326">
        <v>93</v>
      </c>
      <c r="Q1326">
        <v>1</v>
      </c>
      <c r="R1326">
        <v>2</v>
      </c>
      <c r="S1326" t="s">
        <v>54</v>
      </c>
      <c r="T1326">
        <v>3</v>
      </c>
      <c r="U1326" t="str" cm="1">
        <f t="array" ref="U1326">_xlfn.IFS(
HRData[[#This Row],[JobSatisfaction]]=1,"Very Dissatisfied",
HRData[[#This Row],[JobSatisfaction]]=2,"Dissatisfied",
HRData[[#This Row],[JobSatisfaction]]=3,"Satisfied",
HRData[[#This Row],[JobSatisfaction]]=4,"Very Satisfied"
)</f>
        <v>Satisfied</v>
      </c>
      <c r="V1326" t="s">
        <v>52</v>
      </c>
      <c r="W1326">
        <v>6384</v>
      </c>
      <c r="X1326" t="str" cm="1">
        <f t="array" ref="X1326">_xlfn.IFS(
HRData[[#This Row],[MonthlyIncome]]&lt;=4000,"Very Low Income",
HRData[[#This Row],[MonthlyIncome]]&lt;=8000,"Low Income",
HRData[[#This Row],[MonthlyIncome]]&lt;=12000,"Moderate Income",
HRData[[#This Row],[MonthlyIncome]]&lt;=16000,"High Income",
HRData[[#This Row],[MonthlyIncome]]&gt;16000,"Very High Income"
)</f>
        <v>Low Income</v>
      </c>
      <c r="Y1326">
        <v>21143</v>
      </c>
      <c r="Z1326">
        <v>8</v>
      </c>
      <c r="AA1326" t="s">
        <v>42</v>
      </c>
      <c r="AB1326" t="s">
        <v>43</v>
      </c>
      <c r="AC1326">
        <v>17</v>
      </c>
      <c r="AD1326" t="str" cm="1">
        <f t="array" ref="AD1326">_xlfn.IFS(HRData[[#This Row],[PercentSalaryHike]]&lt;=15,"11-15",HRData[[#This Row],[PercentSalaryHike]]&lt;=20,"16-20",HRData[[#This Row],[PercentSalaryHike]]&gt;=21,"21+")</f>
        <v>16-20</v>
      </c>
      <c r="AE1326">
        <v>3</v>
      </c>
      <c r="AF1326">
        <v>4</v>
      </c>
      <c r="AG1326">
        <v>80</v>
      </c>
      <c r="AH1326">
        <v>2</v>
      </c>
      <c r="AI1326">
        <v>11</v>
      </c>
      <c r="AJ1326">
        <v>3</v>
      </c>
      <c r="AK1326">
        <v>3</v>
      </c>
      <c r="AL1326">
        <v>7</v>
      </c>
      <c r="AM1326">
        <v>0</v>
      </c>
      <c r="AN1326">
        <v>1</v>
      </c>
      <c r="AO1326">
        <v>6</v>
      </c>
      <c r="AP132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26" t="str">
        <f>IF(HRData[[#This Row],[Attrition]]="Yes","Left", IF(HRData[[#This Row],[Attrition_Risk_Score]]&gt;=6,"High",IF(HRData[[#This Row],[Attrition_Risk_Score]]&gt;=3,"Medium","Low")))</f>
        <v>Low</v>
      </c>
      <c r="AR1326" t="str">
        <f>IF(HRData[[#This Row],[Attrition_Risk_Level]]&lt;&gt;"High","",HRData[[#This Row],[Attrition_Risk_Score]]*10000-HRData[[#This Row],[EmployeeNumber]])</f>
        <v/>
      </c>
    </row>
    <row r="1327" spans="1:44">
      <c r="A1327">
        <v>42</v>
      </c>
      <c r="B1327" t="str" cm="1">
        <f t="array" ref="B1327">_xlfn.IFS(
HRData[[#This Row],[Age]]&lt;=24,"18-24",
HRData[[#This Row],[Age]]&lt;=34,"25-34",
HRData[[#This Row],[Age]]&lt;=44,"35-44",
HRData[[#This Row],[Age]]&lt;=54,"45-54",
HRData[[#This Row],[Age]]&gt;=55,"55+"
)</f>
        <v>35-44</v>
      </c>
      <c r="C1327" t="s">
        <v>43</v>
      </c>
      <c r="D1327">
        <f>IF(HRData[[#This Row],[Attrition]]="Yes",1,0)</f>
        <v>0</v>
      </c>
      <c r="E1327" t="s">
        <v>36</v>
      </c>
      <c r="F1327">
        <v>1142</v>
      </c>
      <c r="G1327" t="s">
        <v>45</v>
      </c>
      <c r="H1327">
        <v>8</v>
      </c>
      <c r="I1327">
        <v>3</v>
      </c>
      <c r="J1327" t="s">
        <v>38</v>
      </c>
      <c r="K1327">
        <v>1</v>
      </c>
      <c r="L1327">
        <v>1860</v>
      </c>
      <c r="M1327">
        <v>4</v>
      </c>
      <c r="N1327" t="str" cm="1">
        <f t="array" ref="N1327">_xlfn.IFS(HRData[[#This Row],[EnvironmentSatisfaction]]=1,"Very Dissatisfied",
HRData[[#This Row],[EnvironmentSatisfaction]]=2,"Dissatisfied",
HRData[[#This Row],[EnvironmentSatisfaction]]=3,"Satisfied",
HRData[[#This Row],[EnvironmentSatisfaction]]=4,"Very Satisfied"
)</f>
        <v>Very Satisfied</v>
      </c>
      <c r="O1327" t="s">
        <v>46</v>
      </c>
      <c r="P1327">
        <v>81</v>
      </c>
      <c r="Q1327">
        <v>3</v>
      </c>
      <c r="R1327">
        <v>1</v>
      </c>
      <c r="S1327" t="s">
        <v>50</v>
      </c>
      <c r="T1327">
        <v>3</v>
      </c>
      <c r="U1327" t="str" cm="1">
        <f t="array" ref="U1327">_xlfn.IFS(
HRData[[#This Row],[JobSatisfaction]]=1,"Very Dissatisfied",
HRData[[#This Row],[JobSatisfaction]]=2,"Dissatisfied",
HRData[[#This Row],[JobSatisfaction]]=3,"Satisfied",
HRData[[#This Row],[JobSatisfaction]]=4,"Very Satisfied"
)</f>
        <v>Satisfied</v>
      </c>
      <c r="V1327" t="s">
        <v>41</v>
      </c>
      <c r="W1327">
        <v>3968</v>
      </c>
      <c r="X1327" t="str" cm="1">
        <f t="array" ref="X1327">_xlfn.IFS(
HRData[[#This Row],[MonthlyIncome]]&lt;=4000,"Very Low Income",
HRData[[#This Row],[MonthlyIncome]]&lt;=8000,"Low Income",
HRData[[#This Row],[MonthlyIncome]]&lt;=12000,"Moderate Income",
HRData[[#This Row],[MonthlyIncome]]&lt;=16000,"High Income",
HRData[[#This Row],[MonthlyIncome]]&gt;16000,"Very High Income"
)</f>
        <v>Very Low Income</v>
      </c>
      <c r="Y1327">
        <v>13624</v>
      </c>
      <c r="Z1327">
        <v>4</v>
      </c>
      <c r="AA1327" t="s">
        <v>42</v>
      </c>
      <c r="AB1327" t="s">
        <v>43</v>
      </c>
      <c r="AC1327">
        <v>13</v>
      </c>
      <c r="AD1327" t="str" cm="1">
        <f t="array" ref="AD1327">_xlfn.IFS(HRData[[#This Row],[PercentSalaryHike]]&lt;=15,"11-15",HRData[[#This Row],[PercentSalaryHike]]&lt;=20,"16-20",HRData[[#This Row],[PercentSalaryHike]]&gt;=21,"21+")</f>
        <v>11-15</v>
      </c>
      <c r="AE1327">
        <v>3</v>
      </c>
      <c r="AF1327">
        <v>4</v>
      </c>
      <c r="AG1327">
        <v>80</v>
      </c>
      <c r="AH1327">
        <v>0</v>
      </c>
      <c r="AI1327">
        <v>8</v>
      </c>
      <c r="AJ1327">
        <v>3</v>
      </c>
      <c r="AK1327">
        <v>3</v>
      </c>
      <c r="AL1327">
        <v>0</v>
      </c>
      <c r="AM1327">
        <v>0</v>
      </c>
      <c r="AN1327">
        <v>0</v>
      </c>
      <c r="AO1327">
        <v>0</v>
      </c>
      <c r="AP132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27" t="str">
        <f>IF(HRData[[#This Row],[Attrition]]="Yes","Left", IF(HRData[[#This Row],[Attrition_Risk_Score]]&gt;=6,"High",IF(HRData[[#This Row],[Attrition_Risk_Score]]&gt;=3,"Medium","Low")))</f>
        <v>Medium</v>
      </c>
      <c r="AR1327" t="str">
        <f>IF(HRData[[#This Row],[Attrition_Risk_Level]]&lt;&gt;"High","",HRData[[#This Row],[Attrition_Risk_Score]]*10000-HRData[[#This Row],[EmployeeNumber]])</f>
        <v/>
      </c>
    </row>
    <row r="1328" spans="1:44">
      <c r="A1328">
        <v>32</v>
      </c>
      <c r="B1328" t="str" cm="1">
        <f t="array" ref="B1328">_xlfn.IFS(
HRData[[#This Row],[Age]]&lt;=24,"18-24",
HRData[[#This Row],[Age]]&lt;=34,"25-34",
HRData[[#This Row],[Age]]&lt;=44,"35-44",
HRData[[#This Row],[Age]]&lt;=54,"45-54",
HRData[[#This Row],[Age]]&gt;=55,"55+"
)</f>
        <v>25-34</v>
      </c>
      <c r="C1328" t="s">
        <v>35</v>
      </c>
      <c r="D1328">
        <f>IF(HRData[[#This Row],[Attrition]]="Yes",1,0)</f>
        <v>1</v>
      </c>
      <c r="E1328" t="s">
        <v>36</v>
      </c>
      <c r="F1328">
        <v>414</v>
      </c>
      <c r="G1328" t="s">
        <v>37</v>
      </c>
      <c r="H1328">
        <v>2</v>
      </c>
      <c r="I1328">
        <v>4</v>
      </c>
      <c r="J1328" t="s">
        <v>59</v>
      </c>
      <c r="K1328">
        <v>1</v>
      </c>
      <c r="L1328">
        <v>1862</v>
      </c>
      <c r="M1328">
        <v>3</v>
      </c>
      <c r="N1328" t="str" cm="1">
        <f t="array" ref="N1328">_xlfn.IFS(HRData[[#This Row],[EnvironmentSatisfaction]]=1,"Very Dissatisfied",
HRData[[#This Row],[EnvironmentSatisfaction]]=2,"Dissatisfied",
HRData[[#This Row],[EnvironmentSatisfaction]]=3,"Satisfied",
HRData[[#This Row],[EnvironmentSatisfaction]]=4,"Very Satisfied"
)</f>
        <v>Satisfied</v>
      </c>
      <c r="O1328" t="s">
        <v>46</v>
      </c>
      <c r="P1328">
        <v>82</v>
      </c>
      <c r="Q1328">
        <v>2</v>
      </c>
      <c r="R1328">
        <v>2</v>
      </c>
      <c r="S1328" t="s">
        <v>40</v>
      </c>
      <c r="T1328">
        <v>2</v>
      </c>
      <c r="U1328" t="str" cm="1">
        <f t="array" ref="U1328">_xlfn.IFS(
HRData[[#This Row],[JobSatisfaction]]=1,"Very Dissatisfied",
HRData[[#This Row],[JobSatisfaction]]=2,"Dissatisfied",
HRData[[#This Row],[JobSatisfaction]]=3,"Satisfied",
HRData[[#This Row],[JobSatisfaction]]=4,"Very Satisfied"
)</f>
        <v>Dissatisfied</v>
      </c>
      <c r="V1328" t="s">
        <v>41</v>
      </c>
      <c r="W1328">
        <v>9907</v>
      </c>
      <c r="X1328" t="str" cm="1">
        <f t="array" ref="X1328">_xlfn.IFS(
HRData[[#This Row],[MonthlyIncome]]&lt;=4000,"Very Low Income",
HRData[[#This Row],[MonthlyIncome]]&lt;=8000,"Low Income",
HRData[[#This Row],[MonthlyIncome]]&lt;=12000,"Moderate Income",
HRData[[#This Row],[MonthlyIncome]]&lt;=16000,"High Income",
HRData[[#This Row],[MonthlyIncome]]&gt;16000,"Very High Income"
)</f>
        <v>Moderate Income</v>
      </c>
      <c r="Y1328">
        <v>26186</v>
      </c>
      <c r="Z1328">
        <v>7</v>
      </c>
      <c r="AA1328" t="s">
        <v>42</v>
      </c>
      <c r="AB1328" t="s">
        <v>35</v>
      </c>
      <c r="AC1328">
        <v>12</v>
      </c>
      <c r="AD1328" t="str" cm="1">
        <f t="array" ref="AD1328">_xlfn.IFS(HRData[[#This Row],[PercentSalaryHike]]&lt;=15,"11-15",HRData[[#This Row],[PercentSalaryHike]]&lt;=20,"16-20",HRData[[#This Row],[PercentSalaryHike]]&gt;=21,"21+")</f>
        <v>11-15</v>
      </c>
      <c r="AE1328">
        <v>3</v>
      </c>
      <c r="AF1328">
        <v>3</v>
      </c>
      <c r="AG1328">
        <v>80</v>
      </c>
      <c r="AH1328">
        <v>0</v>
      </c>
      <c r="AI1328">
        <v>7</v>
      </c>
      <c r="AJ1328">
        <v>3</v>
      </c>
      <c r="AK1328">
        <v>2</v>
      </c>
      <c r="AL1328">
        <v>2</v>
      </c>
      <c r="AM1328">
        <v>2</v>
      </c>
      <c r="AN1328">
        <v>2</v>
      </c>
      <c r="AO1328">
        <v>2</v>
      </c>
      <c r="AP132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28" t="str">
        <f>IF(HRData[[#This Row],[Attrition]]="Yes","Left", IF(HRData[[#This Row],[Attrition_Risk_Score]]&gt;=6,"High",IF(HRData[[#This Row],[Attrition_Risk_Score]]&gt;=3,"Medium","Low")))</f>
        <v>Left</v>
      </c>
      <c r="AR1328" t="str">
        <f>IF(HRData[[#This Row],[Attrition_Risk_Level]]&lt;&gt;"High","",HRData[[#This Row],[Attrition_Risk_Score]]*10000-HRData[[#This Row],[EmployeeNumber]])</f>
        <v/>
      </c>
    </row>
    <row r="1329" spans="1:44">
      <c r="A1329">
        <v>46</v>
      </c>
      <c r="B1329" t="str" cm="1">
        <f t="array" ref="B1329">_xlfn.IFS(
HRData[[#This Row],[Age]]&lt;=24,"18-24",
HRData[[#This Row],[Age]]&lt;=34,"25-34",
HRData[[#This Row],[Age]]&lt;=44,"35-44",
HRData[[#This Row],[Age]]&lt;=54,"45-54",
HRData[[#This Row],[Age]]&gt;=55,"55+"
)</f>
        <v>45-54</v>
      </c>
      <c r="C1329" t="s">
        <v>43</v>
      </c>
      <c r="D1329">
        <f>IF(HRData[[#This Row],[Attrition]]="Yes",1,0)</f>
        <v>0</v>
      </c>
      <c r="E1329" t="s">
        <v>36</v>
      </c>
      <c r="F1329">
        <v>1319</v>
      </c>
      <c r="G1329" t="s">
        <v>37</v>
      </c>
      <c r="H1329">
        <v>3</v>
      </c>
      <c r="I1329">
        <v>3</v>
      </c>
      <c r="J1329" t="s">
        <v>60</v>
      </c>
      <c r="K1329">
        <v>1</v>
      </c>
      <c r="L1329">
        <v>1863</v>
      </c>
      <c r="M1329">
        <v>1</v>
      </c>
      <c r="N1329" t="str" cm="1">
        <f t="array" ref="N1329">_xlfn.IFS(HRData[[#This Row],[EnvironmentSatisfaction]]=1,"Very Dissatisfied",
HRData[[#This Row],[EnvironmentSatisfaction]]=2,"Dissatisfied",
HRData[[#This Row],[EnvironmentSatisfaction]]=3,"Satisfied",
HRData[[#This Row],[EnvironmentSatisfaction]]=4,"Very Satisfied"
)</f>
        <v>Very Dissatisfied</v>
      </c>
      <c r="O1329" t="s">
        <v>39</v>
      </c>
      <c r="P1329">
        <v>45</v>
      </c>
      <c r="Q1329">
        <v>4</v>
      </c>
      <c r="R1329">
        <v>4</v>
      </c>
      <c r="S1329" t="s">
        <v>40</v>
      </c>
      <c r="T1329">
        <v>1</v>
      </c>
      <c r="U1329" t="str" cm="1">
        <f t="array" ref="U1329">_xlfn.IFS(
HRData[[#This Row],[JobSatisfaction]]=1,"Very Dissatisfied",
HRData[[#This Row],[JobSatisfaction]]=2,"Dissatisfied",
HRData[[#This Row],[JobSatisfaction]]=3,"Satisfied",
HRData[[#This Row],[JobSatisfaction]]=4,"Very Satisfied"
)</f>
        <v>Very Dissatisfied</v>
      </c>
      <c r="V1329" t="s">
        <v>52</v>
      </c>
      <c r="W1329">
        <v>13225</v>
      </c>
      <c r="X1329" t="str" cm="1">
        <f t="array" ref="X1329">_xlfn.IFS(
HRData[[#This Row],[MonthlyIncome]]&lt;=4000,"Very Low Income",
HRData[[#This Row],[MonthlyIncome]]&lt;=8000,"Low Income",
HRData[[#This Row],[MonthlyIncome]]&lt;=12000,"Moderate Income",
HRData[[#This Row],[MonthlyIncome]]&lt;=16000,"High Income",
HRData[[#This Row],[MonthlyIncome]]&gt;16000,"Very High Income"
)</f>
        <v>High Income</v>
      </c>
      <c r="Y1329">
        <v>7739</v>
      </c>
      <c r="Z1329">
        <v>2</v>
      </c>
      <c r="AA1329" t="s">
        <v>42</v>
      </c>
      <c r="AB1329" t="s">
        <v>43</v>
      </c>
      <c r="AC1329">
        <v>12</v>
      </c>
      <c r="AD1329" t="str" cm="1">
        <f t="array" ref="AD1329">_xlfn.IFS(HRData[[#This Row],[PercentSalaryHike]]&lt;=15,"11-15",HRData[[#This Row],[PercentSalaryHike]]&lt;=20,"16-20",HRData[[#This Row],[PercentSalaryHike]]&gt;=21,"21+")</f>
        <v>11-15</v>
      </c>
      <c r="AE1329">
        <v>3</v>
      </c>
      <c r="AF1329">
        <v>4</v>
      </c>
      <c r="AG1329">
        <v>80</v>
      </c>
      <c r="AH1329">
        <v>1</v>
      </c>
      <c r="AI1329">
        <v>25</v>
      </c>
      <c r="AJ1329">
        <v>5</v>
      </c>
      <c r="AK1329">
        <v>3</v>
      </c>
      <c r="AL1329">
        <v>19</v>
      </c>
      <c r="AM1329">
        <v>17</v>
      </c>
      <c r="AN1329">
        <v>2</v>
      </c>
      <c r="AO1329">
        <v>8</v>
      </c>
      <c r="AP132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29" t="str">
        <f>IF(HRData[[#This Row],[Attrition]]="Yes","Left", IF(HRData[[#This Row],[Attrition_Risk_Score]]&gt;=6,"High",IF(HRData[[#This Row],[Attrition_Risk_Score]]&gt;=3,"Medium","Low")))</f>
        <v>Low</v>
      </c>
      <c r="AR1329" t="str">
        <f>IF(HRData[[#This Row],[Attrition_Risk_Level]]&lt;&gt;"High","",HRData[[#This Row],[Attrition_Risk_Score]]*10000-HRData[[#This Row],[EmployeeNumber]])</f>
        <v/>
      </c>
    </row>
    <row r="1330" spans="1:44">
      <c r="A1330">
        <v>27</v>
      </c>
      <c r="B1330" t="str" cm="1">
        <f t="array" ref="B1330">_xlfn.IFS(
HRData[[#This Row],[Age]]&lt;=24,"18-24",
HRData[[#This Row],[Age]]&lt;=34,"25-34",
HRData[[#This Row],[Age]]&lt;=44,"35-44",
HRData[[#This Row],[Age]]&lt;=54,"45-54",
HRData[[#This Row],[Age]]&gt;=55,"55+"
)</f>
        <v>25-34</v>
      </c>
      <c r="C1330" t="s">
        <v>43</v>
      </c>
      <c r="D1330">
        <f>IF(HRData[[#This Row],[Attrition]]="Yes",1,0)</f>
        <v>0</v>
      </c>
      <c r="E1330" t="s">
        <v>36</v>
      </c>
      <c r="F1330">
        <v>728</v>
      </c>
      <c r="G1330" t="s">
        <v>37</v>
      </c>
      <c r="H1330">
        <v>23</v>
      </c>
      <c r="I1330">
        <v>1</v>
      </c>
      <c r="J1330" t="s">
        <v>51</v>
      </c>
      <c r="K1330">
        <v>1</v>
      </c>
      <c r="L1330">
        <v>1864</v>
      </c>
      <c r="M1330">
        <v>2</v>
      </c>
      <c r="N1330" t="str" cm="1">
        <f t="array" ref="N1330">_xlfn.IFS(HRData[[#This Row],[EnvironmentSatisfaction]]=1,"Very Dissatisfied",
HRData[[#This Row],[EnvironmentSatisfaction]]=2,"Dissatisfied",
HRData[[#This Row],[EnvironmentSatisfaction]]=3,"Satisfied",
HRData[[#This Row],[EnvironmentSatisfaction]]=4,"Very Satisfied"
)</f>
        <v>Dissatisfied</v>
      </c>
      <c r="O1330" t="s">
        <v>39</v>
      </c>
      <c r="P1330">
        <v>36</v>
      </c>
      <c r="Q1330">
        <v>2</v>
      </c>
      <c r="R1330">
        <v>2</v>
      </c>
      <c r="S1330" t="s">
        <v>57</v>
      </c>
      <c r="T1330">
        <v>3</v>
      </c>
      <c r="U1330" t="str" cm="1">
        <f t="array" ref="U1330">_xlfn.IFS(
HRData[[#This Row],[JobSatisfaction]]=1,"Very Dissatisfied",
HRData[[#This Row],[JobSatisfaction]]=2,"Dissatisfied",
HRData[[#This Row],[JobSatisfaction]]=3,"Satisfied",
HRData[[#This Row],[JobSatisfaction]]=4,"Very Satisfied"
)</f>
        <v>Satisfied</v>
      </c>
      <c r="V1330" t="s">
        <v>48</v>
      </c>
      <c r="W1330">
        <v>3540</v>
      </c>
      <c r="X1330" t="str" cm="1">
        <f t="array" ref="X1330">_xlfn.IFS(
HRData[[#This Row],[MonthlyIncome]]&lt;=4000,"Very Low Income",
HRData[[#This Row],[MonthlyIncome]]&lt;=8000,"Low Income",
HRData[[#This Row],[MonthlyIncome]]&lt;=12000,"Moderate Income",
HRData[[#This Row],[MonthlyIncome]]&lt;=16000,"High Income",
HRData[[#This Row],[MonthlyIncome]]&gt;16000,"Very High Income"
)</f>
        <v>Very Low Income</v>
      </c>
      <c r="Y1330">
        <v>7018</v>
      </c>
      <c r="Z1330">
        <v>1</v>
      </c>
      <c r="AA1330" t="s">
        <v>42</v>
      </c>
      <c r="AB1330" t="s">
        <v>43</v>
      </c>
      <c r="AC1330">
        <v>21</v>
      </c>
      <c r="AD1330" t="str" cm="1">
        <f t="array" ref="AD1330">_xlfn.IFS(HRData[[#This Row],[PercentSalaryHike]]&lt;=15,"11-15",HRData[[#This Row],[PercentSalaryHike]]&lt;=20,"16-20",HRData[[#This Row],[PercentSalaryHike]]&gt;=21,"21+")</f>
        <v>21+</v>
      </c>
      <c r="AE1330">
        <v>4</v>
      </c>
      <c r="AF1330">
        <v>4</v>
      </c>
      <c r="AG1330">
        <v>80</v>
      </c>
      <c r="AH1330">
        <v>1</v>
      </c>
      <c r="AI1330">
        <v>9</v>
      </c>
      <c r="AJ1330">
        <v>5</v>
      </c>
      <c r="AK1330">
        <v>3</v>
      </c>
      <c r="AL1330">
        <v>9</v>
      </c>
      <c r="AM1330">
        <v>8</v>
      </c>
      <c r="AN1330">
        <v>5</v>
      </c>
      <c r="AO1330">
        <v>8</v>
      </c>
      <c r="AP133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330" t="str">
        <f>IF(HRData[[#This Row],[Attrition]]="Yes","Left", IF(HRData[[#This Row],[Attrition_Risk_Score]]&gt;=6,"High",IF(HRData[[#This Row],[Attrition_Risk_Score]]&gt;=3,"Medium","Low")))</f>
        <v>Medium</v>
      </c>
      <c r="AR1330" t="str">
        <f>IF(HRData[[#This Row],[Attrition_Risk_Level]]&lt;&gt;"High","",HRData[[#This Row],[Attrition_Risk_Score]]*10000-HRData[[#This Row],[EmployeeNumber]])</f>
        <v/>
      </c>
    </row>
    <row r="1331" spans="1:44">
      <c r="A1331">
        <v>29</v>
      </c>
      <c r="B1331" t="str" cm="1">
        <f t="array" ref="B1331">_xlfn.IFS(
HRData[[#This Row],[Age]]&lt;=24,"18-24",
HRData[[#This Row],[Age]]&lt;=34,"25-34",
HRData[[#This Row],[Age]]&lt;=44,"35-44",
HRData[[#This Row],[Age]]&lt;=54,"45-54",
HRData[[#This Row],[Age]]&gt;=55,"55+"
)</f>
        <v>25-34</v>
      </c>
      <c r="C1331" t="s">
        <v>43</v>
      </c>
      <c r="D1331">
        <f>IF(HRData[[#This Row],[Attrition]]="Yes",1,0)</f>
        <v>0</v>
      </c>
      <c r="E1331" t="s">
        <v>36</v>
      </c>
      <c r="F1331">
        <v>352</v>
      </c>
      <c r="G1331" t="s">
        <v>61</v>
      </c>
      <c r="H1331">
        <v>6</v>
      </c>
      <c r="I1331">
        <v>1</v>
      </c>
      <c r="J1331" t="s">
        <v>51</v>
      </c>
      <c r="K1331">
        <v>1</v>
      </c>
      <c r="L1331">
        <v>1865</v>
      </c>
      <c r="M1331">
        <v>4</v>
      </c>
      <c r="N1331" t="str" cm="1">
        <f t="array" ref="N1331">_xlfn.IFS(HRData[[#This Row],[EnvironmentSatisfaction]]=1,"Very Dissatisfied",
HRData[[#This Row],[EnvironmentSatisfaction]]=2,"Dissatisfied",
HRData[[#This Row],[EnvironmentSatisfaction]]=3,"Satisfied",
HRData[[#This Row],[EnvironmentSatisfaction]]=4,"Very Satisfied"
)</f>
        <v>Very Satisfied</v>
      </c>
      <c r="O1331" t="s">
        <v>46</v>
      </c>
      <c r="P1331">
        <v>87</v>
      </c>
      <c r="Q1331">
        <v>2</v>
      </c>
      <c r="R1331">
        <v>1</v>
      </c>
      <c r="S1331" t="s">
        <v>61</v>
      </c>
      <c r="T1331">
        <v>2</v>
      </c>
      <c r="U1331" t="str" cm="1">
        <f t="array" ref="U1331">_xlfn.IFS(
HRData[[#This Row],[JobSatisfaction]]=1,"Very Dissatisfied",
HRData[[#This Row],[JobSatisfaction]]=2,"Dissatisfied",
HRData[[#This Row],[JobSatisfaction]]=3,"Satisfied",
HRData[[#This Row],[JobSatisfaction]]=4,"Very Satisfied"
)</f>
        <v>Dissatisfied</v>
      </c>
      <c r="V1331" t="s">
        <v>48</v>
      </c>
      <c r="W1331">
        <v>2804</v>
      </c>
      <c r="X1331" t="str" cm="1">
        <f t="array" ref="X1331">_xlfn.IFS(
HRData[[#This Row],[MonthlyIncome]]&lt;=4000,"Very Low Income",
HRData[[#This Row],[MonthlyIncome]]&lt;=8000,"Low Income",
HRData[[#This Row],[MonthlyIncome]]&lt;=12000,"Moderate Income",
HRData[[#This Row],[MonthlyIncome]]&lt;=16000,"High Income",
HRData[[#This Row],[MonthlyIncome]]&gt;16000,"Very High Income"
)</f>
        <v>Very Low Income</v>
      </c>
      <c r="Y1331">
        <v>15434</v>
      </c>
      <c r="Z1331">
        <v>1</v>
      </c>
      <c r="AA1331" t="s">
        <v>42</v>
      </c>
      <c r="AB1331" t="s">
        <v>43</v>
      </c>
      <c r="AC1331">
        <v>11</v>
      </c>
      <c r="AD1331" t="str" cm="1">
        <f t="array" ref="AD1331">_xlfn.IFS(HRData[[#This Row],[PercentSalaryHike]]&lt;=15,"11-15",HRData[[#This Row],[PercentSalaryHike]]&lt;=20,"16-20",HRData[[#This Row],[PercentSalaryHike]]&gt;=21,"21+")</f>
        <v>11-15</v>
      </c>
      <c r="AE1331">
        <v>3</v>
      </c>
      <c r="AF1331">
        <v>4</v>
      </c>
      <c r="AG1331">
        <v>80</v>
      </c>
      <c r="AH1331">
        <v>0</v>
      </c>
      <c r="AI1331">
        <v>1</v>
      </c>
      <c r="AJ1331">
        <v>3</v>
      </c>
      <c r="AK1331">
        <v>3</v>
      </c>
      <c r="AL1331">
        <v>1</v>
      </c>
      <c r="AM1331">
        <v>0</v>
      </c>
      <c r="AN1331">
        <v>0</v>
      </c>
      <c r="AO1331">
        <v>0</v>
      </c>
      <c r="AP133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331" t="str">
        <f>IF(HRData[[#This Row],[Attrition]]="Yes","Left", IF(HRData[[#This Row],[Attrition_Risk_Score]]&gt;=6,"High",IF(HRData[[#This Row],[Attrition_Risk_Score]]&gt;=3,"Medium","Low")))</f>
        <v>Medium</v>
      </c>
      <c r="AR1331" t="str">
        <f>IF(HRData[[#This Row],[Attrition_Risk_Level]]&lt;&gt;"High","",HRData[[#This Row],[Attrition_Risk_Score]]*10000-HRData[[#This Row],[EmployeeNumber]])</f>
        <v/>
      </c>
    </row>
    <row r="1332" spans="1:44">
      <c r="A1332">
        <v>43</v>
      </c>
      <c r="B1332" t="str" cm="1">
        <f t="array" ref="B1332">_xlfn.IFS(
HRData[[#This Row],[Age]]&lt;=24,"18-24",
HRData[[#This Row],[Age]]&lt;=34,"25-34",
HRData[[#This Row],[Age]]&lt;=44,"35-44",
HRData[[#This Row],[Age]]&lt;=54,"45-54",
HRData[[#This Row],[Age]]&gt;=55,"55+"
)</f>
        <v>35-44</v>
      </c>
      <c r="C1332" t="s">
        <v>43</v>
      </c>
      <c r="D1332">
        <f>IF(HRData[[#This Row],[Attrition]]="Yes",1,0)</f>
        <v>0</v>
      </c>
      <c r="E1332" t="s">
        <v>36</v>
      </c>
      <c r="F1332">
        <v>823</v>
      </c>
      <c r="G1332" t="s">
        <v>45</v>
      </c>
      <c r="H1332">
        <v>6</v>
      </c>
      <c r="I1332">
        <v>3</v>
      </c>
      <c r="J1332" t="s">
        <v>51</v>
      </c>
      <c r="K1332">
        <v>1</v>
      </c>
      <c r="L1332">
        <v>1866</v>
      </c>
      <c r="M1332">
        <v>1</v>
      </c>
      <c r="N1332" t="str" cm="1">
        <f t="array" ref="N1332">_xlfn.IFS(HRData[[#This Row],[EnvironmentSatisfaction]]=1,"Very Dissatisfied",
HRData[[#This Row],[EnvironmentSatisfaction]]=2,"Dissatisfied",
HRData[[#This Row],[EnvironmentSatisfaction]]=3,"Satisfied",
HRData[[#This Row],[EnvironmentSatisfaction]]=4,"Very Satisfied"
)</f>
        <v>Very Dissatisfied</v>
      </c>
      <c r="O1332" t="s">
        <v>39</v>
      </c>
      <c r="P1332">
        <v>81</v>
      </c>
      <c r="Q1332">
        <v>2</v>
      </c>
      <c r="R1332">
        <v>5</v>
      </c>
      <c r="S1332" t="s">
        <v>56</v>
      </c>
      <c r="T1332">
        <v>3</v>
      </c>
      <c r="U1332" t="str" cm="1">
        <f t="array" ref="U1332">_xlfn.IFS(
HRData[[#This Row],[JobSatisfaction]]=1,"Very Dissatisfied",
HRData[[#This Row],[JobSatisfaction]]=2,"Dissatisfied",
HRData[[#This Row],[JobSatisfaction]]=3,"Satisfied",
HRData[[#This Row],[JobSatisfaction]]=4,"Very Satisfied"
)</f>
        <v>Satisfied</v>
      </c>
      <c r="V1332" t="s">
        <v>48</v>
      </c>
      <c r="W1332">
        <v>19392</v>
      </c>
      <c r="X1332" t="str" cm="1">
        <f t="array" ref="X1332">_xlfn.IFS(
HRData[[#This Row],[MonthlyIncome]]&lt;=4000,"Very Low Income",
HRData[[#This Row],[MonthlyIncome]]&lt;=8000,"Low Income",
HRData[[#This Row],[MonthlyIncome]]&lt;=12000,"Moderate Income",
HRData[[#This Row],[MonthlyIncome]]&lt;=16000,"High Income",
HRData[[#This Row],[MonthlyIncome]]&gt;16000,"Very High Income"
)</f>
        <v>Very High Income</v>
      </c>
      <c r="Y1332">
        <v>22539</v>
      </c>
      <c r="Z1332">
        <v>7</v>
      </c>
      <c r="AA1332" t="s">
        <v>42</v>
      </c>
      <c r="AB1332" t="s">
        <v>43</v>
      </c>
      <c r="AC1332">
        <v>13</v>
      </c>
      <c r="AD1332" t="str" cm="1">
        <f t="array" ref="AD1332">_xlfn.IFS(HRData[[#This Row],[PercentSalaryHike]]&lt;=15,"11-15",HRData[[#This Row],[PercentSalaryHike]]&lt;=20,"16-20",HRData[[#This Row],[PercentSalaryHike]]&gt;=21,"21+")</f>
        <v>11-15</v>
      </c>
      <c r="AE1332">
        <v>3</v>
      </c>
      <c r="AF1332">
        <v>4</v>
      </c>
      <c r="AG1332">
        <v>80</v>
      </c>
      <c r="AH1332">
        <v>0</v>
      </c>
      <c r="AI1332">
        <v>21</v>
      </c>
      <c r="AJ1332">
        <v>2</v>
      </c>
      <c r="AK1332">
        <v>3</v>
      </c>
      <c r="AL1332">
        <v>16</v>
      </c>
      <c r="AM1332">
        <v>12</v>
      </c>
      <c r="AN1332">
        <v>6</v>
      </c>
      <c r="AO1332">
        <v>14</v>
      </c>
      <c r="AP133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332" t="str">
        <f>IF(HRData[[#This Row],[Attrition]]="Yes","Left", IF(HRData[[#This Row],[Attrition_Risk_Score]]&gt;=6,"High",IF(HRData[[#This Row],[Attrition_Risk_Score]]&gt;=3,"Medium","Low")))</f>
        <v>Low</v>
      </c>
      <c r="AR1332" t="str">
        <f>IF(HRData[[#This Row],[Attrition_Risk_Level]]&lt;&gt;"High","",HRData[[#This Row],[Attrition_Risk_Score]]*10000-HRData[[#This Row],[EmployeeNumber]])</f>
        <v/>
      </c>
    </row>
    <row r="1333" spans="1:44">
      <c r="A1333">
        <v>48</v>
      </c>
      <c r="B1333" t="str" cm="1">
        <f t="array" ref="B1333">_xlfn.IFS(
HRData[[#This Row],[Age]]&lt;=24,"18-24",
HRData[[#This Row],[Age]]&lt;=34,"25-34",
HRData[[#This Row],[Age]]&lt;=44,"35-44",
HRData[[#This Row],[Age]]&lt;=54,"45-54",
HRData[[#This Row],[Age]]&gt;=55,"55+"
)</f>
        <v>45-54</v>
      </c>
      <c r="C1333" t="s">
        <v>43</v>
      </c>
      <c r="D1333">
        <f>IF(HRData[[#This Row],[Attrition]]="Yes",1,0)</f>
        <v>0</v>
      </c>
      <c r="E1333" t="s">
        <v>36</v>
      </c>
      <c r="F1333">
        <v>1224</v>
      </c>
      <c r="G1333" t="s">
        <v>45</v>
      </c>
      <c r="H1333">
        <v>10</v>
      </c>
      <c r="I1333">
        <v>3</v>
      </c>
      <c r="J1333" t="s">
        <v>38</v>
      </c>
      <c r="K1333">
        <v>1</v>
      </c>
      <c r="L1333">
        <v>1867</v>
      </c>
      <c r="M1333">
        <v>4</v>
      </c>
      <c r="N1333" t="str" cm="1">
        <f t="array" ref="N1333">_xlfn.IFS(HRData[[#This Row],[EnvironmentSatisfaction]]=1,"Very Dissatisfied",
HRData[[#This Row],[EnvironmentSatisfaction]]=2,"Dissatisfied",
HRData[[#This Row],[EnvironmentSatisfaction]]=3,"Satisfied",
HRData[[#This Row],[EnvironmentSatisfaction]]=4,"Very Satisfied"
)</f>
        <v>Very Satisfied</v>
      </c>
      <c r="O1333" t="s">
        <v>46</v>
      </c>
      <c r="P1333">
        <v>91</v>
      </c>
      <c r="Q1333">
        <v>2</v>
      </c>
      <c r="R1333">
        <v>5</v>
      </c>
      <c r="S1333" t="s">
        <v>58</v>
      </c>
      <c r="T1333">
        <v>2</v>
      </c>
      <c r="U1333" t="str" cm="1">
        <f t="array" ref="U1333">_xlfn.IFS(
HRData[[#This Row],[JobSatisfaction]]=1,"Very Dissatisfied",
HRData[[#This Row],[JobSatisfaction]]=2,"Dissatisfied",
HRData[[#This Row],[JobSatisfaction]]=3,"Satisfied",
HRData[[#This Row],[JobSatisfaction]]=4,"Very Satisfied"
)</f>
        <v>Dissatisfied</v>
      </c>
      <c r="V1333" t="s">
        <v>48</v>
      </c>
      <c r="W1333">
        <v>19665</v>
      </c>
      <c r="X1333" t="str" cm="1">
        <f t="array" ref="X1333">_xlfn.IFS(
HRData[[#This Row],[MonthlyIncome]]&lt;=4000,"Very Low Income",
HRData[[#This Row],[MonthlyIncome]]&lt;=8000,"Low Income",
HRData[[#This Row],[MonthlyIncome]]&lt;=12000,"Moderate Income",
HRData[[#This Row],[MonthlyIncome]]&lt;=16000,"High Income",
HRData[[#This Row],[MonthlyIncome]]&gt;16000,"Very High Income"
)</f>
        <v>Very High Income</v>
      </c>
      <c r="Y1333">
        <v>13583</v>
      </c>
      <c r="Z1333">
        <v>4</v>
      </c>
      <c r="AA1333" t="s">
        <v>42</v>
      </c>
      <c r="AB1333" t="s">
        <v>43</v>
      </c>
      <c r="AC1333">
        <v>12</v>
      </c>
      <c r="AD1333" t="str" cm="1">
        <f t="array" ref="AD1333">_xlfn.IFS(HRData[[#This Row],[PercentSalaryHike]]&lt;=15,"11-15",HRData[[#This Row],[PercentSalaryHike]]&lt;=20,"16-20",HRData[[#This Row],[PercentSalaryHike]]&gt;=21,"21+")</f>
        <v>11-15</v>
      </c>
      <c r="AE1333">
        <v>3</v>
      </c>
      <c r="AF1333">
        <v>4</v>
      </c>
      <c r="AG1333">
        <v>80</v>
      </c>
      <c r="AH1333">
        <v>0</v>
      </c>
      <c r="AI1333">
        <v>29</v>
      </c>
      <c r="AJ1333">
        <v>3</v>
      </c>
      <c r="AK1333">
        <v>3</v>
      </c>
      <c r="AL1333">
        <v>22</v>
      </c>
      <c r="AM1333">
        <v>10</v>
      </c>
      <c r="AN1333">
        <v>12</v>
      </c>
      <c r="AO1333">
        <v>9</v>
      </c>
      <c r="AP133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333" t="str">
        <f>IF(HRData[[#This Row],[Attrition]]="Yes","Left", IF(HRData[[#This Row],[Attrition_Risk_Score]]&gt;=6,"High",IF(HRData[[#This Row],[Attrition_Risk_Score]]&gt;=3,"Medium","Low")))</f>
        <v>Low</v>
      </c>
      <c r="AR1333" t="str">
        <f>IF(HRData[[#This Row],[Attrition_Risk_Level]]&lt;&gt;"High","",HRData[[#This Row],[Attrition_Risk_Score]]*10000-HRData[[#This Row],[EmployeeNumber]])</f>
        <v/>
      </c>
    </row>
    <row r="1334" spans="1:44">
      <c r="A1334">
        <v>29</v>
      </c>
      <c r="B1334" t="str" cm="1">
        <f t="array" ref="B1334">_xlfn.IFS(
HRData[[#This Row],[Age]]&lt;=24,"18-24",
HRData[[#This Row],[Age]]&lt;=34,"25-34",
HRData[[#This Row],[Age]]&lt;=44,"35-44",
HRData[[#This Row],[Age]]&lt;=54,"45-54",
HRData[[#This Row],[Age]]&gt;=55,"55+"
)</f>
        <v>25-34</v>
      </c>
      <c r="C1334" t="s">
        <v>35</v>
      </c>
      <c r="D1334">
        <f>IF(HRData[[#This Row],[Attrition]]="Yes",1,0)</f>
        <v>1</v>
      </c>
      <c r="E1334" t="s">
        <v>44</v>
      </c>
      <c r="F1334">
        <v>459</v>
      </c>
      <c r="G1334" t="s">
        <v>45</v>
      </c>
      <c r="H1334">
        <v>24</v>
      </c>
      <c r="I1334">
        <v>2</v>
      </c>
      <c r="J1334" t="s">
        <v>38</v>
      </c>
      <c r="K1334">
        <v>1</v>
      </c>
      <c r="L1334">
        <v>1868</v>
      </c>
      <c r="M1334">
        <v>4</v>
      </c>
      <c r="N1334" t="str" cm="1">
        <f t="array" ref="N1334">_xlfn.IFS(HRData[[#This Row],[EnvironmentSatisfaction]]=1,"Very Dissatisfied",
HRData[[#This Row],[EnvironmentSatisfaction]]=2,"Dissatisfied",
HRData[[#This Row],[EnvironmentSatisfaction]]=3,"Satisfied",
HRData[[#This Row],[EnvironmentSatisfaction]]=4,"Very Satisfied"
)</f>
        <v>Very Satisfied</v>
      </c>
      <c r="O1334" t="s">
        <v>46</v>
      </c>
      <c r="P1334">
        <v>73</v>
      </c>
      <c r="Q1334">
        <v>2</v>
      </c>
      <c r="R1334">
        <v>1</v>
      </c>
      <c r="S1334" t="s">
        <v>47</v>
      </c>
      <c r="T1334">
        <v>4</v>
      </c>
      <c r="U1334" t="str" cm="1">
        <f t="array" ref="U1334">_xlfn.IFS(
HRData[[#This Row],[JobSatisfaction]]=1,"Very Dissatisfied",
HRData[[#This Row],[JobSatisfaction]]=2,"Dissatisfied",
HRData[[#This Row],[JobSatisfaction]]=3,"Satisfied",
HRData[[#This Row],[JobSatisfaction]]=4,"Very Satisfied"
)</f>
        <v>Very Satisfied</v>
      </c>
      <c r="V1334" t="s">
        <v>41</v>
      </c>
      <c r="W1334">
        <v>2439</v>
      </c>
      <c r="X1334" t="str" cm="1">
        <f t="array" ref="X1334">_xlfn.IFS(
HRData[[#This Row],[MonthlyIncome]]&lt;=4000,"Very Low Income",
HRData[[#This Row],[MonthlyIncome]]&lt;=8000,"Low Income",
HRData[[#This Row],[MonthlyIncome]]&lt;=12000,"Moderate Income",
HRData[[#This Row],[MonthlyIncome]]&lt;=16000,"High Income",
HRData[[#This Row],[MonthlyIncome]]&gt;16000,"Very High Income"
)</f>
        <v>Very Low Income</v>
      </c>
      <c r="Y1334">
        <v>14753</v>
      </c>
      <c r="Z1334">
        <v>1</v>
      </c>
      <c r="AA1334" t="s">
        <v>42</v>
      </c>
      <c r="AB1334" t="s">
        <v>35</v>
      </c>
      <c r="AC1334">
        <v>24</v>
      </c>
      <c r="AD1334" t="str" cm="1">
        <f t="array" ref="AD1334">_xlfn.IFS(HRData[[#This Row],[PercentSalaryHike]]&lt;=15,"11-15",HRData[[#This Row],[PercentSalaryHike]]&lt;=20,"16-20",HRData[[#This Row],[PercentSalaryHike]]&gt;=21,"21+")</f>
        <v>21+</v>
      </c>
      <c r="AE1334">
        <v>4</v>
      </c>
      <c r="AF1334">
        <v>2</v>
      </c>
      <c r="AG1334">
        <v>80</v>
      </c>
      <c r="AH1334">
        <v>0</v>
      </c>
      <c r="AI1334">
        <v>1</v>
      </c>
      <c r="AJ1334">
        <v>3</v>
      </c>
      <c r="AK1334">
        <v>2</v>
      </c>
      <c r="AL1334">
        <v>1</v>
      </c>
      <c r="AM1334">
        <v>0</v>
      </c>
      <c r="AN1334">
        <v>1</v>
      </c>
      <c r="AO1334">
        <v>0</v>
      </c>
      <c r="AP133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34" t="str">
        <f>IF(HRData[[#This Row],[Attrition]]="Yes","Left", IF(HRData[[#This Row],[Attrition_Risk_Score]]&gt;=6,"High",IF(HRData[[#This Row],[Attrition_Risk_Score]]&gt;=3,"Medium","Low")))</f>
        <v>Left</v>
      </c>
      <c r="AR1334" t="str">
        <f>IF(HRData[[#This Row],[Attrition_Risk_Level]]&lt;&gt;"High","",HRData[[#This Row],[Attrition_Risk_Score]]*10000-HRData[[#This Row],[EmployeeNumber]])</f>
        <v/>
      </c>
    </row>
    <row r="1335" spans="1:44">
      <c r="A1335">
        <v>46</v>
      </c>
      <c r="B1335" t="str" cm="1">
        <f t="array" ref="B1335">_xlfn.IFS(
HRData[[#This Row],[Age]]&lt;=24,"18-24",
HRData[[#This Row],[Age]]&lt;=34,"25-34",
HRData[[#This Row],[Age]]&lt;=44,"35-44",
HRData[[#This Row],[Age]]&lt;=54,"45-54",
HRData[[#This Row],[Age]]&gt;=55,"55+"
)</f>
        <v>45-54</v>
      </c>
      <c r="C1335" t="s">
        <v>35</v>
      </c>
      <c r="D1335">
        <f>IF(HRData[[#This Row],[Attrition]]="Yes",1,0)</f>
        <v>1</v>
      </c>
      <c r="E1335" t="s">
        <v>36</v>
      </c>
      <c r="F1335">
        <v>1254</v>
      </c>
      <c r="G1335" t="s">
        <v>37</v>
      </c>
      <c r="H1335">
        <v>10</v>
      </c>
      <c r="I1335">
        <v>3</v>
      </c>
      <c r="J1335" t="s">
        <v>38</v>
      </c>
      <c r="K1335">
        <v>1</v>
      </c>
      <c r="L1335">
        <v>1869</v>
      </c>
      <c r="M1335">
        <v>3</v>
      </c>
      <c r="N1335" t="str" cm="1">
        <f t="array" ref="N1335">_xlfn.IFS(HRData[[#This Row],[EnvironmentSatisfaction]]=1,"Very Dissatisfied",
HRData[[#This Row],[EnvironmentSatisfaction]]=2,"Dissatisfied",
HRData[[#This Row],[EnvironmentSatisfaction]]=3,"Satisfied",
HRData[[#This Row],[EnvironmentSatisfaction]]=4,"Very Satisfied"
)</f>
        <v>Satisfied</v>
      </c>
      <c r="O1335" t="s">
        <v>39</v>
      </c>
      <c r="P1335">
        <v>64</v>
      </c>
      <c r="Q1335">
        <v>3</v>
      </c>
      <c r="R1335">
        <v>3</v>
      </c>
      <c r="S1335" t="s">
        <v>40</v>
      </c>
      <c r="T1335">
        <v>2</v>
      </c>
      <c r="U1335" t="str" cm="1">
        <f t="array" ref="U1335">_xlfn.IFS(
HRData[[#This Row],[JobSatisfaction]]=1,"Very Dissatisfied",
HRData[[#This Row],[JobSatisfaction]]=2,"Dissatisfied",
HRData[[#This Row],[JobSatisfaction]]=3,"Satisfied",
HRData[[#This Row],[JobSatisfaction]]=4,"Very Satisfied"
)</f>
        <v>Dissatisfied</v>
      </c>
      <c r="V1335" t="s">
        <v>48</v>
      </c>
      <c r="W1335">
        <v>7314</v>
      </c>
      <c r="X1335" t="str" cm="1">
        <f t="array" ref="X1335">_xlfn.IFS(
HRData[[#This Row],[MonthlyIncome]]&lt;=4000,"Very Low Income",
HRData[[#This Row],[MonthlyIncome]]&lt;=8000,"Low Income",
HRData[[#This Row],[MonthlyIncome]]&lt;=12000,"Moderate Income",
HRData[[#This Row],[MonthlyIncome]]&lt;=16000,"High Income",
HRData[[#This Row],[MonthlyIncome]]&gt;16000,"Very High Income"
)</f>
        <v>Low Income</v>
      </c>
      <c r="Y1335">
        <v>14011</v>
      </c>
      <c r="Z1335">
        <v>5</v>
      </c>
      <c r="AA1335" t="s">
        <v>42</v>
      </c>
      <c r="AB1335" t="s">
        <v>43</v>
      </c>
      <c r="AC1335">
        <v>21</v>
      </c>
      <c r="AD1335" t="str" cm="1">
        <f t="array" ref="AD1335">_xlfn.IFS(HRData[[#This Row],[PercentSalaryHike]]&lt;=15,"11-15",HRData[[#This Row],[PercentSalaryHike]]&lt;=20,"16-20",HRData[[#This Row],[PercentSalaryHike]]&gt;=21,"21+")</f>
        <v>21+</v>
      </c>
      <c r="AE1335">
        <v>4</v>
      </c>
      <c r="AF1335">
        <v>3</v>
      </c>
      <c r="AG1335">
        <v>80</v>
      </c>
      <c r="AH1335">
        <v>3</v>
      </c>
      <c r="AI1335">
        <v>14</v>
      </c>
      <c r="AJ1335">
        <v>2</v>
      </c>
      <c r="AK1335">
        <v>3</v>
      </c>
      <c r="AL1335">
        <v>8</v>
      </c>
      <c r="AM1335">
        <v>7</v>
      </c>
      <c r="AN1335">
        <v>0</v>
      </c>
      <c r="AO1335">
        <v>7</v>
      </c>
      <c r="AP133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35" t="str">
        <f>IF(HRData[[#This Row],[Attrition]]="Yes","Left", IF(HRData[[#This Row],[Attrition_Risk_Score]]&gt;=6,"High",IF(HRData[[#This Row],[Attrition_Risk_Score]]&gt;=3,"Medium","Low")))</f>
        <v>Left</v>
      </c>
      <c r="AR1335" t="str">
        <f>IF(HRData[[#This Row],[Attrition_Risk_Level]]&lt;&gt;"High","",HRData[[#This Row],[Attrition_Risk_Score]]*10000-HRData[[#This Row],[EmployeeNumber]])</f>
        <v/>
      </c>
    </row>
    <row r="1336" spans="1:44">
      <c r="A1336">
        <v>27</v>
      </c>
      <c r="B1336" t="str" cm="1">
        <f t="array" ref="B1336">_xlfn.IFS(
HRData[[#This Row],[Age]]&lt;=24,"18-24",
HRData[[#This Row],[Age]]&lt;=34,"25-34",
HRData[[#This Row],[Age]]&lt;=44,"35-44",
HRData[[#This Row],[Age]]&lt;=54,"45-54",
HRData[[#This Row],[Age]]&gt;=55,"55+"
)</f>
        <v>25-34</v>
      </c>
      <c r="C1336" t="s">
        <v>43</v>
      </c>
      <c r="D1336">
        <f>IF(HRData[[#This Row],[Attrition]]="Yes",1,0)</f>
        <v>0</v>
      </c>
      <c r="E1336" t="s">
        <v>44</v>
      </c>
      <c r="F1336">
        <v>1131</v>
      </c>
      <c r="G1336" t="s">
        <v>45</v>
      </c>
      <c r="H1336">
        <v>15</v>
      </c>
      <c r="I1336">
        <v>3</v>
      </c>
      <c r="J1336" t="s">
        <v>38</v>
      </c>
      <c r="K1336">
        <v>1</v>
      </c>
      <c r="L1336">
        <v>1870</v>
      </c>
      <c r="M1336">
        <v>4</v>
      </c>
      <c r="N1336" t="str" cm="1">
        <f t="array" ref="N1336">_xlfn.IFS(HRData[[#This Row],[EnvironmentSatisfaction]]=1,"Very Dissatisfied",
HRData[[#This Row],[EnvironmentSatisfaction]]=2,"Dissatisfied",
HRData[[#This Row],[EnvironmentSatisfaction]]=3,"Satisfied",
HRData[[#This Row],[EnvironmentSatisfaction]]=4,"Very Satisfied"
)</f>
        <v>Very Satisfied</v>
      </c>
      <c r="O1336" t="s">
        <v>39</v>
      </c>
      <c r="P1336">
        <v>77</v>
      </c>
      <c r="Q1336">
        <v>2</v>
      </c>
      <c r="R1336">
        <v>1</v>
      </c>
      <c r="S1336" t="s">
        <v>47</v>
      </c>
      <c r="T1336">
        <v>1</v>
      </c>
      <c r="U1336" t="str" cm="1">
        <f t="array" ref="U1336">_xlfn.IFS(
HRData[[#This Row],[JobSatisfaction]]=1,"Very Dissatisfied",
HRData[[#This Row],[JobSatisfaction]]=2,"Dissatisfied",
HRData[[#This Row],[JobSatisfaction]]=3,"Satisfied",
HRData[[#This Row],[JobSatisfaction]]=4,"Very Satisfied"
)</f>
        <v>Very Dissatisfied</v>
      </c>
      <c r="V1336" t="s">
        <v>48</v>
      </c>
      <c r="W1336">
        <v>4774</v>
      </c>
      <c r="X1336" t="str" cm="1">
        <f t="array" ref="X1336">_xlfn.IFS(
HRData[[#This Row],[MonthlyIncome]]&lt;=4000,"Very Low Income",
HRData[[#This Row],[MonthlyIncome]]&lt;=8000,"Low Income",
HRData[[#This Row],[MonthlyIncome]]&lt;=12000,"Moderate Income",
HRData[[#This Row],[MonthlyIncome]]&lt;=16000,"High Income",
HRData[[#This Row],[MonthlyIncome]]&gt;16000,"Very High Income"
)</f>
        <v>Low Income</v>
      </c>
      <c r="Y1336">
        <v>23844</v>
      </c>
      <c r="Z1336">
        <v>0</v>
      </c>
      <c r="AA1336" t="s">
        <v>42</v>
      </c>
      <c r="AB1336" t="s">
        <v>43</v>
      </c>
      <c r="AC1336">
        <v>19</v>
      </c>
      <c r="AD1336" t="str" cm="1">
        <f t="array" ref="AD1336">_xlfn.IFS(HRData[[#This Row],[PercentSalaryHike]]&lt;=15,"11-15",HRData[[#This Row],[PercentSalaryHike]]&lt;=20,"16-20",HRData[[#This Row],[PercentSalaryHike]]&gt;=21,"21+")</f>
        <v>16-20</v>
      </c>
      <c r="AE1336">
        <v>3</v>
      </c>
      <c r="AF1336">
        <v>4</v>
      </c>
      <c r="AG1336">
        <v>80</v>
      </c>
      <c r="AH1336">
        <v>1</v>
      </c>
      <c r="AI1336">
        <v>8</v>
      </c>
      <c r="AJ1336">
        <v>2</v>
      </c>
      <c r="AK1336">
        <v>2</v>
      </c>
      <c r="AL1336">
        <v>7</v>
      </c>
      <c r="AM1336">
        <v>6</v>
      </c>
      <c r="AN1336">
        <v>7</v>
      </c>
      <c r="AO1336">
        <v>3</v>
      </c>
      <c r="AP133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336" t="str">
        <f>IF(HRData[[#This Row],[Attrition]]="Yes","Left", IF(HRData[[#This Row],[Attrition_Risk_Score]]&gt;=6,"High",IF(HRData[[#This Row],[Attrition_Risk_Score]]&gt;=3,"Medium","Low")))</f>
        <v>Medium</v>
      </c>
      <c r="AR1336" t="str">
        <f>IF(HRData[[#This Row],[Attrition_Risk_Level]]&lt;&gt;"High","",HRData[[#This Row],[Attrition_Risk_Score]]*10000-HRData[[#This Row],[EmployeeNumber]])</f>
        <v/>
      </c>
    </row>
    <row r="1337" spans="1:44">
      <c r="A1337">
        <v>39</v>
      </c>
      <c r="B1337" t="str" cm="1">
        <f t="array" ref="B1337">_xlfn.IFS(
HRData[[#This Row],[Age]]&lt;=24,"18-24",
HRData[[#This Row],[Age]]&lt;=34,"25-34",
HRData[[#This Row],[Age]]&lt;=44,"35-44",
HRData[[#This Row],[Age]]&lt;=54,"45-54",
HRData[[#This Row],[Age]]&gt;=55,"55+"
)</f>
        <v>35-44</v>
      </c>
      <c r="C1337" t="s">
        <v>43</v>
      </c>
      <c r="D1337">
        <f>IF(HRData[[#This Row],[Attrition]]="Yes",1,0)</f>
        <v>0</v>
      </c>
      <c r="E1337" t="s">
        <v>36</v>
      </c>
      <c r="F1337">
        <v>835</v>
      </c>
      <c r="G1337" t="s">
        <v>45</v>
      </c>
      <c r="H1337">
        <v>19</v>
      </c>
      <c r="I1337">
        <v>4</v>
      </c>
      <c r="J1337" t="s">
        <v>49</v>
      </c>
      <c r="K1337">
        <v>1</v>
      </c>
      <c r="L1337">
        <v>1871</v>
      </c>
      <c r="M1337">
        <v>4</v>
      </c>
      <c r="N1337" t="str" cm="1">
        <f t="array" ref="N1337">_xlfn.IFS(HRData[[#This Row],[EnvironmentSatisfaction]]=1,"Very Dissatisfied",
HRData[[#This Row],[EnvironmentSatisfaction]]=2,"Dissatisfied",
HRData[[#This Row],[EnvironmentSatisfaction]]=3,"Satisfied",
HRData[[#This Row],[EnvironmentSatisfaction]]=4,"Very Satisfied"
)</f>
        <v>Very Satisfied</v>
      </c>
      <c r="O1337" t="s">
        <v>46</v>
      </c>
      <c r="P1337">
        <v>41</v>
      </c>
      <c r="Q1337">
        <v>3</v>
      </c>
      <c r="R1337">
        <v>2</v>
      </c>
      <c r="S1337" t="s">
        <v>47</v>
      </c>
      <c r="T1337">
        <v>4</v>
      </c>
      <c r="U1337" t="str" cm="1">
        <f t="array" ref="U1337">_xlfn.IFS(
HRData[[#This Row],[JobSatisfaction]]=1,"Very Dissatisfied",
HRData[[#This Row],[JobSatisfaction]]=2,"Dissatisfied",
HRData[[#This Row],[JobSatisfaction]]=3,"Satisfied",
HRData[[#This Row],[JobSatisfaction]]=4,"Very Satisfied"
)</f>
        <v>Very Satisfied</v>
      </c>
      <c r="V1337" t="s">
        <v>52</v>
      </c>
      <c r="W1337">
        <v>3902</v>
      </c>
      <c r="X1337" t="str" cm="1">
        <f t="array" ref="X1337">_xlfn.IFS(
HRData[[#This Row],[MonthlyIncome]]&lt;=4000,"Very Low Income",
HRData[[#This Row],[MonthlyIncome]]&lt;=8000,"Low Income",
HRData[[#This Row],[MonthlyIncome]]&lt;=12000,"Moderate Income",
HRData[[#This Row],[MonthlyIncome]]&lt;=16000,"High Income",
HRData[[#This Row],[MonthlyIncome]]&gt;16000,"Very High Income"
)</f>
        <v>Very Low Income</v>
      </c>
      <c r="Y1337">
        <v>5141</v>
      </c>
      <c r="Z1337">
        <v>8</v>
      </c>
      <c r="AA1337" t="s">
        <v>42</v>
      </c>
      <c r="AB1337" t="s">
        <v>43</v>
      </c>
      <c r="AC1337">
        <v>14</v>
      </c>
      <c r="AD1337" t="str" cm="1">
        <f t="array" ref="AD1337">_xlfn.IFS(HRData[[#This Row],[PercentSalaryHike]]&lt;=15,"11-15",HRData[[#This Row],[PercentSalaryHike]]&lt;=20,"16-20",HRData[[#This Row],[PercentSalaryHike]]&gt;=21,"21+")</f>
        <v>11-15</v>
      </c>
      <c r="AE1337">
        <v>3</v>
      </c>
      <c r="AF1337">
        <v>2</v>
      </c>
      <c r="AG1337">
        <v>80</v>
      </c>
      <c r="AH1337">
        <v>3</v>
      </c>
      <c r="AI1337">
        <v>7</v>
      </c>
      <c r="AJ1337">
        <v>2</v>
      </c>
      <c r="AK1337">
        <v>3</v>
      </c>
      <c r="AL1337">
        <v>2</v>
      </c>
      <c r="AM1337">
        <v>2</v>
      </c>
      <c r="AN1337">
        <v>2</v>
      </c>
      <c r="AO1337">
        <v>2</v>
      </c>
      <c r="AP133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37" t="str">
        <f>IF(HRData[[#This Row],[Attrition]]="Yes","Left", IF(HRData[[#This Row],[Attrition_Risk_Score]]&gt;=6,"High",IF(HRData[[#This Row],[Attrition_Risk_Score]]&gt;=3,"Medium","Low")))</f>
        <v>Low</v>
      </c>
      <c r="AR1337" t="str">
        <f>IF(HRData[[#This Row],[Attrition_Risk_Level]]&lt;&gt;"High","",HRData[[#This Row],[Attrition_Risk_Score]]*10000-HRData[[#This Row],[EmployeeNumber]])</f>
        <v/>
      </c>
    </row>
    <row r="1338" spans="1:44">
      <c r="A1338">
        <v>55</v>
      </c>
      <c r="B1338" t="str" cm="1">
        <f t="array" ref="B1338">_xlfn.IFS(
HRData[[#This Row],[Age]]&lt;=24,"18-24",
HRData[[#This Row],[Age]]&lt;=34,"25-34",
HRData[[#This Row],[Age]]&lt;=44,"35-44",
HRData[[#This Row],[Age]]&lt;=54,"45-54",
HRData[[#This Row],[Age]]&gt;=55,"55+"
)</f>
        <v>55+</v>
      </c>
      <c r="C1338" t="s">
        <v>43</v>
      </c>
      <c r="D1338">
        <f>IF(HRData[[#This Row],[Attrition]]="Yes",1,0)</f>
        <v>0</v>
      </c>
      <c r="E1338" t="s">
        <v>36</v>
      </c>
      <c r="F1338">
        <v>836</v>
      </c>
      <c r="G1338" t="s">
        <v>45</v>
      </c>
      <c r="H1338">
        <v>2</v>
      </c>
      <c r="I1338">
        <v>4</v>
      </c>
      <c r="J1338" t="s">
        <v>60</v>
      </c>
      <c r="K1338">
        <v>1</v>
      </c>
      <c r="L1338">
        <v>1873</v>
      </c>
      <c r="M1338">
        <v>2</v>
      </c>
      <c r="N1338" t="str" cm="1">
        <f t="array" ref="N1338">_xlfn.IFS(HRData[[#This Row],[EnvironmentSatisfaction]]=1,"Very Dissatisfied",
HRData[[#This Row],[EnvironmentSatisfaction]]=2,"Dissatisfied",
HRData[[#This Row],[EnvironmentSatisfaction]]=3,"Satisfied",
HRData[[#This Row],[EnvironmentSatisfaction]]=4,"Very Satisfied"
)</f>
        <v>Dissatisfied</v>
      </c>
      <c r="O1338" t="s">
        <v>46</v>
      </c>
      <c r="P1338">
        <v>98</v>
      </c>
      <c r="Q1338">
        <v>2</v>
      </c>
      <c r="R1338">
        <v>1</v>
      </c>
      <c r="S1338" t="s">
        <v>47</v>
      </c>
      <c r="T1338">
        <v>4</v>
      </c>
      <c r="U1338" t="str" cm="1">
        <f t="array" ref="U1338">_xlfn.IFS(
HRData[[#This Row],[JobSatisfaction]]=1,"Very Dissatisfied",
HRData[[#This Row],[JobSatisfaction]]=2,"Dissatisfied",
HRData[[#This Row],[JobSatisfaction]]=3,"Satisfied",
HRData[[#This Row],[JobSatisfaction]]=4,"Very Satisfied"
)</f>
        <v>Very Satisfied</v>
      </c>
      <c r="V1338" t="s">
        <v>48</v>
      </c>
      <c r="W1338">
        <v>2662</v>
      </c>
      <c r="X1338" t="str" cm="1">
        <f t="array" ref="X1338">_xlfn.IFS(
HRData[[#This Row],[MonthlyIncome]]&lt;=4000,"Very Low Income",
HRData[[#This Row],[MonthlyIncome]]&lt;=8000,"Low Income",
HRData[[#This Row],[MonthlyIncome]]&lt;=12000,"Moderate Income",
HRData[[#This Row],[MonthlyIncome]]&lt;=16000,"High Income",
HRData[[#This Row],[MonthlyIncome]]&gt;16000,"Very High Income"
)</f>
        <v>Very Low Income</v>
      </c>
      <c r="Y1338">
        <v>7975</v>
      </c>
      <c r="Z1338">
        <v>8</v>
      </c>
      <c r="AA1338" t="s">
        <v>42</v>
      </c>
      <c r="AB1338" t="s">
        <v>43</v>
      </c>
      <c r="AC1338">
        <v>20</v>
      </c>
      <c r="AD1338" t="str" cm="1">
        <f t="array" ref="AD1338">_xlfn.IFS(HRData[[#This Row],[PercentSalaryHike]]&lt;=15,"11-15",HRData[[#This Row],[PercentSalaryHike]]&lt;=20,"16-20",HRData[[#This Row],[PercentSalaryHike]]&gt;=21,"21+")</f>
        <v>16-20</v>
      </c>
      <c r="AE1338">
        <v>4</v>
      </c>
      <c r="AF1338">
        <v>2</v>
      </c>
      <c r="AG1338">
        <v>80</v>
      </c>
      <c r="AH1338">
        <v>1</v>
      </c>
      <c r="AI1338">
        <v>19</v>
      </c>
      <c r="AJ1338">
        <v>2</v>
      </c>
      <c r="AK1338">
        <v>4</v>
      </c>
      <c r="AL1338">
        <v>5</v>
      </c>
      <c r="AM1338">
        <v>2</v>
      </c>
      <c r="AN1338">
        <v>0</v>
      </c>
      <c r="AO1338">
        <v>4</v>
      </c>
      <c r="AP133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38" t="str">
        <f>IF(HRData[[#This Row],[Attrition]]="Yes","Left", IF(HRData[[#This Row],[Attrition_Risk_Score]]&gt;=6,"High",IF(HRData[[#This Row],[Attrition_Risk_Score]]&gt;=3,"Medium","Low")))</f>
        <v>Low</v>
      </c>
      <c r="AR1338" t="str">
        <f>IF(HRData[[#This Row],[Attrition_Risk_Level]]&lt;&gt;"High","",HRData[[#This Row],[Attrition_Risk_Score]]*10000-HRData[[#This Row],[EmployeeNumber]])</f>
        <v/>
      </c>
    </row>
    <row r="1339" spans="1:44">
      <c r="A1339">
        <v>28</v>
      </c>
      <c r="B1339" t="str" cm="1">
        <f t="array" ref="B1339">_xlfn.IFS(
HRData[[#This Row],[Age]]&lt;=24,"18-24",
HRData[[#This Row],[Age]]&lt;=34,"25-34",
HRData[[#This Row],[Age]]&lt;=44,"35-44",
HRData[[#This Row],[Age]]&lt;=54,"45-54",
HRData[[#This Row],[Age]]&gt;=55,"55+"
)</f>
        <v>25-34</v>
      </c>
      <c r="C1339" t="s">
        <v>43</v>
      </c>
      <c r="D1339">
        <f>IF(HRData[[#This Row],[Attrition]]="Yes",1,0)</f>
        <v>0</v>
      </c>
      <c r="E1339" t="s">
        <v>36</v>
      </c>
      <c r="F1339">
        <v>1172</v>
      </c>
      <c r="G1339" t="s">
        <v>37</v>
      </c>
      <c r="H1339">
        <v>3</v>
      </c>
      <c r="I1339">
        <v>3</v>
      </c>
      <c r="J1339" t="s">
        <v>51</v>
      </c>
      <c r="K1339">
        <v>1</v>
      </c>
      <c r="L1339">
        <v>1875</v>
      </c>
      <c r="M1339">
        <v>2</v>
      </c>
      <c r="N1339" t="str" cm="1">
        <f t="array" ref="N1339">_xlfn.IFS(HRData[[#This Row],[EnvironmentSatisfaction]]=1,"Very Dissatisfied",
HRData[[#This Row],[EnvironmentSatisfaction]]=2,"Dissatisfied",
HRData[[#This Row],[EnvironmentSatisfaction]]=3,"Satisfied",
HRData[[#This Row],[EnvironmentSatisfaction]]=4,"Very Satisfied"
)</f>
        <v>Dissatisfied</v>
      </c>
      <c r="O1339" t="s">
        <v>39</v>
      </c>
      <c r="P1339">
        <v>78</v>
      </c>
      <c r="Q1339">
        <v>3</v>
      </c>
      <c r="R1339">
        <v>1</v>
      </c>
      <c r="S1339" t="s">
        <v>57</v>
      </c>
      <c r="T1339">
        <v>2</v>
      </c>
      <c r="U1339" t="str" cm="1">
        <f t="array" ref="U1339">_xlfn.IFS(
HRData[[#This Row],[JobSatisfaction]]=1,"Very Dissatisfied",
HRData[[#This Row],[JobSatisfaction]]=2,"Dissatisfied",
HRData[[#This Row],[JobSatisfaction]]=3,"Satisfied",
HRData[[#This Row],[JobSatisfaction]]=4,"Very Satisfied"
)</f>
        <v>Dissatisfied</v>
      </c>
      <c r="V1339" t="s">
        <v>48</v>
      </c>
      <c r="W1339">
        <v>2856</v>
      </c>
      <c r="X1339" t="str" cm="1">
        <f t="array" ref="X1339">_xlfn.IFS(
HRData[[#This Row],[MonthlyIncome]]&lt;=4000,"Very Low Income",
HRData[[#This Row],[MonthlyIncome]]&lt;=8000,"Low Income",
HRData[[#This Row],[MonthlyIncome]]&lt;=12000,"Moderate Income",
HRData[[#This Row],[MonthlyIncome]]&lt;=16000,"High Income",
HRData[[#This Row],[MonthlyIncome]]&gt;16000,"Very High Income"
)</f>
        <v>Very Low Income</v>
      </c>
      <c r="Y1339">
        <v>3692</v>
      </c>
      <c r="Z1339">
        <v>1</v>
      </c>
      <c r="AA1339" t="s">
        <v>42</v>
      </c>
      <c r="AB1339" t="s">
        <v>43</v>
      </c>
      <c r="AC1339">
        <v>19</v>
      </c>
      <c r="AD1339" t="str" cm="1">
        <f t="array" ref="AD1339">_xlfn.IFS(HRData[[#This Row],[PercentSalaryHike]]&lt;=15,"11-15",HRData[[#This Row],[PercentSalaryHike]]&lt;=20,"16-20",HRData[[#This Row],[PercentSalaryHike]]&gt;=21,"21+")</f>
        <v>16-20</v>
      </c>
      <c r="AE1339">
        <v>3</v>
      </c>
      <c r="AF1339">
        <v>4</v>
      </c>
      <c r="AG1339">
        <v>80</v>
      </c>
      <c r="AH1339">
        <v>1</v>
      </c>
      <c r="AI1339">
        <v>1</v>
      </c>
      <c r="AJ1339">
        <v>3</v>
      </c>
      <c r="AK1339">
        <v>3</v>
      </c>
      <c r="AL1339">
        <v>1</v>
      </c>
      <c r="AM1339">
        <v>0</v>
      </c>
      <c r="AN1339">
        <v>0</v>
      </c>
      <c r="AO1339">
        <v>0</v>
      </c>
      <c r="AP133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339" t="str">
        <f>IF(HRData[[#This Row],[Attrition]]="Yes","Left", IF(HRData[[#This Row],[Attrition_Risk_Score]]&gt;=6,"High",IF(HRData[[#This Row],[Attrition_Risk_Score]]&gt;=3,"Medium","Low")))</f>
        <v>Medium</v>
      </c>
      <c r="AR1339" t="str">
        <f>IF(HRData[[#This Row],[Attrition_Risk_Level]]&lt;&gt;"High","",HRData[[#This Row],[Attrition_Risk_Score]]*10000-HRData[[#This Row],[EmployeeNumber]])</f>
        <v/>
      </c>
    </row>
    <row r="1340" spans="1:44">
      <c r="A1340">
        <v>30</v>
      </c>
      <c r="B1340" t="str" cm="1">
        <f t="array" ref="B1340">_xlfn.IFS(
HRData[[#This Row],[Age]]&lt;=24,"18-24",
HRData[[#This Row],[Age]]&lt;=34,"25-34",
HRData[[#This Row],[Age]]&lt;=44,"35-44",
HRData[[#This Row],[Age]]&lt;=54,"45-54",
HRData[[#This Row],[Age]]&gt;=55,"55+"
)</f>
        <v>25-34</v>
      </c>
      <c r="C1340" t="s">
        <v>35</v>
      </c>
      <c r="D1340">
        <f>IF(HRData[[#This Row],[Attrition]]="Yes",1,0)</f>
        <v>1</v>
      </c>
      <c r="E1340" t="s">
        <v>36</v>
      </c>
      <c r="F1340">
        <v>945</v>
      </c>
      <c r="G1340" t="s">
        <v>37</v>
      </c>
      <c r="H1340">
        <v>9</v>
      </c>
      <c r="I1340">
        <v>3</v>
      </c>
      <c r="J1340" t="s">
        <v>51</v>
      </c>
      <c r="K1340">
        <v>1</v>
      </c>
      <c r="L1340">
        <v>1876</v>
      </c>
      <c r="M1340">
        <v>2</v>
      </c>
      <c r="N1340" t="str" cm="1">
        <f t="array" ref="N1340">_xlfn.IFS(HRData[[#This Row],[EnvironmentSatisfaction]]=1,"Very Dissatisfied",
HRData[[#This Row],[EnvironmentSatisfaction]]=2,"Dissatisfied",
HRData[[#This Row],[EnvironmentSatisfaction]]=3,"Satisfied",
HRData[[#This Row],[EnvironmentSatisfaction]]=4,"Very Satisfied"
)</f>
        <v>Dissatisfied</v>
      </c>
      <c r="O1340" t="s">
        <v>46</v>
      </c>
      <c r="P1340">
        <v>89</v>
      </c>
      <c r="Q1340">
        <v>3</v>
      </c>
      <c r="R1340">
        <v>1</v>
      </c>
      <c r="S1340" t="s">
        <v>57</v>
      </c>
      <c r="T1340">
        <v>4</v>
      </c>
      <c r="U1340" t="str" cm="1">
        <f t="array" ref="U1340">_xlfn.IFS(
HRData[[#This Row],[JobSatisfaction]]=1,"Very Dissatisfied",
HRData[[#This Row],[JobSatisfaction]]=2,"Dissatisfied",
HRData[[#This Row],[JobSatisfaction]]=3,"Satisfied",
HRData[[#This Row],[JobSatisfaction]]=4,"Very Satisfied"
)</f>
        <v>Very Satisfied</v>
      </c>
      <c r="V1340" t="s">
        <v>41</v>
      </c>
      <c r="W1340">
        <v>1081</v>
      </c>
      <c r="X1340" t="str" cm="1">
        <f t="array" ref="X1340">_xlfn.IFS(
HRData[[#This Row],[MonthlyIncome]]&lt;=4000,"Very Low Income",
HRData[[#This Row],[MonthlyIncome]]&lt;=8000,"Low Income",
HRData[[#This Row],[MonthlyIncome]]&lt;=12000,"Moderate Income",
HRData[[#This Row],[MonthlyIncome]]&lt;=16000,"High Income",
HRData[[#This Row],[MonthlyIncome]]&gt;16000,"Very High Income"
)</f>
        <v>Very Low Income</v>
      </c>
      <c r="Y1340">
        <v>16019</v>
      </c>
      <c r="Z1340">
        <v>1</v>
      </c>
      <c r="AA1340" t="s">
        <v>42</v>
      </c>
      <c r="AB1340" t="s">
        <v>43</v>
      </c>
      <c r="AC1340">
        <v>13</v>
      </c>
      <c r="AD1340" t="str" cm="1">
        <f t="array" ref="AD1340">_xlfn.IFS(HRData[[#This Row],[PercentSalaryHike]]&lt;=15,"11-15",HRData[[#This Row],[PercentSalaryHike]]&lt;=20,"16-20",HRData[[#This Row],[PercentSalaryHike]]&gt;=21,"21+")</f>
        <v>11-15</v>
      </c>
      <c r="AE1340">
        <v>3</v>
      </c>
      <c r="AF1340">
        <v>3</v>
      </c>
      <c r="AG1340">
        <v>80</v>
      </c>
      <c r="AH1340">
        <v>0</v>
      </c>
      <c r="AI1340">
        <v>1</v>
      </c>
      <c r="AJ1340">
        <v>3</v>
      </c>
      <c r="AK1340">
        <v>2</v>
      </c>
      <c r="AL1340">
        <v>1</v>
      </c>
      <c r="AM1340">
        <v>0</v>
      </c>
      <c r="AN1340">
        <v>0</v>
      </c>
      <c r="AO1340">
        <v>0</v>
      </c>
      <c r="AP134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40" t="str">
        <f>IF(HRData[[#This Row],[Attrition]]="Yes","Left", IF(HRData[[#This Row],[Attrition_Risk_Score]]&gt;=6,"High",IF(HRData[[#This Row],[Attrition_Risk_Score]]&gt;=3,"Medium","Low")))</f>
        <v>Left</v>
      </c>
      <c r="AR1340" t="str">
        <f>IF(HRData[[#This Row],[Attrition_Risk_Level]]&lt;&gt;"High","",HRData[[#This Row],[Attrition_Risk_Score]]*10000-HRData[[#This Row],[EmployeeNumber]])</f>
        <v/>
      </c>
    </row>
    <row r="1341" spans="1:44">
      <c r="A1341">
        <v>22</v>
      </c>
      <c r="B1341" t="str" cm="1">
        <f t="array" ref="B1341">_xlfn.IFS(
HRData[[#This Row],[Age]]&lt;=24,"18-24",
HRData[[#This Row],[Age]]&lt;=34,"25-34",
HRData[[#This Row],[Age]]&lt;=44,"35-44",
HRData[[#This Row],[Age]]&lt;=54,"45-54",
HRData[[#This Row],[Age]]&gt;=55,"55+"
)</f>
        <v>18-24</v>
      </c>
      <c r="C1341" t="s">
        <v>35</v>
      </c>
      <c r="D1341">
        <f>IF(HRData[[#This Row],[Attrition]]="Yes",1,0)</f>
        <v>1</v>
      </c>
      <c r="E1341" t="s">
        <v>36</v>
      </c>
      <c r="F1341">
        <v>391</v>
      </c>
      <c r="G1341" t="s">
        <v>45</v>
      </c>
      <c r="H1341">
        <v>7</v>
      </c>
      <c r="I1341">
        <v>1</v>
      </c>
      <c r="J1341" t="s">
        <v>38</v>
      </c>
      <c r="K1341">
        <v>1</v>
      </c>
      <c r="L1341">
        <v>1878</v>
      </c>
      <c r="M1341">
        <v>4</v>
      </c>
      <c r="N1341" t="str" cm="1">
        <f t="array" ref="N1341">_xlfn.IFS(HRData[[#This Row],[EnvironmentSatisfaction]]=1,"Very Dissatisfied",
HRData[[#This Row],[EnvironmentSatisfaction]]=2,"Dissatisfied",
HRData[[#This Row],[EnvironmentSatisfaction]]=3,"Satisfied",
HRData[[#This Row],[EnvironmentSatisfaction]]=4,"Very Satisfied"
)</f>
        <v>Very Satisfied</v>
      </c>
      <c r="O1341" t="s">
        <v>46</v>
      </c>
      <c r="P1341">
        <v>75</v>
      </c>
      <c r="Q1341">
        <v>3</v>
      </c>
      <c r="R1341">
        <v>1</v>
      </c>
      <c r="S1341" t="s">
        <v>47</v>
      </c>
      <c r="T1341">
        <v>2</v>
      </c>
      <c r="U1341" t="str" cm="1">
        <f t="array" ref="U1341">_xlfn.IFS(
HRData[[#This Row],[JobSatisfaction]]=1,"Very Dissatisfied",
HRData[[#This Row],[JobSatisfaction]]=2,"Dissatisfied",
HRData[[#This Row],[JobSatisfaction]]=3,"Satisfied",
HRData[[#This Row],[JobSatisfaction]]=4,"Very Satisfied"
)</f>
        <v>Dissatisfied</v>
      </c>
      <c r="V1341" t="s">
        <v>41</v>
      </c>
      <c r="W1341">
        <v>2472</v>
      </c>
      <c r="X1341" t="str" cm="1">
        <f t="array" ref="X1341">_xlfn.IFS(
HRData[[#This Row],[MonthlyIncome]]&lt;=4000,"Very Low Income",
HRData[[#This Row],[MonthlyIncome]]&lt;=8000,"Low Income",
HRData[[#This Row],[MonthlyIncome]]&lt;=12000,"Moderate Income",
HRData[[#This Row],[MonthlyIncome]]&lt;=16000,"High Income",
HRData[[#This Row],[MonthlyIncome]]&gt;16000,"Very High Income"
)</f>
        <v>Very Low Income</v>
      </c>
      <c r="Y1341">
        <v>26092</v>
      </c>
      <c r="Z1341">
        <v>1</v>
      </c>
      <c r="AA1341" t="s">
        <v>42</v>
      </c>
      <c r="AB1341" t="s">
        <v>35</v>
      </c>
      <c r="AC1341">
        <v>23</v>
      </c>
      <c r="AD1341" t="str" cm="1">
        <f t="array" ref="AD1341">_xlfn.IFS(HRData[[#This Row],[PercentSalaryHike]]&lt;=15,"11-15",HRData[[#This Row],[PercentSalaryHike]]&lt;=20,"16-20",HRData[[#This Row],[PercentSalaryHike]]&gt;=21,"21+")</f>
        <v>21+</v>
      </c>
      <c r="AE1341">
        <v>4</v>
      </c>
      <c r="AF1341">
        <v>1</v>
      </c>
      <c r="AG1341">
        <v>80</v>
      </c>
      <c r="AH1341">
        <v>0</v>
      </c>
      <c r="AI1341">
        <v>1</v>
      </c>
      <c r="AJ1341">
        <v>2</v>
      </c>
      <c r="AK1341">
        <v>3</v>
      </c>
      <c r="AL1341">
        <v>1</v>
      </c>
      <c r="AM1341">
        <v>0</v>
      </c>
      <c r="AN1341">
        <v>0</v>
      </c>
      <c r="AO1341">
        <v>0</v>
      </c>
      <c r="AP134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41" t="str">
        <f>IF(HRData[[#This Row],[Attrition]]="Yes","Left", IF(HRData[[#This Row],[Attrition_Risk_Score]]&gt;=6,"High",IF(HRData[[#This Row],[Attrition_Risk_Score]]&gt;=3,"Medium","Low")))</f>
        <v>Left</v>
      </c>
      <c r="AR1341" t="str">
        <f>IF(HRData[[#This Row],[Attrition_Risk_Level]]&lt;&gt;"High","",HRData[[#This Row],[Attrition_Risk_Score]]*10000-HRData[[#This Row],[EmployeeNumber]])</f>
        <v/>
      </c>
    </row>
    <row r="1342" spans="1:44">
      <c r="A1342">
        <v>36</v>
      </c>
      <c r="B1342" t="str" cm="1">
        <f t="array" ref="B1342">_xlfn.IFS(
HRData[[#This Row],[Age]]&lt;=24,"18-24",
HRData[[#This Row],[Age]]&lt;=34,"25-34",
HRData[[#This Row],[Age]]&lt;=44,"35-44",
HRData[[#This Row],[Age]]&lt;=54,"45-54",
HRData[[#This Row],[Age]]&gt;=55,"55+"
)</f>
        <v>35-44</v>
      </c>
      <c r="C1342" t="s">
        <v>43</v>
      </c>
      <c r="D1342">
        <f>IF(HRData[[#This Row],[Attrition]]="Yes",1,0)</f>
        <v>0</v>
      </c>
      <c r="E1342" t="s">
        <v>36</v>
      </c>
      <c r="F1342">
        <v>1266</v>
      </c>
      <c r="G1342" t="s">
        <v>37</v>
      </c>
      <c r="H1342">
        <v>10</v>
      </c>
      <c r="I1342">
        <v>4</v>
      </c>
      <c r="J1342" t="s">
        <v>60</v>
      </c>
      <c r="K1342">
        <v>1</v>
      </c>
      <c r="L1342">
        <v>1880</v>
      </c>
      <c r="M1342">
        <v>2</v>
      </c>
      <c r="N1342" t="str" cm="1">
        <f t="array" ref="N1342">_xlfn.IFS(HRData[[#This Row],[EnvironmentSatisfaction]]=1,"Very Dissatisfied",
HRData[[#This Row],[EnvironmentSatisfaction]]=2,"Dissatisfied",
HRData[[#This Row],[EnvironmentSatisfaction]]=3,"Satisfied",
HRData[[#This Row],[EnvironmentSatisfaction]]=4,"Very Satisfied"
)</f>
        <v>Dissatisfied</v>
      </c>
      <c r="O1342" t="s">
        <v>39</v>
      </c>
      <c r="P1342">
        <v>63</v>
      </c>
      <c r="Q1342">
        <v>2</v>
      </c>
      <c r="R1342">
        <v>2</v>
      </c>
      <c r="S1342" t="s">
        <v>40</v>
      </c>
      <c r="T1342">
        <v>3</v>
      </c>
      <c r="U1342" t="str" cm="1">
        <f t="array" ref="U1342">_xlfn.IFS(
HRData[[#This Row],[JobSatisfaction]]=1,"Very Dissatisfied",
HRData[[#This Row],[JobSatisfaction]]=2,"Dissatisfied",
HRData[[#This Row],[JobSatisfaction]]=3,"Satisfied",
HRData[[#This Row],[JobSatisfaction]]=4,"Very Satisfied"
)</f>
        <v>Satisfied</v>
      </c>
      <c r="V1342" t="s">
        <v>48</v>
      </c>
      <c r="W1342">
        <v>5673</v>
      </c>
      <c r="X1342" t="str" cm="1">
        <f t="array" ref="X1342">_xlfn.IFS(
HRData[[#This Row],[MonthlyIncome]]&lt;=4000,"Very Low Income",
HRData[[#This Row],[MonthlyIncome]]&lt;=8000,"Low Income",
HRData[[#This Row],[MonthlyIncome]]&lt;=12000,"Moderate Income",
HRData[[#This Row],[MonthlyIncome]]&lt;=16000,"High Income",
HRData[[#This Row],[MonthlyIncome]]&gt;16000,"Very High Income"
)</f>
        <v>Low Income</v>
      </c>
      <c r="Y1342">
        <v>6060</v>
      </c>
      <c r="Z1342">
        <v>1</v>
      </c>
      <c r="AA1342" t="s">
        <v>42</v>
      </c>
      <c r="AB1342" t="s">
        <v>35</v>
      </c>
      <c r="AC1342">
        <v>13</v>
      </c>
      <c r="AD1342" t="str" cm="1">
        <f t="array" ref="AD1342">_xlfn.IFS(HRData[[#This Row],[PercentSalaryHike]]&lt;=15,"11-15",HRData[[#This Row],[PercentSalaryHike]]&lt;=20,"16-20",HRData[[#This Row],[PercentSalaryHike]]&gt;=21,"21+")</f>
        <v>11-15</v>
      </c>
      <c r="AE1342">
        <v>3</v>
      </c>
      <c r="AF1342">
        <v>1</v>
      </c>
      <c r="AG1342">
        <v>80</v>
      </c>
      <c r="AH1342">
        <v>1</v>
      </c>
      <c r="AI1342">
        <v>10</v>
      </c>
      <c r="AJ1342">
        <v>4</v>
      </c>
      <c r="AK1342">
        <v>3</v>
      </c>
      <c r="AL1342">
        <v>10</v>
      </c>
      <c r="AM1342">
        <v>9</v>
      </c>
      <c r="AN1342">
        <v>1</v>
      </c>
      <c r="AO1342">
        <v>7</v>
      </c>
      <c r="AP134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42" t="str">
        <f>IF(HRData[[#This Row],[Attrition]]="Yes","Left", IF(HRData[[#This Row],[Attrition_Risk_Score]]&gt;=6,"High",IF(HRData[[#This Row],[Attrition_Risk_Score]]&gt;=3,"Medium","Low")))</f>
        <v>Medium</v>
      </c>
      <c r="AR1342" t="str">
        <f>IF(HRData[[#This Row],[Attrition_Risk_Level]]&lt;&gt;"High","",HRData[[#This Row],[Attrition_Risk_Score]]*10000-HRData[[#This Row],[EmployeeNumber]])</f>
        <v/>
      </c>
    </row>
    <row r="1343" spans="1:44">
      <c r="A1343">
        <v>31</v>
      </c>
      <c r="B1343" t="str" cm="1">
        <f t="array" ref="B1343">_xlfn.IFS(
HRData[[#This Row],[Age]]&lt;=24,"18-24",
HRData[[#This Row],[Age]]&lt;=34,"25-34",
HRData[[#This Row],[Age]]&lt;=44,"35-44",
HRData[[#This Row],[Age]]&lt;=54,"45-54",
HRData[[#This Row],[Age]]&gt;=55,"55+"
)</f>
        <v>25-34</v>
      </c>
      <c r="C1343" t="s">
        <v>43</v>
      </c>
      <c r="D1343">
        <f>IF(HRData[[#This Row],[Attrition]]="Yes",1,0)</f>
        <v>0</v>
      </c>
      <c r="E1343" t="s">
        <v>36</v>
      </c>
      <c r="F1343">
        <v>311</v>
      </c>
      <c r="G1343" t="s">
        <v>45</v>
      </c>
      <c r="H1343">
        <v>20</v>
      </c>
      <c r="I1343">
        <v>3</v>
      </c>
      <c r="J1343" t="s">
        <v>38</v>
      </c>
      <c r="K1343">
        <v>1</v>
      </c>
      <c r="L1343">
        <v>1881</v>
      </c>
      <c r="M1343">
        <v>2</v>
      </c>
      <c r="N1343" t="str" cm="1">
        <f t="array" ref="N1343">_xlfn.IFS(HRData[[#This Row],[EnvironmentSatisfaction]]=1,"Very Dissatisfied",
HRData[[#This Row],[EnvironmentSatisfaction]]=2,"Dissatisfied",
HRData[[#This Row],[EnvironmentSatisfaction]]=3,"Satisfied",
HRData[[#This Row],[EnvironmentSatisfaction]]=4,"Very Satisfied"
)</f>
        <v>Dissatisfied</v>
      </c>
      <c r="O1343" t="s">
        <v>46</v>
      </c>
      <c r="P1343">
        <v>89</v>
      </c>
      <c r="Q1343">
        <v>3</v>
      </c>
      <c r="R1343">
        <v>2</v>
      </c>
      <c r="S1343" t="s">
        <v>50</v>
      </c>
      <c r="T1343">
        <v>3</v>
      </c>
      <c r="U1343" t="str" cm="1">
        <f t="array" ref="U1343">_xlfn.IFS(
HRData[[#This Row],[JobSatisfaction]]=1,"Very Dissatisfied",
HRData[[#This Row],[JobSatisfaction]]=2,"Dissatisfied",
HRData[[#This Row],[JobSatisfaction]]=3,"Satisfied",
HRData[[#This Row],[JobSatisfaction]]=4,"Very Satisfied"
)</f>
        <v>Satisfied</v>
      </c>
      <c r="V1343" t="s">
        <v>52</v>
      </c>
      <c r="W1343">
        <v>4197</v>
      </c>
      <c r="X1343" t="str" cm="1">
        <f t="array" ref="X1343">_xlfn.IFS(
HRData[[#This Row],[MonthlyIncome]]&lt;=4000,"Very Low Income",
HRData[[#This Row],[MonthlyIncome]]&lt;=8000,"Low Income",
HRData[[#This Row],[MonthlyIncome]]&lt;=12000,"Moderate Income",
HRData[[#This Row],[MonthlyIncome]]&lt;=16000,"High Income",
HRData[[#This Row],[MonthlyIncome]]&gt;16000,"Very High Income"
)</f>
        <v>Low Income</v>
      </c>
      <c r="Y1343">
        <v>18624</v>
      </c>
      <c r="Z1343">
        <v>1</v>
      </c>
      <c r="AA1343" t="s">
        <v>42</v>
      </c>
      <c r="AB1343" t="s">
        <v>43</v>
      </c>
      <c r="AC1343">
        <v>11</v>
      </c>
      <c r="AD1343" t="str" cm="1">
        <f t="array" ref="AD1343">_xlfn.IFS(HRData[[#This Row],[PercentSalaryHike]]&lt;=15,"11-15",HRData[[#This Row],[PercentSalaryHike]]&lt;=20,"16-20",HRData[[#This Row],[PercentSalaryHike]]&gt;=21,"21+")</f>
        <v>11-15</v>
      </c>
      <c r="AE1343">
        <v>3</v>
      </c>
      <c r="AF1343">
        <v>1</v>
      </c>
      <c r="AG1343">
        <v>80</v>
      </c>
      <c r="AH1343">
        <v>1</v>
      </c>
      <c r="AI1343">
        <v>10</v>
      </c>
      <c r="AJ1343">
        <v>2</v>
      </c>
      <c r="AK1343">
        <v>3</v>
      </c>
      <c r="AL1343">
        <v>10</v>
      </c>
      <c r="AM1343">
        <v>8</v>
      </c>
      <c r="AN1343">
        <v>0</v>
      </c>
      <c r="AO1343">
        <v>2</v>
      </c>
      <c r="AP134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43" t="str">
        <f>IF(HRData[[#This Row],[Attrition]]="Yes","Left", IF(HRData[[#This Row],[Attrition_Risk_Score]]&gt;=6,"High",IF(HRData[[#This Row],[Attrition_Risk_Score]]&gt;=3,"Medium","Low")))</f>
        <v>Medium</v>
      </c>
      <c r="AR1343" t="str">
        <f>IF(HRData[[#This Row],[Attrition_Risk_Level]]&lt;&gt;"High","",HRData[[#This Row],[Attrition_Risk_Score]]*10000-HRData[[#This Row],[EmployeeNumber]])</f>
        <v/>
      </c>
    </row>
    <row r="1344" spans="1:44">
      <c r="A1344">
        <v>34</v>
      </c>
      <c r="B1344" t="str" cm="1">
        <f t="array" ref="B1344">_xlfn.IFS(
HRData[[#This Row],[Age]]&lt;=24,"18-24",
HRData[[#This Row],[Age]]&lt;=34,"25-34",
HRData[[#This Row],[Age]]&lt;=44,"35-44",
HRData[[#This Row],[Age]]&lt;=54,"45-54",
HRData[[#This Row],[Age]]&gt;=55,"55+"
)</f>
        <v>25-34</v>
      </c>
      <c r="C1344" t="s">
        <v>43</v>
      </c>
      <c r="D1344">
        <f>IF(HRData[[#This Row],[Attrition]]="Yes",1,0)</f>
        <v>0</v>
      </c>
      <c r="E1344" t="s">
        <v>36</v>
      </c>
      <c r="F1344">
        <v>1480</v>
      </c>
      <c r="G1344" t="s">
        <v>37</v>
      </c>
      <c r="H1344">
        <v>4</v>
      </c>
      <c r="I1344">
        <v>3</v>
      </c>
      <c r="J1344" t="s">
        <v>38</v>
      </c>
      <c r="K1344">
        <v>1</v>
      </c>
      <c r="L1344">
        <v>1882</v>
      </c>
      <c r="M1344">
        <v>3</v>
      </c>
      <c r="N1344" t="str" cm="1">
        <f t="array" ref="N1344">_xlfn.IFS(HRData[[#This Row],[EnvironmentSatisfaction]]=1,"Very Dissatisfied",
HRData[[#This Row],[EnvironmentSatisfaction]]=2,"Dissatisfied",
HRData[[#This Row],[EnvironmentSatisfaction]]=3,"Satisfied",
HRData[[#This Row],[EnvironmentSatisfaction]]=4,"Very Satisfied"
)</f>
        <v>Satisfied</v>
      </c>
      <c r="O1344" t="s">
        <v>46</v>
      </c>
      <c r="P1344">
        <v>64</v>
      </c>
      <c r="Q1344">
        <v>3</v>
      </c>
      <c r="R1344">
        <v>3</v>
      </c>
      <c r="S1344" t="s">
        <v>40</v>
      </c>
      <c r="T1344">
        <v>4</v>
      </c>
      <c r="U1344" t="str" cm="1">
        <f t="array" ref="U1344">_xlfn.IFS(
HRData[[#This Row],[JobSatisfaction]]=1,"Very Dissatisfied",
HRData[[#This Row],[JobSatisfaction]]=2,"Dissatisfied",
HRData[[#This Row],[JobSatisfaction]]=3,"Satisfied",
HRData[[#This Row],[JobSatisfaction]]=4,"Very Satisfied"
)</f>
        <v>Very Satisfied</v>
      </c>
      <c r="V1344" t="s">
        <v>48</v>
      </c>
      <c r="W1344">
        <v>9713</v>
      </c>
      <c r="X1344" t="str" cm="1">
        <f t="array" ref="X1344">_xlfn.IFS(
HRData[[#This Row],[MonthlyIncome]]&lt;=4000,"Very Low Income",
HRData[[#This Row],[MonthlyIncome]]&lt;=8000,"Low Income",
HRData[[#This Row],[MonthlyIncome]]&lt;=12000,"Moderate Income",
HRData[[#This Row],[MonthlyIncome]]&lt;=16000,"High Income",
HRData[[#This Row],[MonthlyIncome]]&gt;16000,"Very High Income"
)</f>
        <v>Moderate Income</v>
      </c>
      <c r="Y1344">
        <v>24444</v>
      </c>
      <c r="Z1344">
        <v>2</v>
      </c>
      <c r="AA1344" t="s">
        <v>42</v>
      </c>
      <c r="AB1344" t="s">
        <v>35</v>
      </c>
      <c r="AC1344">
        <v>13</v>
      </c>
      <c r="AD1344" t="str" cm="1">
        <f t="array" ref="AD1344">_xlfn.IFS(HRData[[#This Row],[PercentSalaryHike]]&lt;=15,"11-15",HRData[[#This Row],[PercentSalaryHike]]&lt;=20,"16-20",HRData[[#This Row],[PercentSalaryHike]]&gt;=21,"21+")</f>
        <v>11-15</v>
      </c>
      <c r="AE1344">
        <v>3</v>
      </c>
      <c r="AF1344">
        <v>4</v>
      </c>
      <c r="AG1344">
        <v>80</v>
      </c>
      <c r="AH1344">
        <v>3</v>
      </c>
      <c r="AI1344">
        <v>9</v>
      </c>
      <c r="AJ1344">
        <v>3</v>
      </c>
      <c r="AK1344">
        <v>3</v>
      </c>
      <c r="AL1344">
        <v>5</v>
      </c>
      <c r="AM1344">
        <v>3</v>
      </c>
      <c r="AN1344">
        <v>1</v>
      </c>
      <c r="AO1344">
        <v>0</v>
      </c>
      <c r="AP134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44" t="str">
        <f>IF(HRData[[#This Row],[Attrition]]="Yes","Left", IF(HRData[[#This Row],[Attrition_Risk_Score]]&gt;=6,"High",IF(HRData[[#This Row],[Attrition_Risk_Score]]&gt;=3,"Medium","Low")))</f>
        <v>Medium</v>
      </c>
      <c r="AR1344" t="str">
        <f>IF(HRData[[#This Row],[Attrition_Risk_Level]]&lt;&gt;"High","",HRData[[#This Row],[Attrition_Risk_Score]]*10000-HRData[[#This Row],[EmployeeNumber]])</f>
        <v/>
      </c>
    </row>
    <row r="1345" spans="1:44">
      <c r="A1345">
        <v>29</v>
      </c>
      <c r="B1345" t="str" cm="1">
        <f t="array" ref="B1345">_xlfn.IFS(
HRData[[#This Row],[Age]]&lt;=24,"18-24",
HRData[[#This Row],[Age]]&lt;=34,"25-34",
HRData[[#This Row],[Age]]&lt;=44,"35-44",
HRData[[#This Row],[Age]]&lt;=54,"45-54",
HRData[[#This Row],[Age]]&gt;=55,"55+"
)</f>
        <v>25-34</v>
      </c>
      <c r="C1345" t="s">
        <v>43</v>
      </c>
      <c r="D1345">
        <f>IF(HRData[[#This Row],[Attrition]]="Yes",1,0)</f>
        <v>0</v>
      </c>
      <c r="E1345" t="s">
        <v>36</v>
      </c>
      <c r="F1345">
        <v>592</v>
      </c>
      <c r="G1345" t="s">
        <v>45</v>
      </c>
      <c r="H1345">
        <v>7</v>
      </c>
      <c r="I1345">
        <v>3</v>
      </c>
      <c r="J1345" t="s">
        <v>38</v>
      </c>
      <c r="K1345">
        <v>1</v>
      </c>
      <c r="L1345">
        <v>1883</v>
      </c>
      <c r="M1345">
        <v>4</v>
      </c>
      <c r="N1345" t="str" cm="1">
        <f t="array" ref="N1345">_xlfn.IFS(HRData[[#This Row],[EnvironmentSatisfaction]]=1,"Very Dissatisfied",
HRData[[#This Row],[EnvironmentSatisfaction]]=2,"Dissatisfied",
HRData[[#This Row],[EnvironmentSatisfaction]]=3,"Satisfied",
HRData[[#This Row],[EnvironmentSatisfaction]]=4,"Very Satisfied"
)</f>
        <v>Very Satisfied</v>
      </c>
      <c r="O1345" t="s">
        <v>46</v>
      </c>
      <c r="P1345">
        <v>59</v>
      </c>
      <c r="Q1345">
        <v>3</v>
      </c>
      <c r="R1345">
        <v>1</v>
      </c>
      <c r="S1345" t="s">
        <v>50</v>
      </c>
      <c r="T1345">
        <v>1</v>
      </c>
      <c r="U1345" t="str" cm="1">
        <f t="array" ref="U1345">_xlfn.IFS(
HRData[[#This Row],[JobSatisfaction]]=1,"Very Dissatisfied",
HRData[[#This Row],[JobSatisfaction]]=2,"Dissatisfied",
HRData[[#This Row],[JobSatisfaction]]=3,"Satisfied",
HRData[[#This Row],[JobSatisfaction]]=4,"Very Satisfied"
)</f>
        <v>Very Dissatisfied</v>
      </c>
      <c r="V1345" t="s">
        <v>41</v>
      </c>
      <c r="W1345">
        <v>2062</v>
      </c>
      <c r="X1345" t="str" cm="1">
        <f t="array" ref="X1345">_xlfn.IFS(
HRData[[#This Row],[MonthlyIncome]]&lt;=4000,"Very Low Income",
HRData[[#This Row],[MonthlyIncome]]&lt;=8000,"Low Income",
HRData[[#This Row],[MonthlyIncome]]&lt;=12000,"Moderate Income",
HRData[[#This Row],[MonthlyIncome]]&lt;=16000,"High Income",
HRData[[#This Row],[MonthlyIncome]]&gt;16000,"Very High Income"
)</f>
        <v>Very Low Income</v>
      </c>
      <c r="Y1345">
        <v>19384</v>
      </c>
      <c r="Z1345">
        <v>3</v>
      </c>
      <c r="AA1345" t="s">
        <v>42</v>
      </c>
      <c r="AB1345" t="s">
        <v>43</v>
      </c>
      <c r="AC1345">
        <v>14</v>
      </c>
      <c r="AD1345" t="str" cm="1">
        <f t="array" ref="AD1345">_xlfn.IFS(HRData[[#This Row],[PercentSalaryHike]]&lt;=15,"11-15",HRData[[#This Row],[PercentSalaryHike]]&lt;=20,"16-20",HRData[[#This Row],[PercentSalaryHike]]&gt;=21,"21+")</f>
        <v>11-15</v>
      </c>
      <c r="AE1345">
        <v>3</v>
      </c>
      <c r="AF1345">
        <v>2</v>
      </c>
      <c r="AG1345">
        <v>80</v>
      </c>
      <c r="AH1345">
        <v>0</v>
      </c>
      <c r="AI1345">
        <v>11</v>
      </c>
      <c r="AJ1345">
        <v>2</v>
      </c>
      <c r="AK1345">
        <v>3</v>
      </c>
      <c r="AL1345">
        <v>3</v>
      </c>
      <c r="AM1345">
        <v>2</v>
      </c>
      <c r="AN1345">
        <v>1</v>
      </c>
      <c r="AO1345">
        <v>2</v>
      </c>
      <c r="AP134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345" t="str">
        <f>IF(HRData[[#This Row],[Attrition]]="Yes","Left", IF(HRData[[#This Row],[Attrition_Risk_Score]]&gt;=6,"High",IF(HRData[[#This Row],[Attrition_Risk_Score]]&gt;=3,"Medium","Low")))</f>
        <v>High</v>
      </c>
      <c r="AR1345">
        <f>IF(HRData[[#This Row],[Attrition_Risk_Level]]&lt;&gt;"High","",HRData[[#This Row],[Attrition_Risk_Score]]*10000-HRData[[#This Row],[EmployeeNumber]])</f>
        <v>58117</v>
      </c>
    </row>
    <row r="1346" spans="1:44">
      <c r="A1346">
        <v>37</v>
      </c>
      <c r="B1346" t="str" cm="1">
        <f t="array" ref="B1346">_xlfn.IFS(
HRData[[#This Row],[Age]]&lt;=24,"18-24",
HRData[[#This Row],[Age]]&lt;=34,"25-34",
HRData[[#This Row],[Age]]&lt;=44,"35-44",
HRData[[#This Row],[Age]]&lt;=54,"45-54",
HRData[[#This Row],[Age]]&gt;=55,"55+"
)</f>
        <v>35-44</v>
      </c>
      <c r="C1346" t="s">
        <v>43</v>
      </c>
      <c r="D1346">
        <f>IF(HRData[[#This Row],[Attrition]]="Yes",1,0)</f>
        <v>0</v>
      </c>
      <c r="E1346" t="s">
        <v>36</v>
      </c>
      <c r="F1346">
        <v>783</v>
      </c>
      <c r="G1346" t="s">
        <v>45</v>
      </c>
      <c r="H1346">
        <v>7</v>
      </c>
      <c r="I1346">
        <v>4</v>
      </c>
      <c r="J1346" t="s">
        <v>51</v>
      </c>
      <c r="K1346">
        <v>1</v>
      </c>
      <c r="L1346">
        <v>1885</v>
      </c>
      <c r="M1346">
        <v>4</v>
      </c>
      <c r="N1346" t="str" cm="1">
        <f t="array" ref="N1346">_xlfn.IFS(HRData[[#This Row],[EnvironmentSatisfaction]]=1,"Very Dissatisfied",
HRData[[#This Row],[EnvironmentSatisfaction]]=2,"Dissatisfied",
HRData[[#This Row],[EnvironmentSatisfaction]]=3,"Satisfied",
HRData[[#This Row],[EnvironmentSatisfaction]]=4,"Very Satisfied"
)</f>
        <v>Very Satisfied</v>
      </c>
      <c r="O1346" t="s">
        <v>46</v>
      </c>
      <c r="P1346">
        <v>78</v>
      </c>
      <c r="Q1346">
        <v>3</v>
      </c>
      <c r="R1346">
        <v>2</v>
      </c>
      <c r="S1346" t="s">
        <v>47</v>
      </c>
      <c r="T1346">
        <v>1</v>
      </c>
      <c r="U1346" t="str" cm="1">
        <f t="array" ref="U1346">_xlfn.IFS(
HRData[[#This Row],[JobSatisfaction]]=1,"Very Dissatisfied",
HRData[[#This Row],[JobSatisfaction]]=2,"Dissatisfied",
HRData[[#This Row],[JobSatisfaction]]=3,"Satisfied",
HRData[[#This Row],[JobSatisfaction]]=4,"Very Satisfied"
)</f>
        <v>Very Dissatisfied</v>
      </c>
      <c r="V1346" t="s">
        <v>48</v>
      </c>
      <c r="W1346">
        <v>4284</v>
      </c>
      <c r="X1346" t="str" cm="1">
        <f t="array" ref="X1346">_xlfn.IFS(
HRData[[#This Row],[MonthlyIncome]]&lt;=4000,"Very Low Income",
HRData[[#This Row],[MonthlyIncome]]&lt;=8000,"Low Income",
HRData[[#This Row],[MonthlyIncome]]&lt;=12000,"Moderate Income",
HRData[[#This Row],[MonthlyIncome]]&lt;=16000,"High Income",
HRData[[#This Row],[MonthlyIncome]]&gt;16000,"Very High Income"
)</f>
        <v>Low Income</v>
      </c>
      <c r="Y1346">
        <v>13588</v>
      </c>
      <c r="Z1346">
        <v>5</v>
      </c>
      <c r="AA1346" t="s">
        <v>42</v>
      </c>
      <c r="AB1346" t="s">
        <v>35</v>
      </c>
      <c r="AC1346">
        <v>22</v>
      </c>
      <c r="AD1346" t="str" cm="1">
        <f t="array" ref="AD1346">_xlfn.IFS(HRData[[#This Row],[PercentSalaryHike]]&lt;=15,"11-15",HRData[[#This Row],[PercentSalaryHike]]&lt;=20,"16-20",HRData[[#This Row],[PercentSalaryHike]]&gt;=21,"21+")</f>
        <v>21+</v>
      </c>
      <c r="AE1346">
        <v>4</v>
      </c>
      <c r="AF1346">
        <v>3</v>
      </c>
      <c r="AG1346">
        <v>80</v>
      </c>
      <c r="AH1346">
        <v>1</v>
      </c>
      <c r="AI1346">
        <v>16</v>
      </c>
      <c r="AJ1346">
        <v>2</v>
      </c>
      <c r="AK1346">
        <v>3</v>
      </c>
      <c r="AL1346">
        <v>5</v>
      </c>
      <c r="AM1346">
        <v>3</v>
      </c>
      <c r="AN1346">
        <v>0</v>
      </c>
      <c r="AO1346">
        <v>4</v>
      </c>
      <c r="AP134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346" t="str">
        <f>IF(HRData[[#This Row],[Attrition]]="Yes","Left", IF(HRData[[#This Row],[Attrition_Risk_Score]]&gt;=6,"High",IF(HRData[[#This Row],[Attrition_Risk_Score]]&gt;=3,"Medium","Low")))</f>
        <v>Medium</v>
      </c>
      <c r="AR1346" t="str">
        <f>IF(HRData[[#This Row],[Attrition_Risk_Level]]&lt;&gt;"High","",HRData[[#This Row],[Attrition_Risk_Score]]*10000-HRData[[#This Row],[EmployeeNumber]])</f>
        <v/>
      </c>
    </row>
    <row r="1347" spans="1:44">
      <c r="A1347">
        <v>35</v>
      </c>
      <c r="B1347" t="str" cm="1">
        <f t="array" ref="B1347">_xlfn.IFS(
HRData[[#This Row],[Age]]&lt;=24,"18-24",
HRData[[#This Row],[Age]]&lt;=34,"25-34",
HRData[[#This Row],[Age]]&lt;=44,"35-44",
HRData[[#This Row],[Age]]&lt;=54,"45-54",
HRData[[#This Row],[Age]]&gt;=55,"55+"
)</f>
        <v>35-44</v>
      </c>
      <c r="C1347" t="s">
        <v>43</v>
      </c>
      <c r="D1347">
        <f>IF(HRData[[#This Row],[Attrition]]="Yes",1,0)</f>
        <v>0</v>
      </c>
      <c r="E1347" t="s">
        <v>36</v>
      </c>
      <c r="F1347">
        <v>219</v>
      </c>
      <c r="G1347" t="s">
        <v>45</v>
      </c>
      <c r="H1347">
        <v>16</v>
      </c>
      <c r="I1347">
        <v>2</v>
      </c>
      <c r="J1347" t="s">
        <v>49</v>
      </c>
      <c r="K1347">
        <v>1</v>
      </c>
      <c r="L1347">
        <v>1886</v>
      </c>
      <c r="M1347">
        <v>4</v>
      </c>
      <c r="N1347" t="str" cm="1">
        <f t="array" ref="N1347">_xlfn.IFS(HRData[[#This Row],[EnvironmentSatisfaction]]=1,"Very Dissatisfied",
HRData[[#This Row],[EnvironmentSatisfaction]]=2,"Dissatisfied",
HRData[[#This Row],[EnvironmentSatisfaction]]=3,"Satisfied",
HRData[[#This Row],[EnvironmentSatisfaction]]=4,"Very Satisfied"
)</f>
        <v>Very Satisfied</v>
      </c>
      <c r="O1347" t="s">
        <v>39</v>
      </c>
      <c r="P1347">
        <v>44</v>
      </c>
      <c r="Q1347">
        <v>2</v>
      </c>
      <c r="R1347">
        <v>2</v>
      </c>
      <c r="S1347" t="s">
        <v>53</v>
      </c>
      <c r="T1347">
        <v>2</v>
      </c>
      <c r="U1347" t="str" cm="1">
        <f t="array" ref="U1347">_xlfn.IFS(
HRData[[#This Row],[JobSatisfaction]]=1,"Very Dissatisfied",
HRData[[#This Row],[JobSatisfaction]]=2,"Dissatisfied",
HRData[[#This Row],[JobSatisfaction]]=3,"Satisfied",
HRData[[#This Row],[JobSatisfaction]]=4,"Very Satisfied"
)</f>
        <v>Dissatisfied</v>
      </c>
      <c r="V1347" t="s">
        <v>48</v>
      </c>
      <c r="W1347">
        <v>4788</v>
      </c>
      <c r="X1347" t="str" cm="1">
        <f t="array" ref="X1347">_xlfn.IFS(
HRData[[#This Row],[MonthlyIncome]]&lt;=4000,"Very Low Income",
HRData[[#This Row],[MonthlyIncome]]&lt;=8000,"Low Income",
HRData[[#This Row],[MonthlyIncome]]&lt;=12000,"Moderate Income",
HRData[[#This Row],[MonthlyIncome]]&lt;=16000,"High Income",
HRData[[#This Row],[MonthlyIncome]]&gt;16000,"Very High Income"
)</f>
        <v>Low Income</v>
      </c>
      <c r="Y1347">
        <v>25388</v>
      </c>
      <c r="Z1347">
        <v>0</v>
      </c>
      <c r="AA1347" t="s">
        <v>42</v>
      </c>
      <c r="AB1347" t="s">
        <v>35</v>
      </c>
      <c r="AC1347">
        <v>11</v>
      </c>
      <c r="AD1347" t="str" cm="1">
        <f t="array" ref="AD1347">_xlfn.IFS(HRData[[#This Row],[PercentSalaryHike]]&lt;=15,"11-15",HRData[[#This Row],[PercentSalaryHike]]&lt;=20,"16-20",HRData[[#This Row],[PercentSalaryHike]]&gt;=21,"21+")</f>
        <v>11-15</v>
      </c>
      <c r="AE1347">
        <v>3</v>
      </c>
      <c r="AF1347">
        <v>4</v>
      </c>
      <c r="AG1347">
        <v>80</v>
      </c>
      <c r="AH1347">
        <v>0</v>
      </c>
      <c r="AI1347">
        <v>4</v>
      </c>
      <c r="AJ1347">
        <v>2</v>
      </c>
      <c r="AK1347">
        <v>3</v>
      </c>
      <c r="AL1347">
        <v>3</v>
      </c>
      <c r="AM1347">
        <v>2</v>
      </c>
      <c r="AN1347">
        <v>0</v>
      </c>
      <c r="AO1347">
        <v>2</v>
      </c>
      <c r="AP134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47" t="str">
        <f>IF(HRData[[#This Row],[Attrition]]="Yes","Left", IF(HRData[[#This Row],[Attrition_Risk_Score]]&gt;=6,"High",IF(HRData[[#This Row],[Attrition_Risk_Score]]&gt;=3,"Medium","Low")))</f>
        <v>Medium</v>
      </c>
      <c r="AR1347" t="str">
        <f>IF(HRData[[#This Row],[Attrition_Risk_Level]]&lt;&gt;"High","",HRData[[#This Row],[Attrition_Risk_Score]]*10000-HRData[[#This Row],[EmployeeNumber]])</f>
        <v/>
      </c>
    </row>
    <row r="1348" spans="1:44">
      <c r="A1348">
        <v>45</v>
      </c>
      <c r="B1348" t="str" cm="1">
        <f t="array" ref="B1348">_xlfn.IFS(
HRData[[#This Row],[Age]]&lt;=24,"18-24",
HRData[[#This Row],[Age]]&lt;=34,"25-34",
HRData[[#This Row],[Age]]&lt;=44,"35-44",
HRData[[#This Row],[Age]]&lt;=54,"45-54",
HRData[[#This Row],[Age]]&gt;=55,"55+"
)</f>
        <v>45-54</v>
      </c>
      <c r="C1348" t="s">
        <v>43</v>
      </c>
      <c r="D1348">
        <f>IF(HRData[[#This Row],[Attrition]]="Yes",1,0)</f>
        <v>0</v>
      </c>
      <c r="E1348" t="s">
        <v>36</v>
      </c>
      <c r="F1348">
        <v>556</v>
      </c>
      <c r="G1348" t="s">
        <v>45</v>
      </c>
      <c r="H1348">
        <v>25</v>
      </c>
      <c r="I1348">
        <v>2</v>
      </c>
      <c r="J1348" t="s">
        <v>38</v>
      </c>
      <c r="K1348">
        <v>1</v>
      </c>
      <c r="L1348">
        <v>1888</v>
      </c>
      <c r="M1348">
        <v>2</v>
      </c>
      <c r="N1348" t="str" cm="1">
        <f t="array" ref="N1348">_xlfn.IFS(HRData[[#This Row],[EnvironmentSatisfaction]]=1,"Very Dissatisfied",
HRData[[#This Row],[EnvironmentSatisfaction]]=2,"Dissatisfied",
HRData[[#This Row],[EnvironmentSatisfaction]]=3,"Satisfied",
HRData[[#This Row],[EnvironmentSatisfaction]]=4,"Very Satisfied"
)</f>
        <v>Dissatisfied</v>
      </c>
      <c r="O1348" t="s">
        <v>39</v>
      </c>
      <c r="P1348">
        <v>93</v>
      </c>
      <c r="Q1348">
        <v>2</v>
      </c>
      <c r="R1348">
        <v>2</v>
      </c>
      <c r="S1348" t="s">
        <v>53</v>
      </c>
      <c r="T1348">
        <v>4</v>
      </c>
      <c r="U1348" t="str" cm="1">
        <f t="array" ref="U1348">_xlfn.IFS(
HRData[[#This Row],[JobSatisfaction]]=1,"Very Dissatisfied",
HRData[[#This Row],[JobSatisfaction]]=2,"Dissatisfied",
HRData[[#This Row],[JobSatisfaction]]=3,"Satisfied",
HRData[[#This Row],[JobSatisfaction]]=4,"Very Satisfied"
)</f>
        <v>Very Satisfied</v>
      </c>
      <c r="V1348" t="s">
        <v>48</v>
      </c>
      <c r="W1348">
        <v>5906</v>
      </c>
      <c r="X1348" t="str" cm="1">
        <f t="array" ref="X1348">_xlfn.IFS(
HRData[[#This Row],[MonthlyIncome]]&lt;=4000,"Very Low Income",
HRData[[#This Row],[MonthlyIncome]]&lt;=8000,"Low Income",
HRData[[#This Row],[MonthlyIncome]]&lt;=12000,"Moderate Income",
HRData[[#This Row],[MonthlyIncome]]&lt;=16000,"High Income",
HRData[[#This Row],[MonthlyIncome]]&gt;16000,"Very High Income"
)</f>
        <v>Low Income</v>
      </c>
      <c r="Y1348">
        <v>23888</v>
      </c>
      <c r="Z1348">
        <v>0</v>
      </c>
      <c r="AA1348" t="s">
        <v>42</v>
      </c>
      <c r="AB1348" t="s">
        <v>43</v>
      </c>
      <c r="AC1348">
        <v>13</v>
      </c>
      <c r="AD1348" t="str" cm="1">
        <f t="array" ref="AD1348">_xlfn.IFS(HRData[[#This Row],[PercentSalaryHike]]&lt;=15,"11-15",HRData[[#This Row],[PercentSalaryHike]]&lt;=20,"16-20",HRData[[#This Row],[PercentSalaryHike]]&gt;=21,"21+")</f>
        <v>11-15</v>
      </c>
      <c r="AE1348">
        <v>3</v>
      </c>
      <c r="AF1348">
        <v>4</v>
      </c>
      <c r="AG1348">
        <v>80</v>
      </c>
      <c r="AH1348">
        <v>2</v>
      </c>
      <c r="AI1348">
        <v>10</v>
      </c>
      <c r="AJ1348">
        <v>2</v>
      </c>
      <c r="AK1348">
        <v>2</v>
      </c>
      <c r="AL1348">
        <v>9</v>
      </c>
      <c r="AM1348">
        <v>8</v>
      </c>
      <c r="AN1348">
        <v>3</v>
      </c>
      <c r="AO1348">
        <v>8</v>
      </c>
      <c r="AP134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48" t="str">
        <f>IF(HRData[[#This Row],[Attrition]]="Yes","Left", IF(HRData[[#This Row],[Attrition_Risk_Score]]&gt;=6,"High",IF(HRData[[#This Row],[Attrition_Risk_Score]]&gt;=3,"Medium","Low")))</f>
        <v>Low</v>
      </c>
      <c r="AR1348" t="str">
        <f>IF(HRData[[#This Row],[Attrition_Risk_Level]]&lt;&gt;"High","",HRData[[#This Row],[Attrition_Risk_Score]]*10000-HRData[[#This Row],[EmployeeNumber]])</f>
        <v/>
      </c>
    </row>
    <row r="1349" spans="1:44">
      <c r="A1349">
        <v>36</v>
      </c>
      <c r="B1349" t="str" cm="1">
        <f t="array" ref="B1349">_xlfn.IFS(
HRData[[#This Row],[Age]]&lt;=24,"18-24",
HRData[[#This Row],[Age]]&lt;=34,"25-34",
HRData[[#This Row],[Age]]&lt;=44,"35-44",
HRData[[#This Row],[Age]]&lt;=54,"45-54",
HRData[[#This Row],[Age]]&gt;=55,"55+"
)</f>
        <v>35-44</v>
      </c>
      <c r="C1349" t="s">
        <v>43</v>
      </c>
      <c r="D1349">
        <f>IF(HRData[[#This Row],[Attrition]]="Yes",1,0)</f>
        <v>0</v>
      </c>
      <c r="E1349" t="s">
        <v>44</v>
      </c>
      <c r="F1349">
        <v>1213</v>
      </c>
      <c r="G1349" t="s">
        <v>61</v>
      </c>
      <c r="H1349">
        <v>2</v>
      </c>
      <c r="I1349">
        <v>1</v>
      </c>
      <c r="J1349" t="s">
        <v>61</v>
      </c>
      <c r="K1349">
        <v>1</v>
      </c>
      <c r="L1349">
        <v>1890</v>
      </c>
      <c r="M1349">
        <v>2</v>
      </c>
      <c r="N1349" t="str" cm="1">
        <f t="array" ref="N1349">_xlfn.IFS(HRData[[#This Row],[EnvironmentSatisfaction]]=1,"Very Dissatisfied",
HRData[[#This Row],[EnvironmentSatisfaction]]=2,"Dissatisfied",
HRData[[#This Row],[EnvironmentSatisfaction]]=3,"Satisfied",
HRData[[#This Row],[EnvironmentSatisfaction]]=4,"Very Satisfied"
)</f>
        <v>Dissatisfied</v>
      </c>
      <c r="O1349" t="s">
        <v>46</v>
      </c>
      <c r="P1349">
        <v>94</v>
      </c>
      <c r="Q1349">
        <v>2</v>
      </c>
      <c r="R1349">
        <v>2</v>
      </c>
      <c r="S1349" t="s">
        <v>61</v>
      </c>
      <c r="T1349">
        <v>4</v>
      </c>
      <c r="U1349" t="str" cm="1">
        <f t="array" ref="U1349">_xlfn.IFS(
HRData[[#This Row],[JobSatisfaction]]=1,"Very Dissatisfied",
HRData[[#This Row],[JobSatisfaction]]=2,"Dissatisfied",
HRData[[#This Row],[JobSatisfaction]]=3,"Satisfied",
HRData[[#This Row],[JobSatisfaction]]=4,"Very Satisfied"
)</f>
        <v>Very Satisfied</v>
      </c>
      <c r="V1349" t="s">
        <v>41</v>
      </c>
      <c r="W1349">
        <v>3886</v>
      </c>
      <c r="X1349" t="str" cm="1">
        <f t="array" ref="X1349">_xlfn.IFS(
HRData[[#This Row],[MonthlyIncome]]&lt;=4000,"Very Low Income",
HRData[[#This Row],[MonthlyIncome]]&lt;=8000,"Low Income",
HRData[[#This Row],[MonthlyIncome]]&lt;=12000,"Moderate Income",
HRData[[#This Row],[MonthlyIncome]]&lt;=16000,"High Income",
HRData[[#This Row],[MonthlyIncome]]&gt;16000,"Very High Income"
)</f>
        <v>Very Low Income</v>
      </c>
      <c r="Y1349">
        <v>4223</v>
      </c>
      <c r="Z1349">
        <v>1</v>
      </c>
      <c r="AA1349" t="s">
        <v>42</v>
      </c>
      <c r="AB1349" t="s">
        <v>43</v>
      </c>
      <c r="AC1349">
        <v>21</v>
      </c>
      <c r="AD1349" t="str" cm="1">
        <f t="array" ref="AD1349">_xlfn.IFS(HRData[[#This Row],[PercentSalaryHike]]&lt;=15,"11-15",HRData[[#This Row],[PercentSalaryHike]]&lt;=20,"16-20",HRData[[#This Row],[PercentSalaryHike]]&gt;=21,"21+")</f>
        <v>21+</v>
      </c>
      <c r="AE1349">
        <v>4</v>
      </c>
      <c r="AF1349">
        <v>4</v>
      </c>
      <c r="AG1349">
        <v>80</v>
      </c>
      <c r="AH1349">
        <v>0</v>
      </c>
      <c r="AI1349">
        <v>10</v>
      </c>
      <c r="AJ1349">
        <v>2</v>
      </c>
      <c r="AK1349">
        <v>2</v>
      </c>
      <c r="AL1349">
        <v>10</v>
      </c>
      <c r="AM1349">
        <v>1</v>
      </c>
      <c r="AN1349">
        <v>0</v>
      </c>
      <c r="AO1349">
        <v>8</v>
      </c>
      <c r="AP134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49" t="str">
        <f>IF(HRData[[#This Row],[Attrition]]="Yes","Left", IF(HRData[[#This Row],[Attrition_Risk_Score]]&gt;=6,"High",IF(HRData[[#This Row],[Attrition_Risk_Score]]&gt;=3,"Medium","Low")))</f>
        <v>Medium</v>
      </c>
      <c r="AR1349" t="str">
        <f>IF(HRData[[#This Row],[Attrition_Risk_Level]]&lt;&gt;"High","",HRData[[#This Row],[Attrition_Risk_Score]]*10000-HRData[[#This Row],[EmployeeNumber]])</f>
        <v/>
      </c>
    </row>
    <row r="1350" spans="1:44">
      <c r="A1350">
        <v>40</v>
      </c>
      <c r="B1350" t="str" cm="1">
        <f t="array" ref="B1350">_xlfn.IFS(
HRData[[#This Row],[Age]]&lt;=24,"18-24",
HRData[[#This Row],[Age]]&lt;=34,"25-34",
HRData[[#This Row],[Age]]&lt;=44,"35-44",
HRData[[#This Row],[Age]]&lt;=54,"45-54",
HRData[[#This Row],[Age]]&gt;=55,"55+"
)</f>
        <v>35-44</v>
      </c>
      <c r="C1350" t="s">
        <v>43</v>
      </c>
      <c r="D1350">
        <f>IF(HRData[[#This Row],[Attrition]]="Yes",1,0)</f>
        <v>0</v>
      </c>
      <c r="E1350" t="s">
        <v>36</v>
      </c>
      <c r="F1350">
        <v>1137</v>
      </c>
      <c r="G1350" t="s">
        <v>45</v>
      </c>
      <c r="H1350">
        <v>1</v>
      </c>
      <c r="I1350">
        <v>4</v>
      </c>
      <c r="J1350" t="s">
        <v>38</v>
      </c>
      <c r="K1350">
        <v>1</v>
      </c>
      <c r="L1350">
        <v>1892</v>
      </c>
      <c r="M1350">
        <v>1</v>
      </c>
      <c r="N1350" t="str" cm="1">
        <f t="array" ref="N1350">_xlfn.IFS(HRData[[#This Row],[EnvironmentSatisfaction]]=1,"Very Dissatisfied",
HRData[[#This Row],[EnvironmentSatisfaction]]=2,"Dissatisfied",
HRData[[#This Row],[EnvironmentSatisfaction]]=3,"Satisfied",
HRData[[#This Row],[EnvironmentSatisfaction]]=4,"Very Satisfied"
)</f>
        <v>Very Dissatisfied</v>
      </c>
      <c r="O1350" t="s">
        <v>46</v>
      </c>
      <c r="P1350">
        <v>98</v>
      </c>
      <c r="Q1350">
        <v>3</v>
      </c>
      <c r="R1350">
        <v>4</v>
      </c>
      <c r="S1350" t="s">
        <v>56</v>
      </c>
      <c r="T1350">
        <v>1</v>
      </c>
      <c r="U1350" t="str" cm="1">
        <f t="array" ref="U1350">_xlfn.IFS(
HRData[[#This Row],[JobSatisfaction]]=1,"Very Dissatisfied",
HRData[[#This Row],[JobSatisfaction]]=2,"Dissatisfied",
HRData[[#This Row],[JobSatisfaction]]=3,"Satisfied",
HRData[[#This Row],[JobSatisfaction]]=4,"Very Satisfied"
)</f>
        <v>Very Dissatisfied</v>
      </c>
      <c r="V1350" t="s">
        <v>52</v>
      </c>
      <c r="W1350">
        <v>16823</v>
      </c>
      <c r="X1350" t="str" cm="1">
        <f t="array" ref="X1350">_xlfn.IFS(
HRData[[#This Row],[MonthlyIncome]]&lt;=4000,"Very Low Income",
HRData[[#This Row],[MonthlyIncome]]&lt;=8000,"Low Income",
HRData[[#This Row],[MonthlyIncome]]&lt;=12000,"Moderate Income",
HRData[[#This Row],[MonthlyIncome]]&lt;=16000,"High Income",
HRData[[#This Row],[MonthlyIncome]]&gt;16000,"Very High Income"
)</f>
        <v>Very High Income</v>
      </c>
      <c r="Y1350">
        <v>18991</v>
      </c>
      <c r="Z1350">
        <v>2</v>
      </c>
      <c r="AA1350" t="s">
        <v>42</v>
      </c>
      <c r="AB1350" t="s">
        <v>43</v>
      </c>
      <c r="AC1350">
        <v>11</v>
      </c>
      <c r="AD1350" t="str" cm="1">
        <f t="array" ref="AD1350">_xlfn.IFS(HRData[[#This Row],[PercentSalaryHike]]&lt;=15,"11-15",HRData[[#This Row],[PercentSalaryHike]]&lt;=20,"16-20",HRData[[#This Row],[PercentSalaryHike]]&gt;=21,"21+")</f>
        <v>11-15</v>
      </c>
      <c r="AE1350">
        <v>3</v>
      </c>
      <c r="AF1350">
        <v>1</v>
      </c>
      <c r="AG1350">
        <v>80</v>
      </c>
      <c r="AH1350">
        <v>1</v>
      </c>
      <c r="AI1350">
        <v>22</v>
      </c>
      <c r="AJ1350">
        <v>3</v>
      </c>
      <c r="AK1350">
        <v>3</v>
      </c>
      <c r="AL1350">
        <v>19</v>
      </c>
      <c r="AM1350">
        <v>7</v>
      </c>
      <c r="AN1350">
        <v>11</v>
      </c>
      <c r="AO1350">
        <v>16</v>
      </c>
      <c r="AP135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50" t="str">
        <f>IF(HRData[[#This Row],[Attrition]]="Yes","Left", IF(HRData[[#This Row],[Attrition_Risk_Score]]&gt;=6,"High",IF(HRData[[#This Row],[Attrition_Risk_Score]]&gt;=3,"Medium","Low")))</f>
        <v>Low</v>
      </c>
      <c r="AR1350" t="str">
        <f>IF(HRData[[#This Row],[Attrition_Risk_Level]]&lt;&gt;"High","",HRData[[#This Row],[Attrition_Risk_Score]]*10000-HRData[[#This Row],[EmployeeNumber]])</f>
        <v/>
      </c>
    </row>
    <row r="1351" spans="1:44">
      <c r="A1351">
        <v>26</v>
      </c>
      <c r="B1351" t="str" cm="1">
        <f t="array" ref="B1351">_xlfn.IFS(
HRData[[#This Row],[Age]]&lt;=24,"18-24",
HRData[[#This Row],[Age]]&lt;=34,"25-34",
HRData[[#This Row],[Age]]&lt;=44,"35-44",
HRData[[#This Row],[Age]]&lt;=54,"45-54",
HRData[[#This Row],[Age]]&gt;=55,"55+"
)</f>
        <v>25-34</v>
      </c>
      <c r="C1351" t="s">
        <v>43</v>
      </c>
      <c r="D1351">
        <f>IF(HRData[[#This Row],[Attrition]]="Yes",1,0)</f>
        <v>0</v>
      </c>
      <c r="E1351" t="s">
        <v>36</v>
      </c>
      <c r="F1351">
        <v>482</v>
      </c>
      <c r="G1351" t="s">
        <v>45</v>
      </c>
      <c r="H1351">
        <v>1</v>
      </c>
      <c r="I1351">
        <v>2</v>
      </c>
      <c r="J1351" t="s">
        <v>38</v>
      </c>
      <c r="K1351">
        <v>1</v>
      </c>
      <c r="L1351">
        <v>1893</v>
      </c>
      <c r="M1351">
        <v>2</v>
      </c>
      <c r="N1351" t="str" cm="1">
        <f t="array" ref="N1351">_xlfn.IFS(HRData[[#This Row],[EnvironmentSatisfaction]]=1,"Very Dissatisfied",
HRData[[#This Row],[EnvironmentSatisfaction]]=2,"Dissatisfied",
HRData[[#This Row],[EnvironmentSatisfaction]]=3,"Satisfied",
HRData[[#This Row],[EnvironmentSatisfaction]]=4,"Very Satisfied"
)</f>
        <v>Dissatisfied</v>
      </c>
      <c r="O1351" t="s">
        <v>39</v>
      </c>
      <c r="P1351">
        <v>90</v>
      </c>
      <c r="Q1351">
        <v>2</v>
      </c>
      <c r="R1351">
        <v>1</v>
      </c>
      <c r="S1351" t="s">
        <v>47</v>
      </c>
      <c r="T1351">
        <v>3</v>
      </c>
      <c r="U1351" t="str" cm="1">
        <f t="array" ref="U1351">_xlfn.IFS(
HRData[[#This Row],[JobSatisfaction]]=1,"Very Dissatisfied",
HRData[[#This Row],[JobSatisfaction]]=2,"Dissatisfied",
HRData[[#This Row],[JobSatisfaction]]=3,"Satisfied",
HRData[[#This Row],[JobSatisfaction]]=4,"Very Satisfied"
)</f>
        <v>Satisfied</v>
      </c>
      <c r="V1351" t="s">
        <v>48</v>
      </c>
      <c r="W1351">
        <v>2933</v>
      </c>
      <c r="X1351" t="str" cm="1">
        <f t="array" ref="X1351">_xlfn.IFS(
HRData[[#This Row],[MonthlyIncome]]&lt;=4000,"Very Low Income",
HRData[[#This Row],[MonthlyIncome]]&lt;=8000,"Low Income",
HRData[[#This Row],[MonthlyIncome]]&lt;=12000,"Moderate Income",
HRData[[#This Row],[MonthlyIncome]]&lt;=16000,"High Income",
HRData[[#This Row],[MonthlyIncome]]&gt;16000,"Very High Income"
)</f>
        <v>Very Low Income</v>
      </c>
      <c r="Y1351">
        <v>14908</v>
      </c>
      <c r="Z1351">
        <v>1</v>
      </c>
      <c r="AA1351" t="s">
        <v>42</v>
      </c>
      <c r="AB1351" t="s">
        <v>35</v>
      </c>
      <c r="AC1351">
        <v>13</v>
      </c>
      <c r="AD1351" t="str" cm="1">
        <f t="array" ref="AD1351">_xlfn.IFS(HRData[[#This Row],[PercentSalaryHike]]&lt;=15,"11-15",HRData[[#This Row],[PercentSalaryHike]]&lt;=20,"16-20",HRData[[#This Row],[PercentSalaryHike]]&gt;=21,"21+")</f>
        <v>11-15</v>
      </c>
      <c r="AE1351">
        <v>3</v>
      </c>
      <c r="AF1351">
        <v>3</v>
      </c>
      <c r="AG1351">
        <v>80</v>
      </c>
      <c r="AH1351">
        <v>1</v>
      </c>
      <c r="AI1351">
        <v>1</v>
      </c>
      <c r="AJ1351">
        <v>3</v>
      </c>
      <c r="AK1351">
        <v>2</v>
      </c>
      <c r="AL1351">
        <v>1</v>
      </c>
      <c r="AM1351">
        <v>0</v>
      </c>
      <c r="AN1351">
        <v>1</v>
      </c>
      <c r="AO1351">
        <v>0</v>
      </c>
      <c r="AP135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351" t="str">
        <f>IF(HRData[[#This Row],[Attrition]]="Yes","Left", IF(HRData[[#This Row],[Attrition_Risk_Score]]&gt;=6,"High",IF(HRData[[#This Row],[Attrition_Risk_Score]]&gt;=3,"Medium","Low")))</f>
        <v>Medium</v>
      </c>
      <c r="AR1351" t="str">
        <f>IF(HRData[[#This Row],[Attrition_Risk_Level]]&lt;&gt;"High","",HRData[[#This Row],[Attrition_Risk_Score]]*10000-HRData[[#This Row],[EmployeeNumber]])</f>
        <v/>
      </c>
    </row>
    <row r="1352" spans="1:44">
      <c r="A1352">
        <v>27</v>
      </c>
      <c r="B1352" t="str" cm="1">
        <f t="array" ref="B1352">_xlfn.IFS(
HRData[[#This Row],[Age]]&lt;=24,"18-24",
HRData[[#This Row],[Age]]&lt;=34,"25-34",
HRData[[#This Row],[Age]]&lt;=44,"35-44",
HRData[[#This Row],[Age]]&lt;=54,"45-54",
HRData[[#This Row],[Age]]&gt;=55,"55+"
)</f>
        <v>25-34</v>
      </c>
      <c r="C1352" t="s">
        <v>43</v>
      </c>
      <c r="D1352">
        <f>IF(HRData[[#This Row],[Attrition]]="Yes",1,0)</f>
        <v>0</v>
      </c>
      <c r="E1352" t="s">
        <v>36</v>
      </c>
      <c r="F1352">
        <v>511</v>
      </c>
      <c r="G1352" t="s">
        <v>37</v>
      </c>
      <c r="H1352">
        <v>2</v>
      </c>
      <c r="I1352">
        <v>2</v>
      </c>
      <c r="J1352" t="s">
        <v>51</v>
      </c>
      <c r="K1352">
        <v>1</v>
      </c>
      <c r="L1352">
        <v>1898</v>
      </c>
      <c r="M1352">
        <v>1</v>
      </c>
      <c r="N1352" t="str" cm="1">
        <f t="array" ref="N1352">_xlfn.IFS(HRData[[#This Row],[EnvironmentSatisfaction]]=1,"Very Dissatisfied",
HRData[[#This Row],[EnvironmentSatisfaction]]=2,"Dissatisfied",
HRData[[#This Row],[EnvironmentSatisfaction]]=3,"Satisfied",
HRData[[#This Row],[EnvironmentSatisfaction]]=4,"Very Satisfied"
)</f>
        <v>Very Dissatisfied</v>
      </c>
      <c r="O1352" t="s">
        <v>39</v>
      </c>
      <c r="P1352">
        <v>89</v>
      </c>
      <c r="Q1352">
        <v>4</v>
      </c>
      <c r="R1352">
        <v>2</v>
      </c>
      <c r="S1352" t="s">
        <v>40</v>
      </c>
      <c r="T1352">
        <v>3</v>
      </c>
      <c r="U1352" t="str" cm="1">
        <f t="array" ref="U1352">_xlfn.IFS(
HRData[[#This Row],[JobSatisfaction]]=1,"Very Dissatisfied",
HRData[[#This Row],[JobSatisfaction]]=2,"Dissatisfied",
HRData[[#This Row],[JobSatisfaction]]=3,"Satisfied",
HRData[[#This Row],[JobSatisfaction]]=4,"Very Satisfied"
)</f>
        <v>Satisfied</v>
      </c>
      <c r="V1352" t="s">
        <v>41</v>
      </c>
      <c r="W1352">
        <v>6500</v>
      </c>
      <c r="X1352" t="str" cm="1">
        <f t="array" ref="X1352">_xlfn.IFS(
HRData[[#This Row],[MonthlyIncome]]&lt;=4000,"Very Low Income",
HRData[[#This Row],[MonthlyIncome]]&lt;=8000,"Low Income",
HRData[[#This Row],[MonthlyIncome]]&lt;=12000,"Moderate Income",
HRData[[#This Row],[MonthlyIncome]]&lt;=16000,"High Income",
HRData[[#This Row],[MonthlyIncome]]&gt;16000,"Very High Income"
)</f>
        <v>Low Income</v>
      </c>
      <c r="Y1352">
        <v>26997</v>
      </c>
      <c r="Z1352">
        <v>0</v>
      </c>
      <c r="AA1352" t="s">
        <v>42</v>
      </c>
      <c r="AB1352" t="s">
        <v>43</v>
      </c>
      <c r="AC1352">
        <v>14</v>
      </c>
      <c r="AD1352" t="str" cm="1">
        <f t="array" ref="AD1352">_xlfn.IFS(HRData[[#This Row],[PercentSalaryHike]]&lt;=15,"11-15",HRData[[#This Row],[PercentSalaryHike]]&lt;=20,"16-20",HRData[[#This Row],[PercentSalaryHike]]&gt;=21,"21+")</f>
        <v>11-15</v>
      </c>
      <c r="AE1352">
        <v>3</v>
      </c>
      <c r="AF1352">
        <v>2</v>
      </c>
      <c r="AG1352">
        <v>80</v>
      </c>
      <c r="AH1352">
        <v>0</v>
      </c>
      <c r="AI1352">
        <v>9</v>
      </c>
      <c r="AJ1352">
        <v>5</v>
      </c>
      <c r="AK1352">
        <v>2</v>
      </c>
      <c r="AL1352">
        <v>8</v>
      </c>
      <c r="AM1352">
        <v>7</v>
      </c>
      <c r="AN1352">
        <v>0</v>
      </c>
      <c r="AO1352">
        <v>7</v>
      </c>
      <c r="AP135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52" t="str">
        <f>IF(HRData[[#This Row],[Attrition]]="Yes","Left", IF(HRData[[#This Row],[Attrition_Risk_Score]]&gt;=6,"High",IF(HRData[[#This Row],[Attrition_Risk_Score]]&gt;=3,"Medium","Low")))</f>
        <v>Low</v>
      </c>
      <c r="AR1352" t="str">
        <f>IF(HRData[[#This Row],[Attrition_Risk_Level]]&lt;&gt;"High","",HRData[[#This Row],[Attrition_Risk_Score]]*10000-HRData[[#This Row],[EmployeeNumber]])</f>
        <v/>
      </c>
    </row>
    <row r="1353" spans="1:44">
      <c r="A1353">
        <v>48</v>
      </c>
      <c r="B1353" t="str" cm="1">
        <f t="array" ref="B1353">_xlfn.IFS(
HRData[[#This Row],[Age]]&lt;=24,"18-24",
HRData[[#This Row],[Age]]&lt;=34,"25-34",
HRData[[#This Row],[Age]]&lt;=44,"35-44",
HRData[[#This Row],[Age]]&lt;=54,"45-54",
HRData[[#This Row],[Age]]&gt;=55,"55+"
)</f>
        <v>45-54</v>
      </c>
      <c r="C1353" t="s">
        <v>43</v>
      </c>
      <c r="D1353">
        <f>IF(HRData[[#This Row],[Attrition]]="Yes",1,0)</f>
        <v>0</v>
      </c>
      <c r="E1353" t="s">
        <v>44</v>
      </c>
      <c r="F1353">
        <v>117</v>
      </c>
      <c r="G1353" t="s">
        <v>45</v>
      </c>
      <c r="H1353">
        <v>22</v>
      </c>
      <c r="I1353">
        <v>3</v>
      </c>
      <c r="J1353" t="s">
        <v>51</v>
      </c>
      <c r="K1353">
        <v>1</v>
      </c>
      <c r="L1353">
        <v>1900</v>
      </c>
      <c r="M1353">
        <v>4</v>
      </c>
      <c r="N1353" t="str" cm="1">
        <f t="array" ref="N1353">_xlfn.IFS(HRData[[#This Row],[EnvironmentSatisfaction]]=1,"Very Dissatisfied",
HRData[[#This Row],[EnvironmentSatisfaction]]=2,"Dissatisfied",
HRData[[#This Row],[EnvironmentSatisfaction]]=3,"Satisfied",
HRData[[#This Row],[EnvironmentSatisfaction]]=4,"Very Satisfied"
)</f>
        <v>Very Satisfied</v>
      </c>
      <c r="O1353" t="s">
        <v>39</v>
      </c>
      <c r="P1353">
        <v>58</v>
      </c>
      <c r="Q1353">
        <v>3</v>
      </c>
      <c r="R1353">
        <v>4</v>
      </c>
      <c r="S1353" t="s">
        <v>56</v>
      </c>
      <c r="T1353">
        <v>4</v>
      </c>
      <c r="U1353" t="str" cm="1">
        <f t="array" ref="U1353">_xlfn.IFS(
HRData[[#This Row],[JobSatisfaction]]=1,"Very Dissatisfied",
HRData[[#This Row],[JobSatisfaction]]=2,"Dissatisfied",
HRData[[#This Row],[JobSatisfaction]]=3,"Satisfied",
HRData[[#This Row],[JobSatisfaction]]=4,"Very Satisfied"
)</f>
        <v>Very Satisfied</v>
      </c>
      <c r="V1353" t="s">
        <v>52</v>
      </c>
      <c r="W1353">
        <v>17174</v>
      </c>
      <c r="X1353" t="str" cm="1">
        <f t="array" ref="X1353">_xlfn.IFS(
HRData[[#This Row],[MonthlyIncome]]&lt;=4000,"Very Low Income",
HRData[[#This Row],[MonthlyIncome]]&lt;=8000,"Low Income",
HRData[[#This Row],[MonthlyIncome]]&lt;=12000,"Moderate Income",
HRData[[#This Row],[MonthlyIncome]]&lt;=16000,"High Income",
HRData[[#This Row],[MonthlyIncome]]&gt;16000,"Very High Income"
)</f>
        <v>Very High Income</v>
      </c>
      <c r="Y1353">
        <v>2437</v>
      </c>
      <c r="Z1353">
        <v>3</v>
      </c>
      <c r="AA1353" t="s">
        <v>42</v>
      </c>
      <c r="AB1353" t="s">
        <v>43</v>
      </c>
      <c r="AC1353">
        <v>11</v>
      </c>
      <c r="AD1353" t="str" cm="1">
        <f t="array" ref="AD1353">_xlfn.IFS(HRData[[#This Row],[PercentSalaryHike]]&lt;=15,"11-15",HRData[[#This Row],[PercentSalaryHike]]&lt;=20,"16-20",HRData[[#This Row],[PercentSalaryHike]]&gt;=21,"21+")</f>
        <v>11-15</v>
      </c>
      <c r="AE1353">
        <v>3</v>
      </c>
      <c r="AF1353">
        <v>2</v>
      </c>
      <c r="AG1353">
        <v>80</v>
      </c>
      <c r="AH1353">
        <v>1</v>
      </c>
      <c r="AI1353">
        <v>24</v>
      </c>
      <c r="AJ1353">
        <v>3</v>
      </c>
      <c r="AK1353">
        <v>3</v>
      </c>
      <c r="AL1353">
        <v>22</v>
      </c>
      <c r="AM1353">
        <v>17</v>
      </c>
      <c r="AN1353">
        <v>4</v>
      </c>
      <c r="AO1353">
        <v>7</v>
      </c>
      <c r="AP135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353" t="str">
        <f>IF(HRData[[#This Row],[Attrition]]="Yes","Left", IF(HRData[[#This Row],[Attrition_Risk_Score]]&gt;=6,"High",IF(HRData[[#This Row],[Attrition_Risk_Score]]&gt;=3,"Medium","Low")))</f>
        <v>Low</v>
      </c>
      <c r="AR1353" t="str">
        <f>IF(HRData[[#This Row],[Attrition_Risk_Level]]&lt;&gt;"High","",HRData[[#This Row],[Attrition_Risk_Score]]*10000-HRData[[#This Row],[EmployeeNumber]])</f>
        <v/>
      </c>
    </row>
    <row r="1354" spans="1:44">
      <c r="A1354">
        <v>44</v>
      </c>
      <c r="B1354" t="str" cm="1">
        <f t="array" ref="B1354">_xlfn.IFS(
HRData[[#This Row],[Age]]&lt;=24,"18-24",
HRData[[#This Row],[Age]]&lt;=34,"25-34",
HRData[[#This Row],[Age]]&lt;=44,"35-44",
HRData[[#This Row],[Age]]&lt;=54,"45-54",
HRData[[#This Row],[Age]]&gt;=55,"55+"
)</f>
        <v>35-44</v>
      </c>
      <c r="C1354" t="s">
        <v>43</v>
      </c>
      <c r="D1354">
        <f>IF(HRData[[#This Row],[Attrition]]="Yes",1,0)</f>
        <v>0</v>
      </c>
      <c r="E1354" t="s">
        <v>36</v>
      </c>
      <c r="F1354">
        <v>170</v>
      </c>
      <c r="G1354" t="s">
        <v>45</v>
      </c>
      <c r="H1354">
        <v>1</v>
      </c>
      <c r="I1354">
        <v>4</v>
      </c>
      <c r="J1354" t="s">
        <v>38</v>
      </c>
      <c r="K1354">
        <v>1</v>
      </c>
      <c r="L1354">
        <v>1903</v>
      </c>
      <c r="M1354">
        <v>2</v>
      </c>
      <c r="N1354" t="str" cm="1">
        <f t="array" ref="N1354">_xlfn.IFS(HRData[[#This Row],[EnvironmentSatisfaction]]=1,"Very Dissatisfied",
HRData[[#This Row],[EnvironmentSatisfaction]]=2,"Dissatisfied",
HRData[[#This Row],[EnvironmentSatisfaction]]=3,"Satisfied",
HRData[[#This Row],[EnvironmentSatisfaction]]=4,"Very Satisfied"
)</f>
        <v>Dissatisfied</v>
      </c>
      <c r="O1354" t="s">
        <v>46</v>
      </c>
      <c r="P1354">
        <v>78</v>
      </c>
      <c r="Q1354">
        <v>4</v>
      </c>
      <c r="R1354">
        <v>2</v>
      </c>
      <c r="S1354" t="s">
        <v>54</v>
      </c>
      <c r="T1354">
        <v>1</v>
      </c>
      <c r="U1354" t="str" cm="1">
        <f t="array" ref="U1354">_xlfn.IFS(
HRData[[#This Row],[JobSatisfaction]]=1,"Very Dissatisfied",
HRData[[#This Row],[JobSatisfaction]]=2,"Dissatisfied",
HRData[[#This Row],[JobSatisfaction]]=3,"Satisfied",
HRData[[#This Row],[JobSatisfaction]]=4,"Very Satisfied"
)</f>
        <v>Very Dissatisfied</v>
      </c>
      <c r="V1354" t="s">
        <v>48</v>
      </c>
      <c r="W1354">
        <v>5033</v>
      </c>
      <c r="X1354" t="str" cm="1">
        <f t="array" ref="X1354">_xlfn.IFS(
HRData[[#This Row],[MonthlyIncome]]&lt;=4000,"Very Low Income",
HRData[[#This Row],[MonthlyIncome]]&lt;=8000,"Low Income",
HRData[[#This Row],[MonthlyIncome]]&lt;=12000,"Moderate Income",
HRData[[#This Row],[MonthlyIncome]]&lt;=16000,"High Income",
HRData[[#This Row],[MonthlyIncome]]&gt;16000,"Very High Income"
)</f>
        <v>Low Income</v>
      </c>
      <c r="Y1354">
        <v>9364</v>
      </c>
      <c r="Z1354">
        <v>2</v>
      </c>
      <c r="AA1354" t="s">
        <v>42</v>
      </c>
      <c r="AB1354" t="s">
        <v>43</v>
      </c>
      <c r="AC1354">
        <v>15</v>
      </c>
      <c r="AD1354" t="str" cm="1">
        <f t="array" ref="AD1354">_xlfn.IFS(HRData[[#This Row],[PercentSalaryHike]]&lt;=15,"11-15",HRData[[#This Row],[PercentSalaryHike]]&lt;=20,"16-20",HRData[[#This Row],[PercentSalaryHike]]&gt;=21,"21+")</f>
        <v>11-15</v>
      </c>
      <c r="AE1354">
        <v>3</v>
      </c>
      <c r="AF1354">
        <v>4</v>
      </c>
      <c r="AG1354">
        <v>80</v>
      </c>
      <c r="AH1354">
        <v>1</v>
      </c>
      <c r="AI1354">
        <v>10</v>
      </c>
      <c r="AJ1354">
        <v>5</v>
      </c>
      <c r="AK1354">
        <v>3</v>
      </c>
      <c r="AL1354">
        <v>2</v>
      </c>
      <c r="AM1354">
        <v>0</v>
      </c>
      <c r="AN1354">
        <v>2</v>
      </c>
      <c r="AO1354">
        <v>2</v>
      </c>
      <c r="AP135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54" t="str">
        <f>IF(HRData[[#This Row],[Attrition]]="Yes","Left", IF(HRData[[#This Row],[Attrition_Risk_Score]]&gt;=6,"High",IF(HRData[[#This Row],[Attrition_Risk_Score]]&gt;=3,"Medium","Low")))</f>
        <v>Medium</v>
      </c>
      <c r="AR1354" t="str">
        <f>IF(HRData[[#This Row],[Attrition_Risk_Level]]&lt;&gt;"High","",HRData[[#This Row],[Attrition_Risk_Score]]*10000-HRData[[#This Row],[EmployeeNumber]])</f>
        <v/>
      </c>
    </row>
    <row r="1355" spans="1:44">
      <c r="A1355">
        <v>34</v>
      </c>
      <c r="B1355" t="str" cm="1">
        <f t="array" ref="B1355">_xlfn.IFS(
HRData[[#This Row],[Age]]&lt;=24,"18-24",
HRData[[#This Row],[Age]]&lt;=34,"25-34",
HRData[[#This Row],[Age]]&lt;=44,"35-44",
HRData[[#This Row],[Age]]&lt;=54,"45-54",
HRData[[#This Row],[Age]]&gt;=55,"55+"
)</f>
        <v>25-34</v>
      </c>
      <c r="C1355" t="s">
        <v>35</v>
      </c>
      <c r="D1355">
        <f>IF(HRData[[#This Row],[Attrition]]="Yes",1,0)</f>
        <v>1</v>
      </c>
      <c r="E1355" t="s">
        <v>55</v>
      </c>
      <c r="F1355">
        <v>967</v>
      </c>
      <c r="G1355" t="s">
        <v>45</v>
      </c>
      <c r="H1355">
        <v>16</v>
      </c>
      <c r="I1355">
        <v>4</v>
      </c>
      <c r="J1355" t="s">
        <v>60</v>
      </c>
      <c r="K1355">
        <v>1</v>
      </c>
      <c r="L1355">
        <v>1905</v>
      </c>
      <c r="M1355">
        <v>4</v>
      </c>
      <c r="N1355" t="str" cm="1">
        <f t="array" ref="N1355">_xlfn.IFS(HRData[[#This Row],[EnvironmentSatisfaction]]=1,"Very Dissatisfied",
HRData[[#This Row],[EnvironmentSatisfaction]]=2,"Dissatisfied",
HRData[[#This Row],[EnvironmentSatisfaction]]=3,"Satisfied",
HRData[[#This Row],[EnvironmentSatisfaction]]=4,"Very Satisfied"
)</f>
        <v>Very Satisfied</v>
      </c>
      <c r="O1355" t="s">
        <v>46</v>
      </c>
      <c r="P1355">
        <v>85</v>
      </c>
      <c r="Q1355">
        <v>1</v>
      </c>
      <c r="R1355">
        <v>1</v>
      </c>
      <c r="S1355" t="s">
        <v>47</v>
      </c>
      <c r="T1355">
        <v>1</v>
      </c>
      <c r="U1355" t="str" cm="1">
        <f t="array" ref="U1355">_xlfn.IFS(
HRData[[#This Row],[JobSatisfaction]]=1,"Very Dissatisfied",
HRData[[#This Row],[JobSatisfaction]]=2,"Dissatisfied",
HRData[[#This Row],[JobSatisfaction]]=3,"Satisfied",
HRData[[#This Row],[JobSatisfaction]]=4,"Very Satisfied"
)</f>
        <v>Very Dissatisfied</v>
      </c>
      <c r="V1355" t="s">
        <v>48</v>
      </c>
      <c r="W1355">
        <v>2307</v>
      </c>
      <c r="X1355" t="str" cm="1">
        <f t="array" ref="X1355">_xlfn.IFS(
HRData[[#This Row],[MonthlyIncome]]&lt;=4000,"Very Low Income",
HRData[[#This Row],[MonthlyIncome]]&lt;=8000,"Low Income",
HRData[[#This Row],[MonthlyIncome]]&lt;=12000,"Moderate Income",
HRData[[#This Row],[MonthlyIncome]]&lt;=16000,"High Income",
HRData[[#This Row],[MonthlyIncome]]&gt;16000,"Very High Income"
)</f>
        <v>Very Low Income</v>
      </c>
      <c r="Y1355">
        <v>14460</v>
      </c>
      <c r="Z1355">
        <v>1</v>
      </c>
      <c r="AA1355" t="s">
        <v>42</v>
      </c>
      <c r="AB1355" t="s">
        <v>35</v>
      </c>
      <c r="AC1355">
        <v>23</v>
      </c>
      <c r="AD1355" t="str" cm="1">
        <f t="array" ref="AD1355">_xlfn.IFS(HRData[[#This Row],[PercentSalaryHike]]&lt;=15,"11-15",HRData[[#This Row],[PercentSalaryHike]]&lt;=20,"16-20",HRData[[#This Row],[PercentSalaryHike]]&gt;=21,"21+")</f>
        <v>21+</v>
      </c>
      <c r="AE1355">
        <v>4</v>
      </c>
      <c r="AF1355">
        <v>2</v>
      </c>
      <c r="AG1355">
        <v>80</v>
      </c>
      <c r="AH1355">
        <v>1</v>
      </c>
      <c r="AI1355">
        <v>5</v>
      </c>
      <c r="AJ1355">
        <v>2</v>
      </c>
      <c r="AK1355">
        <v>3</v>
      </c>
      <c r="AL1355">
        <v>5</v>
      </c>
      <c r="AM1355">
        <v>2</v>
      </c>
      <c r="AN1355">
        <v>3</v>
      </c>
      <c r="AO1355">
        <v>0</v>
      </c>
      <c r="AP135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55" t="str">
        <f>IF(HRData[[#This Row],[Attrition]]="Yes","Left", IF(HRData[[#This Row],[Attrition_Risk_Score]]&gt;=6,"High",IF(HRData[[#This Row],[Attrition_Risk_Score]]&gt;=3,"Medium","Low")))</f>
        <v>Left</v>
      </c>
      <c r="AR1355" t="str">
        <f>IF(HRData[[#This Row],[Attrition_Risk_Level]]&lt;&gt;"High","",HRData[[#This Row],[Attrition_Risk_Score]]*10000-HRData[[#This Row],[EmployeeNumber]])</f>
        <v/>
      </c>
    </row>
    <row r="1356" spans="1:44">
      <c r="A1356">
        <v>56</v>
      </c>
      <c r="B1356" t="str" cm="1">
        <f t="array" ref="B1356">_xlfn.IFS(
HRData[[#This Row],[Age]]&lt;=24,"18-24",
HRData[[#This Row],[Age]]&lt;=34,"25-34",
HRData[[#This Row],[Age]]&lt;=44,"35-44",
HRData[[#This Row],[Age]]&lt;=54,"45-54",
HRData[[#This Row],[Age]]&gt;=55,"55+"
)</f>
        <v>55+</v>
      </c>
      <c r="C1356" t="s">
        <v>35</v>
      </c>
      <c r="D1356">
        <f>IF(HRData[[#This Row],[Attrition]]="Yes",1,0)</f>
        <v>1</v>
      </c>
      <c r="E1356" t="s">
        <v>36</v>
      </c>
      <c r="F1356">
        <v>1162</v>
      </c>
      <c r="G1356" t="s">
        <v>45</v>
      </c>
      <c r="H1356">
        <v>24</v>
      </c>
      <c r="I1356">
        <v>2</v>
      </c>
      <c r="J1356" t="s">
        <v>38</v>
      </c>
      <c r="K1356">
        <v>1</v>
      </c>
      <c r="L1356">
        <v>1907</v>
      </c>
      <c r="M1356">
        <v>1</v>
      </c>
      <c r="N1356" t="str" cm="1">
        <f t="array" ref="N1356">_xlfn.IFS(HRData[[#This Row],[EnvironmentSatisfaction]]=1,"Very Dissatisfied",
HRData[[#This Row],[EnvironmentSatisfaction]]=2,"Dissatisfied",
HRData[[#This Row],[EnvironmentSatisfaction]]=3,"Satisfied",
HRData[[#This Row],[EnvironmentSatisfaction]]=4,"Very Satisfied"
)</f>
        <v>Very Dissatisfied</v>
      </c>
      <c r="O1356" t="s">
        <v>46</v>
      </c>
      <c r="P1356">
        <v>97</v>
      </c>
      <c r="Q1356">
        <v>3</v>
      </c>
      <c r="R1356">
        <v>1</v>
      </c>
      <c r="S1356" t="s">
        <v>50</v>
      </c>
      <c r="T1356">
        <v>4</v>
      </c>
      <c r="U1356" t="str" cm="1">
        <f t="array" ref="U1356">_xlfn.IFS(
HRData[[#This Row],[JobSatisfaction]]=1,"Very Dissatisfied",
HRData[[#This Row],[JobSatisfaction]]=2,"Dissatisfied",
HRData[[#This Row],[JobSatisfaction]]=3,"Satisfied",
HRData[[#This Row],[JobSatisfaction]]=4,"Very Satisfied"
)</f>
        <v>Very Satisfied</v>
      </c>
      <c r="V1356" t="s">
        <v>41</v>
      </c>
      <c r="W1356">
        <v>2587</v>
      </c>
      <c r="X1356" t="str" cm="1">
        <f t="array" ref="X1356">_xlfn.IFS(
HRData[[#This Row],[MonthlyIncome]]&lt;=4000,"Very Low Income",
HRData[[#This Row],[MonthlyIncome]]&lt;=8000,"Low Income",
HRData[[#This Row],[MonthlyIncome]]&lt;=12000,"Moderate Income",
HRData[[#This Row],[MonthlyIncome]]&lt;=16000,"High Income",
HRData[[#This Row],[MonthlyIncome]]&gt;16000,"Very High Income"
)</f>
        <v>Very Low Income</v>
      </c>
      <c r="Y1356">
        <v>10261</v>
      </c>
      <c r="Z1356">
        <v>1</v>
      </c>
      <c r="AA1356" t="s">
        <v>42</v>
      </c>
      <c r="AB1356" t="s">
        <v>43</v>
      </c>
      <c r="AC1356">
        <v>16</v>
      </c>
      <c r="AD1356" t="str" cm="1">
        <f t="array" ref="AD1356">_xlfn.IFS(HRData[[#This Row],[PercentSalaryHike]]&lt;=15,"11-15",HRData[[#This Row],[PercentSalaryHike]]&lt;=20,"16-20",HRData[[#This Row],[PercentSalaryHike]]&gt;=21,"21+")</f>
        <v>16-20</v>
      </c>
      <c r="AE1356">
        <v>3</v>
      </c>
      <c r="AF1356">
        <v>4</v>
      </c>
      <c r="AG1356">
        <v>80</v>
      </c>
      <c r="AH1356">
        <v>0</v>
      </c>
      <c r="AI1356">
        <v>5</v>
      </c>
      <c r="AJ1356">
        <v>3</v>
      </c>
      <c r="AK1356">
        <v>3</v>
      </c>
      <c r="AL1356">
        <v>4</v>
      </c>
      <c r="AM1356">
        <v>2</v>
      </c>
      <c r="AN1356">
        <v>1</v>
      </c>
      <c r="AO1356">
        <v>0</v>
      </c>
      <c r="AP135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56" t="str">
        <f>IF(HRData[[#This Row],[Attrition]]="Yes","Left", IF(HRData[[#This Row],[Attrition_Risk_Score]]&gt;=6,"High",IF(HRData[[#This Row],[Attrition_Risk_Score]]&gt;=3,"Medium","Low")))</f>
        <v>Left</v>
      </c>
      <c r="AR1356" t="str">
        <f>IF(HRData[[#This Row],[Attrition_Risk_Level]]&lt;&gt;"High","",HRData[[#This Row],[Attrition_Risk_Score]]*10000-HRData[[#This Row],[EmployeeNumber]])</f>
        <v/>
      </c>
    </row>
    <row r="1357" spans="1:44">
      <c r="A1357">
        <v>36</v>
      </c>
      <c r="B1357" t="str" cm="1">
        <f t="array" ref="B1357">_xlfn.IFS(
HRData[[#This Row],[Age]]&lt;=24,"18-24",
HRData[[#This Row],[Age]]&lt;=34,"25-34",
HRData[[#This Row],[Age]]&lt;=44,"35-44",
HRData[[#This Row],[Age]]&lt;=54,"45-54",
HRData[[#This Row],[Age]]&gt;=55,"55+"
)</f>
        <v>35-44</v>
      </c>
      <c r="C1357" t="s">
        <v>43</v>
      </c>
      <c r="D1357">
        <f>IF(HRData[[#This Row],[Attrition]]="Yes",1,0)</f>
        <v>0</v>
      </c>
      <c r="E1357" t="s">
        <v>36</v>
      </c>
      <c r="F1357">
        <v>335</v>
      </c>
      <c r="G1357" t="s">
        <v>37</v>
      </c>
      <c r="H1357">
        <v>17</v>
      </c>
      <c r="I1357">
        <v>2</v>
      </c>
      <c r="J1357" t="s">
        <v>59</v>
      </c>
      <c r="K1357">
        <v>1</v>
      </c>
      <c r="L1357">
        <v>1908</v>
      </c>
      <c r="M1357">
        <v>3</v>
      </c>
      <c r="N1357" t="str" cm="1">
        <f t="array" ref="N1357">_xlfn.IFS(HRData[[#This Row],[EnvironmentSatisfaction]]=1,"Very Dissatisfied",
HRData[[#This Row],[EnvironmentSatisfaction]]=2,"Dissatisfied",
HRData[[#This Row],[EnvironmentSatisfaction]]=3,"Satisfied",
HRData[[#This Row],[EnvironmentSatisfaction]]=4,"Very Satisfied"
)</f>
        <v>Satisfied</v>
      </c>
      <c r="O1357" t="s">
        <v>46</v>
      </c>
      <c r="P1357">
        <v>33</v>
      </c>
      <c r="Q1357">
        <v>2</v>
      </c>
      <c r="R1357">
        <v>2</v>
      </c>
      <c r="S1357" t="s">
        <v>40</v>
      </c>
      <c r="T1357">
        <v>2</v>
      </c>
      <c r="U1357" t="str" cm="1">
        <f t="array" ref="U1357">_xlfn.IFS(
HRData[[#This Row],[JobSatisfaction]]=1,"Very Dissatisfied",
HRData[[#This Row],[JobSatisfaction]]=2,"Dissatisfied",
HRData[[#This Row],[JobSatisfaction]]=3,"Satisfied",
HRData[[#This Row],[JobSatisfaction]]=4,"Very Satisfied"
)</f>
        <v>Dissatisfied</v>
      </c>
      <c r="V1357" t="s">
        <v>48</v>
      </c>
      <c r="W1357">
        <v>5507</v>
      </c>
      <c r="X1357" t="str" cm="1">
        <f t="array" ref="X1357">_xlfn.IFS(
HRData[[#This Row],[MonthlyIncome]]&lt;=4000,"Very Low Income",
HRData[[#This Row],[MonthlyIncome]]&lt;=8000,"Low Income",
HRData[[#This Row],[MonthlyIncome]]&lt;=12000,"Moderate Income",
HRData[[#This Row],[MonthlyIncome]]&lt;=16000,"High Income",
HRData[[#This Row],[MonthlyIncome]]&gt;16000,"Very High Income"
)</f>
        <v>Low Income</v>
      </c>
      <c r="Y1357">
        <v>16822</v>
      </c>
      <c r="Z1357">
        <v>2</v>
      </c>
      <c r="AA1357" t="s">
        <v>42</v>
      </c>
      <c r="AB1357" t="s">
        <v>43</v>
      </c>
      <c r="AC1357">
        <v>16</v>
      </c>
      <c r="AD1357" t="str" cm="1">
        <f t="array" ref="AD1357">_xlfn.IFS(HRData[[#This Row],[PercentSalaryHike]]&lt;=15,"11-15",HRData[[#This Row],[PercentSalaryHike]]&lt;=20,"16-20",HRData[[#This Row],[PercentSalaryHike]]&gt;=21,"21+")</f>
        <v>16-20</v>
      </c>
      <c r="AE1357">
        <v>3</v>
      </c>
      <c r="AF1357">
        <v>3</v>
      </c>
      <c r="AG1357">
        <v>80</v>
      </c>
      <c r="AH1357">
        <v>2</v>
      </c>
      <c r="AI1357">
        <v>12</v>
      </c>
      <c r="AJ1357">
        <v>1</v>
      </c>
      <c r="AK1357">
        <v>1</v>
      </c>
      <c r="AL1357">
        <v>4</v>
      </c>
      <c r="AM1357">
        <v>2</v>
      </c>
      <c r="AN1357">
        <v>1</v>
      </c>
      <c r="AO1357">
        <v>3</v>
      </c>
      <c r="AP135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57" t="str">
        <f>IF(HRData[[#This Row],[Attrition]]="Yes","Left", IF(HRData[[#This Row],[Attrition_Risk_Score]]&gt;=6,"High",IF(HRData[[#This Row],[Attrition_Risk_Score]]&gt;=3,"Medium","Low")))</f>
        <v>Low</v>
      </c>
      <c r="AR1357" t="str">
        <f>IF(HRData[[#This Row],[Attrition_Risk_Level]]&lt;&gt;"High","",HRData[[#This Row],[Attrition_Risk_Score]]*10000-HRData[[#This Row],[EmployeeNumber]])</f>
        <v/>
      </c>
    </row>
    <row r="1358" spans="1:44">
      <c r="A1358">
        <v>41</v>
      </c>
      <c r="B1358" t="str" cm="1">
        <f t="array" ref="B1358">_xlfn.IFS(
HRData[[#This Row],[Age]]&lt;=24,"18-24",
HRData[[#This Row],[Age]]&lt;=34,"25-34",
HRData[[#This Row],[Age]]&lt;=44,"35-44",
HRData[[#This Row],[Age]]&lt;=54,"45-54",
HRData[[#This Row],[Age]]&gt;=55,"55+"
)</f>
        <v>35-44</v>
      </c>
      <c r="C1358" t="s">
        <v>43</v>
      </c>
      <c r="D1358">
        <f>IF(HRData[[#This Row],[Attrition]]="Yes",1,0)</f>
        <v>0</v>
      </c>
      <c r="E1358" t="s">
        <v>36</v>
      </c>
      <c r="F1358">
        <v>337</v>
      </c>
      <c r="G1358" t="s">
        <v>37</v>
      </c>
      <c r="H1358">
        <v>8</v>
      </c>
      <c r="I1358">
        <v>3</v>
      </c>
      <c r="J1358" t="s">
        <v>59</v>
      </c>
      <c r="K1358">
        <v>1</v>
      </c>
      <c r="L1358">
        <v>1909</v>
      </c>
      <c r="M1358">
        <v>3</v>
      </c>
      <c r="N1358" t="str" cm="1">
        <f t="array" ref="N1358">_xlfn.IFS(HRData[[#This Row],[EnvironmentSatisfaction]]=1,"Very Dissatisfied",
HRData[[#This Row],[EnvironmentSatisfaction]]=2,"Dissatisfied",
HRData[[#This Row],[EnvironmentSatisfaction]]=3,"Satisfied",
HRData[[#This Row],[EnvironmentSatisfaction]]=4,"Very Satisfied"
)</f>
        <v>Satisfied</v>
      </c>
      <c r="O1358" t="s">
        <v>39</v>
      </c>
      <c r="P1358">
        <v>54</v>
      </c>
      <c r="Q1358">
        <v>3</v>
      </c>
      <c r="R1358">
        <v>2</v>
      </c>
      <c r="S1358" t="s">
        <v>40</v>
      </c>
      <c r="T1358">
        <v>2</v>
      </c>
      <c r="U1358" t="str" cm="1">
        <f t="array" ref="U1358">_xlfn.IFS(
HRData[[#This Row],[JobSatisfaction]]=1,"Very Dissatisfied",
HRData[[#This Row],[JobSatisfaction]]=2,"Dissatisfied",
HRData[[#This Row],[JobSatisfaction]]=3,"Satisfied",
HRData[[#This Row],[JobSatisfaction]]=4,"Very Satisfied"
)</f>
        <v>Dissatisfied</v>
      </c>
      <c r="V1358" t="s">
        <v>48</v>
      </c>
      <c r="W1358">
        <v>4393</v>
      </c>
      <c r="X1358" t="str" cm="1">
        <f t="array" ref="X1358">_xlfn.IFS(
HRData[[#This Row],[MonthlyIncome]]&lt;=4000,"Very Low Income",
HRData[[#This Row],[MonthlyIncome]]&lt;=8000,"Low Income",
HRData[[#This Row],[MonthlyIncome]]&lt;=12000,"Moderate Income",
HRData[[#This Row],[MonthlyIncome]]&lt;=16000,"High Income",
HRData[[#This Row],[MonthlyIncome]]&gt;16000,"Very High Income"
)</f>
        <v>Low Income</v>
      </c>
      <c r="Y1358">
        <v>26841</v>
      </c>
      <c r="Z1358">
        <v>5</v>
      </c>
      <c r="AA1358" t="s">
        <v>42</v>
      </c>
      <c r="AB1358" t="s">
        <v>43</v>
      </c>
      <c r="AC1358">
        <v>21</v>
      </c>
      <c r="AD1358" t="str" cm="1">
        <f t="array" ref="AD1358">_xlfn.IFS(HRData[[#This Row],[PercentSalaryHike]]&lt;=15,"11-15",HRData[[#This Row],[PercentSalaryHike]]&lt;=20,"16-20",HRData[[#This Row],[PercentSalaryHike]]&gt;=21,"21+")</f>
        <v>21+</v>
      </c>
      <c r="AE1358">
        <v>4</v>
      </c>
      <c r="AF1358">
        <v>3</v>
      </c>
      <c r="AG1358">
        <v>80</v>
      </c>
      <c r="AH1358">
        <v>1</v>
      </c>
      <c r="AI1358">
        <v>14</v>
      </c>
      <c r="AJ1358">
        <v>3</v>
      </c>
      <c r="AK1358">
        <v>3</v>
      </c>
      <c r="AL1358">
        <v>5</v>
      </c>
      <c r="AM1358">
        <v>4</v>
      </c>
      <c r="AN1358">
        <v>1</v>
      </c>
      <c r="AO1358">
        <v>4</v>
      </c>
      <c r="AP135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58" t="str">
        <f>IF(HRData[[#This Row],[Attrition]]="Yes","Left", IF(HRData[[#This Row],[Attrition_Risk_Score]]&gt;=6,"High",IF(HRData[[#This Row],[Attrition_Risk_Score]]&gt;=3,"Medium","Low")))</f>
        <v>Low</v>
      </c>
      <c r="AR1358" t="str">
        <f>IF(HRData[[#This Row],[Attrition_Risk_Level]]&lt;&gt;"High","",HRData[[#This Row],[Attrition_Risk_Score]]*10000-HRData[[#This Row],[EmployeeNumber]])</f>
        <v/>
      </c>
    </row>
    <row r="1359" spans="1:44">
      <c r="A1359">
        <v>42</v>
      </c>
      <c r="B1359" t="str" cm="1">
        <f t="array" ref="B1359">_xlfn.IFS(
HRData[[#This Row],[Age]]&lt;=24,"18-24",
HRData[[#This Row],[Age]]&lt;=34,"25-34",
HRData[[#This Row],[Age]]&lt;=44,"35-44",
HRData[[#This Row],[Age]]&lt;=54,"45-54",
HRData[[#This Row],[Age]]&gt;=55,"55+"
)</f>
        <v>35-44</v>
      </c>
      <c r="C1359" t="s">
        <v>43</v>
      </c>
      <c r="D1359">
        <f>IF(HRData[[#This Row],[Attrition]]="Yes",1,0)</f>
        <v>0</v>
      </c>
      <c r="E1359" t="s">
        <v>36</v>
      </c>
      <c r="F1359">
        <v>1396</v>
      </c>
      <c r="G1359" t="s">
        <v>45</v>
      </c>
      <c r="H1359">
        <v>6</v>
      </c>
      <c r="I1359">
        <v>3</v>
      </c>
      <c r="J1359" t="s">
        <v>51</v>
      </c>
      <c r="K1359">
        <v>1</v>
      </c>
      <c r="L1359">
        <v>1911</v>
      </c>
      <c r="M1359">
        <v>3</v>
      </c>
      <c r="N1359" t="str" cm="1">
        <f t="array" ref="N1359">_xlfn.IFS(HRData[[#This Row],[EnvironmentSatisfaction]]=1,"Very Dissatisfied",
HRData[[#This Row],[EnvironmentSatisfaction]]=2,"Dissatisfied",
HRData[[#This Row],[EnvironmentSatisfaction]]=3,"Satisfied",
HRData[[#This Row],[EnvironmentSatisfaction]]=4,"Very Satisfied"
)</f>
        <v>Satisfied</v>
      </c>
      <c r="O1359" t="s">
        <v>46</v>
      </c>
      <c r="P1359">
        <v>83</v>
      </c>
      <c r="Q1359">
        <v>3</v>
      </c>
      <c r="R1359">
        <v>3</v>
      </c>
      <c r="S1359" t="s">
        <v>58</v>
      </c>
      <c r="T1359">
        <v>1</v>
      </c>
      <c r="U1359" t="str" cm="1">
        <f t="array" ref="U1359">_xlfn.IFS(
HRData[[#This Row],[JobSatisfaction]]=1,"Very Dissatisfied",
HRData[[#This Row],[JobSatisfaction]]=2,"Dissatisfied",
HRData[[#This Row],[JobSatisfaction]]=3,"Satisfied",
HRData[[#This Row],[JobSatisfaction]]=4,"Very Satisfied"
)</f>
        <v>Very Dissatisfied</v>
      </c>
      <c r="V1359" t="s">
        <v>48</v>
      </c>
      <c r="W1359">
        <v>13348</v>
      </c>
      <c r="X1359" t="str" cm="1">
        <f t="array" ref="X1359">_xlfn.IFS(
HRData[[#This Row],[MonthlyIncome]]&lt;=4000,"Very Low Income",
HRData[[#This Row],[MonthlyIncome]]&lt;=8000,"Low Income",
HRData[[#This Row],[MonthlyIncome]]&lt;=12000,"Moderate Income",
HRData[[#This Row],[MonthlyIncome]]&lt;=16000,"High Income",
HRData[[#This Row],[MonthlyIncome]]&gt;16000,"Very High Income"
)</f>
        <v>High Income</v>
      </c>
      <c r="Y1359">
        <v>14842</v>
      </c>
      <c r="Z1359">
        <v>9</v>
      </c>
      <c r="AA1359" t="s">
        <v>42</v>
      </c>
      <c r="AB1359" t="s">
        <v>43</v>
      </c>
      <c r="AC1359">
        <v>13</v>
      </c>
      <c r="AD1359" t="str" cm="1">
        <f t="array" ref="AD1359">_xlfn.IFS(HRData[[#This Row],[PercentSalaryHike]]&lt;=15,"11-15",HRData[[#This Row],[PercentSalaryHike]]&lt;=20,"16-20",HRData[[#This Row],[PercentSalaryHike]]&gt;=21,"21+")</f>
        <v>11-15</v>
      </c>
      <c r="AE1359">
        <v>3</v>
      </c>
      <c r="AF1359">
        <v>2</v>
      </c>
      <c r="AG1359">
        <v>80</v>
      </c>
      <c r="AH1359">
        <v>1</v>
      </c>
      <c r="AI1359">
        <v>18</v>
      </c>
      <c r="AJ1359">
        <v>3</v>
      </c>
      <c r="AK1359">
        <v>4</v>
      </c>
      <c r="AL1359">
        <v>13</v>
      </c>
      <c r="AM1359">
        <v>7</v>
      </c>
      <c r="AN1359">
        <v>5</v>
      </c>
      <c r="AO1359">
        <v>7</v>
      </c>
      <c r="AP135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59" t="str">
        <f>IF(HRData[[#This Row],[Attrition]]="Yes","Left", IF(HRData[[#This Row],[Attrition_Risk_Score]]&gt;=6,"High",IF(HRData[[#This Row],[Attrition_Risk_Score]]&gt;=3,"Medium","Low")))</f>
        <v>Low</v>
      </c>
      <c r="AR1359" t="str">
        <f>IF(HRData[[#This Row],[Attrition_Risk_Level]]&lt;&gt;"High","",HRData[[#This Row],[Attrition_Risk_Score]]*10000-HRData[[#This Row],[EmployeeNumber]])</f>
        <v/>
      </c>
    </row>
    <row r="1360" spans="1:44">
      <c r="A1360">
        <v>31</v>
      </c>
      <c r="B1360" t="str" cm="1">
        <f t="array" ref="B1360">_xlfn.IFS(
HRData[[#This Row],[Age]]&lt;=24,"18-24",
HRData[[#This Row],[Age]]&lt;=34,"25-34",
HRData[[#This Row],[Age]]&lt;=44,"35-44",
HRData[[#This Row],[Age]]&lt;=54,"45-54",
HRData[[#This Row],[Age]]&gt;=55,"55+"
)</f>
        <v>25-34</v>
      </c>
      <c r="C1360" t="s">
        <v>43</v>
      </c>
      <c r="D1360">
        <f>IF(HRData[[#This Row],[Attrition]]="Yes",1,0)</f>
        <v>0</v>
      </c>
      <c r="E1360" t="s">
        <v>36</v>
      </c>
      <c r="F1360">
        <v>1079</v>
      </c>
      <c r="G1360" t="s">
        <v>37</v>
      </c>
      <c r="H1360">
        <v>10</v>
      </c>
      <c r="I1360">
        <v>2</v>
      </c>
      <c r="J1360" t="s">
        <v>51</v>
      </c>
      <c r="K1360">
        <v>1</v>
      </c>
      <c r="L1360">
        <v>1912</v>
      </c>
      <c r="M1360">
        <v>3</v>
      </c>
      <c r="N1360" t="str" cm="1">
        <f t="array" ref="N1360">_xlfn.IFS(HRData[[#This Row],[EnvironmentSatisfaction]]=1,"Very Dissatisfied",
HRData[[#This Row],[EnvironmentSatisfaction]]=2,"Dissatisfied",
HRData[[#This Row],[EnvironmentSatisfaction]]=3,"Satisfied",
HRData[[#This Row],[EnvironmentSatisfaction]]=4,"Very Satisfied"
)</f>
        <v>Satisfied</v>
      </c>
      <c r="O1360" t="s">
        <v>39</v>
      </c>
      <c r="P1360">
        <v>86</v>
      </c>
      <c r="Q1360">
        <v>3</v>
      </c>
      <c r="R1360">
        <v>2</v>
      </c>
      <c r="S1360" t="s">
        <v>40</v>
      </c>
      <c r="T1360">
        <v>4</v>
      </c>
      <c r="U1360" t="str" cm="1">
        <f t="array" ref="U1360">_xlfn.IFS(
HRData[[#This Row],[JobSatisfaction]]=1,"Very Dissatisfied",
HRData[[#This Row],[JobSatisfaction]]=2,"Dissatisfied",
HRData[[#This Row],[JobSatisfaction]]=3,"Satisfied",
HRData[[#This Row],[JobSatisfaction]]=4,"Very Satisfied"
)</f>
        <v>Very Satisfied</v>
      </c>
      <c r="V1360" t="s">
        <v>52</v>
      </c>
      <c r="W1360">
        <v>6583</v>
      </c>
      <c r="X1360" t="str" cm="1">
        <f t="array" ref="X1360">_xlfn.IFS(
HRData[[#This Row],[MonthlyIncome]]&lt;=4000,"Very Low Income",
HRData[[#This Row],[MonthlyIncome]]&lt;=8000,"Low Income",
HRData[[#This Row],[MonthlyIncome]]&lt;=12000,"Moderate Income",
HRData[[#This Row],[MonthlyIncome]]&lt;=16000,"High Income",
HRData[[#This Row],[MonthlyIncome]]&gt;16000,"Very High Income"
)</f>
        <v>Low Income</v>
      </c>
      <c r="Y1360">
        <v>20115</v>
      </c>
      <c r="Z1360">
        <v>2</v>
      </c>
      <c r="AA1360" t="s">
        <v>42</v>
      </c>
      <c r="AB1360" t="s">
        <v>35</v>
      </c>
      <c r="AC1360">
        <v>11</v>
      </c>
      <c r="AD1360" t="str" cm="1">
        <f t="array" ref="AD1360">_xlfn.IFS(HRData[[#This Row],[PercentSalaryHike]]&lt;=15,"11-15",HRData[[#This Row],[PercentSalaryHike]]&lt;=20,"16-20",HRData[[#This Row],[PercentSalaryHike]]&gt;=21,"21+")</f>
        <v>11-15</v>
      </c>
      <c r="AE1360">
        <v>3</v>
      </c>
      <c r="AF1360">
        <v>4</v>
      </c>
      <c r="AG1360">
        <v>80</v>
      </c>
      <c r="AH1360">
        <v>1</v>
      </c>
      <c r="AI1360">
        <v>8</v>
      </c>
      <c r="AJ1360">
        <v>2</v>
      </c>
      <c r="AK1360">
        <v>3</v>
      </c>
      <c r="AL1360">
        <v>5</v>
      </c>
      <c r="AM1360">
        <v>2</v>
      </c>
      <c r="AN1360">
        <v>1</v>
      </c>
      <c r="AO1360">
        <v>4</v>
      </c>
      <c r="AP136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360" t="str">
        <f>IF(HRData[[#This Row],[Attrition]]="Yes","Left", IF(HRData[[#This Row],[Attrition_Risk_Score]]&gt;=6,"High",IF(HRData[[#This Row],[Attrition_Risk_Score]]&gt;=3,"Medium","Low")))</f>
        <v>Medium</v>
      </c>
      <c r="AR1360" t="str">
        <f>IF(HRData[[#This Row],[Attrition_Risk_Level]]&lt;&gt;"High","",HRData[[#This Row],[Attrition_Risk_Score]]*10000-HRData[[#This Row],[EmployeeNumber]])</f>
        <v/>
      </c>
    </row>
    <row r="1361" spans="1:44">
      <c r="A1361">
        <v>34</v>
      </c>
      <c r="B1361" t="str" cm="1">
        <f t="array" ref="B1361">_xlfn.IFS(
HRData[[#This Row],[Age]]&lt;=24,"18-24",
HRData[[#This Row],[Age]]&lt;=34,"25-34",
HRData[[#This Row],[Age]]&lt;=44,"35-44",
HRData[[#This Row],[Age]]&lt;=54,"45-54",
HRData[[#This Row],[Age]]&gt;=55,"55+"
)</f>
        <v>25-34</v>
      </c>
      <c r="C1361" t="s">
        <v>43</v>
      </c>
      <c r="D1361">
        <f>IF(HRData[[#This Row],[Attrition]]="Yes",1,0)</f>
        <v>0</v>
      </c>
      <c r="E1361" t="s">
        <v>36</v>
      </c>
      <c r="F1361">
        <v>735</v>
      </c>
      <c r="G1361" t="s">
        <v>37</v>
      </c>
      <c r="H1361">
        <v>3</v>
      </c>
      <c r="I1361">
        <v>1</v>
      </c>
      <c r="J1361" t="s">
        <v>51</v>
      </c>
      <c r="K1361">
        <v>1</v>
      </c>
      <c r="L1361">
        <v>1915</v>
      </c>
      <c r="M1361">
        <v>4</v>
      </c>
      <c r="N1361" t="str" cm="1">
        <f t="array" ref="N1361">_xlfn.IFS(HRData[[#This Row],[EnvironmentSatisfaction]]=1,"Very Dissatisfied",
HRData[[#This Row],[EnvironmentSatisfaction]]=2,"Dissatisfied",
HRData[[#This Row],[EnvironmentSatisfaction]]=3,"Satisfied",
HRData[[#This Row],[EnvironmentSatisfaction]]=4,"Very Satisfied"
)</f>
        <v>Very Satisfied</v>
      </c>
      <c r="O1361" t="s">
        <v>39</v>
      </c>
      <c r="P1361">
        <v>75</v>
      </c>
      <c r="Q1361">
        <v>2</v>
      </c>
      <c r="R1361">
        <v>2</v>
      </c>
      <c r="S1361" t="s">
        <v>40</v>
      </c>
      <c r="T1361">
        <v>4</v>
      </c>
      <c r="U1361" t="str" cm="1">
        <f t="array" ref="U1361">_xlfn.IFS(
HRData[[#This Row],[JobSatisfaction]]=1,"Very Dissatisfied",
HRData[[#This Row],[JobSatisfaction]]=2,"Dissatisfied",
HRData[[#This Row],[JobSatisfaction]]=3,"Satisfied",
HRData[[#This Row],[JobSatisfaction]]=4,"Very Satisfied"
)</f>
        <v>Very Satisfied</v>
      </c>
      <c r="V1361" t="s">
        <v>48</v>
      </c>
      <c r="W1361">
        <v>8103</v>
      </c>
      <c r="X1361" t="str" cm="1">
        <f t="array" ref="X1361">_xlfn.IFS(
HRData[[#This Row],[MonthlyIncome]]&lt;=4000,"Very Low Income",
HRData[[#This Row],[MonthlyIncome]]&lt;=8000,"Low Income",
HRData[[#This Row],[MonthlyIncome]]&lt;=12000,"Moderate Income",
HRData[[#This Row],[MonthlyIncome]]&lt;=16000,"High Income",
HRData[[#This Row],[MonthlyIncome]]&gt;16000,"Very High Income"
)</f>
        <v>Moderate Income</v>
      </c>
      <c r="Y1361">
        <v>16495</v>
      </c>
      <c r="Z1361">
        <v>3</v>
      </c>
      <c r="AA1361" t="s">
        <v>42</v>
      </c>
      <c r="AB1361" t="s">
        <v>35</v>
      </c>
      <c r="AC1361">
        <v>12</v>
      </c>
      <c r="AD1361" t="str" cm="1">
        <f t="array" ref="AD1361">_xlfn.IFS(HRData[[#This Row],[PercentSalaryHike]]&lt;=15,"11-15",HRData[[#This Row],[PercentSalaryHike]]&lt;=20,"16-20",HRData[[#This Row],[PercentSalaryHike]]&gt;=21,"21+")</f>
        <v>11-15</v>
      </c>
      <c r="AE1361">
        <v>3</v>
      </c>
      <c r="AF1361">
        <v>3</v>
      </c>
      <c r="AG1361">
        <v>80</v>
      </c>
      <c r="AH1361">
        <v>0</v>
      </c>
      <c r="AI1361">
        <v>9</v>
      </c>
      <c r="AJ1361">
        <v>3</v>
      </c>
      <c r="AK1361">
        <v>2</v>
      </c>
      <c r="AL1361">
        <v>4</v>
      </c>
      <c r="AM1361">
        <v>2</v>
      </c>
      <c r="AN1361">
        <v>0</v>
      </c>
      <c r="AO1361">
        <v>1</v>
      </c>
      <c r="AP136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61" t="str">
        <f>IF(HRData[[#This Row],[Attrition]]="Yes","Left", IF(HRData[[#This Row],[Attrition_Risk_Score]]&gt;=6,"High",IF(HRData[[#This Row],[Attrition_Risk_Score]]&gt;=3,"Medium","Low")))</f>
        <v>Medium</v>
      </c>
      <c r="AR1361" t="str">
        <f>IF(HRData[[#This Row],[Attrition_Risk_Level]]&lt;&gt;"High","",HRData[[#This Row],[Attrition_Risk_Score]]*10000-HRData[[#This Row],[EmployeeNumber]])</f>
        <v/>
      </c>
    </row>
    <row r="1362" spans="1:44">
      <c r="A1362">
        <v>31</v>
      </c>
      <c r="B1362" t="str" cm="1">
        <f t="array" ref="B1362">_xlfn.IFS(
HRData[[#This Row],[Age]]&lt;=24,"18-24",
HRData[[#This Row],[Age]]&lt;=34,"25-34",
HRData[[#This Row],[Age]]&lt;=44,"35-44",
HRData[[#This Row],[Age]]&lt;=54,"45-54",
HRData[[#This Row],[Age]]&gt;=55,"55+"
)</f>
        <v>25-34</v>
      </c>
      <c r="C1362" t="s">
        <v>43</v>
      </c>
      <c r="D1362">
        <f>IF(HRData[[#This Row],[Attrition]]="Yes",1,0)</f>
        <v>0</v>
      </c>
      <c r="E1362" t="s">
        <v>36</v>
      </c>
      <c r="F1362">
        <v>471</v>
      </c>
      <c r="G1362" t="s">
        <v>45</v>
      </c>
      <c r="H1362">
        <v>4</v>
      </c>
      <c r="I1362">
        <v>3</v>
      </c>
      <c r="J1362" t="s">
        <v>51</v>
      </c>
      <c r="K1362">
        <v>1</v>
      </c>
      <c r="L1362">
        <v>1916</v>
      </c>
      <c r="M1362">
        <v>1</v>
      </c>
      <c r="N1362" t="str" cm="1">
        <f t="array" ref="N1362">_xlfn.IFS(HRData[[#This Row],[EnvironmentSatisfaction]]=1,"Very Dissatisfied",
HRData[[#This Row],[EnvironmentSatisfaction]]=2,"Dissatisfied",
HRData[[#This Row],[EnvironmentSatisfaction]]=3,"Satisfied",
HRData[[#This Row],[EnvironmentSatisfaction]]=4,"Very Satisfied"
)</f>
        <v>Very Dissatisfied</v>
      </c>
      <c r="O1362" t="s">
        <v>39</v>
      </c>
      <c r="P1362">
        <v>62</v>
      </c>
      <c r="Q1362">
        <v>4</v>
      </c>
      <c r="R1362">
        <v>1</v>
      </c>
      <c r="S1362" t="s">
        <v>50</v>
      </c>
      <c r="T1362">
        <v>3</v>
      </c>
      <c r="U1362" t="str" cm="1">
        <f t="array" ref="U1362">_xlfn.IFS(
HRData[[#This Row],[JobSatisfaction]]=1,"Very Dissatisfied",
HRData[[#This Row],[JobSatisfaction]]=2,"Dissatisfied",
HRData[[#This Row],[JobSatisfaction]]=3,"Satisfied",
HRData[[#This Row],[JobSatisfaction]]=4,"Very Satisfied"
)</f>
        <v>Satisfied</v>
      </c>
      <c r="V1362" t="s">
        <v>52</v>
      </c>
      <c r="W1362">
        <v>3978</v>
      </c>
      <c r="X1362" t="str" cm="1">
        <f t="array" ref="X1362">_xlfn.IFS(
HRData[[#This Row],[MonthlyIncome]]&lt;=4000,"Very Low Income",
HRData[[#This Row],[MonthlyIncome]]&lt;=8000,"Low Income",
HRData[[#This Row],[MonthlyIncome]]&lt;=12000,"Moderate Income",
HRData[[#This Row],[MonthlyIncome]]&lt;=16000,"High Income",
HRData[[#This Row],[MonthlyIncome]]&gt;16000,"Very High Income"
)</f>
        <v>Very Low Income</v>
      </c>
      <c r="Y1362">
        <v>16031</v>
      </c>
      <c r="Z1362">
        <v>8</v>
      </c>
      <c r="AA1362" t="s">
        <v>42</v>
      </c>
      <c r="AB1362" t="s">
        <v>43</v>
      </c>
      <c r="AC1362">
        <v>12</v>
      </c>
      <c r="AD1362" t="str" cm="1">
        <f t="array" ref="AD1362">_xlfn.IFS(HRData[[#This Row],[PercentSalaryHike]]&lt;=15,"11-15",HRData[[#This Row],[PercentSalaryHike]]&lt;=20,"16-20",HRData[[#This Row],[PercentSalaryHike]]&gt;=21,"21+")</f>
        <v>11-15</v>
      </c>
      <c r="AE1362">
        <v>3</v>
      </c>
      <c r="AF1362">
        <v>2</v>
      </c>
      <c r="AG1362">
        <v>80</v>
      </c>
      <c r="AH1362">
        <v>1</v>
      </c>
      <c r="AI1362">
        <v>4</v>
      </c>
      <c r="AJ1362">
        <v>0</v>
      </c>
      <c r="AK1362">
        <v>2</v>
      </c>
      <c r="AL1362">
        <v>2</v>
      </c>
      <c r="AM1362">
        <v>2</v>
      </c>
      <c r="AN1362">
        <v>2</v>
      </c>
      <c r="AO1362">
        <v>2</v>
      </c>
      <c r="AP136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362" t="str">
        <f>IF(HRData[[#This Row],[Attrition]]="Yes","Left", IF(HRData[[#This Row],[Attrition_Risk_Score]]&gt;=6,"High",IF(HRData[[#This Row],[Attrition_Risk_Score]]&gt;=3,"Medium","Low")))</f>
        <v>Medium</v>
      </c>
      <c r="AR1362" t="str">
        <f>IF(HRData[[#This Row],[Attrition_Risk_Level]]&lt;&gt;"High","",HRData[[#This Row],[Attrition_Risk_Score]]*10000-HRData[[#This Row],[EmployeeNumber]])</f>
        <v/>
      </c>
    </row>
    <row r="1363" spans="1:44">
      <c r="A1363">
        <v>26</v>
      </c>
      <c r="B1363" t="str" cm="1">
        <f t="array" ref="B1363">_xlfn.IFS(
HRData[[#This Row],[Age]]&lt;=24,"18-24",
HRData[[#This Row],[Age]]&lt;=34,"25-34",
HRData[[#This Row],[Age]]&lt;=44,"35-44",
HRData[[#This Row],[Age]]&lt;=54,"45-54",
HRData[[#This Row],[Age]]&gt;=55,"55+"
)</f>
        <v>25-34</v>
      </c>
      <c r="C1363" t="s">
        <v>43</v>
      </c>
      <c r="D1363">
        <f>IF(HRData[[#This Row],[Attrition]]="Yes",1,0)</f>
        <v>0</v>
      </c>
      <c r="E1363" t="s">
        <v>44</v>
      </c>
      <c r="F1363">
        <v>1096</v>
      </c>
      <c r="G1363" t="s">
        <v>45</v>
      </c>
      <c r="H1363">
        <v>6</v>
      </c>
      <c r="I1363">
        <v>3</v>
      </c>
      <c r="J1363" t="s">
        <v>49</v>
      </c>
      <c r="K1363">
        <v>1</v>
      </c>
      <c r="L1363">
        <v>1918</v>
      </c>
      <c r="M1363">
        <v>3</v>
      </c>
      <c r="N1363" t="str" cm="1">
        <f t="array" ref="N1363">_xlfn.IFS(HRData[[#This Row],[EnvironmentSatisfaction]]=1,"Very Dissatisfied",
HRData[[#This Row],[EnvironmentSatisfaction]]=2,"Dissatisfied",
HRData[[#This Row],[EnvironmentSatisfaction]]=3,"Satisfied",
HRData[[#This Row],[EnvironmentSatisfaction]]=4,"Very Satisfied"
)</f>
        <v>Satisfied</v>
      </c>
      <c r="O1363" t="s">
        <v>46</v>
      </c>
      <c r="P1363">
        <v>61</v>
      </c>
      <c r="Q1363">
        <v>4</v>
      </c>
      <c r="R1363">
        <v>1</v>
      </c>
      <c r="S1363" t="s">
        <v>50</v>
      </c>
      <c r="T1363">
        <v>4</v>
      </c>
      <c r="U1363" t="str" cm="1">
        <f t="array" ref="U1363">_xlfn.IFS(
HRData[[#This Row],[JobSatisfaction]]=1,"Very Dissatisfied",
HRData[[#This Row],[JobSatisfaction]]=2,"Dissatisfied",
HRData[[#This Row],[JobSatisfaction]]=3,"Satisfied",
HRData[[#This Row],[JobSatisfaction]]=4,"Very Satisfied"
)</f>
        <v>Very Satisfied</v>
      </c>
      <c r="V1363" t="s">
        <v>48</v>
      </c>
      <c r="W1363">
        <v>2544</v>
      </c>
      <c r="X1363" t="str" cm="1">
        <f t="array" ref="X1363">_xlfn.IFS(
HRData[[#This Row],[MonthlyIncome]]&lt;=4000,"Very Low Income",
HRData[[#This Row],[MonthlyIncome]]&lt;=8000,"Low Income",
HRData[[#This Row],[MonthlyIncome]]&lt;=12000,"Moderate Income",
HRData[[#This Row],[MonthlyIncome]]&lt;=16000,"High Income",
HRData[[#This Row],[MonthlyIncome]]&gt;16000,"Very High Income"
)</f>
        <v>Very Low Income</v>
      </c>
      <c r="Y1363">
        <v>7102</v>
      </c>
      <c r="Z1363">
        <v>0</v>
      </c>
      <c r="AA1363" t="s">
        <v>42</v>
      </c>
      <c r="AB1363" t="s">
        <v>43</v>
      </c>
      <c r="AC1363">
        <v>18</v>
      </c>
      <c r="AD1363" t="str" cm="1">
        <f t="array" ref="AD1363">_xlfn.IFS(HRData[[#This Row],[PercentSalaryHike]]&lt;=15,"11-15",HRData[[#This Row],[PercentSalaryHike]]&lt;=20,"16-20",HRData[[#This Row],[PercentSalaryHike]]&gt;=21,"21+")</f>
        <v>16-20</v>
      </c>
      <c r="AE1363">
        <v>3</v>
      </c>
      <c r="AF1363">
        <v>1</v>
      </c>
      <c r="AG1363">
        <v>80</v>
      </c>
      <c r="AH1363">
        <v>1</v>
      </c>
      <c r="AI1363">
        <v>8</v>
      </c>
      <c r="AJ1363">
        <v>3</v>
      </c>
      <c r="AK1363">
        <v>3</v>
      </c>
      <c r="AL1363">
        <v>7</v>
      </c>
      <c r="AM1363">
        <v>7</v>
      </c>
      <c r="AN1363">
        <v>7</v>
      </c>
      <c r="AO1363">
        <v>7</v>
      </c>
      <c r="AP136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363" t="str">
        <f>IF(HRData[[#This Row],[Attrition]]="Yes","Left", IF(HRData[[#This Row],[Attrition_Risk_Score]]&gt;=6,"High",IF(HRData[[#This Row],[Attrition_Risk_Score]]&gt;=3,"Medium","Low")))</f>
        <v>Medium</v>
      </c>
      <c r="AR1363" t="str">
        <f>IF(HRData[[#This Row],[Attrition_Risk_Level]]&lt;&gt;"High","",HRData[[#This Row],[Attrition_Risk_Score]]*10000-HRData[[#This Row],[EmployeeNumber]])</f>
        <v/>
      </c>
    </row>
    <row r="1364" spans="1:44">
      <c r="A1364">
        <v>45</v>
      </c>
      <c r="B1364" t="str" cm="1">
        <f t="array" ref="B1364">_xlfn.IFS(
HRData[[#This Row],[Age]]&lt;=24,"18-24",
HRData[[#This Row],[Age]]&lt;=34,"25-34",
HRData[[#This Row],[Age]]&lt;=44,"35-44",
HRData[[#This Row],[Age]]&lt;=54,"45-54",
HRData[[#This Row],[Age]]&gt;=55,"55+"
)</f>
        <v>45-54</v>
      </c>
      <c r="C1364" t="s">
        <v>43</v>
      </c>
      <c r="D1364">
        <f>IF(HRData[[#This Row],[Attrition]]="Yes",1,0)</f>
        <v>0</v>
      </c>
      <c r="E1364" t="s">
        <v>44</v>
      </c>
      <c r="F1364">
        <v>1297</v>
      </c>
      <c r="G1364" t="s">
        <v>45</v>
      </c>
      <c r="H1364">
        <v>1</v>
      </c>
      <c r="I1364">
        <v>4</v>
      </c>
      <c r="J1364" t="s">
        <v>51</v>
      </c>
      <c r="K1364">
        <v>1</v>
      </c>
      <c r="L1364">
        <v>1922</v>
      </c>
      <c r="M1364">
        <v>2</v>
      </c>
      <c r="N1364" t="str" cm="1">
        <f t="array" ref="N1364">_xlfn.IFS(HRData[[#This Row],[EnvironmentSatisfaction]]=1,"Very Dissatisfied",
HRData[[#This Row],[EnvironmentSatisfaction]]=2,"Dissatisfied",
HRData[[#This Row],[EnvironmentSatisfaction]]=3,"Satisfied",
HRData[[#This Row],[EnvironmentSatisfaction]]=4,"Very Satisfied"
)</f>
        <v>Dissatisfied</v>
      </c>
      <c r="O1364" t="s">
        <v>46</v>
      </c>
      <c r="P1364">
        <v>44</v>
      </c>
      <c r="Q1364">
        <v>3</v>
      </c>
      <c r="R1364">
        <v>2</v>
      </c>
      <c r="S1364" t="s">
        <v>54</v>
      </c>
      <c r="T1364">
        <v>3</v>
      </c>
      <c r="U1364" t="str" cm="1">
        <f t="array" ref="U1364">_xlfn.IFS(
HRData[[#This Row],[JobSatisfaction]]=1,"Very Dissatisfied",
HRData[[#This Row],[JobSatisfaction]]=2,"Dissatisfied",
HRData[[#This Row],[JobSatisfaction]]=3,"Satisfied",
HRData[[#This Row],[JobSatisfaction]]=4,"Very Satisfied"
)</f>
        <v>Satisfied</v>
      </c>
      <c r="V1364" t="s">
        <v>41</v>
      </c>
      <c r="W1364">
        <v>5399</v>
      </c>
      <c r="X1364" t="str" cm="1">
        <f t="array" ref="X1364">_xlfn.IFS(
HRData[[#This Row],[MonthlyIncome]]&lt;=4000,"Very Low Income",
HRData[[#This Row],[MonthlyIncome]]&lt;=8000,"Low Income",
HRData[[#This Row],[MonthlyIncome]]&lt;=12000,"Moderate Income",
HRData[[#This Row],[MonthlyIncome]]&lt;=16000,"High Income",
HRData[[#This Row],[MonthlyIncome]]&gt;16000,"Very High Income"
)</f>
        <v>Low Income</v>
      </c>
      <c r="Y1364">
        <v>14511</v>
      </c>
      <c r="Z1364">
        <v>4</v>
      </c>
      <c r="AA1364" t="s">
        <v>42</v>
      </c>
      <c r="AB1364" t="s">
        <v>43</v>
      </c>
      <c r="AC1364">
        <v>12</v>
      </c>
      <c r="AD1364" t="str" cm="1">
        <f t="array" ref="AD1364">_xlfn.IFS(HRData[[#This Row],[PercentSalaryHike]]&lt;=15,"11-15",HRData[[#This Row],[PercentSalaryHike]]&lt;=20,"16-20",HRData[[#This Row],[PercentSalaryHike]]&gt;=21,"21+")</f>
        <v>11-15</v>
      </c>
      <c r="AE1364">
        <v>3</v>
      </c>
      <c r="AF1364">
        <v>3</v>
      </c>
      <c r="AG1364">
        <v>80</v>
      </c>
      <c r="AH1364">
        <v>0</v>
      </c>
      <c r="AI1364">
        <v>12</v>
      </c>
      <c r="AJ1364">
        <v>3</v>
      </c>
      <c r="AK1364">
        <v>3</v>
      </c>
      <c r="AL1364">
        <v>4</v>
      </c>
      <c r="AM1364">
        <v>2</v>
      </c>
      <c r="AN1364">
        <v>0</v>
      </c>
      <c r="AO1364">
        <v>3</v>
      </c>
      <c r="AP136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64" t="str">
        <f>IF(HRData[[#This Row],[Attrition]]="Yes","Left", IF(HRData[[#This Row],[Attrition_Risk_Score]]&gt;=6,"High",IF(HRData[[#This Row],[Attrition_Risk_Score]]&gt;=3,"Medium","Low")))</f>
        <v>Low</v>
      </c>
      <c r="AR1364" t="str">
        <f>IF(HRData[[#This Row],[Attrition_Risk_Level]]&lt;&gt;"High","",HRData[[#This Row],[Attrition_Risk_Score]]*10000-HRData[[#This Row],[EmployeeNumber]])</f>
        <v/>
      </c>
    </row>
    <row r="1365" spans="1:44">
      <c r="A1365">
        <v>33</v>
      </c>
      <c r="B1365" t="str" cm="1">
        <f t="array" ref="B1365">_xlfn.IFS(
HRData[[#This Row],[Age]]&lt;=24,"18-24",
HRData[[#This Row],[Age]]&lt;=34,"25-34",
HRData[[#This Row],[Age]]&lt;=44,"35-44",
HRData[[#This Row],[Age]]&lt;=54,"45-54",
HRData[[#This Row],[Age]]&gt;=55,"55+"
)</f>
        <v>25-34</v>
      </c>
      <c r="C1365" t="s">
        <v>43</v>
      </c>
      <c r="D1365">
        <f>IF(HRData[[#This Row],[Attrition]]="Yes",1,0)</f>
        <v>0</v>
      </c>
      <c r="E1365" t="s">
        <v>36</v>
      </c>
      <c r="F1365">
        <v>217</v>
      </c>
      <c r="G1365" t="s">
        <v>37</v>
      </c>
      <c r="H1365">
        <v>10</v>
      </c>
      <c r="I1365">
        <v>4</v>
      </c>
      <c r="J1365" t="s">
        <v>59</v>
      </c>
      <c r="K1365">
        <v>1</v>
      </c>
      <c r="L1365">
        <v>1924</v>
      </c>
      <c r="M1365">
        <v>2</v>
      </c>
      <c r="N1365" t="str" cm="1">
        <f t="array" ref="N1365">_xlfn.IFS(HRData[[#This Row],[EnvironmentSatisfaction]]=1,"Very Dissatisfied",
HRData[[#This Row],[EnvironmentSatisfaction]]=2,"Dissatisfied",
HRData[[#This Row],[EnvironmentSatisfaction]]=3,"Satisfied",
HRData[[#This Row],[EnvironmentSatisfaction]]=4,"Very Satisfied"
)</f>
        <v>Dissatisfied</v>
      </c>
      <c r="O1365" t="s">
        <v>46</v>
      </c>
      <c r="P1365">
        <v>43</v>
      </c>
      <c r="Q1365">
        <v>3</v>
      </c>
      <c r="R1365">
        <v>2</v>
      </c>
      <c r="S1365" t="s">
        <v>40</v>
      </c>
      <c r="T1365">
        <v>3</v>
      </c>
      <c r="U1365" t="str" cm="1">
        <f t="array" ref="U1365">_xlfn.IFS(
HRData[[#This Row],[JobSatisfaction]]=1,"Very Dissatisfied",
HRData[[#This Row],[JobSatisfaction]]=2,"Dissatisfied",
HRData[[#This Row],[JobSatisfaction]]=3,"Satisfied",
HRData[[#This Row],[JobSatisfaction]]=4,"Very Satisfied"
)</f>
        <v>Satisfied</v>
      </c>
      <c r="V1365" t="s">
        <v>41</v>
      </c>
      <c r="W1365">
        <v>5487</v>
      </c>
      <c r="X1365" t="str" cm="1">
        <f t="array" ref="X1365">_xlfn.IFS(
HRData[[#This Row],[MonthlyIncome]]&lt;=4000,"Very Low Income",
HRData[[#This Row],[MonthlyIncome]]&lt;=8000,"Low Income",
HRData[[#This Row],[MonthlyIncome]]&lt;=12000,"Moderate Income",
HRData[[#This Row],[MonthlyIncome]]&lt;=16000,"High Income",
HRData[[#This Row],[MonthlyIncome]]&gt;16000,"Very High Income"
)</f>
        <v>Low Income</v>
      </c>
      <c r="Y1365">
        <v>10410</v>
      </c>
      <c r="Z1365">
        <v>1</v>
      </c>
      <c r="AA1365" t="s">
        <v>42</v>
      </c>
      <c r="AB1365" t="s">
        <v>43</v>
      </c>
      <c r="AC1365">
        <v>14</v>
      </c>
      <c r="AD1365" t="str" cm="1">
        <f t="array" ref="AD1365">_xlfn.IFS(HRData[[#This Row],[PercentSalaryHike]]&lt;=15,"11-15",HRData[[#This Row],[PercentSalaryHike]]&lt;=20,"16-20",HRData[[#This Row],[PercentSalaryHike]]&gt;=21,"21+")</f>
        <v>11-15</v>
      </c>
      <c r="AE1365">
        <v>3</v>
      </c>
      <c r="AF1365">
        <v>2</v>
      </c>
      <c r="AG1365">
        <v>80</v>
      </c>
      <c r="AH1365">
        <v>0</v>
      </c>
      <c r="AI1365">
        <v>10</v>
      </c>
      <c r="AJ1365">
        <v>2</v>
      </c>
      <c r="AK1365">
        <v>2</v>
      </c>
      <c r="AL1365">
        <v>10</v>
      </c>
      <c r="AM1365">
        <v>4</v>
      </c>
      <c r="AN1365">
        <v>0</v>
      </c>
      <c r="AO1365">
        <v>9</v>
      </c>
      <c r="AP136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65" t="str">
        <f>IF(HRData[[#This Row],[Attrition]]="Yes","Left", IF(HRData[[#This Row],[Attrition_Risk_Score]]&gt;=6,"High",IF(HRData[[#This Row],[Attrition_Risk_Score]]&gt;=3,"Medium","Low")))</f>
        <v>Low</v>
      </c>
      <c r="AR1365" t="str">
        <f>IF(HRData[[#This Row],[Attrition_Risk_Level]]&lt;&gt;"High","",HRData[[#This Row],[Attrition_Risk_Score]]*10000-HRData[[#This Row],[EmployeeNumber]])</f>
        <v/>
      </c>
    </row>
    <row r="1366" spans="1:44">
      <c r="A1366">
        <v>28</v>
      </c>
      <c r="B1366" t="str" cm="1">
        <f t="array" ref="B1366">_xlfn.IFS(
HRData[[#This Row],[Age]]&lt;=24,"18-24",
HRData[[#This Row],[Age]]&lt;=34,"25-34",
HRData[[#This Row],[Age]]&lt;=44,"35-44",
HRData[[#This Row],[Age]]&lt;=54,"45-54",
HRData[[#This Row],[Age]]&gt;=55,"55+"
)</f>
        <v>25-34</v>
      </c>
      <c r="C1366" t="s">
        <v>43</v>
      </c>
      <c r="D1366">
        <f>IF(HRData[[#This Row],[Attrition]]="Yes",1,0)</f>
        <v>0</v>
      </c>
      <c r="E1366" t="s">
        <v>44</v>
      </c>
      <c r="F1366">
        <v>783</v>
      </c>
      <c r="G1366" t="s">
        <v>37</v>
      </c>
      <c r="H1366">
        <v>1</v>
      </c>
      <c r="I1366">
        <v>2</v>
      </c>
      <c r="J1366" t="s">
        <v>38</v>
      </c>
      <c r="K1366">
        <v>1</v>
      </c>
      <c r="L1366">
        <v>1927</v>
      </c>
      <c r="M1366">
        <v>3</v>
      </c>
      <c r="N1366" t="str" cm="1">
        <f t="array" ref="N1366">_xlfn.IFS(HRData[[#This Row],[EnvironmentSatisfaction]]=1,"Very Dissatisfied",
HRData[[#This Row],[EnvironmentSatisfaction]]=2,"Dissatisfied",
HRData[[#This Row],[EnvironmentSatisfaction]]=3,"Satisfied",
HRData[[#This Row],[EnvironmentSatisfaction]]=4,"Very Satisfied"
)</f>
        <v>Satisfied</v>
      </c>
      <c r="O1366" t="s">
        <v>46</v>
      </c>
      <c r="P1366">
        <v>42</v>
      </c>
      <c r="Q1366">
        <v>2</v>
      </c>
      <c r="R1366">
        <v>2</v>
      </c>
      <c r="S1366" t="s">
        <v>40</v>
      </c>
      <c r="T1366">
        <v>4</v>
      </c>
      <c r="U1366" t="str" cm="1">
        <f t="array" ref="U1366">_xlfn.IFS(
HRData[[#This Row],[JobSatisfaction]]=1,"Very Dissatisfied",
HRData[[#This Row],[JobSatisfaction]]=2,"Dissatisfied",
HRData[[#This Row],[JobSatisfaction]]=3,"Satisfied",
HRData[[#This Row],[JobSatisfaction]]=4,"Very Satisfied"
)</f>
        <v>Very Satisfied</v>
      </c>
      <c r="V1366" t="s">
        <v>48</v>
      </c>
      <c r="W1366">
        <v>6834</v>
      </c>
      <c r="X1366" t="str" cm="1">
        <f t="array" ref="X1366">_xlfn.IFS(
HRData[[#This Row],[MonthlyIncome]]&lt;=4000,"Very Low Income",
HRData[[#This Row],[MonthlyIncome]]&lt;=8000,"Low Income",
HRData[[#This Row],[MonthlyIncome]]&lt;=12000,"Moderate Income",
HRData[[#This Row],[MonthlyIncome]]&lt;=16000,"High Income",
HRData[[#This Row],[MonthlyIncome]]&gt;16000,"Very High Income"
)</f>
        <v>Low Income</v>
      </c>
      <c r="Y1366">
        <v>19255</v>
      </c>
      <c r="Z1366">
        <v>1</v>
      </c>
      <c r="AA1366" t="s">
        <v>42</v>
      </c>
      <c r="AB1366" t="s">
        <v>35</v>
      </c>
      <c r="AC1366">
        <v>12</v>
      </c>
      <c r="AD1366" t="str" cm="1">
        <f t="array" ref="AD1366">_xlfn.IFS(HRData[[#This Row],[PercentSalaryHike]]&lt;=15,"11-15",HRData[[#This Row],[PercentSalaryHike]]&lt;=20,"16-20",HRData[[#This Row],[PercentSalaryHike]]&gt;=21,"21+")</f>
        <v>11-15</v>
      </c>
      <c r="AE1366">
        <v>3</v>
      </c>
      <c r="AF1366">
        <v>3</v>
      </c>
      <c r="AG1366">
        <v>80</v>
      </c>
      <c r="AH1366">
        <v>1</v>
      </c>
      <c r="AI1366">
        <v>7</v>
      </c>
      <c r="AJ1366">
        <v>2</v>
      </c>
      <c r="AK1366">
        <v>3</v>
      </c>
      <c r="AL1366">
        <v>7</v>
      </c>
      <c r="AM1366">
        <v>7</v>
      </c>
      <c r="AN1366">
        <v>0</v>
      </c>
      <c r="AO1366">
        <v>7</v>
      </c>
      <c r="AP136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366" t="str">
        <f>IF(HRData[[#This Row],[Attrition]]="Yes","Left", IF(HRData[[#This Row],[Attrition_Risk_Score]]&gt;=6,"High",IF(HRData[[#This Row],[Attrition_Risk_Score]]&gt;=3,"Medium","Low")))</f>
        <v>Medium</v>
      </c>
      <c r="AR1366" t="str">
        <f>IF(HRData[[#This Row],[Attrition_Risk_Level]]&lt;&gt;"High","",HRData[[#This Row],[Attrition_Risk_Score]]*10000-HRData[[#This Row],[EmployeeNumber]])</f>
        <v/>
      </c>
    </row>
    <row r="1367" spans="1:44">
      <c r="A1367">
        <v>29</v>
      </c>
      <c r="B1367" t="str" cm="1">
        <f t="array" ref="B1367">_xlfn.IFS(
HRData[[#This Row],[Age]]&lt;=24,"18-24",
HRData[[#This Row],[Age]]&lt;=34,"25-34",
HRData[[#This Row],[Age]]&lt;=44,"35-44",
HRData[[#This Row],[Age]]&lt;=54,"45-54",
HRData[[#This Row],[Age]]&gt;=55,"55+"
)</f>
        <v>25-34</v>
      </c>
      <c r="C1367" t="s">
        <v>35</v>
      </c>
      <c r="D1367">
        <f>IF(HRData[[#This Row],[Attrition]]="Yes",1,0)</f>
        <v>1</v>
      </c>
      <c r="E1367" t="s">
        <v>44</v>
      </c>
      <c r="F1367">
        <v>746</v>
      </c>
      <c r="G1367" t="s">
        <v>37</v>
      </c>
      <c r="H1367">
        <v>24</v>
      </c>
      <c r="I1367">
        <v>3</v>
      </c>
      <c r="J1367" t="s">
        <v>60</v>
      </c>
      <c r="K1367">
        <v>1</v>
      </c>
      <c r="L1367">
        <v>1928</v>
      </c>
      <c r="M1367">
        <v>3</v>
      </c>
      <c r="N1367" t="str" cm="1">
        <f t="array" ref="N1367">_xlfn.IFS(HRData[[#This Row],[EnvironmentSatisfaction]]=1,"Very Dissatisfied",
HRData[[#This Row],[EnvironmentSatisfaction]]=2,"Dissatisfied",
HRData[[#This Row],[EnvironmentSatisfaction]]=3,"Satisfied",
HRData[[#This Row],[EnvironmentSatisfaction]]=4,"Very Satisfied"
)</f>
        <v>Satisfied</v>
      </c>
      <c r="O1367" t="s">
        <v>46</v>
      </c>
      <c r="P1367">
        <v>45</v>
      </c>
      <c r="Q1367">
        <v>4</v>
      </c>
      <c r="R1367">
        <v>1</v>
      </c>
      <c r="S1367" t="s">
        <v>57</v>
      </c>
      <c r="T1367">
        <v>1</v>
      </c>
      <c r="U1367" t="str" cm="1">
        <f t="array" ref="U1367">_xlfn.IFS(
HRData[[#This Row],[JobSatisfaction]]=1,"Very Dissatisfied",
HRData[[#This Row],[JobSatisfaction]]=2,"Dissatisfied",
HRData[[#This Row],[JobSatisfaction]]=3,"Satisfied",
HRData[[#This Row],[JobSatisfaction]]=4,"Very Satisfied"
)</f>
        <v>Very Dissatisfied</v>
      </c>
      <c r="V1367" t="s">
        <v>41</v>
      </c>
      <c r="W1367">
        <v>1091</v>
      </c>
      <c r="X1367" t="str" cm="1">
        <f t="array" ref="X1367">_xlfn.IFS(
HRData[[#This Row],[MonthlyIncome]]&lt;=4000,"Very Low Income",
HRData[[#This Row],[MonthlyIncome]]&lt;=8000,"Low Income",
HRData[[#This Row],[MonthlyIncome]]&lt;=12000,"Moderate Income",
HRData[[#This Row],[MonthlyIncome]]&lt;=16000,"High Income",
HRData[[#This Row],[MonthlyIncome]]&gt;16000,"Very High Income"
)</f>
        <v>Very Low Income</v>
      </c>
      <c r="Y1367">
        <v>10642</v>
      </c>
      <c r="Z1367">
        <v>1</v>
      </c>
      <c r="AA1367" t="s">
        <v>42</v>
      </c>
      <c r="AB1367" t="s">
        <v>43</v>
      </c>
      <c r="AC1367">
        <v>17</v>
      </c>
      <c r="AD1367" t="str" cm="1">
        <f t="array" ref="AD1367">_xlfn.IFS(HRData[[#This Row],[PercentSalaryHike]]&lt;=15,"11-15",HRData[[#This Row],[PercentSalaryHike]]&lt;=20,"16-20",HRData[[#This Row],[PercentSalaryHike]]&gt;=21,"21+")</f>
        <v>16-20</v>
      </c>
      <c r="AE1367">
        <v>3</v>
      </c>
      <c r="AF1367">
        <v>4</v>
      </c>
      <c r="AG1367">
        <v>80</v>
      </c>
      <c r="AH1367">
        <v>0</v>
      </c>
      <c r="AI1367">
        <v>1</v>
      </c>
      <c r="AJ1367">
        <v>3</v>
      </c>
      <c r="AK1367">
        <v>3</v>
      </c>
      <c r="AL1367">
        <v>1</v>
      </c>
      <c r="AM1367">
        <v>0</v>
      </c>
      <c r="AN1367">
        <v>0</v>
      </c>
      <c r="AO1367">
        <v>0</v>
      </c>
      <c r="AP136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67" t="str">
        <f>IF(HRData[[#This Row],[Attrition]]="Yes","Left", IF(HRData[[#This Row],[Attrition_Risk_Score]]&gt;=6,"High",IF(HRData[[#This Row],[Attrition_Risk_Score]]&gt;=3,"Medium","Low")))</f>
        <v>Left</v>
      </c>
      <c r="AR1367" t="str">
        <f>IF(HRData[[#This Row],[Attrition_Risk_Level]]&lt;&gt;"High","",HRData[[#This Row],[Attrition_Risk_Score]]*10000-HRData[[#This Row],[EmployeeNumber]])</f>
        <v/>
      </c>
    </row>
    <row r="1368" spans="1:44">
      <c r="A1368">
        <v>39</v>
      </c>
      <c r="B1368" t="str" cm="1">
        <f t="array" ref="B1368">_xlfn.IFS(
HRData[[#This Row],[Age]]&lt;=24,"18-24",
HRData[[#This Row],[Age]]&lt;=34,"25-34",
HRData[[#This Row],[Age]]&lt;=44,"35-44",
HRData[[#This Row],[Age]]&lt;=54,"45-54",
HRData[[#This Row],[Age]]&gt;=55,"55+"
)</f>
        <v>35-44</v>
      </c>
      <c r="C1368" t="s">
        <v>43</v>
      </c>
      <c r="D1368">
        <f>IF(HRData[[#This Row],[Attrition]]="Yes",1,0)</f>
        <v>0</v>
      </c>
      <c r="E1368" t="s">
        <v>55</v>
      </c>
      <c r="F1368">
        <v>1251</v>
      </c>
      <c r="G1368" t="s">
        <v>37</v>
      </c>
      <c r="H1368">
        <v>21</v>
      </c>
      <c r="I1368">
        <v>4</v>
      </c>
      <c r="J1368" t="s">
        <v>38</v>
      </c>
      <c r="K1368">
        <v>1</v>
      </c>
      <c r="L1368">
        <v>1929</v>
      </c>
      <c r="M1368">
        <v>1</v>
      </c>
      <c r="N1368" t="str" cm="1">
        <f t="array" ref="N1368">_xlfn.IFS(HRData[[#This Row],[EnvironmentSatisfaction]]=1,"Very Dissatisfied",
HRData[[#This Row],[EnvironmentSatisfaction]]=2,"Dissatisfied",
HRData[[#This Row],[EnvironmentSatisfaction]]=3,"Satisfied",
HRData[[#This Row],[EnvironmentSatisfaction]]=4,"Very Satisfied"
)</f>
        <v>Very Dissatisfied</v>
      </c>
      <c r="O1368" t="s">
        <v>39</v>
      </c>
      <c r="P1368">
        <v>32</v>
      </c>
      <c r="Q1368">
        <v>1</v>
      </c>
      <c r="R1368">
        <v>2</v>
      </c>
      <c r="S1368" t="s">
        <v>40</v>
      </c>
      <c r="T1368">
        <v>3</v>
      </c>
      <c r="U1368" t="str" cm="1">
        <f t="array" ref="U1368">_xlfn.IFS(
HRData[[#This Row],[JobSatisfaction]]=1,"Very Dissatisfied",
HRData[[#This Row],[JobSatisfaction]]=2,"Dissatisfied",
HRData[[#This Row],[JobSatisfaction]]=3,"Satisfied",
HRData[[#This Row],[JobSatisfaction]]=4,"Very Satisfied"
)</f>
        <v>Satisfied</v>
      </c>
      <c r="V1368" t="s">
        <v>48</v>
      </c>
      <c r="W1368">
        <v>5736</v>
      </c>
      <c r="X1368" t="str" cm="1">
        <f t="array" ref="X1368">_xlfn.IFS(
HRData[[#This Row],[MonthlyIncome]]&lt;=4000,"Very Low Income",
HRData[[#This Row],[MonthlyIncome]]&lt;=8000,"Low Income",
HRData[[#This Row],[MonthlyIncome]]&lt;=12000,"Moderate Income",
HRData[[#This Row],[MonthlyIncome]]&lt;=16000,"High Income",
HRData[[#This Row],[MonthlyIncome]]&gt;16000,"Very High Income"
)</f>
        <v>Low Income</v>
      </c>
      <c r="Y1368">
        <v>3987</v>
      </c>
      <c r="Z1368">
        <v>6</v>
      </c>
      <c r="AA1368" t="s">
        <v>42</v>
      </c>
      <c r="AB1368" t="s">
        <v>43</v>
      </c>
      <c r="AC1368">
        <v>19</v>
      </c>
      <c r="AD1368" t="str" cm="1">
        <f t="array" ref="AD1368">_xlfn.IFS(HRData[[#This Row],[PercentSalaryHike]]&lt;=15,"11-15",HRData[[#This Row],[PercentSalaryHike]]&lt;=20,"16-20",HRData[[#This Row],[PercentSalaryHike]]&gt;=21,"21+")</f>
        <v>16-20</v>
      </c>
      <c r="AE1368">
        <v>3</v>
      </c>
      <c r="AF1368">
        <v>3</v>
      </c>
      <c r="AG1368">
        <v>80</v>
      </c>
      <c r="AH1368">
        <v>1</v>
      </c>
      <c r="AI1368">
        <v>10</v>
      </c>
      <c r="AJ1368">
        <v>1</v>
      </c>
      <c r="AK1368">
        <v>3</v>
      </c>
      <c r="AL1368">
        <v>3</v>
      </c>
      <c r="AM1368">
        <v>2</v>
      </c>
      <c r="AN1368">
        <v>1</v>
      </c>
      <c r="AO1368">
        <v>2</v>
      </c>
      <c r="AP136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68" t="str">
        <f>IF(HRData[[#This Row],[Attrition]]="Yes","Left", IF(HRData[[#This Row],[Attrition_Risk_Score]]&gt;=6,"High",IF(HRData[[#This Row],[Attrition_Risk_Score]]&gt;=3,"Medium","Low")))</f>
        <v>Low</v>
      </c>
      <c r="AR1368" t="str">
        <f>IF(HRData[[#This Row],[Attrition_Risk_Level]]&lt;&gt;"High","",HRData[[#This Row],[Attrition_Risk_Score]]*10000-HRData[[#This Row],[EmployeeNumber]])</f>
        <v/>
      </c>
    </row>
    <row r="1369" spans="1:44">
      <c r="A1369">
        <v>27</v>
      </c>
      <c r="B1369" t="str" cm="1">
        <f t="array" ref="B1369">_xlfn.IFS(
HRData[[#This Row],[Age]]&lt;=24,"18-24",
HRData[[#This Row],[Age]]&lt;=34,"25-34",
HRData[[#This Row],[Age]]&lt;=44,"35-44",
HRData[[#This Row],[Age]]&lt;=54,"45-54",
HRData[[#This Row],[Age]]&gt;=55,"55+"
)</f>
        <v>25-34</v>
      </c>
      <c r="C1369" t="s">
        <v>43</v>
      </c>
      <c r="D1369">
        <f>IF(HRData[[#This Row],[Attrition]]="Yes",1,0)</f>
        <v>0</v>
      </c>
      <c r="E1369" t="s">
        <v>36</v>
      </c>
      <c r="F1369">
        <v>1354</v>
      </c>
      <c r="G1369" t="s">
        <v>45</v>
      </c>
      <c r="H1369">
        <v>2</v>
      </c>
      <c r="I1369">
        <v>4</v>
      </c>
      <c r="J1369" t="s">
        <v>60</v>
      </c>
      <c r="K1369">
        <v>1</v>
      </c>
      <c r="L1369">
        <v>1931</v>
      </c>
      <c r="M1369">
        <v>2</v>
      </c>
      <c r="N1369" t="str" cm="1">
        <f t="array" ref="N1369">_xlfn.IFS(HRData[[#This Row],[EnvironmentSatisfaction]]=1,"Very Dissatisfied",
HRData[[#This Row],[EnvironmentSatisfaction]]=2,"Dissatisfied",
HRData[[#This Row],[EnvironmentSatisfaction]]=3,"Satisfied",
HRData[[#This Row],[EnvironmentSatisfaction]]=4,"Very Satisfied"
)</f>
        <v>Dissatisfied</v>
      </c>
      <c r="O1369" t="s">
        <v>46</v>
      </c>
      <c r="P1369">
        <v>41</v>
      </c>
      <c r="Q1369">
        <v>3</v>
      </c>
      <c r="R1369">
        <v>1</v>
      </c>
      <c r="S1369" t="s">
        <v>47</v>
      </c>
      <c r="T1369">
        <v>2</v>
      </c>
      <c r="U1369" t="str" cm="1">
        <f t="array" ref="U1369">_xlfn.IFS(
HRData[[#This Row],[JobSatisfaction]]=1,"Very Dissatisfied",
HRData[[#This Row],[JobSatisfaction]]=2,"Dissatisfied",
HRData[[#This Row],[JobSatisfaction]]=3,"Satisfied",
HRData[[#This Row],[JobSatisfaction]]=4,"Very Satisfied"
)</f>
        <v>Dissatisfied</v>
      </c>
      <c r="V1369" t="s">
        <v>48</v>
      </c>
      <c r="W1369">
        <v>2226</v>
      </c>
      <c r="X1369" t="str" cm="1">
        <f t="array" ref="X1369">_xlfn.IFS(
HRData[[#This Row],[MonthlyIncome]]&lt;=4000,"Very Low Income",
HRData[[#This Row],[MonthlyIncome]]&lt;=8000,"Low Income",
HRData[[#This Row],[MonthlyIncome]]&lt;=12000,"Moderate Income",
HRData[[#This Row],[MonthlyIncome]]&lt;=16000,"High Income",
HRData[[#This Row],[MonthlyIncome]]&gt;16000,"Very High Income"
)</f>
        <v>Very Low Income</v>
      </c>
      <c r="Y1369">
        <v>6073</v>
      </c>
      <c r="Z1369">
        <v>1</v>
      </c>
      <c r="AA1369" t="s">
        <v>42</v>
      </c>
      <c r="AB1369" t="s">
        <v>43</v>
      </c>
      <c r="AC1369">
        <v>11</v>
      </c>
      <c r="AD1369" t="str" cm="1">
        <f t="array" ref="AD1369">_xlfn.IFS(HRData[[#This Row],[PercentSalaryHike]]&lt;=15,"11-15",HRData[[#This Row],[PercentSalaryHike]]&lt;=20,"16-20",HRData[[#This Row],[PercentSalaryHike]]&gt;=21,"21+")</f>
        <v>11-15</v>
      </c>
      <c r="AE1369">
        <v>3</v>
      </c>
      <c r="AF1369">
        <v>3</v>
      </c>
      <c r="AG1369">
        <v>80</v>
      </c>
      <c r="AH1369">
        <v>1</v>
      </c>
      <c r="AI1369">
        <v>6</v>
      </c>
      <c r="AJ1369">
        <v>3</v>
      </c>
      <c r="AK1369">
        <v>2</v>
      </c>
      <c r="AL1369">
        <v>5</v>
      </c>
      <c r="AM1369">
        <v>3</v>
      </c>
      <c r="AN1369">
        <v>1</v>
      </c>
      <c r="AO1369">
        <v>2</v>
      </c>
      <c r="AP136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69" t="str">
        <f>IF(HRData[[#This Row],[Attrition]]="Yes","Left", IF(HRData[[#This Row],[Attrition_Risk_Score]]&gt;=6,"High",IF(HRData[[#This Row],[Attrition_Risk_Score]]&gt;=3,"Medium","Low")))</f>
        <v>Medium</v>
      </c>
      <c r="AR1369" t="str">
        <f>IF(HRData[[#This Row],[Attrition_Risk_Level]]&lt;&gt;"High","",HRData[[#This Row],[Attrition_Risk_Score]]*10000-HRData[[#This Row],[EmployeeNumber]])</f>
        <v/>
      </c>
    </row>
    <row r="1370" spans="1:44">
      <c r="A1370">
        <v>34</v>
      </c>
      <c r="B1370" t="str" cm="1">
        <f t="array" ref="B1370">_xlfn.IFS(
HRData[[#This Row],[Age]]&lt;=24,"18-24",
HRData[[#This Row],[Age]]&lt;=34,"25-34",
HRData[[#This Row],[Age]]&lt;=44,"35-44",
HRData[[#This Row],[Age]]&lt;=54,"45-54",
HRData[[#This Row],[Age]]&gt;=55,"55+"
)</f>
        <v>25-34</v>
      </c>
      <c r="C1370" t="s">
        <v>43</v>
      </c>
      <c r="D1370">
        <f>IF(HRData[[#This Row],[Attrition]]="Yes",1,0)</f>
        <v>0</v>
      </c>
      <c r="E1370" t="s">
        <v>44</v>
      </c>
      <c r="F1370">
        <v>735</v>
      </c>
      <c r="G1370" t="s">
        <v>45</v>
      </c>
      <c r="H1370">
        <v>22</v>
      </c>
      <c r="I1370">
        <v>4</v>
      </c>
      <c r="J1370" t="s">
        <v>49</v>
      </c>
      <c r="K1370">
        <v>1</v>
      </c>
      <c r="L1370">
        <v>1932</v>
      </c>
      <c r="M1370">
        <v>3</v>
      </c>
      <c r="N1370" t="str" cm="1">
        <f t="array" ref="N1370">_xlfn.IFS(HRData[[#This Row],[EnvironmentSatisfaction]]=1,"Very Dissatisfied",
HRData[[#This Row],[EnvironmentSatisfaction]]=2,"Dissatisfied",
HRData[[#This Row],[EnvironmentSatisfaction]]=3,"Satisfied",
HRData[[#This Row],[EnvironmentSatisfaction]]=4,"Very Satisfied"
)</f>
        <v>Satisfied</v>
      </c>
      <c r="O1370" t="s">
        <v>46</v>
      </c>
      <c r="P1370">
        <v>86</v>
      </c>
      <c r="Q1370">
        <v>2</v>
      </c>
      <c r="R1370">
        <v>2</v>
      </c>
      <c r="S1370" t="s">
        <v>47</v>
      </c>
      <c r="T1370">
        <v>4</v>
      </c>
      <c r="U1370" t="str" cm="1">
        <f t="array" ref="U1370">_xlfn.IFS(
HRData[[#This Row],[JobSatisfaction]]=1,"Very Dissatisfied",
HRData[[#This Row],[JobSatisfaction]]=2,"Dissatisfied",
HRData[[#This Row],[JobSatisfaction]]=3,"Satisfied",
HRData[[#This Row],[JobSatisfaction]]=4,"Very Satisfied"
)</f>
        <v>Very Satisfied</v>
      </c>
      <c r="V1370" t="s">
        <v>48</v>
      </c>
      <c r="W1370">
        <v>5747</v>
      </c>
      <c r="X1370" t="str" cm="1">
        <f t="array" ref="X1370">_xlfn.IFS(
HRData[[#This Row],[MonthlyIncome]]&lt;=4000,"Very Low Income",
HRData[[#This Row],[MonthlyIncome]]&lt;=8000,"Low Income",
HRData[[#This Row],[MonthlyIncome]]&lt;=12000,"Moderate Income",
HRData[[#This Row],[MonthlyIncome]]&lt;=16000,"High Income",
HRData[[#This Row],[MonthlyIncome]]&gt;16000,"Very High Income"
)</f>
        <v>Low Income</v>
      </c>
      <c r="Y1370">
        <v>26496</v>
      </c>
      <c r="Z1370">
        <v>1</v>
      </c>
      <c r="AA1370" t="s">
        <v>42</v>
      </c>
      <c r="AB1370" t="s">
        <v>35</v>
      </c>
      <c r="AC1370">
        <v>15</v>
      </c>
      <c r="AD1370" t="str" cm="1">
        <f t="array" ref="AD1370">_xlfn.IFS(HRData[[#This Row],[PercentSalaryHike]]&lt;=15,"11-15",HRData[[#This Row],[PercentSalaryHike]]&lt;=20,"16-20",HRData[[#This Row],[PercentSalaryHike]]&gt;=21,"21+")</f>
        <v>11-15</v>
      </c>
      <c r="AE1370">
        <v>3</v>
      </c>
      <c r="AF1370">
        <v>2</v>
      </c>
      <c r="AG1370">
        <v>80</v>
      </c>
      <c r="AH1370">
        <v>0</v>
      </c>
      <c r="AI1370">
        <v>16</v>
      </c>
      <c r="AJ1370">
        <v>3</v>
      </c>
      <c r="AK1370">
        <v>3</v>
      </c>
      <c r="AL1370">
        <v>15</v>
      </c>
      <c r="AM1370">
        <v>10</v>
      </c>
      <c r="AN1370">
        <v>6</v>
      </c>
      <c r="AO1370">
        <v>11</v>
      </c>
      <c r="AP137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370" t="str">
        <f>IF(HRData[[#This Row],[Attrition]]="Yes","Left", IF(HRData[[#This Row],[Attrition_Risk_Score]]&gt;=6,"High",IF(HRData[[#This Row],[Attrition_Risk_Score]]&gt;=3,"Medium","Low")))</f>
        <v>Medium</v>
      </c>
      <c r="AR1370" t="str">
        <f>IF(HRData[[#This Row],[Attrition_Risk_Level]]&lt;&gt;"High","",HRData[[#This Row],[Attrition_Risk_Score]]*10000-HRData[[#This Row],[EmployeeNumber]])</f>
        <v/>
      </c>
    </row>
    <row r="1371" spans="1:44">
      <c r="A1371">
        <v>28</v>
      </c>
      <c r="B1371" t="str" cm="1">
        <f t="array" ref="B1371">_xlfn.IFS(
HRData[[#This Row],[Age]]&lt;=24,"18-24",
HRData[[#This Row],[Age]]&lt;=34,"25-34",
HRData[[#This Row],[Age]]&lt;=44,"35-44",
HRData[[#This Row],[Age]]&lt;=54,"45-54",
HRData[[#This Row],[Age]]&gt;=55,"55+"
)</f>
        <v>25-34</v>
      </c>
      <c r="C1371" t="s">
        <v>35</v>
      </c>
      <c r="D1371">
        <f>IF(HRData[[#This Row],[Attrition]]="Yes",1,0)</f>
        <v>1</v>
      </c>
      <c r="E1371" t="s">
        <v>36</v>
      </c>
      <c r="F1371">
        <v>1475</v>
      </c>
      <c r="G1371" t="s">
        <v>37</v>
      </c>
      <c r="H1371">
        <v>13</v>
      </c>
      <c r="I1371">
        <v>2</v>
      </c>
      <c r="J1371" t="s">
        <v>59</v>
      </c>
      <c r="K1371">
        <v>1</v>
      </c>
      <c r="L1371">
        <v>1933</v>
      </c>
      <c r="M1371">
        <v>4</v>
      </c>
      <c r="N1371" t="str" cm="1">
        <f t="array" ref="N1371">_xlfn.IFS(HRData[[#This Row],[EnvironmentSatisfaction]]=1,"Very Dissatisfied",
HRData[[#This Row],[EnvironmentSatisfaction]]=2,"Dissatisfied",
HRData[[#This Row],[EnvironmentSatisfaction]]=3,"Satisfied",
HRData[[#This Row],[EnvironmentSatisfaction]]=4,"Very Satisfied"
)</f>
        <v>Very Satisfied</v>
      </c>
      <c r="O1371" t="s">
        <v>39</v>
      </c>
      <c r="P1371">
        <v>84</v>
      </c>
      <c r="Q1371">
        <v>3</v>
      </c>
      <c r="R1371">
        <v>2</v>
      </c>
      <c r="S1371" t="s">
        <v>40</v>
      </c>
      <c r="T1371">
        <v>3</v>
      </c>
      <c r="U1371" t="str" cm="1">
        <f t="array" ref="U1371">_xlfn.IFS(
HRData[[#This Row],[JobSatisfaction]]=1,"Very Dissatisfied",
HRData[[#This Row],[JobSatisfaction]]=2,"Dissatisfied",
HRData[[#This Row],[JobSatisfaction]]=3,"Satisfied",
HRData[[#This Row],[JobSatisfaction]]=4,"Very Satisfied"
)</f>
        <v>Satisfied</v>
      </c>
      <c r="V1371" t="s">
        <v>41</v>
      </c>
      <c r="W1371">
        <v>9854</v>
      </c>
      <c r="X1371" t="str" cm="1">
        <f t="array" ref="X1371">_xlfn.IFS(
HRData[[#This Row],[MonthlyIncome]]&lt;=4000,"Very Low Income",
HRData[[#This Row],[MonthlyIncome]]&lt;=8000,"Low Income",
HRData[[#This Row],[MonthlyIncome]]&lt;=12000,"Moderate Income",
HRData[[#This Row],[MonthlyIncome]]&lt;=16000,"High Income",
HRData[[#This Row],[MonthlyIncome]]&gt;16000,"Very High Income"
)</f>
        <v>Moderate Income</v>
      </c>
      <c r="Y1371">
        <v>23352</v>
      </c>
      <c r="Z1371">
        <v>3</v>
      </c>
      <c r="AA1371" t="s">
        <v>42</v>
      </c>
      <c r="AB1371" t="s">
        <v>35</v>
      </c>
      <c r="AC1371">
        <v>11</v>
      </c>
      <c r="AD1371" t="str" cm="1">
        <f t="array" ref="AD1371">_xlfn.IFS(HRData[[#This Row],[PercentSalaryHike]]&lt;=15,"11-15",HRData[[#This Row],[PercentSalaryHike]]&lt;=20,"16-20",HRData[[#This Row],[PercentSalaryHike]]&gt;=21,"21+")</f>
        <v>11-15</v>
      </c>
      <c r="AE1371">
        <v>3</v>
      </c>
      <c r="AF1371">
        <v>4</v>
      </c>
      <c r="AG1371">
        <v>80</v>
      </c>
      <c r="AH1371">
        <v>0</v>
      </c>
      <c r="AI1371">
        <v>6</v>
      </c>
      <c r="AJ1371">
        <v>0</v>
      </c>
      <c r="AK1371">
        <v>3</v>
      </c>
      <c r="AL1371">
        <v>2</v>
      </c>
      <c r="AM1371">
        <v>0</v>
      </c>
      <c r="AN1371">
        <v>2</v>
      </c>
      <c r="AO1371">
        <v>2</v>
      </c>
      <c r="AP137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71" t="str">
        <f>IF(HRData[[#This Row],[Attrition]]="Yes","Left", IF(HRData[[#This Row],[Attrition_Risk_Score]]&gt;=6,"High",IF(HRData[[#This Row],[Attrition_Risk_Score]]&gt;=3,"Medium","Low")))</f>
        <v>Left</v>
      </c>
      <c r="AR1371" t="str">
        <f>IF(HRData[[#This Row],[Attrition_Risk_Level]]&lt;&gt;"High","",HRData[[#This Row],[Attrition_Risk_Score]]*10000-HRData[[#This Row],[EmployeeNumber]])</f>
        <v/>
      </c>
    </row>
    <row r="1372" spans="1:44">
      <c r="A1372">
        <v>47</v>
      </c>
      <c r="B1372" t="str" cm="1">
        <f t="array" ref="B1372">_xlfn.IFS(
HRData[[#This Row],[Age]]&lt;=24,"18-24",
HRData[[#This Row],[Age]]&lt;=34,"25-34",
HRData[[#This Row],[Age]]&lt;=44,"35-44",
HRData[[#This Row],[Age]]&lt;=54,"45-54",
HRData[[#This Row],[Age]]&gt;=55,"55+"
)</f>
        <v>45-54</v>
      </c>
      <c r="C1372" t="s">
        <v>43</v>
      </c>
      <c r="D1372">
        <f>IF(HRData[[#This Row],[Attrition]]="Yes",1,0)</f>
        <v>0</v>
      </c>
      <c r="E1372" t="s">
        <v>55</v>
      </c>
      <c r="F1372">
        <v>1169</v>
      </c>
      <c r="G1372" t="s">
        <v>45</v>
      </c>
      <c r="H1372">
        <v>14</v>
      </c>
      <c r="I1372">
        <v>4</v>
      </c>
      <c r="J1372" t="s">
        <v>60</v>
      </c>
      <c r="K1372">
        <v>1</v>
      </c>
      <c r="L1372">
        <v>1934</v>
      </c>
      <c r="M1372">
        <v>3</v>
      </c>
      <c r="N1372" t="str" cm="1">
        <f t="array" ref="N1372">_xlfn.IFS(HRData[[#This Row],[EnvironmentSatisfaction]]=1,"Very Dissatisfied",
HRData[[#This Row],[EnvironmentSatisfaction]]=2,"Dissatisfied",
HRData[[#This Row],[EnvironmentSatisfaction]]=3,"Satisfied",
HRData[[#This Row],[EnvironmentSatisfaction]]=4,"Very Satisfied"
)</f>
        <v>Satisfied</v>
      </c>
      <c r="O1372" t="s">
        <v>46</v>
      </c>
      <c r="P1372">
        <v>64</v>
      </c>
      <c r="Q1372">
        <v>3</v>
      </c>
      <c r="R1372">
        <v>2</v>
      </c>
      <c r="S1372" t="s">
        <v>47</v>
      </c>
      <c r="T1372">
        <v>2</v>
      </c>
      <c r="U1372" t="str" cm="1">
        <f t="array" ref="U1372">_xlfn.IFS(
HRData[[#This Row],[JobSatisfaction]]=1,"Very Dissatisfied",
HRData[[#This Row],[JobSatisfaction]]=2,"Dissatisfied",
HRData[[#This Row],[JobSatisfaction]]=3,"Satisfied",
HRData[[#This Row],[JobSatisfaction]]=4,"Very Satisfied"
)</f>
        <v>Dissatisfied</v>
      </c>
      <c r="V1372" t="s">
        <v>48</v>
      </c>
      <c r="W1372">
        <v>5467</v>
      </c>
      <c r="X1372" t="str" cm="1">
        <f t="array" ref="X1372">_xlfn.IFS(
HRData[[#This Row],[MonthlyIncome]]&lt;=4000,"Very Low Income",
HRData[[#This Row],[MonthlyIncome]]&lt;=8000,"Low Income",
HRData[[#This Row],[MonthlyIncome]]&lt;=12000,"Moderate Income",
HRData[[#This Row],[MonthlyIncome]]&lt;=16000,"High Income",
HRData[[#This Row],[MonthlyIncome]]&gt;16000,"Very High Income"
)</f>
        <v>Low Income</v>
      </c>
      <c r="Y1372">
        <v>2125</v>
      </c>
      <c r="Z1372">
        <v>8</v>
      </c>
      <c r="AA1372" t="s">
        <v>42</v>
      </c>
      <c r="AB1372" t="s">
        <v>43</v>
      </c>
      <c r="AC1372">
        <v>18</v>
      </c>
      <c r="AD1372" t="str" cm="1">
        <f t="array" ref="AD1372">_xlfn.IFS(HRData[[#This Row],[PercentSalaryHike]]&lt;=15,"11-15",HRData[[#This Row],[PercentSalaryHike]]&lt;=20,"16-20",HRData[[#This Row],[PercentSalaryHike]]&gt;=21,"21+")</f>
        <v>16-20</v>
      </c>
      <c r="AE1372">
        <v>3</v>
      </c>
      <c r="AF1372">
        <v>3</v>
      </c>
      <c r="AG1372">
        <v>80</v>
      </c>
      <c r="AH1372">
        <v>1</v>
      </c>
      <c r="AI1372">
        <v>16</v>
      </c>
      <c r="AJ1372">
        <v>4</v>
      </c>
      <c r="AK1372">
        <v>4</v>
      </c>
      <c r="AL1372">
        <v>8</v>
      </c>
      <c r="AM1372">
        <v>7</v>
      </c>
      <c r="AN1372">
        <v>1</v>
      </c>
      <c r="AO1372">
        <v>7</v>
      </c>
      <c r="AP137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72" t="str">
        <f>IF(HRData[[#This Row],[Attrition]]="Yes","Left", IF(HRData[[#This Row],[Attrition_Risk_Score]]&gt;=6,"High",IF(HRData[[#This Row],[Attrition_Risk_Score]]&gt;=3,"Medium","Low")))</f>
        <v>Low</v>
      </c>
      <c r="AR1372" t="str">
        <f>IF(HRData[[#This Row],[Attrition_Risk_Level]]&lt;&gt;"High","",HRData[[#This Row],[Attrition_Risk_Score]]*10000-HRData[[#This Row],[EmployeeNumber]])</f>
        <v/>
      </c>
    </row>
    <row r="1373" spans="1:44">
      <c r="A1373">
        <v>56</v>
      </c>
      <c r="B1373" t="str" cm="1">
        <f t="array" ref="B1373">_xlfn.IFS(
HRData[[#This Row],[Age]]&lt;=24,"18-24",
HRData[[#This Row],[Age]]&lt;=34,"25-34",
HRData[[#This Row],[Age]]&lt;=44,"35-44",
HRData[[#This Row],[Age]]&lt;=54,"45-54",
HRData[[#This Row],[Age]]&gt;=55,"55+"
)</f>
        <v>55+</v>
      </c>
      <c r="C1373" t="s">
        <v>43</v>
      </c>
      <c r="D1373">
        <f>IF(HRData[[#This Row],[Attrition]]="Yes",1,0)</f>
        <v>0</v>
      </c>
      <c r="E1373" t="s">
        <v>36</v>
      </c>
      <c r="F1373">
        <v>1443</v>
      </c>
      <c r="G1373" t="s">
        <v>37</v>
      </c>
      <c r="H1373">
        <v>11</v>
      </c>
      <c r="I1373">
        <v>5</v>
      </c>
      <c r="J1373" t="s">
        <v>59</v>
      </c>
      <c r="K1373">
        <v>1</v>
      </c>
      <c r="L1373">
        <v>1935</v>
      </c>
      <c r="M1373">
        <v>4</v>
      </c>
      <c r="N1373" t="str" cm="1">
        <f t="array" ref="N1373">_xlfn.IFS(HRData[[#This Row],[EnvironmentSatisfaction]]=1,"Very Dissatisfied",
HRData[[#This Row],[EnvironmentSatisfaction]]=2,"Dissatisfied",
HRData[[#This Row],[EnvironmentSatisfaction]]=3,"Satisfied",
HRData[[#This Row],[EnvironmentSatisfaction]]=4,"Very Satisfied"
)</f>
        <v>Very Satisfied</v>
      </c>
      <c r="O1373" t="s">
        <v>39</v>
      </c>
      <c r="P1373">
        <v>89</v>
      </c>
      <c r="Q1373">
        <v>2</v>
      </c>
      <c r="R1373">
        <v>2</v>
      </c>
      <c r="S1373" t="s">
        <v>40</v>
      </c>
      <c r="T1373">
        <v>1</v>
      </c>
      <c r="U1373" t="str" cm="1">
        <f t="array" ref="U1373">_xlfn.IFS(
HRData[[#This Row],[JobSatisfaction]]=1,"Very Dissatisfied",
HRData[[#This Row],[JobSatisfaction]]=2,"Dissatisfied",
HRData[[#This Row],[JobSatisfaction]]=3,"Satisfied",
HRData[[#This Row],[JobSatisfaction]]=4,"Very Satisfied"
)</f>
        <v>Very Dissatisfied</v>
      </c>
      <c r="V1373" t="s">
        <v>48</v>
      </c>
      <c r="W1373">
        <v>5380</v>
      </c>
      <c r="X1373" t="str" cm="1">
        <f t="array" ref="X1373">_xlfn.IFS(
HRData[[#This Row],[MonthlyIncome]]&lt;=4000,"Very Low Income",
HRData[[#This Row],[MonthlyIncome]]&lt;=8000,"Low Income",
HRData[[#This Row],[MonthlyIncome]]&lt;=12000,"Moderate Income",
HRData[[#This Row],[MonthlyIncome]]&lt;=16000,"High Income",
HRData[[#This Row],[MonthlyIncome]]&gt;16000,"Very High Income"
)</f>
        <v>Low Income</v>
      </c>
      <c r="Y1373">
        <v>20328</v>
      </c>
      <c r="Z1373">
        <v>4</v>
      </c>
      <c r="AA1373" t="s">
        <v>42</v>
      </c>
      <c r="AB1373" t="s">
        <v>43</v>
      </c>
      <c r="AC1373">
        <v>16</v>
      </c>
      <c r="AD1373" t="str" cm="1">
        <f t="array" ref="AD1373">_xlfn.IFS(HRData[[#This Row],[PercentSalaryHike]]&lt;=15,"11-15",HRData[[#This Row],[PercentSalaryHike]]&lt;=20,"16-20",HRData[[#This Row],[PercentSalaryHike]]&gt;=21,"21+")</f>
        <v>16-20</v>
      </c>
      <c r="AE1373">
        <v>3</v>
      </c>
      <c r="AF1373">
        <v>3</v>
      </c>
      <c r="AG1373">
        <v>80</v>
      </c>
      <c r="AH1373">
        <v>1</v>
      </c>
      <c r="AI1373">
        <v>6</v>
      </c>
      <c r="AJ1373">
        <v>3</v>
      </c>
      <c r="AK1373">
        <v>3</v>
      </c>
      <c r="AL1373">
        <v>0</v>
      </c>
      <c r="AM1373">
        <v>0</v>
      </c>
      <c r="AN1373">
        <v>0</v>
      </c>
      <c r="AO1373">
        <v>0</v>
      </c>
      <c r="AP137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73" t="str">
        <f>IF(HRData[[#This Row],[Attrition]]="Yes","Left", IF(HRData[[#This Row],[Attrition_Risk_Score]]&gt;=6,"High",IF(HRData[[#This Row],[Attrition_Risk_Score]]&gt;=3,"Medium","Low")))</f>
        <v>Medium</v>
      </c>
      <c r="AR1373" t="str">
        <f>IF(HRData[[#This Row],[Attrition_Risk_Level]]&lt;&gt;"High","",HRData[[#This Row],[Attrition_Risk_Score]]*10000-HRData[[#This Row],[EmployeeNumber]])</f>
        <v/>
      </c>
    </row>
    <row r="1374" spans="1:44">
      <c r="A1374">
        <v>39</v>
      </c>
      <c r="B1374" t="str" cm="1">
        <f t="array" ref="B1374">_xlfn.IFS(
HRData[[#This Row],[Age]]&lt;=24,"18-24",
HRData[[#This Row],[Age]]&lt;=34,"25-34",
HRData[[#This Row],[Age]]&lt;=44,"35-44",
HRData[[#This Row],[Age]]&lt;=54,"45-54",
HRData[[#This Row],[Age]]&gt;=55,"55+"
)</f>
        <v>35-44</v>
      </c>
      <c r="C1374" t="s">
        <v>43</v>
      </c>
      <c r="D1374">
        <f>IF(HRData[[#This Row],[Attrition]]="Yes",1,0)</f>
        <v>0</v>
      </c>
      <c r="E1374" t="s">
        <v>36</v>
      </c>
      <c r="F1374">
        <v>867</v>
      </c>
      <c r="G1374" t="s">
        <v>45</v>
      </c>
      <c r="H1374">
        <v>9</v>
      </c>
      <c r="I1374">
        <v>2</v>
      </c>
      <c r="J1374" t="s">
        <v>51</v>
      </c>
      <c r="K1374">
        <v>1</v>
      </c>
      <c r="L1374">
        <v>1936</v>
      </c>
      <c r="M1374">
        <v>1</v>
      </c>
      <c r="N1374" t="str" cm="1">
        <f t="array" ref="N1374">_xlfn.IFS(HRData[[#This Row],[EnvironmentSatisfaction]]=1,"Very Dissatisfied",
HRData[[#This Row],[EnvironmentSatisfaction]]=2,"Dissatisfied",
HRData[[#This Row],[EnvironmentSatisfaction]]=3,"Satisfied",
HRData[[#This Row],[EnvironmentSatisfaction]]=4,"Very Satisfied"
)</f>
        <v>Very Dissatisfied</v>
      </c>
      <c r="O1374" t="s">
        <v>46</v>
      </c>
      <c r="P1374">
        <v>87</v>
      </c>
      <c r="Q1374">
        <v>3</v>
      </c>
      <c r="R1374">
        <v>2</v>
      </c>
      <c r="S1374" t="s">
        <v>53</v>
      </c>
      <c r="T1374">
        <v>1</v>
      </c>
      <c r="U1374" t="str" cm="1">
        <f t="array" ref="U1374">_xlfn.IFS(
HRData[[#This Row],[JobSatisfaction]]=1,"Very Dissatisfied",
HRData[[#This Row],[JobSatisfaction]]=2,"Dissatisfied",
HRData[[#This Row],[JobSatisfaction]]=3,"Satisfied",
HRData[[#This Row],[JobSatisfaction]]=4,"Very Satisfied"
)</f>
        <v>Very Dissatisfied</v>
      </c>
      <c r="V1374" t="s">
        <v>48</v>
      </c>
      <c r="W1374">
        <v>5151</v>
      </c>
      <c r="X1374" t="str" cm="1">
        <f t="array" ref="X1374">_xlfn.IFS(
HRData[[#This Row],[MonthlyIncome]]&lt;=4000,"Very Low Income",
HRData[[#This Row],[MonthlyIncome]]&lt;=8000,"Low Income",
HRData[[#This Row],[MonthlyIncome]]&lt;=12000,"Moderate Income",
HRData[[#This Row],[MonthlyIncome]]&lt;=16000,"High Income",
HRData[[#This Row],[MonthlyIncome]]&gt;16000,"Very High Income"
)</f>
        <v>Low Income</v>
      </c>
      <c r="Y1374">
        <v>12315</v>
      </c>
      <c r="Z1374">
        <v>1</v>
      </c>
      <c r="AA1374" t="s">
        <v>42</v>
      </c>
      <c r="AB1374" t="s">
        <v>43</v>
      </c>
      <c r="AC1374">
        <v>25</v>
      </c>
      <c r="AD1374" t="str" cm="1">
        <f t="array" ref="AD1374">_xlfn.IFS(HRData[[#This Row],[PercentSalaryHike]]&lt;=15,"11-15",HRData[[#This Row],[PercentSalaryHike]]&lt;=20,"16-20",HRData[[#This Row],[PercentSalaryHike]]&gt;=21,"21+")</f>
        <v>21+</v>
      </c>
      <c r="AE1374">
        <v>4</v>
      </c>
      <c r="AF1374">
        <v>4</v>
      </c>
      <c r="AG1374">
        <v>80</v>
      </c>
      <c r="AH1374">
        <v>1</v>
      </c>
      <c r="AI1374">
        <v>10</v>
      </c>
      <c r="AJ1374">
        <v>3</v>
      </c>
      <c r="AK1374">
        <v>3</v>
      </c>
      <c r="AL1374">
        <v>10</v>
      </c>
      <c r="AM1374">
        <v>0</v>
      </c>
      <c r="AN1374">
        <v>7</v>
      </c>
      <c r="AO1374">
        <v>9</v>
      </c>
      <c r="AP137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74" t="str">
        <f>IF(HRData[[#This Row],[Attrition]]="Yes","Left", IF(HRData[[#This Row],[Attrition_Risk_Score]]&gt;=6,"High",IF(HRData[[#This Row],[Attrition_Risk_Score]]&gt;=3,"Medium","Low")))</f>
        <v>Medium</v>
      </c>
      <c r="AR1374" t="str">
        <f>IF(HRData[[#This Row],[Attrition_Risk_Level]]&lt;&gt;"High","",HRData[[#This Row],[Attrition_Risk_Score]]*10000-HRData[[#This Row],[EmployeeNumber]])</f>
        <v/>
      </c>
    </row>
    <row r="1375" spans="1:44">
      <c r="A1375">
        <v>38</v>
      </c>
      <c r="B1375" t="str" cm="1">
        <f t="array" ref="B1375">_xlfn.IFS(
HRData[[#This Row],[Age]]&lt;=24,"18-24",
HRData[[#This Row],[Age]]&lt;=34,"25-34",
HRData[[#This Row],[Age]]&lt;=44,"35-44",
HRData[[#This Row],[Age]]&lt;=54,"45-54",
HRData[[#This Row],[Age]]&gt;=55,"55+"
)</f>
        <v>35-44</v>
      </c>
      <c r="C1375" t="s">
        <v>43</v>
      </c>
      <c r="D1375">
        <f>IF(HRData[[#This Row],[Attrition]]="Yes",1,0)</f>
        <v>0</v>
      </c>
      <c r="E1375" t="s">
        <v>44</v>
      </c>
      <c r="F1375">
        <v>1394</v>
      </c>
      <c r="G1375" t="s">
        <v>45</v>
      </c>
      <c r="H1375">
        <v>8</v>
      </c>
      <c r="I1375">
        <v>3</v>
      </c>
      <c r="J1375" t="s">
        <v>51</v>
      </c>
      <c r="K1375">
        <v>1</v>
      </c>
      <c r="L1375">
        <v>1937</v>
      </c>
      <c r="M1375">
        <v>4</v>
      </c>
      <c r="N1375" t="str" cm="1">
        <f t="array" ref="N1375">_xlfn.IFS(HRData[[#This Row],[EnvironmentSatisfaction]]=1,"Very Dissatisfied",
HRData[[#This Row],[EnvironmentSatisfaction]]=2,"Dissatisfied",
HRData[[#This Row],[EnvironmentSatisfaction]]=3,"Satisfied",
HRData[[#This Row],[EnvironmentSatisfaction]]=4,"Very Satisfied"
)</f>
        <v>Very Satisfied</v>
      </c>
      <c r="O1375" t="s">
        <v>39</v>
      </c>
      <c r="P1375">
        <v>58</v>
      </c>
      <c r="Q1375">
        <v>2</v>
      </c>
      <c r="R1375">
        <v>2</v>
      </c>
      <c r="S1375" t="s">
        <v>47</v>
      </c>
      <c r="T1375">
        <v>2</v>
      </c>
      <c r="U1375" t="str" cm="1">
        <f t="array" ref="U1375">_xlfn.IFS(
HRData[[#This Row],[JobSatisfaction]]=1,"Very Dissatisfied",
HRData[[#This Row],[JobSatisfaction]]=2,"Dissatisfied",
HRData[[#This Row],[JobSatisfaction]]=3,"Satisfied",
HRData[[#This Row],[JobSatisfaction]]=4,"Very Satisfied"
)</f>
        <v>Dissatisfied</v>
      </c>
      <c r="V1375" t="s">
        <v>52</v>
      </c>
      <c r="W1375">
        <v>2133</v>
      </c>
      <c r="X1375" t="str" cm="1">
        <f t="array" ref="X1375">_xlfn.IFS(
HRData[[#This Row],[MonthlyIncome]]&lt;=4000,"Very Low Income",
HRData[[#This Row],[MonthlyIncome]]&lt;=8000,"Low Income",
HRData[[#This Row],[MonthlyIncome]]&lt;=12000,"Moderate Income",
HRData[[#This Row],[MonthlyIncome]]&lt;=16000,"High Income",
HRData[[#This Row],[MonthlyIncome]]&gt;16000,"Very High Income"
)</f>
        <v>Very Low Income</v>
      </c>
      <c r="Y1375">
        <v>18115</v>
      </c>
      <c r="Z1375">
        <v>1</v>
      </c>
      <c r="AA1375" t="s">
        <v>42</v>
      </c>
      <c r="AB1375" t="s">
        <v>35</v>
      </c>
      <c r="AC1375">
        <v>16</v>
      </c>
      <c r="AD1375" t="str" cm="1">
        <f t="array" ref="AD1375">_xlfn.IFS(HRData[[#This Row],[PercentSalaryHike]]&lt;=15,"11-15",HRData[[#This Row],[PercentSalaryHike]]&lt;=20,"16-20",HRData[[#This Row],[PercentSalaryHike]]&gt;=21,"21+")</f>
        <v>16-20</v>
      </c>
      <c r="AE1375">
        <v>3</v>
      </c>
      <c r="AF1375">
        <v>3</v>
      </c>
      <c r="AG1375">
        <v>80</v>
      </c>
      <c r="AH1375">
        <v>1</v>
      </c>
      <c r="AI1375">
        <v>20</v>
      </c>
      <c r="AJ1375">
        <v>3</v>
      </c>
      <c r="AK1375">
        <v>3</v>
      </c>
      <c r="AL1375">
        <v>20</v>
      </c>
      <c r="AM1375">
        <v>11</v>
      </c>
      <c r="AN1375">
        <v>0</v>
      </c>
      <c r="AO1375">
        <v>7</v>
      </c>
      <c r="AP137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375" t="str">
        <f>IF(HRData[[#This Row],[Attrition]]="Yes","Left", IF(HRData[[#This Row],[Attrition_Risk_Score]]&gt;=6,"High",IF(HRData[[#This Row],[Attrition_Risk_Score]]&gt;=3,"Medium","Low")))</f>
        <v>Medium</v>
      </c>
      <c r="AR1375" t="str">
        <f>IF(HRData[[#This Row],[Attrition_Risk_Level]]&lt;&gt;"High","",HRData[[#This Row],[Attrition_Risk_Score]]*10000-HRData[[#This Row],[EmployeeNumber]])</f>
        <v/>
      </c>
    </row>
    <row r="1376" spans="1:44">
      <c r="A1376">
        <v>58</v>
      </c>
      <c r="B1376" t="str" cm="1">
        <f t="array" ref="B1376">_xlfn.IFS(
HRData[[#This Row],[Age]]&lt;=24,"18-24",
HRData[[#This Row],[Age]]&lt;=34,"25-34",
HRData[[#This Row],[Age]]&lt;=44,"35-44",
HRData[[#This Row],[Age]]&lt;=54,"45-54",
HRData[[#This Row],[Age]]&gt;=55,"55+"
)</f>
        <v>55+</v>
      </c>
      <c r="C1376" t="s">
        <v>43</v>
      </c>
      <c r="D1376">
        <f>IF(HRData[[#This Row],[Attrition]]="Yes",1,0)</f>
        <v>0</v>
      </c>
      <c r="E1376" t="s">
        <v>36</v>
      </c>
      <c r="F1376">
        <v>605</v>
      </c>
      <c r="G1376" t="s">
        <v>37</v>
      </c>
      <c r="H1376">
        <v>21</v>
      </c>
      <c r="I1376">
        <v>3</v>
      </c>
      <c r="J1376" t="s">
        <v>38</v>
      </c>
      <c r="K1376">
        <v>1</v>
      </c>
      <c r="L1376">
        <v>1938</v>
      </c>
      <c r="M1376">
        <v>4</v>
      </c>
      <c r="N1376" t="str" cm="1">
        <f t="array" ref="N1376">_xlfn.IFS(HRData[[#This Row],[EnvironmentSatisfaction]]=1,"Very Dissatisfied",
HRData[[#This Row],[EnvironmentSatisfaction]]=2,"Dissatisfied",
HRData[[#This Row],[EnvironmentSatisfaction]]=3,"Satisfied",
HRData[[#This Row],[EnvironmentSatisfaction]]=4,"Very Satisfied"
)</f>
        <v>Very Satisfied</v>
      </c>
      <c r="O1376" t="s">
        <v>39</v>
      </c>
      <c r="P1376">
        <v>72</v>
      </c>
      <c r="Q1376">
        <v>3</v>
      </c>
      <c r="R1376">
        <v>4</v>
      </c>
      <c r="S1376" t="s">
        <v>56</v>
      </c>
      <c r="T1376">
        <v>4</v>
      </c>
      <c r="U1376" t="str" cm="1">
        <f t="array" ref="U1376">_xlfn.IFS(
HRData[[#This Row],[JobSatisfaction]]=1,"Very Dissatisfied",
HRData[[#This Row],[JobSatisfaction]]=2,"Dissatisfied",
HRData[[#This Row],[JobSatisfaction]]=3,"Satisfied",
HRData[[#This Row],[JobSatisfaction]]=4,"Very Satisfied"
)</f>
        <v>Very Satisfied</v>
      </c>
      <c r="V1376" t="s">
        <v>48</v>
      </c>
      <c r="W1376">
        <v>17875</v>
      </c>
      <c r="X1376" t="str" cm="1">
        <f t="array" ref="X1376">_xlfn.IFS(
HRData[[#This Row],[MonthlyIncome]]&lt;=4000,"Very Low Income",
HRData[[#This Row],[MonthlyIncome]]&lt;=8000,"Low Income",
HRData[[#This Row],[MonthlyIncome]]&lt;=12000,"Moderate Income",
HRData[[#This Row],[MonthlyIncome]]&lt;=16000,"High Income",
HRData[[#This Row],[MonthlyIncome]]&gt;16000,"Very High Income"
)</f>
        <v>Very High Income</v>
      </c>
      <c r="Y1376">
        <v>11761</v>
      </c>
      <c r="Z1376">
        <v>4</v>
      </c>
      <c r="AA1376" t="s">
        <v>42</v>
      </c>
      <c r="AB1376" t="s">
        <v>35</v>
      </c>
      <c r="AC1376">
        <v>13</v>
      </c>
      <c r="AD1376" t="str" cm="1">
        <f t="array" ref="AD1376">_xlfn.IFS(HRData[[#This Row],[PercentSalaryHike]]&lt;=15,"11-15",HRData[[#This Row],[PercentSalaryHike]]&lt;=20,"16-20",HRData[[#This Row],[PercentSalaryHike]]&gt;=21,"21+")</f>
        <v>11-15</v>
      </c>
      <c r="AE1376">
        <v>3</v>
      </c>
      <c r="AF1376">
        <v>3</v>
      </c>
      <c r="AG1376">
        <v>80</v>
      </c>
      <c r="AH1376">
        <v>1</v>
      </c>
      <c r="AI1376">
        <v>29</v>
      </c>
      <c r="AJ1376">
        <v>2</v>
      </c>
      <c r="AK1376">
        <v>2</v>
      </c>
      <c r="AL1376">
        <v>1</v>
      </c>
      <c r="AM1376">
        <v>0</v>
      </c>
      <c r="AN1376">
        <v>0</v>
      </c>
      <c r="AO1376">
        <v>0</v>
      </c>
      <c r="AP137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76" t="str">
        <f>IF(HRData[[#This Row],[Attrition]]="Yes","Left", IF(HRData[[#This Row],[Attrition_Risk_Score]]&gt;=6,"High",IF(HRData[[#This Row],[Attrition_Risk_Score]]&gt;=3,"Medium","Low")))</f>
        <v>Low</v>
      </c>
      <c r="AR1376" t="str">
        <f>IF(HRData[[#This Row],[Attrition_Risk_Level]]&lt;&gt;"High","",HRData[[#This Row],[Attrition_Risk_Score]]*10000-HRData[[#This Row],[EmployeeNumber]])</f>
        <v/>
      </c>
    </row>
    <row r="1377" spans="1:44">
      <c r="A1377">
        <v>32</v>
      </c>
      <c r="B1377" t="str" cm="1">
        <f t="array" ref="B1377">_xlfn.IFS(
HRData[[#This Row],[Age]]&lt;=24,"18-24",
HRData[[#This Row],[Age]]&lt;=34,"25-34",
HRData[[#This Row],[Age]]&lt;=44,"35-44",
HRData[[#This Row],[Age]]&lt;=54,"45-54",
HRData[[#This Row],[Age]]&gt;=55,"55+"
)</f>
        <v>25-34</v>
      </c>
      <c r="C1377" t="s">
        <v>35</v>
      </c>
      <c r="D1377">
        <f>IF(HRData[[#This Row],[Attrition]]="Yes",1,0)</f>
        <v>1</v>
      </c>
      <c r="E1377" t="s">
        <v>44</v>
      </c>
      <c r="F1377">
        <v>238</v>
      </c>
      <c r="G1377" t="s">
        <v>45</v>
      </c>
      <c r="H1377">
        <v>5</v>
      </c>
      <c r="I1377">
        <v>2</v>
      </c>
      <c r="J1377" t="s">
        <v>38</v>
      </c>
      <c r="K1377">
        <v>1</v>
      </c>
      <c r="L1377">
        <v>1939</v>
      </c>
      <c r="M1377">
        <v>1</v>
      </c>
      <c r="N1377" t="str" cm="1">
        <f t="array" ref="N1377">_xlfn.IFS(HRData[[#This Row],[EnvironmentSatisfaction]]=1,"Very Dissatisfied",
HRData[[#This Row],[EnvironmentSatisfaction]]=2,"Dissatisfied",
HRData[[#This Row],[EnvironmentSatisfaction]]=3,"Satisfied",
HRData[[#This Row],[EnvironmentSatisfaction]]=4,"Very Satisfied"
)</f>
        <v>Very Dissatisfied</v>
      </c>
      <c r="O1377" t="s">
        <v>39</v>
      </c>
      <c r="P1377">
        <v>47</v>
      </c>
      <c r="Q1377">
        <v>4</v>
      </c>
      <c r="R1377">
        <v>1</v>
      </c>
      <c r="S1377" t="s">
        <v>47</v>
      </c>
      <c r="T1377">
        <v>3</v>
      </c>
      <c r="U1377" t="str" cm="1">
        <f t="array" ref="U1377">_xlfn.IFS(
HRData[[#This Row],[JobSatisfaction]]=1,"Very Dissatisfied",
HRData[[#This Row],[JobSatisfaction]]=2,"Dissatisfied",
HRData[[#This Row],[JobSatisfaction]]=3,"Satisfied",
HRData[[#This Row],[JobSatisfaction]]=4,"Very Satisfied"
)</f>
        <v>Satisfied</v>
      </c>
      <c r="V1377" t="s">
        <v>41</v>
      </c>
      <c r="W1377">
        <v>2432</v>
      </c>
      <c r="X1377" t="str" cm="1">
        <f t="array" ref="X1377">_xlfn.IFS(
HRData[[#This Row],[MonthlyIncome]]&lt;=4000,"Very Low Income",
HRData[[#This Row],[MonthlyIncome]]&lt;=8000,"Low Income",
HRData[[#This Row],[MonthlyIncome]]&lt;=12000,"Moderate Income",
HRData[[#This Row],[MonthlyIncome]]&lt;=16000,"High Income",
HRData[[#This Row],[MonthlyIncome]]&gt;16000,"Very High Income"
)</f>
        <v>Very Low Income</v>
      </c>
      <c r="Y1377">
        <v>15318</v>
      </c>
      <c r="Z1377">
        <v>3</v>
      </c>
      <c r="AA1377" t="s">
        <v>42</v>
      </c>
      <c r="AB1377" t="s">
        <v>35</v>
      </c>
      <c r="AC1377">
        <v>14</v>
      </c>
      <c r="AD1377" t="str" cm="1">
        <f t="array" ref="AD1377">_xlfn.IFS(HRData[[#This Row],[PercentSalaryHike]]&lt;=15,"11-15",HRData[[#This Row],[PercentSalaryHike]]&lt;=20,"16-20",HRData[[#This Row],[PercentSalaryHike]]&gt;=21,"21+")</f>
        <v>11-15</v>
      </c>
      <c r="AE1377">
        <v>3</v>
      </c>
      <c r="AF1377">
        <v>1</v>
      </c>
      <c r="AG1377">
        <v>80</v>
      </c>
      <c r="AH1377">
        <v>0</v>
      </c>
      <c r="AI1377">
        <v>8</v>
      </c>
      <c r="AJ1377">
        <v>2</v>
      </c>
      <c r="AK1377">
        <v>3</v>
      </c>
      <c r="AL1377">
        <v>4</v>
      </c>
      <c r="AM1377">
        <v>1</v>
      </c>
      <c r="AN1377">
        <v>0</v>
      </c>
      <c r="AO1377">
        <v>3</v>
      </c>
      <c r="AP137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77" t="str">
        <f>IF(HRData[[#This Row],[Attrition]]="Yes","Left", IF(HRData[[#This Row],[Attrition_Risk_Score]]&gt;=6,"High",IF(HRData[[#This Row],[Attrition_Risk_Score]]&gt;=3,"Medium","Low")))</f>
        <v>Left</v>
      </c>
      <c r="AR1377" t="str">
        <f>IF(HRData[[#This Row],[Attrition_Risk_Level]]&lt;&gt;"High","",HRData[[#This Row],[Attrition_Risk_Score]]*10000-HRData[[#This Row],[EmployeeNumber]])</f>
        <v/>
      </c>
    </row>
    <row r="1378" spans="1:44">
      <c r="A1378">
        <v>38</v>
      </c>
      <c r="B1378" t="str" cm="1">
        <f t="array" ref="B1378">_xlfn.IFS(
HRData[[#This Row],[Age]]&lt;=24,"18-24",
HRData[[#This Row],[Age]]&lt;=34,"25-34",
HRData[[#This Row],[Age]]&lt;=44,"35-44",
HRData[[#This Row],[Age]]&lt;=54,"45-54",
HRData[[#This Row],[Age]]&gt;=55,"55+"
)</f>
        <v>35-44</v>
      </c>
      <c r="C1378" t="s">
        <v>43</v>
      </c>
      <c r="D1378">
        <f>IF(HRData[[#This Row],[Attrition]]="Yes",1,0)</f>
        <v>0</v>
      </c>
      <c r="E1378" t="s">
        <v>36</v>
      </c>
      <c r="F1378">
        <v>1206</v>
      </c>
      <c r="G1378" t="s">
        <v>45</v>
      </c>
      <c r="H1378">
        <v>9</v>
      </c>
      <c r="I1378">
        <v>2</v>
      </c>
      <c r="J1378" t="s">
        <v>38</v>
      </c>
      <c r="K1378">
        <v>1</v>
      </c>
      <c r="L1378">
        <v>1940</v>
      </c>
      <c r="M1378">
        <v>2</v>
      </c>
      <c r="N1378" t="str" cm="1">
        <f t="array" ref="N1378">_xlfn.IFS(HRData[[#This Row],[EnvironmentSatisfaction]]=1,"Very Dissatisfied",
HRData[[#This Row],[EnvironmentSatisfaction]]=2,"Dissatisfied",
HRData[[#This Row],[EnvironmentSatisfaction]]=3,"Satisfied",
HRData[[#This Row],[EnvironmentSatisfaction]]=4,"Very Satisfied"
)</f>
        <v>Dissatisfied</v>
      </c>
      <c r="O1378" t="s">
        <v>46</v>
      </c>
      <c r="P1378">
        <v>71</v>
      </c>
      <c r="Q1378">
        <v>3</v>
      </c>
      <c r="R1378">
        <v>1</v>
      </c>
      <c r="S1378" t="s">
        <v>47</v>
      </c>
      <c r="T1378">
        <v>4</v>
      </c>
      <c r="U1378" t="str" cm="1">
        <f t="array" ref="U1378">_xlfn.IFS(
HRData[[#This Row],[JobSatisfaction]]=1,"Very Dissatisfied",
HRData[[#This Row],[JobSatisfaction]]=2,"Dissatisfied",
HRData[[#This Row],[JobSatisfaction]]=3,"Satisfied",
HRData[[#This Row],[JobSatisfaction]]=4,"Very Satisfied"
)</f>
        <v>Very Satisfied</v>
      </c>
      <c r="V1378" t="s">
        <v>52</v>
      </c>
      <c r="W1378">
        <v>4771</v>
      </c>
      <c r="X1378" t="str" cm="1">
        <f t="array" ref="X1378">_xlfn.IFS(
HRData[[#This Row],[MonthlyIncome]]&lt;=4000,"Very Low Income",
HRData[[#This Row],[MonthlyIncome]]&lt;=8000,"Low Income",
HRData[[#This Row],[MonthlyIncome]]&lt;=12000,"Moderate Income",
HRData[[#This Row],[MonthlyIncome]]&lt;=16000,"High Income",
HRData[[#This Row],[MonthlyIncome]]&gt;16000,"Very High Income"
)</f>
        <v>Low Income</v>
      </c>
      <c r="Y1378">
        <v>14293</v>
      </c>
      <c r="Z1378">
        <v>2</v>
      </c>
      <c r="AA1378" t="s">
        <v>42</v>
      </c>
      <c r="AB1378" t="s">
        <v>43</v>
      </c>
      <c r="AC1378">
        <v>19</v>
      </c>
      <c r="AD1378" t="str" cm="1">
        <f t="array" ref="AD1378">_xlfn.IFS(HRData[[#This Row],[PercentSalaryHike]]&lt;=15,"11-15",HRData[[#This Row],[PercentSalaryHike]]&lt;=20,"16-20",HRData[[#This Row],[PercentSalaryHike]]&gt;=21,"21+")</f>
        <v>16-20</v>
      </c>
      <c r="AE1378">
        <v>3</v>
      </c>
      <c r="AF1378">
        <v>4</v>
      </c>
      <c r="AG1378">
        <v>80</v>
      </c>
      <c r="AH1378">
        <v>2</v>
      </c>
      <c r="AI1378">
        <v>10</v>
      </c>
      <c r="AJ1378">
        <v>0</v>
      </c>
      <c r="AK1378">
        <v>4</v>
      </c>
      <c r="AL1378">
        <v>5</v>
      </c>
      <c r="AM1378">
        <v>2</v>
      </c>
      <c r="AN1378">
        <v>0</v>
      </c>
      <c r="AO1378">
        <v>3</v>
      </c>
      <c r="AP137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78" t="str">
        <f>IF(HRData[[#This Row],[Attrition]]="Yes","Left", IF(HRData[[#This Row],[Attrition_Risk_Score]]&gt;=6,"High",IF(HRData[[#This Row],[Attrition_Risk_Score]]&gt;=3,"Medium","Low")))</f>
        <v>Low</v>
      </c>
      <c r="AR1378" t="str">
        <f>IF(HRData[[#This Row],[Attrition_Risk_Level]]&lt;&gt;"High","",HRData[[#This Row],[Attrition_Risk_Score]]*10000-HRData[[#This Row],[EmployeeNumber]])</f>
        <v/>
      </c>
    </row>
    <row r="1379" spans="1:44">
      <c r="A1379">
        <v>49</v>
      </c>
      <c r="B1379" t="str" cm="1">
        <f t="array" ref="B1379">_xlfn.IFS(
HRData[[#This Row],[Age]]&lt;=24,"18-24",
HRData[[#This Row],[Age]]&lt;=34,"25-34",
HRData[[#This Row],[Age]]&lt;=44,"35-44",
HRData[[#This Row],[Age]]&lt;=54,"45-54",
HRData[[#This Row],[Age]]&gt;=55,"55+"
)</f>
        <v>45-54</v>
      </c>
      <c r="C1379" t="s">
        <v>43</v>
      </c>
      <c r="D1379">
        <f>IF(HRData[[#This Row],[Attrition]]="Yes",1,0)</f>
        <v>0</v>
      </c>
      <c r="E1379" t="s">
        <v>44</v>
      </c>
      <c r="F1379">
        <v>1064</v>
      </c>
      <c r="G1379" t="s">
        <v>45</v>
      </c>
      <c r="H1379">
        <v>2</v>
      </c>
      <c r="I1379">
        <v>1</v>
      </c>
      <c r="J1379" t="s">
        <v>38</v>
      </c>
      <c r="K1379">
        <v>1</v>
      </c>
      <c r="L1379">
        <v>1941</v>
      </c>
      <c r="M1379">
        <v>2</v>
      </c>
      <c r="N1379" t="str" cm="1">
        <f t="array" ref="N1379">_xlfn.IFS(HRData[[#This Row],[EnvironmentSatisfaction]]=1,"Very Dissatisfied",
HRData[[#This Row],[EnvironmentSatisfaction]]=2,"Dissatisfied",
HRData[[#This Row],[EnvironmentSatisfaction]]=3,"Satisfied",
HRData[[#This Row],[EnvironmentSatisfaction]]=4,"Very Satisfied"
)</f>
        <v>Dissatisfied</v>
      </c>
      <c r="O1379" t="s">
        <v>46</v>
      </c>
      <c r="P1379">
        <v>42</v>
      </c>
      <c r="Q1379">
        <v>3</v>
      </c>
      <c r="R1379">
        <v>5</v>
      </c>
      <c r="S1379" t="s">
        <v>58</v>
      </c>
      <c r="T1379">
        <v>4</v>
      </c>
      <c r="U1379" t="str" cm="1">
        <f t="array" ref="U1379">_xlfn.IFS(
HRData[[#This Row],[JobSatisfaction]]=1,"Very Dissatisfied",
HRData[[#This Row],[JobSatisfaction]]=2,"Dissatisfied",
HRData[[#This Row],[JobSatisfaction]]=3,"Satisfied",
HRData[[#This Row],[JobSatisfaction]]=4,"Very Satisfied"
)</f>
        <v>Very Satisfied</v>
      </c>
      <c r="V1379" t="s">
        <v>48</v>
      </c>
      <c r="W1379">
        <v>19161</v>
      </c>
      <c r="X1379" t="str" cm="1">
        <f t="array" ref="X1379">_xlfn.IFS(
HRData[[#This Row],[MonthlyIncome]]&lt;=4000,"Very Low Income",
HRData[[#This Row],[MonthlyIncome]]&lt;=8000,"Low Income",
HRData[[#This Row],[MonthlyIncome]]&lt;=12000,"Moderate Income",
HRData[[#This Row],[MonthlyIncome]]&lt;=16000,"High Income",
HRData[[#This Row],[MonthlyIncome]]&gt;16000,"Very High Income"
)</f>
        <v>Very High Income</v>
      </c>
      <c r="Y1379">
        <v>13738</v>
      </c>
      <c r="Z1379">
        <v>3</v>
      </c>
      <c r="AA1379" t="s">
        <v>42</v>
      </c>
      <c r="AB1379" t="s">
        <v>43</v>
      </c>
      <c r="AC1379">
        <v>15</v>
      </c>
      <c r="AD1379" t="str" cm="1">
        <f t="array" ref="AD1379">_xlfn.IFS(HRData[[#This Row],[PercentSalaryHike]]&lt;=15,"11-15",HRData[[#This Row],[PercentSalaryHike]]&lt;=20,"16-20",HRData[[#This Row],[PercentSalaryHike]]&gt;=21,"21+")</f>
        <v>11-15</v>
      </c>
      <c r="AE1379">
        <v>3</v>
      </c>
      <c r="AF1379">
        <v>4</v>
      </c>
      <c r="AG1379">
        <v>80</v>
      </c>
      <c r="AH1379">
        <v>0</v>
      </c>
      <c r="AI1379">
        <v>28</v>
      </c>
      <c r="AJ1379">
        <v>3</v>
      </c>
      <c r="AK1379">
        <v>3</v>
      </c>
      <c r="AL1379">
        <v>5</v>
      </c>
      <c r="AM1379">
        <v>4</v>
      </c>
      <c r="AN1379">
        <v>4</v>
      </c>
      <c r="AO1379">
        <v>3</v>
      </c>
      <c r="AP137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379" t="str">
        <f>IF(HRData[[#This Row],[Attrition]]="Yes","Left", IF(HRData[[#This Row],[Attrition_Risk_Score]]&gt;=6,"High",IF(HRData[[#This Row],[Attrition_Risk_Score]]&gt;=3,"Medium","Low")))</f>
        <v>Low</v>
      </c>
      <c r="AR1379" t="str">
        <f>IF(HRData[[#This Row],[Attrition_Risk_Level]]&lt;&gt;"High","",HRData[[#This Row],[Attrition_Risk_Score]]*10000-HRData[[#This Row],[EmployeeNumber]])</f>
        <v/>
      </c>
    </row>
    <row r="1380" spans="1:44">
      <c r="A1380">
        <v>42</v>
      </c>
      <c r="B1380" t="str" cm="1">
        <f t="array" ref="B1380">_xlfn.IFS(
HRData[[#This Row],[Age]]&lt;=24,"18-24",
HRData[[#This Row],[Age]]&lt;=34,"25-34",
HRData[[#This Row],[Age]]&lt;=44,"35-44",
HRData[[#This Row],[Age]]&lt;=54,"45-54",
HRData[[#This Row],[Age]]&gt;=55,"55+"
)</f>
        <v>35-44</v>
      </c>
      <c r="C1380" t="s">
        <v>43</v>
      </c>
      <c r="D1380">
        <f>IF(HRData[[#This Row],[Attrition]]="Yes",1,0)</f>
        <v>0</v>
      </c>
      <c r="E1380" t="s">
        <v>36</v>
      </c>
      <c r="F1380">
        <v>419</v>
      </c>
      <c r="G1380" t="s">
        <v>37</v>
      </c>
      <c r="H1380">
        <v>12</v>
      </c>
      <c r="I1380">
        <v>4</v>
      </c>
      <c r="J1380" t="s">
        <v>59</v>
      </c>
      <c r="K1380">
        <v>1</v>
      </c>
      <c r="L1380">
        <v>1943</v>
      </c>
      <c r="M1380">
        <v>2</v>
      </c>
      <c r="N1380" t="str" cm="1">
        <f t="array" ref="N1380">_xlfn.IFS(HRData[[#This Row],[EnvironmentSatisfaction]]=1,"Very Dissatisfied",
HRData[[#This Row],[EnvironmentSatisfaction]]=2,"Dissatisfied",
HRData[[#This Row],[EnvironmentSatisfaction]]=3,"Satisfied",
HRData[[#This Row],[EnvironmentSatisfaction]]=4,"Very Satisfied"
)</f>
        <v>Dissatisfied</v>
      </c>
      <c r="O1380" t="s">
        <v>46</v>
      </c>
      <c r="P1380">
        <v>77</v>
      </c>
      <c r="Q1380">
        <v>3</v>
      </c>
      <c r="R1380">
        <v>2</v>
      </c>
      <c r="S1380" t="s">
        <v>40</v>
      </c>
      <c r="T1380">
        <v>4</v>
      </c>
      <c r="U1380" t="str" cm="1">
        <f t="array" ref="U1380">_xlfn.IFS(
HRData[[#This Row],[JobSatisfaction]]=1,"Very Dissatisfied",
HRData[[#This Row],[JobSatisfaction]]=2,"Dissatisfied",
HRData[[#This Row],[JobSatisfaction]]=3,"Satisfied",
HRData[[#This Row],[JobSatisfaction]]=4,"Very Satisfied"
)</f>
        <v>Very Satisfied</v>
      </c>
      <c r="V1380" t="s">
        <v>52</v>
      </c>
      <c r="W1380">
        <v>5087</v>
      </c>
      <c r="X1380" t="str" cm="1">
        <f t="array" ref="X1380">_xlfn.IFS(
HRData[[#This Row],[MonthlyIncome]]&lt;=4000,"Very Low Income",
HRData[[#This Row],[MonthlyIncome]]&lt;=8000,"Low Income",
HRData[[#This Row],[MonthlyIncome]]&lt;=12000,"Moderate Income",
HRData[[#This Row],[MonthlyIncome]]&lt;=16000,"High Income",
HRData[[#This Row],[MonthlyIncome]]&gt;16000,"Very High Income"
)</f>
        <v>Low Income</v>
      </c>
      <c r="Y1380">
        <v>2900</v>
      </c>
      <c r="Z1380">
        <v>3</v>
      </c>
      <c r="AA1380" t="s">
        <v>42</v>
      </c>
      <c r="AB1380" t="s">
        <v>35</v>
      </c>
      <c r="AC1380">
        <v>12</v>
      </c>
      <c r="AD1380" t="str" cm="1">
        <f t="array" ref="AD1380">_xlfn.IFS(HRData[[#This Row],[PercentSalaryHike]]&lt;=15,"11-15",HRData[[#This Row],[PercentSalaryHike]]&lt;=20,"16-20",HRData[[#This Row],[PercentSalaryHike]]&gt;=21,"21+")</f>
        <v>11-15</v>
      </c>
      <c r="AE1380">
        <v>3</v>
      </c>
      <c r="AF1380">
        <v>3</v>
      </c>
      <c r="AG1380">
        <v>80</v>
      </c>
      <c r="AH1380">
        <v>2</v>
      </c>
      <c r="AI1380">
        <v>14</v>
      </c>
      <c r="AJ1380">
        <v>4</v>
      </c>
      <c r="AK1380">
        <v>3</v>
      </c>
      <c r="AL1380">
        <v>0</v>
      </c>
      <c r="AM1380">
        <v>0</v>
      </c>
      <c r="AN1380">
        <v>0</v>
      </c>
      <c r="AO1380">
        <v>0</v>
      </c>
      <c r="AP138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80" t="str">
        <f>IF(HRData[[#This Row],[Attrition]]="Yes","Left", IF(HRData[[#This Row],[Attrition_Risk_Score]]&gt;=6,"High",IF(HRData[[#This Row],[Attrition_Risk_Score]]&gt;=3,"Medium","Low")))</f>
        <v>Medium</v>
      </c>
      <c r="AR1380" t="str">
        <f>IF(HRData[[#This Row],[Attrition_Risk_Level]]&lt;&gt;"High","",HRData[[#This Row],[Attrition_Risk_Score]]*10000-HRData[[#This Row],[EmployeeNumber]])</f>
        <v/>
      </c>
    </row>
    <row r="1381" spans="1:44">
      <c r="A1381">
        <v>27</v>
      </c>
      <c r="B1381" t="str" cm="1">
        <f t="array" ref="B1381">_xlfn.IFS(
HRData[[#This Row],[Age]]&lt;=24,"18-24",
HRData[[#This Row],[Age]]&lt;=34,"25-34",
HRData[[#This Row],[Age]]&lt;=44,"35-44",
HRData[[#This Row],[Age]]&lt;=54,"45-54",
HRData[[#This Row],[Age]]&gt;=55,"55+"
)</f>
        <v>25-34</v>
      </c>
      <c r="C1381" t="s">
        <v>35</v>
      </c>
      <c r="D1381">
        <f>IF(HRData[[#This Row],[Attrition]]="Yes",1,0)</f>
        <v>1</v>
      </c>
      <c r="E1381" t="s">
        <v>44</v>
      </c>
      <c r="F1381">
        <v>1337</v>
      </c>
      <c r="G1381" t="s">
        <v>61</v>
      </c>
      <c r="H1381">
        <v>22</v>
      </c>
      <c r="I1381">
        <v>3</v>
      </c>
      <c r="J1381" t="s">
        <v>61</v>
      </c>
      <c r="K1381">
        <v>1</v>
      </c>
      <c r="L1381">
        <v>1944</v>
      </c>
      <c r="M1381">
        <v>1</v>
      </c>
      <c r="N1381" t="str" cm="1">
        <f t="array" ref="N1381">_xlfn.IFS(HRData[[#This Row],[EnvironmentSatisfaction]]=1,"Very Dissatisfied",
HRData[[#This Row],[EnvironmentSatisfaction]]=2,"Dissatisfied",
HRData[[#This Row],[EnvironmentSatisfaction]]=3,"Satisfied",
HRData[[#This Row],[EnvironmentSatisfaction]]=4,"Very Satisfied"
)</f>
        <v>Very Dissatisfied</v>
      </c>
      <c r="O1381" t="s">
        <v>39</v>
      </c>
      <c r="P1381">
        <v>58</v>
      </c>
      <c r="Q1381">
        <v>2</v>
      </c>
      <c r="R1381">
        <v>1</v>
      </c>
      <c r="S1381" t="s">
        <v>61</v>
      </c>
      <c r="T1381">
        <v>2</v>
      </c>
      <c r="U1381" t="str" cm="1">
        <f t="array" ref="U1381">_xlfn.IFS(
HRData[[#This Row],[JobSatisfaction]]=1,"Very Dissatisfied",
HRData[[#This Row],[JobSatisfaction]]=2,"Dissatisfied",
HRData[[#This Row],[JobSatisfaction]]=3,"Satisfied",
HRData[[#This Row],[JobSatisfaction]]=4,"Very Satisfied"
)</f>
        <v>Dissatisfied</v>
      </c>
      <c r="V1381" t="s">
        <v>48</v>
      </c>
      <c r="W1381">
        <v>2863</v>
      </c>
      <c r="X1381" t="str" cm="1">
        <f t="array" ref="X1381">_xlfn.IFS(
HRData[[#This Row],[MonthlyIncome]]&lt;=4000,"Very Low Income",
HRData[[#This Row],[MonthlyIncome]]&lt;=8000,"Low Income",
HRData[[#This Row],[MonthlyIncome]]&lt;=12000,"Moderate Income",
HRData[[#This Row],[MonthlyIncome]]&lt;=16000,"High Income",
HRData[[#This Row],[MonthlyIncome]]&gt;16000,"Very High Income"
)</f>
        <v>Very Low Income</v>
      </c>
      <c r="Y1381">
        <v>19555</v>
      </c>
      <c r="Z1381">
        <v>1</v>
      </c>
      <c r="AA1381" t="s">
        <v>42</v>
      </c>
      <c r="AB1381" t="s">
        <v>43</v>
      </c>
      <c r="AC1381">
        <v>12</v>
      </c>
      <c r="AD1381" t="str" cm="1">
        <f t="array" ref="AD1381">_xlfn.IFS(HRData[[#This Row],[PercentSalaryHike]]&lt;=15,"11-15",HRData[[#This Row],[PercentSalaryHike]]&lt;=20,"16-20",HRData[[#This Row],[PercentSalaryHike]]&gt;=21,"21+")</f>
        <v>11-15</v>
      </c>
      <c r="AE1381">
        <v>3</v>
      </c>
      <c r="AF1381">
        <v>1</v>
      </c>
      <c r="AG1381">
        <v>80</v>
      </c>
      <c r="AH1381">
        <v>0</v>
      </c>
      <c r="AI1381">
        <v>1</v>
      </c>
      <c r="AJ1381">
        <v>2</v>
      </c>
      <c r="AK1381">
        <v>3</v>
      </c>
      <c r="AL1381">
        <v>1</v>
      </c>
      <c r="AM1381">
        <v>0</v>
      </c>
      <c r="AN1381">
        <v>0</v>
      </c>
      <c r="AO1381">
        <v>0</v>
      </c>
      <c r="AP138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81" t="str">
        <f>IF(HRData[[#This Row],[Attrition]]="Yes","Left", IF(HRData[[#This Row],[Attrition_Risk_Score]]&gt;=6,"High",IF(HRData[[#This Row],[Attrition_Risk_Score]]&gt;=3,"Medium","Low")))</f>
        <v>Left</v>
      </c>
      <c r="AR1381" t="str">
        <f>IF(HRData[[#This Row],[Attrition_Risk_Level]]&lt;&gt;"High","",HRData[[#This Row],[Attrition_Risk_Score]]*10000-HRData[[#This Row],[EmployeeNumber]])</f>
        <v/>
      </c>
    </row>
    <row r="1382" spans="1:44">
      <c r="A1382">
        <v>35</v>
      </c>
      <c r="B1382" t="str" cm="1">
        <f t="array" ref="B1382">_xlfn.IFS(
HRData[[#This Row],[Age]]&lt;=24,"18-24",
HRData[[#This Row],[Age]]&lt;=34,"25-34",
HRData[[#This Row],[Age]]&lt;=44,"35-44",
HRData[[#This Row],[Age]]&lt;=54,"45-54",
HRData[[#This Row],[Age]]&gt;=55,"55+"
)</f>
        <v>35-44</v>
      </c>
      <c r="C1382" t="s">
        <v>43</v>
      </c>
      <c r="D1382">
        <f>IF(HRData[[#This Row],[Attrition]]="Yes",1,0)</f>
        <v>0</v>
      </c>
      <c r="E1382" t="s">
        <v>36</v>
      </c>
      <c r="F1382">
        <v>682</v>
      </c>
      <c r="G1382" t="s">
        <v>37</v>
      </c>
      <c r="H1382">
        <v>18</v>
      </c>
      <c r="I1382">
        <v>4</v>
      </c>
      <c r="J1382" t="s">
        <v>51</v>
      </c>
      <c r="K1382">
        <v>1</v>
      </c>
      <c r="L1382">
        <v>1945</v>
      </c>
      <c r="M1382">
        <v>2</v>
      </c>
      <c r="N1382" t="str" cm="1">
        <f t="array" ref="N1382">_xlfn.IFS(HRData[[#This Row],[EnvironmentSatisfaction]]=1,"Very Dissatisfied",
HRData[[#This Row],[EnvironmentSatisfaction]]=2,"Dissatisfied",
HRData[[#This Row],[EnvironmentSatisfaction]]=3,"Satisfied",
HRData[[#This Row],[EnvironmentSatisfaction]]=4,"Very Satisfied"
)</f>
        <v>Dissatisfied</v>
      </c>
      <c r="O1382" t="s">
        <v>46</v>
      </c>
      <c r="P1382">
        <v>71</v>
      </c>
      <c r="Q1382">
        <v>3</v>
      </c>
      <c r="R1382">
        <v>2</v>
      </c>
      <c r="S1382" t="s">
        <v>40</v>
      </c>
      <c r="T1382">
        <v>1</v>
      </c>
      <c r="U1382" t="str" cm="1">
        <f t="array" ref="U1382">_xlfn.IFS(
HRData[[#This Row],[JobSatisfaction]]=1,"Very Dissatisfied",
HRData[[#This Row],[JobSatisfaction]]=2,"Dissatisfied",
HRData[[#This Row],[JobSatisfaction]]=3,"Satisfied",
HRData[[#This Row],[JobSatisfaction]]=4,"Very Satisfied"
)</f>
        <v>Very Dissatisfied</v>
      </c>
      <c r="V1382" t="s">
        <v>48</v>
      </c>
      <c r="W1382">
        <v>5561</v>
      </c>
      <c r="X1382" t="str" cm="1">
        <f t="array" ref="X1382">_xlfn.IFS(
HRData[[#This Row],[MonthlyIncome]]&lt;=4000,"Very Low Income",
HRData[[#This Row],[MonthlyIncome]]&lt;=8000,"Low Income",
HRData[[#This Row],[MonthlyIncome]]&lt;=12000,"Moderate Income",
HRData[[#This Row],[MonthlyIncome]]&lt;=16000,"High Income",
HRData[[#This Row],[MonthlyIncome]]&gt;16000,"Very High Income"
)</f>
        <v>Low Income</v>
      </c>
      <c r="Y1382">
        <v>15975</v>
      </c>
      <c r="Z1382">
        <v>0</v>
      </c>
      <c r="AA1382" t="s">
        <v>42</v>
      </c>
      <c r="AB1382" t="s">
        <v>43</v>
      </c>
      <c r="AC1382">
        <v>16</v>
      </c>
      <c r="AD1382" t="str" cm="1">
        <f t="array" ref="AD1382">_xlfn.IFS(HRData[[#This Row],[PercentSalaryHike]]&lt;=15,"11-15",HRData[[#This Row],[PercentSalaryHike]]&lt;=20,"16-20",HRData[[#This Row],[PercentSalaryHike]]&gt;=21,"21+")</f>
        <v>16-20</v>
      </c>
      <c r="AE1382">
        <v>3</v>
      </c>
      <c r="AF1382">
        <v>4</v>
      </c>
      <c r="AG1382">
        <v>80</v>
      </c>
      <c r="AH1382">
        <v>1</v>
      </c>
      <c r="AI1382">
        <v>6</v>
      </c>
      <c r="AJ1382">
        <v>2</v>
      </c>
      <c r="AK1382">
        <v>1</v>
      </c>
      <c r="AL1382">
        <v>5</v>
      </c>
      <c r="AM1382">
        <v>3</v>
      </c>
      <c r="AN1382">
        <v>0</v>
      </c>
      <c r="AO1382">
        <v>4</v>
      </c>
      <c r="AP138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82" t="str">
        <f>IF(HRData[[#This Row],[Attrition]]="Yes","Left", IF(HRData[[#This Row],[Attrition_Risk_Score]]&gt;=6,"High",IF(HRData[[#This Row],[Attrition_Risk_Score]]&gt;=3,"Medium","Low")))</f>
        <v>Medium</v>
      </c>
      <c r="AR1382" t="str">
        <f>IF(HRData[[#This Row],[Attrition_Risk_Level]]&lt;&gt;"High","",HRData[[#This Row],[Attrition_Risk_Score]]*10000-HRData[[#This Row],[EmployeeNumber]])</f>
        <v/>
      </c>
    </row>
    <row r="1383" spans="1:44">
      <c r="A1383">
        <v>28</v>
      </c>
      <c r="B1383" t="str" cm="1">
        <f t="array" ref="B1383">_xlfn.IFS(
HRData[[#This Row],[Age]]&lt;=24,"18-24",
HRData[[#This Row],[Age]]&lt;=34,"25-34",
HRData[[#This Row],[Age]]&lt;=44,"35-44",
HRData[[#This Row],[Age]]&lt;=54,"45-54",
HRData[[#This Row],[Age]]&gt;=55,"55+"
)</f>
        <v>25-34</v>
      </c>
      <c r="C1383" t="s">
        <v>43</v>
      </c>
      <c r="D1383">
        <f>IF(HRData[[#This Row],[Attrition]]="Yes",1,0)</f>
        <v>0</v>
      </c>
      <c r="E1383" t="s">
        <v>55</v>
      </c>
      <c r="F1383">
        <v>1103</v>
      </c>
      <c r="G1383" t="s">
        <v>45</v>
      </c>
      <c r="H1383">
        <v>16</v>
      </c>
      <c r="I1383">
        <v>3</v>
      </c>
      <c r="J1383" t="s">
        <v>51</v>
      </c>
      <c r="K1383">
        <v>1</v>
      </c>
      <c r="L1383">
        <v>1947</v>
      </c>
      <c r="M1383">
        <v>3</v>
      </c>
      <c r="N1383" t="str" cm="1">
        <f t="array" ref="N1383">_xlfn.IFS(HRData[[#This Row],[EnvironmentSatisfaction]]=1,"Very Dissatisfied",
HRData[[#This Row],[EnvironmentSatisfaction]]=2,"Dissatisfied",
HRData[[#This Row],[EnvironmentSatisfaction]]=3,"Satisfied",
HRData[[#This Row],[EnvironmentSatisfaction]]=4,"Very Satisfied"
)</f>
        <v>Satisfied</v>
      </c>
      <c r="O1383" t="s">
        <v>46</v>
      </c>
      <c r="P1383">
        <v>49</v>
      </c>
      <c r="Q1383">
        <v>3</v>
      </c>
      <c r="R1383">
        <v>1</v>
      </c>
      <c r="S1383" t="s">
        <v>47</v>
      </c>
      <c r="T1383">
        <v>3</v>
      </c>
      <c r="U1383" t="str" cm="1">
        <f t="array" ref="U1383">_xlfn.IFS(
HRData[[#This Row],[JobSatisfaction]]=1,"Very Dissatisfied",
HRData[[#This Row],[JobSatisfaction]]=2,"Dissatisfied",
HRData[[#This Row],[JobSatisfaction]]=3,"Satisfied",
HRData[[#This Row],[JobSatisfaction]]=4,"Very Satisfied"
)</f>
        <v>Satisfied</v>
      </c>
      <c r="V1383" t="s">
        <v>41</v>
      </c>
      <c r="W1383">
        <v>2144</v>
      </c>
      <c r="X1383" t="str" cm="1">
        <f t="array" ref="X1383">_xlfn.IFS(
HRData[[#This Row],[MonthlyIncome]]&lt;=4000,"Very Low Income",
HRData[[#This Row],[MonthlyIncome]]&lt;=8000,"Low Income",
HRData[[#This Row],[MonthlyIncome]]&lt;=12000,"Moderate Income",
HRData[[#This Row],[MonthlyIncome]]&lt;=16000,"High Income",
HRData[[#This Row],[MonthlyIncome]]&gt;16000,"Very High Income"
)</f>
        <v>Very Low Income</v>
      </c>
      <c r="Y1383">
        <v>2122</v>
      </c>
      <c r="Z1383">
        <v>1</v>
      </c>
      <c r="AA1383" t="s">
        <v>42</v>
      </c>
      <c r="AB1383" t="s">
        <v>43</v>
      </c>
      <c r="AC1383">
        <v>14</v>
      </c>
      <c r="AD1383" t="str" cm="1">
        <f t="array" ref="AD1383">_xlfn.IFS(HRData[[#This Row],[PercentSalaryHike]]&lt;=15,"11-15",HRData[[#This Row],[PercentSalaryHike]]&lt;=20,"16-20",HRData[[#This Row],[PercentSalaryHike]]&gt;=21,"21+")</f>
        <v>11-15</v>
      </c>
      <c r="AE1383">
        <v>3</v>
      </c>
      <c r="AF1383">
        <v>3</v>
      </c>
      <c r="AG1383">
        <v>80</v>
      </c>
      <c r="AH1383">
        <v>0</v>
      </c>
      <c r="AI1383">
        <v>5</v>
      </c>
      <c r="AJ1383">
        <v>3</v>
      </c>
      <c r="AK1383">
        <v>2</v>
      </c>
      <c r="AL1383">
        <v>5</v>
      </c>
      <c r="AM1383">
        <v>3</v>
      </c>
      <c r="AN1383">
        <v>1</v>
      </c>
      <c r="AO1383">
        <v>4</v>
      </c>
      <c r="AP138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83" t="str">
        <f>IF(HRData[[#This Row],[Attrition]]="Yes","Left", IF(HRData[[#This Row],[Attrition_Risk_Score]]&gt;=6,"High",IF(HRData[[#This Row],[Attrition_Risk_Score]]&gt;=3,"Medium","Low")))</f>
        <v>Medium</v>
      </c>
      <c r="AR1383" t="str">
        <f>IF(HRData[[#This Row],[Attrition_Risk_Level]]&lt;&gt;"High","",HRData[[#This Row],[Attrition_Risk_Score]]*10000-HRData[[#This Row],[EmployeeNumber]])</f>
        <v/>
      </c>
    </row>
    <row r="1384" spans="1:44">
      <c r="A1384">
        <v>31</v>
      </c>
      <c r="B1384" t="str" cm="1">
        <f t="array" ref="B1384">_xlfn.IFS(
HRData[[#This Row],[Age]]&lt;=24,"18-24",
HRData[[#This Row],[Age]]&lt;=34,"25-34",
HRData[[#This Row],[Age]]&lt;=44,"35-44",
HRData[[#This Row],[Age]]&lt;=54,"45-54",
HRData[[#This Row],[Age]]&gt;=55,"55+"
)</f>
        <v>25-34</v>
      </c>
      <c r="C1384" t="s">
        <v>43</v>
      </c>
      <c r="D1384">
        <f>IF(HRData[[#This Row],[Attrition]]="Yes",1,0)</f>
        <v>0</v>
      </c>
      <c r="E1384" t="s">
        <v>55</v>
      </c>
      <c r="F1384">
        <v>976</v>
      </c>
      <c r="G1384" t="s">
        <v>45</v>
      </c>
      <c r="H1384">
        <v>3</v>
      </c>
      <c r="I1384">
        <v>2</v>
      </c>
      <c r="J1384" t="s">
        <v>51</v>
      </c>
      <c r="K1384">
        <v>1</v>
      </c>
      <c r="L1384">
        <v>1948</v>
      </c>
      <c r="M1384">
        <v>3</v>
      </c>
      <c r="N1384" t="str" cm="1">
        <f t="array" ref="N1384">_xlfn.IFS(HRData[[#This Row],[EnvironmentSatisfaction]]=1,"Very Dissatisfied",
HRData[[#This Row],[EnvironmentSatisfaction]]=2,"Dissatisfied",
HRData[[#This Row],[EnvironmentSatisfaction]]=3,"Satisfied",
HRData[[#This Row],[EnvironmentSatisfaction]]=4,"Very Satisfied"
)</f>
        <v>Satisfied</v>
      </c>
      <c r="O1384" t="s">
        <v>46</v>
      </c>
      <c r="P1384">
        <v>48</v>
      </c>
      <c r="Q1384">
        <v>3</v>
      </c>
      <c r="R1384">
        <v>1</v>
      </c>
      <c r="S1384" t="s">
        <v>47</v>
      </c>
      <c r="T1384">
        <v>1</v>
      </c>
      <c r="U1384" t="str" cm="1">
        <f t="array" ref="U1384">_xlfn.IFS(
HRData[[#This Row],[JobSatisfaction]]=1,"Very Dissatisfied",
HRData[[#This Row],[JobSatisfaction]]=2,"Dissatisfied",
HRData[[#This Row],[JobSatisfaction]]=3,"Satisfied",
HRData[[#This Row],[JobSatisfaction]]=4,"Very Satisfied"
)</f>
        <v>Very Dissatisfied</v>
      </c>
      <c r="V1384" t="s">
        <v>52</v>
      </c>
      <c r="W1384">
        <v>3065</v>
      </c>
      <c r="X1384" t="str" cm="1">
        <f t="array" ref="X1384">_xlfn.IFS(
HRData[[#This Row],[MonthlyIncome]]&lt;=4000,"Very Low Income",
HRData[[#This Row],[MonthlyIncome]]&lt;=8000,"Low Income",
HRData[[#This Row],[MonthlyIncome]]&lt;=12000,"Moderate Income",
HRData[[#This Row],[MonthlyIncome]]&lt;=16000,"High Income",
HRData[[#This Row],[MonthlyIncome]]&gt;16000,"Very High Income"
)</f>
        <v>Very Low Income</v>
      </c>
      <c r="Y1384">
        <v>3995</v>
      </c>
      <c r="Z1384">
        <v>1</v>
      </c>
      <c r="AA1384" t="s">
        <v>42</v>
      </c>
      <c r="AB1384" t="s">
        <v>35</v>
      </c>
      <c r="AC1384">
        <v>13</v>
      </c>
      <c r="AD1384" t="str" cm="1">
        <f t="array" ref="AD1384">_xlfn.IFS(HRData[[#This Row],[PercentSalaryHike]]&lt;=15,"11-15",HRData[[#This Row],[PercentSalaryHike]]&lt;=20,"16-20",HRData[[#This Row],[PercentSalaryHike]]&gt;=21,"21+")</f>
        <v>11-15</v>
      </c>
      <c r="AE1384">
        <v>3</v>
      </c>
      <c r="AF1384">
        <v>4</v>
      </c>
      <c r="AG1384">
        <v>80</v>
      </c>
      <c r="AH1384">
        <v>1</v>
      </c>
      <c r="AI1384">
        <v>4</v>
      </c>
      <c r="AJ1384">
        <v>3</v>
      </c>
      <c r="AK1384">
        <v>4</v>
      </c>
      <c r="AL1384">
        <v>4</v>
      </c>
      <c r="AM1384">
        <v>2</v>
      </c>
      <c r="AN1384">
        <v>2</v>
      </c>
      <c r="AO1384">
        <v>3</v>
      </c>
      <c r="AP138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1384" t="str">
        <f>IF(HRData[[#This Row],[Attrition]]="Yes","Left", IF(HRData[[#This Row],[Attrition_Risk_Score]]&gt;=6,"High",IF(HRData[[#This Row],[Attrition_Risk_Score]]&gt;=3,"Medium","Low")))</f>
        <v>High</v>
      </c>
      <c r="AR1384">
        <f>IF(HRData[[#This Row],[Attrition_Risk_Level]]&lt;&gt;"High","",HRData[[#This Row],[Attrition_Risk_Score]]*10000-HRData[[#This Row],[EmployeeNumber]])</f>
        <v>68052</v>
      </c>
    </row>
    <row r="1385" spans="1:44">
      <c r="A1385">
        <v>36</v>
      </c>
      <c r="B1385" t="str" cm="1">
        <f t="array" ref="B1385">_xlfn.IFS(
HRData[[#This Row],[Age]]&lt;=24,"18-24",
HRData[[#This Row],[Age]]&lt;=34,"25-34",
HRData[[#This Row],[Age]]&lt;=44,"35-44",
HRData[[#This Row],[Age]]&lt;=54,"45-54",
HRData[[#This Row],[Age]]&gt;=55,"55+"
)</f>
        <v>35-44</v>
      </c>
      <c r="C1385" t="s">
        <v>43</v>
      </c>
      <c r="D1385">
        <f>IF(HRData[[#This Row],[Attrition]]="Yes",1,0)</f>
        <v>0</v>
      </c>
      <c r="E1385" t="s">
        <v>55</v>
      </c>
      <c r="F1385">
        <v>1351</v>
      </c>
      <c r="G1385" t="s">
        <v>45</v>
      </c>
      <c r="H1385">
        <v>9</v>
      </c>
      <c r="I1385">
        <v>4</v>
      </c>
      <c r="J1385" t="s">
        <v>38</v>
      </c>
      <c r="K1385">
        <v>1</v>
      </c>
      <c r="L1385">
        <v>1949</v>
      </c>
      <c r="M1385">
        <v>1</v>
      </c>
      <c r="N1385" t="str" cm="1">
        <f t="array" ref="N1385">_xlfn.IFS(HRData[[#This Row],[EnvironmentSatisfaction]]=1,"Very Dissatisfied",
HRData[[#This Row],[EnvironmentSatisfaction]]=2,"Dissatisfied",
HRData[[#This Row],[EnvironmentSatisfaction]]=3,"Satisfied",
HRData[[#This Row],[EnvironmentSatisfaction]]=4,"Very Satisfied"
)</f>
        <v>Very Dissatisfied</v>
      </c>
      <c r="O1385" t="s">
        <v>46</v>
      </c>
      <c r="P1385">
        <v>66</v>
      </c>
      <c r="Q1385">
        <v>4</v>
      </c>
      <c r="R1385">
        <v>1</v>
      </c>
      <c r="S1385" t="s">
        <v>50</v>
      </c>
      <c r="T1385">
        <v>2</v>
      </c>
      <c r="U1385" t="str" cm="1">
        <f t="array" ref="U1385">_xlfn.IFS(
HRData[[#This Row],[JobSatisfaction]]=1,"Very Dissatisfied",
HRData[[#This Row],[JobSatisfaction]]=2,"Dissatisfied",
HRData[[#This Row],[JobSatisfaction]]=3,"Satisfied",
HRData[[#This Row],[JobSatisfaction]]=4,"Very Satisfied"
)</f>
        <v>Dissatisfied</v>
      </c>
      <c r="V1385" t="s">
        <v>48</v>
      </c>
      <c r="W1385">
        <v>2810</v>
      </c>
      <c r="X1385" t="str" cm="1">
        <f t="array" ref="X1385">_xlfn.IFS(
HRData[[#This Row],[MonthlyIncome]]&lt;=4000,"Very Low Income",
HRData[[#This Row],[MonthlyIncome]]&lt;=8000,"Low Income",
HRData[[#This Row],[MonthlyIncome]]&lt;=12000,"Moderate Income",
HRData[[#This Row],[MonthlyIncome]]&lt;=16000,"High Income",
HRData[[#This Row],[MonthlyIncome]]&gt;16000,"Very High Income"
)</f>
        <v>Very Low Income</v>
      </c>
      <c r="Y1385">
        <v>9238</v>
      </c>
      <c r="Z1385">
        <v>1</v>
      </c>
      <c r="AA1385" t="s">
        <v>42</v>
      </c>
      <c r="AB1385" t="s">
        <v>43</v>
      </c>
      <c r="AC1385">
        <v>22</v>
      </c>
      <c r="AD1385" t="str" cm="1">
        <f t="array" ref="AD1385">_xlfn.IFS(HRData[[#This Row],[PercentSalaryHike]]&lt;=15,"11-15",HRData[[#This Row],[PercentSalaryHike]]&lt;=20,"16-20",HRData[[#This Row],[PercentSalaryHike]]&gt;=21,"21+")</f>
        <v>21+</v>
      </c>
      <c r="AE1385">
        <v>4</v>
      </c>
      <c r="AF1385">
        <v>2</v>
      </c>
      <c r="AG1385">
        <v>80</v>
      </c>
      <c r="AH1385">
        <v>0</v>
      </c>
      <c r="AI1385">
        <v>5</v>
      </c>
      <c r="AJ1385">
        <v>3</v>
      </c>
      <c r="AK1385">
        <v>3</v>
      </c>
      <c r="AL1385">
        <v>5</v>
      </c>
      <c r="AM1385">
        <v>4</v>
      </c>
      <c r="AN1385">
        <v>0</v>
      </c>
      <c r="AO1385">
        <v>2</v>
      </c>
      <c r="AP138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85" t="str">
        <f>IF(HRData[[#This Row],[Attrition]]="Yes","Left", IF(HRData[[#This Row],[Attrition_Risk_Score]]&gt;=6,"High",IF(HRData[[#This Row],[Attrition_Risk_Score]]&gt;=3,"Medium","Low")))</f>
        <v>Medium</v>
      </c>
      <c r="AR1385" t="str">
        <f>IF(HRData[[#This Row],[Attrition_Risk_Level]]&lt;&gt;"High","",HRData[[#This Row],[Attrition_Risk_Score]]*10000-HRData[[#This Row],[EmployeeNumber]])</f>
        <v/>
      </c>
    </row>
    <row r="1386" spans="1:44">
      <c r="A1386">
        <v>34</v>
      </c>
      <c r="B1386" t="str" cm="1">
        <f t="array" ref="B1386">_xlfn.IFS(
HRData[[#This Row],[Age]]&lt;=24,"18-24",
HRData[[#This Row],[Age]]&lt;=34,"25-34",
HRData[[#This Row],[Age]]&lt;=44,"35-44",
HRData[[#This Row],[Age]]&lt;=54,"45-54",
HRData[[#This Row],[Age]]&gt;=55,"55+"
)</f>
        <v>25-34</v>
      </c>
      <c r="C1386" t="s">
        <v>43</v>
      </c>
      <c r="D1386">
        <f>IF(HRData[[#This Row],[Attrition]]="Yes",1,0)</f>
        <v>0</v>
      </c>
      <c r="E1386" t="s">
        <v>36</v>
      </c>
      <c r="F1386">
        <v>937</v>
      </c>
      <c r="G1386" t="s">
        <v>37</v>
      </c>
      <c r="H1386">
        <v>1</v>
      </c>
      <c r="I1386">
        <v>3</v>
      </c>
      <c r="J1386" t="s">
        <v>59</v>
      </c>
      <c r="K1386">
        <v>1</v>
      </c>
      <c r="L1386">
        <v>1950</v>
      </c>
      <c r="M1386">
        <v>1</v>
      </c>
      <c r="N1386" t="str" cm="1">
        <f t="array" ref="N1386">_xlfn.IFS(HRData[[#This Row],[EnvironmentSatisfaction]]=1,"Very Dissatisfied",
HRData[[#This Row],[EnvironmentSatisfaction]]=2,"Dissatisfied",
HRData[[#This Row],[EnvironmentSatisfaction]]=3,"Satisfied",
HRData[[#This Row],[EnvironmentSatisfaction]]=4,"Very Satisfied"
)</f>
        <v>Very Dissatisfied</v>
      </c>
      <c r="O1386" t="s">
        <v>46</v>
      </c>
      <c r="P1386">
        <v>32</v>
      </c>
      <c r="Q1386">
        <v>3</v>
      </c>
      <c r="R1386">
        <v>3</v>
      </c>
      <c r="S1386" t="s">
        <v>40</v>
      </c>
      <c r="T1386">
        <v>4</v>
      </c>
      <c r="U1386" t="str" cm="1">
        <f t="array" ref="U1386">_xlfn.IFS(
HRData[[#This Row],[JobSatisfaction]]=1,"Very Dissatisfied",
HRData[[#This Row],[JobSatisfaction]]=2,"Dissatisfied",
HRData[[#This Row],[JobSatisfaction]]=3,"Satisfied",
HRData[[#This Row],[JobSatisfaction]]=4,"Very Satisfied"
)</f>
        <v>Very Satisfied</v>
      </c>
      <c r="V1386" t="s">
        <v>41</v>
      </c>
      <c r="W1386">
        <v>9888</v>
      </c>
      <c r="X1386" t="str" cm="1">
        <f t="array" ref="X1386">_xlfn.IFS(
HRData[[#This Row],[MonthlyIncome]]&lt;=4000,"Very Low Income",
HRData[[#This Row],[MonthlyIncome]]&lt;=8000,"Low Income",
HRData[[#This Row],[MonthlyIncome]]&lt;=12000,"Moderate Income",
HRData[[#This Row],[MonthlyIncome]]&lt;=16000,"High Income",
HRData[[#This Row],[MonthlyIncome]]&gt;16000,"Very High Income"
)</f>
        <v>Moderate Income</v>
      </c>
      <c r="Y1386">
        <v>6770</v>
      </c>
      <c r="Z1386">
        <v>1</v>
      </c>
      <c r="AA1386" t="s">
        <v>42</v>
      </c>
      <c r="AB1386" t="s">
        <v>43</v>
      </c>
      <c r="AC1386">
        <v>21</v>
      </c>
      <c r="AD1386" t="str" cm="1">
        <f t="array" ref="AD1386">_xlfn.IFS(HRData[[#This Row],[PercentSalaryHike]]&lt;=15,"11-15",HRData[[#This Row],[PercentSalaryHike]]&lt;=20,"16-20",HRData[[#This Row],[PercentSalaryHike]]&gt;=21,"21+")</f>
        <v>21+</v>
      </c>
      <c r="AE1386">
        <v>4</v>
      </c>
      <c r="AF1386">
        <v>1</v>
      </c>
      <c r="AG1386">
        <v>80</v>
      </c>
      <c r="AH1386">
        <v>0</v>
      </c>
      <c r="AI1386">
        <v>14</v>
      </c>
      <c r="AJ1386">
        <v>3</v>
      </c>
      <c r="AK1386">
        <v>2</v>
      </c>
      <c r="AL1386">
        <v>14</v>
      </c>
      <c r="AM1386">
        <v>8</v>
      </c>
      <c r="AN1386">
        <v>2</v>
      </c>
      <c r="AO1386">
        <v>1</v>
      </c>
      <c r="AP138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86" t="str">
        <f>IF(HRData[[#This Row],[Attrition]]="Yes","Left", IF(HRData[[#This Row],[Attrition_Risk_Score]]&gt;=6,"High",IF(HRData[[#This Row],[Attrition_Risk_Score]]&gt;=3,"Medium","Low")))</f>
        <v>Low</v>
      </c>
      <c r="AR1386" t="str">
        <f>IF(HRData[[#This Row],[Attrition_Risk_Level]]&lt;&gt;"High","",HRData[[#This Row],[Attrition_Risk_Score]]*10000-HRData[[#This Row],[EmployeeNumber]])</f>
        <v/>
      </c>
    </row>
    <row r="1387" spans="1:44">
      <c r="A1387">
        <v>34</v>
      </c>
      <c r="B1387" t="str" cm="1">
        <f t="array" ref="B1387">_xlfn.IFS(
HRData[[#This Row],[Age]]&lt;=24,"18-24",
HRData[[#This Row],[Age]]&lt;=34,"25-34",
HRData[[#This Row],[Age]]&lt;=44,"35-44",
HRData[[#This Row],[Age]]&lt;=54,"45-54",
HRData[[#This Row],[Age]]&gt;=55,"55+"
)</f>
        <v>25-34</v>
      </c>
      <c r="C1387" t="s">
        <v>43</v>
      </c>
      <c r="D1387">
        <f>IF(HRData[[#This Row],[Attrition]]="Yes",1,0)</f>
        <v>0</v>
      </c>
      <c r="E1387" t="s">
        <v>36</v>
      </c>
      <c r="F1387">
        <v>1239</v>
      </c>
      <c r="G1387" t="s">
        <v>37</v>
      </c>
      <c r="H1387">
        <v>13</v>
      </c>
      <c r="I1387">
        <v>4</v>
      </c>
      <c r="J1387" t="s">
        <v>51</v>
      </c>
      <c r="K1387">
        <v>1</v>
      </c>
      <c r="L1387">
        <v>1951</v>
      </c>
      <c r="M1387">
        <v>4</v>
      </c>
      <c r="N1387" t="str" cm="1">
        <f t="array" ref="N1387">_xlfn.IFS(HRData[[#This Row],[EnvironmentSatisfaction]]=1,"Very Dissatisfied",
HRData[[#This Row],[EnvironmentSatisfaction]]=2,"Dissatisfied",
HRData[[#This Row],[EnvironmentSatisfaction]]=3,"Satisfied",
HRData[[#This Row],[EnvironmentSatisfaction]]=4,"Very Satisfied"
)</f>
        <v>Very Satisfied</v>
      </c>
      <c r="O1387" t="s">
        <v>46</v>
      </c>
      <c r="P1387">
        <v>39</v>
      </c>
      <c r="Q1387">
        <v>3</v>
      </c>
      <c r="R1387">
        <v>3</v>
      </c>
      <c r="S1387" t="s">
        <v>40</v>
      </c>
      <c r="T1387">
        <v>3</v>
      </c>
      <c r="U1387" t="str" cm="1">
        <f t="array" ref="U1387">_xlfn.IFS(
HRData[[#This Row],[JobSatisfaction]]=1,"Very Dissatisfied",
HRData[[#This Row],[JobSatisfaction]]=2,"Dissatisfied",
HRData[[#This Row],[JobSatisfaction]]=3,"Satisfied",
HRData[[#This Row],[JobSatisfaction]]=4,"Very Satisfied"
)</f>
        <v>Satisfied</v>
      </c>
      <c r="V1387" t="s">
        <v>52</v>
      </c>
      <c r="W1387">
        <v>8628</v>
      </c>
      <c r="X1387" t="str" cm="1">
        <f t="array" ref="X1387">_xlfn.IFS(
HRData[[#This Row],[MonthlyIncome]]&lt;=4000,"Very Low Income",
HRData[[#This Row],[MonthlyIncome]]&lt;=8000,"Low Income",
HRData[[#This Row],[MonthlyIncome]]&lt;=12000,"Moderate Income",
HRData[[#This Row],[MonthlyIncome]]&lt;=16000,"High Income",
HRData[[#This Row],[MonthlyIncome]]&gt;16000,"Very High Income"
)</f>
        <v>Moderate Income</v>
      </c>
      <c r="Y1387">
        <v>22914</v>
      </c>
      <c r="Z1387">
        <v>1</v>
      </c>
      <c r="AA1387" t="s">
        <v>42</v>
      </c>
      <c r="AB1387" t="s">
        <v>43</v>
      </c>
      <c r="AC1387">
        <v>18</v>
      </c>
      <c r="AD1387" t="str" cm="1">
        <f t="array" ref="AD1387">_xlfn.IFS(HRData[[#This Row],[PercentSalaryHike]]&lt;=15,"11-15",HRData[[#This Row],[PercentSalaryHike]]&lt;=20,"16-20",HRData[[#This Row],[PercentSalaryHike]]&gt;=21,"21+")</f>
        <v>16-20</v>
      </c>
      <c r="AE1387">
        <v>3</v>
      </c>
      <c r="AF1387">
        <v>3</v>
      </c>
      <c r="AG1387">
        <v>80</v>
      </c>
      <c r="AH1387">
        <v>1</v>
      </c>
      <c r="AI1387">
        <v>9</v>
      </c>
      <c r="AJ1387">
        <v>2</v>
      </c>
      <c r="AK1387">
        <v>2</v>
      </c>
      <c r="AL1387">
        <v>8</v>
      </c>
      <c r="AM1387">
        <v>7</v>
      </c>
      <c r="AN1387">
        <v>1</v>
      </c>
      <c r="AO1387">
        <v>1</v>
      </c>
      <c r="AP138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87" t="str">
        <f>IF(HRData[[#This Row],[Attrition]]="Yes","Left", IF(HRData[[#This Row],[Attrition_Risk_Score]]&gt;=6,"High",IF(HRData[[#This Row],[Attrition_Risk_Score]]&gt;=3,"Medium","Low")))</f>
        <v>Low</v>
      </c>
      <c r="AR1387" t="str">
        <f>IF(HRData[[#This Row],[Attrition_Risk_Level]]&lt;&gt;"High","",HRData[[#This Row],[Attrition_Risk_Score]]*10000-HRData[[#This Row],[EmployeeNumber]])</f>
        <v/>
      </c>
    </row>
    <row r="1388" spans="1:44">
      <c r="A1388">
        <v>26</v>
      </c>
      <c r="B1388" t="str" cm="1">
        <f t="array" ref="B1388">_xlfn.IFS(
HRData[[#This Row],[Age]]&lt;=24,"18-24",
HRData[[#This Row],[Age]]&lt;=34,"25-34",
HRData[[#This Row],[Age]]&lt;=44,"35-44",
HRData[[#This Row],[Age]]&lt;=54,"45-54",
HRData[[#This Row],[Age]]&gt;=55,"55+"
)</f>
        <v>25-34</v>
      </c>
      <c r="C1388" t="s">
        <v>43</v>
      </c>
      <c r="D1388">
        <f>IF(HRData[[#This Row],[Attrition]]="Yes",1,0)</f>
        <v>0</v>
      </c>
      <c r="E1388" t="s">
        <v>36</v>
      </c>
      <c r="F1388">
        <v>157</v>
      </c>
      <c r="G1388" t="s">
        <v>45</v>
      </c>
      <c r="H1388">
        <v>1</v>
      </c>
      <c r="I1388">
        <v>3</v>
      </c>
      <c r="J1388" t="s">
        <v>51</v>
      </c>
      <c r="K1388">
        <v>1</v>
      </c>
      <c r="L1388">
        <v>1952</v>
      </c>
      <c r="M1388">
        <v>3</v>
      </c>
      <c r="N1388" t="str" cm="1">
        <f t="array" ref="N1388">_xlfn.IFS(HRData[[#This Row],[EnvironmentSatisfaction]]=1,"Very Dissatisfied",
HRData[[#This Row],[EnvironmentSatisfaction]]=2,"Dissatisfied",
HRData[[#This Row],[EnvironmentSatisfaction]]=3,"Satisfied",
HRData[[#This Row],[EnvironmentSatisfaction]]=4,"Very Satisfied"
)</f>
        <v>Satisfied</v>
      </c>
      <c r="O1388" t="s">
        <v>46</v>
      </c>
      <c r="P1388">
        <v>95</v>
      </c>
      <c r="Q1388">
        <v>3</v>
      </c>
      <c r="R1388">
        <v>1</v>
      </c>
      <c r="S1388" t="s">
        <v>50</v>
      </c>
      <c r="T1388">
        <v>1</v>
      </c>
      <c r="U1388" t="str" cm="1">
        <f t="array" ref="U1388">_xlfn.IFS(
HRData[[#This Row],[JobSatisfaction]]=1,"Very Dissatisfied",
HRData[[#This Row],[JobSatisfaction]]=2,"Dissatisfied",
HRData[[#This Row],[JobSatisfaction]]=3,"Satisfied",
HRData[[#This Row],[JobSatisfaction]]=4,"Very Satisfied"
)</f>
        <v>Very Dissatisfied</v>
      </c>
      <c r="V1388" t="s">
        <v>41</v>
      </c>
      <c r="W1388">
        <v>2867</v>
      </c>
      <c r="X1388" t="str" cm="1">
        <f t="array" ref="X1388">_xlfn.IFS(
HRData[[#This Row],[MonthlyIncome]]&lt;=4000,"Very Low Income",
HRData[[#This Row],[MonthlyIncome]]&lt;=8000,"Low Income",
HRData[[#This Row],[MonthlyIncome]]&lt;=12000,"Moderate Income",
HRData[[#This Row],[MonthlyIncome]]&lt;=16000,"High Income",
HRData[[#This Row],[MonthlyIncome]]&gt;16000,"Very High Income"
)</f>
        <v>Very Low Income</v>
      </c>
      <c r="Y1388">
        <v>20006</v>
      </c>
      <c r="Z1388">
        <v>0</v>
      </c>
      <c r="AA1388" t="s">
        <v>42</v>
      </c>
      <c r="AB1388" t="s">
        <v>43</v>
      </c>
      <c r="AC1388">
        <v>13</v>
      </c>
      <c r="AD1388" t="str" cm="1">
        <f t="array" ref="AD1388">_xlfn.IFS(HRData[[#This Row],[PercentSalaryHike]]&lt;=15,"11-15",HRData[[#This Row],[PercentSalaryHike]]&lt;=20,"16-20",HRData[[#This Row],[PercentSalaryHike]]&gt;=21,"21+")</f>
        <v>11-15</v>
      </c>
      <c r="AE1388">
        <v>3</v>
      </c>
      <c r="AF1388">
        <v>4</v>
      </c>
      <c r="AG1388">
        <v>80</v>
      </c>
      <c r="AH1388">
        <v>0</v>
      </c>
      <c r="AI1388">
        <v>8</v>
      </c>
      <c r="AJ1388">
        <v>6</v>
      </c>
      <c r="AK1388">
        <v>2</v>
      </c>
      <c r="AL1388">
        <v>7</v>
      </c>
      <c r="AM1388">
        <v>7</v>
      </c>
      <c r="AN1388">
        <v>7</v>
      </c>
      <c r="AO1388">
        <v>6</v>
      </c>
      <c r="AP138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388" t="str">
        <f>IF(HRData[[#This Row],[Attrition]]="Yes","Left", IF(HRData[[#This Row],[Attrition_Risk_Score]]&gt;=6,"High",IF(HRData[[#This Row],[Attrition_Risk_Score]]&gt;=3,"Medium","Low")))</f>
        <v>High</v>
      </c>
      <c r="AR1388">
        <f>IF(HRData[[#This Row],[Attrition_Risk_Level]]&lt;&gt;"High","",HRData[[#This Row],[Attrition_Risk_Score]]*10000-HRData[[#This Row],[EmployeeNumber]])</f>
        <v>58048</v>
      </c>
    </row>
    <row r="1389" spans="1:44">
      <c r="A1389">
        <v>29</v>
      </c>
      <c r="B1389" t="str" cm="1">
        <f t="array" ref="B1389">_xlfn.IFS(
HRData[[#This Row],[Age]]&lt;=24,"18-24",
HRData[[#This Row],[Age]]&lt;=34,"25-34",
HRData[[#This Row],[Age]]&lt;=44,"35-44",
HRData[[#This Row],[Age]]&lt;=54,"45-54",
HRData[[#This Row],[Age]]&gt;=55,"55+"
)</f>
        <v>25-34</v>
      </c>
      <c r="C1389" t="s">
        <v>43</v>
      </c>
      <c r="D1389">
        <f>IF(HRData[[#This Row],[Attrition]]="Yes",1,0)</f>
        <v>0</v>
      </c>
      <c r="E1389" t="s">
        <v>36</v>
      </c>
      <c r="F1389">
        <v>136</v>
      </c>
      <c r="G1389" t="s">
        <v>45</v>
      </c>
      <c r="H1389">
        <v>1</v>
      </c>
      <c r="I1389">
        <v>3</v>
      </c>
      <c r="J1389" t="s">
        <v>38</v>
      </c>
      <c r="K1389">
        <v>1</v>
      </c>
      <c r="L1389">
        <v>1954</v>
      </c>
      <c r="M1389">
        <v>1</v>
      </c>
      <c r="N1389" t="str" cm="1">
        <f t="array" ref="N1389">_xlfn.IFS(HRData[[#This Row],[EnvironmentSatisfaction]]=1,"Very Dissatisfied",
HRData[[#This Row],[EnvironmentSatisfaction]]=2,"Dissatisfied",
HRData[[#This Row],[EnvironmentSatisfaction]]=3,"Satisfied",
HRData[[#This Row],[EnvironmentSatisfaction]]=4,"Very Satisfied"
)</f>
        <v>Very Dissatisfied</v>
      </c>
      <c r="O1389" t="s">
        <v>46</v>
      </c>
      <c r="P1389">
        <v>89</v>
      </c>
      <c r="Q1389">
        <v>3</v>
      </c>
      <c r="R1389">
        <v>2</v>
      </c>
      <c r="S1389" t="s">
        <v>54</v>
      </c>
      <c r="T1389">
        <v>1</v>
      </c>
      <c r="U1389" t="str" cm="1">
        <f t="array" ref="U1389">_xlfn.IFS(
HRData[[#This Row],[JobSatisfaction]]=1,"Very Dissatisfied",
HRData[[#This Row],[JobSatisfaction]]=2,"Dissatisfied",
HRData[[#This Row],[JobSatisfaction]]=3,"Satisfied",
HRData[[#This Row],[JobSatisfaction]]=4,"Very Satisfied"
)</f>
        <v>Very Dissatisfied</v>
      </c>
      <c r="V1389" t="s">
        <v>48</v>
      </c>
      <c r="W1389">
        <v>5373</v>
      </c>
      <c r="X1389" t="str" cm="1">
        <f t="array" ref="X1389">_xlfn.IFS(
HRData[[#This Row],[MonthlyIncome]]&lt;=4000,"Very Low Income",
HRData[[#This Row],[MonthlyIncome]]&lt;=8000,"Low Income",
HRData[[#This Row],[MonthlyIncome]]&lt;=12000,"Moderate Income",
HRData[[#This Row],[MonthlyIncome]]&lt;=16000,"High Income",
HRData[[#This Row],[MonthlyIncome]]&gt;16000,"Very High Income"
)</f>
        <v>Low Income</v>
      </c>
      <c r="Y1389">
        <v>6225</v>
      </c>
      <c r="Z1389">
        <v>0</v>
      </c>
      <c r="AA1389" t="s">
        <v>42</v>
      </c>
      <c r="AB1389" t="s">
        <v>43</v>
      </c>
      <c r="AC1389">
        <v>12</v>
      </c>
      <c r="AD1389" t="str" cm="1">
        <f t="array" ref="AD1389">_xlfn.IFS(HRData[[#This Row],[PercentSalaryHike]]&lt;=15,"11-15",HRData[[#This Row],[PercentSalaryHike]]&lt;=20,"16-20",HRData[[#This Row],[PercentSalaryHike]]&gt;=21,"21+")</f>
        <v>11-15</v>
      </c>
      <c r="AE1389">
        <v>3</v>
      </c>
      <c r="AF1389">
        <v>1</v>
      </c>
      <c r="AG1389">
        <v>80</v>
      </c>
      <c r="AH1389">
        <v>1</v>
      </c>
      <c r="AI1389">
        <v>6</v>
      </c>
      <c r="AJ1389">
        <v>5</v>
      </c>
      <c r="AK1389">
        <v>2</v>
      </c>
      <c r="AL1389">
        <v>5</v>
      </c>
      <c r="AM1389">
        <v>3</v>
      </c>
      <c r="AN1389">
        <v>0</v>
      </c>
      <c r="AO1389">
        <v>2</v>
      </c>
      <c r="AP138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389" t="str">
        <f>IF(HRData[[#This Row],[Attrition]]="Yes","Left", IF(HRData[[#This Row],[Attrition_Risk_Score]]&gt;=6,"High",IF(HRData[[#This Row],[Attrition_Risk_Score]]&gt;=3,"Medium","Low")))</f>
        <v>Medium</v>
      </c>
      <c r="AR1389" t="str">
        <f>IF(HRData[[#This Row],[Attrition_Risk_Level]]&lt;&gt;"High","",HRData[[#This Row],[Attrition_Risk_Score]]*10000-HRData[[#This Row],[EmployeeNumber]])</f>
        <v/>
      </c>
    </row>
    <row r="1390" spans="1:44">
      <c r="A1390">
        <v>32</v>
      </c>
      <c r="B1390" t="str" cm="1">
        <f t="array" ref="B1390">_xlfn.IFS(
HRData[[#This Row],[Age]]&lt;=24,"18-24",
HRData[[#This Row],[Age]]&lt;=34,"25-34",
HRData[[#This Row],[Age]]&lt;=44,"35-44",
HRData[[#This Row],[Age]]&lt;=54,"45-54",
HRData[[#This Row],[Age]]&gt;=55,"55+"
)</f>
        <v>25-34</v>
      </c>
      <c r="C1390" t="s">
        <v>43</v>
      </c>
      <c r="D1390">
        <f>IF(HRData[[#This Row],[Attrition]]="Yes",1,0)</f>
        <v>0</v>
      </c>
      <c r="E1390" t="s">
        <v>55</v>
      </c>
      <c r="F1390">
        <v>1146</v>
      </c>
      <c r="G1390" t="s">
        <v>45</v>
      </c>
      <c r="H1390">
        <v>15</v>
      </c>
      <c r="I1390">
        <v>4</v>
      </c>
      <c r="J1390" t="s">
        <v>51</v>
      </c>
      <c r="K1390">
        <v>1</v>
      </c>
      <c r="L1390">
        <v>1955</v>
      </c>
      <c r="M1390">
        <v>3</v>
      </c>
      <c r="N1390" t="str" cm="1">
        <f t="array" ref="N1390">_xlfn.IFS(HRData[[#This Row],[EnvironmentSatisfaction]]=1,"Very Dissatisfied",
HRData[[#This Row],[EnvironmentSatisfaction]]=2,"Dissatisfied",
HRData[[#This Row],[EnvironmentSatisfaction]]=3,"Satisfied",
HRData[[#This Row],[EnvironmentSatisfaction]]=4,"Very Satisfied"
)</f>
        <v>Satisfied</v>
      </c>
      <c r="O1390" t="s">
        <v>39</v>
      </c>
      <c r="P1390">
        <v>34</v>
      </c>
      <c r="Q1390">
        <v>3</v>
      </c>
      <c r="R1390">
        <v>2</v>
      </c>
      <c r="S1390" t="s">
        <v>54</v>
      </c>
      <c r="T1390">
        <v>4</v>
      </c>
      <c r="U1390" t="str" cm="1">
        <f t="array" ref="U1390">_xlfn.IFS(
HRData[[#This Row],[JobSatisfaction]]=1,"Very Dissatisfied",
HRData[[#This Row],[JobSatisfaction]]=2,"Dissatisfied",
HRData[[#This Row],[JobSatisfaction]]=3,"Satisfied",
HRData[[#This Row],[JobSatisfaction]]=4,"Very Satisfied"
)</f>
        <v>Very Satisfied</v>
      </c>
      <c r="V1390" t="s">
        <v>52</v>
      </c>
      <c r="W1390">
        <v>6667</v>
      </c>
      <c r="X1390" t="str" cm="1">
        <f t="array" ref="X1390">_xlfn.IFS(
HRData[[#This Row],[MonthlyIncome]]&lt;=4000,"Very Low Income",
HRData[[#This Row],[MonthlyIncome]]&lt;=8000,"Low Income",
HRData[[#This Row],[MonthlyIncome]]&lt;=12000,"Moderate Income",
HRData[[#This Row],[MonthlyIncome]]&lt;=16000,"High Income",
HRData[[#This Row],[MonthlyIncome]]&gt;16000,"Very High Income"
)</f>
        <v>Low Income</v>
      </c>
      <c r="Y1390">
        <v>16542</v>
      </c>
      <c r="Z1390">
        <v>5</v>
      </c>
      <c r="AA1390" t="s">
        <v>42</v>
      </c>
      <c r="AB1390" t="s">
        <v>43</v>
      </c>
      <c r="AC1390">
        <v>18</v>
      </c>
      <c r="AD1390" t="str" cm="1">
        <f t="array" ref="AD1390">_xlfn.IFS(HRData[[#This Row],[PercentSalaryHike]]&lt;=15,"11-15",HRData[[#This Row],[PercentSalaryHike]]&lt;=20,"16-20",HRData[[#This Row],[PercentSalaryHike]]&gt;=21,"21+")</f>
        <v>16-20</v>
      </c>
      <c r="AE1390">
        <v>3</v>
      </c>
      <c r="AF1390">
        <v>2</v>
      </c>
      <c r="AG1390">
        <v>80</v>
      </c>
      <c r="AH1390">
        <v>1</v>
      </c>
      <c r="AI1390">
        <v>9</v>
      </c>
      <c r="AJ1390">
        <v>6</v>
      </c>
      <c r="AK1390">
        <v>3</v>
      </c>
      <c r="AL1390">
        <v>5</v>
      </c>
      <c r="AM1390">
        <v>1</v>
      </c>
      <c r="AN1390">
        <v>1</v>
      </c>
      <c r="AO1390">
        <v>2</v>
      </c>
      <c r="AP139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90" t="str">
        <f>IF(HRData[[#This Row],[Attrition]]="Yes","Left", IF(HRData[[#This Row],[Attrition_Risk_Score]]&gt;=6,"High",IF(HRData[[#This Row],[Attrition_Risk_Score]]&gt;=3,"Medium","Low")))</f>
        <v>Low</v>
      </c>
      <c r="AR1390" t="str">
        <f>IF(HRData[[#This Row],[Attrition_Risk_Level]]&lt;&gt;"High","",HRData[[#This Row],[Attrition_Risk_Score]]*10000-HRData[[#This Row],[EmployeeNumber]])</f>
        <v/>
      </c>
    </row>
    <row r="1391" spans="1:44">
      <c r="A1391">
        <v>31</v>
      </c>
      <c r="B1391" t="str" cm="1">
        <f t="array" ref="B1391">_xlfn.IFS(
HRData[[#This Row],[Age]]&lt;=24,"18-24",
HRData[[#This Row],[Age]]&lt;=34,"25-34",
HRData[[#This Row],[Age]]&lt;=44,"35-44",
HRData[[#This Row],[Age]]&lt;=54,"45-54",
HRData[[#This Row],[Age]]&gt;=55,"55+"
)</f>
        <v>25-34</v>
      </c>
      <c r="C1391" t="s">
        <v>43</v>
      </c>
      <c r="D1391">
        <f>IF(HRData[[#This Row],[Attrition]]="Yes",1,0)</f>
        <v>0</v>
      </c>
      <c r="E1391" t="s">
        <v>44</v>
      </c>
      <c r="F1391">
        <v>1125</v>
      </c>
      <c r="G1391" t="s">
        <v>45</v>
      </c>
      <c r="H1391">
        <v>1</v>
      </c>
      <c r="I1391">
        <v>3</v>
      </c>
      <c r="J1391" t="s">
        <v>38</v>
      </c>
      <c r="K1391">
        <v>1</v>
      </c>
      <c r="L1391">
        <v>1956</v>
      </c>
      <c r="M1391">
        <v>4</v>
      </c>
      <c r="N1391" t="str" cm="1">
        <f t="array" ref="N1391">_xlfn.IFS(HRData[[#This Row],[EnvironmentSatisfaction]]=1,"Very Dissatisfied",
HRData[[#This Row],[EnvironmentSatisfaction]]=2,"Dissatisfied",
HRData[[#This Row],[EnvironmentSatisfaction]]=3,"Satisfied",
HRData[[#This Row],[EnvironmentSatisfaction]]=4,"Very Satisfied"
)</f>
        <v>Very Satisfied</v>
      </c>
      <c r="O1391" t="s">
        <v>46</v>
      </c>
      <c r="P1391">
        <v>48</v>
      </c>
      <c r="Q1391">
        <v>1</v>
      </c>
      <c r="R1391">
        <v>2</v>
      </c>
      <c r="S1391" t="s">
        <v>47</v>
      </c>
      <c r="T1391">
        <v>1</v>
      </c>
      <c r="U1391" t="str" cm="1">
        <f t="array" ref="U1391">_xlfn.IFS(
HRData[[#This Row],[JobSatisfaction]]=1,"Very Dissatisfied",
HRData[[#This Row],[JobSatisfaction]]=2,"Dissatisfied",
HRData[[#This Row],[JobSatisfaction]]=3,"Satisfied",
HRData[[#This Row],[JobSatisfaction]]=4,"Very Satisfied"
)</f>
        <v>Very Dissatisfied</v>
      </c>
      <c r="V1391" t="s">
        <v>48</v>
      </c>
      <c r="W1391">
        <v>5003</v>
      </c>
      <c r="X1391" t="str" cm="1">
        <f t="array" ref="X1391">_xlfn.IFS(
HRData[[#This Row],[MonthlyIncome]]&lt;=4000,"Very Low Income",
HRData[[#This Row],[MonthlyIncome]]&lt;=8000,"Low Income",
HRData[[#This Row],[MonthlyIncome]]&lt;=12000,"Moderate Income",
HRData[[#This Row],[MonthlyIncome]]&lt;=16000,"High Income",
HRData[[#This Row],[MonthlyIncome]]&gt;16000,"Very High Income"
)</f>
        <v>Low Income</v>
      </c>
      <c r="Y1391">
        <v>5771</v>
      </c>
      <c r="Z1391">
        <v>1</v>
      </c>
      <c r="AA1391" t="s">
        <v>42</v>
      </c>
      <c r="AB1391" t="s">
        <v>43</v>
      </c>
      <c r="AC1391">
        <v>21</v>
      </c>
      <c r="AD1391" t="str" cm="1">
        <f t="array" ref="AD1391">_xlfn.IFS(HRData[[#This Row],[PercentSalaryHike]]&lt;=15,"11-15",HRData[[#This Row],[PercentSalaryHike]]&lt;=20,"16-20",HRData[[#This Row],[PercentSalaryHike]]&gt;=21,"21+")</f>
        <v>21+</v>
      </c>
      <c r="AE1391">
        <v>4</v>
      </c>
      <c r="AF1391">
        <v>2</v>
      </c>
      <c r="AG1391">
        <v>80</v>
      </c>
      <c r="AH1391">
        <v>0</v>
      </c>
      <c r="AI1391">
        <v>10</v>
      </c>
      <c r="AJ1391">
        <v>6</v>
      </c>
      <c r="AK1391">
        <v>3</v>
      </c>
      <c r="AL1391">
        <v>10</v>
      </c>
      <c r="AM1391">
        <v>8</v>
      </c>
      <c r="AN1391">
        <v>8</v>
      </c>
      <c r="AO1391">
        <v>7</v>
      </c>
      <c r="AP139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391" t="str">
        <f>IF(HRData[[#This Row],[Attrition]]="Yes","Left", IF(HRData[[#This Row],[Attrition_Risk_Score]]&gt;=6,"High",IF(HRData[[#This Row],[Attrition_Risk_Score]]&gt;=3,"Medium","Low")))</f>
        <v>Medium</v>
      </c>
      <c r="AR1391" t="str">
        <f>IF(HRData[[#This Row],[Attrition_Risk_Level]]&lt;&gt;"High","",HRData[[#This Row],[Attrition_Risk_Score]]*10000-HRData[[#This Row],[EmployeeNumber]])</f>
        <v/>
      </c>
    </row>
    <row r="1392" spans="1:44">
      <c r="A1392">
        <v>28</v>
      </c>
      <c r="B1392" t="str" cm="1">
        <f t="array" ref="B1392">_xlfn.IFS(
HRData[[#This Row],[Age]]&lt;=24,"18-24",
HRData[[#This Row],[Age]]&lt;=34,"25-34",
HRData[[#This Row],[Age]]&lt;=44,"35-44",
HRData[[#This Row],[Age]]&lt;=54,"45-54",
HRData[[#This Row],[Age]]&gt;=55,"55+"
)</f>
        <v>25-34</v>
      </c>
      <c r="C1392" t="s">
        <v>35</v>
      </c>
      <c r="D1392">
        <f>IF(HRData[[#This Row],[Attrition]]="Yes",1,0)</f>
        <v>1</v>
      </c>
      <c r="E1392" t="s">
        <v>36</v>
      </c>
      <c r="F1392">
        <v>1404</v>
      </c>
      <c r="G1392" t="s">
        <v>45</v>
      </c>
      <c r="H1392">
        <v>17</v>
      </c>
      <c r="I1392">
        <v>3</v>
      </c>
      <c r="J1392" t="s">
        <v>60</v>
      </c>
      <c r="K1392">
        <v>1</v>
      </c>
      <c r="L1392">
        <v>1960</v>
      </c>
      <c r="M1392">
        <v>3</v>
      </c>
      <c r="N1392" t="str" cm="1">
        <f t="array" ref="N1392">_xlfn.IFS(HRData[[#This Row],[EnvironmentSatisfaction]]=1,"Very Dissatisfied",
HRData[[#This Row],[EnvironmentSatisfaction]]=2,"Dissatisfied",
HRData[[#This Row],[EnvironmentSatisfaction]]=3,"Satisfied",
HRData[[#This Row],[EnvironmentSatisfaction]]=4,"Very Satisfied"
)</f>
        <v>Satisfied</v>
      </c>
      <c r="O1392" t="s">
        <v>46</v>
      </c>
      <c r="P1392">
        <v>32</v>
      </c>
      <c r="Q1392">
        <v>2</v>
      </c>
      <c r="R1392">
        <v>1</v>
      </c>
      <c r="S1392" t="s">
        <v>50</v>
      </c>
      <c r="T1392">
        <v>4</v>
      </c>
      <c r="U1392" t="str" cm="1">
        <f t="array" ref="U1392">_xlfn.IFS(
HRData[[#This Row],[JobSatisfaction]]=1,"Very Dissatisfied",
HRData[[#This Row],[JobSatisfaction]]=2,"Dissatisfied",
HRData[[#This Row],[JobSatisfaction]]=3,"Satisfied",
HRData[[#This Row],[JobSatisfaction]]=4,"Very Satisfied"
)</f>
        <v>Very Satisfied</v>
      </c>
      <c r="V1392" t="s">
        <v>52</v>
      </c>
      <c r="W1392">
        <v>2367</v>
      </c>
      <c r="X1392" t="str" cm="1">
        <f t="array" ref="X1392">_xlfn.IFS(
HRData[[#This Row],[MonthlyIncome]]&lt;=4000,"Very Low Income",
HRData[[#This Row],[MonthlyIncome]]&lt;=8000,"Low Income",
HRData[[#This Row],[MonthlyIncome]]&lt;=12000,"Moderate Income",
HRData[[#This Row],[MonthlyIncome]]&lt;=16000,"High Income",
HRData[[#This Row],[MonthlyIncome]]&gt;16000,"Very High Income"
)</f>
        <v>Very Low Income</v>
      </c>
      <c r="Y1392">
        <v>18779</v>
      </c>
      <c r="Z1392">
        <v>5</v>
      </c>
      <c r="AA1392" t="s">
        <v>42</v>
      </c>
      <c r="AB1392" t="s">
        <v>43</v>
      </c>
      <c r="AC1392">
        <v>12</v>
      </c>
      <c r="AD1392" t="str" cm="1">
        <f t="array" ref="AD1392">_xlfn.IFS(HRData[[#This Row],[PercentSalaryHike]]&lt;=15,"11-15",HRData[[#This Row],[PercentSalaryHike]]&lt;=20,"16-20",HRData[[#This Row],[PercentSalaryHike]]&gt;=21,"21+")</f>
        <v>11-15</v>
      </c>
      <c r="AE1392">
        <v>3</v>
      </c>
      <c r="AF1392">
        <v>1</v>
      </c>
      <c r="AG1392">
        <v>80</v>
      </c>
      <c r="AH1392">
        <v>1</v>
      </c>
      <c r="AI1392">
        <v>6</v>
      </c>
      <c r="AJ1392">
        <v>2</v>
      </c>
      <c r="AK1392">
        <v>2</v>
      </c>
      <c r="AL1392">
        <v>4</v>
      </c>
      <c r="AM1392">
        <v>1</v>
      </c>
      <c r="AN1392">
        <v>0</v>
      </c>
      <c r="AO1392">
        <v>3</v>
      </c>
      <c r="AP139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92" t="str">
        <f>IF(HRData[[#This Row],[Attrition]]="Yes","Left", IF(HRData[[#This Row],[Attrition_Risk_Score]]&gt;=6,"High",IF(HRData[[#This Row],[Attrition_Risk_Score]]&gt;=3,"Medium","Low")))</f>
        <v>Left</v>
      </c>
      <c r="AR1392" t="str">
        <f>IF(HRData[[#This Row],[Attrition_Risk_Level]]&lt;&gt;"High","",HRData[[#This Row],[Attrition_Risk_Score]]*10000-HRData[[#This Row],[EmployeeNumber]])</f>
        <v/>
      </c>
    </row>
    <row r="1393" spans="1:44">
      <c r="A1393">
        <v>38</v>
      </c>
      <c r="B1393" t="str" cm="1">
        <f t="array" ref="B1393">_xlfn.IFS(
HRData[[#This Row],[Age]]&lt;=24,"18-24",
HRData[[#This Row],[Age]]&lt;=34,"25-34",
HRData[[#This Row],[Age]]&lt;=44,"35-44",
HRData[[#This Row],[Age]]&lt;=54,"45-54",
HRData[[#This Row],[Age]]&gt;=55,"55+"
)</f>
        <v>35-44</v>
      </c>
      <c r="C1393" t="s">
        <v>43</v>
      </c>
      <c r="D1393">
        <f>IF(HRData[[#This Row],[Attrition]]="Yes",1,0)</f>
        <v>0</v>
      </c>
      <c r="E1393" t="s">
        <v>36</v>
      </c>
      <c r="F1393">
        <v>1404</v>
      </c>
      <c r="G1393" t="s">
        <v>37</v>
      </c>
      <c r="H1393">
        <v>1</v>
      </c>
      <c r="I1393">
        <v>3</v>
      </c>
      <c r="J1393" t="s">
        <v>38</v>
      </c>
      <c r="K1393">
        <v>1</v>
      </c>
      <c r="L1393">
        <v>1961</v>
      </c>
      <c r="M1393">
        <v>1</v>
      </c>
      <c r="N1393" t="str" cm="1">
        <f t="array" ref="N1393">_xlfn.IFS(HRData[[#This Row],[EnvironmentSatisfaction]]=1,"Very Dissatisfied",
HRData[[#This Row],[EnvironmentSatisfaction]]=2,"Dissatisfied",
HRData[[#This Row],[EnvironmentSatisfaction]]=3,"Satisfied",
HRData[[#This Row],[EnvironmentSatisfaction]]=4,"Very Satisfied"
)</f>
        <v>Very Dissatisfied</v>
      </c>
      <c r="O1393" t="s">
        <v>46</v>
      </c>
      <c r="P1393">
        <v>59</v>
      </c>
      <c r="Q1393">
        <v>2</v>
      </c>
      <c r="R1393">
        <v>1</v>
      </c>
      <c r="S1393" t="s">
        <v>57</v>
      </c>
      <c r="T1393">
        <v>1</v>
      </c>
      <c r="U1393" t="str" cm="1">
        <f t="array" ref="U1393">_xlfn.IFS(
HRData[[#This Row],[JobSatisfaction]]=1,"Very Dissatisfied",
HRData[[#This Row],[JobSatisfaction]]=2,"Dissatisfied",
HRData[[#This Row],[JobSatisfaction]]=3,"Satisfied",
HRData[[#This Row],[JobSatisfaction]]=4,"Very Satisfied"
)</f>
        <v>Very Dissatisfied</v>
      </c>
      <c r="V1393" t="s">
        <v>41</v>
      </c>
      <c r="W1393">
        <v>2858</v>
      </c>
      <c r="X1393" t="str" cm="1">
        <f t="array" ref="X1393">_xlfn.IFS(
HRData[[#This Row],[MonthlyIncome]]&lt;=4000,"Very Low Income",
HRData[[#This Row],[MonthlyIncome]]&lt;=8000,"Low Income",
HRData[[#This Row],[MonthlyIncome]]&lt;=12000,"Moderate Income",
HRData[[#This Row],[MonthlyIncome]]&lt;=16000,"High Income",
HRData[[#This Row],[MonthlyIncome]]&gt;16000,"Very High Income"
)</f>
        <v>Very Low Income</v>
      </c>
      <c r="Y1393">
        <v>11473</v>
      </c>
      <c r="Z1393">
        <v>4</v>
      </c>
      <c r="AA1393" t="s">
        <v>42</v>
      </c>
      <c r="AB1393" t="s">
        <v>43</v>
      </c>
      <c r="AC1393">
        <v>14</v>
      </c>
      <c r="AD1393" t="str" cm="1">
        <f t="array" ref="AD1393">_xlfn.IFS(HRData[[#This Row],[PercentSalaryHike]]&lt;=15,"11-15",HRData[[#This Row],[PercentSalaryHike]]&lt;=20,"16-20",HRData[[#This Row],[PercentSalaryHike]]&gt;=21,"21+")</f>
        <v>11-15</v>
      </c>
      <c r="AE1393">
        <v>3</v>
      </c>
      <c r="AF1393">
        <v>1</v>
      </c>
      <c r="AG1393">
        <v>80</v>
      </c>
      <c r="AH1393">
        <v>0</v>
      </c>
      <c r="AI1393">
        <v>20</v>
      </c>
      <c r="AJ1393">
        <v>3</v>
      </c>
      <c r="AK1393">
        <v>2</v>
      </c>
      <c r="AL1393">
        <v>1</v>
      </c>
      <c r="AM1393">
        <v>0</v>
      </c>
      <c r="AN1393">
        <v>0</v>
      </c>
      <c r="AO1393">
        <v>0</v>
      </c>
      <c r="AP139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393" t="str">
        <f>IF(HRData[[#This Row],[Attrition]]="Yes","Left", IF(HRData[[#This Row],[Attrition_Risk_Score]]&gt;=6,"High",IF(HRData[[#This Row],[Attrition_Risk_Score]]&gt;=3,"Medium","Low")))</f>
        <v>High</v>
      </c>
      <c r="AR1393">
        <f>IF(HRData[[#This Row],[Attrition_Risk_Level]]&lt;&gt;"High","",HRData[[#This Row],[Attrition_Risk_Score]]*10000-HRData[[#This Row],[EmployeeNumber]])</f>
        <v>58039</v>
      </c>
    </row>
    <row r="1394" spans="1:44">
      <c r="A1394">
        <v>35</v>
      </c>
      <c r="B1394" t="str" cm="1">
        <f t="array" ref="B1394">_xlfn.IFS(
HRData[[#This Row],[Age]]&lt;=24,"18-24",
HRData[[#This Row],[Age]]&lt;=34,"25-34",
HRData[[#This Row],[Age]]&lt;=44,"35-44",
HRData[[#This Row],[Age]]&lt;=54,"45-54",
HRData[[#This Row],[Age]]&gt;=55,"55+"
)</f>
        <v>35-44</v>
      </c>
      <c r="C1394" t="s">
        <v>43</v>
      </c>
      <c r="D1394">
        <f>IF(HRData[[#This Row],[Attrition]]="Yes",1,0)</f>
        <v>0</v>
      </c>
      <c r="E1394" t="s">
        <v>36</v>
      </c>
      <c r="F1394">
        <v>1224</v>
      </c>
      <c r="G1394" t="s">
        <v>37</v>
      </c>
      <c r="H1394">
        <v>7</v>
      </c>
      <c r="I1394">
        <v>4</v>
      </c>
      <c r="J1394" t="s">
        <v>38</v>
      </c>
      <c r="K1394">
        <v>1</v>
      </c>
      <c r="L1394">
        <v>1962</v>
      </c>
      <c r="M1394">
        <v>3</v>
      </c>
      <c r="N1394" t="str" cm="1">
        <f t="array" ref="N1394">_xlfn.IFS(HRData[[#This Row],[EnvironmentSatisfaction]]=1,"Very Dissatisfied",
HRData[[#This Row],[EnvironmentSatisfaction]]=2,"Dissatisfied",
HRData[[#This Row],[EnvironmentSatisfaction]]=3,"Satisfied",
HRData[[#This Row],[EnvironmentSatisfaction]]=4,"Very Satisfied"
)</f>
        <v>Satisfied</v>
      </c>
      <c r="O1394" t="s">
        <v>39</v>
      </c>
      <c r="P1394">
        <v>55</v>
      </c>
      <c r="Q1394">
        <v>3</v>
      </c>
      <c r="R1394">
        <v>2</v>
      </c>
      <c r="S1394" t="s">
        <v>40</v>
      </c>
      <c r="T1394">
        <v>4</v>
      </c>
      <c r="U1394" t="str" cm="1">
        <f t="array" ref="U1394">_xlfn.IFS(
HRData[[#This Row],[JobSatisfaction]]=1,"Very Dissatisfied",
HRData[[#This Row],[JobSatisfaction]]=2,"Dissatisfied",
HRData[[#This Row],[JobSatisfaction]]=3,"Satisfied",
HRData[[#This Row],[JobSatisfaction]]=4,"Very Satisfied"
)</f>
        <v>Very Satisfied</v>
      </c>
      <c r="V1394" t="s">
        <v>48</v>
      </c>
      <c r="W1394">
        <v>5204</v>
      </c>
      <c r="X1394" t="str" cm="1">
        <f t="array" ref="X1394">_xlfn.IFS(
HRData[[#This Row],[MonthlyIncome]]&lt;=4000,"Very Low Income",
HRData[[#This Row],[MonthlyIncome]]&lt;=8000,"Low Income",
HRData[[#This Row],[MonthlyIncome]]&lt;=12000,"Moderate Income",
HRData[[#This Row],[MonthlyIncome]]&lt;=16000,"High Income",
HRData[[#This Row],[MonthlyIncome]]&gt;16000,"Very High Income"
)</f>
        <v>Low Income</v>
      </c>
      <c r="Y1394">
        <v>13586</v>
      </c>
      <c r="Z1394">
        <v>1</v>
      </c>
      <c r="AA1394" t="s">
        <v>42</v>
      </c>
      <c r="AB1394" t="s">
        <v>35</v>
      </c>
      <c r="AC1394">
        <v>11</v>
      </c>
      <c r="AD1394" t="str" cm="1">
        <f t="array" ref="AD1394">_xlfn.IFS(HRData[[#This Row],[PercentSalaryHike]]&lt;=15,"11-15",HRData[[#This Row],[PercentSalaryHike]]&lt;=20,"16-20",HRData[[#This Row],[PercentSalaryHike]]&gt;=21,"21+")</f>
        <v>11-15</v>
      </c>
      <c r="AE1394">
        <v>3</v>
      </c>
      <c r="AF1394">
        <v>4</v>
      </c>
      <c r="AG1394">
        <v>80</v>
      </c>
      <c r="AH1394">
        <v>0</v>
      </c>
      <c r="AI1394">
        <v>10</v>
      </c>
      <c r="AJ1394">
        <v>2</v>
      </c>
      <c r="AK1394">
        <v>3</v>
      </c>
      <c r="AL1394">
        <v>10</v>
      </c>
      <c r="AM1394">
        <v>8</v>
      </c>
      <c r="AN1394">
        <v>0</v>
      </c>
      <c r="AO1394">
        <v>9</v>
      </c>
      <c r="AP139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94" t="str">
        <f>IF(HRData[[#This Row],[Attrition]]="Yes","Left", IF(HRData[[#This Row],[Attrition_Risk_Score]]&gt;=6,"High",IF(HRData[[#This Row],[Attrition_Risk_Score]]&gt;=3,"Medium","Low")))</f>
        <v>Medium</v>
      </c>
      <c r="AR1394" t="str">
        <f>IF(HRData[[#This Row],[Attrition_Risk_Level]]&lt;&gt;"High","",HRData[[#This Row],[Attrition_Risk_Score]]*10000-HRData[[#This Row],[EmployeeNumber]])</f>
        <v/>
      </c>
    </row>
    <row r="1395" spans="1:44">
      <c r="A1395">
        <v>27</v>
      </c>
      <c r="B1395" t="str" cm="1">
        <f t="array" ref="B1395">_xlfn.IFS(
HRData[[#This Row],[Age]]&lt;=24,"18-24",
HRData[[#This Row],[Age]]&lt;=34,"25-34",
HRData[[#This Row],[Age]]&lt;=44,"35-44",
HRData[[#This Row],[Age]]&lt;=54,"45-54",
HRData[[#This Row],[Age]]&gt;=55,"55+"
)</f>
        <v>25-34</v>
      </c>
      <c r="C1395" t="s">
        <v>43</v>
      </c>
      <c r="D1395">
        <f>IF(HRData[[#This Row],[Attrition]]="Yes",1,0)</f>
        <v>0</v>
      </c>
      <c r="E1395" t="s">
        <v>36</v>
      </c>
      <c r="F1395">
        <v>954</v>
      </c>
      <c r="G1395" t="s">
        <v>37</v>
      </c>
      <c r="H1395">
        <v>9</v>
      </c>
      <c r="I1395">
        <v>3</v>
      </c>
      <c r="J1395" t="s">
        <v>59</v>
      </c>
      <c r="K1395">
        <v>1</v>
      </c>
      <c r="L1395">
        <v>1965</v>
      </c>
      <c r="M1395">
        <v>4</v>
      </c>
      <c r="N1395" t="str" cm="1">
        <f t="array" ref="N1395">_xlfn.IFS(HRData[[#This Row],[EnvironmentSatisfaction]]=1,"Very Dissatisfied",
HRData[[#This Row],[EnvironmentSatisfaction]]=2,"Dissatisfied",
HRData[[#This Row],[EnvironmentSatisfaction]]=3,"Satisfied",
HRData[[#This Row],[EnvironmentSatisfaction]]=4,"Very Satisfied"
)</f>
        <v>Very Satisfied</v>
      </c>
      <c r="O1395" t="s">
        <v>46</v>
      </c>
      <c r="P1395">
        <v>44</v>
      </c>
      <c r="Q1395">
        <v>3</v>
      </c>
      <c r="R1395">
        <v>2</v>
      </c>
      <c r="S1395" t="s">
        <v>40</v>
      </c>
      <c r="T1395">
        <v>4</v>
      </c>
      <c r="U1395" t="str" cm="1">
        <f t="array" ref="U1395">_xlfn.IFS(
HRData[[#This Row],[JobSatisfaction]]=1,"Very Dissatisfied",
HRData[[#This Row],[JobSatisfaction]]=2,"Dissatisfied",
HRData[[#This Row],[JobSatisfaction]]=3,"Satisfied",
HRData[[#This Row],[JobSatisfaction]]=4,"Very Satisfied"
)</f>
        <v>Very Satisfied</v>
      </c>
      <c r="V1395" t="s">
        <v>41</v>
      </c>
      <c r="W1395">
        <v>4105</v>
      </c>
      <c r="X1395" t="str" cm="1">
        <f t="array" ref="X1395">_xlfn.IFS(
HRData[[#This Row],[MonthlyIncome]]&lt;=4000,"Very Low Income",
HRData[[#This Row],[MonthlyIncome]]&lt;=8000,"Low Income",
HRData[[#This Row],[MonthlyIncome]]&lt;=12000,"Moderate Income",
HRData[[#This Row],[MonthlyIncome]]&lt;=16000,"High Income",
HRData[[#This Row],[MonthlyIncome]]&gt;16000,"Very High Income"
)</f>
        <v>Low Income</v>
      </c>
      <c r="Y1395">
        <v>5099</v>
      </c>
      <c r="Z1395">
        <v>1</v>
      </c>
      <c r="AA1395" t="s">
        <v>42</v>
      </c>
      <c r="AB1395" t="s">
        <v>43</v>
      </c>
      <c r="AC1395">
        <v>14</v>
      </c>
      <c r="AD1395" t="str" cm="1">
        <f t="array" ref="AD1395">_xlfn.IFS(HRData[[#This Row],[PercentSalaryHike]]&lt;=15,"11-15",HRData[[#This Row],[PercentSalaryHike]]&lt;=20,"16-20",HRData[[#This Row],[PercentSalaryHike]]&gt;=21,"21+")</f>
        <v>11-15</v>
      </c>
      <c r="AE1395">
        <v>3</v>
      </c>
      <c r="AF1395">
        <v>1</v>
      </c>
      <c r="AG1395">
        <v>80</v>
      </c>
      <c r="AH1395">
        <v>0</v>
      </c>
      <c r="AI1395">
        <v>7</v>
      </c>
      <c r="AJ1395">
        <v>5</v>
      </c>
      <c r="AK1395">
        <v>3</v>
      </c>
      <c r="AL1395">
        <v>7</v>
      </c>
      <c r="AM1395">
        <v>7</v>
      </c>
      <c r="AN1395">
        <v>0</v>
      </c>
      <c r="AO1395">
        <v>7</v>
      </c>
      <c r="AP139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95" t="str">
        <f>IF(HRData[[#This Row],[Attrition]]="Yes","Left", IF(HRData[[#This Row],[Attrition_Risk_Score]]&gt;=6,"High",IF(HRData[[#This Row],[Attrition_Risk_Score]]&gt;=3,"Medium","Low")))</f>
        <v>Low</v>
      </c>
      <c r="AR1395" t="str">
        <f>IF(HRData[[#This Row],[Attrition_Risk_Level]]&lt;&gt;"High","",HRData[[#This Row],[Attrition_Risk_Score]]*10000-HRData[[#This Row],[EmployeeNumber]])</f>
        <v/>
      </c>
    </row>
    <row r="1396" spans="1:44">
      <c r="A1396">
        <v>32</v>
      </c>
      <c r="B1396" t="str" cm="1">
        <f t="array" ref="B1396">_xlfn.IFS(
HRData[[#This Row],[Age]]&lt;=24,"18-24",
HRData[[#This Row],[Age]]&lt;=34,"25-34",
HRData[[#This Row],[Age]]&lt;=44,"35-44",
HRData[[#This Row],[Age]]&lt;=54,"45-54",
HRData[[#This Row],[Age]]&gt;=55,"55+"
)</f>
        <v>25-34</v>
      </c>
      <c r="C1396" t="s">
        <v>43</v>
      </c>
      <c r="D1396">
        <f>IF(HRData[[#This Row],[Attrition]]="Yes",1,0)</f>
        <v>0</v>
      </c>
      <c r="E1396" t="s">
        <v>36</v>
      </c>
      <c r="F1396">
        <v>1373</v>
      </c>
      <c r="G1396" t="s">
        <v>45</v>
      </c>
      <c r="H1396">
        <v>5</v>
      </c>
      <c r="I1396">
        <v>4</v>
      </c>
      <c r="J1396" t="s">
        <v>38</v>
      </c>
      <c r="K1396">
        <v>1</v>
      </c>
      <c r="L1396">
        <v>1966</v>
      </c>
      <c r="M1396">
        <v>4</v>
      </c>
      <c r="N1396" t="str" cm="1">
        <f t="array" ref="N1396">_xlfn.IFS(HRData[[#This Row],[EnvironmentSatisfaction]]=1,"Very Dissatisfied",
HRData[[#This Row],[EnvironmentSatisfaction]]=2,"Dissatisfied",
HRData[[#This Row],[EnvironmentSatisfaction]]=3,"Satisfied",
HRData[[#This Row],[EnvironmentSatisfaction]]=4,"Very Satisfied"
)</f>
        <v>Very Satisfied</v>
      </c>
      <c r="O1396" t="s">
        <v>46</v>
      </c>
      <c r="P1396">
        <v>56</v>
      </c>
      <c r="Q1396">
        <v>2</v>
      </c>
      <c r="R1396">
        <v>2</v>
      </c>
      <c r="S1396" t="s">
        <v>53</v>
      </c>
      <c r="T1396">
        <v>4</v>
      </c>
      <c r="U1396" t="str" cm="1">
        <f t="array" ref="U1396">_xlfn.IFS(
HRData[[#This Row],[JobSatisfaction]]=1,"Very Dissatisfied",
HRData[[#This Row],[JobSatisfaction]]=2,"Dissatisfied",
HRData[[#This Row],[JobSatisfaction]]=3,"Satisfied",
HRData[[#This Row],[JobSatisfaction]]=4,"Very Satisfied"
)</f>
        <v>Very Satisfied</v>
      </c>
      <c r="V1396" t="s">
        <v>41</v>
      </c>
      <c r="W1396">
        <v>9679</v>
      </c>
      <c r="X1396" t="str" cm="1">
        <f t="array" ref="X1396">_xlfn.IFS(
HRData[[#This Row],[MonthlyIncome]]&lt;=4000,"Very Low Income",
HRData[[#This Row],[MonthlyIncome]]&lt;=8000,"Low Income",
HRData[[#This Row],[MonthlyIncome]]&lt;=12000,"Moderate Income",
HRData[[#This Row],[MonthlyIncome]]&lt;=16000,"High Income",
HRData[[#This Row],[MonthlyIncome]]&gt;16000,"Very High Income"
)</f>
        <v>Moderate Income</v>
      </c>
      <c r="Y1396">
        <v>10138</v>
      </c>
      <c r="Z1396">
        <v>8</v>
      </c>
      <c r="AA1396" t="s">
        <v>42</v>
      </c>
      <c r="AB1396" t="s">
        <v>43</v>
      </c>
      <c r="AC1396">
        <v>24</v>
      </c>
      <c r="AD1396" t="str" cm="1">
        <f t="array" ref="AD1396">_xlfn.IFS(HRData[[#This Row],[PercentSalaryHike]]&lt;=15,"11-15",HRData[[#This Row],[PercentSalaryHike]]&lt;=20,"16-20",HRData[[#This Row],[PercentSalaryHike]]&gt;=21,"21+")</f>
        <v>21+</v>
      </c>
      <c r="AE1396">
        <v>4</v>
      </c>
      <c r="AF1396">
        <v>2</v>
      </c>
      <c r="AG1396">
        <v>80</v>
      </c>
      <c r="AH1396">
        <v>0</v>
      </c>
      <c r="AI1396">
        <v>8</v>
      </c>
      <c r="AJ1396">
        <v>1</v>
      </c>
      <c r="AK1396">
        <v>3</v>
      </c>
      <c r="AL1396">
        <v>1</v>
      </c>
      <c r="AM1396">
        <v>0</v>
      </c>
      <c r="AN1396">
        <v>0</v>
      </c>
      <c r="AO1396">
        <v>0</v>
      </c>
      <c r="AP139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96" t="str">
        <f>IF(HRData[[#This Row],[Attrition]]="Yes","Left", IF(HRData[[#This Row],[Attrition_Risk_Score]]&gt;=6,"High",IF(HRData[[#This Row],[Attrition_Risk_Score]]&gt;=3,"Medium","Low")))</f>
        <v>Low</v>
      </c>
      <c r="AR1396" t="str">
        <f>IF(HRData[[#This Row],[Attrition_Risk_Level]]&lt;&gt;"High","",HRData[[#This Row],[Attrition_Risk_Score]]*10000-HRData[[#This Row],[EmployeeNumber]])</f>
        <v/>
      </c>
    </row>
    <row r="1397" spans="1:44">
      <c r="A1397">
        <v>31</v>
      </c>
      <c r="B1397" t="str" cm="1">
        <f t="array" ref="B1397">_xlfn.IFS(
HRData[[#This Row],[Age]]&lt;=24,"18-24",
HRData[[#This Row],[Age]]&lt;=34,"25-34",
HRData[[#This Row],[Age]]&lt;=44,"35-44",
HRData[[#This Row],[Age]]&lt;=54,"45-54",
HRData[[#This Row],[Age]]&gt;=55,"55+"
)</f>
        <v>25-34</v>
      </c>
      <c r="C1397" t="s">
        <v>35</v>
      </c>
      <c r="D1397">
        <f>IF(HRData[[#This Row],[Attrition]]="Yes",1,0)</f>
        <v>1</v>
      </c>
      <c r="E1397" t="s">
        <v>44</v>
      </c>
      <c r="F1397">
        <v>754</v>
      </c>
      <c r="G1397" t="s">
        <v>37</v>
      </c>
      <c r="H1397">
        <v>26</v>
      </c>
      <c r="I1397">
        <v>4</v>
      </c>
      <c r="J1397" t="s">
        <v>59</v>
      </c>
      <c r="K1397">
        <v>1</v>
      </c>
      <c r="L1397">
        <v>1967</v>
      </c>
      <c r="M1397">
        <v>1</v>
      </c>
      <c r="N1397" t="str" cm="1">
        <f t="array" ref="N1397">_xlfn.IFS(HRData[[#This Row],[EnvironmentSatisfaction]]=1,"Very Dissatisfied",
HRData[[#This Row],[EnvironmentSatisfaction]]=2,"Dissatisfied",
HRData[[#This Row],[EnvironmentSatisfaction]]=3,"Satisfied",
HRData[[#This Row],[EnvironmentSatisfaction]]=4,"Very Satisfied"
)</f>
        <v>Very Dissatisfied</v>
      </c>
      <c r="O1397" t="s">
        <v>46</v>
      </c>
      <c r="P1397">
        <v>63</v>
      </c>
      <c r="Q1397">
        <v>3</v>
      </c>
      <c r="R1397">
        <v>2</v>
      </c>
      <c r="S1397" t="s">
        <v>40</v>
      </c>
      <c r="T1397">
        <v>4</v>
      </c>
      <c r="U1397" t="str" cm="1">
        <f t="array" ref="U1397">_xlfn.IFS(
HRData[[#This Row],[JobSatisfaction]]=1,"Very Dissatisfied",
HRData[[#This Row],[JobSatisfaction]]=2,"Dissatisfied",
HRData[[#This Row],[JobSatisfaction]]=3,"Satisfied",
HRData[[#This Row],[JobSatisfaction]]=4,"Very Satisfied"
)</f>
        <v>Very Satisfied</v>
      </c>
      <c r="V1397" t="s">
        <v>48</v>
      </c>
      <c r="W1397">
        <v>5617</v>
      </c>
      <c r="X1397" t="str" cm="1">
        <f t="array" ref="X1397">_xlfn.IFS(
HRData[[#This Row],[MonthlyIncome]]&lt;=4000,"Very Low Income",
HRData[[#This Row],[MonthlyIncome]]&lt;=8000,"Low Income",
HRData[[#This Row],[MonthlyIncome]]&lt;=12000,"Moderate Income",
HRData[[#This Row],[MonthlyIncome]]&lt;=16000,"High Income",
HRData[[#This Row],[MonthlyIncome]]&gt;16000,"Very High Income"
)</f>
        <v>Low Income</v>
      </c>
      <c r="Y1397">
        <v>21075</v>
      </c>
      <c r="Z1397">
        <v>1</v>
      </c>
      <c r="AA1397" t="s">
        <v>42</v>
      </c>
      <c r="AB1397" t="s">
        <v>35</v>
      </c>
      <c r="AC1397">
        <v>11</v>
      </c>
      <c r="AD1397" t="str" cm="1">
        <f t="array" ref="AD1397">_xlfn.IFS(HRData[[#This Row],[PercentSalaryHike]]&lt;=15,"11-15",HRData[[#This Row],[PercentSalaryHike]]&lt;=20,"16-20",HRData[[#This Row],[PercentSalaryHike]]&gt;=21,"21+")</f>
        <v>11-15</v>
      </c>
      <c r="AE1397">
        <v>3</v>
      </c>
      <c r="AF1397">
        <v>3</v>
      </c>
      <c r="AG1397">
        <v>80</v>
      </c>
      <c r="AH1397">
        <v>0</v>
      </c>
      <c r="AI1397">
        <v>10</v>
      </c>
      <c r="AJ1397">
        <v>4</v>
      </c>
      <c r="AK1397">
        <v>3</v>
      </c>
      <c r="AL1397">
        <v>10</v>
      </c>
      <c r="AM1397">
        <v>7</v>
      </c>
      <c r="AN1397">
        <v>0</v>
      </c>
      <c r="AO1397">
        <v>8</v>
      </c>
      <c r="AP139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97" t="str">
        <f>IF(HRData[[#This Row],[Attrition]]="Yes","Left", IF(HRData[[#This Row],[Attrition_Risk_Score]]&gt;=6,"High",IF(HRData[[#This Row],[Attrition_Risk_Score]]&gt;=3,"Medium","Low")))</f>
        <v>Left</v>
      </c>
      <c r="AR1397" t="str">
        <f>IF(HRData[[#This Row],[Attrition_Risk_Level]]&lt;&gt;"High","",HRData[[#This Row],[Attrition_Risk_Score]]*10000-HRData[[#This Row],[EmployeeNumber]])</f>
        <v/>
      </c>
    </row>
    <row r="1398" spans="1:44">
      <c r="A1398">
        <v>53</v>
      </c>
      <c r="B1398" t="str" cm="1">
        <f t="array" ref="B1398">_xlfn.IFS(
HRData[[#This Row],[Age]]&lt;=24,"18-24",
HRData[[#This Row],[Age]]&lt;=34,"25-34",
HRData[[#This Row],[Age]]&lt;=44,"35-44",
HRData[[#This Row],[Age]]&lt;=54,"45-54",
HRData[[#This Row],[Age]]&gt;=55,"55+"
)</f>
        <v>45-54</v>
      </c>
      <c r="C1398" t="s">
        <v>35</v>
      </c>
      <c r="D1398">
        <f>IF(HRData[[#This Row],[Attrition]]="Yes",1,0)</f>
        <v>1</v>
      </c>
      <c r="E1398" t="s">
        <v>36</v>
      </c>
      <c r="F1398">
        <v>1168</v>
      </c>
      <c r="G1398" t="s">
        <v>37</v>
      </c>
      <c r="H1398">
        <v>24</v>
      </c>
      <c r="I1398">
        <v>4</v>
      </c>
      <c r="J1398" t="s">
        <v>38</v>
      </c>
      <c r="K1398">
        <v>1</v>
      </c>
      <c r="L1398">
        <v>1968</v>
      </c>
      <c r="M1398">
        <v>1</v>
      </c>
      <c r="N1398" t="str" cm="1">
        <f t="array" ref="N1398">_xlfn.IFS(HRData[[#This Row],[EnvironmentSatisfaction]]=1,"Very Dissatisfied",
HRData[[#This Row],[EnvironmentSatisfaction]]=2,"Dissatisfied",
HRData[[#This Row],[EnvironmentSatisfaction]]=3,"Satisfied",
HRData[[#This Row],[EnvironmentSatisfaction]]=4,"Very Satisfied"
)</f>
        <v>Very Dissatisfied</v>
      </c>
      <c r="O1398" t="s">
        <v>46</v>
      </c>
      <c r="P1398">
        <v>66</v>
      </c>
      <c r="Q1398">
        <v>3</v>
      </c>
      <c r="R1398">
        <v>3</v>
      </c>
      <c r="S1398" t="s">
        <v>40</v>
      </c>
      <c r="T1398">
        <v>1</v>
      </c>
      <c r="U1398" t="str" cm="1">
        <f t="array" ref="U1398">_xlfn.IFS(
HRData[[#This Row],[JobSatisfaction]]=1,"Very Dissatisfied",
HRData[[#This Row],[JobSatisfaction]]=2,"Dissatisfied",
HRData[[#This Row],[JobSatisfaction]]=3,"Satisfied",
HRData[[#This Row],[JobSatisfaction]]=4,"Very Satisfied"
)</f>
        <v>Very Dissatisfied</v>
      </c>
      <c r="V1398" t="s">
        <v>41</v>
      </c>
      <c r="W1398">
        <v>10448</v>
      </c>
      <c r="X1398" t="str" cm="1">
        <f t="array" ref="X1398">_xlfn.IFS(
HRData[[#This Row],[MonthlyIncome]]&lt;=4000,"Very Low Income",
HRData[[#This Row],[MonthlyIncome]]&lt;=8000,"Low Income",
HRData[[#This Row],[MonthlyIncome]]&lt;=12000,"Moderate Income",
HRData[[#This Row],[MonthlyIncome]]&lt;=16000,"High Income",
HRData[[#This Row],[MonthlyIncome]]&gt;16000,"Very High Income"
)</f>
        <v>Moderate Income</v>
      </c>
      <c r="Y1398">
        <v>5843</v>
      </c>
      <c r="Z1398">
        <v>6</v>
      </c>
      <c r="AA1398" t="s">
        <v>42</v>
      </c>
      <c r="AB1398" t="s">
        <v>35</v>
      </c>
      <c r="AC1398">
        <v>13</v>
      </c>
      <c r="AD1398" t="str" cm="1">
        <f t="array" ref="AD1398">_xlfn.IFS(HRData[[#This Row],[PercentSalaryHike]]&lt;=15,"11-15",HRData[[#This Row],[PercentSalaryHike]]&lt;=20,"16-20",HRData[[#This Row],[PercentSalaryHike]]&gt;=21,"21+")</f>
        <v>11-15</v>
      </c>
      <c r="AE1398">
        <v>3</v>
      </c>
      <c r="AF1398">
        <v>2</v>
      </c>
      <c r="AG1398">
        <v>80</v>
      </c>
      <c r="AH1398">
        <v>0</v>
      </c>
      <c r="AI1398">
        <v>15</v>
      </c>
      <c r="AJ1398">
        <v>2</v>
      </c>
      <c r="AK1398">
        <v>2</v>
      </c>
      <c r="AL1398">
        <v>2</v>
      </c>
      <c r="AM1398">
        <v>2</v>
      </c>
      <c r="AN1398">
        <v>2</v>
      </c>
      <c r="AO1398">
        <v>2</v>
      </c>
      <c r="AP139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98" t="str">
        <f>IF(HRData[[#This Row],[Attrition]]="Yes","Left", IF(HRData[[#This Row],[Attrition_Risk_Score]]&gt;=6,"High",IF(HRData[[#This Row],[Attrition_Risk_Score]]&gt;=3,"Medium","Low")))</f>
        <v>Left</v>
      </c>
      <c r="AR1398" t="str">
        <f>IF(HRData[[#This Row],[Attrition_Risk_Level]]&lt;&gt;"High","",HRData[[#This Row],[Attrition_Risk_Score]]*10000-HRData[[#This Row],[EmployeeNumber]])</f>
        <v/>
      </c>
    </row>
    <row r="1399" spans="1:44">
      <c r="A1399">
        <v>54</v>
      </c>
      <c r="B1399" t="str" cm="1">
        <f t="array" ref="B1399">_xlfn.IFS(
HRData[[#This Row],[Age]]&lt;=24,"18-24",
HRData[[#This Row],[Age]]&lt;=34,"25-34",
HRData[[#This Row],[Age]]&lt;=44,"35-44",
HRData[[#This Row],[Age]]&lt;=54,"45-54",
HRData[[#This Row],[Age]]&gt;=55,"55+"
)</f>
        <v>45-54</v>
      </c>
      <c r="C1399" t="s">
        <v>43</v>
      </c>
      <c r="D1399">
        <f>IF(HRData[[#This Row],[Attrition]]="Yes",1,0)</f>
        <v>0</v>
      </c>
      <c r="E1399" t="s">
        <v>36</v>
      </c>
      <c r="F1399">
        <v>155</v>
      </c>
      <c r="G1399" t="s">
        <v>45</v>
      </c>
      <c r="H1399">
        <v>9</v>
      </c>
      <c r="I1399">
        <v>2</v>
      </c>
      <c r="J1399" t="s">
        <v>38</v>
      </c>
      <c r="K1399">
        <v>1</v>
      </c>
      <c r="L1399">
        <v>1969</v>
      </c>
      <c r="M1399">
        <v>1</v>
      </c>
      <c r="N1399" t="str" cm="1">
        <f t="array" ref="N1399">_xlfn.IFS(HRData[[#This Row],[EnvironmentSatisfaction]]=1,"Very Dissatisfied",
HRData[[#This Row],[EnvironmentSatisfaction]]=2,"Dissatisfied",
HRData[[#This Row],[EnvironmentSatisfaction]]=3,"Satisfied",
HRData[[#This Row],[EnvironmentSatisfaction]]=4,"Very Satisfied"
)</f>
        <v>Very Dissatisfied</v>
      </c>
      <c r="O1399" t="s">
        <v>39</v>
      </c>
      <c r="P1399">
        <v>67</v>
      </c>
      <c r="Q1399">
        <v>3</v>
      </c>
      <c r="R1399">
        <v>2</v>
      </c>
      <c r="S1399" t="s">
        <v>47</v>
      </c>
      <c r="T1399">
        <v>3</v>
      </c>
      <c r="U1399" t="str" cm="1">
        <f t="array" ref="U1399">_xlfn.IFS(
HRData[[#This Row],[JobSatisfaction]]=1,"Very Dissatisfied",
HRData[[#This Row],[JobSatisfaction]]=2,"Dissatisfied",
HRData[[#This Row],[JobSatisfaction]]=3,"Satisfied",
HRData[[#This Row],[JobSatisfaction]]=4,"Very Satisfied"
)</f>
        <v>Satisfied</v>
      </c>
      <c r="V1399" t="s">
        <v>48</v>
      </c>
      <c r="W1399">
        <v>2897</v>
      </c>
      <c r="X1399" t="str" cm="1">
        <f t="array" ref="X1399">_xlfn.IFS(
HRData[[#This Row],[MonthlyIncome]]&lt;=4000,"Very Low Income",
HRData[[#This Row],[MonthlyIncome]]&lt;=8000,"Low Income",
HRData[[#This Row],[MonthlyIncome]]&lt;=12000,"Moderate Income",
HRData[[#This Row],[MonthlyIncome]]&lt;=16000,"High Income",
HRData[[#This Row],[MonthlyIncome]]&gt;16000,"Very High Income"
)</f>
        <v>Very Low Income</v>
      </c>
      <c r="Y1399">
        <v>22474</v>
      </c>
      <c r="Z1399">
        <v>3</v>
      </c>
      <c r="AA1399" t="s">
        <v>42</v>
      </c>
      <c r="AB1399" t="s">
        <v>43</v>
      </c>
      <c r="AC1399">
        <v>11</v>
      </c>
      <c r="AD1399" t="str" cm="1">
        <f t="array" ref="AD1399">_xlfn.IFS(HRData[[#This Row],[PercentSalaryHike]]&lt;=15,"11-15",HRData[[#This Row],[PercentSalaryHike]]&lt;=20,"16-20",HRData[[#This Row],[PercentSalaryHike]]&gt;=21,"21+")</f>
        <v>11-15</v>
      </c>
      <c r="AE1399">
        <v>3</v>
      </c>
      <c r="AF1399">
        <v>3</v>
      </c>
      <c r="AG1399">
        <v>80</v>
      </c>
      <c r="AH1399">
        <v>2</v>
      </c>
      <c r="AI1399">
        <v>9</v>
      </c>
      <c r="AJ1399">
        <v>6</v>
      </c>
      <c r="AK1399">
        <v>2</v>
      </c>
      <c r="AL1399">
        <v>4</v>
      </c>
      <c r="AM1399">
        <v>3</v>
      </c>
      <c r="AN1399">
        <v>2</v>
      </c>
      <c r="AO1399">
        <v>3</v>
      </c>
      <c r="AP139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99" t="str">
        <f>IF(HRData[[#This Row],[Attrition]]="Yes","Left", IF(HRData[[#This Row],[Attrition_Risk_Score]]&gt;=6,"High",IF(HRData[[#This Row],[Attrition_Risk_Score]]&gt;=3,"Medium","Low")))</f>
        <v>Low</v>
      </c>
      <c r="AR1399" t="str">
        <f>IF(HRData[[#This Row],[Attrition_Risk_Level]]&lt;&gt;"High","",HRData[[#This Row],[Attrition_Risk_Score]]*10000-HRData[[#This Row],[EmployeeNumber]])</f>
        <v/>
      </c>
    </row>
    <row r="1400" spans="1:44">
      <c r="A1400">
        <v>33</v>
      </c>
      <c r="B1400" t="str" cm="1">
        <f t="array" ref="B1400">_xlfn.IFS(
HRData[[#This Row],[Age]]&lt;=24,"18-24",
HRData[[#This Row],[Age]]&lt;=34,"25-34",
HRData[[#This Row],[Age]]&lt;=44,"35-44",
HRData[[#This Row],[Age]]&lt;=54,"45-54",
HRData[[#This Row],[Age]]&gt;=55,"55+"
)</f>
        <v>25-34</v>
      </c>
      <c r="C1400" t="s">
        <v>43</v>
      </c>
      <c r="D1400">
        <f>IF(HRData[[#This Row],[Attrition]]="Yes",1,0)</f>
        <v>0</v>
      </c>
      <c r="E1400" t="s">
        <v>44</v>
      </c>
      <c r="F1400">
        <v>1303</v>
      </c>
      <c r="G1400" t="s">
        <v>45</v>
      </c>
      <c r="H1400">
        <v>7</v>
      </c>
      <c r="I1400">
        <v>2</v>
      </c>
      <c r="J1400" t="s">
        <v>38</v>
      </c>
      <c r="K1400">
        <v>1</v>
      </c>
      <c r="L1400">
        <v>1970</v>
      </c>
      <c r="M1400">
        <v>4</v>
      </c>
      <c r="N1400" t="str" cm="1">
        <f t="array" ref="N1400">_xlfn.IFS(HRData[[#This Row],[EnvironmentSatisfaction]]=1,"Very Dissatisfied",
HRData[[#This Row],[EnvironmentSatisfaction]]=2,"Dissatisfied",
HRData[[#This Row],[EnvironmentSatisfaction]]=3,"Satisfied",
HRData[[#This Row],[EnvironmentSatisfaction]]=4,"Very Satisfied"
)</f>
        <v>Very Satisfied</v>
      </c>
      <c r="O1400" t="s">
        <v>46</v>
      </c>
      <c r="P1400">
        <v>36</v>
      </c>
      <c r="Q1400">
        <v>3</v>
      </c>
      <c r="R1400">
        <v>2</v>
      </c>
      <c r="S1400" t="s">
        <v>54</v>
      </c>
      <c r="T1400">
        <v>3</v>
      </c>
      <c r="U1400" t="str" cm="1">
        <f t="array" ref="U1400">_xlfn.IFS(
HRData[[#This Row],[JobSatisfaction]]=1,"Very Dissatisfied",
HRData[[#This Row],[JobSatisfaction]]=2,"Dissatisfied",
HRData[[#This Row],[JobSatisfaction]]=3,"Satisfied",
HRData[[#This Row],[JobSatisfaction]]=4,"Very Satisfied"
)</f>
        <v>Satisfied</v>
      </c>
      <c r="V1400" t="s">
        <v>52</v>
      </c>
      <c r="W1400">
        <v>5968</v>
      </c>
      <c r="X1400" t="str" cm="1">
        <f t="array" ref="X1400">_xlfn.IFS(
HRData[[#This Row],[MonthlyIncome]]&lt;=4000,"Very Low Income",
HRData[[#This Row],[MonthlyIncome]]&lt;=8000,"Low Income",
HRData[[#This Row],[MonthlyIncome]]&lt;=12000,"Moderate Income",
HRData[[#This Row],[MonthlyIncome]]&lt;=16000,"High Income",
HRData[[#This Row],[MonthlyIncome]]&gt;16000,"Very High Income"
)</f>
        <v>Low Income</v>
      </c>
      <c r="Y1400">
        <v>18079</v>
      </c>
      <c r="Z1400">
        <v>1</v>
      </c>
      <c r="AA1400" t="s">
        <v>42</v>
      </c>
      <c r="AB1400" t="s">
        <v>43</v>
      </c>
      <c r="AC1400">
        <v>20</v>
      </c>
      <c r="AD1400" t="str" cm="1">
        <f t="array" ref="AD1400">_xlfn.IFS(HRData[[#This Row],[PercentSalaryHike]]&lt;=15,"11-15",HRData[[#This Row],[PercentSalaryHike]]&lt;=20,"16-20",HRData[[#This Row],[PercentSalaryHike]]&gt;=21,"21+")</f>
        <v>16-20</v>
      </c>
      <c r="AE1400">
        <v>4</v>
      </c>
      <c r="AF1400">
        <v>3</v>
      </c>
      <c r="AG1400">
        <v>80</v>
      </c>
      <c r="AH1400">
        <v>3</v>
      </c>
      <c r="AI1400">
        <v>9</v>
      </c>
      <c r="AJ1400">
        <v>2</v>
      </c>
      <c r="AK1400">
        <v>3</v>
      </c>
      <c r="AL1400">
        <v>9</v>
      </c>
      <c r="AM1400">
        <v>7</v>
      </c>
      <c r="AN1400">
        <v>2</v>
      </c>
      <c r="AO1400">
        <v>8</v>
      </c>
      <c r="AP140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400" t="str">
        <f>IF(HRData[[#This Row],[Attrition]]="Yes","Left", IF(HRData[[#This Row],[Attrition_Risk_Score]]&gt;=6,"High",IF(HRData[[#This Row],[Attrition_Risk_Score]]&gt;=3,"Medium","Low")))</f>
        <v>Low</v>
      </c>
      <c r="AR1400" t="str">
        <f>IF(HRData[[#This Row],[Attrition_Risk_Level]]&lt;&gt;"High","",HRData[[#This Row],[Attrition_Risk_Score]]*10000-HRData[[#This Row],[EmployeeNumber]])</f>
        <v/>
      </c>
    </row>
    <row r="1401" spans="1:44">
      <c r="A1401">
        <v>43</v>
      </c>
      <c r="B1401" t="str" cm="1">
        <f t="array" ref="B1401">_xlfn.IFS(
HRData[[#This Row],[Age]]&lt;=24,"18-24",
HRData[[#This Row],[Age]]&lt;=34,"25-34",
HRData[[#This Row],[Age]]&lt;=44,"35-44",
HRData[[#This Row],[Age]]&lt;=54,"45-54",
HRData[[#This Row],[Age]]&gt;=55,"55+"
)</f>
        <v>35-44</v>
      </c>
      <c r="C1401" t="s">
        <v>43</v>
      </c>
      <c r="D1401">
        <f>IF(HRData[[#This Row],[Attrition]]="Yes",1,0)</f>
        <v>0</v>
      </c>
      <c r="E1401" t="s">
        <v>36</v>
      </c>
      <c r="F1401">
        <v>574</v>
      </c>
      <c r="G1401" t="s">
        <v>45</v>
      </c>
      <c r="H1401">
        <v>11</v>
      </c>
      <c r="I1401">
        <v>3</v>
      </c>
      <c r="J1401" t="s">
        <v>38</v>
      </c>
      <c r="K1401">
        <v>1</v>
      </c>
      <c r="L1401">
        <v>1971</v>
      </c>
      <c r="M1401">
        <v>1</v>
      </c>
      <c r="N1401" t="str" cm="1">
        <f t="array" ref="N1401">_xlfn.IFS(HRData[[#This Row],[EnvironmentSatisfaction]]=1,"Very Dissatisfied",
HRData[[#This Row],[EnvironmentSatisfaction]]=2,"Dissatisfied",
HRData[[#This Row],[EnvironmentSatisfaction]]=3,"Satisfied",
HRData[[#This Row],[EnvironmentSatisfaction]]=4,"Very Satisfied"
)</f>
        <v>Very Dissatisfied</v>
      </c>
      <c r="O1401" t="s">
        <v>46</v>
      </c>
      <c r="P1401">
        <v>30</v>
      </c>
      <c r="Q1401">
        <v>3</v>
      </c>
      <c r="R1401">
        <v>3</v>
      </c>
      <c r="S1401" t="s">
        <v>54</v>
      </c>
      <c r="T1401">
        <v>3</v>
      </c>
      <c r="U1401" t="str" cm="1">
        <f t="array" ref="U1401">_xlfn.IFS(
HRData[[#This Row],[JobSatisfaction]]=1,"Very Dissatisfied",
HRData[[#This Row],[JobSatisfaction]]=2,"Dissatisfied",
HRData[[#This Row],[JobSatisfaction]]=3,"Satisfied",
HRData[[#This Row],[JobSatisfaction]]=4,"Very Satisfied"
)</f>
        <v>Satisfied</v>
      </c>
      <c r="V1401" t="s">
        <v>48</v>
      </c>
      <c r="W1401">
        <v>7510</v>
      </c>
      <c r="X1401" t="str" cm="1">
        <f t="array" ref="X1401">_xlfn.IFS(
HRData[[#This Row],[MonthlyIncome]]&lt;=4000,"Very Low Income",
HRData[[#This Row],[MonthlyIncome]]&lt;=8000,"Low Income",
HRData[[#This Row],[MonthlyIncome]]&lt;=12000,"Moderate Income",
HRData[[#This Row],[MonthlyIncome]]&lt;=16000,"High Income",
HRData[[#This Row],[MonthlyIncome]]&gt;16000,"Very High Income"
)</f>
        <v>Low Income</v>
      </c>
      <c r="Y1401">
        <v>16873</v>
      </c>
      <c r="Z1401">
        <v>1</v>
      </c>
      <c r="AA1401" t="s">
        <v>42</v>
      </c>
      <c r="AB1401" t="s">
        <v>43</v>
      </c>
      <c r="AC1401">
        <v>17</v>
      </c>
      <c r="AD1401" t="str" cm="1">
        <f t="array" ref="AD1401">_xlfn.IFS(HRData[[#This Row],[PercentSalaryHike]]&lt;=15,"11-15",HRData[[#This Row],[PercentSalaryHike]]&lt;=20,"16-20",HRData[[#This Row],[PercentSalaryHike]]&gt;=21,"21+")</f>
        <v>16-20</v>
      </c>
      <c r="AE1401">
        <v>3</v>
      </c>
      <c r="AF1401">
        <v>2</v>
      </c>
      <c r="AG1401">
        <v>80</v>
      </c>
      <c r="AH1401">
        <v>1</v>
      </c>
      <c r="AI1401">
        <v>10</v>
      </c>
      <c r="AJ1401">
        <v>1</v>
      </c>
      <c r="AK1401">
        <v>3</v>
      </c>
      <c r="AL1401">
        <v>10</v>
      </c>
      <c r="AM1401">
        <v>9</v>
      </c>
      <c r="AN1401">
        <v>0</v>
      </c>
      <c r="AO1401">
        <v>9</v>
      </c>
      <c r="AP140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01" t="str">
        <f>IF(HRData[[#This Row],[Attrition]]="Yes","Left", IF(HRData[[#This Row],[Attrition_Risk_Score]]&gt;=6,"High",IF(HRData[[#This Row],[Attrition_Risk_Score]]&gt;=3,"Medium","Low")))</f>
        <v>Low</v>
      </c>
      <c r="AR1401" t="str">
        <f>IF(HRData[[#This Row],[Attrition_Risk_Level]]&lt;&gt;"High","",HRData[[#This Row],[Attrition_Risk_Score]]*10000-HRData[[#This Row],[EmployeeNumber]])</f>
        <v/>
      </c>
    </row>
    <row r="1402" spans="1:44">
      <c r="A1402">
        <v>38</v>
      </c>
      <c r="B1402" t="str" cm="1">
        <f t="array" ref="B1402">_xlfn.IFS(
HRData[[#This Row],[Age]]&lt;=24,"18-24",
HRData[[#This Row],[Age]]&lt;=34,"25-34",
HRData[[#This Row],[Age]]&lt;=44,"35-44",
HRData[[#This Row],[Age]]&lt;=54,"45-54",
HRData[[#This Row],[Age]]&gt;=55,"55+"
)</f>
        <v>35-44</v>
      </c>
      <c r="C1402" t="s">
        <v>43</v>
      </c>
      <c r="D1402">
        <f>IF(HRData[[#This Row],[Attrition]]="Yes",1,0)</f>
        <v>0</v>
      </c>
      <c r="E1402" t="s">
        <v>44</v>
      </c>
      <c r="F1402">
        <v>1444</v>
      </c>
      <c r="G1402" t="s">
        <v>61</v>
      </c>
      <c r="H1402">
        <v>1</v>
      </c>
      <c r="I1402">
        <v>4</v>
      </c>
      <c r="J1402" t="s">
        <v>49</v>
      </c>
      <c r="K1402">
        <v>1</v>
      </c>
      <c r="L1402">
        <v>1972</v>
      </c>
      <c r="M1402">
        <v>4</v>
      </c>
      <c r="N1402" t="str" cm="1">
        <f t="array" ref="N1402">_xlfn.IFS(HRData[[#This Row],[EnvironmentSatisfaction]]=1,"Very Dissatisfied",
HRData[[#This Row],[EnvironmentSatisfaction]]=2,"Dissatisfied",
HRData[[#This Row],[EnvironmentSatisfaction]]=3,"Satisfied",
HRData[[#This Row],[EnvironmentSatisfaction]]=4,"Very Satisfied"
)</f>
        <v>Very Satisfied</v>
      </c>
      <c r="O1402" t="s">
        <v>46</v>
      </c>
      <c r="P1402">
        <v>88</v>
      </c>
      <c r="Q1402">
        <v>3</v>
      </c>
      <c r="R1402">
        <v>1</v>
      </c>
      <c r="S1402" t="s">
        <v>61</v>
      </c>
      <c r="T1402">
        <v>2</v>
      </c>
      <c r="U1402" t="str" cm="1">
        <f t="array" ref="U1402">_xlfn.IFS(
HRData[[#This Row],[JobSatisfaction]]=1,"Very Dissatisfied",
HRData[[#This Row],[JobSatisfaction]]=2,"Dissatisfied",
HRData[[#This Row],[JobSatisfaction]]=3,"Satisfied",
HRData[[#This Row],[JobSatisfaction]]=4,"Very Satisfied"
)</f>
        <v>Dissatisfied</v>
      </c>
      <c r="V1402" t="s">
        <v>48</v>
      </c>
      <c r="W1402">
        <v>2991</v>
      </c>
      <c r="X1402" t="str" cm="1">
        <f t="array" ref="X1402">_xlfn.IFS(
HRData[[#This Row],[MonthlyIncome]]&lt;=4000,"Very Low Income",
HRData[[#This Row],[MonthlyIncome]]&lt;=8000,"Low Income",
HRData[[#This Row],[MonthlyIncome]]&lt;=12000,"Moderate Income",
HRData[[#This Row],[MonthlyIncome]]&lt;=16000,"High Income",
HRData[[#This Row],[MonthlyIncome]]&gt;16000,"Very High Income"
)</f>
        <v>Very Low Income</v>
      </c>
      <c r="Y1402">
        <v>5224</v>
      </c>
      <c r="Z1402">
        <v>0</v>
      </c>
      <c r="AA1402" t="s">
        <v>42</v>
      </c>
      <c r="AB1402" t="s">
        <v>35</v>
      </c>
      <c r="AC1402">
        <v>11</v>
      </c>
      <c r="AD1402" t="str" cm="1">
        <f t="array" ref="AD1402">_xlfn.IFS(HRData[[#This Row],[PercentSalaryHike]]&lt;=15,"11-15",HRData[[#This Row],[PercentSalaryHike]]&lt;=20,"16-20",HRData[[#This Row],[PercentSalaryHike]]&gt;=21,"21+")</f>
        <v>11-15</v>
      </c>
      <c r="AE1402">
        <v>3</v>
      </c>
      <c r="AF1402">
        <v>2</v>
      </c>
      <c r="AG1402">
        <v>80</v>
      </c>
      <c r="AH1402">
        <v>1</v>
      </c>
      <c r="AI1402">
        <v>7</v>
      </c>
      <c r="AJ1402">
        <v>2</v>
      </c>
      <c r="AK1402">
        <v>3</v>
      </c>
      <c r="AL1402">
        <v>6</v>
      </c>
      <c r="AM1402">
        <v>2</v>
      </c>
      <c r="AN1402">
        <v>1</v>
      </c>
      <c r="AO1402">
        <v>2</v>
      </c>
      <c r="AP140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402" t="str">
        <f>IF(HRData[[#This Row],[Attrition]]="Yes","Left", IF(HRData[[#This Row],[Attrition_Risk_Score]]&gt;=6,"High",IF(HRData[[#This Row],[Attrition_Risk_Score]]&gt;=3,"Medium","Low")))</f>
        <v>Medium</v>
      </c>
      <c r="AR1402" t="str">
        <f>IF(HRData[[#This Row],[Attrition_Risk_Level]]&lt;&gt;"High","",HRData[[#This Row],[Attrition_Risk_Score]]*10000-HRData[[#This Row],[EmployeeNumber]])</f>
        <v/>
      </c>
    </row>
    <row r="1403" spans="1:44">
      <c r="A1403">
        <v>55</v>
      </c>
      <c r="B1403" t="str" cm="1">
        <f t="array" ref="B1403">_xlfn.IFS(
HRData[[#This Row],[Age]]&lt;=24,"18-24",
HRData[[#This Row],[Age]]&lt;=34,"25-34",
HRData[[#This Row],[Age]]&lt;=44,"35-44",
HRData[[#This Row],[Age]]&lt;=54,"45-54",
HRData[[#This Row],[Age]]&gt;=55,"55+"
)</f>
        <v>55+</v>
      </c>
      <c r="C1403" t="s">
        <v>43</v>
      </c>
      <c r="D1403">
        <f>IF(HRData[[#This Row],[Attrition]]="Yes",1,0)</f>
        <v>0</v>
      </c>
      <c r="E1403" t="s">
        <v>36</v>
      </c>
      <c r="F1403">
        <v>189</v>
      </c>
      <c r="G1403" t="s">
        <v>61</v>
      </c>
      <c r="H1403">
        <v>26</v>
      </c>
      <c r="I1403">
        <v>4</v>
      </c>
      <c r="J1403" t="s">
        <v>61</v>
      </c>
      <c r="K1403">
        <v>1</v>
      </c>
      <c r="L1403">
        <v>1973</v>
      </c>
      <c r="M1403">
        <v>3</v>
      </c>
      <c r="N1403" t="str" cm="1">
        <f t="array" ref="N1403">_xlfn.IFS(HRData[[#This Row],[EnvironmentSatisfaction]]=1,"Very Dissatisfied",
HRData[[#This Row],[EnvironmentSatisfaction]]=2,"Dissatisfied",
HRData[[#This Row],[EnvironmentSatisfaction]]=3,"Satisfied",
HRData[[#This Row],[EnvironmentSatisfaction]]=4,"Very Satisfied"
)</f>
        <v>Satisfied</v>
      </c>
      <c r="O1403" t="s">
        <v>46</v>
      </c>
      <c r="P1403">
        <v>71</v>
      </c>
      <c r="Q1403">
        <v>4</v>
      </c>
      <c r="R1403">
        <v>5</v>
      </c>
      <c r="S1403" t="s">
        <v>56</v>
      </c>
      <c r="T1403">
        <v>2</v>
      </c>
      <c r="U1403" t="str" cm="1">
        <f t="array" ref="U1403">_xlfn.IFS(
HRData[[#This Row],[JobSatisfaction]]=1,"Very Dissatisfied",
HRData[[#This Row],[JobSatisfaction]]=2,"Dissatisfied",
HRData[[#This Row],[JobSatisfaction]]=3,"Satisfied",
HRData[[#This Row],[JobSatisfaction]]=4,"Very Satisfied"
)</f>
        <v>Dissatisfied</v>
      </c>
      <c r="V1403" t="s">
        <v>48</v>
      </c>
      <c r="W1403">
        <v>19636</v>
      </c>
      <c r="X1403" t="str" cm="1">
        <f t="array" ref="X1403">_xlfn.IFS(
HRData[[#This Row],[MonthlyIncome]]&lt;=4000,"Very Low Income",
HRData[[#This Row],[MonthlyIncome]]&lt;=8000,"Low Income",
HRData[[#This Row],[MonthlyIncome]]&lt;=12000,"Moderate Income",
HRData[[#This Row],[MonthlyIncome]]&lt;=16000,"High Income",
HRData[[#This Row],[MonthlyIncome]]&gt;16000,"Very High Income"
)</f>
        <v>Very High Income</v>
      </c>
      <c r="Y1403">
        <v>25811</v>
      </c>
      <c r="Z1403">
        <v>4</v>
      </c>
      <c r="AA1403" t="s">
        <v>42</v>
      </c>
      <c r="AB1403" t="s">
        <v>35</v>
      </c>
      <c r="AC1403">
        <v>18</v>
      </c>
      <c r="AD1403" t="str" cm="1">
        <f t="array" ref="AD1403">_xlfn.IFS(HRData[[#This Row],[PercentSalaryHike]]&lt;=15,"11-15",HRData[[#This Row],[PercentSalaryHike]]&lt;=20,"16-20",HRData[[#This Row],[PercentSalaryHike]]&gt;=21,"21+")</f>
        <v>16-20</v>
      </c>
      <c r="AE1403">
        <v>3</v>
      </c>
      <c r="AF1403">
        <v>1</v>
      </c>
      <c r="AG1403">
        <v>80</v>
      </c>
      <c r="AH1403">
        <v>1</v>
      </c>
      <c r="AI1403">
        <v>35</v>
      </c>
      <c r="AJ1403">
        <v>0</v>
      </c>
      <c r="AK1403">
        <v>3</v>
      </c>
      <c r="AL1403">
        <v>10</v>
      </c>
      <c r="AM1403">
        <v>9</v>
      </c>
      <c r="AN1403">
        <v>1</v>
      </c>
      <c r="AO1403">
        <v>4</v>
      </c>
      <c r="AP140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403" t="str">
        <f>IF(HRData[[#This Row],[Attrition]]="Yes","Left", IF(HRData[[#This Row],[Attrition_Risk_Score]]&gt;=6,"High",IF(HRData[[#This Row],[Attrition_Risk_Score]]&gt;=3,"Medium","Low")))</f>
        <v>Low</v>
      </c>
      <c r="AR1403" t="str">
        <f>IF(HRData[[#This Row],[Attrition_Risk_Level]]&lt;&gt;"High","",HRData[[#This Row],[Attrition_Risk_Score]]*10000-HRData[[#This Row],[EmployeeNumber]])</f>
        <v/>
      </c>
    </row>
    <row r="1404" spans="1:44">
      <c r="A1404">
        <v>31</v>
      </c>
      <c r="B1404" t="str" cm="1">
        <f t="array" ref="B1404">_xlfn.IFS(
HRData[[#This Row],[Age]]&lt;=24,"18-24",
HRData[[#This Row],[Age]]&lt;=34,"25-34",
HRData[[#This Row],[Age]]&lt;=44,"35-44",
HRData[[#This Row],[Age]]&lt;=54,"45-54",
HRData[[#This Row],[Age]]&gt;=55,"55+"
)</f>
        <v>25-34</v>
      </c>
      <c r="C1404" t="s">
        <v>43</v>
      </c>
      <c r="D1404">
        <f>IF(HRData[[#This Row],[Attrition]]="Yes",1,0)</f>
        <v>0</v>
      </c>
      <c r="E1404" t="s">
        <v>36</v>
      </c>
      <c r="F1404">
        <v>1276</v>
      </c>
      <c r="G1404" t="s">
        <v>45</v>
      </c>
      <c r="H1404">
        <v>2</v>
      </c>
      <c r="I1404">
        <v>1</v>
      </c>
      <c r="J1404" t="s">
        <v>51</v>
      </c>
      <c r="K1404">
        <v>1</v>
      </c>
      <c r="L1404">
        <v>1974</v>
      </c>
      <c r="M1404">
        <v>4</v>
      </c>
      <c r="N1404" t="str" cm="1">
        <f t="array" ref="N1404">_xlfn.IFS(HRData[[#This Row],[EnvironmentSatisfaction]]=1,"Very Dissatisfied",
HRData[[#This Row],[EnvironmentSatisfaction]]=2,"Dissatisfied",
HRData[[#This Row],[EnvironmentSatisfaction]]=3,"Satisfied",
HRData[[#This Row],[EnvironmentSatisfaction]]=4,"Very Satisfied"
)</f>
        <v>Very Satisfied</v>
      </c>
      <c r="O1404" t="s">
        <v>39</v>
      </c>
      <c r="P1404">
        <v>59</v>
      </c>
      <c r="Q1404">
        <v>1</v>
      </c>
      <c r="R1404">
        <v>1</v>
      </c>
      <c r="S1404" t="s">
        <v>50</v>
      </c>
      <c r="T1404">
        <v>4</v>
      </c>
      <c r="U1404" t="str" cm="1">
        <f t="array" ref="U1404">_xlfn.IFS(
HRData[[#This Row],[JobSatisfaction]]=1,"Very Dissatisfied",
HRData[[#This Row],[JobSatisfaction]]=2,"Dissatisfied",
HRData[[#This Row],[JobSatisfaction]]=3,"Satisfied",
HRData[[#This Row],[JobSatisfaction]]=4,"Very Satisfied"
)</f>
        <v>Very Satisfied</v>
      </c>
      <c r="V1404" t="s">
        <v>52</v>
      </c>
      <c r="W1404">
        <v>1129</v>
      </c>
      <c r="X1404" t="str" cm="1">
        <f t="array" ref="X1404">_xlfn.IFS(
HRData[[#This Row],[MonthlyIncome]]&lt;=4000,"Very Low Income",
HRData[[#This Row],[MonthlyIncome]]&lt;=8000,"Low Income",
HRData[[#This Row],[MonthlyIncome]]&lt;=12000,"Moderate Income",
HRData[[#This Row],[MonthlyIncome]]&lt;=16000,"High Income",
HRData[[#This Row],[MonthlyIncome]]&gt;16000,"Very High Income"
)</f>
        <v>Very Low Income</v>
      </c>
      <c r="Y1404">
        <v>17536</v>
      </c>
      <c r="Z1404">
        <v>1</v>
      </c>
      <c r="AA1404" t="s">
        <v>42</v>
      </c>
      <c r="AB1404" t="s">
        <v>35</v>
      </c>
      <c r="AC1404">
        <v>11</v>
      </c>
      <c r="AD1404" t="str" cm="1">
        <f t="array" ref="AD1404">_xlfn.IFS(HRData[[#This Row],[PercentSalaryHike]]&lt;=15,"11-15",HRData[[#This Row],[PercentSalaryHike]]&lt;=20,"16-20",HRData[[#This Row],[PercentSalaryHike]]&gt;=21,"21+")</f>
        <v>11-15</v>
      </c>
      <c r="AE1404">
        <v>3</v>
      </c>
      <c r="AF1404">
        <v>3</v>
      </c>
      <c r="AG1404">
        <v>80</v>
      </c>
      <c r="AH1404">
        <v>3</v>
      </c>
      <c r="AI1404">
        <v>1</v>
      </c>
      <c r="AJ1404">
        <v>4</v>
      </c>
      <c r="AK1404">
        <v>3</v>
      </c>
      <c r="AL1404">
        <v>1</v>
      </c>
      <c r="AM1404">
        <v>0</v>
      </c>
      <c r="AN1404">
        <v>0</v>
      </c>
      <c r="AO1404">
        <v>0</v>
      </c>
      <c r="AP140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404" t="str">
        <f>IF(HRData[[#This Row],[Attrition]]="Yes","Left", IF(HRData[[#This Row],[Attrition_Risk_Score]]&gt;=6,"High",IF(HRData[[#This Row],[Attrition_Risk_Score]]&gt;=3,"Medium","Low")))</f>
        <v>High</v>
      </c>
      <c r="AR1404">
        <f>IF(HRData[[#This Row],[Attrition_Risk_Level]]&lt;&gt;"High","",HRData[[#This Row],[Attrition_Risk_Score]]*10000-HRData[[#This Row],[EmployeeNumber]])</f>
        <v>58026</v>
      </c>
    </row>
    <row r="1405" spans="1:44">
      <c r="A1405">
        <v>39</v>
      </c>
      <c r="B1405" t="str" cm="1">
        <f t="array" ref="B1405">_xlfn.IFS(
HRData[[#This Row],[Age]]&lt;=24,"18-24",
HRData[[#This Row],[Age]]&lt;=34,"25-34",
HRData[[#This Row],[Age]]&lt;=44,"35-44",
HRData[[#This Row],[Age]]&lt;=54,"45-54",
HRData[[#This Row],[Age]]&gt;=55,"55+"
)</f>
        <v>35-44</v>
      </c>
      <c r="C1405" t="s">
        <v>43</v>
      </c>
      <c r="D1405">
        <f>IF(HRData[[#This Row],[Attrition]]="Yes",1,0)</f>
        <v>0</v>
      </c>
      <c r="E1405" t="s">
        <v>36</v>
      </c>
      <c r="F1405">
        <v>119</v>
      </c>
      <c r="G1405" t="s">
        <v>37</v>
      </c>
      <c r="H1405">
        <v>15</v>
      </c>
      <c r="I1405">
        <v>4</v>
      </c>
      <c r="J1405" t="s">
        <v>59</v>
      </c>
      <c r="K1405">
        <v>1</v>
      </c>
      <c r="L1405">
        <v>1975</v>
      </c>
      <c r="M1405">
        <v>2</v>
      </c>
      <c r="N1405" t="str" cm="1">
        <f t="array" ref="N1405">_xlfn.IFS(HRData[[#This Row],[EnvironmentSatisfaction]]=1,"Very Dissatisfied",
HRData[[#This Row],[EnvironmentSatisfaction]]=2,"Dissatisfied",
HRData[[#This Row],[EnvironmentSatisfaction]]=3,"Satisfied",
HRData[[#This Row],[EnvironmentSatisfaction]]=4,"Very Satisfied"
)</f>
        <v>Dissatisfied</v>
      </c>
      <c r="O1405" t="s">
        <v>46</v>
      </c>
      <c r="P1405">
        <v>77</v>
      </c>
      <c r="Q1405">
        <v>3</v>
      </c>
      <c r="R1405">
        <v>4</v>
      </c>
      <c r="S1405" t="s">
        <v>40</v>
      </c>
      <c r="T1405">
        <v>1</v>
      </c>
      <c r="U1405" t="str" cm="1">
        <f t="array" ref="U1405">_xlfn.IFS(
HRData[[#This Row],[JobSatisfaction]]=1,"Very Dissatisfied",
HRData[[#This Row],[JobSatisfaction]]=2,"Dissatisfied",
HRData[[#This Row],[JobSatisfaction]]=3,"Satisfied",
HRData[[#This Row],[JobSatisfaction]]=4,"Very Satisfied"
)</f>
        <v>Very Dissatisfied</v>
      </c>
      <c r="V1405" t="s">
        <v>41</v>
      </c>
      <c r="W1405">
        <v>13341</v>
      </c>
      <c r="X1405" t="str" cm="1">
        <f t="array" ref="X1405">_xlfn.IFS(
HRData[[#This Row],[MonthlyIncome]]&lt;=4000,"Very Low Income",
HRData[[#This Row],[MonthlyIncome]]&lt;=8000,"Low Income",
HRData[[#This Row],[MonthlyIncome]]&lt;=12000,"Moderate Income",
HRData[[#This Row],[MonthlyIncome]]&lt;=16000,"High Income",
HRData[[#This Row],[MonthlyIncome]]&gt;16000,"Very High Income"
)</f>
        <v>High Income</v>
      </c>
      <c r="Y1405">
        <v>25098</v>
      </c>
      <c r="Z1405">
        <v>0</v>
      </c>
      <c r="AA1405" t="s">
        <v>42</v>
      </c>
      <c r="AB1405" t="s">
        <v>43</v>
      </c>
      <c r="AC1405">
        <v>12</v>
      </c>
      <c r="AD1405" t="str" cm="1">
        <f t="array" ref="AD1405">_xlfn.IFS(HRData[[#This Row],[PercentSalaryHike]]&lt;=15,"11-15",HRData[[#This Row],[PercentSalaryHike]]&lt;=20,"16-20",HRData[[#This Row],[PercentSalaryHike]]&gt;=21,"21+")</f>
        <v>11-15</v>
      </c>
      <c r="AE1405">
        <v>3</v>
      </c>
      <c r="AF1405">
        <v>1</v>
      </c>
      <c r="AG1405">
        <v>80</v>
      </c>
      <c r="AH1405">
        <v>0</v>
      </c>
      <c r="AI1405">
        <v>21</v>
      </c>
      <c r="AJ1405">
        <v>3</v>
      </c>
      <c r="AK1405">
        <v>3</v>
      </c>
      <c r="AL1405">
        <v>20</v>
      </c>
      <c r="AM1405">
        <v>8</v>
      </c>
      <c r="AN1405">
        <v>11</v>
      </c>
      <c r="AO1405">
        <v>10</v>
      </c>
      <c r="AP140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405" t="str">
        <f>IF(HRData[[#This Row],[Attrition]]="Yes","Left", IF(HRData[[#This Row],[Attrition_Risk_Score]]&gt;=6,"High",IF(HRData[[#This Row],[Attrition_Risk_Score]]&gt;=3,"Medium","Low")))</f>
        <v>Low</v>
      </c>
      <c r="AR1405" t="str">
        <f>IF(HRData[[#This Row],[Attrition_Risk_Level]]&lt;&gt;"High","",HRData[[#This Row],[Attrition_Risk_Score]]*10000-HRData[[#This Row],[EmployeeNumber]])</f>
        <v/>
      </c>
    </row>
    <row r="1406" spans="1:44">
      <c r="A1406">
        <v>42</v>
      </c>
      <c r="B1406" t="str" cm="1">
        <f t="array" ref="B1406">_xlfn.IFS(
HRData[[#This Row],[Age]]&lt;=24,"18-24",
HRData[[#This Row],[Age]]&lt;=34,"25-34",
HRData[[#This Row],[Age]]&lt;=44,"35-44",
HRData[[#This Row],[Age]]&lt;=54,"45-54",
HRData[[#This Row],[Age]]&gt;=55,"55+"
)</f>
        <v>35-44</v>
      </c>
      <c r="C1406" t="s">
        <v>43</v>
      </c>
      <c r="D1406">
        <f>IF(HRData[[#This Row],[Attrition]]="Yes",1,0)</f>
        <v>0</v>
      </c>
      <c r="E1406" t="s">
        <v>55</v>
      </c>
      <c r="F1406">
        <v>335</v>
      </c>
      <c r="G1406" t="s">
        <v>45</v>
      </c>
      <c r="H1406">
        <v>23</v>
      </c>
      <c r="I1406">
        <v>2</v>
      </c>
      <c r="J1406" t="s">
        <v>38</v>
      </c>
      <c r="K1406">
        <v>1</v>
      </c>
      <c r="L1406">
        <v>1976</v>
      </c>
      <c r="M1406">
        <v>4</v>
      </c>
      <c r="N1406" t="str" cm="1">
        <f t="array" ref="N1406">_xlfn.IFS(HRData[[#This Row],[EnvironmentSatisfaction]]=1,"Very Dissatisfied",
HRData[[#This Row],[EnvironmentSatisfaction]]=2,"Dissatisfied",
HRData[[#This Row],[EnvironmentSatisfaction]]=3,"Satisfied",
HRData[[#This Row],[EnvironmentSatisfaction]]=4,"Very Satisfied"
)</f>
        <v>Very Satisfied</v>
      </c>
      <c r="O1406" t="s">
        <v>46</v>
      </c>
      <c r="P1406">
        <v>37</v>
      </c>
      <c r="Q1406">
        <v>2</v>
      </c>
      <c r="R1406">
        <v>2</v>
      </c>
      <c r="S1406" t="s">
        <v>47</v>
      </c>
      <c r="T1406">
        <v>3</v>
      </c>
      <c r="U1406" t="str" cm="1">
        <f t="array" ref="U1406">_xlfn.IFS(
HRData[[#This Row],[JobSatisfaction]]=1,"Very Dissatisfied",
HRData[[#This Row],[JobSatisfaction]]=2,"Dissatisfied",
HRData[[#This Row],[JobSatisfaction]]=3,"Satisfied",
HRData[[#This Row],[JobSatisfaction]]=4,"Very Satisfied"
)</f>
        <v>Satisfied</v>
      </c>
      <c r="V1406" t="s">
        <v>41</v>
      </c>
      <c r="W1406">
        <v>4332</v>
      </c>
      <c r="X1406" t="str" cm="1">
        <f t="array" ref="X1406">_xlfn.IFS(
HRData[[#This Row],[MonthlyIncome]]&lt;=4000,"Very Low Income",
HRData[[#This Row],[MonthlyIncome]]&lt;=8000,"Low Income",
HRData[[#This Row],[MonthlyIncome]]&lt;=12000,"Moderate Income",
HRData[[#This Row],[MonthlyIncome]]&lt;=16000,"High Income",
HRData[[#This Row],[MonthlyIncome]]&gt;16000,"Very High Income"
)</f>
        <v>Low Income</v>
      </c>
      <c r="Y1406">
        <v>14811</v>
      </c>
      <c r="Z1406">
        <v>1</v>
      </c>
      <c r="AA1406" t="s">
        <v>42</v>
      </c>
      <c r="AB1406" t="s">
        <v>43</v>
      </c>
      <c r="AC1406">
        <v>12</v>
      </c>
      <c r="AD1406" t="str" cm="1">
        <f t="array" ref="AD1406">_xlfn.IFS(HRData[[#This Row],[PercentSalaryHike]]&lt;=15,"11-15",HRData[[#This Row],[PercentSalaryHike]]&lt;=20,"16-20",HRData[[#This Row],[PercentSalaryHike]]&gt;=21,"21+")</f>
        <v>11-15</v>
      </c>
      <c r="AE1406">
        <v>3</v>
      </c>
      <c r="AF1406">
        <v>4</v>
      </c>
      <c r="AG1406">
        <v>80</v>
      </c>
      <c r="AH1406">
        <v>0</v>
      </c>
      <c r="AI1406">
        <v>20</v>
      </c>
      <c r="AJ1406">
        <v>2</v>
      </c>
      <c r="AK1406">
        <v>3</v>
      </c>
      <c r="AL1406">
        <v>20</v>
      </c>
      <c r="AM1406">
        <v>9</v>
      </c>
      <c r="AN1406">
        <v>3</v>
      </c>
      <c r="AO1406">
        <v>7</v>
      </c>
      <c r="AP140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06" t="str">
        <f>IF(HRData[[#This Row],[Attrition]]="Yes","Left", IF(HRData[[#This Row],[Attrition_Risk_Score]]&gt;=6,"High",IF(HRData[[#This Row],[Attrition_Risk_Score]]&gt;=3,"Medium","Low")))</f>
        <v>Low</v>
      </c>
      <c r="AR1406" t="str">
        <f>IF(HRData[[#This Row],[Attrition_Risk_Level]]&lt;&gt;"High","",HRData[[#This Row],[Attrition_Risk_Score]]*10000-HRData[[#This Row],[EmployeeNumber]])</f>
        <v/>
      </c>
    </row>
    <row r="1407" spans="1:44">
      <c r="A1407">
        <v>31</v>
      </c>
      <c r="B1407" t="str" cm="1">
        <f t="array" ref="B1407">_xlfn.IFS(
HRData[[#This Row],[Age]]&lt;=24,"18-24",
HRData[[#This Row],[Age]]&lt;=34,"25-34",
HRData[[#This Row],[Age]]&lt;=44,"35-44",
HRData[[#This Row],[Age]]&lt;=54,"45-54",
HRData[[#This Row],[Age]]&gt;=55,"55+"
)</f>
        <v>25-34</v>
      </c>
      <c r="C1407" t="s">
        <v>43</v>
      </c>
      <c r="D1407">
        <f>IF(HRData[[#This Row],[Attrition]]="Yes",1,0)</f>
        <v>0</v>
      </c>
      <c r="E1407" t="s">
        <v>55</v>
      </c>
      <c r="F1407">
        <v>697</v>
      </c>
      <c r="G1407" t="s">
        <v>45</v>
      </c>
      <c r="H1407">
        <v>10</v>
      </c>
      <c r="I1407">
        <v>3</v>
      </c>
      <c r="J1407" t="s">
        <v>51</v>
      </c>
      <c r="K1407">
        <v>1</v>
      </c>
      <c r="L1407">
        <v>1979</v>
      </c>
      <c r="M1407">
        <v>3</v>
      </c>
      <c r="N1407" t="str" cm="1">
        <f t="array" ref="N1407">_xlfn.IFS(HRData[[#This Row],[EnvironmentSatisfaction]]=1,"Very Dissatisfied",
HRData[[#This Row],[EnvironmentSatisfaction]]=2,"Dissatisfied",
HRData[[#This Row],[EnvironmentSatisfaction]]=3,"Satisfied",
HRData[[#This Row],[EnvironmentSatisfaction]]=4,"Very Satisfied"
)</f>
        <v>Satisfied</v>
      </c>
      <c r="O1407" t="s">
        <v>39</v>
      </c>
      <c r="P1407">
        <v>40</v>
      </c>
      <c r="Q1407">
        <v>3</v>
      </c>
      <c r="R1407">
        <v>3</v>
      </c>
      <c r="S1407" t="s">
        <v>58</v>
      </c>
      <c r="T1407">
        <v>3</v>
      </c>
      <c r="U1407" t="str" cm="1">
        <f t="array" ref="U1407">_xlfn.IFS(
HRData[[#This Row],[JobSatisfaction]]=1,"Very Dissatisfied",
HRData[[#This Row],[JobSatisfaction]]=2,"Dissatisfied",
HRData[[#This Row],[JobSatisfaction]]=3,"Satisfied",
HRData[[#This Row],[JobSatisfaction]]=4,"Very Satisfied"
)</f>
        <v>Satisfied</v>
      </c>
      <c r="V1407" t="s">
        <v>48</v>
      </c>
      <c r="W1407">
        <v>11031</v>
      </c>
      <c r="X1407" t="str" cm="1">
        <f t="array" ref="X1407">_xlfn.IFS(
HRData[[#This Row],[MonthlyIncome]]&lt;=4000,"Very Low Income",
HRData[[#This Row],[MonthlyIncome]]&lt;=8000,"Low Income",
HRData[[#This Row],[MonthlyIncome]]&lt;=12000,"Moderate Income",
HRData[[#This Row],[MonthlyIncome]]&lt;=16000,"High Income",
HRData[[#This Row],[MonthlyIncome]]&gt;16000,"Very High Income"
)</f>
        <v>Moderate Income</v>
      </c>
      <c r="Y1407">
        <v>26862</v>
      </c>
      <c r="Z1407">
        <v>4</v>
      </c>
      <c r="AA1407" t="s">
        <v>42</v>
      </c>
      <c r="AB1407" t="s">
        <v>43</v>
      </c>
      <c r="AC1407">
        <v>20</v>
      </c>
      <c r="AD1407" t="str" cm="1">
        <f t="array" ref="AD1407">_xlfn.IFS(HRData[[#This Row],[PercentSalaryHike]]&lt;=15,"11-15",HRData[[#This Row],[PercentSalaryHike]]&lt;=20,"16-20",HRData[[#This Row],[PercentSalaryHike]]&gt;=21,"21+")</f>
        <v>16-20</v>
      </c>
      <c r="AE1407">
        <v>4</v>
      </c>
      <c r="AF1407">
        <v>3</v>
      </c>
      <c r="AG1407">
        <v>80</v>
      </c>
      <c r="AH1407">
        <v>1</v>
      </c>
      <c r="AI1407">
        <v>13</v>
      </c>
      <c r="AJ1407">
        <v>2</v>
      </c>
      <c r="AK1407">
        <v>4</v>
      </c>
      <c r="AL1407">
        <v>11</v>
      </c>
      <c r="AM1407">
        <v>7</v>
      </c>
      <c r="AN1407">
        <v>4</v>
      </c>
      <c r="AO1407">
        <v>8</v>
      </c>
      <c r="AP140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07" t="str">
        <f>IF(HRData[[#This Row],[Attrition]]="Yes","Left", IF(HRData[[#This Row],[Attrition_Risk_Score]]&gt;=6,"High",IF(HRData[[#This Row],[Attrition_Risk_Score]]&gt;=3,"Medium","Low")))</f>
        <v>Low</v>
      </c>
      <c r="AR1407" t="str">
        <f>IF(HRData[[#This Row],[Attrition_Risk_Level]]&lt;&gt;"High","",HRData[[#This Row],[Attrition_Risk_Score]]*10000-HRData[[#This Row],[EmployeeNumber]])</f>
        <v/>
      </c>
    </row>
    <row r="1408" spans="1:44">
      <c r="A1408">
        <v>54</v>
      </c>
      <c r="B1408" t="str" cm="1">
        <f t="array" ref="B1408">_xlfn.IFS(
HRData[[#This Row],[Age]]&lt;=24,"18-24",
HRData[[#This Row],[Age]]&lt;=34,"25-34",
HRData[[#This Row],[Age]]&lt;=44,"35-44",
HRData[[#This Row],[Age]]&lt;=54,"45-54",
HRData[[#This Row],[Age]]&gt;=55,"55+"
)</f>
        <v>45-54</v>
      </c>
      <c r="C1408" t="s">
        <v>43</v>
      </c>
      <c r="D1408">
        <f>IF(HRData[[#This Row],[Attrition]]="Yes",1,0)</f>
        <v>0</v>
      </c>
      <c r="E1408" t="s">
        <v>36</v>
      </c>
      <c r="F1408">
        <v>157</v>
      </c>
      <c r="G1408" t="s">
        <v>45</v>
      </c>
      <c r="H1408">
        <v>10</v>
      </c>
      <c r="I1408">
        <v>3</v>
      </c>
      <c r="J1408" t="s">
        <v>51</v>
      </c>
      <c r="K1408">
        <v>1</v>
      </c>
      <c r="L1408">
        <v>1980</v>
      </c>
      <c r="M1408">
        <v>3</v>
      </c>
      <c r="N1408" t="str" cm="1">
        <f t="array" ref="N1408">_xlfn.IFS(HRData[[#This Row],[EnvironmentSatisfaction]]=1,"Very Dissatisfied",
HRData[[#This Row],[EnvironmentSatisfaction]]=2,"Dissatisfied",
HRData[[#This Row],[EnvironmentSatisfaction]]=3,"Satisfied",
HRData[[#This Row],[EnvironmentSatisfaction]]=4,"Very Satisfied"
)</f>
        <v>Satisfied</v>
      </c>
      <c r="O1408" t="s">
        <v>39</v>
      </c>
      <c r="P1408">
        <v>77</v>
      </c>
      <c r="Q1408">
        <v>3</v>
      </c>
      <c r="R1408">
        <v>2</v>
      </c>
      <c r="S1408" t="s">
        <v>53</v>
      </c>
      <c r="T1408">
        <v>1</v>
      </c>
      <c r="U1408" t="str" cm="1">
        <f t="array" ref="U1408">_xlfn.IFS(
HRData[[#This Row],[JobSatisfaction]]=1,"Very Dissatisfied",
HRData[[#This Row],[JobSatisfaction]]=2,"Dissatisfied",
HRData[[#This Row],[JobSatisfaction]]=3,"Satisfied",
HRData[[#This Row],[JobSatisfaction]]=4,"Very Satisfied"
)</f>
        <v>Very Dissatisfied</v>
      </c>
      <c r="V1408" t="s">
        <v>41</v>
      </c>
      <c r="W1408">
        <v>4440</v>
      </c>
      <c r="X1408" t="str" cm="1">
        <f t="array" ref="X1408">_xlfn.IFS(
HRData[[#This Row],[MonthlyIncome]]&lt;=4000,"Very Low Income",
HRData[[#This Row],[MonthlyIncome]]&lt;=8000,"Low Income",
HRData[[#This Row],[MonthlyIncome]]&lt;=12000,"Moderate Income",
HRData[[#This Row],[MonthlyIncome]]&lt;=16000,"High Income",
HRData[[#This Row],[MonthlyIncome]]&gt;16000,"Very High Income"
)</f>
        <v>Low Income</v>
      </c>
      <c r="Y1408">
        <v>25198</v>
      </c>
      <c r="Z1408">
        <v>6</v>
      </c>
      <c r="AA1408" t="s">
        <v>42</v>
      </c>
      <c r="AB1408" t="s">
        <v>35</v>
      </c>
      <c r="AC1408">
        <v>19</v>
      </c>
      <c r="AD1408" t="str" cm="1">
        <f t="array" ref="AD1408">_xlfn.IFS(HRData[[#This Row],[PercentSalaryHike]]&lt;=15,"11-15",HRData[[#This Row],[PercentSalaryHike]]&lt;=20,"16-20",HRData[[#This Row],[PercentSalaryHike]]&gt;=21,"21+")</f>
        <v>16-20</v>
      </c>
      <c r="AE1408">
        <v>3</v>
      </c>
      <c r="AF1408">
        <v>4</v>
      </c>
      <c r="AG1408">
        <v>80</v>
      </c>
      <c r="AH1408">
        <v>0</v>
      </c>
      <c r="AI1408">
        <v>9</v>
      </c>
      <c r="AJ1408">
        <v>3</v>
      </c>
      <c r="AK1408">
        <v>3</v>
      </c>
      <c r="AL1408">
        <v>5</v>
      </c>
      <c r="AM1408">
        <v>2</v>
      </c>
      <c r="AN1408">
        <v>1</v>
      </c>
      <c r="AO1408">
        <v>4</v>
      </c>
      <c r="AP140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408" t="str">
        <f>IF(HRData[[#This Row],[Attrition]]="Yes","Left", IF(HRData[[#This Row],[Attrition_Risk_Score]]&gt;=6,"High",IF(HRData[[#This Row],[Attrition_Risk_Score]]&gt;=3,"Medium","Low")))</f>
        <v>Medium</v>
      </c>
      <c r="AR1408" t="str">
        <f>IF(HRData[[#This Row],[Attrition_Risk_Level]]&lt;&gt;"High","",HRData[[#This Row],[Attrition_Risk_Score]]*10000-HRData[[#This Row],[EmployeeNumber]])</f>
        <v/>
      </c>
    </row>
    <row r="1409" spans="1:44">
      <c r="A1409">
        <v>24</v>
      </c>
      <c r="B1409" t="str" cm="1">
        <f t="array" ref="B1409">_xlfn.IFS(
HRData[[#This Row],[Age]]&lt;=24,"18-24",
HRData[[#This Row],[Age]]&lt;=34,"25-34",
HRData[[#This Row],[Age]]&lt;=44,"35-44",
HRData[[#This Row],[Age]]&lt;=54,"45-54",
HRData[[#This Row],[Age]]&gt;=55,"55+"
)</f>
        <v>18-24</v>
      </c>
      <c r="C1409" t="s">
        <v>43</v>
      </c>
      <c r="D1409">
        <f>IF(HRData[[#This Row],[Attrition]]="Yes",1,0)</f>
        <v>0</v>
      </c>
      <c r="E1409" t="s">
        <v>36</v>
      </c>
      <c r="F1409">
        <v>771</v>
      </c>
      <c r="G1409" t="s">
        <v>45</v>
      </c>
      <c r="H1409">
        <v>1</v>
      </c>
      <c r="I1409">
        <v>2</v>
      </c>
      <c r="J1409" t="s">
        <v>38</v>
      </c>
      <c r="K1409">
        <v>1</v>
      </c>
      <c r="L1409">
        <v>1981</v>
      </c>
      <c r="M1409">
        <v>2</v>
      </c>
      <c r="N1409" t="str" cm="1">
        <f t="array" ref="N1409">_xlfn.IFS(HRData[[#This Row],[EnvironmentSatisfaction]]=1,"Very Dissatisfied",
HRData[[#This Row],[EnvironmentSatisfaction]]=2,"Dissatisfied",
HRData[[#This Row],[EnvironmentSatisfaction]]=3,"Satisfied",
HRData[[#This Row],[EnvironmentSatisfaction]]=4,"Very Satisfied"
)</f>
        <v>Dissatisfied</v>
      </c>
      <c r="O1409" t="s">
        <v>46</v>
      </c>
      <c r="P1409">
        <v>45</v>
      </c>
      <c r="Q1409">
        <v>2</v>
      </c>
      <c r="R1409">
        <v>2</v>
      </c>
      <c r="S1409" t="s">
        <v>54</v>
      </c>
      <c r="T1409">
        <v>3</v>
      </c>
      <c r="U1409" t="str" cm="1">
        <f t="array" ref="U1409">_xlfn.IFS(
HRData[[#This Row],[JobSatisfaction]]=1,"Very Dissatisfied",
HRData[[#This Row],[JobSatisfaction]]=2,"Dissatisfied",
HRData[[#This Row],[JobSatisfaction]]=3,"Satisfied",
HRData[[#This Row],[JobSatisfaction]]=4,"Very Satisfied"
)</f>
        <v>Satisfied</v>
      </c>
      <c r="V1409" t="s">
        <v>41</v>
      </c>
      <c r="W1409">
        <v>4617</v>
      </c>
      <c r="X1409" t="str" cm="1">
        <f t="array" ref="X1409">_xlfn.IFS(
HRData[[#This Row],[MonthlyIncome]]&lt;=4000,"Very Low Income",
HRData[[#This Row],[MonthlyIncome]]&lt;=8000,"Low Income",
HRData[[#This Row],[MonthlyIncome]]&lt;=12000,"Moderate Income",
HRData[[#This Row],[MonthlyIncome]]&lt;=16000,"High Income",
HRData[[#This Row],[MonthlyIncome]]&gt;16000,"Very High Income"
)</f>
        <v>Low Income</v>
      </c>
      <c r="Y1409">
        <v>14120</v>
      </c>
      <c r="Z1409">
        <v>1</v>
      </c>
      <c r="AA1409" t="s">
        <v>42</v>
      </c>
      <c r="AB1409" t="s">
        <v>43</v>
      </c>
      <c r="AC1409">
        <v>12</v>
      </c>
      <c r="AD1409" t="str" cm="1">
        <f t="array" ref="AD1409">_xlfn.IFS(HRData[[#This Row],[PercentSalaryHike]]&lt;=15,"11-15",HRData[[#This Row],[PercentSalaryHike]]&lt;=20,"16-20",HRData[[#This Row],[PercentSalaryHike]]&gt;=21,"21+")</f>
        <v>11-15</v>
      </c>
      <c r="AE1409">
        <v>3</v>
      </c>
      <c r="AF1409">
        <v>2</v>
      </c>
      <c r="AG1409">
        <v>80</v>
      </c>
      <c r="AH1409">
        <v>0</v>
      </c>
      <c r="AI1409">
        <v>4</v>
      </c>
      <c r="AJ1409">
        <v>2</v>
      </c>
      <c r="AK1409">
        <v>2</v>
      </c>
      <c r="AL1409">
        <v>4</v>
      </c>
      <c r="AM1409">
        <v>3</v>
      </c>
      <c r="AN1409">
        <v>1</v>
      </c>
      <c r="AO1409">
        <v>2</v>
      </c>
      <c r="AP140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409" t="str">
        <f>IF(HRData[[#This Row],[Attrition]]="Yes","Left", IF(HRData[[#This Row],[Attrition_Risk_Score]]&gt;=6,"High",IF(HRData[[#This Row],[Attrition_Risk_Score]]&gt;=3,"Medium","Low")))</f>
        <v>Medium</v>
      </c>
      <c r="AR1409" t="str">
        <f>IF(HRData[[#This Row],[Attrition_Risk_Level]]&lt;&gt;"High","",HRData[[#This Row],[Attrition_Risk_Score]]*10000-HRData[[#This Row],[EmployeeNumber]])</f>
        <v/>
      </c>
    </row>
    <row r="1410" spans="1:44">
      <c r="A1410">
        <v>23</v>
      </c>
      <c r="B1410" t="str" cm="1">
        <f t="array" ref="B1410">_xlfn.IFS(
HRData[[#This Row],[Age]]&lt;=24,"18-24",
HRData[[#This Row],[Age]]&lt;=34,"25-34",
HRData[[#This Row],[Age]]&lt;=44,"35-44",
HRData[[#This Row],[Age]]&lt;=54,"45-54",
HRData[[#This Row],[Age]]&gt;=55,"55+"
)</f>
        <v>18-24</v>
      </c>
      <c r="C1410" t="s">
        <v>43</v>
      </c>
      <c r="D1410">
        <f>IF(HRData[[#This Row],[Attrition]]="Yes",1,0)</f>
        <v>0</v>
      </c>
      <c r="E1410" t="s">
        <v>36</v>
      </c>
      <c r="F1410">
        <v>571</v>
      </c>
      <c r="G1410" t="s">
        <v>45</v>
      </c>
      <c r="H1410">
        <v>12</v>
      </c>
      <c r="I1410">
        <v>2</v>
      </c>
      <c r="J1410" t="s">
        <v>49</v>
      </c>
      <c r="K1410">
        <v>1</v>
      </c>
      <c r="L1410">
        <v>1982</v>
      </c>
      <c r="M1410">
        <v>4</v>
      </c>
      <c r="N1410" t="str" cm="1">
        <f t="array" ref="N1410">_xlfn.IFS(HRData[[#This Row],[EnvironmentSatisfaction]]=1,"Very Dissatisfied",
HRData[[#This Row],[EnvironmentSatisfaction]]=2,"Dissatisfied",
HRData[[#This Row],[EnvironmentSatisfaction]]=3,"Satisfied",
HRData[[#This Row],[EnvironmentSatisfaction]]=4,"Very Satisfied"
)</f>
        <v>Very Satisfied</v>
      </c>
      <c r="O1410" t="s">
        <v>46</v>
      </c>
      <c r="P1410">
        <v>78</v>
      </c>
      <c r="Q1410">
        <v>3</v>
      </c>
      <c r="R1410">
        <v>1</v>
      </c>
      <c r="S1410" t="s">
        <v>50</v>
      </c>
      <c r="T1410">
        <v>4</v>
      </c>
      <c r="U1410" t="str" cm="1">
        <f t="array" ref="U1410">_xlfn.IFS(
HRData[[#This Row],[JobSatisfaction]]=1,"Very Dissatisfied",
HRData[[#This Row],[JobSatisfaction]]=2,"Dissatisfied",
HRData[[#This Row],[JobSatisfaction]]=3,"Satisfied",
HRData[[#This Row],[JobSatisfaction]]=4,"Very Satisfied"
)</f>
        <v>Very Satisfied</v>
      </c>
      <c r="V1410" t="s">
        <v>41</v>
      </c>
      <c r="W1410">
        <v>2647</v>
      </c>
      <c r="X1410" t="str" cm="1">
        <f t="array" ref="X1410">_xlfn.IFS(
HRData[[#This Row],[MonthlyIncome]]&lt;=4000,"Very Low Income",
HRData[[#This Row],[MonthlyIncome]]&lt;=8000,"Low Income",
HRData[[#This Row],[MonthlyIncome]]&lt;=12000,"Moderate Income",
HRData[[#This Row],[MonthlyIncome]]&lt;=16000,"High Income",
HRData[[#This Row],[MonthlyIncome]]&gt;16000,"Very High Income"
)</f>
        <v>Very Low Income</v>
      </c>
      <c r="Y1410">
        <v>13672</v>
      </c>
      <c r="Z1410">
        <v>1</v>
      </c>
      <c r="AA1410" t="s">
        <v>42</v>
      </c>
      <c r="AB1410" t="s">
        <v>43</v>
      </c>
      <c r="AC1410">
        <v>13</v>
      </c>
      <c r="AD1410" t="str" cm="1">
        <f t="array" ref="AD1410">_xlfn.IFS(HRData[[#This Row],[PercentSalaryHike]]&lt;=15,"11-15",HRData[[#This Row],[PercentSalaryHike]]&lt;=20,"16-20",HRData[[#This Row],[PercentSalaryHike]]&gt;=21,"21+")</f>
        <v>11-15</v>
      </c>
      <c r="AE1410">
        <v>3</v>
      </c>
      <c r="AF1410">
        <v>3</v>
      </c>
      <c r="AG1410">
        <v>80</v>
      </c>
      <c r="AH1410">
        <v>0</v>
      </c>
      <c r="AI1410">
        <v>5</v>
      </c>
      <c r="AJ1410">
        <v>6</v>
      </c>
      <c r="AK1410">
        <v>4</v>
      </c>
      <c r="AL1410">
        <v>5</v>
      </c>
      <c r="AM1410">
        <v>2</v>
      </c>
      <c r="AN1410">
        <v>1</v>
      </c>
      <c r="AO1410">
        <v>4</v>
      </c>
      <c r="AP141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410" t="str">
        <f>IF(HRData[[#This Row],[Attrition]]="Yes","Left", IF(HRData[[#This Row],[Attrition_Risk_Score]]&gt;=6,"High",IF(HRData[[#This Row],[Attrition_Risk_Score]]&gt;=3,"Medium","Low")))</f>
        <v>Medium</v>
      </c>
      <c r="AR1410" t="str">
        <f>IF(HRData[[#This Row],[Attrition_Risk_Level]]&lt;&gt;"High","",HRData[[#This Row],[Attrition_Risk_Score]]*10000-HRData[[#This Row],[EmployeeNumber]])</f>
        <v/>
      </c>
    </row>
    <row r="1411" spans="1:44">
      <c r="A1411">
        <v>40</v>
      </c>
      <c r="B1411" t="str" cm="1">
        <f t="array" ref="B1411">_xlfn.IFS(
HRData[[#This Row],[Age]]&lt;=24,"18-24",
HRData[[#This Row],[Age]]&lt;=34,"25-34",
HRData[[#This Row],[Age]]&lt;=44,"35-44",
HRData[[#This Row],[Age]]&lt;=54,"45-54",
HRData[[#This Row],[Age]]&gt;=55,"55+"
)</f>
        <v>35-44</v>
      </c>
      <c r="C1411" t="s">
        <v>43</v>
      </c>
      <c r="D1411">
        <f>IF(HRData[[#This Row],[Attrition]]="Yes",1,0)</f>
        <v>0</v>
      </c>
      <c r="E1411" t="s">
        <v>44</v>
      </c>
      <c r="F1411">
        <v>692</v>
      </c>
      <c r="G1411" t="s">
        <v>45</v>
      </c>
      <c r="H1411">
        <v>11</v>
      </c>
      <c r="I1411">
        <v>3</v>
      </c>
      <c r="J1411" t="s">
        <v>60</v>
      </c>
      <c r="K1411">
        <v>1</v>
      </c>
      <c r="L1411">
        <v>1985</v>
      </c>
      <c r="M1411">
        <v>4</v>
      </c>
      <c r="N1411" t="str" cm="1">
        <f t="array" ref="N1411">_xlfn.IFS(HRData[[#This Row],[EnvironmentSatisfaction]]=1,"Very Dissatisfied",
HRData[[#This Row],[EnvironmentSatisfaction]]=2,"Dissatisfied",
HRData[[#This Row],[EnvironmentSatisfaction]]=3,"Satisfied",
HRData[[#This Row],[EnvironmentSatisfaction]]=4,"Very Satisfied"
)</f>
        <v>Very Satisfied</v>
      </c>
      <c r="O1411" t="s">
        <v>39</v>
      </c>
      <c r="P1411">
        <v>73</v>
      </c>
      <c r="Q1411">
        <v>3</v>
      </c>
      <c r="R1411">
        <v>2</v>
      </c>
      <c r="S1411" t="s">
        <v>50</v>
      </c>
      <c r="T1411">
        <v>3</v>
      </c>
      <c r="U1411" t="str" cm="1">
        <f t="array" ref="U1411">_xlfn.IFS(
HRData[[#This Row],[JobSatisfaction]]=1,"Very Dissatisfied",
HRData[[#This Row],[JobSatisfaction]]=2,"Dissatisfied",
HRData[[#This Row],[JobSatisfaction]]=3,"Satisfied",
HRData[[#This Row],[JobSatisfaction]]=4,"Very Satisfied"
)</f>
        <v>Satisfied</v>
      </c>
      <c r="V1411" t="s">
        <v>48</v>
      </c>
      <c r="W1411">
        <v>6323</v>
      </c>
      <c r="X1411" t="str" cm="1">
        <f t="array" ref="X1411">_xlfn.IFS(
HRData[[#This Row],[MonthlyIncome]]&lt;=4000,"Very Low Income",
HRData[[#This Row],[MonthlyIncome]]&lt;=8000,"Low Income",
HRData[[#This Row],[MonthlyIncome]]&lt;=12000,"Moderate Income",
HRData[[#This Row],[MonthlyIncome]]&lt;=16000,"High Income",
HRData[[#This Row],[MonthlyIncome]]&gt;16000,"Very High Income"
)</f>
        <v>Low Income</v>
      </c>
      <c r="Y1411">
        <v>26849</v>
      </c>
      <c r="Z1411">
        <v>1</v>
      </c>
      <c r="AA1411" t="s">
        <v>42</v>
      </c>
      <c r="AB1411" t="s">
        <v>43</v>
      </c>
      <c r="AC1411">
        <v>11</v>
      </c>
      <c r="AD1411" t="str" cm="1">
        <f t="array" ref="AD1411">_xlfn.IFS(HRData[[#This Row],[PercentSalaryHike]]&lt;=15,"11-15",HRData[[#This Row],[PercentSalaryHike]]&lt;=20,"16-20",HRData[[#This Row],[PercentSalaryHike]]&gt;=21,"21+")</f>
        <v>11-15</v>
      </c>
      <c r="AE1411">
        <v>3</v>
      </c>
      <c r="AF1411">
        <v>1</v>
      </c>
      <c r="AG1411">
        <v>80</v>
      </c>
      <c r="AH1411">
        <v>1</v>
      </c>
      <c r="AI1411">
        <v>10</v>
      </c>
      <c r="AJ1411">
        <v>2</v>
      </c>
      <c r="AK1411">
        <v>4</v>
      </c>
      <c r="AL1411">
        <v>10</v>
      </c>
      <c r="AM1411">
        <v>9</v>
      </c>
      <c r="AN1411">
        <v>9</v>
      </c>
      <c r="AO1411">
        <v>4</v>
      </c>
      <c r="AP141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411" t="str">
        <f>IF(HRData[[#This Row],[Attrition]]="Yes","Left", IF(HRData[[#This Row],[Attrition_Risk_Score]]&gt;=6,"High",IF(HRData[[#This Row],[Attrition_Risk_Score]]&gt;=3,"Medium","Low")))</f>
        <v>Low</v>
      </c>
      <c r="AR1411" t="str">
        <f>IF(HRData[[#This Row],[Attrition_Risk_Level]]&lt;&gt;"High","",HRData[[#This Row],[Attrition_Risk_Score]]*10000-HRData[[#This Row],[EmployeeNumber]])</f>
        <v/>
      </c>
    </row>
    <row r="1412" spans="1:44">
      <c r="A1412">
        <v>40</v>
      </c>
      <c r="B1412" t="str" cm="1">
        <f t="array" ref="B1412">_xlfn.IFS(
HRData[[#This Row],[Age]]&lt;=24,"18-24",
HRData[[#This Row],[Age]]&lt;=34,"25-34",
HRData[[#This Row],[Age]]&lt;=44,"35-44",
HRData[[#This Row],[Age]]&lt;=54,"45-54",
HRData[[#This Row],[Age]]&gt;=55,"55+"
)</f>
        <v>35-44</v>
      </c>
      <c r="C1412" t="s">
        <v>43</v>
      </c>
      <c r="D1412">
        <f>IF(HRData[[#This Row],[Attrition]]="Yes",1,0)</f>
        <v>0</v>
      </c>
      <c r="E1412" t="s">
        <v>36</v>
      </c>
      <c r="F1412">
        <v>444</v>
      </c>
      <c r="G1412" t="s">
        <v>37</v>
      </c>
      <c r="H1412">
        <v>2</v>
      </c>
      <c r="I1412">
        <v>2</v>
      </c>
      <c r="J1412" t="s">
        <v>59</v>
      </c>
      <c r="K1412">
        <v>1</v>
      </c>
      <c r="L1412">
        <v>1986</v>
      </c>
      <c r="M1412">
        <v>2</v>
      </c>
      <c r="N1412" t="str" cm="1">
        <f t="array" ref="N1412">_xlfn.IFS(HRData[[#This Row],[EnvironmentSatisfaction]]=1,"Very Dissatisfied",
HRData[[#This Row],[EnvironmentSatisfaction]]=2,"Dissatisfied",
HRData[[#This Row],[EnvironmentSatisfaction]]=3,"Satisfied",
HRData[[#This Row],[EnvironmentSatisfaction]]=4,"Very Satisfied"
)</f>
        <v>Dissatisfied</v>
      </c>
      <c r="O1412" t="s">
        <v>39</v>
      </c>
      <c r="P1412">
        <v>92</v>
      </c>
      <c r="Q1412">
        <v>3</v>
      </c>
      <c r="R1412">
        <v>2</v>
      </c>
      <c r="S1412" t="s">
        <v>40</v>
      </c>
      <c r="T1412">
        <v>2</v>
      </c>
      <c r="U1412" t="str" cm="1">
        <f t="array" ref="U1412">_xlfn.IFS(
HRData[[#This Row],[JobSatisfaction]]=1,"Very Dissatisfied",
HRData[[#This Row],[JobSatisfaction]]=2,"Dissatisfied",
HRData[[#This Row],[JobSatisfaction]]=3,"Satisfied",
HRData[[#This Row],[JobSatisfaction]]=4,"Very Satisfied"
)</f>
        <v>Dissatisfied</v>
      </c>
      <c r="V1412" t="s">
        <v>48</v>
      </c>
      <c r="W1412">
        <v>5677</v>
      </c>
      <c r="X1412" t="str" cm="1">
        <f t="array" ref="X1412">_xlfn.IFS(
HRData[[#This Row],[MonthlyIncome]]&lt;=4000,"Very Low Income",
HRData[[#This Row],[MonthlyIncome]]&lt;=8000,"Low Income",
HRData[[#This Row],[MonthlyIncome]]&lt;=12000,"Moderate Income",
HRData[[#This Row],[MonthlyIncome]]&lt;=16000,"High Income",
HRData[[#This Row],[MonthlyIncome]]&gt;16000,"Very High Income"
)</f>
        <v>Low Income</v>
      </c>
      <c r="Y1412">
        <v>4258</v>
      </c>
      <c r="Z1412">
        <v>3</v>
      </c>
      <c r="AA1412" t="s">
        <v>42</v>
      </c>
      <c r="AB1412" t="s">
        <v>43</v>
      </c>
      <c r="AC1412">
        <v>14</v>
      </c>
      <c r="AD1412" t="str" cm="1">
        <f t="array" ref="AD1412">_xlfn.IFS(HRData[[#This Row],[PercentSalaryHike]]&lt;=15,"11-15",HRData[[#This Row],[PercentSalaryHike]]&lt;=20,"16-20",HRData[[#This Row],[PercentSalaryHike]]&gt;=21,"21+")</f>
        <v>11-15</v>
      </c>
      <c r="AE1412">
        <v>3</v>
      </c>
      <c r="AF1412">
        <v>3</v>
      </c>
      <c r="AG1412">
        <v>80</v>
      </c>
      <c r="AH1412">
        <v>1</v>
      </c>
      <c r="AI1412">
        <v>15</v>
      </c>
      <c r="AJ1412">
        <v>4</v>
      </c>
      <c r="AK1412">
        <v>3</v>
      </c>
      <c r="AL1412">
        <v>11</v>
      </c>
      <c r="AM1412">
        <v>8</v>
      </c>
      <c r="AN1412">
        <v>5</v>
      </c>
      <c r="AO1412">
        <v>10</v>
      </c>
      <c r="AP141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12" t="str">
        <f>IF(HRData[[#This Row],[Attrition]]="Yes","Left", IF(HRData[[#This Row],[Attrition_Risk_Score]]&gt;=6,"High",IF(HRData[[#This Row],[Attrition_Risk_Score]]&gt;=3,"Medium","Low")))</f>
        <v>Low</v>
      </c>
      <c r="AR1412" t="str">
        <f>IF(HRData[[#This Row],[Attrition_Risk_Level]]&lt;&gt;"High","",HRData[[#This Row],[Attrition_Risk_Score]]*10000-HRData[[#This Row],[EmployeeNumber]])</f>
        <v/>
      </c>
    </row>
    <row r="1413" spans="1:44">
      <c r="A1413">
        <v>25</v>
      </c>
      <c r="B1413" t="str" cm="1">
        <f t="array" ref="B1413">_xlfn.IFS(
HRData[[#This Row],[Age]]&lt;=24,"18-24",
HRData[[#This Row],[Age]]&lt;=34,"25-34",
HRData[[#This Row],[Age]]&lt;=44,"35-44",
HRData[[#This Row],[Age]]&lt;=54,"45-54",
HRData[[#This Row],[Age]]&gt;=55,"55+"
)</f>
        <v>25-34</v>
      </c>
      <c r="C1413" t="s">
        <v>43</v>
      </c>
      <c r="D1413">
        <f>IF(HRData[[#This Row],[Attrition]]="Yes",1,0)</f>
        <v>0</v>
      </c>
      <c r="E1413" t="s">
        <v>36</v>
      </c>
      <c r="F1413">
        <v>309</v>
      </c>
      <c r="G1413" t="s">
        <v>61</v>
      </c>
      <c r="H1413">
        <v>2</v>
      </c>
      <c r="I1413">
        <v>3</v>
      </c>
      <c r="J1413" t="s">
        <v>61</v>
      </c>
      <c r="K1413">
        <v>1</v>
      </c>
      <c r="L1413">
        <v>1987</v>
      </c>
      <c r="M1413">
        <v>3</v>
      </c>
      <c r="N1413" t="str" cm="1">
        <f t="array" ref="N1413">_xlfn.IFS(HRData[[#This Row],[EnvironmentSatisfaction]]=1,"Very Dissatisfied",
HRData[[#This Row],[EnvironmentSatisfaction]]=2,"Dissatisfied",
HRData[[#This Row],[EnvironmentSatisfaction]]=3,"Satisfied",
HRData[[#This Row],[EnvironmentSatisfaction]]=4,"Very Satisfied"
)</f>
        <v>Satisfied</v>
      </c>
      <c r="O1413" t="s">
        <v>39</v>
      </c>
      <c r="P1413">
        <v>82</v>
      </c>
      <c r="Q1413">
        <v>3</v>
      </c>
      <c r="R1413">
        <v>1</v>
      </c>
      <c r="S1413" t="s">
        <v>61</v>
      </c>
      <c r="T1413">
        <v>2</v>
      </c>
      <c r="U1413" t="str" cm="1">
        <f t="array" ref="U1413">_xlfn.IFS(
HRData[[#This Row],[JobSatisfaction]]=1,"Very Dissatisfied",
HRData[[#This Row],[JobSatisfaction]]=2,"Dissatisfied",
HRData[[#This Row],[JobSatisfaction]]=3,"Satisfied",
HRData[[#This Row],[JobSatisfaction]]=4,"Very Satisfied"
)</f>
        <v>Dissatisfied</v>
      </c>
      <c r="V1413" t="s">
        <v>48</v>
      </c>
      <c r="W1413">
        <v>2187</v>
      </c>
      <c r="X1413" t="str" cm="1">
        <f t="array" ref="X1413">_xlfn.IFS(
HRData[[#This Row],[MonthlyIncome]]&lt;=4000,"Very Low Income",
HRData[[#This Row],[MonthlyIncome]]&lt;=8000,"Low Income",
HRData[[#This Row],[MonthlyIncome]]&lt;=12000,"Moderate Income",
HRData[[#This Row],[MonthlyIncome]]&lt;=16000,"High Income",
HRData[[#This Row],[MonthlyIncome]]&gt;16000,"Very High Income"
)</f>
        <v>Very Low Income</v>
      </c>
      <c r="Y1413">
        <v>19655</v>
      </c>
      <c r="Z1413">
        <v>4</v>
      </c>
      <c r="AA1413" t="s">
        <v>42</v>
      </c>
      <c r="AB1413" t="s">
        <v>43</v>
      </c>
      <c r="AC1413">
        <v>14</v>
      </c>
      <c r="AD1413" t="str" cm="1">
        <f t="array" ref="AD1413">_xlfn.IFS(HRData[[#This Row],[PercentSalaryHike]]&lt;=15,"11-15",HRData[[#This Row],[PercentSalaryHike]]&lt;=20,"16-20",HRData[[#This Row],[PercentSalaryHike]]&gt;=21,"21+")</f>
        <v>11-15</v>
      </c>
      <c r="AE1413">
        <v>3</v>
      </c>
      <c r="AF1413">
        <v>3</v>
      </c>
      <c r="AG1413">
        <v>80</v>
      </c>
      <c r="AH1413">
        <v>0</v>
      </c>
      <c r="AI1413">
        <v>6</v>
      </c>
      <c r="AJ1413">
        <v>3</v>
      </c>
      <c r="AK1413">
        <v>3</v>
      </c>
      <c r="AL1413">
        <v>2</v>
      </c>
      <c r="AM1413">
        <v>0</v>
      </c>
      <c r="AN1413">
        <v>1</v>
      </c>
      <c r="AO1413">
        <v>2</v>
      </c>
      <c r="AP141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413" t="str">
        <f>IF(HRData[[#This Row],[Attrition]]="Yes","Left", IF(HRData[[#This Row],[Attrition_Risk_Score]]&gt;=6,"High",IF(HRData[[#This Row],[Attrition_Risk_Score]]&gt;=3,"Medium","Low")))</f>
        <v>Medium</v>
      </c>
      <c r="AR1413" t="str">
        <f>IF(HRData[[#This Row],[Attrition_Risk_Level]]&lt;&gt;"High","",HRData[[#This Row],[Attrition_Risk_Score]]*10000-HRData[[#This Row],[EmployeeNumber]])</f>
        <v/>
      </c>
    </row>
    <row r="1414" spans="1:44">
      <c r="A1414">
        <v>30</v>
      </c>
      <c r="B1414" t="str" cm="1">
        <f t="array" ref="B1414">_xlfn.IFS(
HRData[[#This Row],[Age]]&lt;=24,"18-24",
HRData[[#This Row],[Age]]&lt;=34,"25-34",
HRData[[#This Row],[Age]]&lt;=44,"35-44",
HRData[[#This Row],[Age]]&lt;=54,"45-54",
HRData[[#This Row],[Age]]&gt;=55,"55+"
)</f>
        <v>25-34</v>
      </c>
      <c r="C1414" t="s">
        <v>43</v>
      </c>
      <c r="D1414">
        <f>IF(HRData[[#This Row],[Attrition]]="Yes",1,0)</f>
        <v>0</v>
      </c>
      <c r="E1414" t="s">
        <v>36</v>
      </c>
      <c r="F1414">
        <v>911</v>
      </c>
      <c r="G1414" t="s">
        <v>45</v>
      </c>
      <c r="H1414">
        <v>1</v>
      </c>
      <c r="I1414">
        <v>2</v>
      </c>
      <c r="J1414" t="s">
        <v>51</v>
      </c>
      <c r="K1414">
        <v>1</v>
      </c>
      <c r="L1414">
        <v>1989</v>
      </c>
      <c r="M1414">
        <v>4</v>
      </c>
      <c r="N1414" t="str" cm="1">
        <f t="array" ref="N1414">_xlfn.IFS(HRData[[#This Row],[EnvironmentSatisfaction]]=1,"Very Dissatisfied",
HRData[[#This Row],[EnvironmentSatisfaction]]=2,"Dissatisfied",
HRData[[#This Row],[EnvironmentSatisfaction]]=3,"Satisfied",
HRData[[#This Row],[EnvironmentSatisfaction]]=4,"Very Satisfied"
)</f>
        <v>Very Satisfied</v>
      </c>
      <c r="O1414" t="s">
        <v>46</v>
      </c>
      <c r="P1414">
        <v>76</v>
      </c>
      <c r="Q1414">
        <v>3</v>
      </c>
      <c r="R1414">
        <v>1</v>
      </c>
      <c r="S1414" t="s">
        <v>50</v>
      </c>
      <c r="T1414">
        <v>2</v>
      </c>
      <c r="U1414" t="str" cm="1">
        <f t="array" ref="U1414">_xlfn.IFS(
HRData[[#This Row],[JobSatisfaction]]=1,"Very Dissatisfied",
HRData[[#This Row],[JobSatisfaction]]=2,"Dissatisfied",
HRData[[#This Row],[JobSatisfaction]]=3,"Satisfied",
HRData[[#This Row],[JobSatisfaction]]=4,"Very Satisfied"
)</f>
        <v>Dissatisfied</v>
      </c>
      <c r="V1414" t="s">
        <v>48</v>
      </c>
      <c r="W1414">
        <v>3748</v>
      </c>
      <c r="X1414" t="str" cm="1">
        <f t="array" ref="X1414">_xlfn.IFS(
HRData[[#This Row],[MonthlyIncome]]&lt;=4000,"Very Low Income",
HRData[[#This Row],[MonthlyIncome]]&lt;=8000,"Low Income",
HRData[[#This Row],[MonthlyIncome]]&lt;=12000,"Moderate Income",
HRData[[#This Row],[MonthlyIncome]]&lt;=16000,"High Income",
HRData[[#This Row],[MonthlyIncome]]&gt;16000,"Very High Income"
)</f>
        <v>Very Low Income</v>
      </c>
      <c r="Y1414">
        <v>4077</v>
      </c>
      <c r="Z1414">
        <v>1</v>
      </c>
      <c r="AA1414" t="s">
        <v>42</v>
      </c>
      <c r="AB1414" t="s">
        <v>43</v>
      </c>
      <c r="AC1414">
        <v>13</v>
      </c>
      <c r="AD1414" t="str" cm="1">
        <f t="array" ref="AD1414">_xlfn.IFS(HRData[[#This Row],[PercentSalaryHike]]&lt;=15,"11-15",HRData[[#This Row],[PercentSalaryHike]]&lt;=20,"16-20",HRData[[#This Row],[PercentSalaryHike]]&gt;=21,"21+")</f>
        <v>11-15</v>
      </c>
      <c r="AE1414">
        <v>3</v>
      </c>
      <c r="AF1414">
        <v>3</v>
      </c>
      <c r="AG1414">
        <v>80</v>
      </c>
      <c r="AH1414">
        <v>0</v>
      </c>
      <c r="AI1414">
        <v>12</v>
      </c>
      <c r="AJ1414">
        <v>6</v>
      </c>
      <c r="AK1414">
        <v>2</v>
      </c>
      <c r="AL1414">
        <v>12</v>
      </c>
      <c r="AM1414">
        <v>8</v>
      </c>
      <c r="AN1414">
        <v>1</v>
      </c>
      <c r="AO1414">
        <v>7</v>
      </c>
      <c r="AP141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414" t="str">
        <f>IF(HRData[[#This Row],[Attrition]]="Yes","Left", IF(HRData[[#This Row],[Attrition_Risk_Score]]&gt;=6,"High",IF(HRData[[#This Row],[Attrition_Risk_Score]]&gt;=3,"Medium","Low")))</f>
        <v>Medium</v>
      </c>
      <c r="AR1414" t="str">
        <f>IF(HRData[[#This Row],[Attrition_Risk_Level]]&lt;&gt;"High","",HRData[[#This Row],[Attrition_Risk_Score]]*10000-HRData[[#This Row],[EmployeeNumber]])</f>
        <v/>
      </c>
    </row>
    <row r="1415" spans="1:44">
      <c r="A1415">
        <v>25</v>
      </c>
      <c r="B1415" t="str" cm="1">
        <f t="array" ref="B1415">_xlfn.IFS(
HRData[[#This Row],[Age]]&lt;=24,"18-24",
HRData[[#This Row],[Age]]&lt;=34,"25-34",
HRData[[#This Row],[Age]]&lt;=44,"35-44",
HRData[[#This Row],[Age]]&lt;=54,"45-54",
HRData[[#This Row],[Age]]&gt;=55,"55+"
)</f>
        <v>25-34</v>
      </c>
      <c r="C1415" t="s">
        <v>43</v>
      </c>
      <c r="D1415">
        <f>IF(HRData[[#This Row],[Attrition]]="Yes",1,0)</f>
        <v>0</v>
      </c>
      <c r="E1415" t="s">
        <v>36</v>
      </c>
      <c r="F1415">
        <v>977</v>
      </c>
      <c r="G1415" t="s">
        <v>45</v>
      </c>
      <c r="H1415">
        <v>2</v>
      </c>
      <c r="I1415">
        <v>1</v>
      </c>
      <c r="J1415" t="s">
        <v>49</v>
      </c>
      <c r="K1415">
        <v>1</v>
      </c>
      <c r="L1415">
        <v>1992</v>
      </c>
      <c r="M1415">
        <v>4</v>
      </c>
      <c r="N1415" t="str" cm="1">
        <f t="array" ref="N1415">_xlfn.IFS(HRData[[#This Row],[EnvironmentSatisfaction]]=1,"Very Dissatisfied",
HRData[[#This Row],[EnvironmentSatisfaction]]=2,"Dissatisfied",
HRData[[#This Row],[EnvironmentSatisfaction]]=3,"Satisfied",
HRData[[#This Row],[EnvironmentSatisfaction]]=4,"Very Satisfied"
)</f>
        <v>Very Satisfied</v>
      </c>
      <c r="O1415" t="s">
        <v>46</v>
      </c>
      <c r="P1415">
        <v>57</v>
      </c>
      <c r="Q1415">
        <v>3</v>
      </c>
      <c r="R1415">
        <v>1</v>
      </c>
      <c r="S1415" t="s">
        <v>50</v>
      </c>
      <c r="T1415">
        <v>3</v>
      </c>
      <c r="U1415" t="str" cm="1">
        <f t="array" ref="U1415">_xlfn.IFS(
HRData[[#This Row],[JobSatisfaction]]=1,"Very Dissatisfied",
HRData[[#This Row],[JobSatisfaction]]=2,"Dissatisfied",
HRData[[#This Row],[JobSatisfaction]]=3,"Satisfied",
HRData[[#This Row],[JobSatisfaction]]=4,"Very Satisfied"
)</f>
        <v>Satisfied</v>
      </c>
      <c r="V1415" t="s">
        <v>52</v>
      </c>
      <c r="W1415">
        <v>3977</v>
      </c>
      <c r="X1415" t="str" cm="1">
        <f t="array" ref="X1415">_xlfn.IFS(
HRData[[#This Row],[MonthlyIncome]]&lt;=4000,"Very Low Income",
HRData[[#This Row],[MonthlyIncome]]&lt;=8000,"Low Income",
HRData[[#This Row],[MonthlyIncome]]&lt;=12000,"Moderate Income",
HRData[[#This Row],[MonthlyIncome]]&lt;=16000,"High Income",
HRData[[#This Row],[MonthlyIncome]]&gt;16000,"Very High Income"
)</f>
        <v>Very Low Income</v>
      </c>
      <c r="Y1415">
        <v>7298</v>
      </c>
      <c r="Z1415">
        <v>6</v>
      </c>
      <c r="AA1415" t="s">
        <v>42</v>
      </c>
      <c r="AB1415" t="s">
        <v>35</v>
      </c>
      <c r="AC1415">
        <v>19</v>
      </c>
      <c r="AD1415" t="str" cm="1">
        <f t="array" ref="AD1415">_xlfn.IFS(HRData[[#This Row],[PercentSalaryHike]]&lt;=15,"11-15",HRData[[#This Row],[PercentSalaryHike]]&lt;=20,"16-20",HRData[[#This Row],[PercentSalaryHike]]&gt;=21,"21+")</f>
        <v>16-20</v>
      </c>
      <c r="AE1415">
        <v>3</v>
      </c>
      <c r="AF1415">
        <v>3</v>
      </c>
      <c r="AG1415">
        <v>80</v>
      </c>
      <c r="AH1415">
        <v>1</v>
      </c>
      <c r="AI1415">
        <v>7</v>
      </c>
      <c r="AJ1415">
        <v>2</v>
      </c>
      <c r="AK1415">
        <v>2</v>
      </c>
      <c r="AL1415">
        <v>2</v>
      </c>
      <c r="AM1415">
        <v>2</v>
      </c>
      <c r="AN1415">
        <v>0</v>
      </c>
      <c r="AO1415">
        <v>2</v>
      </c>
      <c r="AP141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415" t="str">
        <f>IF(HRData[[#This Row],[Attrition]]="Yes","Left", IF(HRData[[#This Row],[Attrition_Risk_Score]]&gt;=6,"High",IF(HRData[[#This Row],[Attrition_Risk_Score]]&gt;=3,"Medium","Low")))</f>
        <v>High</v>
      </c>
      <c r="AR1415">
        <f>IF(HRData[[#This Row],[Attrition_Risk_Level]]&lt;&gt;"High","",HRData[[#This Row],[Attrition_Risk_Score]]*10000-HRData[[#This Row],[EmployeeNumber]])</f>
        <v>58008</v>
      </c>
    </row>
    <row r="1416" spans="1:44">
      <c r="A1416">
        <v>47</v>
      </c>
      <c r="B1416" t="str" cm="1">
        <f t="array" ref="B1416">_xlfn.IFS(
HRData[[#This Row],[Age]]&lt;=24,"18-24",
HRData[[#This Row],[Age]]&lt;=34,"25-34",
HRData[[#This Row],[Age]]&lt;=44,"35-44",
HRData[[#This Row],[Age]]&lt;=54,"45-54",
HRData[[#This Row],[Age]]&gt;=55,"55+"
)</f>
        <v>45-54</v>
      </c>
      <c r="C1416" t="s">
        <v>43</v>
      </c>
      <c r="D1416">
        <f>IF(HRData[[#This Row],[Attrition]]="Yes",1,0)</f>
        <v>0</v>
      </c>
      <c r="E1416" t="s">
        <v>36</v>
      </c>
      <c r="F1416">
        <v>1180</v>
      </c>
      <c r="G1416" t="s">
        <v>45</v>
      </c>
      <c r="H1416">
        <v>25</v>
      </c>
      <c r="I1416">
        <v>3</v>
      </c>
      <c r="J1416" t="s">
        <v>51</v>
      </c>
      <c r="K1416">
        <v>1</v>
      </c>
      <c r="L1416">
        <v>1993</v>
      </c>
      <c r="M1416">
        <v>1</v>
      </c>
      <c r="N1416" t="str" cm="1">
        <f t="array" ref="N1416">_xlfn.IFS(HRData[[#This Row],[EnvironmentSatisfaction]]=1,"Very Dissatisfied",
HRData[[#This Row],[EnvironmentSatisfaction]]=2,"Dissatisfied",
HRData[[#This Row],[EnvironmentSatisfaction]]=3,"Satisfied",
HRData[[#This Row],[EnvironmentSatisfaction]]=4,"Very Satisfied"
)</f>
        <v>Very Dissatisfied</v>
      </c>
      <c r="O1416" t="s">
        <v>46</v>
      </c>
      <c r="P1416">
        <v>84</v>
      </c>
      <c r="Q1416">
        <v>3</v>
      </c>
      <c r="R1416">
        <v>3</v>
      </c>
      <c r="S1416" t="s">
        <v>54</v>
      </c>
      <c r="T1416">
        <v>3</v>
      </c>
      <c r="U1416" t="str" cm="1">
        <f t="array" ref="U1416">_xlfn.IFS(
HRData[[#This Row],[JobSatisfaction]]=1,"Very Dissatisfied",
HRData[[#This Row],[JobSatisfaction]]=2,"Dissatisfied",
HRData[[#This Row],[JobSatisfaction]]=3,"Satisfied",
HRData[[#This Row],[JobSatisfaction]]=4,"Very Satisfied"
)</f>
        <v>Satisfied</v>
      </c>
      <c r="V1416" t="s">
        <v>41</v>
      </c>
      <c r="W1416">
        <v>8633</v>
      </c>
      <c r="X1416" t="str" cm="1">
        <f t="array" ref="X1416">_xlfn.IFS(
HRData[[#This Row],[MonthlyIncome]]&lt;=4000,"Very Low Income",
HRData[[#This Row],[MonthlyIncome]]&lt;=8000,"Low Income",
HRData[[#This Row],[MonthlyIncome]]&lt;=12000,"Moderate Income",
HRData[[#This Row],[MonthlyIncome]]&lt;=16000,"High Income",
HRData[[#This Row],[MonthlyIncome]]&gt;16000,"Very High Income"
)</f>
        <v>Moderate Income</v>
      </c>
      <c r="Y1416">
        <v>13084</v>
      </c>
      <c r="Z1416">
        <v>2</v>
      </c>
      <c r="AA1416" t="s">
        <v>42</v>
      </c>
      <c r="AB1416" t="s">
        <v>43</v>
      </c>
      <c r="AC1416">
        <v>23</v>
      </c>
      <c r="AD1416" t="str" cm="1">
        <f t="array" ref="AD1416">_xlfn.IFS(HRData[[#This Row],[PercentSalaryHike]]&lt;=15,"11-15",HRData[[#This Row],[PercentSalaryHike]]&lt;=20,"16-20",HRData[[#This Row],[PercentSalaryHike]]&gt;=21,"21+")</f>
        <v>21+</v>
      </c>
      <c r="AE1416">
        <v>4</v>
      </c>
      <c r="AF1416">
        <v>2</v>
      </c>
      <c r="AG1416">
        <v>80</v>
      </c>
      <c r="AH1416">
        <v>0</v>
      </c>
      <c r="AI1416">
        <v>25</v>
      </c>
      <c r="AJ1416">
        <v>3</v>
      </c>
      <c r="AK1416">
        <v>3</v>
      </c>
      <c r="AL1416">
        <v>17</v>
      </c>
      <c r="AM1416">
        <v>14</v>
      </c>
      <c r="AN1416">
        <v>12</v>
      </c>
      <c r="AO1416">
        <v>11</v>
      </c>
      <c r="AP141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416" t="str">
        <f>IF(HRData[[#This Row],[Attrition]]="Yes","Left", IF(HRData[[#This Row],[Attrition_Risk_Score]]&gt;=6,"High",IF(HRData[[#This Row],[Attrition_Risk_Score]]&gt;=3,"Medium","Low")))</f>
        <v>Low</v>
      </c>
      <c r="AR1416" t="str">
        <f>IF(HRData[[#This Row],[Attrition_Risk_Level]]&lt;&gt;"High","",HRData[[#This Row],[Attrition_Risk_Score]]*10000-HRData[[#This Row],[EmployeeNumber]])</f>
        <v/>
      </c>
    </row>
    <row r="1417" spans="1:44">
      <c r="A1417">
        <v>33</v>
      </c>
      <c r="B1417" t="str" cm="1">
        <f t="array" ref="B1417">_xlfn.IFS(
HRData[[#This Row],[Age]]&lt;=24,"18-24",
HRData[[#This Row],[Age]]&lt;=34,"25-34",
HRData[[#This Row],[Age]]&lt;=44,"35-44",
HRData[[#This Row],[Age]]&lt;=54,"45-54",
HRData[[#This Row],[Age]]&gt;=55,"55+"
)</f>
        <v>25-34</v>
      </c>
      <c r="C1417" t="s">
        <v>43</v>
      </c>
      <c r="D1417">
        <f>IF(HRData[[#This Row],[Attrition]]="Yes",1,0)</f>
        <v>0</v>
      </c>
      <c r="E1417" t="s">
        <v>55</v>
      </c>
      <c r="F1417">
        <v>1313</v>
      </c>
      <c r="G1417" t="s">
        <v>45</v>
      </c>
      <c r="H1417">
        <v>1</v>
      </c>
      <c r="I1417">
        <v>2</v>
      </c>
      <c r="J1417" t="s">
        <v>51</v>
      </c>
      <c r="K1417">
        <v>1</v>
      </c>
      <c r="L1417">
        <v>1994</v>
      </c>
      <c r="M1417">
        <v>2</v>
      </c>
      <c r="N1417" t="str" cm="1">
        <f t="array" ref="N1417">_xlfn.IFS(HRData[[#This Row],[EnvironmentSatisfaction]]=1,"Very Dissatisfied",
HRData[[#This Row],[EnvironmentSatisfaction]]=2,"Dissatisfied",
HRData[[#This Row],[EnvironmentSatisfaction]]=3,"Satisfied",
HRData[[#This Row],[EnvironmentSatisfaction]]=4,"Very Satisfied"
)</f>
        <v>Dissatisfied</v>
      </c>
      <c r="O1417" t="s">
        <v>46</v>
      </c>
      <c r="P1417">
        <v>59</v>
      </c>
      <c r="Q1417">
        <v>2</v>
      </c>
      <c r="R1417">
        <v>1</v>
      </c>
      <c r="S1417" t="s">
        <v>50</v>
      </c>
      <c r="T1417">
        <v>3</v>
      </c>
      <c r="U1417" t="str" cm="1">
        <f t="array" ref="U1417">_xlfn.IFS(
HRData[[#This Row],[JobSatisfaction]]=1,"Very Dissatisfied",
HRData[[#This Row],[JobSatisfaction]]=2,"Dissatisfied",
HRData[[#This Row],[JobSatisfaction]]=3,"Satisfied",
HRData[[#This Row],[JobSatisfaction]]=4,"Very Satisfied"
)</f>
        <v>Satisfied</v>
      </c>
      <c r="V1417" t="s">
        <v>52</v>
      </c>
      <c r="W1417">
        <v>2008</v>
      </c>
      <c r="X1417" t="str" cm="1">
        <f t="array" ref="X1417">_xlfn.IFS(
HRData[[#This Row],[MonthlyIncome]]&lt;=4000,"Very Low Income",
HRData[[#This Row],[MonthlyIncome]]&lt;=8000,"Low Income",
HRData[[#This Row],[MonthlyIncome]]&lt;=12000,"Moderate Income",
HRData[[#This Row],[MonthlyIncome]]&lt;=16000,"High Income",
HRData[[#This Row],[MonthlyIncome]]&gt;16000,"Very High Income"
)</f>
        <v>Very Low Income</v>
      </c>
      <c r="Y1417">
        <v>20439</v>
      </c>
      <c r="Z1417">
        <v>1</v>
      </c>
      <c r="AA1417" t="s">
        <v>42</v>
      </c>
      <c r="AB1417" t="s">
        <v>43</v>
      </c>
      <c r="AC1417">
        <v>12</v>
      </c>
      <c r="AD1417" t="str" cm="1">
        <f t="array" ref="AD1417">_xlfn.IFS(HRData[[#This Row],[PercentSalaryHike]]&lt;=15,"11-15",HRData[[#This Row],[PercentSalaryHike]]&lt;=20,"16-20",HRData[[#This Row],[PercentSalaryHike]]&gt;=21,"21+")</f>
        <v>11-15</v>
      </c>
      <c r="AE1417">
        <v>3</v>
      </c>
      <c r="AF1417">
        <v>3</v>
      </c>
      <c r="AG1417">
        <v>80</v>
      </c>
      <c r="AH1417">
        <v>3</v>
      </c>
      <c r="AI1417">
        <v>1</v>
      </c>
      <c r="AJ1417">
        <v>2</v>
      </c>
      <c r="AK1417">
        <v>2</v>
      </c>
      <c r="AL1417">
        <v>1</v>
      </c>
      <c r="AM1417">
        <v>1</v>
      </c>
      <c r="AN1417">
        <v>0</v>
      </c>
      <c r="AO1417">
        <v>0</v>
      </c>
      <c r="AP141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417" t="str">
        <f>IF(HRData[[#This Row],[Attrition]]="Yes","Left", IF(HRData[[#This Row],[Attrition_Risk_Score]]&gt;=6,"High",IF(HRData[[#This Row],[Attrition_Risk_Score]]&gt;=3,"Medium","Low")))</f>
        <v>Medium</v>
      </c>
      <c r="AR1417" t="str">
        <f>IF(HRData[[#This Row],[Attrition_Risk_Level]]&lt;&gt;"High","",HRData[[#This Row],[Attrition_Risk_Score]]*10000-HRData[[#This Row],[EmployeeNumber]])</f>
        <v/>
      </c>
    </row>
    <row r="1418" spans="1:44">
      <c r="A1418">
        <v>38</v>
      </c>
      <c r="B1418" t="str" cm="1">
        <f t="array" ref="B1418">_xlfn.IFS(
HRData[[#This Row],[Age]]&lt;=24,"18-24",
HRData[[#This Row],[Age]]&lt;=34,"25-34",
HRData[[#This Row],[Age]]&lt;=44,"35-44",
HRData[[#This Row],[Age]]&lt;=54,"45-54",
HRData[[#This Row],[Age]]&gt;=55,"55+"
)</f>
        <v>35-44</v>
      </c>
      <c r="C1418" t="s">
        <v>43</v>
      </c>
      <c r="D1418">
        <f>IF(HRData[[#This Row],[Attrition]]="Yes",1,0)</f>
        <v>0</v>
      </c>
      <c r="E1418" t="s">
        <v>36</v>
      </c>
      <c r="F1418">
        <v>1321</v>
      </c>
      <c r="G1418" t="s">
        <v>37</v>
      </c>
      <c r="H1418">
        <v>1</v>
      </c>
      <c r="I1418">
        <v>4</v>
      </c>
      <c r="J1418" t="s">
        <v>38</v>
      </c>
      <c r="K1418">
        <v>1</v>
      </c>
      <c r="L1418">
        <v>1995</v>
      </c>
      <c r="M1418">
        <v>4</v>
      </c>
      <c r="N1418" t="str" cm="1">
        <f t="array" ref="N1418">_xlfn.IFS(HRData[[#This Row],[EnvironmentSatisfaction]]=1,"Very Dissatisfied",
HRData[[#This Row],[EnvironmentSatisfaction]]=2,"Dissatisfied",
HRData[[#This Row],[EnvironmentSatisfaction]]=3,"Satisfied",
HRData[[#This Row],[EnvironmentSatisfaction]]=4,"Very Satisfied"
)</f>
        <v>Very Satisfied</v>
      </c>
      <c r="O1418" t="s">
        <v>46</v>
      </c>
      <c r="P1418">
        <v>86</v>
      </c>
      <c r="Q1418">
        <v>3</v>
      </c>
      <c r="R1418">
        <v>2</v>
      </c>
      <c r="S1418" t="s">
        <v>40</v>
      </c>
      <c r="T1418">
        <v>2</v>
      </c>
      <c r="U1418" t="str" cm="1">
        <f t="array" ref="U1418">_xlfn.IFS(
HRData[[#This Row],[JobSatisfaction]]=1,"Very Dissatisfied",
HRData[[#This Row],[JobSatisfaction]]=2,"Dissatisfied",
HRData[[#This Row],[JobSatisfaction]]=3,"Satisfied",
HRData[[#This Row],[JobSatisfaction]]=4,"Very Satisfied"
)</f>
        <v>Dissatisfied</v>
      </c>
      <c r="V1418" t="s">
        <v>48</v>
      </c>
      <c r="W1418">
        <v>4440</v>
      </c>
      <c r="X1418" t="str" cm="1">
        <f t="array" ref="X1418">_xlfn.IFS(
HRData[[#This Row],[MonthlyIncome]]&lt;=4000,"Very Low Income",
HRData[[#This Row],[MonthlyIncome]]&lt;=8000,"Low Income",
HRData[[#This Row],[MonthlyIncome]]&lt;=12000,"Moderate Income",
HRData[[#This Row],[MonthlyIncome]]&lt;=16000,"High Income",
HRData[[#This Row],[MonthlyIncome]]&gt;16000,"Very High Income"
)</f>
        <v>Low Income</v>
      </c>
      <c r="Y1418">
        <v>7636</v>
      </c>
      <c r="Z1418">
        <v>0</v>
      </c>
      <c r="AA1418" t="s">
        <v>42</v>
      </c>
      <c r="AB1418" t="s">
        <v>43</v>
      </c>
      <c r="AC1418">
        <v>15</v>
      </c>
      <c r="AD1418" t="str" cm="1">
        <f t="array" ref="AD1418">_xlfn.IFS(HRData[[#This Row],[PercentSalaryHike]]&lt;=15,"11-15",HRData[[#This Row],[PercentSalaryHike]]&lt;=20,"16-20",HRData[[#This Row],[PercentSalaryHike]]&gt;=21,"21+")</f>
        <v>11-15</v>
      </c>
      <c r="AE1418">
        <v>3</v>
      </c>
      <c r="AF1418">
        <v>1</v>
      </c>
      <c r="AG1418">
        <v>80</v>
      </c>
      <c r="AH1418">
        <v>2</v>
      </c>
      <c r="AI1418">
        <v>16</v>
      </c>
      <c r="AJ1418">
        <v>3</v>
      </c>
      <c r="AK1418">
        <v>3</v>
      </c>
      <c r="AL1418">
        <v>15</v>
      </c>
      <c r="AM1418">
        <v>13</v>
      </c>
      <c r="AN1418">
        <v>5</v>
      </c>
      <c r="AO1418">
        <v>8</v>
      </c>
      <c r="AP141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18" t="str">
        <f>IF(HRData[[#This Row],[Attrition]]="Yes","Left", IF(HRData[[#This Row],[Attrition_Risk_Score]]&gt;=6,"High",IF(HRData[[#This Row],[Attrition_Risk_Score]]&gt;=3,"Medium","Low")))</f>
        <v>Low</v>
      </c>
      <c r="AR1418" t="str">
        <f>IF(HRData[[#This Row],[Attrition_Risk_Level]]&lt;&gt;"High","",HRData[[#This Row],[Attrition_Risk_Score]]*10000-HRData[[#This Row],[EmployeeNumber]])</f>
        <v/>
      </c>
    </row>
    <row r="1419" spans="1:44">
      <c r="A1419">
        <v>31</v>
      </c>
      <c r="B1419" t="str" cm="1">
        <f t="array" ref="B1419">_xlfn.IFS(
HRData[[#This Row],[Age]]&lt;=24,"18-24",
HRData[[#This Row],[Age]]&lt;=34,"25-34",
HRData[[#This Row],[Age]]&lt;=44,"35-44",
HRData[[#This Row],[Age]]&lt;=54,"45-54",
HRData[[#This Row],[Age]]&gt;=55,"55+"
)</f>
        <v>25-34</v>
      </c>
      <c r="C1419" t="s">
        <v>43</v>
      </c>
      <c r="D1419">
        <f>IF(HRData[[#This Row],[Attrition]]="Yes",1,0)</f>
        <v>0</v>
      </c>
      <c r="E1419" t="s">
        <v>36</v>
      </c>
      <c r="F1419">
        <v>1154</v>
      </c>
      <c r="G1419" t="s">
        <v>37</v>
      </c>
      <c r="H1419">
        <v>2</v>
      </c>
      <c r="I1419">
        <v>2</v>
      </c>
      <c r="J1419" t="s">
        <v>38</v>
      </c>
      <c r="K1419">
        <v>1</v>
      </c>
      <c r="L1419">
        <v>1996</v>
      </c>
      <c r="M1419">
        <v>1</v>
      </c>
      <c r="N1419" t="str" cm="1">
        <f t="array" ref="N1419">_xlfn.IFS(HRData[[#This Row],[EnvironmentSatisfaction]]=1,"Very Dissatisfied",
HRData[[#This Row],[EnvironmentSatisfaction]]=2,"Dissatisfied",
HRData[[#This Row],[EnvironmentSatisfaction]]=3,"Satisfied",
HRData[[#This Row],[EnvironmentSatisfaction]]=4,"Very Satisfied"
)</f>
        <v>Very Dissatisfied</v>
      </c>
      <c r="O1419" t="s">
        <v>46</v>
      </c>
      <c r="P1419">
        <v>54</v>
      </c>
      <c r="Q1419">
        <v>3</v>
      </c>
      <c r="R1419">
        <v>1</v>
      </c>
      <c r="S1419" t="s">
        <v>57</v>
      </c>
      <c r="T1419">
        <v>3</v>
      </c>
      <c r="U1419" t="str" cm="1">
        <f t="array" ref="U1419">_xlfn.IFS(
HRData[[#This Row],[JobSatisfaction]]=1,"Very Dissatisfied",
HRData[[#This Row],[JobSatisfaction]]=2,"Dissatisfied",
HRData[[#This Row],[JobSatisfaction]]=3,"Satisfied",
HRData[[#This Row],[JobSatisfaction]]=4,"Very Satisfied"
)</f>
        <v>Satisfied</v>
      </c>
      <c r="V1419" t="s">
        <v>48</v>
      </c>
      <c r="W1419">
        <v>3067</v>
      </c>
      <c r="X1419" t="str" cm="1">
        <f t="array" ref="X1419">_xlfn.IFS(
HRData[[#This Row],[MonthlyIncome]]&lt;=4000,"Very Low Income",
HRData[[#This Row],[MonthlyIncome]]&lt;=8000,"Low Income",
HRData[[#This Row],[MonthlyIncome]]&lt;=12000,"Moderate Income",
HRData[[#This Row],[MonthlyIncome]]&lt;=16000,"High Income",
HRData[[#This Row],[MonthlyIncome]]&gt;16000,"Very High Income"
)</f>
        <v>Very Low Income</v>
      </c>
      <c r="Y1419">
        <v>6393</v>
      </c>
      <c r="Z1419">
        <v>0</v>
      </c>
      <c r="AA1419" t="s">
        <v>42</v>
      </c>
      <c r="AB1419" t="s">
        <v>43</v>
      </c>
      <c r="AC1419">
        <v>19</v>
      </c>
      <c r="AD1419" t="str" cm="1">
        <f t="array" ref="AD1419">_xlfn.IFS(HRData[[#This Row],[PercentSalaryHike]]&lt;=15,"11-15",HRData[[#This Row],[PercentSalaryHike]]&lt;=20,"16-20",HRData[[#This Row],[PercentSalaryHike]]&gt;=21,"21+")</f>
        <v>16-20</v>
      </c>
      <c r="AE1419">
        <v>3</v>
      </c>
      <c r="AF1419">
        <v>3</v>
      </c>
      <c r="AG1419">
        <v>80</v>
      </c>
      <c r="AH1419">
        <v>1</v>
      </c>
      <c r="AI1419">
        <v>3</v>
      </c>
      <c r="AJ1419">
        <v>1</v>
      </c>
      <c r="AK1419">
        <v>3</v>
      </c>
      <c r="AL1419">
        <v>2</v>
      </c>
      <c r="AM1419">
        <v>2</v>
      </c>
      <c r="AN1419">
        <v>1</v>
      </c>
      <c r="AO1419">
        <v>2</v>
      </c>
      <c r="AP141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419" t="str">
        <f>IF(HRData[[#This Row],[Attrition]]="Yes","Left", IF(HRData[[#This Row],[Attrition_Risk_Score]]&gt;=6,"High",IF(HRData[[#This Row],[Attrition_Risk_Score]]&gt;=3,"Medium","Low")))</f>
        <v>Medium</v>
      </c>
      <c r="AR1419" t="str">
        <f>IF(HRData[[#This Row],[Attrition_Risk_Level]]&lt;&gt;"High","",HRData[[#This Row],[Attrition_Risk_Score]]*10000-HRData[[#This Row],[EmployeeNumber]])</f>
        <v/>
      </c>
    </row>
    <row r="1420" spans="1:44">
      <c r="A1420">
        <v>38</v>
      </c>
      <c r="B1420" t="str" cm="1">
        <f t="array" ref="B1420">_xlfn.IFS(
HRData[[#This Row],[Age]]&lt;=24,"18-24",
HRData[[#This Row],[Age]]&lt;=34,"25-34",
HRData[[#This Row],[Age]]&lt;=44,"35-44",
HRData[[#This Row],[Age]]&lt;=54,"45-54",
HRData[[#This Row],[Age]]&gt;=55,"55+"
)</f>
        <v>35-44</v>
      </c>
      <c r="C1420" t="s">
        <v>43</v>
      </c>
      <c r="D1420">
        <f>IF(HRData[[#This Row],[Attrition]]="Yes",1,0)</f>
        <v>0</v>
      </c>
      <c r="E1420" t="s">
        <v>44</v>
      </c>
      <c r="F1420">
        <v>508</v>
      </c>
      <c r="G1420" t="s">
        <v>45</v>
      </c>
      <c r="H1420">
        <v>6</v>
      </c>
      <c r="I1420">
        <v>4</v>
      </c>
      <c r="J1420" t="s">
        <v>38</v>
      </c>
      <c r="K1420">
        <v>1</v>
      </c>
      <c r="L1420">
        <v>1997</v>
      </c>
      <c r="M1420">
        <v>1</v>
      </c>
      <c r="N1420" t="str" cm="1">
        <f t="array" ref="N1420">_xlfn.IFS(HRData[[#This Row],[EnvironmentSatisfaction]]=1,"Very Dissatisfied",
HRData[[#This Row],[EnvironmentSatisfaction]]=2,"Dissatisfied",
HRData[[#This Row],[EnvironmentSatisfaction]]=3,"Satisfied",
HRData[[#This Row],[EnvironmentSatisfaction]]=4,"Very Satisfied"
)</f>
        <v>Very Dissatisfied</v>
      </c>
      <c r="O1420" t="s">
        <v>46</v>
      </c>
      <c r="P1420">
        <v>72</v>
      </c>
      <c r="Q1420">
        <v>2</v>
      </c>
      <c r="R1420">
        <v>2</v>
      </c>
      <c r="S1420" t="s">
        <v>53</v>
      </c>
      <c r="T1420">
        <v>3</v>
      </c>
      <c r="U1420" t="str" cm="1">
        <f t="array" ref="U1420">_xlfn.IFS(
HRData[[#This Row],[JobSatisfaction]]=1,"Very Dissatisfied",
HRData[[#This Row],[JobSatisfaction]]=2,"Dissatisfied",
HRData[[#This Row],[JobSatisfaction]]=3,"Satisfied",
HRData[[#This Row],[JobSatisfaction]]=4,"Very Satisfied"
)</f>
        <v>Satisfied</v>
      </c>
      <c r="V1420" t="s">
        <v>48</v>
      </c>
      <c r="W1420">
        <v>5321</v>
      </c>
      <c r="X1420" t="str" cm="1">
        <f t="array" ref="X1420">_xlfn.IFS(
HRData[[#This Row],[MonthlyIncome]]&lt;=4000,"Very Low Income",
HRData[[#This Row],[MonthlyIncome]]&lt;=8000,"Low Income",
HRData[[#This Row],[MonthlyIncome]]&lt;=12000,"Moderate Income",
HRData[[#This Row],[MonthlyIncome]]&lt;=16000,"High Income",
HRData[[#This Row],[MonthlyIncome]]&gt;16000,"Very High Income"
)</f>
        <v>Low Income</v>
      </c>
      <c r="Y1420">
        <v>14284</v>
      </c>
      <c r="Z1420">
        <v>2</v>
      </c>
      <c r="AA1420" t="s">
        <v>42</v>
      </c>
      <c r="AB1420" t="s">
        <v>43</v>
      </c>
      <c r="AC1420">
        <v>11</v>
      </c>
      <c r="AD1420" t="str" cm="1">
        <f t="array" ref="AD1420">_xlfn.IFS(HRData[[#This Row],[PercentSalaryHike]]&lt;=15,"11-15",HRData[[#This Row],[PercentSalaryHike]]&lt;=20,"16-20",HRData[[#This Row],[PercentSalaryHike]]&gt;=21,"21+")</f>
        <v>11-15</v>
      </c>
      <c r="AE1420">
        <v>3</v>
      </c>
      <c r="AF1420">
        <v>4</v>
      </c>
      <c r="AG1420">
        <v>80</v>
      </c>
      <c r="AH1420">
        <v>1</v>
      </c>
      <c r="AI1420">
        <v>10</v>
      </c>
      <c r="AJ1420">
        <v>1</v>
      </c>
      <c r="AK1420">
        <v>3</v>
      </c>
      <c r="AL1420">
        <v>8</v>
      </c>
      <c r="AM1420">
        <v>3</v>
      </c>
      <c r="AN1420">
        <v>7</v>
      </c>
      <c r="AO1420">
        <v>7</v>
      </c>
      <c r="AP142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20" t="str">
        <f>IF(HRData[[#This Row],[Attrition]]="Yes","Left", IF(HRData[[#This Row],[Attrition_Risk_Score]]&gt;=6,"High",IF(HRData[[#This Row],[Attrition_Risk_Score]]&gt;=3,"Medium","Low")))</f>
        <v>Low</v>
      </c>
      <c r="AR1420" t="str">
        <f>IF(HRData[[#This Row],[Attrition_Risk_Level]]&lt;&gt;"High","",HRData[[#This Row],[Attrition_Risk_Score]]*10000-HRData[[#This Row],[EmployeeNumber]])</f>
        <v/>
      </c>
    </row>
    <row r="1421" spans="1:44">
      <c r="A1421">
        <v>42</v>
      </c>
      <c r="B1421" t="str" cm="1">
        <f t="array" ref="B1421">_xlfn.IFS(
HRData[[#This Row],[Age]]&lt;=24,"18-24",
HRData[[#This Row],[Age]]&lt;=34,"25-34",
HRData[[#This Row],[Age]]&lt;=44,"35-44",
HRData[[#This Row],[Age]]&lt;=54,"45-54",
HRData[[#This Row],[Age]]&gt;=55,"55+"
)</f>
        <v>35-44</v>
      </c>
      <c r="C1421" t="s">
        <v>43</v>
      </c>
      <c r="D1421">
        <f>IF(HRData[[#This Row],[Attrition]]="Yes",1,0)</f>
        <v>0</v>
      </c>
      <c r="E1421" t="s">
        <v>36</v>
      </c>
      <c r="F1421">
        <v>557</v>
      </c>
      <c r="G1421" t="s">
        <v>45</v>
      </c>
      <c r="H1421">
        <v>18</v>
      </c>
      <c r="I1421">
        <v>4</v>
      </c>
      <c r="J1421" t="s">
        <v>38</v>
      </c>
      <c r="K1421">
        <v>1</v>
      </c>
      <c r="L1421">
        <v>1998</v>
      </c>
      <c r="M1421">
        <v>4</v>
      </c>
      <c r="N1421" t="str" cm="1">
        <f t="array" ref="N1421">_xlfn.IFS(HRData[[#This Row],[EnvironmentSatisfaction]]=1,"Very Dissatisfied",
HRData[[#This Row],[EnvironmentSatisfaction]]=2,"Dissatisfied",
HRData[[#This Row],[EnvironmentSatisfaction]]=3,"Satisfied",
HRData[[#This Row],[EnvironmentSatisfaction]]=4,"Very Satisfied"
)</f>
        <v>Very Satisfied</v>
      </c>
      <c r="O1421" t="s">
        <v>46</v>
      </c>
      <c r="P1421">
        <v>35</v>
      </c>
      <c r="Q1421">
        <v>3</v>
      </c>
      <c r="R1421">
        <v>2</v>
      </c>
      <c r="S1421" t="s">
        <v>47</v>
      </c>
      <c r="T1421">
        <v>1</v>
      </c>
      <c r="U1421" t="str" cm="1">
        <f t="array" ref="U1421">_xlfn.IFS(
HRData[[#This Row],[JobSatisfaction]]=1,"Very Dissatisfied",
HRData[[#This Row],[JobSatisfaction]]=2,"Dissatisfied",
HRData[[#This Row],[JobSatisfaction]]=3,"Satisfied",
HRData[[#This Row],[JobSatisfaction]]=4,"Very Satisfied"
)</f>
        <v>Very Dissatisfied</v>
      </c>
      <c r="V1421" t="s">
        <v>52</v>
      </c>
      <c r="W1421">
        <v>5410</v>
      </c>
      <c r="X1421" t="str" cm="1">
        <f t="array" ref="X1421">_xlfn.IFS(
HRData[[#This Row],[MonthlyIncome]]&lt;=4000,"Very Low Income",
HRData[[#This Row],[MonthlyIncome]]&lt;=8000,"Low Income",
HRData[[#This Row],[MonthlyIncome]]&lt;=12000,"Moderate Income",
HRData[[#This Row],[MonthlyIncome]]&lt;=16000,"High Income",
HRData[[#This Row],[MonthlyIncome]]&gt;16000,"Very High Income"
)</f>
        <v>Low Income</v>
      </c>
      <c r="Y1421">
        <v>11189</v>
      </c>
      <c r="Z1421">
        <v>6</v>
      </c>
      <c r="AA1421" t="s">
        <v>42</v>
      </c>
      <c r="AB1421" t="s">
        <v>35</v>
      </c>
      <c r="AC1421">
        <v>17</v>
      </c>
      <c r="AD1421" t="str" cm="1">
        <f t="array" ref="AD1421">_xlfn.IFS(HRData[[#This Row],[PercentSalaryHike]]&lt;=15,"11-15",HRData[[#This Row],[PercentSalaryHike]]&lt;=20,"16-20",HRData[[#This Row],[PercentSalaryHike]]&gt;=21,"21+")</f>
        <v>16-20</v>
      </c>
      <c r="AE1421">
        <v>3</v>
      </c>
      <c r="AF1421">
        <v>3</v>
      </c>
      <c r="AG1421">
        <v>80</v>
      </c>
      <c r="AH1421">
        <v>1</v>
      </c>
      <c r="AI1421">
        <v>9</v>
      </c>
      <c r="AJ1421">
        <v>3</v>
      </c>
      <c r="AK1421">
        <v>2</v>
      </c>
      <c r="AL1421">
        <v>4</v>
      </c>
      <c r="AM1421">
        <v>3</v>
      </c>
      <c r="AN1421">
        <v>1</v>
      </c>
      <c r="AO1421">
        <v>2</v>
      </c>
      <c r="AP142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421" t="str">
        <f>IF(HRData[[#This Row],[Attrition]]="Yes","Left", IF(HRData[[#This Row],[Attrition_Risk_Score]]&gt;=6,"High",IF(HRData[[#This Row],[Attrition_Risk_Score]]&gt;=3,"Medium","Low")))</f>
        <v>Medium</v>
      </c>
      <c r="AR1421" t="str">
        <f>IF(HRData[[#This Row],[Attrition_Risk_Level]]&lt;&gt;"High","",HRData[[#This Row],[Attrition_Risk_Score]]*10000-HRData[[#This Row],[EmployeeNumber]])</f>
        <v/>
      </c>
    </row>
    <row r="1422" spans="1:44">
      <c r="A1422">
        <v>41</v>
      </c>
      <c r="B1422" t="str" cm="1">
        <f t="array" ref="B1422">_xlfn.IFS(
HRData[[#This Row],[Age]]&lt;=24,"18-24",
HRData[[#This Row],[Age]]&lt;=34,"25-34",
HRData[[#This Row],[Age]]&lt;=44,"35-44",
HRData[[#This Row],[Age]]&lt;=54,"45-54",
HRData[[#This Row],[Age]]&gt;=55,"55+"
)</f>
        <v>35-44</v>
      </c>
      <c r="C1422" t="s">
        <v>43</v>
      </c>
      <c r="D1422">
        <f>IF(HRData[[#This Row],[Attrition]]="Yes",1,0)</f>
        <v>0</v>
      </c>
      <c r="E1422" t="s">
        <v>36</v>
      </c>
      <c r="F1422">
        <v>642</v>
      </c>
      <c r="G1422" t="s">
        <v>45</v>
      </c>
      <c r="H1422">
        <v>1</v>
      </c>
      <c r="I1422">
        <v>3</v>
      </c>
      <c r="J1422" t="s">
        <v>38</v>
      </c>
      <c r="K1422">
        <v>1</v>
      </c>
      <c r="L1422">
        <v>1999</v>
      </c>
      <c r="M1422">
        <v>4</v>
      </c>
      <c r="N1422" t="str" cm="1">
        <f t="array" ref="N1422">_xlfn.IFS(HRData[[#This Row],[EnvironmentSatisfaction]]=1,"Very Dissatisfied",
HRData[[#This Row],[EnvironmentSatisfaction]]=2,"Dissatisfied",
HRData[[#This Row],[EnvironmentSatisfaction]]=3,"Satisfied",
HRData[[#This Row],[EnvironmentSatisfaction]]=4,"Very Satisfied"
)</f>
        <v>Very Satisfied</v>
      </c>
      <c r="O1422" t="s">
        <v>46</v>
      </c>
      <c r="P1422">
        <v>76</v>
      </c>
      <c r="Q1422">
        <v>3</v>
      </c>
      <c r="R1422">
        <v>1</v>
      </c>
      <c r="S1422" t="s">
        <v>47</v>
      </c>
      <c r="T1422">
        <v>4</v>
      </c>
      <c r="U1422" t="str" cm="1">
        <f t="array" ref="U1422">_xlfn.IFS(
HRData[[#This Row],[JobSatisfaction]]=1,"Very Dissatisfied",
HRData[[#This Row],[JobSatisfaction]]=2,"Dissatisfied",
HRData[[#This Row],[JobSatisfaction]]=3,"Satisfied",
HRData[[#This Row],[JobSatisfaction]]=4,"Very Satisfied"
)</f>
        <v>Very Satisfied</v>
      </c>
      <c r="V1422" t="s">
        <v>48</v>
      </c>
      <c r="W1422">
        <v>2782</v>
      </c>
      <c r="X1422" t="str" cm="1">
        <f t="array" ref="X1422">_xlfn.IFS(
HRData[[#This Row],[MonthlyIncome]]&lt;=4000,"Very Low Income",
HRData[[#This Row],[MonthlyIncome]]&lt;=8000,"Low Income",
HRData[[#This Row],[MonthlyIncome]]&lt;=12000,"Moderate Income",
HRData[[#This Row],[MonthlyIncome]]&lt;=16000,"High Income",
HRData[[#This Row],[MonthlyIncome]]&gt;16000,"Very High Income"
)</f>
        <v>Very Low Income</v>
      </c>
      <c r="Y1422">
        <v>21412</v>
      </c>
      <c r="Z1422">
        <v>3</v>
      </c>
      <c r="AA1422" t="s">
        <v>42</v>
      </c>
      <c r="AB1422" t="s">
        <v>43</v>
      </c>
      <c r="AC1422">
        <v>22</v>
      </c>
      <c r="AD1422" t="str" cm="1">
        <f t="array" ref="AD1422">_xlfn.IFS(HRData[[#This Row],[PercentSalaryHike]]&lt;=15,"11-15",HRData[[#This Row],[PercentSalaryHike]]&lt;=20,"16-20",HRData[[#This Row],[PercentSalaryHike]]&gt;=21,"21+")</f>
        <v>21+</v>
      </c>
      <c r="AE1422">
        <v>4</v>
      </c>
      <c r="AF1422">
        <v>1</v>
      </c>
      <c r="AG1422">
        <v>80</v>
      </c>
      <c r="AH1422">
        <v>1</v>
      </c>
      <c r="AI1422">
        <v>12</v>
      </c>
      <c r="AJ1422">
        <v>3</v>
      </c>
      <c r="AK1422">
        <v>3</v>
      </c>
      <c r="AL1422">
        <v>5</v>
      </c>
      <c r="AM1422">
        <v>3</v>
      </c>
      <c r="AN1422">
        <v>1</v>
      </c>
      <c r="AO1422">
        <v>0</v>
      </c>
      <c r="AP142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422" t="str">
        <f>IF(HRData[[#This Row],[Attrition]]="Yes","Left", IF(HRData[[#This Row],[Attrition_Risk_Score]]&gt;=6,"High",IF(HRData[[#This Row],[Attrition_Risk_Score]]&gt;=3,"Medium","Low")))</f>
        <v>Low</v>
      </c>
      <c r="AR1422" t="str">
        <f>IF(HRData[[#This Row],[Attrition_Risk_Level]]&lt;&gt;"High","",HRData[[#This Row],[Attrition_Risk_Score]]*10000-HRData[[#This Row],[EmployeeNumber]])</f>
        <v/>
      </c>
    </row>
    <row r="1423" spans="1:44">
      <c r="A1423">
        <v>47</v>
      </c>
      <c r="B1423" t="str" cm="1">
        <f t="array" ref="B1423">_xlfn.IFS(
HRData[[#This Row],[Age]]&lt;=24,"18-24",
HRData[[#This Row],[Age]]&lt;=34,"25-34",
HRData[[#This Row],[Age]]&lt;=44,"35-44",
HRData[[#This Row],[Age]]&lt;=54,"45-54",
HRData[[#This Row],[Age]]&gt;=55,"55+"
)</f>
        <v>45-54</v>
      </c>
      <c r="C1423" t="s">
        <v>43</v>
      </c>
      <c r="D1423">
        <f>IF(HRData[[#This Row],[Attrition]]="Yes",1,0)</f>
        <v>0</v>
      </c>
      <c r="E1423" t="s">
        <v>55</v>
      </c>
      <c r="F1423">
        <v>1162</v>
      </c>
      <c r="G1423" t="s">
        <v>45</v>
      </c>
      <c r="H1423">
        <v>1</v>
      </c>
      <c r="I1423">
        <v>1</v>
      </c>
      <c r="J1423" t="s">
        <v>51</v>
      </c>
      <c r="K1423">
        <v>1</v>
      </c>
      <c r="L1423">
        <v>2000</v>
      </c>
      <c r="M1423">
        <v>3</v>
      </c>
      <c r="N1423" t="str" cm="1">
        <f t="array" ref="N1423">_xlfn.IFS(HRData[[#This Row],[EnvironmentSatisfaction]]=1,"Very Dissatisfied",
HRData[[#This Row],[EnvironmentSatisfaction]]=2,"Dissatisfied",
HRData[[#This Row],[EnvironmentSatisfaction]]=3,"Satisfied",
HRData[[#This Row],[EnvironmentSatisfaction]]=4,"Very Satisfied"
)</f>
        <v>Satisfied</v>
      </c>
      <c r="O1423" t="s">
        <v>39</v>
      </c>
      <c r="P1423">
        <v>98</v>
      </c>
      <c r="Q1423">
        <v>3</v>
      </c>
      <c r="R1423">
        <v>3</v>
      </c>
      <c r="S1423" t="s">
        <v>58</v>
      </c>
      <c r="T1423">
        <v>2</v>
      </c>
      <c r="U1423" t="str" cm="1">
        <f t="array" ref="U1423">_xlfn.IFS(
HRData[[#This Row],[JobSatisfaction]]=1,"Very Dissatisfied",
HRData[[#This Row],[JobSatisfaction]]=2,"Dissatisfied",
HRData[[#This Row],[JobSatisfaction]]=3,"Satisfied",
HRData[[#This Row],[JobSatisfaction]]=4,"Very Satisfied"
)</f>
        <v>Dissatisfied</v>
      </c>
      <c r="V1423" t="s">
        <v>48</v>
      </c>
      <c r="W1423">
        <v>11957</v>
      </c>
      <c r="X1423" t="str" cm="1">
        <f t="array" ref="X1423">_xlfn.IFS(
HRData[[#This Row],[MonthlyIncome]]&lt;=4000,"Very Low Income",
HRData[[#This Row],[MonthlyIncome]]&lt;=8000,"Low Income",
HRData[[#This Row],[MonthlyIncome]]&lt;=12000,"Moderate Income",
HRData[[#This Row],[MonthlyIncome]]&lt;=16000,"High Income",
HRData[[#This Row],[MonthlyIncome]]&gt;16000,"Very High Income"
)</f>
        <v>Moderate Income</v>
      </c>
      <c r="Y1423">
        <v>17231</v>
      </c>
      <c r="Z1423">
        <v>0</v>
      </c>
      <c r="AA1423" t="s">
        <v>42</v>
      </c>
      <c r="AB1423" t="s">
        <v>43</v>
      </c>
      <c r="AC1423">
        <v>18</v>
      </c>
      <c r="AD1423" t="str" cm="1">
        <f t="array" ref="AD1423">_xlfn.IFS(HRData[[#This Row],[PercentSalaryHike]]&lt;=15,"11-15",HRData[[#This Row],[PercentSalaryHike]]&lt;=20,"16-20",HRData[[#This Row],[PercentSalaryHike]]&gt;=21,"21+")</f>
        <v>16-20</v>
      </c>
      <c r="AE1423">
        <v>3</v>
      </c>
      <c r="AF1423">
        <v>1</v>
      </c>
      <c r="AG1423">
        <v>80</v>
      </c>
      <c r="AH1423">
        <v>2</v>
      </c>
      <c r="AI1423">
        <v>14</v>
      </c>
      <c r="AJ1423">
        <v>3</v>
      </c>
      <c r="AK1423">
        <v>1</v>
      </c>
      <c r="AL1423">
        <v>13</v>
      </c>
      <c r="AM1423">
        <v>8</v>
      </c>
      <c r="AN1423">
        <v>5</v>
      </c>
      <c r="AO1423">
        <v>12</v>
      </c>
      <c r="AP142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423" t="str">
        <f>IF(HRData[[#This Row],[Attrition]]="Yes","Left", IF(HRData[[#This Row],[Attrition_Risk_Score]]&gt;=6,"High",IF(HRData[[#This Row],[Attrition_Risk_Score]]&gt;=3,"Medium","Low")))</f>
        <v>Low</v>
      </c>
      <c r="AR1423" t="str">
        <f>IF(HRData[[#This Row],[Attrition_Risk_Level]]&lt;&gt;"High","",HRData[[#This Row],[Attrition_Risk_Score]]*10000-HRData[[#This Row],[EmployeeNumber]])</f>
        <v/>
      </c>
    </row>
    <row r="1424" spans="1:44">
      <c r="A1424">
        <v>35</v>
      </c>
      <c r="B1424" t="str" cm="1">
        <f t="array" ref="B1424">_xlfn.IFS(
HRData[[#This Row],[Age]]&lt;=24,"18-24",
HRData[[#This Row],[Age]]&lt;=34,"25-34",
HRData[[#This Row],[Age]]&lt;=44,"35-44",
HRData[[#This Row],[Age]]&lt;=54,"45-54",
HRData[[#This Row],[Age]]&gt;=55,"55+"
)</f>
        <v>35-44</v>
      </c>
      <c r="C1424" t="s">
        <v>43</v>
      </c>
      <c r="D1424">
        <f>IF(HRData[[#This Row],[Attrition]]="Yes",1,0)</f>
        <v>0</v>
      </c>
      <c r="E1424" t="s">
        <v>36</v>
      </c>
      <c r="F1424">
        <v>1490</v>
      </c>
      <c r="G1424" t="s">
        <v>45</v>
      </c>
      <c r="H1424">
        <v>11</v>
      </c>
      <c r="I1424">
        <v>4</v>
      </c>
      <c r="J1424" t="s">
        <v>51</v>
      </c>
      <c r="K1424">
        <v>1</v>
      </c>
      <c r="L1424">
        <v>2003</v>
      </c>
      <c r="M1424">
        <v>4</v>
      </c>
      <c r="N1424" t="str" cm="1">
        <f t="array" ref="N1424">_xlfn.IFS(HRData[[#This Row],[EnvironmentSatisfaction]]=1,"Very Dissatisfied",
HRData[[#This Row],[EnvironmentSatisfaction]]=2,"Dissatisfied",
HRData[[#This Row],[EnvironmentSatisfaction]]=3,"Satisfied",
HRData[[#This Row],[EnvironmentSatisfaction]]=4,"Very Satisfied"
)</f>
        <v>Very Satisfied</v>
      </c>
      <c r="O1424" t="s">
        <v>46</v>
      </c>
      <c r="P1424">
        <v>43</v>
      </c>
      <c r="Q1424">
        <v>3</v>
      </c>
      <c r="R1424">
        <v>1</v>
      </c>
      <c r="S1424" t="s">
        <v>50</v>
      </c>
      <c r="T1424">
        <v>3</v>
      </c>
      <c r="U1424" t="str" cm="1">
        <f t="array" ref="U1424">_xlfn.IFS(
HRData[[#This Row],[JobSatisfaction]]=1,"Very Dissatisfied",
HRData[[#This Row],[JobSatisfaction]]=2,"Dissatisfied",
HRData[[#This Row],[JobSatisfaction]]=3,"Satisfied",
HRData[[#This Row],[JobSatisfaction]]=4,"Very Satisfied"
)</f>
        <v>Satisfied</v>
      </c>
      <c r="V1424" t="s">
        <v>48</v>
      </c>
      <c r="W1424">
        <v>2660</v>
      </c>
      <c r="X1424" t="str" cm="1">
        <f t="array" ref="X1424">_xlfn.IFS(
HRData[[#This Row],[MonthlyIncome]]&lt;=4000,"Very Low Income",
HRData[[#This Row],[MonthlyIncome]]&lt;=8000,"Low Income",
HRData[[#This Row],[MonthlyIncome]]&lt;=12000,"Moderate Income",
HRData[[#This Row],[MonthlyIncome]]&lt;=16000,"High Income",
HRData[[#This Row],[MonthlyIncome]]&gt;16000,"Very High Income"
)</f>
        <v>Very Low Income</v>
      </c>
      <c r="Y1424">
        <v>20232</v>
      </c>
      <c r="Z1424">
        <v>7</v>
      </c>
      <c r="AA1424" t="s">
        <v>42</v>
      </c>
      <c r="AB1424" t="s">
        <v>35</v>
      </c>
      <c r="AC1424">
        <v>11</v>
      </c>
      <c r="AD1424" t="str" cm="1">
        <f t="array" ref="AD1424">_xlfn.IFS(HRData[[#This Row],[PercentSalaryHike]]&lt;=15,"11-15",HRData[[#This Row],[PercentSalaryHike]]&lt;=20,"16-20",HRData[[#This Row],[PercentSalaryHike]]&gt;=21,"21+")</f>
        <v>11-15</v>
      </c>
      <c r="AE1424">
        <v>3</v>
      </c>
      <c r="AF1424">
        <v>3</v>
      </c>
      <c r="AG1424">
        <v>80</v>
      </c>
      <c r="AH1424">
        <v>1</v>
      </c>
      <c r="AI1424">
        <v>5</v>
      </c>
      <c r="AJ1424">
        <v>3</v>
      </c>
      <c r="AK1424">
        <v>3</v>
      </c>
      <c r="AL1424">
        <v>2</v>
      </c>
      <c r="AM1424">
        <v>2</v>
      </c>
      <c r="AN1424">
        <v>2</v>
      </c>
      <c r="AO1424">
        <v>2</v>
      </c>
      <c r="AP142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424" t="str">
        <f>IF(HRData[[#This Row],[Attrition]]="Yes","Left", IF(HRData[[#This Row],[Attrition_Risk_Score]]&gt;=6,"High",IF(HRData[[#This Row],[Attrition_Risk_Score]]&gt;=3,"Medium","Low")))</f>
        <v>Medium</v>
      </c>
      <c r="AR1424" t="str">
        <f>IF(HRData[[#This Row],[Attrition_Risk_Level]]&lt;&gt;"High","",HRData[[#This Row],[Attrition_Risk_Score]]*10000-HRData[[#This Row],[EmployeeNumber]])</f>
        <v/>
      </c>
    </row>
    <row r="1425" spans="1:44">
      <c r="A1425">
        <v>22</v>
      </c>
      <c r="B1425" t="str" cm="1">
        <f t="array" ref="B1425">_xlfn.IFS(
HRData[[#This Row],[Age]]&lt;=24,"18-24",
HRData[[#This Row],[Age]]&lt;=34,"25-34",
HRData[[#This Row],[Age]]&lt;=44,"35-44",
HRData[[#This Row],[Age]]&lt;=54,"45-54",
HRData[[#This Row],[Age]]&gt;=55,"55+"
)</f>
        <v>18-24</v>
      </c>
      <c r="C1425" t="s">
        <v>43</v>
      </c>
      <c r="D1425">
        <f>IF(HRData[[#This Row],[Attrition]]="Yes",1,0)</f>
        <v>0</v>
      </c>
      <c r="E1425" t="s">
        <v>36</v>
      </c>
      <c r="F1425">
        <v>581</v>
      </c>
      <c r="G1425" t="s">
        <v>45</v>
      </c>
      <c r="H1425">
        <v>1</v>
      </c>
      <c r="I1425">
        <v>2</v>
      </c>
      <c r="J1425" t="s">
        <v>38</v>
      </c>
      <c r="K1425">
        <v>1</v>
      </c>
      <c r="L1425">
        <v>2007</v>
      </c>
      <c r="M1425">
        <v>4</v>
      </c>
      <c r="N1425" t="str" cm="1">
        <f t="array" ref="N1425">_xlfn.IFS(HRData[[#This Row],[EnvironmentSatisfaction]]=1,"Very Dissatisfied",
HRData[[#This Row],[EnvironmentSatisfaction]]=2,"Dissatisfied",
HRData[[#This Row],[EnvironmentSatisfaction]]=3,"Satisfied",
HRData[[#This Row],[EnvironmentSatisfaction]]=4,"Very Satisfied"
)</f>
        <v>Very Satisfied</v>
      </c>
      <c r="O1425" t="s">
        <v>46</v>
      </c>
      <c r="P1425">
        <v>63</v>
      </c>
      <c r="Q1425">
        <v>3</v>
      </c>
      <c r="R1425">
        <v>1</v>
      </c>
      <c r="S1425" t="s">
        <v>47</v>
      </c>
      <c r="T1425">
        <v>3</v>
      </c>
      <c r="U1425" t="str" cm="1">
        <f t="array" ref="U1425">_xlfn.IFS(
HRData[[#This Row],[JobSatisfaction]]=1,"Very Dissatisfied",
HRData[[#This Row],[JobSatisfaction]]=2,"Dissatisfied",
HRData[[#This Row],[JobSatisfaction]]=3,"Satisfied",
HRData[[#This Row],[JobSatisfaction]]=4,"Very Satisfied"
)</f>
        <v>Satisfied</v>
      </c>
      <c r="V1425" t="s">
        <v>41</v>
      </c>
      <c r="W1425">
        <v>3375</v>
      </c>
      <c r="X1425" t="str" cm="1">
        <f t="array" ref="X1425">_xlfn.IFS(
HRData[[#This Row],[MonthlyIncome]]&lt;=4000,"Very Low Income",
HRData[[#This Row],[MonthlyIncome]]&lt;=8000,"Low Income",
HRData[[#This Row],[MonthlyIncome]]&lt;=12000,"Moderate Income",
HRData[[#This Row],[MonthlyIncome]]&lt;=16000,"High Income",
HRData[[#This Row],[MonthlyIncome]]&gt;16000,"Very High Income"
)</f>
        <v>Very Low Income</v>
      </c>
      <c r="Y1425">
        <v>17624</v>
      </c>
      <c r="Z1425">
        <v>0</v>
      </c>
      <c r="AA1425" t="s">
        <v>42</v>
      </c>
      <c r="AB1425" t="s">
        <v>43</v>
      </c>
      <c r="AC1425">
        <v>12</v>
      </c>
      <c r="AD1425" t="str" cm="1">
        <f t="array" ref="AD1425">_xlfn.IFS(HRData[[#This Row],[PercentSalaryHike]]&lt;=15,"11-15",HRData[[#This Row],[PercentSalaryHike]]&lt;=20,"16-20",HRData[[#This Row],[PercentSalaryHike]]&gt;=21,"21+")</f>
        <v>11-15</v>
      </c>
      <c r="AE1425">
        <v>3</v>
      </c>
      <c r="AF1425">
        <v>4</v>
      </c>
      <c r="AG1425">
        <v>80</v>
      </c>
      <c r="AH1425">
        <v>0</v>
      </c>
      <c r="AI1425">
        <v>4</v>
      </c>
      <c r="AJ1425">
        <v>2</v>
      </c>
      <c r="AK1425">
        <v>4</v>
      </c>
      <c r="AL1425">
        <v>3</v>
      </c>
      <c r="AM1425">
        <v>2</v>
      </c>
      <c r="AN1425">
        <v>1</v>
      </c>
      <c r="AO1425">
        <v>2</v>
      </c>
      <c r="AP142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425" t="str">
        <f>IF(HRData[[#This Row],[Attrition]]="Yes","Left", IF(HRData[[#This Row],[Attrition_Risk_Score]]&gt;=6,"High",IF(HRData[[#This Row],[Attrition_Risk_Score]]&gt;=3,"Medium","Low")))</f>
        <v>Medium</v>
      </c>
      <c r="AR1425" t="str">
        <f>IF(HRData[[#This Row],[Attrition_Risk_Level]]&lt;&gt;"High","",HRData[[#This Row],[Attrition_Risk_Score]]*10000-HRData[[#This Row],[EmployeeNumber]])</f>
        <v/>
      </c>
    </row>
    <row r="1426" spans="1:44">
      <c r="A1426">
        <v>35</v>
      </c>
      <c r="B1426" t="str" cm="1">
        <f t="array" ref="B1426">_xlfn.IFS(
HRData[[#This Row],[Age]]&lt;=24,"18-24",
HRData[[#This Row],[Age]]&lt;=34,"25-34",
HRData[[#This Row],[Age]]&lt;=44,"35-44",
HRData[[#This Row],[Age]]&lt;=54,"45-54",
HRData[[#This Row],[Age]]&gt;=55,"55+"
)</f>
        <v>35-44</v>
      </c>
      <c r="C1426" t="s">
        <v>43</v>
      </c>
      <c r="D1426">
        <f>IF(HRData[[#This Row],[Attrition]]="Yes",1,0)</f>
        <v>0</v>
      </c>
      <c r="E1426" t="s">
        <v>36</v>
      </c>
      <c r="F1426">
        <v>1395</v>
      </c>
      <c r="G1426" t="s">
        <v>45</v>
      </c>
      <c r="H1426">
        <v>9</v>
      </c>
      <c r="I1426">
        <v>4</v>
      </c>
      <c r="J1426" t="s">
        <v>51</v>
      </c>
      <c r="K1426">
        <v>1</v>
      </c>
      <c r="L1426">
        <v>2008</v>
      </c>
      <c r="M1426">
        <v>2</v>
      </c>
      <c r="N1426" t="str" cm="1">
        <f t="array" ref="N1426">_xlfn.IFS(HRData[[#This Row],[EnvironmentSatisfaction]]=1,"Very Dissatisfied",
HRData[[#This Row],[EnvironmentSatisfaction]]=2,"Dissatisfied",
HRData[[#This Row],[EnvironmentSatisfaction]]=3,"Satisfied",
HRData[[#This Row],[EnvironmentSatisfaction]]=4,"Very Satisfied"
)</f>
        <v>Dissatisfied</v>
      </c>
      <c r="O1426" t="s">
        <v>46</v>
      </c>
      <c r="P1426">
        <v>48</v>
      </c>
      <c r="Q1426">
        <v>3</v>
      </c>
      <c r="R1426">
        <v>2</v>
      </c>
      <c r="S1426" t="s">
        <v>47</v>
      </c>
      <c r="T1426">
        <v>3</v>
      </c>
      <c r="U1426" t="str" cm="1">
        <f t="array" ref="U1426">_xlfn.IFS(
HRData[[#This Row],[JobSatisfaction]]=1,"Very Dissatisfied",
HRData[[#This Row],[JobSatisfaction]]=2,"Dissatisfied",
HRData[[#This Row],[JobSatisfaction]]=3,"Satisfied",
HRData[[#This Row],[JobSatisfaction]]=4,"Very Satisfied"
)</f>
        <v>Satisfied</v>
      </c>
      <c r="V1426" t="s">
        <v>41</v>
      </c>
      <c r="W1426">
        <v>5098</v>
      </c>
      <c r="X1426" t="str" cm="1">
        <f t="array" ref="X1426">_xlfn.IFS(
HRData[[#This Row],[MonthlyIncome]]&lt;=4000,"Very Low Income",
HRData[[#This Row],[MonthlyIncome]]&lt;=8000,"Low Income",
HRData[[#This Row],[MonthlyIncome]]&lt;=12000,"Moderate Income",
HRData[[#This Row],[MonthlyIncome]]&lt;=16000,"High Income",
HRData[[#This Row],[MonthlyIncome]]&gt;16000,"Very High Income"
)</f>
        <v>Low Income</v>
      </c>
      <c r="Y1426">
        <v>18698</v>
      </c>
      <c r="Z1426">
        <v>1</v>
      </c>
      <c r="AA1426" t="s">
        <v>42</v>
      </c>
      <c r="AB1426" t="s">
        <v>43</v>
      </c>
      <c r="AC1426">
        <v>19</v>
      </c>
      <c r="AD1426" t="str" cm="1">
        <f t="array" ref="AD1426">_xlfn.IFS(HRData[[#This Row],[PercentSalaryHike]]&lt;=15,"11-15",HRData[[#This Row],[PercentSalaryHike]]&lt;=20,"16-20",HRData[[#This Row],[PercentSalaryHike]]&gt;=21,"21+")</f>
        <v>16-20</v>
      </c>
      <c r="AE1426">
        <v>3</v>
      </c>
      <c r="AF1426">
        <v>2</v>
      </c>
      <c r="AG1426">
        <v>80</v>
      </c>
      <c r="AH1426">
        <v>0</v>
      </c>
      <c r="AI1426">
        <v>10</v>
      </c>
      <c r="AJ1426">
        <v>5</v>
      </c>
      <c r="AK1426">
        <v>3</v>
      </c>
      <c r="AL1426">
        <v>10</v>
      </c>
      <c r="AM1426">
        <v>7</v>
      </c>
      <c r="AN1426">
        <v>0</v>
      </c>
      <c r="AO1426">
        <v>8</v>
      </c>
      <c r="AP142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26" t="str">
        <f>IF(HRData[[#This Row],[Attrition]]="Yes","Left", IF(HRData[[#This Row],[Attrition_Risk_Score]]&gt;=6,"High",IF(HRData[[#This Row],[Attrition_Risk_Score]]&gt;=3,"Medium","Low")))</f>
        <v>Low</v>
      </c>
      <c r="AR1426" t="str">
        <f>IF(HRData[[#This Row],[Attrition_Risk_Level]]&lt;&gt;"High","",HRData[[#This Row],[Attrition_Risk_Score]]*10000-HRData[[#This Row],[EmployeeNumber]])</f>
        <v/>
      </c>
    </row>
    <row r="1427" spans="1:44">
      <c r="A1427">
        <v>33</v>
      </c>
      <c r="B1427" t="str" cm="1">
        <f t="array" ref="B1427">_xlfn.IFS(
HRData[[#This Row],[Age]]&lt;=24,"18-24",
HRData[[#This Row],[Age]]&lt;=34,"25-34",
HRData[[#This Row],[Age]]&lt;=44,"35-44",
HRData[[#This Row],[Age]]&lt;=54,"45-54",
HRData[[#This Row],[Age]]&gt;=55,"55+"
)</f>
        <v>25-34</v>
      </c>
      <c r="C1427" t="s">
        <v>43</v>
      </c>
      <c r="D1427">
        <f>IF(HRData[[#This Row],[Attrition]]="Yes",1,0)</f>
        <v>0</v>
      </c>
      <c r="E1427" t="s">
        <v>36</v>
      </c>
      <c r="F1427">
        <v>501</v>
      </c>
      <c r="G1427" t="s">
        <v>45</v>
      </c>
      <c r="H1427">
        <v>15</v>
      </c>
      <c r="I1427">
        <v>2</v>
      </c>
      <c r="J1427" t="s">
        <v>51</v>
      </c>
      <c r="K1427">
        <v>1</v>
      </c>
      <c r="L1427">
        <v>2009</v>
      </c>
      <c r="M1427">
        <v>2</v>
      </c>
      <c r="N1427" t="str" cm="1">
        <f t="array" ref="N1427">_xlfn.IFS(HRData[[#This Row],[EnvironmentSatisfaction]]=1,"Very Dissatisfied",
HRData[[#This Row],[EnvironmentSatisfaction]]=2,"Dissatisfied",
HRData[[#This Row],[EnvironmentSatisfaction]]=3,"Satisfied",
HRData[[#This Row],[EnvironmentSatisfaction]]=4,"Very Satisfied"
)</f>
        <v>Dissatisfied</v>
      </c>
      <c r="O1427" t="s">
        <v>39</v>
      </c>
      <c r="P1427">
        <v>95</v>
      </c>
      <c r="Q1427">
        <v>3</v>
      </c>
      <c r="R1427">
        <v>2</v>
      </c>
      <c r="S1427" t="s">
        <v>54</v>
      </c>
      <c r="T1427">
        <v>4</v>
      </c>
      <c r="U1427" t="str" cm="1">
        <f t="array" ref="U1427">_xlfn.IFS(
HRData[[#This Row],[JobSatisfaction]]=1,"Very Dissatisfied",
HRData[[#This Row],[JobSatisfaction]]=2,"Dissatisfied",
HRData[[#This Row],[JobSatisfaction]]=3,"Satisfied",
HRData[[#This Row],[JobSatisfaction]]=4,"Very Satisfied"
)</f>
        <v>Very Satisfied</v>
      </c>
      <c r="V1427" t="s">
        <v>48</v>
      </c>
      <c r="W1427">
        <v>4878</v>
      </c>
      <c r="X1427" t="str" cm="1">
        <f t="array" ref="X1427">_xlfn.IFS(
HRData[[#This Row],[MonthlyIncome]]&lt;=4000,"Very Low Income",
HRData[[#This Row],[MonthlyIncome]]&lt;=8000,"Low Income",
HRData[[#This Row],[MonthlyIncome]]&lt;=12000,"Moderate Income",
HRData[[#This Row],[MonthlyIncome]]&lt;=16000,"High Income",
HRData[[#This Row],[MonthlyIncome]]&gt;16000,"Very High Income"
)</f>
        <v>Low Income</v>
      </c>
      <c r="Y1427">
        <v>21653</v>
      </c>
      <c r="Z1427">
        <v>0</v>
      </c>
      <c r="AA1427" t="s">
        <v>42</v>
      </c>
      <c r="AB1427" t="s">
        <v>35</v>
      </c>
      <c r="AC1427">
        <v>13</v>
      </c>
      <c r="AD1427" t="str" cm="1">
        <f t="array" ref="AD1427">_xlfn.IFS(HRData[[#This Row],[PercentSalaryHike]]&lt;=15,"11-15",HRData[[#This Row],[PercentSalaryHike]]&lt;=20,"16-20",HRData[[#This Row],[PercentSalaryHike]]&gt;=21,"21+")</f>
        <v>11-15</v>
      </c>
      <c r="AE1427">
        <v>3</v>
      </c>
      <c r="AF1427">
        <v>1</v>
      </c>
      <c r="AG1427">
        <v>80</v>
      </c>
      <c r="AH1427">
        <v>1</v>
      </c>
      <c r="AI1427">
        <v>10</v>
      </c>
      <c r="AJ1427">
        <v>6</v>
      </c>
      <c r="AK1427">
        <v>3</v>
      </c>
      <c r="AL1427">
        <v>9</v>
      </c>
      <c r="AM1427">
        <v>7</v>
      </c>
      <c r="AN1427">
        <v>8</v>
      </c>
      <c r="AO1427">
        <v>1</v>
      </c>
      <c r="AP142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427" t="str">
        <f>IF(HRData[[#This Row],[Attrition]]="Yes","Left", IF(HRData[[#This Row],[Attrition_Risk_Score]]&gt;=6,"High",IF(HRData[[#This Row],[Attrition_Risk_Score]]&gt;=3,"Medium","Low")))</f>
        <v>Medium</v>
      </c>
      <c r="AR1427" t="str">
        <f>IF(HRData[[#This Row],[Attrition_Risk_Level]]&lt;&gt;"High","",HRData[[#This Row],[Attrition_Risk_Score]]*10000-HRData[[#This Row],[EmployeeNumber]])</f>
        <v/>
      </c>
    </row>
    <row r="1428" spans="1:44">
      <c r="A1428">
        <v>32</v>
      </c>
      <c r="B1428" t="str" cm="1">
        <f t="array" ref="B1428">_xlfn.IFS(
HRData[[#This Row],[Age]]&lt;=24,"18-24",
HRData[[#This Row],[Age]]&lt;=34,"25-34",
HRData[[#This Row],[Age]]&lt;=44,"35-44",
HRData[[#This Row],[Age]]&lt;=54,"45-54",
HRData[[#This Row],[Age]]&gt;=55,"55+"
)</f>
        <v>25-34</v>
      </c>
      <c r="C1428" t="s">
        <v>43</v>
      </c>
      <c r="D1428">
        <f>IF(HRData[[#This Row],[Attrition]]="Yes",1,0)</f>
        <v>0</v>
      </c>
      <c r="E1428" t="s">
        <v>36</v>
      </c>
      <c r="F1428">
        <v>267</v>
      </c>
      <c r="G1428" t="s">
        <v>45</v>
      </c>
      <c r="H1428">
        <v>29</v>
      </c>
      <c r="I1428">
        <v>4</v>
      </c>
      <c r="J1428" t="s">
        <v>38</v>
      </c>
      <c r="K1428">
        <v>1</v>
      </c>
      <c r="L1428">
        <v>2010</v>
      </c>
      <c r="M1428">
        <v>3</v>
      </c>
      <c r="N1428" t="str" cm="1">
        <f t="array" ref="N1428">_xlfn.IFS(HRData[[#This Row],[EnvironmentSatisfaction]]=1,"Very Dissatisfied",
HRData[[#This Row],[EnvironmentSatisfaction]]=2,"Dissatisfied",
HRData[[#This Row],[EnvironmentSatisfaction]]=3,"Satisfied",
HRData[[#This Row],[EnvironmentSatisfaction]]=4,"Very Satisfied"
)</f>
        <v>Satisfied</v>
      </c>
      <c r="O1428" t="s">
        <v>39</v>
      </c>
      <c r="P1428">
        <v>49</v>
      </c>
      <c r="Q1428">
        <v>2</v>
      </c>
      <c r="R1428">
        <v>1</v>
      </c>
      <c r="S1428" t="s">
        <v>50</v>
      </c>
      <c r="T1428">
        <v>2</v>
      </c>
      <c r="U1428" t="str" cm="1">
        <f t="array" ref="U1428">_xlfn.IFS(
HRData[[#This Row],[JobSatisfaction]]=1,"Very Dissatisfied",
HRData[[#This Row],[JobSatisfaction]]=2,"Dissatisfied",
HRData[[#This Row],[JobSatisfaction]]=3,"Satisfied",
HRData[[#This Row],[JobSatisfaction]]=4,"Very Satisfied"
)</f>
        <v>Dissatisfied</v>
      </c>
      <c r="V1428" t="s">
        <v>41</v>
      </c>
      <c r="W1428">
        <v>2837</v>
      </c>
      <c r="X1428" t="str" cm="1">
        <f t="array" ref="X1428">_xlfn.IFS(
HRData[[#This Row],[MonthlyIncome]]&lt;=4000,"Very Low Income",
HRData[[#This Row],[MonthlyIncome]]&lt;=8000,"Low Income",
HRData[[#This Row],[MonthlyIncome]]&lt;=12000,"Moderate Income",
HRData[[#This Row],[MonthlyIncome]]&lt;=16000,"High Income",
HRData[[#This Row],[MonthlyIncome]]&gt;16000,"Very High Income"
)</f>
        <v>Very Low Income</v>
      </c>
      <c r="Y1428">
        <v>15919</v>
      </c>
      <c r="Z1428">
        <v>1</v>
      </c>
      <c r="AA1428" t="s">
        <v>42</v>
      </c>
      <c r="AB1428" t="s">
        <v>43</v>
      </c>
      <c r="AC1428">
        <v>13</v>
      </c>
      <c r="AD1428" t="str" cm="1">
        <f t="array" ref="AD1428">_xlfn.IFS(HRData[[#This Row],[PercentSalaryHike]]&lt;=15,"11-15",HRData[[#This Row],[PercentSalaryHike]]&lt;=20,"16-20",HRData[[#This Row],[PercentSalaryHike]]&gt;=21,"21+")</f>
        <v>11-15</v>
      </c>
      <c r="AE1428">
        <v>3</v>
      </c>
      <c r="AF1428">
        <v>3</v>
      </c>
      <c r="AG1428">
        <v>80</v>
      </c>
      <c r="AH1428">
        <v>0</v>
      </c>
      <c r="AI1428">
        <v>6</v>
      </c>
      <c r="AJ1428">
        <v>3</v>
      </c>
      <c r="AK1428">
        <v>3</v>
      </c>
      <c r="AL1428">
        <v>6</v>
      </c>
      <c r="AM1428">
        <v>2</v>
      </c>
      <c r="AN1428">
        <v>4</v>
      </c>
      <c r="AO1428">
        <v>1</v>
      </c>
      <c r="AP142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428" t="str">
        <f>IF(HRData[[#This Row],[Attrition]]="Yes","Left", IF(HRData[[#This Row],[Attrition_Risk_Score]]&gt;=6,"High",IF(HRData[[#This Row],[Attrition_Risk_Score]]&gt;=3,"Medium","Low")))</f>
        <v>Medium</v>
      </c>
      <c r="AR1428" t="str">
        <f>IF(HRData[[#This Row],[Attrition_Risk_Level]]&lt;&gt;"High","",HRData[[#This Row],[Attrition_Risk_Score]]*10000-HRData[[#This Row],[EmployeeNumber]])</f>
        <v/>
      </c>
    </row>
    <row r="1429" spans="1:44">
      <c r="A1429">
        <v>40</v>
      </c>
      <c r="B1429" t="str" cm="1">
        <f t="array" ref="B1429">_xlfn.IFS(
HRData[[#This Row],[Age]]&lt;=24,"18-24",
HRData[[#This Row],[Age]]&lt;=34,"25-34",
HRData[[#This Row],[Age]]&lt;=44,"35-44",
HRData[[#This Row],[Age]]&lt;=54,"45-54",
HRData[[#This Row],[Age]]&gt;=55,"55+"
)</f>
        <v>35-44</v>
      </c>
      <c r="C1429" t="s">
        <v>43</v>
      </c>
      <c r="D1429">
        <f>IF(HRData[[#This Row],[Attrition]]="Yes",1,0)</f>
        <v>0</v>
      </c>
      <c r="E1429" t="s">
        <v>36</v>
      </c>
      <c r="F1429">
        <v>543</v>
      </c>
      <c r="G1429" t="s">
        <v>45</v>
      </c>
      <c r="H1429">
        <v>1</v>
      </c>
      <c r="I1429">
        <v>4</v>
      </c>
      <c r="J1429" t="s">
        <v>38</v>
      </c>
      <c r="K1429">
        <v>1</v>
      </c>
      <c r="L1429">
        <v>2012</v>
      </c>
      <c r="M1429">
        <v>1</v>
      </c>
      <c r="N1429" t="str" cm="1">
        <f t="array" ref="N1429">_xlfn.IFS(HRData[[#This Row],[EnvironmentSatisfaction]]=1,"Very Dissatisfied",
HRData[[#This Row],[EnvironmentSatisfaction]]=2,"Dissatisfied",
HRData[[#This Row],[EnvironmentSatisfaction]]=3,"Satisfied",
HRData[[#This Row],[EnvironmentSatisfaction]]=4,"Very Satisfied"
)</f>
        <v>Very Dissatisfied</v>
      </c>
      <c r="O1429" t="s">
        <v>46</v>
      </c>
      <c r="P1429">
        <v>83</v>
      </c>
      <c r="Q1429">
        <v>3</v>
      </c>
      <c r="R1429">
        <v>1</v>
      </c>
      <c r="S1429" t="s">
        <v>50</v>
      </c>
      <c r="T1429">
        <v>4</v>
      </c>
      <c r="U1429" t="str" cm="1">
        <f t="array" ref="U1429">_xlfn.IFS(
HRData[[#This Row],[JobSatisfaction]]=1,"Very Dissatisfied",
HRData[[#This Row],[JobSatisfaction]]=2,"Dissatisfied",
HRData[[#This Row],[JobSatisfaction]]=3,"Satisfied",
HRData[[#This Row],[JobSatisfaction]]=4,"Very Satisfied"
)</f>
        <v>Very Satisfied</v>
      </c>
      <c r="V1429" t="s">
        <v>48</v>
      </c>
      <c r="W1429">
        <v>2406</v>
      </c>
      <c r="X1429" t="str" cm="1">
        <f t="array" ref="X1429">_xlfn.IFS(
HRData[[#This Row],[MonthlyIncome]]&lt;=4000,"Very Low Income",
HRData[[#This Row],[MonthlyIncome]]&lt;=8000,"Low Income",
HRData[[#This Row],[MonthlyIncome]]&lt;=12000,"Moderate Income",
HRData[[#This Row],[MonthlyIncome]]&lt;=16000,"High Income",
HRData[[#This Row],[MonthlyIncome]]&gt;16000,"Very High Income"
)</f>
        <v>Very Low Income</v>
      </c>
      <c r="Y1429">
        <v>4060</v>
      </c>
      <c r="Z1429">
        <v>8</v>
      </c>
      <c r="AA1429" t="s">
        <v>42</v>
      </c>
      <c r="AB1429" t="s">
        <v>43</v>
      </c>
      <c r="AC1429">
        <v>19</v>
      </c>
      <c r="AD1429" t="str" cm="1">
        <f t="array" ref="AD1429">_xlfn.IFS(HRData[[#This Row],[PercentSalaryHike]]&lt;=15,"11-15",HRData[[#This Row],[PercentSalaryHike]]&lt;=20,"16-20",HRData[[#This Row],[PercentSalaryHike]]&gt;=21,"21+")</f>
        <v>16-20</v>
      </c>
      <c r="AE1429">
        <v>3</v>
      </c>
      <c r="AF1429">
        <v>3</v>
      </c>
      <c r="AG1429">
        <v>80</v>
      </c>
      <c r="AH1429">
        <v>2</v>
      </c>
      <c r="AI1429">
        <v>8</v>
      </c>
      <c r="AJ1429">
        <v>3</v>
      </c>
      <c r="AK1429">
        <v>2</v>
      </c>
      <c r="AL1429">
        <v>1</v>
      </c>
      <c r="AM1429">
        <v>0</v>
      </c>
      <c r="AN1429">
        <v>0</v>
      </c>
      <c r="AO1429">
        <v>0</v>
      </c>
      <c r="AP142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429" t="str">
        <f>IF(HRData[[#This Row],[Attrition]]="Yes","Left", IF(HRData[[#This Row],[Attrition_Risk_Score]]&gt;=6,"High",IF(HRData[[#This Row],[Attrition_Risk_Score]]&gt;=3,"Medium","Low")))</f>
        <v>Medium</v>
      </c>
      <c r="AR1429" t="str">
        <f>IF(HRData[[#This Row],[Attrition_Risk_Level]]&lt;&gt;"High","",HRData[[#This Row],[Attrition_Risk_Score]]*10000-HRData[[#This Row],[EmployeeNumber]])</f>
        <v/>
      </c>
    </row>
    <row r="1430" spans="1:44">
      <c r="A1430">
        <v>32</v>
      </c>
      <c r="B1430" t="str" cm="1">
        <f t="array" ref="B1430">_xlfn.IFS(
HRData[[#This Row],[Age]]&lt;=24,"18-24",
HRData[[#This Row],[Age]]&lt;=34,"25-34",
HRData[[#This Row],[Age]]&lt;=44,"35-44",
HRData[[#This Row],[Age]]&lt;=54,"45-54",
HRData[[#This Row],[Age]]&gt;=55,"55+"
)</f>
        <v>25-34</v>
      </c>
      <c r="C1430" t="s">
        <v>43</v>
      </c>
      <c r="D1430">
        <f>IF(HRData[[#This Row],[Attrition]]="Yes",1,0)</f>
        <v>0</v>
      </c>
      <c r="E1430" t="s">
        <v>36</v>
      </c>
      <c r="F1430">
        <v>234</v>
      </c>
      <c r="G1430" t="s">
        <v>37</v>
      </c>
      <c r="H1430">
        <v>1</v>
      </c>
      <c r="I1430">
        <v>4</v>
      </c>
      <c r="J1430" t="s">
        <v>51</v>
      </c>
      <c r="K1430">
        <v>1</v>
      </c>
      <c r="L1430">
        <v>2013</v>
      </c>
      <c r="M1430">
        <v>2</v>
      </c>
      <c r="N1430" t="str" cm="1">
        <f t="array" ref="N1430">_xlfn.IFS(HRData[[#This Row],[EnvironmentSatisfaction]]=1,"Very Dissatisfied",
HRData[[#This Row],[EnvironmentSatisfaction]]=2,"Dissatisfied",
HRData[[#This Row],[EnvironmentSatisfaction]]=3,"Satisfied",
HRData[[#This Row],[EnvironmentSatisfaction]]=4,"Very Satisfied"
)</f>
        <v>Dissatisfied</v>
      </c>
      <c r="O1430" t="s">
        <v>46</v>
      </c>
      <c r="P1430">
        <v>68</v>
      </c>
      <c r="Q1430">
        <v>2</v>
      </c>
      <c r="R1430">
        <v>1</v>
      </c>
      <c r="S1430" t="s">
        <v>57</v>
      </c>
      <c r="T1430">
        <v>2</v>
      </c>
      <c r="U1430" t="str" cm="1">
        <f t="array" ref="U1430">_xlfn.IFS(
HRData[[#This Row],[JobSatisfaction]]=1,"Very Dissatisfied",
HRData[[#This Row],[JobSatisfaction]]=2,"Dissatisfied",
HRData[[#This Row],[JobSatisfaction]]=3,"Satisfied",
HRData[[#This Row],[JobSatisfaction]]=4,"Very Satisfied"
)</f>
        <v>Dissatisfied</v>
      </c>
      <c r="V1430" t="s">
        <v>48</v>
      </c>
      <c r="W1430">
        <v>2269</v>
      </c>
      <c r="X1430" t="str" cm="1">
        <f t="array" ref="X1430">_xlfn.IFS(
HRData[[#This Row],[MonthlyIncome]]&lt;=4000,"Very Low Income",
HRData[[#This Row],[MonthlyIncome]]&lt;=8000,"Low Income",
HRData[[#This Row],[MonthlyIncome]]&lt;=12000,"Moderate Income",
HRData[[#This Row],[MonthlyIncome]]&lt;=16000,"High Income",
HRData[[#This Row],[MonthlyIncome]]&gt;16000,"Very High Income"
)</f>
        <v>Very Low Income</v>
      </c>
      <c r="Y1430">
        <v>18024</v>
      </c>
      <c r="Z1430">
        <v>0</v>
      </c>
      <c r="AA1430" t="s">
        <v>42</v>
      </c>
      <c r="AB1430" t="s">
        <v>43</v>
      </c>
      <c r="AC1430">
        <v>14</v>
      </c>
      <c r="AD1430" t="str" cm="1">
        <f t="array" ref="AD1430">_xlfn.IFS(HRData[[#This Row],[PercentSalaryHike]]&lt;=15,"11-15",HRData[[#This Row],[PercentSalaryHike]]&lt;=20,"16-20",HRData[[#This Row],[PercentSalaryHike]]&gt;=21,"21+")</f>
        <v>11-15</v>
      </c>
      <c r="AE1430">
        <v>3</v>
      </c>
      <c r="AF1430">
        <v>2</v>
      </c>
      <c r="AG1430">
        <v>80</v>
      </c>
      <c r="AH1430">
        <v>1</v>
      </c>
      <c r="AI1430">
        <v>3</v>
      </c>
      <c r="AJ1430">
        <v>2</v>
      </c>
      <c r="AK1430">
        <v>3</v>
      </c>
      <c r="AL1430">
        <v>2</v>
      </c>
      <c r="AM1430">
        <v>2</v>
      </c>
      <c r="AN1430">
        <v>2</v>
      </c>
      <c r="AO1430">
        <v>2</v>
      </c>
      <c r="AP143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430" t="str">
        <f>IF(HRData[[#This Row],[Attrition]]="Yes","Left", IF(HRData[[#This Row],[Attrition_Risk_Score]]&gt;=6,"High",IF(HRData[[#This Row],[Attrition_Risk_Score]]&gt;=3,"Medium","Low")))</f>
        <v>Medium</v>
      </c>
      <c r="AR1430" t="str">
        <f>IF(HRData[[#This Row],[Attrition_Risk_Level]]&lt;&gt;"High","",HRData[[#This Row],[Attrition_Risk_Score]]*10000-HRData[[#This Row],[EmployeeNumber]])</f>
        <v/>
      </c>
    </row>
    <row r="1431" spans="1:44">
      <c r="A1431">
        <v>39</v>
      </c>
      <c r="B1431" t="str" cm="1">
        <f t="array" ref="B1431">_xlfn.IFS(
HRData[[#This Row],[Age]]&lt;=24,"18-24",
HRData[[#This Row],[Age]]&lt;=34,"25-34",
HRData[[#This Row],[Age]]&lt;=44,"35-44",
HRData[[#This Row],[Age]]&lt;=54,"45-54",
HRData[[#This Row],[Age]]&gt;=55,"55+"
)</f>
        <v>35-44</v>
      </c>
      <c r="C1431" t="s">
        <v>43</v>
      </c>
      <c r="D1431">
        <f>IF(HRData[[#This Row],[Attrition]]="Yes",1,0)</f>
        <v>0</v>
      </c>
      <c r="E1431" t="s">
        <v>36</v>
      </c>
      <c r="F1431">
        <v>116</v>
      </c>
      <c r="G1431" t="s">
        <v>45</v>
      </c>
      <c r="H1431">
        <v>24</v>
      </c>
      <c r="I1431">
        <v>1</v>
      </c>
      <c r="J1431" t="s">
        <v>38</v>
      </c>
      <c r="K1431">
        <v>1</v>
      </c>
      <c r="L1431">
        <v>2014</v>
      </c>
      <c r="M1431">
        <v>1</v>
      </c>
      <c r="N1431" t="str" cm="1">
        <f t="array" ref="N1431">_xlfn.IFS(HRData[[#This Row],[EnvironmentSatisfaction]]=1,"Very Dissatisfied",
HRData[[#This Row],[EnvironmentSatisfaction]]=2,"Dissatisfied",
HRData[[#This Row],[EnvironmentSatisfaction]]=3,"Satisfied",
HRData[[#This Row],[EnvironmentSatisfaction]]=4,"Very Satisfied"
)</f>
        <v>Very Dissatisfied</v>
      </c>
      <c r="O1431" t="s">
        <v>46</v>
      </c>
      <c r="P1431">
        <v>52</v>
      </c>
      <c r="Q1431">
        <v>3</v>
      </c>
      <c r="R1431">
        <v>2</v>
      </c>
      <c r="S1431" t="s">
        <v>47</v>
      </c>
      <c r="T1431">
        <v>4</v>
      </c>
      <c r="U1431" t="str" cm="1">
        <f t="array" ref="U1431">_xlfn.IFS(
HRData[[#This Row],[JobSatisfaction]]=1,"Very Dissatisfied",
HRData[[#This Row],[JobSatisfaction]]=2,"Dissatisfied",
HRData[[#This Row],[JobSatisfaction]]=3,"Satisfied",
HRData[[#This Row],[JobSatisfaction]]=4,"Very Satisfied"
)</f>
        <v>Very Satisfied</v>
      </c>
      <c r="V1431" t="s">
        <v>41</v>
      </c>
      <c r="W1431">
        <v>4108</v>
      </c>
      <c r="X1431" t="str" cm="1">
        <f t="array" ref="X1431">_xlfn.IFS(
HRData[[#This Row],[MonthlyIncome]]&lt;=4000,"Very Low Income",
HRData[[#This Row],[MonthlyIncome]]&lt;=8000,"Low Income",
HRData[[#This Row],[MonthlyIncome]]&lt;=12000,"Moderate Income",
HRData[[#This Row],[MonthlyIncome]]&lt;=16000,"High Income",
HRData[[#This Row],[MonthlyIncome]]&gt;16000,"Very High Income"
)</f>
        <v>Low Income</v>
      </c>
      <c r="Y1431">
        <v>5340</v>
      </c>
      <c r="Z1431">
        <v>7</v>
      </c>
      <c r="AA1431" t="s">
        <v>42</v>
      </c>
      <c r="AB1431" t="s">
        <v>43</v>
      </c>
      <c r="AC1431">
        <v>13</v>
      </c>
      <c r="AD1431" t="str" cm="1">
        <f t="array" ref="AD1431">_xlfn.IFS(HRData[[#This Row],[PercentSalaryHike]]&lt;=15,"11-15",HRData[[#This Row],[PercentSalaryHike]]&lt;=20,"16-20",HRData[[#This Row],[PercentSalaryHike]]&gt;=21,"21+")</f>
        <v>11-15</v>
      </c>
      <c r="AE1431">
        <v>3</v>
      </c>
      <c r="AF1431">
        <v>1</v>
      </c>
      <c r="AG1431">
        <v>80</v>
      </c>
      <c r="AH1431">
        <v>0</v>
      </c>
      <c r="AI1431">
        <v>18</v>
      </c>
      <c r="AJ1431">
        <v>2</v>
      </c>
      <c r="AK1431">
        <v>3</v>
      </c>
      <c r="AL1431">
        <v>7</v>
      </c>
      <c r="AM1431">
        <v>7</v>
      </c>
      <c r="AN1431">
        <v>1</v>
      </c>
      <c r="AO1431">
        <v>7</v>
      </c>
      <c r="AP143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31" t="str">
        <f>IF(HRData[[#This Row],[Attrition]]="Yes","Left", IF(HRData[[#This Row],[Attrition_Risk_Score]]&gt;=6,"High",IF(HRData[[#This Row],[Attrition_Risk_Score]]&gt;=3,"Medium","Low")))</f>
        <v>Low</v>
      </c>
      <c r="AR1431" t="str">
        <f>IF(HRData[[#This Row],[Attrition_Risk_Level]]&lt;&gt;"High","",HRData[[#This Row],[Attrition_Risk_Score]]*10000-HRData[[#This Row],[EmployeeNumber]])</f>
        <v/>
      </c>
    </row>
    <row r="1432" spans="1:44">
      <c r="A1432">
        <v>38</v>
      </c>
      <c r="B1432" t="str" cm="1">
        <f t="array" ref="B1432">_xlfn.IFS(
HRData[[#This Row],[Age]]&lt;=24,"18-24",
HRData[[#This Row],[Age]]&lt;=34,"25-34",
HRData[[#This Row],[Age]]&lt;=44,"35-44",
HRData[[#This Row],[Age]]&lt;=54,"45-54",
HRData[[#This Row],[Age]]&gt;=55,"55+"
)</f>
        <v>35-44</v>
      </c>
      <c r="C1432" t="s">
        <v>43</v>
      </c>
      <c r="D1432">
        <f>IF(HRData[[#This Row],[Attrition]]="Yes",1,0)</f>
        <v>0</v>
      </c>
      <c r="E1432" t="s">
        <v>36</v>
      </c>
      <c r="F1432">
        <v>201</v>
      </c>
      <c r="G1432" t="s">
        <v>45</v>
      </c>
      <c r="H1432">
        <v>10</v>
      </c>
      <c r="I1432">
        <v>3</v>
      </c>
      <c r="J1432" t="s">
        <v>51</v>
      </c>
      <c r="K1432">
        <v>1</v>
      </c>
      <c r="L1432">
        <v>2015</v>
      </c>
      <c r="M1432">
        <v>2</v>
      </c>
      <c r="N1432" t="str" cm="1">
        <f t="array" ref="N1432">_xlfn.IFS(HRData[[#This Row],[EnvironmentSatisfaction]]=1,"Very Dissatisfied",
HRData[[#This Row],[EnvironmentSatisfaction]]=2,"Dissatisfied",
HRData[[#This Row],[EnvironmentSatisfaction]]=3,"Satisfied",
HRData[[#This Row],[EnvironmentSatisfaction]]=4,"Very Satisfied"
)</f>
        <v>Dissatisfied</v>
      </c>
      <c r="O1432" t="s">
        <v>39</v>
      </c>
      <c r="P1432">
        <v>99</v>
      </c>
      <c r="Q1432">
        <v>1</v>
      </c>
      <c r="R1432">
        <v>3</v>
      </c>
      <c r="S1432" t="s">
        <v>58</v>
      </c>
      <c r="T1432">
        <v>3</v>
      </c>
      <c r="U1432" t="str" cm="1">
        <f t="array" ref="U1432">_xlfn.IFS(
HRData[[#This Row],[JobSatisfaction]]=1,"Very Dissatisfied",
HRData[[#This Row],[JobSatisfaction]]=2,"Dissatisfied",
HRData[[#This Row],[JobSatisfaction]]=3,"Satisfied",
HRData[[#This Row],[JobSatisfaction]]=4,"Very Satisfied"
)</f>
        <v>Satisfied</v>
      </c>
      <c r="V1432" t="s">
        <v>48</v>
      </c>
      <c r="W1432">
        <v>13206</v>
      </c>
      <c r="X1432" t="str" cm="1">
        <f t="array" ref="X1432">_xlfn.IFS(
HRData[[#This Row],[MonthlyIncome]]&lt;=4000,"Very Low Income",
HRData[[#This Row],[MonthlyIncome]]&lt;=8000,"Low Income",
HRData[[#This Row],[MonthlyIncome]]&lt;=12000,"Moderate Income",
HRData[[#This Row],[MonthlyIncome]]&lt;=16000,"High Income",
HRData[[#This Row],[MonthlyIncome]]&gt;16000,"Very High Income"
)</f>
        <v>High Income</v>
      </c>
      <c r="Y1432">
        <v>3376</v>
      </c>
      <c r="Z1432">
        <v>3</v>
      </c>
      <c r="AA1432" t="s">
        <v>42</v>
      </c>
      <c r="AB1432" t="s">
        <v>43</v>
      </c>
      <c r="AC1432">
        <v>12</v>
      </c>
      <c r="AD1432" t="str" cm="1">
        <f t="array" ref="AD1432">_xlfn.IFS(HRData[[#This Row],[PercentSalaryHike]]&lt;=15,"11-15",HRData[[#This Row],[PercentSalaryHike]]&lt;=20,"16-20",HRData[[#This Row],[PercentSalaryHike]]&gt;=21,"21+")</f>
        <v>11-15</v>
      </c>
      <c r="AE1432">
        <v>3</v>
      </c>
      <c r="AF1432">
        <v>1</v>
      </c>
      <c r="AG1432">
        <v>80</v>
      </c>
      <c r="AH1432">
        <v>1</v>
      </c>
      <c r="AI1432">
        <v>20</v>
      </c>
      <c r="AJ1432">
        <v>3</v>
      </c>
      <c r="AK1432">
        <v>3</v>
      </c>
      <c r="AL1432">
        <v>18</v>
      </c>
      <c r="AM1432">
        <v>16</v>
      </c>
      <c r="AN1432">
        <v>1</v>
      </c>
      <c r="AO1432">
        <v>11</v>
      </c>
      <c r="AP143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432" t="str">
        <f>IF(HRData[[#This Row],[Attrition]]="Yes","Left", IF(HRData[[#This Row],[Attrition_Risk_Score]]&gt;=6,"High",IF(HRData[[#This Row],[Attrition_Risk_Score]]&gt;=3,"Medium","Low")))</f>
        <v>Low</v>
      </c>
      <c r="AR1432" t="str">
        <f>IF(HRData[[#This Row],[Attrition_Risk_Level]]&lt;&gt;"High","",HRData[[#This Row],[Attrition_Risk_Score]]*10000-HRData[[#This Row],[EmployeeNumber]])</f>
        <v/>
      </c>
    </row>
    <row r="1433" spans="1:44">
      <c r="A1433">
        <v>32</v>
      </c>
      <c r="B1433" t="str" cm="1">
        <f t="array" ref="B1433">_xlfn.IFS(
HRData[[#This Row],[Age]]&lt;=24,"18-24",
HRData[[#This Row],[Age]]&lt;=34,"25-34",
HRData[[#This Row],[Age]]&lt;=44,"35-44",
HRData[[#This Row],[Age]]&lt;=54,"45-54",
HRData[[#This Row],[Age]]&gt;=55,"55+"
)</f>
        <v>25-34</v>
      </c>
      <c r="C1433" t="s">
        <v>43</v>
      </c>
      <c r="D1433">
        <f>IF(HRData[[#This Row],[Attrition]]="Yes",1,0)</f>
        <v>0</v>
      </c>
      <c r="E1433" t="s">
        <v>36</v>
      </c>
      <c r="F1433">
        <v>801</v>
      </c>
      <c r="G1433" t="s">
        <v>37</v>
      </c>
      <c r="H1433">
        <v>1</v>
      </c>
      <c r="I1433">
        <v>4</v>
      </c>
      <c r="J1433" t="s">
        <v>59</v>
      </c>
      <c r="K1433">
        <v>1</v>
      </c>
      <c r="L1433">
        <v>2016</v>
      </c>
      <c r="M1433">
        <v>3</v>
      </c>
      <c r="N1433" t="str" cm="1">
        <f t="array" ref="N1433">_xlfn.IFS(HRData[[#This Row],[EnvironmentSatisfaction]]=1,"Very Dissatisfied",
HRData[[#This Row],[EnvironmentSatisfaction]]=2,"Dissatisfied",
HRData[[#This Row],[EnvironmentSatisfaction]]=3,"Satisfied",
HRData[[#This Row],[EnvironmentSatisfaction]]=4,"Very Satisfied"
)</f>
        <v>Satisfied</v>
      </c>
      <c r="O1433" t="s">
        <v>39</v>
      </c>
      <c r="P1433">
        <v>48</v>
      </c>
      <c r="Q1433">
        <v>3</v>
      </c>
      <c r="R1433">
        <v>3</v>
      </c>
      <c r="S1433" t="s">
        <v>40</v>
      </c>
      <c r="T1433">
        <v>4</v>
      </c>
      <c r="U1433" t="str" cm="1">
        <f t="array" ref="U1433">_xlfn.IFS(
HRData[[#This Row],[JobSatisfaction]]=1,"Very Dissatisfied",
HRData[[#This Row],[JobSatisfaction]]=2,"Dissatisfied",
HRData[[#This Row],[JobSatisfaction]]=3,"Satisfied",
HRData[[#This Row],[JobSatisfaction]]=4,"Very Satisfied"
)</f>
        <v>Very Satisfied</v>
      </c>
      <c r="V1433" t="s">
        <v>48</v>
      </c>
      <c r="W1433">
        <v>10422</v>
      </c>
      <c r="X1433" t="str" cm="1">
        <f t="array" ref="X1433">_xlfn.IFS(
HRData[[#This Row],[MonthlyIncome]]&lt;=4000,"Very Low Income",
HRData[[#This Row],[MonthlyIncome]]&lt;=8000,"Low Income",
HRData[[#This Row],[MonthlyIncome]]&lt;=12000,"Moderate Income",
HRData[[#This Row],[MonthlyIncome]]&lt;=16000,"High Income",
HRData[[#This Row],[MonthlyIncome]]&gt;16000,"Very High Income"
)</f>
        <v>Moderate Income</v>
      </c>
      <c r="Y1433">
        <v>24032</v>
      </c>
      <c r="Z1433">
        <v>1</v>
      </c>
      <c r="AA1433" t="s">
        <v>42</v>
      </c>
      <c r="AB1433" t="s">
        <v>43</v>
      </c>
      <c r="AC1433">
        <v>19</v>
      </c>
      <c r="AD1433" t="str" cm="1">
        <f t="array" ref="AD1433">_xlfn.IFS(HRData[[#This Row],[PercentSalaryHike]]&lt;=15,"11-15",HRData[[#This Row],[PercentSalaryHike]]&lt;=20,"16-20",HRData[[#This Row],[PercentSalaryHike]]&gt;=21,"21+")</f>
        <v>16-20</v>
      </c>
      <c r="AE1433">
        <v>3</v>
      </c>
      <c r="AF1433">
        <v>3</v>
      </c>
      <c r="AG1433">
        <v>80</v>
      </c>
      <c r="AH1433">
        <v>2</v>
      </c>
      <c r="AI1433">
        <v>14</v>
      </c>
      <c r="AJ1433">
        <v>3</v>
      </c>
      <c r="AK1433">
        <v>3</v>
      </c>
      <c r="AL1433">
        <v>14</v>
      </c>
      <c r="AM1433">
        <v>10</v>
      </c>
      <c r="AN1433">
        <v>5</v>
      </c>
      <c r="AO1433">
        <v>7</v>
      </c>
      <c r="AP143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33" t="str">
        <f>IF(HRData[[#This Row],[Attrition]]="Yes","Left", IF(HRData[[#This Row],[Attrition_Risk_Score]]&gt;=6,"High",IF(HRData[[#This Row],[Attrition_Risk_Score]]&gt;=3,"Medium","Low")))</f>
        <v>Low</v>
      </c>
      <c r="AR1433" t="str">
        <f>IF(HRData[[#This Row],[Attrition_Risk_Level]]&lt;&gt;"High","",HRData[[#This Row],[Attrition_Risk_Score]]*10000-HRData[[#This Row],[EmployeeNumber]])</f>
        <v/>
      </c>
    </row>
    <row r="1434" spans="1:44">
      <c r="A1434">
        <v>37</v>
      </c>
      <c r="B1434" t="str" cm="1">
        <f t="array" ref="B1434">_xlfn.IFS(
HRData[[#This Row],[Age]]&lt;=24,"18-24",
HRData[[#This Row],[Age]]&lt;=34,"25-34",
HRData[[#This Row],[Age]]&lt;=44,"35-44",
HRData[[#This Row],[Age]]&lt;=54,"45-54",
HRData[[#This Row],[Age]]&gt;=55,"55+"
)</f>
        <v>35-44</v>
      </c>
      <c r="C1434" t="s">
        <v>43</v>
      </c>
      <c r="D1434">
        <f>IF(HRData[[#This Row],[Attrition]]="Yes",1,0)</f>
        <v>0</v>
      </c>
      <c r="E1434" t="s">
        <v>36</v>
      </c>
      <c r="F1434">
        <v>161</v>
      </c>
      <c r="G1434" t="s">
        <v>45</v>
      </c>
      <c r="H1434">
        <v>10</v>
      </c>
      <c r="I1434">
        <v>3</v>
      </c>
      <c r="J1434" t="s">
        <v>38</v>
      </c>
      <c r="K1434">
        <v>1</v>
      </c>
      <c r="L1434">
        <v>2017</v>
      </c>
      <c r="M1434">
        <v>3</v>
      </c>
      <c r="N1434" t="str" cm="1">
        <f t="array" ref="N1434">_xlfn.IFS(HRData[[#This Row],[EnvironmentSatisfaction]]=1,"Very Dissatisfied",
HRData[[#This Row],[EnvironmentSatisfaction]]=2,"Dissatisfied",
HRData[[#This Row],[EnvironmentSatisfaction]]=3,"Satisfied",
HRData[[#This Row],[EnvironmentSatisfaction]]=4,"Very Satisfied"
)</f>
        <v>Satisfied</v>
      </c>
      <c r="O1434" t="s">
        <v>39</v>
      </c>
      <c r="P1434">
        <v>42</v>
      </c>
      <c r="Q1434">
        <v>4</v>
      </c>
      <c r="R1434">
        <v>3</v>
      </c>
      <c r="S1434" t="s">
        <v>58</v>
      </c>
      <c r="T1434">
        <v>4</v>
      </c>
      <c r="U1434" t="str" cm="1">
        <f t="array" ref="U1434">_xlfn.IFS(
HRData[[#This Row],[JobSatisfaction]]=1,"Very Dissatisfied",
HRData[[#This Row],[JobSatisfaction]]=2,"Dissatisfied",
HRData[[#This Row],[JobSatisfaction]]=3,"Satisfied",
HRData[[#This Row],[JobSatisfaction]]=4,"Very Satisfied"
)</f>
        <v>Very Satisfied</v>
      </c>
      <c r="V1434" t="s">
        <v>48</v>
      </c>
      <c r="W1434">
        <v>13744</v>
      </c>
      <c r="X1434" t="str" cm="1">
        <f t="array" ref="X1434">_xlfn.IFS(
HRData[[#This Row],[MonthlyIncome]]&lt;=4000,"Very Low Income",
HRData[[#This Row],[MonthlyIncome]]&lt;=8000,"Low Income",
HRData[[#This Row],[MonthlyIncome]]&lt;=12000,"Moderate Income",
HRData[[#This Row],[MonthlyIncome]]&lt;=16000,"High Income",
HRData[[#This Row],[MonthlyIncome]]&gt;16000,"Very High Income"
)</f>
        <v>High Income</v>
      </c>
      <c r="Y1434">
        <v>15471</v>
      </c>
      <c r="Z1434">
        <v>1</v>
      </c>
      <c r="AA1434" t="s">
        <v>42</v>
      </c>
      <c r="AB1434" t="s">
        <v>35</v>
      </c>
      <c r="AC1434">
        <v>25</v>
      </c>
      <c r="AD1434" t="str" cm="1">
        <f t="array" ref="AD1434">_xlfn.IFS(HRData[[#This Row],[PercentSalaryHike]]&lt;=15,"11-15",HRData[[#This Row],[PercentSalaryHike]]&lt;=20,"16-20",HRData[[#This Row],[PercentSalaryHike]]&gt;=21,"21+")</f>
        <v>21+</v>
      </c>
      <c r="AE1434">
        <v>4</v>
      </c>
      <c r="AF1434">
        <v>1</v>
      </c>
      <c r="AG1434">
        <v>80</v>
      </c>
      <c r="AH1434">
        <v>1</v>
      </c>
      <c r="AI1434">
        <v>16</v>
      </c>
      <c r="AJ1434">
        <v>2</v>
      </c>
      <c r="AK1434">
        <v>3</v>
      </c>
      <c r="AL1434">
        <v>16</v>
      </c>
      <c r="AM1434">
        <v>11</v>
      </c>
      <c r="AN1434">
        <v>6</v>
      </c>
      <c r="AO1434">
        <v>8</v>
      </c>
      <c r="AP143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434" t="str">
        <f>IF(HRData[[#This Row],[Attrition]]="Yes","Left", IF(HRData[[#This Row],[Attrition_Risk_Score]]&gt;=6,"High",IF(HRData[[#This Row],[Attrition_Risk_Score]]&gt;=3,"Medium","Low")))</f>
        <v>Low</v>
      </c>
      <c r="AR1434" t="str">
        <f>IF(HRData[[#This Row],[Attrition_Risk_Level]]&lt;&gt;"High","",HRData[[#This Row],[Attrition_Risk_Score]]*10000-HRData[[#This Row],[EmployeeNumber]])</f>
        <v/>
      </c>
    </row>
    <row r="1435" spans="1:44">
      <c r="A1435">
        <v>25</v>
      </c>
      <c r="B1435" t="str" cm="1">
        <f t="array" ref="B1435">_xlfn.IFS(
HRData[[#This Row],[Age]]&lt;=24,"18-24",
HRData[[#This Row],[Age]]&lt;=34,"25-34",
HRData[[#This Row],[Age]]&lt;=44,"35-44",
HRData[[#This Row],[Age]]&lt;=54,"45-54",
HRData[[#This Row],[Age]]&gt;=55,"55+"
)</f>
        <v>25-34</v>
      </c>
      <c r="C1435" t="s">
        <v>43</v>
      </c>
      <c r="D1435">
        <f>IF(HRData[[#This Row],[Attrition]]="Yes",1,0)</f>
        <v>0</v>
      </c>
      <c r="E1435" t="s">
        <v>36</v>
      </c>
      <c r="F1435">
        <v>1382</v>
      </c>
      <c r="G1435" t="s">
        <v>37</v>
      </c>
      <c r="H1435">
        <v>8</v>
      </c>
      <c r="I1435">
        <v>2</v>
      </c>
      <c r="J1435" t="s">
        <v>49</v>
      </c>
      <c r="K1435">
        <v>1</v>
      </c>
      <c r="L1435">
        <v>2018</v>
      </c>
      <c r="M1435">
        <v>1</v>
      </c>
      <c r="N1435" t="str" cm="1">
        <f t="array" ref="N1435">_xlfn.IFS(HRData[[#This Row],[EnvironmentSatisfaction]]=1,"Very Dissatisfied",
HRData[[#This Row],[EnvironmentSatisfaction]]=2,"Dissatisfied",
HRData[[#This Row],[EnvironmentSatisfaction]]=3,"Satisfied",
HRData[[#This Row],[EnvironmentSatisfaction]]=4,"Very Satisfied"
)</f>
        <v>Very Dissatisfied</v>
      </c>
      <c r="O1435" t="s">
        <v>39</v>
      </c>
      <c r="P1435">
        <v>85</v>
      </c>
      <c r="Q1435">
        <v>3</v>
      </c>
      <c r="R1435">
        <v>2</v>
      </c>
      <c r="S1435" t="s">
        <v>40</v>
      </c>
      <c r="T1435">
        <v>3</v>
      </c>
      <c r="U1435" t="str" cm="1">
        <f t="array" ref="U1435">_xlfn.IFS(
HRData[[#This Row],[JobSatisfaction]]=1,"Very Dissatisfied",
HRData[[#This Row],[JobSatisfaction]]=2,"Dissatisfied",
HRData[[#This Row],[JobSatisfaction]]=3,"Satisfied",
HRData[[#This Row],[JobSatisfaction]]=4,"Very Satisfied"
)</f>
        <v>Satisfied</v>
      </c>
      <c r="V1435" t="s">
        <v>52</v>
      </c>
      <c r="W1435">
        <v>4907</v>
      </c>
      <c r="X1435" t="str" cm="1">
        <f t="array" ref="X1435">_xlfn.IFS(
HRData[[#This Row],[MonthlyIncome]]&lt;=4000,"Very Low Income",
HRData[[#This Row],[MonthlyIncome]]&lt;=8000,"Low Income",
HRData[[#This Row],[MonthlyIncome]]&lt;=12000,"Moderate Income",
HRData[[#This Row],[MonthlyIncome]]&lt;=16000,"High Income",
HRData[[#This Row],[MonthlyIncome]]&gt;16000,"Very High Income"
)</f>
        <v>Low Income</v>
      </c>
      <c r="Y1435">
        <v>13684</v>
      </c>
      <c r="Z1435">
        <v>0</v>
      </c>
      <c r="AA1435" t="s">
        <v>42</v>
      </c>
      <c r="AB1435" t="s">
        <v>35</v>
      </c>
      <c r="AC1435">
        <v>22</v>
      </c>
      <c r="AD1435" t="str" cm="1">
        <f t="array" ref="AD1435">_xlfn.IFS(HRData[[#This Row],[PercentSalaryHike]]&lt;=15,"11-15",HRData[[#This Row],[PercentSalaryHike]]&lt;=20,"16-20",HRData[[#This Row],[PercentSalaryHike]]&gt;=21,"21+")</f>
        <v>21+</v>
      </c>
      <c r="AE1435">
        <v>4</v>
      </c>
      <c r="AF1435">
        <v>2</v>
      </c>
      <c r="AG1435">
        <v>80</v>
      </c>
      <c r="AH1435">
        <v>1</v>
      </c>
      <c r="AI1435">
        <v>6</v>
      </c>
      <c r="AJ1435">
        <v>3</v>
      </c>
      <c r="AK1435">
        <v>2</v>
      </c>
      <c r="AL1435">
        <v>5</v>
      </c>
      <c r="AM1435">
        <v>3</v>
      </c>
      <c r="AN1435">
        <v>0</v>
      </c>
      <c r="AO1435">
        <v>4</v>
      </c>
      <c r="AP143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435" t="str">
        <f>IF(HRData[[#This Row],[Attrition]]="Yes","Left", IF(HRData[[#This Row],[Attrition_Risk_Score]]&gt;=6,"High",IF(HRData[[#This Row],[Attrition_Risk_Score]]&gt;=3,"Medium","Low")))</f>
        <v>Medium</v>
      </c>
      <c r="AR1435" t="str">
        <f>IF(HRData[[#This Row],[Attrition_Risk_Level]]&lt;&gt;"High","",HRData[[#This Row],[Attrition_Risk_Score]]*10000-HRData[[#This Row],[EmployeeNumber]])</f>
        <v/>
      </c>
    </row>
    <row r="1436" spans="1:44">
      <c r="A1436">
        <v>52</v>
      </c>
      <c r="B1436" t="str" cm="1">
        <f t="array" ref="B1436">_xlfn.IFS(
HRData[[#This Row],[Age]]&lt;=24,"18-24",
HRData[[#This Row],[Age]]&lt;=34,"25-34",
HRData[[#This Row],[Age]]&lt;=44,"35-44",
HRData[[#This Row],[Age]]&lt;=54,"45-54",
HRData[[#This Row],[Age]]&gt;=55,"55+"
)</f>
        <v>45-54</v>
      </c>
      <c r="C1436" t="s">
        <v>43</v>
      </c>
      <c r="D1436">
        <f>IF(HRData[[#This Row],[Attrition]]="Yes",1,0)</f>
        <v>0</v>
      </c>
      <c r="E1436" t="s">
        <v>55</v>
      </c>
      <c r="F1436">
        <v>585</v>
      </c>
      <c r="G1436" t="s">
        <v>37</v>
      </c>
      <c r="H1436">
        <v>29</v>
      </c>
      <c r="I1436">
        <v>4</v>
      </c>
      <c r="J1436" t="s">
        <v>38</v>
      </c>
      <c r="K1436">
        <v>1</v>
      </c>
      <c r="L1436">
        <v>2019</v>
      </c>
      <c r="M1436">
        <v>1</v>
      </c>
      <c r="N1436" t="str" cm="1">
        <f t="array" ref="N1436">_xlfn.IFS(HRData[[#This Row],[EnvironmentSatisfaction]]=1,"Very Dissatisfied",
HRData[[#This Row],[EnvironmentSatisfaction]]=2,"Dissatisfied",
HRData[[#This Row],[EnvironmentSatisfaction]]=3,"Satisfied",
HRData[[#This Row],[EnvironmentSatisfaction]]=4,"Very Satisfied"
)</f>
        <v>Very Dissatisfied</v>
      </c>
      <c r="O1436" t="s">
        <v>46</v>
      </c>
      <c r="P1436">
        <v>40</v>
      </c>
      <c r="Q1436">
        <v>3</v>
      </c>
      <c r="R1436">
        <v>1</v>
      </c>
      <c r="S1436" t="s">
        <v>57</v>
      </c>
      <c r="T1436">
        <v>4</v>
      </c>
      <c r="U1436" t="str" cm="1">
        <f t="array" ref="U1436">_xlfn.IFS(
HRData[[#This Row],[JobSatisfaction]]=1,"Very Dissatisfied",
HRData[[#This Row],[JobSatisfaction]]=2,"Dissatisfied",
HRData[[#This Row],[JobSatisfaction]]=3,"Satisfied",
HRData[[#This Row],[JobSatisfaction]]=4,"Very Satisfied"
)</f>
        <v>Very Satisfied</v>
      </c>
      <c r="V1436" t="s">
        <v>52</v>
      </c>
      <c r="W1436">
        <v>3482</v>
      </c>
      <c r="X1436" t="str" cm="1">
        <f t="array" ref="X1436">_xlfn.IFS(
HRData[[#This Row],[MonthlyIncome]]&lt;=4000,"Very Low Income",
HRData[[#This Row],[MonthlyIncome]]&lt;=8000,"Low Income",
HRData[[#This Row],[MonthlyIncome]]&lt;=12000,"Moderate Income",
HRData[[#This Row],[MonthlyIncome]]&lt;=16000,"High Income",
HRData[[#This Row],[MonthlyIncome]]&gt;16000,"Very High Income"
)</f>
        <v>Very Low Income</v>
      </c>
      <c r="Y1436">
        <v>19788</v>
      </c>
      <c r="Z1436">
        <v>2</v>
      </c>
      <c r="AA1436" t="s">
        <v>42</v>
      </c>
      <c r="AB1436" t="s">
        <v>43</v>
      </c>
      <c r="AC1436">
        <v>15</v>
      </c>
      <c r="AD1436" t="str" cm="1">
        <f t="array" ref="AD1436">_xlfn.IFS(HRData[[#This Row],[PercentSalaryHike]]&lt;=15,"11-15",HRData[[#This Row],[PercentSalaryHike]]&lt;=20,"16-20",HRData[[#This Row],[PercentSalaryHike]]&gt;=21,"21+")</f>
        <v>11-15</v>
      </c>
      <c r="AE1436">
        <v>3</v>
      </c>
      <c r="AF1436">
        <v>2</v>
      </c>
      <c r="AG1436">
        <v>80</v>
      </c>
      <c r="AH1436">
        <v>2</v>
      </c>
      <c r="AI1436">
        <v>16</v>
      </c>
      <c r="AJ1436">
        <v>3</v>
      </c>
      <c r="AK1436">
        <v>2</v>
      </c>
      <c r="AL1436">
        <v>9</v>
      </c>
      <c r="AM1436">
        <v>8</v>
      </c>
      <c r="AN1436">
        <v>0</v>
      </c>
      <c r="AO1436">
        <v>0</v>
      </c>
      <c r="AP143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436" t="str">
        <f>IF(HRData[[#This Row],[Attrition]]="Yes","Left", IF(HRData[[#This Row],[Attrition_Risk_Score]]&gt;=6,"High",IF(HRData[[#This Row],[Attrition_Risk_Score]]&gt;=3,"Medium","Low")))</f>
        <v>Medium</v>
      </c>
      <c r="AR1436" t="str">
        <f>IF(HRData[[#This Row],[Attrition_Risk_Level]]&lt;&gt;"High","",HRData[[#This Row],[Attrition_Risk_Score]]*10000-HRData[[#This Row],[EmployeeNumber]])</f>
        <v/>
      </c>
    </row>
    <row r="1437" spans="1:44">
      <c r="A1437">
        <v>44</v>
      </c>
      <c r="B1437" t="str" cm="1">
        <f t="array" ref="B1437">_xlfn.IFS(
HRData[[#This Row],[Age]]&lt;=24,"18-24",
HRData[[#This Row],[Age]]&lt;=34,"25-34",
HRData[[#This Row],[Age]]&lt;=44,"35-44",
HRData[[#This Row],[Age]]&lt;=54,"45-54",
HRData[[#This Row],[Age]]&gt;=55,"55+"
)</f>
        <v>35-44</v>
      </c>
      <c r="C1437" t="s">
        <v>43</v>
      </c>
      <c r="D1437">
        <f>IF(HRData[[#This Row],[Attrition]]="Yes",1,0)</f>
        <v>0</v>
      </c>
      <c r="E1437" t="s">
        <v>36</v>
      </c>
      <c r="F1437">
        <v>1037</v>
      </c>
      <c r="G1437" t="s">
        <v>45</v>
      </c>
      <c r="H1437">
        <v>1</v>
      </c>
      <c r="I1437">
        <v>3</v>
      </c>
      <c r="J1437" t="s">
        <v>51</v>
      </c>
      <c r="K1437">
        <v>1</v>
      </c>
      <c r="L1437">
        <v>2020</v>
      </c>
      <c r="M1437">
        <v>2</v>
      </c>
      <c r="N1437" t="str" cm="1">
        <f t="array" ref="N1437">_xlfn.IFS(HRData[[#This Row],[EnvironmentSatisfaction]]=1,"Very Dissatisfied",
HRData[[#This Row],[EnvironmentSatisfaction]]=2,"Dissatisfied",
HRData[[#This Row],[EnvironmentSatisfaction]]=3,"Satisfied",
HRData[[#This Row],[EnvironmentSatisfaction]]=4,"Very Satisfied"
)</f>
        <v>Dissatisfied</v>
      </c>
      <c r="O1437" t="s">
        <v>46</v>
      </c>
      <c r="P1437">
        <v>42</v>
      </c>
      <c r="Q1437">
        <v>3</v>
      </c>
      <c r="R1437">
        <v>1</v>
      </c>
      <c r="S1437" t="s">
        <v>47</v>
      </c>
      <c r="T1437">
        <v>4</v>
      </c>
      <c r="U1437" t="str" cm="1">
        <f t="array" ref="U1437">_xlfn.IFS(
HRData[[#This Row],[JobSatisfaction]]=1,"Very Dissatisfied",
HRData[[#This Row],[JobSatisfaction]]=2,"Dissatisfied",
HRData[[#This Row],[JobSatisfaction]]=3,"Satisfied",
HRData[[#This Row],[JobSatisfaction]]=4,"Very Satisfied"
)</f>
        <v>Very Satisfied</v>
      </c>
      <c r="V1437" t="s">
        <v>41</v>
      </c>
      <c r="W1437">
        <v>2436</v>
      </c>
      <c r="X1437" t="str" cm="1">
        <f t="array" ref="X1437">_xlfn.IFS(
HRData[[#This Row],[MonthlyIncome]]&lt;=4000,"Very Low Income",
HRData[[#This Row],[MonthlyIncome]]&lt;=8000,"Low Income",
HRData[[#This Row],[MonthlyIncome]]&lt;=12000,"Moderate Income",
HRData[[#This Row],[MonthlyIncome]]&lt;=16000,"High Income",
HRData[[#This Row],[MonthlyIncome]]&gt;16000,"Very High Income"
)</f>
        <v>Very Low Income</v>
      </c>
      <c r="Y1437">
        <v>13422</v>
      </c>
      <c r="Z1437">
        <v>6</v>
      </c>
      <c r="AA1437" t="s">
        <v>42</v>
      </c>
      <c r="AB1437" t="s">
        <v>35</v>
      </c>
      <c r="AC1437">
        <v>12</v>
      </c>
      <c r="AD1437" t="str" cm="1">
        <f t="array" ref="AD1437">_xlfn.IFS(HRData[[#This Row],[PercentSalaryHike]]&lt;=15,"11-15",HRData[[#This Row],[PercentSalaryHike]]&lt;=20,"16-20",HRData[[#This Row],[PercentSalaryHike]]&gt;=21,"21+")</f>
        <v>11-15</v>
      </c>
      <c r="AE1437">
        <v>3</v>
      </c>
      <c r="AF1437">
        <v>3</v>
      </c>
      <c r="AG1437">
        <v>80</v>
      </c>
      <c r="AH1437">
        <v>0</v>
      </c>
      <c r="AI1437">
        <v>6</v>
      </c>
      <c r="AJ1437">
        <v>2</v>
      </c>
      <c r="AK1437">
        <v>3</v>
      </c>
      <c r="AL1437">
        <v>4</v>
      </c>
      <c r="AM1437">
        <v>3</v>
      </c>
      <c r="AN1437">
        <v>1</v>
      </c>
      <c r="AO1437">
        <v>2</v>
      </c>
      <c r="AP143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437" t="str">
        <f>IF(HRData[[#This Row],[Attrition]]="Yes","Left", IF(HRData[[#This Row],[Attrition_Risk_Score]]&gt;=6,"High",IF(HRData[[#This Row],[Attrition_Risk_Score]]&gt;=3,"Medium","Low")))</f>
        <v>Medium</v>
      </c>
      <c r="AR1437" t="str">
        <f>IF(HRData[[#This Row],[Attrition_Risk_Level]]&lt;&gt;"High","",HRData[[#This Row],[Attrition_Risk_Score]]*10000-HRData[[#This Row],[EmployeeNumber]])</f>
        <v/>
      </c>
    </row>
    <row r="1438" spans="1:44">
      <c r="A1438">
        <v>21</v>
      </c>
      <c r="B1438" t="str" cm="1">
        <f t="array" ref="B1438">_xlfn.IFS(
HRData[[#This Row],[Age]]&lt;=24,"18-24",
HRData[[#This Row],[Age]]&lt;=34,"25-34",
HRData[[#This Row],[Age]]&lt;=44,"35-44",
HRData[[#This Row],[Age]]&lt;=54,"45-54",
HRData[[#This Row],[Age]]&gt;=55,"55+"
)</f>
        <v>18-24</v>
      </c>
      <c r="C1438" t="s">
        <v>43</v>
      </c>
      <c r="D1438">
        <f>IF(HRData[[#This Row],[Attrition]]="Yes",1,0)</f>
        <v>0</v>
      </c>
      <c r="E1438" t="s">
        <v>36</v>
      </c>
      <c r="F1438">
        <v>501</v>
      </c>
      <c r="G1438" t="s">
        <v>37</v>
      </c>
      <c r="H1438">
        <v>5</v>
      </c>
      <c r="I1438">
        <v>1</v>
      </c>
      <c r="J1438" t="s">
        <v>51</v>
      </c>
      <c r="K1438">
        <v>1</v>
      </c>
      <c r="L1438">
        <v>2021</v>
      </c>
      <c r="M1438">
        <v>3</v>
      </c>
      <c r="N1438" t="str" cm="1">
        <f t="array" ref="N1438">_xlfn.IFS(HRData[[#This Row],[EnvironmentSatisfaction]]=1,"Very Dissatisfied",
HRData[[#This Row],[EnvironmentSatisfaction]]=2,"Dissatisfied",
HRData[[#This Row],[EnvironmentSatisfaction]]=3,"Satisfied",
HRData[[#This Row],[EnvironmentSatisfaction]]=4,"Very Satisfied"
)</f>
        <v>Satisfied</v>
      </c>
      <c r="O1438" t="s">
        <v>46</v>
      </c>
      <c r="P1438">
        <v>58</v>
      </c>
      <c r="Q1438">
        <v>3</v>
      </c>
      <c r="R1438">
        <v>1</v>
      </c>
      <c r="S1438" t="s">
        <v>57</v>
      </c>
      <c r="T1438">
        <v>1</v>
      </c>
      <c r="U1438" t="str" cm="1">
        <f t="array" ref="U1438">_xlfn.IFS(
HRData[[#This Row],[JobSatisfaction]]=1,"Very Dissatisfied",
HRData[[#This Row],[JobSatisfaction]]=2,"Dissatisfied",
HRData[[#This Row],[JobSatisfaction]]=3,"Satisfied",
HRData[[#This Row],[JobSatisfaction]]=4,"Very Satisfied"
)</f>
        <v>Very Dissatisfied</v>
      </c>
      <c r="V1438" t="s">
        <v>41</v>
      </c>
      <c r="W1438">
        <v>2380</v>
      </c>
      <c r="X1438" t="str" cm="1">
        <f t="array" ref="X1438">_xlfn.IFS(
HRData[[#This Row],[MonthlyIncome]]&lt;=4000,"Very Low Income",
HRData[[#This Row],[MonthlyIncome]]&lt;=8000,"Low Income",
HRData[[#This Row],[MonthlyIncome]]&lt;=12000,"Moderate Income",
HRData[[#This Row],[MonthlyIncome]]&lt;=16000,"High Income",
HRData[[#This Row],[MonthlyIncome]]&gt;16000,"Very High Income"
)</f>
        <v>Very Low Income</v>
      </c>
      <c r="Y1438">
        <v>25479</v>
      </c>
      <c r="Z1438">
        <v>1</v>
      </c>
      <c r="AA1438" t="s">
        <v>42</v>
      </c>
      <c r="AB1438" t="s">
        <v>35</v>
      </c>
      <c r="AC1438">
        <v>11</v>
      </c>
      <c r="AD1438" t="str" cm="1">
        <f t="array" ref="AD1438">_xlfn.IFS(HRData[[#This Row],[PercentSalaryHike]]&lt;=15,"11-15",HRData[[#This Row],[PercentSalaryHike]]&lt;=20,"16-20",HRData[[#This Row],[PercentSalaryHike]]&gt;=21,"21+")</f>
        <v>11-15</v>
      </c>
      <c r="AE1438">
        <v>3</v>
      </c>
      <c r="AF1438">
        <v>4</v>
      </c>
      <c r="AG1438">
        <v>80</v>
      </c>
      <c r="AH1438">
        <v>0</v>
      </c>
      <c r="AI1438">
        <v>2</v>
      </c>
      <c r="AJ1438">
        <v>6</v>
      </c>
      <c r="AK1438">
        <v>3</v>
      </c>
      <c r="AL1438">
        <v>2</v>
      </c>
      <c r="AM1438">
        <v>2</v>
      </c>
      <c r="AN1438">
        <v>1</v>
      </c>
      <c r="AO1438">
        <v>2</v>
      </c>
      <c r="AP143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10</v>
      </c>
      <c r="AQ1438" t="str">
        <f>IF(HRData[[#This Row],[Attrition]]="Yes","Left", IF(HRData[[#This Row],[Attrition_Risk_Score]]&gt;=6,"High",IF(HRData[[#This Row],[Attrition_Risk_Score]]&gt;=3,"Medium","Low")))</f>
        <v>High</v>
      </c>
      <c r="AR1438">
        <f>IF(HRData[[#This Row],[Attrition_Risk_Level]]&lt;&gt;"High","",HRData[[#This Row],[Attrition_Risk_Score]]*10000-HRData[[#This Row],[EmployeeNumber]])</f>
        <v>97979</v>
      </c>
    </row>
    <row r="1439" spans="1:44">
      <c r="A1439">
        <v>39</v>
      </c>
      <c r="B1439" t="str" cm="1">
        <f t="array" ref="B1439">_xlfn.IFS(
HRData[[#This Row],[Age]]&lt;=24,"18-24",
HRData[[#This Row],[Age]]&lt;=34,"25-34",
HRData[[#This Row],[Age]]&lt;=44,"35-44",
HRData[[#This Row],[Age]]&lt;=54,"45-54",
HRData[[#This Row],[Age]]&gt;=55,"55+"
)</f>
        <v>35-44</v>
      </c>
      <c r="C1439" t="s">
        <v>43</v>
      </c>
      <c r="D1439">
        <f>IF(HRData[[#This Row],[Attrition]]="Yes",1,0)</f>
        <v>0</v>
      </c>
      <c r="E1439" t="s">
        <v>55</v>
      </c>
      <c r="F1439">
        <v>105</v>
      </c>
      <c r="G1439" t="s">
        <v>45</v>
      </c>
      <c r="H1439">
        <v>9</v>
      </c>
      <c r="I1439">
        <v>3</v>
      </c>
      <c r="J1439" t="s">
        <v>38</v>
      </c>
      <c r="K1439">
        <v>1</v>
      </c>
      <c r="L1439">
        <v>2022</v>
      </c>
      <c r="M1439">
        <v>4</v>
      </c>
      <c r="N1439" t="str" cm="1">
        <f t="array" ref="N1439">_xlfn.IFS(HRData[[#This Row],[EnvironmentSatisfaction]]=1,"Very Dissatisfied",
HRData[[#This Row],[EnvironmentSatisfaction]]=2,"Dissatisfied",
HRData[[#This Row],[EnvironmentSatisfaction]]=3,"Satisfied",
HRData[[#This Row],[EnvironmentSatisfaction]]=4,"Very Satisfied"
)</f>
        <v>Very Satisfied</v>
      </c>
      <c r="O1439" t="s">
        <v>46</v>
      </c>
      <c r="P1439">
        <v>87</v>
      </c>
      <c r="Q1439">
        <v>3</v>
      </c>
      <c r="R1439">
        <v>5</v>
      </c>
      <c r="S1439" t="s">
        <v>56</v>
      </c>
      <c r="T1439">
        <v>4</v>
      </c>
      <c r="U1439" t="str" cm="1">
        <f t="array" ref="U1439">_xlfn.IFS(
HRData[[#This Row],[JobSatisfaction]]=1,"Very Dissatisfied",
HRData[[#This Row],[JobSatisfaction]]=2,"Dissatisfied",
HRData[[#This Row],[JobSatisfaction]]=3,"Satisfied",
HRData[[#This Row],[JobSatisfaction]]=4,"Very Satisfied"
)</f>
        <v>Very Satisfied</v>
      </c>
      <c r="V1439" t="s">
        <v>41</v>
      </c>
      <c r="W1439">
        <v>19431</v>
      </c>
      <c r="X1439" t="str" cm="1">
        <f t="array" ref="X1439">_xlfn.IFS(
HRData[[#This Row],[MonthlyIncome]]&lt;=4000,"Very Low Income",
HRData[[#This Row],[MonthlyIncome]]&lt;=8000,"Low Income",
HRData[[#This Row],[MonthlyIncome]]&lt;=12000,"Moderate Income",
HRData[[#This Row],[MonthlyIncome]]&lt;=16000,"High Income",
HRData[[#This Row],[MonthlyIncome]]&gt;16000,"Very High Income"
)</f>
        <v>Very High Income</v>
      </c>
      <c r="Y1439">
        <v>15302</v>
      </c>
      <c r="Z1439">
        <v>2</v>
      </c>
      <c r="AA1439" t="s">
        <v>42</v>
      </c>
      <c r="AB1439" t="s">
        <v>43</v>
      </c>
      <c r="AC1439">
        <v>13</v>
      </c>
      <c r="AD1439" t="str" cm="1">
        <f t="array" ref="AD1439">_xlfn.IFS(HRData[[#This Row],[PercentSalaryHike]]&lt;=15,"11-15",HRData[[#This Row],[PercentSalaryHike]]&lt;=20,"16-20",HRData[[#This Row],[PercentSalaryHike]]&gt;=21,"21+")</f>
        <v>11-15</v>
      </c>
      <c r="AE1439">
        <v>3</v>
      </c>
      <c r="AF1439">
        <v>3</v>
      </c>
      <c r="AG1439">
        <v>80</v>
      </c>
      <c r="AH1439">
        <v>0</v>
      </c>
      <c r="AI1439">
        <v>21</v>
      </c>
      <c r="AJ1439">
        <v>3</v>
      </c>
      <c r="AK1439">
        <v>2</v>
      </c>
      <c r="AL1439">
        <v>6</v>
      </c>
      <c r="AM1439">
        <v>0</v>
      </c>
      <c r="AN1439">
        <v>1</v>
      </c>
      <c r="AO1439">
        <v>3</v>
      </c>
      <c r="AP143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439" t="str">
        <f>IF(HRData[[#This Row],[Attrition]]="Yes","Left", IF(HRData[[#This Row],[Attrition_Risk_Score]]&gt;=6,"High",IF(HRData[[#This Row],[Attrition_Risk_Score]]&gt;=3,"Medium","Low")))</f>
        <v>Low</v>
      </c>
      <c r="AR1439" t="str">
        <f>IF(HRData[[#This Row],[Attrition_Risk_Level]]&lt;&gt;"High","",HRData[[#This Row],[Attrition_Risk_Score]]*10000-HRData[[#This Row],[EmployeeNumber]])</f>
        <v/>
      </c>
    </row>
    <row r="1440" spans="1:44">
      <c r="A1440">
        <v>23</v>
      </c>
      <c r="B1440" t="str" cm="1">
        <f t="array" ref="B1440">_xlfn.IFS(
HRData[[#This Row],[Age]]&lt;=24,"18-24",
HRData[[#This Row],[Age]]&lt;=34,"25-34",
HRData[[#This Row],[Age]]&lt;=44,"35-44",
HRData[[#This Row],[Age]]&lt;=54,"45-54",
HRData[[#This Row],[Age]]&gt;=55,"55+"
)</f>
        <v>18-24</v>
      </c>
      <c r="C1440" t="s">
        <v>35</v>
      </c>
      <c r="D1440">
        <f>IF(HRData[[#This Row],[Attrition]]="Yes",1,0)</f>
        <v>1</v>
      </c>
      <c r="E1440" t="s">
        <v>44</v>
      </c>
      <c r="F1440">
        <v>638</v>
      </c>
      <c r="G1440" t="s">
        <v>37</v>
      </c>
      <c r="H1440">
        <v>9</v>
      </c>
      <c r="I1440">
        <v>3</v>
      </c>
      <c r="J1440" t="s">
        <v>59</v>
      </c>
      <c r="K1440">
        <v>1</v>
      </c>
      <c r="L1440">
        <v>2023</v>
      </c>
      <c r="M1440">
        <v>4</v>
      </c>
      <c r="N1440" t="str" cm="1">
        <f t="array" ref="N1440">_xlfn.IFS(HRData[[#This Row],[EnvironmentSatisfaction]]=1,"Very Dissatisfied",
HRData[[#This Row],[EnvironmentSatisfaction]]=2,"Dissatisfied",
HRData[[#This Row],[EnvironmentSatisfaction]]=3,"Satisfied",
HRData[[#This Row],[EnvironmentSatisfaction]]=4,"Very Satisfied"
)</f>
        <v>Very Satisfied</v>
      </c>
      <c r="O1440" t="s">
        <v>46</v>
      </c>
      <c r="P1440">
        <v>33</v>
      </c>
      <c r="Q1440">
        <v>3</v>
      </c>
      <c r="R1440">
        <v>1</v>
      </c>
      <c r="S1440" t="s">
        <v>57</v>
      </c>
      <c r="T1440">
        <v>1</v>
      </c>
      <c r="U1440" t="str" cm="1">
        <f t="array" ref="U1440">_xlfn.IFS(
HRData[[#This Row],[JobSatisfaction]]=1,"Very Dissatisfied",
HRData[[#This Row],[JobSatisfaction]]=2,"Dissatisfied",
HRData[[#This Row],[JobSatisfaction]]=3,"Satisfied",
HRData[[#This Row],[JobSatisfaction]]=4,"Very Satisfied"
)</f>
        <v>Very Dissatisfied</v>
      </c>
      <c r="V1440" t="s">
        <v>48</v>
      </c>
      <c r="W1440">
        <v>1790</v>
      </c>
      <c r="X1440" t="str" cm="1">
        <f t="array" ref="X1440">_xlfn.IFS(
HRData[[#This Row],[MonthlyIncome]]&lt;=4000,"Very Low Income",
HRData[[#This Row],[MonthlyIncome]]&lt;=8000,"Low Income",
HRData[[#This Row],[MonthlyIncome]]&lt;=12000,"Moderate Income",
HRData[[#This Row],[MonthlyIncome]]&lt;=16000,"High Income",
HRData[[#This Row],[MonthlyIncome]]&gt;16000,"Very High Income"
)</f>
        <v>Very Low Income</v>
      </c>
      <c r="Y1440">
        <v>26956</v>
      </c>
      <c r="Z1440">
        <v>1</v>
      </c>
      <c r="AA1440" t="s">
        <v>42</v>
      </c>
      <c r="AB1440" t="s">
        <v>43</v>
      </c>
      <c r="AC1440">
        <v>19</v>
      </c>
      <c r="AD1440" t="str" cm="1">
        <f t="array" ref="AD1440">_xlfn.IFS(HRData[[#This Row],[PercentSalaryHike]]&lt;=15,"11-15",HRData[[#This Row],[PercentSalaryHike]]&lt;=20,"16-20",HRData[[#This Row],[PercentSalaryHike]]&gt;=21,"21+")</f>
        <v>16-20</v>
      </c>
      <c r="AE1440">
        <v>3</v>
      </c>
      <c r="AF1440">
        <v>1</v>
      </c>
      <c r="AG1440">
        <v>80</v>
      </c>
      <c r="AH1440">
        <v>1</v>
      </c>
      <c r="AI1440">
        <v>1</v>
      </c>
      <c r="AJ1440">
        <v>3</v>
      </c>
      <c r="AK1440">
        <v>2</v>
      </c>
      <c r="AL1440">
        <v>1</v>
      </c>
      <c r="AM1440">
        <v>0</v>
      </c>
      <c r="AN1440">
        <v>1</v>
      </c>
      <c r="AO1440">
        <v>0</v>
      </c>
      <c r="AP144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440" t="str">
        <f>IF(HRData[[#This Row],[Attrition]]="Yes","Left", IF(HRData[[#This Row],[Attrition_Risk_Score]]&gt;=6,"High",IF(HRData[[#This Row],[Attrition_Risk_Score]]&gt;=3,"Medium","Low")))</f>
        <v>Left</v>
      </c>
      <c r="AR1440" t="str">
        <f>IF(HRData[[#This Row],[Attrition_Risk_Level]]&lt;&gt;"High","",HRData[[#This Row],[Attrition_Risk_Score]]*10000-HRData[[#This Row],[EmployeeNumber]])</f>
        <v/>
      </c>
    </row>
    <row r="1441" spans="1:44">
      <c r="A1441">
        <v>36</v>
      </c>
      <c r="B1441" t="str" cm="1">
        <f t="array" ref="B1441">_xlfn.IFS(
HRData[[#This Row],[Age]]&lt;=24,"18-24",
HRData[[#This Row],[Age]]&lt;=34,"25-34",
HRData[[#This Row],[Age]]&lt;=44,"35-44",
HRData[[#This Row],[Age]]&lt;=54,"45-54",
HRData[[#This Row],[Age]]&gt;=55,"55+"
)</f>
        <v>35-44</v>
      </c>
      <c r="C1441" t="s">
        <v>43</v>
      </c>
      <c r="D1441">
        <f>IF(HRData[[#This Row],[Attrition]]="Yes",1,0)</f>
        <v>0</v>
      </c>
      <c r="E1441" t="s">
        <v>36</v>
      </c>
      <c r="F1441">
        <v>557</v>
      </c>
      <c r="G1441" t="s">
        <v>37</v>
      </c>
      <c r="H1441">
        <v>3</v>
      </c>
      <c r="I1441">
        <v>3</v>
      </c>
      <c r="J1441" t="s">
        <v>51</v>
      </c>
      <c r="K1441">
        <v>1</v>
      </c>
      <c r="L1441">
        <v>2024</v>
      </c>
      <c r="M1441">
        <v>1</v>
      </c>
      <c r="N1441" t="str" cm="1">
        <f t="array" ref="N1441">_xlfn.IFS(HRData[[#This Row],[EnvironmentSatisfaction]]=1,"Very Dissatisfied",
HRData[[#This Row],[EnvironmentSatisfaction]]=2,"Dissatisfied",
HRData[[#This Row],[EnvironmentSatisfaction]]=3,"Satisfied",
HRData[[#This Row],[EnvironmentSatisfaction]]=4,"Very Satisfied"
)</f>
        <v>Very Dissatisfied</v>
      </c>
      <c r="O1441" t="s">
        <v>39</v>
      </c>
      <c r="P1441">
        <v>94</v>
      </c>
      <c r="Q1441">
        <v>2</v>
      </c>
      <c r="R1441">
        <v>3</v>
      </c>
      <c r="S1441" t="s">
        <v>40</v>
      </c>
      <c r="T1441">
        <v>4</v>
      </c>
      <c r="U1441" t="str" cm="1">
        <f t="array" ref="U1441">_xlfn.IFS(
HRData[[#This Row],[JobSatisfaction]]=1,"Very Dissatisfied",
HRData[[#This Row],[JobSatisfaction]]=2,"Dissatisfied",
HRData[[#This Row],[JobSatisfaction]]=3,"Satisfied",
HRData[[#This Row],[JobSatisfaction]]=4,"Very Satisfied"
)</f>
        <v>Very Satisfied</v>
      </c>
      <c r="V1441" t="s">
        <v>48</v>
      </c>
      <c r="W1441">
        <v>7644</v>
      </c>
      <c r="X1441" t="str" cm="1">
        <f t="array" ref="X1441">_xlfn.IFS(
HRData[[#This Row],[MonthlyIncome]]&lt;=4000,"Very Low Income",
HRData[[#This Row],[MonthlyIncome]]&lt;=8000,"Low Income",
HRData[[#This Row],[MonthlyIncome]]&lt;=12000,"Moderate Income",
HRData[[#This Row],[MonthlyIncome]]&lt;=16000,"High Income",
HRData[[#This Row],[MonthlyIncome]]&gt;16000,"Very High Income"
)</f>
        <v>Low Income</v>
      </c>
      <c r="Y1441">
        <v>12695</v>
      </c>
      <c r="Z1441">
        <v>0</v>
      </c>
      <c r="AA1441" t="s">
        <v>42</v>
      </c>
      <c r="AB1441" t="s">
        <v>43</v>
      </c>
      <c r="AC1441">
        <v>19</v>
      </c>
      <c r="AD1441" t="str" cm="1">
        <f t="array" ref="AD1441">_xlfn.IFS(HRData[[#This Row],[PercentSalaryHike]]&lt;=15,"11-15",HRData[[#This Row],[PercentSalaryHike]]&lt;=20,"16-20",HRData[[#This Row],[PercentSalaryHike]]&gt;=21,"21+")</f>
        <v>16-20</v>
      </c>
      <c r="AE1441">
        <v>3</v>
      </c>
      <c r="AF1441">
        <v>3</v>
      </c>
      <c r="AG1441">
        <v>80</v>
      </c>
      <c r="AH1441">
        <v>2</v>
      </c>
      <c r="AI1441">
        <v>10</v>
      </c>
      <c r="AJ1441">
        <v>2</v>
      </c>
      <c r="AK1441">
        <v>3</v>
      </c>
      <c r="AL1441">
        <v>9</v>
      </c>
      <c r="AM1441">
        <v>7</v>
      </c>
      <c r="AN1441">
        <v>3</v>
      </c>
      <c r="AO1441">
        <v>4</v>
      </c>
      <c r="AP144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41" t="str">
        <f>IF(HRData[[#This Row],[Attrition]]="Yes","Left", IF(HRData[[#This Row],[Attrition_Risk_Score]]&gt;=6,"High",IF(HRData[[#This Row],[Attrition_Risk_Score]]&gt;=3,"Medium","Low")))</f>
        <v>Low</v>
      </c>
      <c r="AR1441" t="str">
        <f>IF(HRData[[#This Row],[Attrition_Risk_Level]]&lt;&gt;"High","",HRData[[#This Row],[Attrition_Risk_Score]]*10000-HRData[[#This Row],[EmployeeNumber]])</f>
        <v/>
      </c>
    </row>
    <row r="1442" spans="1:44">
      <c r="A1442">
        <v>36</v>
      </c>
      <c r="B1442" t="str" cm="1">
        <f t="array" ref="B1442">_xlfn.IFS(
HRData[[#This Row],[Age]]&lt;=24,"18-24",
HRData[[#This Row],[Age]]&lt;=34,"25-34",
HRData[[#This Row],[Age]]&lt;=44,"35-44",
HRData[[#This Row],[Age]]&lt;=54,"45-54",
HRData[[#This Row],[Age]]&gt;=55,"55+"
)</f>
        <v>35-44</v>
      </c>
      <c r="C1442" t="s">
        <v>43</v>
      </c>
      <c r="D1442">
        <f>IF(HRData[[#This Row],[Attrition]]="Yes",1,0)</f>
        <v>0</v>
      </c>
      <c r="E1442" t="s">
        <v>44</v>
      </c>
      <c r="F1442">
        <v>688</v>
      </c>
      <c r="G1442" t="s">
        <v>45</v>
      </c>
      <c r="H1442">
        <v>4</v>
      </c>
      <c r="I1442">
        <v>2</v>
      </c>
      <c r="J1442" t="s">
        <v>38</v>
      </c>
      <c r="K1442">
        <v>1</v>
      </c>
      <c r="L1442">
        <v>2025</v>
      </c>
      <c r="M1442">
        <v>4</v>
      </c>
      <c r="N1442" t="str" cm="1">
        <f t="array" ref="N1442">_xlfn.IFS(HRData[[#This Row],[EnvironmentSatisfaction]]=1,"Very Dissatisfied",
HRData[[#This Row],[EnvironmentSatisfaction]]=2,"Dissatisfied",
HRData[[#This Row],[EnvironmentSatisfaction]]=3,"Satisfied",
HRData[[#This Row],[EnvironmentSatisfaction]]=4,"Very Satisfied"
)</f>
        <v>Very Satisfied</v>
      </c>
      <c r="O1442" t="s">
        <v>39</v>
      </c>
      <c r="P1442">
        <v>97</v>
      </c>
      <c r="Q1442">
        <v>3</v>
      </c>
      <c r="R1442">
        <v>2</v>
      </c>
      <c r="S1442" t="s">
        <v>53</v>
      </c>
      <c r="T1442">
        <v>2</v>
      </c>
      <c r="U1442" t="str" cm="1">
        <f t="array" ref="U1442">_xlfn.IFS(
HRData[[#This Row],[JobSatisfaction]]=1,"Very Dissatisfied",
HRData[[#This Row],[JobSatisfaction]]=2,"Dissatisfied",
HRData[[#This Row],[JobSatisfaction]]=3,"Satisfied",
HRData[[#This Row],[JobSatisfaction]]=4,"Very Satisfied"
)</f>
        <v>Dissatisfied</v>
      </c>
      <c r="V1442" t="s">
        <v>52</v>
      </c>
      <c r="W1442">
        <v>5131</v>
      </c>
      <c r="X1442" t="str" cm="1">
        <f t="array" ref="X1442">_xlfn.IFS(
HRData[[#This Row],[MonthlyIncome]]&lt;=4000,"Very Low Income",
HRData[[#This Row],[MonthlyIncome]]&lt;=8000,"Low Income",
HRData[[#This Row],[MonthlyIncome]]&lt;=12000,"Moderate Income",
HRData[[#This Row],[MonthlyIncome]]&lt;=16000,"High Income",
HRData[[#This Row],[MonthlyIncome]]&gt;16000,"Very High Income"
)</f>
        <v>Low Income</v>
      </c>
      <c r="Y1442">
        <v>9192</v>
      </c>
      <c r="Z1442">
        <v>7</v>
      </c>
      <c r="AA1442" t="s">
        <v>42</v>
      </c>
      <c r="AB1442" t="s">
        <v>43</v>
      </c>
      <c r="AC1442">
        <v>13</v>
      </c>
      <c r="AD1442" t="str" cm="1">
        <f t="array" ref="AD1442">_xlfn.IFS(HRData[[#This Row],[PercentSalaryHike]]&lt;=15,"11-15",HRData[[#This Row],[PercentSalaryHike]]&lt;=20,"16-20",HRData[[#This Row],[PercentSalaryHike]]&gt;=21,"21+")</f>
        <v>11-15</v>
      </c>
      <c r="AE1442">
        <v>3</v>
      </c>
      <c r="AF1442">
        <v>2</v>
      </c>
      <c r="AG1442">
        <v>80</v>
      </c>
      <c r="AH1442">
        <v>3</v>
      </c>
      <c r="AI1442">
        <v>18</v>
      </c>
      <c r="AJ1442">
        <v>3</v>
      </c>
      <c r="AK1442">
        <v>3</v>
      </c>
      <c r="AL1442">
        <v>4</v>
      </c>
      <c r="AM1442">
        <v>2</v>
      </c>
      <c r="AN1442">
        <v>0</v>
      </c>
      <c r="AO1442">
        <v>2</v>
      </c>
      <c r="AP144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42" t="str">
        <f>IF(HRData[[#This Row],[Attrition]]="Yes","Left", IF(HRData[[#This Row],[Attrition_Risk_Score]]&gt;=6,"High",IF(HRData[[#This Row],[Attrition_Risk_Score]]&gt;=3,"Medium","Low")))</f>
        <v>Low</v>
      </c>
      <c r="AR1442" t="str">
        <f>IF(HRData[[#This Row],[Attrition_Risk_Level]]&lt;&gt;"High","",HRData[[#This Row],[Attrition_Risk_Score]]*10000-HRData[[#This Row],[EmployeeNumber]])</f>
        <v/>
      </c>
    </row>
    <row r="1443" spans="1:44">
      <c r="A1443">
        <v>56</v>
      </c>
      <c r="B1443" t="str" cm="1">
        <f t="array" ref="B1443">_xlfn.IFS(
HRData[[#This Row],[Age]]&lt;=24,"18-24",
HRData[[#This Row],[Age]]&lt;=34,"25-34",
HRData[[#This Row],[Age]]&lt;=44,"35-44",
HRData[[#This Row],[Age]]&lt;=54,"45-54",
HRData[[#This Row],[Age]]&gt;=55,"55+"
)</f>
        <v>55+</v>
      </c>
      <c r="C1443" t="s">
        <v>43</v>
      </c>
      <c r="D1443">
        <f>IF(HRData[[#This Row],[Attrition]]="Yes",1,0)</f>
        <v>0</v>
      </c>
      <c r="E1443" t="s">
        <v>55</v>
      </c>
      <c r="F1443">
        <v>667</v>
      </c>
      <c r="G1443" t="s">
        <v>45</v>
      </c>
      <c r="H1443">
        <v>1</v>
      </c>
      <c r="I1443">
        <v>4</v>
      </c>
      <c r="J1443" t="s">
        <v>38</v>
      </c>
      <c r="K1443">
        <v>1</v>
      </c>
      <c r="L1443">
        <v>2026</v>
      </c>
      <c r="M1443">
        <v>3</v>
      </c>
      <c r="N1443" t="str" cm="1">
        <f t="array" ref="N1443">_xlfn.IFS(HRData[[#This Row],[EnvironmentSatisfaction]]=1,"Very Dissatisfied",
HRData[[#This Row],[EnvironmentSatisfaction]]=2,"Dissatisfied",
HRData[[#This Row],[EnvironmentSatisfaction]]=3,"Satisfied",
HRData[[#This Row],[EnvironmentSatisfaction]]=4,"Very Satisfied"
)</f>
        <v>Satisfied</v>
      </c>
      <c r="O1443" t="s">
        <v>46</v>
      </c>
      <c r="P1443">
        <v>57</v>
      </c>
      <c r="Q1443">
        <v>3</v>
      </c>
      <c r="R1443">
        <v>2</v>
      </c>
      <c r="S1443" t="s">
        <v>54</v>
      </c>
      <c r="T1443">
        <v>3</v>
      </c>
      <c r="U1443" t="str" cm="1">
        <f t="array" ref="U1443">_xlfn.IFS(
HRData[[#This Row],[JobSatisfaction]]=1,"Very Dissatisfied",
HRData[[#This Row],[JobSatisfaction]]=2,"Dissatisfied",
HRData[[#This Row],[JobSatisfaction]]=3,"Satisfied",
HRData[[#This Row],[JobSatisfaction]]=4,"Very Satisfied"
)</f>
        <v>Satisfied</v>
      </c>
      <c r="V1443" t="s">
        <v>52</v>
      </c>
      <c r="W1443">
        <v>6306</v>
      </c>
      <c r="X1443" t="str" cm="1">
        <f t="array" ref="X1443">_xlfn.IFS(
HRData[[#This Row],[MonthlyIncome]]&lt;=4000,"Very Low Income",
HRData[[#This Row],[MonthlyIncome]]&lt;=8000,"Low Income",
HRData[[#This Row],[MonthlyIncome]]&lt;=12000,"Moderate Income",
HRData[[#This Row],[MonthlyIncome]]&lt;=16000,"High Income",
HRData[[#This Row],[MonthlyIncome]]&gt;16000,"Very High Income"
)</f>
        <v>Low Income</v>
      </c>
      <c r="Y1443">
        <v>26236</v>
      </c>
      <c r="Z1443">
        <v>1</v>
      </c>
      <c r="AA1443" t="s">
        <v>42</v>
      </c>
      <c r="AB1443" t="s">
        <v>43</v>
      </c>
      <c r="AC1443">
        <v>21</v>
      </c>
      <c r="AD1443" t="str" cm="1">
        <f t="array" ref="AD1443">_xlfn.IFS(HRData[[#This Row],[PercentSalaryHike]]&lt;=15,"11-15",HRData[[#This Row],[PercentSalaryHike]]&lt;=20,"16-20",HRData[[#This Row],[PercentSalaryHike]]&gt;=21,"21+")</f>
        <v>21+</v>
      </c>
      <c r="AE1443">
        <v>4</v>
      </c>
      <c r="AF1443">
        <v>1</v>
      </c>
      <c r="AG1443">
        <v>80</v>
      </c>
      <c r="AH1443">
        <v>1</v>
      </c>
      <c r="AI1443">
        <v>13</v>
      </c>
      <c r="AJ1443">
        <v>2</v>
      </c>
      <c r="AK1443">
        <v>2</v>
      </c>
      <c r="AL1443">
        <v>13</v>
      </c>
      <c r="AM1443">
        <v>12</v>
      </c>
      <c r="AN1443">
        <v>1</v>
      </c>
      <c r="AO1443">
        <v>9</v>
      </c>
      <c r="AP144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43" t="str">
        <f>IF(HRData[[#This Row],[Attrition]]="Yes","Left", IF(HRData[[#This Row],[Attrition_Risk_Score]]&gt;=6,"High",IF(HRData[[#This Row],[Attrition_Risk_Score]]&gt;=3,"Medium","Low")))</f>
        <v>Low</v>
      </c>
      <c r="AR1443" t="str">
        <f>IF(HRData[[#This Row],[Attrition_Risk_Level]]&lt;&gt;"High","",HRData[[#This Row],[Attrition_Risk_Score]]*10000-HRData[[#This Row],[EmployeeNumber]])</f>
        <v/>
      </c>
    </row>
    <row r="1444" spans="1:44">
      <c r="A1444">
        <v>29</v>
      </c>
      <c r="B1444" t="str" cm="1">
        <f t="array" ref="B1444">_xlfn.IFS(
HRData[[#This Row],[Age]]&lt;=24,"18-24",
HRData[[#This Row],[Age]]&lt;=34,"25-34",
HRData[[#This Row],[Age]]&lt;=44,"35-44",
HRData[[#This Row],[Age]]&lt;=54,"45-54",
HRData[[#This Row],[Age]]&gt;=55,"55+"
)</f>
        <v>25-34</v>
      </c>
      <c r="C1444" t="s">
        <v>35</v>
      </c>
      <c r="D1444">
        <f>IF(HRData[[#This Row],[Attrition]]="Yes",1,0)</f>
        <v>1</v>
      </c>
      <c r="E1444" t="s">
        <v>36</v>
      </c>
      <c r="F1444">
        <v>1092</v>
      </c>
      <c r="G1444" t="s">
        <v>45</v>
      </c>
      <c r="H1444">
        <v>1</v>
      </c>
      <c r="I1444">
        <v>4</v>
      </c>
      <c r="J1444" t="s">
        <v>51</v>
      </c>
      <c r="K1444">
        <v>1</v>
      </c>
      <c r="L1444">
        <v>2027</v>
      </c>
      <c r="M1444">
        <v>1</v>
      </c>
      <c r="N1444" t="str" cm="1">
        <f t="array" ref="N1444">_xlfn.IFS(HRData[[#This Row],[EnvironmentSatisfaction]]=1,"Very Dissatisfied",
HRData[[#This Row],[EnvironmentSatisfaction]]=2,"Dissatisfied",
HRData[[#This Row],[EnvironmentSatisfaction]]=3,"Satisfied",
HRData[[#This Row],[EnvironmentSatisfaction]]=4,"Very Satisfied"
)</f>
        <v>Very Dissatisfied</v>
      </c>
      <c r="O1444" t="s">
        <v>46</v>
      </c>
      <c r="P1444">
        <v>36</v>
      </c>
      <c r="Q1444">
        <v>3</v>
      </c>
      <c r="R1444">
        <v>1</v>
      </c>
      <c r="S1444" t="s">
        <v>47</v>
      </c>
      <c r="T1444">
        <v>4</v>
      </c>
      <c r="U1444" t="str" cm="1">
        <f t="array" ref="U1444">_xlfn.IFS(
HRData[[#This Row],[JobSatisfaction]]=1,"Very Dissatisfied",
HRData[[#This Row],[JobSatisfaction]]=2,"Dissatisfied",
HRData[[#This Row],[JobSatisfaction]]=3,"Satisfied",
HRData[[#This Row],[JobSatisfaction]]=4,"Very Satisfied"
)</f>
        <v>Very Satisfied</v>
      </c>
      <c r="V1444" t="s">
        <v>48</v>
      </c>
      <c r="W1444">
        <v>4787</v>
      </c>
      <c r="X1444" t="str" cm="1">
        <f t="array" ref="X1444">_xlfn.IFS(
HRData[[#This Row],[MonthlyIncome]]&lt;=4000,"Very Low Income",
HRData[[#This Row],[MonthlyIncome]]&lt;=8000,"Low Income",
HRData[[#This Row],[MonthlyIncome]]&lt;=12000,"Moderate Income",
HRData[[#This Row],[MonthlyIncome]]&lt;=16000,"High Income",
HRData[[#This Row],[MonthlyIncome]]&gt;16000,"Very High Income"
)</f>
        <v>Low Income</v>
      </c>
      <c r="Y1444">
        <v>26124</v>
      </c>
      <c r="Z1444">
        <v>9</v>
      </c>
      <c r="AA1444" t="s">
        <v>42</v>
      </c>
      <c r="AB1444" t="s">
        <v>35</v>
      </c>
      <c r="AC1444">
        <v>14</v>
      </c>
      <c r="AD1444" t="str" cm="1">
        <f t="array" ref="AD1444">_xlfn.IFS(HRData[[#This Row],[PercentSalaryHike]]&lt;=15,"11-15",HRData[[#This Row],[PercentSalaryHike]]&lt;=20,"16-20",HRData[[#This Row],[PercentSalaryHike]]&gt;=21,"21+")</f>
        <v>11-15</v>
      </c>
      <c r="AE1444">
        <v>3</v>
      </c>
      <c r="AF1444">
        <v>2</v>
      </c>
      <c r="AG1444">
        <v>80</v>
      </c>
      <c r="AH1444">
        <v>3</v>
      </c>
      <c r="AI1444">
        <v>4</v>
      </c>
      <c r="AJ1444">
        <v>3</v>
      </c>
      <c r="AK1444">
        <v>4</v>
      </c>
      <c r="AL1444">
        <v>2</v>
      </c>
      <c r="AM1444">
        <v>2</v>
      </c>
      <c r="AN1444">
        <v>2</v>
      </c>
      <c r="AO1444">
        <v>2</v>
      </c>
      <c r="AP144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444" t="str">
        <f>IF(HRData[[#This Row],[Attrition]]="Yes","Left", IF(HRData[[#This Row],[Attrition_Risk_Score]]&gt;=6,"High",IF(HRData[[#This Row],[Attrition_Risk_Score]]&gt;=3,"Medium","Low")))</f>
        <v>Left</v>
      </c>
      <c r="AR1444" t="str">
        <f>IF(HRData[[#This Row],[Attrition_Risk_Level]]&lt;&gt;"High","",HRData[[#This Row],[Attrition_Risk_Score]]*10000-HRData[[#This Row],[EmployeeNumber]])</f>
        <v/>
      </c>
    </row>
    <row r="1445" spans="1:44">
      <c r="A1445">
        <v>42</v>
      </c>
      <c r="B1445" t="str" cm="1">
        <f t="array" ref="B1445">_xlfn.IFS(
HRData[[#This Row],[Age]]&lt;=24,"18-24",
HRData[[#This Row],[Age]]&lt;=34,"25-34",
HRData[[#This Row],[Age]]&lt;=44,"35-44",
HRData[[#This Row],[Age]]&lt;=54,"45-54",
HRData[[#This Row],[Age]]&gt;=55,"55+"
)</f>
        <v>35-44</v>
      </c>
      <c r="C1445" t="s">
        <v>43</v>
      </c>
      <c r="D1445">
        <f>IF(HRData[[#This Row],[Attrition]]="Yes",1,0)</f>
        <v>0</v>
      </c>
      <c r="E1445" t="s">
        <v>36</v>
      </c>
      <c r="F1445">
        <v>300</v>
      </c>
      <c r="G1445" t="s">
        <v>45</v>
      </c>
      <c r="H1445">
        <v>2</v>
      </c>
      <c r="I1445">
        <v>3</v>
      </c>
      <c r="J1445" t="s">
        <v>38</v>
      </c>
      <c r="K1445">
        <v>1</v>
      </c>
      <c r="L1445">
        <v>2031</v>
      </c>
      <c r="M1445">
        <v>1</v>
      </c>
      <c r="N1445" t="str" cm="1">
        <f t="array" ref="N1445">_xlfn.IFS(HRData[[#This Row],[EnvironmentSatisfaction]]=1,"Very Dissatisfied",
HRData[[#This Row],[EnvironmentSatisfaction]]=2,"Dissatisfied",
HRData[[#This Row],[EnvironmentSatisfaction]]=3,"Satisfied",
HRData[[#This Row],[EnvironmentSatisfaction]]=4,"Very Satisfied"
)</f>
        <v>Very Dissatisfied</v>
      </c>
      <c r="O1445" t="s">
        <v>46</v>
      </c>
      <c r="P1445">
        <v>56</v>
      </c>
      <c r="Q1445">
        <v>3</v>
      </c>
      <c r="R1445">
        <v>5</v>
      </c>
      <c r="S1445" t="s">
        <v>56</v>
      </c>
      <c r="T1445">
        <v>3</v>
      </c>
      <c r="U1445" t="str" cm="1">
        <f t="array" ref="U1445">_xlfn.IFS(
HRData[[#This Row],[JobSatisfaction]]=1,"Very Dissatisfied",
HRData[[#This Row],[JobSatisfaction]]=2,"Dissatisfied",
HRData[[#This Row],[JobSatisfaction]]=3,"Satisfied",
HRData[[#This Row],[JobSatisfaction]]=4,"Very Satisfied"
)</f>
        <v>Satisfied</v>
      </c>
      <c r="V1445" t="s">
        <v>48</v>
      </c>
      <c r="W1445">
        <v>18880</v>
      </c>
      <c r="X1445" t="str" cm="1">
        <f t="array" ref="X1445">_xlfn.IFS(
HRData[[#This Row],[MonthlyIncome]]&lt;=4000,"Very Low Income",
HRData[[#This Row],[MonthlyIncome]]&lt;=8000,"Low Income",
HRData[[#This Row],[MonthlyIncome]]&lt;=12000,"Moderate Income",
HRData[[#This Row],[MonthlyIncome]]&lt;=16000,"High Income",
HRData[[#This Row],[MonthlyIncome]]&gt;16000,"Very High Income"
)</f>
        <v>Very High Income</v>
      </c>
      <c r="Y1445">
        <v>17312</v>
      </c>
      <c r="Z1445">
        <v>5</v>
      </c>
      <c r="AA1445" t="s">
        <v>42</v>
      </c>
      <c r="AB1445" t="s">
        <v>43</v>
      </c>
      <c r="AC1445">
        <v>11</v>
      </c>
      <c r="AD1445" t="str" cm="1">
        <f t="array" ref="AD1445">_xlfn.IFS(HRData[[#This Row],[PercentSalaryHike]]&lt;=15,"11-15",HRData[[#This Row],[PercentSalaryHike]]&lt;=20,"16-20",HRData[[#This Row],[PercentSalaryHike]]&gt;=21,"21+")</f>
        <v>11-15</v>
      </c>
      <c r="AE1445">
        <v>3</v>
      </c>
      <c r="AF1445">
        <v>1</v>
      </c>
      <c r="AG1445">
        <v>80</v>
      </c>
      <c r="AH1445">
        <v>0</v>
      </c>
      <c r="AI1445">
        <v>24</v>
      </c>
      <c r="AJ1445">
        <v>2</v>
      </c>
      <c r="AK1445">
        <v>2</v>
      </c>
      <c r="AL1445">
        <v>22</v>
      </c>
      <c r="AM1445">
        <v>6</v>
      </c>
      <c r="AN1445">
        <v>4</v>
      </c>
      <c r="AO1445">
        <v>14</v>
      </c>
      <c r="AP144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445" t="str">
        <f>IF(HRData[[#This Row],[Attrition]]="Yes","Left", IF(HRData[[#This Row],[Attrition_Risk_Score]]&gt;=6,"High",IF(HRData[[#This Row],[Attrition_Risk_Score]]&gt;=3,"Medium","Low")))</f>
        <v>Low</v>
      </c>
      <c r="AR1445" t="str">
        <f>IF(HRData[[#This Row],[Attrition_Risk_Level]]&lt;&gt;"High","",HRData[[#This Row],[Attrition_Risk_Score]]*10000-HRData[[#This Row],[EmployeeNumber]])</f>
        <v/>
      </c>
    </row>
    <row r="1446" spans="1:44">
      <c r="A1446">
        <v>56</v>
      </c>
      <c r="B1446" t="str" cm="1">
        <f t="array" ref="B1446">_xlfn.IFS(
HRData[[#This Row],[Age]]&lt;=24,"18-24",
HRData[[#This Row],[Age]]&lt;=34,"25-34",
HRData[[#This Row],[Age]]&lt;=44,"35-44",
HRData[[#This Row],[Age]]&lt;=54,"45-54",
HRData[[#This Row],[Age]]&gt;=55,"55+"
)</f>
        <v>55+</v>
      </c>
      <c r="C1446" t="s">
        <v>35</v>
      </c>
      <c r="D1446">
        <f>IF(HRData[[#This Row],[Attrition]]="Yes",1,0)</f>
        <v>1</v>
      </c>
      <c r="E1446" t="s">
        <v>36</v>
      </c>
      <c r="F1446">
        <v>310</v>
      </c>
      <c r="G1446" t="s">
        <v>45</v>
      </c>
      <c r="H1446">
        <v>7</v>
      </c>
      <c r="I1446">
        <v>2</v>
      </c>
      <c r="J1446" t="s">
        <v>60</v>
      </c>
      <c r="K1446">
        <v>1</v>
      </c>
      <c r="L1446">
        <v>2032</v>
      </c>
      <c r="M1446">
        <v>4</v>
      </c>
      <c r="N1446" t="str" cm="1">
        <f t="array" ref="N1446">_xlfn.IFS(HRData[[#This Row],[EnvironmentSatisfaction]]=1,"Very Dissatisfied",
HRData[[#This Row],[EnvironmentSatisfaction]]=2,"Dissatisfied",
HRData[[#This Row],[EnvironmentSatisfaction]]=3,"Satisfied",
HRData[[#This Row],[EnvironmentSatisfaction]]=4,"Very Satisfied"
)</f>
        <v>Very Satisfied</v>
      </c>
      <c r="O1446" t="s">
        <v>46</v>
      </c>
      <c r="P1446">
        <v>72</v>
      </c>
      <c r="Q1446">
        <v>3</v>
      </c>
      <c r="R1446">
        <v>1</v>
      </c>
      <c r="S1446" t="s">
        <v>50</v>
      </c>
      <c r="T1446">
        <v>3</v>
      </c>
      <c r="U1446" t="str" cm="1">
        <f t="array" ref="U1446">_xlfn.IFS(
HRData[[#This Row],[JobSatisfaction]]=1,"Very Dissatisfied",
HRData[[#This Row],[JobSatisfaction]]=2,"Dissatisfied",
HRData[[#This Row],[JobSatisfaction]]=3,"Satisfied",
HRData[[#This Row],[JobSatisfaction]]=4,"Very Satisfied"
)</f>
        <v>Satisfied</v>
      </c>
      <c r="V1446" t="s">
        <v>48</v>
      </c>
      <c r="W1446">
        <v>2339</v>
      </c>
      <c r="X1446" t="str" cm="1">
        <f t="array" ref="X1446">_xlfn.IFS(
HRData[[#This Row],[MonthlyIncome]]&lt;=4000,"Very Low Income",
HRData[[#This Row],[MonthlyIncome]]&lt;=8000,"Low Income",
HRData[[#This Row],[MonthlyIncome]]&lt;=12000,"Moderate Income",
HRData[[#This Row],[MonthlyIncome]]&lt;=16000,"High Income",
HRData[[#This Row],[MonthlyIncome]]&gt;16000,"Very High Income"
)</f>
        <v>Very Low Income</v>
      </c>
      <c r="Y1446">
        <v>3666</v>
      </c>
      <c r="Z1446">
        <v>8</v>
      </c>
      <c r="AA1446" t="s">
        <v>42</v>
      </c>
      <c r="AB1446" t="s">
        <v>43</v>
      </c>
      <c r="AC1446">
        <v>11</v>
      </c>
      <c r="AD1446" t="str" cm="1">
        <f t="array" ref="AD1446">_xlfn.IFS(HRData[[#This Row],[PercentSalaryHike]]&lt;=15,"11-15",HRData[[#This Row],[PercentSalaryHike]]&lt;=20,"16-20",HRData[[#This Row],[PercentSalaryHike]]&gt;=21,"21+")</f>
        <v>11-15</v>
      </c>
      <c r="AE1446">
        <v>3</v>
      </c>
      <c r="AF1446">
        <v>4</v>
      </c>
      <c r="AG1446">
        <v>80</v>
      </c>
      <c r="AH1446">
        <v>1</v>
      </c>
      <c r="AI1446">
        <v>14</v>
      </c>
      <c r="AJ1446">
        <v>4</v>
      </c>
      <c r="AK1446">
        <v>1</v>
      </c>
      <c r="AL1446">
        <v>10</v>
      </c>
      <c r="AM1446">
        <v>9</v>
      </c>
      <c r="AN1446">
        <v>9</v>
      </c>
      <c r="AO1446">
        <v>8</v>
      </c>
      <c r="AP144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446" t="str">
        <f>IF(HRData[[#This Row],[Attrition]]="Yes","Left", IF(HRData[[#This Row],[Attrition_Risk_Score]]&gt;=6,"High",IF(HRData[[#This Row],[Attrition_Risk_Score]]&gt;=3,"Medium","Low")))</f>
        <v>Left</v>
      </c>
      <c r="AR1446" t="str">
        <f>IF(HRData[[#This Row],[Attrition_Risk_Level]]&lt;&gt;"High","",HRData[[#This Row],[Attrition_Risk_Score]]*10000-HRData[[#This Row],[EmployeeNumber]])</f>
        <v/>
      </c>
    </row>
    <row r="1447" spans="1:44">
      <c r="A1447">
        <v>41</v>
      </c>
      <c r="B1447" t="str" cm="1">
        <f t="array" ref="B1447">_xlfn.IFS(
HRData[[#This Row],[Age]]&lt;=24,"18-24",
HRData[[#This Row],[Age]]&lt;=34,"25-34",
HRData[[#This Row],[Age]]&lt;=44,"35-44",
HRData[[#This Row],[Age]]&lt;=54,"45-54",
HRData[[#This Row],[Age]]&gt;=55,"55+"
)</f>
        <v>35-44</v>
      </c>
      <c r="C1447" t="s">
        <v>43</v>
      </c>
      <c r="D1447">
        <f>IF(HRData[[#This Row],[Attrition]]="Yes",1,0)</f>
        <v>0</v>
      </c>
      <c r="E1447" t="s">
        <v>36</v>
      </c>
      <c r="F1447">
        <v>582</v>
      </c>
      <c r="G1447" t="s">
        <v>45</v>
      </c>
      <c r="H1447">
        <v>28</v>
      </c>
      <c r="I1447">
        <v>4</v>
      </c>
      <c r="J1447" t="s">
        <v>38</v>
      </c>
      <c r="K1447">
        <v>1</v>
      </c>
      <c r="L1447">
        <v>2034</v>
      </c>
      <c r="M1447">
        <v>1</v>
      </c>
      <c r="N1447" t="str" cm="1">
        <f t="array" ref="N1447">_xlfn.IFS(HRData[[#This Row],[EnvironmentSatisfaction]]=1,"Very Dissatisfied",
HRData[[#This Row],[EnvironmentSatisfaction]]=2,"Dissatisfied",
HRData[[#This Row],[EnvironmentSatisfaction]]=3,"Satisfied",
HRData[[#This Row],[EnvironmentSatisfaction]]=4,"Very Satisfied"
)</f>
        <v>Very Dissatisfied</v>
      </c>
      <c r="O1447" t="s">
        <v>39</v>
      </c>
      <c r="P1447">
        <v>60</v>
      </c>
      <c r="Q1447">
        <v>2</v>
      </c>
      <c r="R1447">
        <v>4</v>
      </c>
      <c r="S1447" t="s">
        <v>53</v>
      </c>
      <c r="T1447">
        <v>2</v>
      </c>
      <c r="U1447" t="str" cm="1">
        <f t="array" ref="U1447">_xlfn.IFS(
HRData[[#This Row],[JobSatisfaction]]=1,"Very Dissatisfied",
HRData[[#This Row],[JobSatisfaction]]=2,"Dissatisfied",
HRData[[#This Row],[JobSatisfaction]]=3,"Satisfied",
HRData[[#This Row],[JobSatisfaction]]=4,"Very Satisfied"
)</f>
        <v>Dissatisfied</v>
      </c>
      <c r="V1447" t="s">
        <v>48</v>
      </c>
      <c r="W1447">
        <v>13570</v>
      </c>
      <c r="X1447" t="str" cm="1">
        <f t="array" ref="X1447">_xlfn.IFS(
HRData[[#This Row],[MonthlyIncome]]&lt;=4000,"Very Low Income",
HRData[[#This Row],[MonthlyIncome]]&lt;=8000,"Low Income",
HRData[[#This Row],[MonthlyIncome]]&lt;=12000,"Moderate Income",
HRData[[#This Row],[MonthlyIncome]]&lt;=16000,"High Income",
HRData[[#This Row],[MonthlyIncome]]&gt;16000,"Very High Income"
)</f>
        <v>High Income</v>
      </c>
      <c r="Y1447">
        <v>5640</v>
      </c>
      <c r="Z1447">
        <v>0</v>
      </c>
      <c r="AA1447" t="s">
        <v>42</v>
      </c>
      <c r="AB1447" t="s">
        <v>43</v>
      </c>
      <c r="AC1447">
        <v>23</v>
      </c>
      <c r="AD1447" t="str" cm="1">
        <f t="array" ref="AD1447">_xlfn.IFS(HRData[[#This Row],[PercentSalaryHike]]&lt;=15,"11-15",HRData[[#This Row],[PercentSalaryHike]]&lt;=20,"16-20",HRData[[#This Row],[PercentSalaryHike]]&gt;=21,"21+")</f>
        <v>21+</v>
      </c>
      <c r="AE1447">
        <v>4</v>
      </c>
      <c r="AF1447">
        <v>3</v>
      </c>
      <c r="AG1447">
        <v>80</v>
      </c>
      <c r="AH1447">
        <v>1</v>
      </c>
      <c r="AI1447">
        <v>21</v>
      </c>
      <c r="AJ1447">
        <v>3</v>
      </c>
      <c r="AK1447">
        <v>3</v>
      </c>
      <c r="AL1447">
        <v>20</v>
      </c>
      <c r="AM1447">
        <v>7</v>
      </c>
      <c r="AN1447">
        <v>0</v>
      </c>
      <c r="AO1447">
        <v>10</v>
      </c>
      <c r="AP144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447" t="str">
        <f>IF(HRData[[#This Row],[Attrition]]="Yes","Left", IF(HRData[[#This Row],[Attrition_Risk_Score]]&gt;=6,"High",IF(HRData[[#This Row],[Attrition_Risk_Score]]&gt;=3,"Medium","Low")))</f>
        <v>Low</v>
      </c>
      <c r="AR1447" t="str">
        <f>IF(HRData[[#This Row],[Attrition_Risk_Level]]&lt;&gt;"High","",HRData[[#This Row],[Attrition_Risk_Score]]*10000-HRData[[#This Row],[EmployeeNumber]])</f>
        <v/>
      </c>
    </row>
    <row r="1448" spans="1:44">
      <c r="A1448">
        <v>34</v>
      </c>
      <c r="B1448" t="str" cm="1">
        <f t="array" ref="B1448">_xlfn.IFS(
HRData[[#This Row],[Age]]&lt;=24,"18-24",
HRData[[#This Row],[Age]]&lt;=34,"25-34",
HRData[[#This Row],[Age]]&lt;=44,"35-44",
HRData[[#This Row],[Age]]&lt;=54,"45-54",
HRData[[#This Row],[Age]]&gt;=55,"55+"
)</f>
        <v>25-34</v>
      </c>
      <c r="C1448" t="s">
        <v>43</v>
      </c>
      <c r="D1448">
        <f>IF(HRData[[#This Row],[Attrition]]="Yes",1,0)</f>
        <v>0</v>
      </c>
      <c r="E1448" t="s">
        <v>36</v>
      </c>
      <c r="F1448">
        <v>704</v>
      </c>
      <c r="G1448" t="s">
        <v>37</v>
      </c>
      <c r="H1448">
        <v>28</v>
      </c>
      <c r="I1448">
        <v>3</v>
      </c>
      <c r="J1448" t="s">
        <v>59</v>
      </c>
      <c r="K1448">
        <v>1</v>
      </c>
      <c r="L1448">
        <v>2035</v>
      </c>
      <c r="M1448">
        <v>4</v>
      </c>
      <c r="N1448" t="str" cm="1">
        <f t="array" ref="N1448">_xlfn.IFS(HRData[[#This Row],[EnvironmentSatisfaction]]=1,"Very Dissatisfied",
HRData[[#This Row],[EnvironmentSatisfaction]]=2,"Dissatisfied",
HRData[[#This Row],[EnvironmentSatisfaction]]=3,"Satisfied",
HRData[[#This Row],[EnvironmentSatisfaction]]=4,"Very Satisfied"
)</f>
        <v>Very Satisfied</v>
      </c>
      <c r="O1448" t="s">
        <v>39</v>
      </c>
      <c r="P1448">
        <v>95</v>
      </c>
      <c r="Q1448">
        <v>2</v>
      </c>
      <c r="R1448">
        <v>2</v>
      </c>
      <c r="S1448" t="s">
        <v>40</v>
      </c>
      <c r="T1448">
        <v>3</v>
      </c>
      <c r="U1448" t="str" cm="1">
        <f t="array" ref="U1448">_xlfn.IFS(
HRData[[#This Row],[JobSatisfaction]]=1,"Very Dissatisfied",
HRData[[#This Row],[JobSatisfaction]]=2,"Dissatisfied",
HRData[[#This Row],[JobSatisfaction]]=3,"Satisfied",
HRData[[#This Row],[JobSatisfaction]]=4,"Very Satisfied"
)</f>
        <v>Satisfied</v>
      </c>
      <c r="V1448" t="s">
        <v>48</v>
      </c>
      <c r="W1448">
        <v>6712</v>
      </c>
      <c r="X1448" t="str" cm="1">
        <f t="array" ref="X1448">_xlfn.IFS(
HRData[[#This Row],[MonthlyIncome]]&lt;=4000,"Very Low Income",
HRData[[#This Row],[MonthlyIncome]]&lt;=8000,"Low Income",
HRData[[#This Row],[MonthlyIncome]]&lt;=12000,"Moderate Income",
HRData[[#This Row],[MonthlyIncome]]&lt;=16000,"High Income",
HRData[[#This Row],[MonthlyIncome]]&gt;16000,"Very High Income"
)</f>
        <v>Low Income</v>
      </c>
      <c r="Y1448">
        <v>8978</v>
      </c>
      <c r="Z1448">
        <v>1</v>
      </c>
      <c r="AA1448" t="s">
        <v>42</v>
      </c>
      <c r="AB1448" t="s">
        <v>43</v>
      </c>
      <c r="AC1448">
        <v>21</v>
      </c>
      <c r="AD1448" t="str" cm="1">
        <f t="array" ref="AD1448">_xlfn.IFS(HRData[[#This Row],[PercentSalaryHike]]&lt;=15,"11-15",HRData[[#This Row],[PercentSalaryHike]]&lt;=20,"16-20",HRData[[#This Row],[PercentSalaryHike]]&gt;=21,"21+")</f>
        <v>21+</v>
      </c>
      <c r="AE1448">
        <v>4</v>
      </c>
      <c r="AF1448">
        <v>4</v>
      </c>
      <c r="AG1448">
        <v>80</v>
      </c>
      <c r="AH1448">
        <v>2</v>
      </c>
      <c r="AI1448">
        <v>8</v>
      </c>
      <c r="AJ1448">
        <v>2</v>
      </c>
      <c r="AK1448">
        <v>3</v>
      </c>
      <c r="AL1448">
        <v>8</v>
      </c>
      <c r="AM1448">
        <v>7</v>
      </c>
      <c r="AN1448">
        <v>1</v>
      </c>
      <c r="AO1448">
        <v>7</v>
      </c>
      <c r="AP144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448" t="str">
        <f>IF(HRData[[#This Row],[Attrition]]="Yes","Left", IF(HRData[[#This Row],[Attrition_Risk_Score]]&gt;=6,"High",IF(HRData[[#This Row],[Attrition_Risk_Score]]&gt;=3,"Medium","Low")))</f>
        <v>Low</v>
      </c>
      <c r="AR1448" t="str">
        <f>IF(HRData[[#This Row],[Attrition_Risk_Level]]&lt;&gt;"High","",HRData[[#This Row],[Attrition_Risk_Score]]*10000-HRData[[#This Row],[EmployeeNumber]])</f>
        <v/>
      </c>
    </row>
    <row r="1449" spans="1:44">
      <c r="A1449">
        <v>36</v>
      </c>
      <c r="B1449" t="str" cm="1">
        <f t="array" ref="B1449">_xlfn.IFS(
HRData[[#This Row],[Age]]&lt;=24,"18-24",
HRData[[#This Row],[Age]]&lt;=34,"25-34",
HRData[[#This Row],[Age]]&lt;=44,"35-44",
HRData[[#This Row],[Age]]&lt;=54,"45-54",
HRData[[#This Row],[Age]]&gt;=55,"55+"
)</f>
        <v>35-44</v>
      </c>
      <c r="C1449" t="s">
        <v>43</v>
      </c>
      <c r="D1449">
        <f>IF(HRData[[#This Row],[Attrition]]="Yes",1,0)</f>
        <v>0</v>
      </c>
      <c r="E1449" t="s">
        <v>55</v>
      </c>
      <c r="F1449">
        <v>301</v>
      </c>
      <c r="G1449" t="s">
        <v>37</v>
      </c>
      <c r="H1449">
        <v>15</v>
      </c>
      <c r="I1449">
        <v>4</v>
      </c>
      <c r="J1449" t="s">
        <v>59</v>
      </c>
      <c r="K1449">
        <v>1</v>
      </c>
      <c r="L1449">
        <v>2036</v>
      </c>
      <c r="M1449">
        <v>4</v>
      </c>
      <c r="N1449" t="str" cm="1">
        <f t="array" ref="N1449">_xlfn.IFS(HRData[[#This Row],[EnvironmentSatisfaction]]=1,"Very Dissatisfied",
HRData[[#This Row],[EnvironmentSatisfaction]]=2,"Dissatisfied",
HRData[[#This Row],[EnvironmentSatisfaction]]=3,"Satisfied",
HRData[[#This Row],[EnvironmentSatisfaction]]=4,"Very Satisfied"
)</f>
        <v>Very Satisfied</v>
      </c>
      <c r="O1449" t="s">
        <v>46</v>
      </c>
      <c r="P1449">
        <v>88</v>
      </c>
      <c r="Q1449">
        <v>1</v>
      </c>
      <c r="R1449">
        <v>2</v>
      </c>
      <c r="S1449" t="s">
        <v>40</v>
      </c>
      <c r="T1449">
        <v>4</v>
      </c>
      <c r="U1449" t="str" cm="1">
        <f t="array" ref="U1449">_xlfn.IFS(
HRData[[#This Row],[JobSatisfaction]]=1,"Very Dissatisfied",
HRData[[#This Row],[JobSatisfaction]]=2,"Dissatisfied",
HRData[[#This Row],[JobSatisfaction]]=3,"Satisfied",
HRData[[#This Row],[JobSatisfaction]]=4,"Very Satisfied"
)</f>
        <v>Very Satisfied</v>
      </c>
      <c r="V1449" t="s">
        <v>52</v>
      </c>
      <c r="W1449">
        <v>5406</v>
      </c>
      <c r="X1449" t="str" cm="1">
        <f t="array" ref="X1449">_xlfn.IFS(
HRData[[#This Row],[MonthlyIncome]]&lt;=4000,"Very Low Income",
HRData[[#This Row],[MonthlyIncome]]&lt;=8000,"Low Income",
HRData[[#This Row],[MonthlyIncome]]&lt;=12000,"Moderate Income",
HRData[[#This Row],[MonthlyIncome]]&lt;=16000,"High Income",
HRData[[#This Row],[MonthlyIncome]]&gt;16000,"Very High Income"
)</f>
        <v>Low Income</v>
      </c>
      <c r="Y1449">
        <v>10436</v>
      </c>
      <c r="Z1449">
        <v>1</v>
      </c>
      <c r="AA1449" t="s">
        <v>42</v>
      </c>
      <c r="AB1449" t="s">
        <v>43</v>
      </c>
      <c r="AC1449">
        <v>24</v>
      </c>
      <c r="AD1449" t="str" cm="1">
        <f t="array" ref="AD1449">_xlfn.IFS(HRData[[#This Row],[PercentSalaryHike]]&lt;=15,"11-15",HRData[[#This Row],[PercentSalaryHike]]&lt;=20,"16-20",HRData[[#This Row],[PercentSalaryHike]]&gt;=21,"21+")</f>
        <v>21+</v>
      </c>
      <c r="AE1449">
        <v>4</v>
      </c>
      <c r="AF1449">
        <v>1</v>
      </c>
      <c r="AG1449">
        <v>80</v>
      </c>
      <c r="AH1449">
        <v>1</v>
      </c>
      <c r="AI1449">
        <v>15</v>
      </c>
      <c r="AJ1449">
        <v>4</v>
      </c>
      <c r="AK1449">
        <v>2</v>
      </c>
      <c r="AL1449">
        <v>15</v>
      </c>
      <c r="AM1449">
        <v>12</v>
      </c>
      <c r="AN1449">
        <v>11</v>
      </c>
      <c r="AO1449">
        <v>11</v>
      </c>
      <c r="AP144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49" t="str">
        <f>IF(HRData[[#This Row],[Attrition]]="Yes","Left", IF(HRData[[#This Row],[Attrition_Risk_Score]]&gt;=6,"High",IF(HRData[[#This Row],[Attrition_Risk_Score]]&gt;=3,"Medium","Low")))</f>
        <v>Low</v>
      </c>
      <c r="AR1449" t="str">
        <f>IF(HRData[[#This Row],[Attrition_Risk_Level]]&lt;&gt;"High","",HRData[[#This Row],[Attrition_Risk_Score]]*10000-HRData[[#This Row],[EmployeeNumber]])</f>
        <v/>
      </c>
    </row>
    <row r="1450" spans="1:44">
      <c r="A1450">
        <v>41</v>
      </c>
      <c r="B1450" t="str" cm="1">
        <f t="array" ref="B1450">_xlfn.IFS(
HRData[[#This Row],[Age]]&lt;=24,"18-24",
HRData[[#This Row],[Age]]&lt;=34,"25-34",
HRData[[#This Row],[Age]]&lt;=44,"35-44",
HRData[[#This Row],[Age]]&lt;=54,"45-54",
HRData[[#This Row],[Age]]&gt;=55,"55+"
)</f>
        <v>35-44</v>
      </c>
      <c r="C1450" t="s">
        <v>43</v>
      </c>
      <c r="D1450">
        <f>IF(HRData[[#This Row],[Attrition]]="Yes",1,0)</f>
        <v>0</v>
      </c>
      <c r="E1450" t="s">
        <v>36</v>
      </c>
      <c r="F1450">
        <v>930</v>
      </c>
      <c r="G1450" t="s">
        <v>37</v>
      </c>
      <c r="H1450">
        <v>3</v>
      </c>
      <c r="I1450">
        <v>3</v>
      </c>
      <c r="J1450" t="s">
        <v>38</v>
      </c>
      <c r="K1450">
        <v>1</v>
      </c>
      <c r="L1450">
        <v>2037</v>
      </c>
      <c r="M1450">
        <v>3</v>
      </c>
      <c r="N1450" t="str" cm="1">
        <f t="array" ref="N1450">_xlfn.IFS(HRData[[#This Row],[EnvironmentSatisfaction]]=1,"Very Dissatisfied",
HRData[[#This Row],[EnvironmentSatisfaction]]=2,"Dissatisfied",
HRData[[#This Row],[EnvironmentSatisfaction]]=3,"Satisfied",
HRData[[#This Row],[EnvironmentSatisfaction]]=4,"Very Satisfied"
)</f>
        <v>Satisfied</v>
      </c>
      <c r="O1450" t="s">
        <v>46</v>
      </c>
      <c r="P1450">
        <v>57</v>
      </c>
      <c r="Q1450">
        <v>2</v>
      </c>
      <c r="R1450">
        <v>2</v>
      </c>
      <c r="S1450" t="s">
        <v>40</v>
      </c>
      <c r="T1450">
        <v>2</v>
      </c>
      <c r="U1450" t="str" cm="1">
        <f t="array" ref="U1450">_xlfn.IFS(
HRData[[#This Row],[JobSatisfaction]]=1,"Very Dissatisfied",
HRData[[#This Row],[JobSatisfaction]]=2,"Dissatisfied",
HRData[[#This Row],[JobSatisfaction]]=3,"Satisfied",
HRData[[#This Row],[JobSatisfaction]]=4,"Very Satisfied"
)</f>
        <v>Dissatisfied</v>
      </c>
      <c r="V1450" t="s">
        <v>52</v>
      </c>
      <c r="W1450">
        <v>8938</v>
      </c>
      <c r="X1450" t="str" cm="1">
        <f t="array" ref="X1450">_xlfn.IFS(
HRData[[#This Row],[MonthlyIncome]]&lt;=4000,"Very Low Income",
HRData[[#This Row],[MonthlyIncome]]&lt;=8000,"Low Income",
HRData[[#This Row],[MonthlyIncome]]&lt;=12000,"Moderate Income",
HRData[[#This Row],[MonthlyIncome]]&lt;=16000,"High Income",
HRData[[#This Row],[MonthlyIncome]]&gt;16000,"Very High Income"
)</f>
        <v>Moderate Income</v>
      </c>
      <c r="Y1450">
        <v>12227</v>
      </c>
      <c r="Z1450">
        <v>2</v>
      </c>
      <c r="AA1450" t="s">
        <v>42</v>
      </c>
      <c r="AB1450" t="s">
        <v>43</v>
      </c>
      <c r="AC1450">
        <v>11</v>
      </c>
      <c r="AD1450" t="str" cm="1">
        <f t="array" ref="AD1450">_xlfn.IFS(HRData[[#This Row],[PercentSalaryHike]]&lt;=15,"11-15",HRData[[#This Row],[PercentSalaryHike]]&lt;=20,"16-20",HRData[[#This Row],[PercentSalaryHike]]&gt;=21,"21+")</f>
        <v>11-15</v>
      </c>
      <c r="AE1450">
        <v>3</v>
      </c>
      <c r="AF1450">
        <v>3</v>
      </c>
      <c r="AG1450">
        <v>80</v>
      </c>
      <c r="AH1450">
        <v>1</v>
      </c>
      <c r="AI1450">
        <v>14</v>
      </c>
      <c r="AJ1450">
        <v>5</v>
      </c>
      <c r="AK1450">
        <v>3</v>
      </c>
      <c r="AL1450">
        <v>5</v>
      </c>
      <c r="AM1450">
        <v>4</v>
      </c>
      <c r="AN1450">
        <v>0</v>
      </c>
      <c r="AO1450">
        <v>4</v>
      </c>
      <c r="AP145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450" t="str">
        <f>IF(HRData[[#This Row],[Attrition]]="Yes","Left", IF(HRData[[#This Row],[Attrition_Risk_Score]]&gt;=6,"High",IF(HRData[[#This Row],[Attrition_Risk_Score]]&gt;=3,"Medium","Low")))</f>
        <v>Low</v>
      </c>
      <c r="AR1450" t="str">
        <f>IF(HRData[[#This Row],[Attrition_Risk_Level]]&lt;&gt;"High","",HRData[[#This Row],[Attrition_Risk_Score]]*10000-HRData[[#This Row],[EmployeeNumber]])</f>
        <v/>
      </c>
    </row>
    <row r="1451" spans="1:44">
      <c r="A1451">
        <v>32</v>
      </c>
      <c r="B1451" t="str" cm="1">
        <f t="array" ref="B1451">_xlfn.IFS(
HRData[[#This Row],[Age]]&lt;=24,"18-24",
HRData[[#This Row],[Age]]&lt;=34,"25-34",
HRData[[#This Row],[Age]]&lt;=44,"35-44",
HRData[[#This Row],[Age]]&lt;=54,"45-54",
HRData[[#This Row],[Age]]&gt;=55,"55+"
)</f>
        <v>25-34</v>
      </c>
      <c r="C1451" t="s">
        <v>43</v>
      </c>
      <c r="D1451">
        <f>IF(HRData[[#This Row],[Attrition]]="Yes",1,0)</f>
        <v>0</v>
      </c>
      <c r="E1451" t="s">
        <v>36</v>
      </c>
      <c r="F1451">
        <v>529</v>
      </c>
      <c r="G1451" t="s">
        <v>45</v>
      </c>
      <c r="H1451">
        <v>2</v>
      </c>
      <c r="I1451">
        <v>3</v>
      </c>
      <c r="J1451" t="s">
        <v>60</v>
      </c>
      <c r="K1451">
        <v>1</v>
      </c>
      <c r="L1451">
        <v>2038</v>
      </c>
      <c r="M1451">
        <v>4</v>
      </c>
      <c r="N1451" t="str" cm="1">
        <f t="array" ref="N1451">_xlfn.IFS(HRData[[#This Row],[EnvironmentSatisfaction]]=1,"Very Dissatisfied",
HRData[[#This Row],[EnvironmentSatisfaction]]=2,"Dissatisfied",
HRData[[#This Row],[EnvironmentSatisfaction]]=3,"Satisfied",
HRData[[#This Row],[EnvironmentSatisfaction]]=4,"Very Satisfied"
)</f>
        <v>Very Satisfied</v>
      </c>
      <c r="O1451" t="s">
        <v>46</v>
      </c>
      <c r="P1451">
        <v>78</v>
      </c>
      <c r="Q1451">
        <v>3</v>
      </c>
      <c r="R1451">
        <v>1</v>
      </c>
      <c r="S1451" t="s">
        <v>47</v>
      </c>
      <c r="T1451">
        <v>1</v>
      </c>
      <c r="U1451" t="str" cm="1">
        <f t="array" ref="U1451">_xlfn.IFS(
HRData[[#This Row],[JobSatisfaction]]=1,"Very Dissatisfied",
HRData[[#This Row],[JobSatisfaction]]=2,"Dissatisfied",
HRData[[#This Row],[JobSatisfaction]]=3,"Satisfied",
HRData[[#This Row],[JobSatisfaction]]=4,"Very Satisfied"
)</f>
        <v>Very Dissatisfied</v>
      </c>
      <c r="V1451" t="s">
        <v>41</v>
      </c>
      <c r="W1451">
        <v>2439</v>
      </c>
      <c r="X1451" t="str" cm="1">
        <f t="array" ref="X1451">_xlfn.IFS(
HRData[[#This Row],[MonthlyIncome]]&lt;=4000,"Very Low Income",
HRData[[#This Row],[MonthlyIncome]]&lt;=8000,"Low Income",
HRData[[#This Row],[MonthlyIncome]]&lt;=12000,"Moderate Income",
HRData[[#This Row],[MonthlyIncome]]&lt;=16000,"High Income",
HRData[[#This Row],[MonthlyIncome]]&gt;16000,"Very High Income"
)</f>
        <v>Very Low Income</v>
      </c>
      <c r="Y1451">
        <v>11288</v>
      </c>
      <c r="Z1451">
        <v>1</v>
      </c>
      <c r="AA1451" t="s">
        <v>42</v>
      </c>
      <c r="AB1451" t="s">
        <v>43</v>
      </c>
      <c r="AC1451">
        <v>14</v>
      </c>
      <c r="AD1451" t="str" cm="1">
        <f t="array" ref="AD1451">_xlfn.IFS(HRData[[#This Row],[PercentSalaryHike]]&lt;=15,"11-15",HRData[[#This Row],[PercentSalaryHike]]&lt;=20,"16-20",HRData[[#This Row],[PercentSalaryHike]]&gt;=21,"21+")</f>
        <v>11-15</v>
      </c>
      <c r="AE1451">
        <v>3</v>
      </c>
      <c r="AF1451">
        <v>4</v>
      </c>
      <c r="AG1451">
        <v>80</v>
      </c>
      <c r="AH1451">
        <v>0</v>
      </c>
      <c r="AI1451">
        <v>4</v>
      </c>
      <c r="AJ1451">
        <v>4</v>
      </c>
      <c r="AK1451">
        <v>3</v>
      </c>
      <c r="AL1451">
        <v>4</v>
      </c>
      <c r="AM1451">
        <v>2</v>
      </c>
      <c r="AN1451">
        <v>1</v>
      </c>
      <c r="AO1451">
        <v>2</v>
      </c>
      <c r="AP145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451" t="str">
        <f>IF(HRData[[#This Row],[Attrition]]="Yes","Left", IF(HRData[[#This Row],[Attrition_Risk_Score]]&gt;=6,"High",IF(HRData[[#This Row],[Attrition_Risk_Score]]&gt;=3,"Medium","Low")))</f>
        <v>Medium</v>
      </c>
      <c r="AR1451" t="str">
        <f>IF(HRData[[#This Row],[Attrition_Risk_Level]]&lt;&gt;"High","",HRData[[#This Row],[Attrition_Risk_Score]]*10000-HRData[[#This Row],[EmployeeNumber]])</f>
        <v/>
      </c>
    </row>
    <row r="1452" spans="1:44">
      <c r="A1452">
        <v>35</v>
      </c>
      <c r="B1452" t="str" cm="1">
        <f t="array" ref="B1452">_xlfn.IFS(
HRData[[#This Row],[Age]]&lt;=24,"18-24",
HRData[[#This Row],[Age]]&lt;=34,"25-34",
HRData[[#This Row],[Age]]&lt;=44,"35-44",
HRData[[#This Row],[Age]]&lt;=54,"45-54",
HRData[[#This Row],[Age]]&gt;=55,"55+"
)</f>
        <v>35-44</v>
      </c>
      <c r="C1452" t="s">
        <v>43</v>
      </c>
      <c r="D1452">
        <f>IF(HRData[[#This Row],[Attrition]]="Yes",1,0)</f>
        <v>0</v>
      </c>
      <c r="E1452" t="s">
        <v>36</v>
      </c>
      <c r="F1452">
        <v>1146</v>
      </c>
      <c r="G1452" t="s">
        <v>61</v>
      </c>
      <c r="H1452">
        <v>26</v>
      </c>
      <c r="I1452">
        <v>4</v>
      </c>
      <c r="J1452" t="s">
        <v>38</v>
      </c>
      <c r="K1452">
        <v>1</v>
      </c>
      <c r="L1452">
        <v>2040</v>
      </c>
      <c r="M1452">
        <v>3</v>
      </c>
      <c r="N1452" t="str" cm="1">
        <f t="array" ref="N1452">_xlfn.IFS(HRData[[#This Row],[EnvironmentSatisfaction]]=1,"Very Dissatisfied",
HRData[[#This Row],[EnvironmentSatisfaction]]=2,"Dissatisfied",
HRData[[#This Row],[EnvironmentSatisfaction]]=3,"Satisfied",
HRData[[#This Row],[EnvironmentSatisfaction]]=4,"Very Satisfied"
)</f>
        <v>Satisfied</v>
      </c>
      <c r="O1452" t="s">
        <v>39</v>
      </c>
      <c r="P1452">
        <v>31</v>
      </c>
      <c r="Q1452">
        <v>3</v>
      </c>
      <c r="R1452">
        <v>3</v>
      </c>
      <c r="S1452" t="s">
        <v>61</v>
      </c>
      <c r="T1452">
        <v>4</v>
      </c>
      <c r="U1452" t="str" cm="1">
        <f t="array" ref="U1452">_xlfn.IFS(
HRData[[#This Row],[JobSatisfaction]]=1,"Very Dissatisfied",
HRData[[#This Row],[JobSatisfaction]]=2,"Dissatisfied",
HRData[[#This Row],[JobSatisfaction]]=3,"Satisfied",
HRData[[#This Row],[JobSatisfaction]]=4,"Very Satisfied"
)</f>
        <v>Very Satisfied</v>
      </c>
      <c r="V1452" t="s">
        <v>41</v>
      </c>
      <c r="W1452">
        <v>8837</v>
      </c>
      <c r="X1452" t="str" cm="1">
        <f t="array" ref="X1452">_xlfn.IFS(
HRData[[#This Row],[MonthlyIncome]]&lt;=4000,"Very Low Income",
HRData[[#This Row],[MonthlyIncome]]&lt;=8000,"Low Income",
HRData[[#This Row],[MonthlyIncome]]&lt;=12000,"Moderate Income",
HRData[[#This Row],[MonthlyIncome]]&lt;=16000,"High Income",
HRData[[#This Row],[MonthlyIncome]]&gt;16000,"Very High Income"
)</f>
        <v>Moderate Income</v>
      </c>
      <c r="Y1452">
        <v>16642</v>
      </c>
      <c r="Z1452">
        <v>1</v>
      </c>
      <c r="AA1452" t="s">
        <v>42</v>
      </c>
      <c r="AB1452" t="s">
        <v>35</v>
      </c>
      <c r="AC1452">
        <v>16</v>
      </c>
      <c r="AD1452" t="str" cm="1">
        <f t="array" ref="AD1452">_xlfn.IFS(HRData[[#This Row],[PercentSalaryHike]]&lt;=15,"11-15",HRData[[#This Row],[PercentSalaryHike]]&lt;=20,"16-20",HRData[[#This Row],[PercentSalaryHike]]&gt;=21,"21+")</f>
        <v>16-20</v>
      </c>
      <c r="AE1452">
        <v>3</v>
      </c>
      <c r="AF1452">
        <v>3</v>
      </c>
      <c r="AG1452">
        <v>80</v>
      </c>
      <c r="AH1452">
        <v>0</v>
      </c>
      <c r="AI1452">
        <v>9</v>
      </c>
      <c r="AJ1452">
        <v>2</v>
      </c>
      <c r="AK1452">
        <v>3</v>
      </c>
      <c r="AL1452">
        <v>9</v>
      </c>
      <c r="AM1452">
        <v>0</v>
      </c>
      <c r="AN1452">
        <v>1</v>
      </c>
      <c r="AO1452">
        <v>7</v>
      </c>
      <c r="AP145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452" t="str">
        <f>IF(HRData[[#This Row],[Attrition]]="Yes","Left", IF(HRData[[#This Row],[Attrition_Risk_Score]]&gt;=6,"High",IF(HRData[[#This Row],[Attrition_Risk_Score]]&gt;=3,"Medium","Low")))</f>
        <v>Medium</v>
      </c>
      <c r="AR1452" t="str">
        <f>IF(HRData[[#This Row],[Attrition_Risk_Level]]&lt;&gt;"High","",HRData[[#This Row],[Attrition_Risk_Score]]*10000-HRData[[#This Row],[EmployeeNumber]])</f>
        <v/>
      </c>
    </row>
    <row r="1453" spans="1:44">
      <c r="A1453">
        <v>38</v>
      </c>
      <c r="B1453" t="str" cm="1">
        <f t="array" ref="B1453">_xlfn.IFS(
HRData[[#This Row],[Age]]&lt;=24,"18-24",
HRData[[#This Row],[Age]]&lt;=34,"25-34",
HRData[[#This Row],[Age]]&lt;=44,"35-44",
HRData[[#This Row],[Age]]&lt;=54,"45-54",
HRData[[#This Row],[Age]]&gt;=55,"55+"
)</f>
        <v>35-44</v>
      </c>
      <c r="C1453" t="s">
        <v>43</v>
      </c>
      <c r="D1453">
        <f>IF(HRData[[#This Row],[Attrition]]="Yes",1,0)</f>
        <v>0</v>
      </c>
      <c r="E1453" t="s">
        <v>36</v>
      </c>
      <c r="F1453">
        <v>345</v>
      </c>
      <c r="G1453" t="s">
        <v>37</v>
      </c>
      <c r="H1453">
        <v>10</v>
      </c>
      <c r="I1453">
        <v>2</v>
      </c>
      <c r="J1453" t="s">
        <v>38</v>
      </c>
      <c r="K1453">
        <v>1</v>
      </c>
      <c r="L1453">
        <v>2041</v>
      </c>
      <c r="M1453">
        <v>1</v>
      </c>
      <c r="N1453" t="str" cm="1">
        <f t="array" ref="N1453">_xlfn.IFS(HRData[[#This Row],[EnvironmentSatisfaction]]=1,"Very Dissatisfied",
HRData[[#This Row],[EnvironmentSatisfaction]]=2,"Dissatisfied",
HRData[[#This Row],[EnvironmentSatisfaction]]=3,"Satisfied",
HRData[[#This Row],[EnvironmentSatisfaction]]=4,"Very Satisfied"
)</f>
        <v>Very Dissatisfied</v>
      </c>
      <c r="O1453" t="s">
        <v>39</v>
      </c>
      <c r="P1453">
        <v>100</v>
      </c>
      <c r="Q1453">
        <v>3</v>
      </c>
      <c r="R1453">
        <v>2</v>
      </c>
      <c r="S1453" t="s">
        <v>40</v>
      </c>
      <c r="T1453">
        <v>4</v>
      </c>
      <c r="U1453" t="str" cm="1">
        <f t="array" ref="U1453">_xlfn.IFS(
HRData[[#This Row],[JobSatisfaction]]=1,"Very Dissatisfied",
HRData[[#This Row],[JobSatisfaction]]=2,"Dissatisfied",
HRData[[#This Row],[JobSatisfaction]]=3,"Satisfied",
HRData[[#This Row],[JobSatisfaction]]=4,"Very Satisfied"
)</f>
        <v>Very Satisfied</v>
      </c>
      <c r="V1453" t="s">
        <v>48</v>
      </c>
      <c r="W1453">
        <v>5343</v>
      </c>
      <c r="X1453" t="str" cm="1">
        <f t="array" ref="X1453">_xlfn.IFS(
HRData[[#This Row],[MonthlyIncome]]&lt;=4000,"Very Low Income",
HRData[[#This Row],[MonthlyIncome]]&lt;=8000,"Low Income",
HRData[[#This Row],[MonthlyIncome]]&lt;=12000,"Moderate Income",
HRData[[#This Row],[MonthlyIncome]]&lt;=16000,"High Income",
HRData[[#This Row],[MonthlyIncome]]&gt;16000,"Very High Income"
)</f>
        <v>Low Income</v>
      </c>
      <c r="Y1453">
        <v>5982</v>
      </c>
      <c r="Z1453">
        <v>1</v>
      </c>
      <c r="AA1453" t="s">
        <v>42</v>
      </c>
      <c r="AB1453" t="s">
        <v>43</v>
      </c>
      <c r="AC1453">
        <v>11</v>
      </c>
      <c r="AD1453" t="str" cm="1">
        <f t="array" ref="AD1453">_xlfn.IFS(HRData[[#This Row],[PercentSalaryHike]]&lt;=15,"11-15",HRData[[#This Row],[PercentSalaryHike]]&lt;=20,"16-20",HRData[[#This Row],[PercentSalaryHike]]&gt;=21,"21+")</f>
        <v>11-15</v>
      </c>
      <c r="AE1453">
        <v>3</v>
      </c>
      <c r="AF1453">
        <v>3</v>
      </c>
      <c r="AG1453">
        <v>80</v>
      </c>
      <c r="AH1453">
        <v>1</v>
      </c>
      <c r="AI1453">
        <v>10</v>
      </c>
      <c r="AJ1453">
        <v>1</v>
      </c>
      <c r="AK1453">
        <v>3</v>
      </c>
      <c r="AL1453">
        <v>10</v>
      </c>
      <c r="AM1453">
        <v>7</v>
      </c>
      <c r="AN1453">
        <v>1</v>
      </c>
      <c r="AO1453">
        <v>9</v>
      </c>
      <c r="AP145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53" t="str">
        <f>IF(HRData[[#This Row],[Attrition]]="Yes","Left", IF(HRData[[#This Row],[Attrition_Risk_Score]]&gt;=6,"High",IF(HRData[[#This Row],[Attrition_Risk_Score]]&gt;=3,"Medium","Low")))</f>
        <v>Low</v>
      </c>
      <c r="AR1453" t="str">
        <f>IF(HRData[[#This Row],[Attrition_Risk_Level]]&lt;&gt;"High","",HRData[[#This Row],[Attrition_Risk_Score]]*10000-HRData[[#This Row],[EmployeeNumber]])</f>
        <v/>
      </c>
    </row>
    <row r="1454" spans="1:44">
      <c r="A1454">
        <v>50</v>
      </c>
      <c r="B1454" t="str" cm="1">
        <f t="array" ref="B1454">_xlfn.IFS(
HRData[[#This Row],[Age]]&lt;=24,"18-24",
HRData[[#This Row],[Age]]&lt;=34,"25-34",
HRData[[#This Row],[Age]]&lt;=44,"35-44",
HRData[[#This Row],[Age]]&lt;=54,"45-54",
HRData[[#This Row],[Age]]&gt;=55,"55+"
)</f>
        <v>45-54</v>
      </c>
      <c r="C1454" t="s">
        <v>35</v>
      </c>
      <c r="D1454">
        <f>IF(HRData[[#This Row],[Attrition]]="Yes",1,0)</f>
        <v>1</v>
      </c>
      <c r="E1454" t="s">
        <v>44</v>
      </c>
      <c r="F1454">
        <v>878</v>
      </c>
      <c r="G1454" t="s">
        <v>37</v>
      </c>
      <c r="H1454">
        <v>1</v>
      </c>
      <c r="I1454">
        <v>4</v>
      </c>
      <c r="J1454" t="s">
        <v>38</v>
      </c>
      <c r="K1454">
        <v>1</v>
      </c>
      <c r="L1454">
        <v>2044</v>
      </c>
      <c r="M1454">
        <v>2</v>
      </c>
      <c r="N1454" t="str" cm="1">
        <f t="array" ref="N1454">_xlfn.IFS(HRData[[#This Row],[EnvironmentSatisfaction]]=1,"Very Dissatisfied",
HRData[[#This Row],[EnvironmentSatisfaction]]=2,"Dissatisfied",
HRData[[#This Row],[EnvironmentSatisfaction]]=3,"Satisfied",
HRData[[#This Row],[EnvironmentSatisfaction]]=4,"Very Satisfied"
)</f>
        <v>Dissatisfied</v>
      </c>
      <c r="O1454" t="s">
        <v>46</v>
      </c>
      <c r="P1454">
        <v>94</v>
      </c>
      <c r="Q1454">
        <v>3</v>
      </c>
      <c r="R1454">
        <v>2</v>
      </c>
      <c r="S1454" t="s">
        <v>40</v>
      </c>
      <c r="T1454">
        <v>3</v>
      </c>
      <c r="U1454" t="str" cm="1">
        <f t="array" ref="U1454">_xlfn.IFS(
HRData[[#This Row],[JobSatisfaction]]=1,"Very Dissatisfied",
HRData[[#This Row],[JobSatisfaction]]=2,"Dissatisfied",
HRData[[#This Row],[JobSatisfaction]]=3,"Satisfied",
HRData[[#This Row],[JobSatisfaction]]=4,"Very Satisfied"
)</f>
        <v>Satisfied</v>
      </c>
      <c r="V1454" t="s">
        <v>52</v>
      </c>
      <c r="W1454">
        <v>6728</v>
      </c>
      <c r="X1454" t="str" cm="1">
        <f t="array" ref="X1454">_xlfn.IFS(
HRData[[#This Row],[MonthlyIncome]]&lt;=4000,"Very Low Income",
HRData[[#This Row],[MonthlyIncome]]&lt;=8000,"Low Income",
HRData[[#This Row],[MonthlyIncome]]&lt;=12000,"Moderate Income",
HRData[[#This Row],[MonthlyIncome]]&lt;=16000,"High Income",
HRData[[#This Row],[MonthlyIncome]]&gt;16000,"Very High Income"
)</f>
        <v>Low Income</v>
      </c>
      <c r="Y1454">
        <v>14255</v>
      </c>
      <c r="Z1454">
        <v>7</v>
      </c>
      <c r="AA1454" t="s">
        <v>42</v>
      </c>
      <c r="AB1454" t="s">
        <v>43</v>
      </c>
      <c r="AC1454">
        <v>12</v>
      </c>
      <c r="AD1454" t="str" cm="1">
        <f t="array" ref="AD1454">_xlfn.IFS(HRData[[#This Row],[PercentSalaryHike]]&lt;=15,"11-15",HRData[[#This Row],[PercentSalaryHike]]&lt;=20,"16-20",HRData[[#This Row],[PercentSalaryHike]]&gt;=21,"21+")</f>
        <v>11-15</v>
      </c>
      <c r="AE1454">
        <v>3</v>
      </c>
      <c r="AF1454">
        <v>4</v>
      </c>
      <c r="AG1454">
        <v>80</v>
      </c>
      <c r="AH1454">
        <v>2</v>
      </c>
      <c r="AI1454">
        <v>12</v>
      </c>
      <c r="AJ1454">
        <v>3</v>
      </c>
      <c r="AK1454">
        <v>3</v>
      </c>
      <c r="AL1454">
        <v>6</v>
      </c>
      <c r="AM1454">
        <v>3</v>
      </c>
      <c r="AN1454">
        <v>0</v>
      </c>
      <c r="AO1454">
        <v>1</v>
      </c>
      <c r="AP145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454" t="str">
        <f>IF(HRData[[#This Row],[Attrition]]="Yes","Left", IF(HRData[[#This Row],[Attrition_Risk_Score]]&gt;=6,"High",IF(HRData[[#This Row],[Attrition_Risk_Score]]&gt;=3,"Medium","Low")))</f>
        <v>Left</v>
      </c>
      <c r="AR1454" t="str">
        <f>IF(HRData[[#This Row],[Attrition_Risk_Level]]&lt;&gt;"High","",HRData[[#This Row],[Attrition_Risk_Score]]*10000-HRData[[#This Row],[EmployeeNumber]])</f>
        <v/>
      </c>
    </row>
    <row r="1455" spans="1:44">
      <c r="A1455">
        <v>36</v>
      </c>
      <c r="B1455" t="str" cm="1">
        <f t="array" ref="B1455">_xlfn.IFS(
HRData[[#This Row],[Age]]&lt;=24,"18-24",
HRData[[#This Row],[Age]]&lt;=34,"25-34",
HRData[[#This Row],[Age]]&lt;=44,"35-44",
HRData[[#This Row],[Age]]&lt;=54,"45-54",
HRData[[#This Row],[Age]]&gt;=55,"55+"
)</f>
        <v>35-44</v>
      </c>
      <c r="C1455" t="s">
        <v>43</v>
      </c>
      <c r="D1455">
        <f>IF(HRData[[#This Row],[Attrition]]="Yes",1,0)</f>
        <v>0</v>
      </c>
      <c r="E1455" t="s">
        <v>36</v>
      </c>
      <c r="F1455">
        <v>1120</v>
      </c>
      <c r="G1455" t="s">
        <v>37</v>
      </c>
      <c r="H1455">
        <v>11</v>
      </c>
      <c r="I1455">
        <v>4</v>
      </c>
      <c r="J1455" t="s">
        <v>59</v>
      </c>
      <c r="K1455">
        <v>1</v>
      </c>
      <c r="L1455">
        <v>2045</v>
      </c>
      <c r="M1455">
        <v>2</v>
      </c>
      <c r="N1455" t="str" cm="1">
        <f t="array" ref="N1455">_xlfn.IFS(HRData[[#This Row],[EnvironmentSatisfaction]]=1,"Very Dissatisfied",
HRData[[#This Row],[EnvironmentSatisfaction]]=2,"Dissatisfied",
HRData[[#This Row],[EnvironmentSatisfaction]]=3,"Satisfied",
HRData[[#This Row],[EnvironmentSatisfaction]]=4,"Very Satisfied"
)</f>
        <v>Dissatisfied</v>
      </c>
      <c r="O1455" t="s">
        <v>39</v>
      </c>
      <c r="P1455">
        <v>100</v>
      </c>
      <c r="Q1455">
        <v>2</v>
      </c>
      <c r="R1455">
        <v>2</v>
      </c>
      <c r="S1455" t="s">
        <v>40</v>
      </c>
      <c r="T1455">
        <v>4</v>
      </c>
      <c r="U1455" t="str" cm="1">
        <f t="array" ref="U1455">_xlfn.IFS(
HRData[[#This Row],[JobSatisfaction]]=1,"Very Dissatisfied",
HRData[[#This Row],[JobSatisfaction]]=2,"Dissatisfied",
HRData[[#This Row],[JobSatisfaction]]=3,"Satisfied",
HRData[[#This Row],[JobSatisfaction]]=4,"Very Satisfied"
)</f>
        <v>Very Satisfied</v>
      </c>
      <c r="V1455" t="s">
        <v>48</v>
      </c>
      <c r="W1455">
        <v>6652</v>
      </c>
      <c r="X1455" t="str" cm="1">
        <f t="array" ref="X1455">_xlfn.IFS(
HRData[[#This Row],[MonthlyIncome]]&lt;=4000,"Very Low Income",
HRData[[#This Row],[MonthlyIncome]]&lt;=8000,"Low Income",
HRData[[#This Row],[MonthlyIncome]]&lt;=12000,"Moderate Income",
HRData[[#This Row],[MonthlyIncome]]&lt;=16000,"High Income",
HRData[[#This Row],[MonthlyIncome]]&gt;16000,"Very High Income"
)</f>
        <v>Low Income</v>
      </c>
      <c r="Y1455">
        <v>14369</v>
      </c>
      <c r="Z1455">
        <v>4</v>
      </c>
      <c r="AA1455" t="s">
        <v>42</v>
      </c>
      <c r="AB1455" t="s">
        <v>43</v>
      </c>
      <c r="AC1455">
        <v>13</v>
      </c>
      <c r="AD1455" t="str" cm="1">
        <f t="array" ref="AD1455">_xlfn.IFS(HRData[[#This Row],[PercentSalaryHike]]&lt;=15,"11-15",HRData[[#This Row],[PercentSalaryHike]]&lt;=20,"16-20",HRData[[#This Row],[PercentSalaryHike]]&gt;=21,"21+")</f>
        <v>11-15</v>
      </c>
      <c r="AE1455">
        <v>3</v>
      </c>
      <c r="AF1455">
        <v>1</v>
      </c>
      <c r="AG1455">
        <v>80</v>
      </c>
      <c r="AH1455">
        <v>1</v>
      </c>
      <c r="AI1455">
        <v>8</v>
      </c>
      <c r="AJ1455">
        <v>2</v>
      </c>
      <c r="AK1455">
        <v>2</v>
      </c>
      <c r="AL1455">
        <v>6</v>
      </c>
      <c r="AM1455">
        <v>3</v>
      </c>
      <c r="AN1455">
        <v>0</v>
      </c>
      <c r="AO1455">
        <v>0</v>
      </c>
      <c r="AP145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55" t="str">
        <f>IF(HRData[[#This Row],[Attrition]]="Yes","Left", IF(HRData[[#This Row],[Attrition_Risk_Score]]&gt;=6,"High",IF(HRData[[#This Row],[Attrition_Risk_Score]]&gt;=3,"Medium","Low")))</f>
        <v>Low</v>
      </c>
      <c r="AR1455" t="str">
        <f>IF(HRData[[#This Row],[Attrition_Risk_Level]]&lt;&gt;"High","",HRData[[#This Row],[Attrition_Risk_Score]]*10000-HRData[[#This Row],[EmployeeNumber]])</f>
        <v/>
      </c>
    </row>
    <row r="1456" spans="1:44">
      <c r="A1456">
        <v>45</v>
      </c>
      <c r="B1456" t="str" cm="1">
        <f t="array" ref="B1456">_xlfn.IFS(
HRData[[#This Row],[Age]]&lt;=24,"18-24",
HRData[[#This Row],[Age]]&lt;=34,"25-34",
HRData[[#This Row],[Age]]&lt;=44,"35-44",
HRData[[#This Row],[Age]]&lt;=54,"45-54",
HRData[[#This Row],[Age]]&gt;=55,"55+"
)</f>
        <v>45-54</v>
      </c>
      <c r="C1456" t="s">
        <v>43</v>
      </c>
      <c r="D1456">
        <f>IF(HRData[[#This Row],[Attrition]]="Yes",1,0)</f>
        <v>0</v>
      </c>
      <c r="E1456" t="s">
        <v>36</v>
      </c>
      <c r="F1456">
        <v>374</v>
      </c>
      <c r="G1456" t="s">
        <v>37</v>
      </c>
      <c r="H1456">
        <v>20</v>
      </c>
      <c r="I1456">
        <v>3</v>
      </c>
      <c r="J1456" t="s">
        <v>38</v>
      </c>
      <c r="K1456">
        <v>1</v>
      </c>
      <c r="L1456">
        <v>2046</v>
      </c>
      <c r="M1456">
        <v>4</v>
      </c>
      <c r="N1456" t="str" cm="1">
        <f t="array" ref="N1456">_xlfn.IFS(HRData[[#This Row],[EnvironmentSatisfaction]]=1,"Very Dissatisfied",
HRData[[#This Row],[EnvironmentSatisfaction]]=2,"Dissatisfied",
HRData[[#This Row],[EnvironmentSatisfaction]]=3,"Satisfied",
HRData[[#This Row],[EnvironmentSatisfaction]]=4,"Very Satisfied"
)</f>
        <v>Very Satisfied</v>
      </c>
      <c r="O1456" t="s">
        <v>39</v>
      </c>
      <c r="P1456">
        <v>50</v>
      </c>
      <c r="Q1456">
        <v>3</v>
      </c>
      <c r="R1456">
        <v>2</v>
      </c>
      <c r="S1456" t="s">
        <v>40</v>
      </c>
      <c r="T1456">
        <v>3</v>
      </c>
      <c r="U1456" t="str" cm="1">
        <f t="array" ref="U1456">_xlfn.IFS(
HRData[[#This Row],[JobSatisfaction]]=1,"Very Dissatisfied",
HRData[[#This Row],[JobSatisfaction]]=2,"Dissatisfied",
HRData[[#This Row],[JobSatisfaction]]=3,"Satisfied",
HRData[[#This Row],[JobSatisfaction]]=4,"Very Satisfied"
)</f>
        <v>Satisfied</v>
      </c>
      <c r="V1456" t="s">
        <v>41</v>
      </c>
      <c r="W1456">
        <v>4850</v>
      </c>
      <c r="X1456" t="str" cm="1">
        <f t="array" ref="X1456">_xlfn.IFS(
HRData[[#This Row],[MonthlyIncome]]&lt;=4000,"Very Low Income",
HRData[[#This Row],[MonthlyIncome]]&lt;=8000,"Low Income",
HRData[[#This Row],[MonthlyIncome]]&lt;=12000,"Moderate Income",
HRData[[#This Row],[MonthlyIncome]]&lt;=16000,"High Income",
HRData[[#This Row],[MonthlyIncome]]&gt;16000,"Very High Income"
)</f>
        <v>Low Income</v>
      </c>
      <c r="Y1456">
        <v>23333</v>
      </c>
      <c r="Z1456">
        <v>8</v>
      </c>
      <c r="AA1456" t="s">
        <v>42</v>
      </c>
      <c r="AB1456" t="s">
        <v>43</v>
      </c>
      <c r="AC1456">
        <v>15</v>
      </c>
      <c r="AD1456" t="str" cm="1">
        <f t="array" ref="AD1456">_xlfn.IFS(HRData[[#This Row],[PercentSalaryHike]]&lt;=15,"11-15",HRData[[#This Row],[PercentSalaryHike]]&lt;=20,"16-20",HRData[[#This Row],[PercentSalaryHike]]&gt;=21,"21+")</f>
        <v>11-15</v>
      </c>
      <c r="AE1456">
        <v>3</v>
      </c>
      <c r="AF1456">
        <v>3</v>
      </c>
      <c r="AG1456">
        <v>80</v>
      </c>
      <c r="AH1456">
        <v>0</v>
      </c>
      <c r="AI1456">
        <v>8</v>
      </c>
      <c r="AJ1456">
        <v>3</v>
      </c>
      <c r="AK1456">
        <v>3</v>
      </c>
      <c r="AL1456">
        <v>5</v>
      </c>
      <c r="AM1456">
        <v>3</v>
      </c>
      <c r="AN1456">
        <v>0</v>
      </c>
      <c r="AO1456">
        <v>1</v>
      </c>
      <c r="AP145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56" t="str">
        <f>IF(HRData[[#This Row],[Attrition]]="Yes","Left", IF(HRData[[#This Row],[Attrition_Risk_Score]]&gt;=6,"High",IF(HRData[[#This Row],[Attrition_Risk_Score]]&gt;=3,"Medium","Low")))</f>
        <v>Low</v>
      </c>
      <c r="AR1456" t="str">
        <f>IF(HRData[[#This Row],[Attrition_Risk_Level]]&lt;&gt;"High","",HRData[[#This Row],[Attrition_Risk_Score]]*10000-HRData[[#This Row],[EmployeeNumber]])</f>
        <v/>
      </c>
    </row>
    <row r="1457" spans="1:44">
      <c r="A1457">
        <v>40</v>
      </c>
      <c r="B1457" t="str" cm="1">
        <f t="array" ref="B1457">_xlfn.IFS(
HRData[[#This Row],[Age]]&lt;=24,"18-24",
HRData[[#This Row],[Age]]&lt;=34,"25-34",
HRData[[#This Row],[Age]]&lt;=44,"35-44",
HRData[[#This Row],[Age]]&lt;=54,"45-54",
HRData[[#This Row],[Age]]&gt;=55,"55+"
)</f>
        <v>35-44</v>
      </c>
      <c r="C1457" t="s">
        <v>43</v>
      </c>
      <c r="D1457">
        <f>IF(HRData[[#This Row],[Attrition]]="Yes",1,0)</f>
        <v>0</v>
      </c>
      <c r="E1457" t="s">
        <v>36</v>
      </c>
      <c r="F1457">
        <v>1322</v>
      </c>
      <c r="G1457" t="s">
        <v>45</v>
      </c>
      <c r="H1457">
        <v>2</v>
      </c>
      <c r="I1457">
        <v>4</v>
      </c>
      <c r="J1457" t="s">
        <v>38</v>
      </c>
      <c r="K1457">
        <v>1</v>
      </c>
      <c r="L1457">
        <v>2048</v>
      </c>
      <c r="M1457">
        <v>3</v>
      </c>
      <c r="N1457" t="str" cm="1">
        <f t="array" ref="N1457">_xlfn.IFS(HRData[[#This Row],[EnvironmentSatisfaction]]=1,"Very Dissatisfied",
HRData[[#This Row],[EnvironmentSatisfaction]]=2,"Dissatisfied",
HRData[[#This Row],[EnvironmentSatisfaction]]=3,"Satisfied",
HRData[[#This Row],[EnvironmentSatisfaction]]=4,"Very Satisfied"
)</f>
        <v>Satisfied</v>
      </c>
      <c r="O1457" t="s">
        <v>46</v>
      </c>
      <c r="P1457">
        <v>52</v>
      </c>
      <c r="Q1457">
        <v>2</v>
      </c>
      <c r="R1457">
        <v>1</v>
      </c>
      <c r="S1457" t="s">
        <v>47</v>
      </c>
      <c r="T1457">
        <v>3</v>
      </c>
      <c r="U1457" t="str" cm="1">
        <f t="array" ref="U1457">_xlfn.IFS(
HRData[[#This Row],[JobSatisfaction]]=1,"Very Dissatisfied",
HRData[[#This Row],[JobSatisfaction]]=2,"Dissatisfied",
HRData[[#This Row],[JobSatisfaction]]=3,"Satisfied",
HRData[[#This Row],[JobSatisfaction]]=4,"Very Satisfied"
)</f>
        <v>Satisfied</v>
      </c>
      <c r="V1457" t="s">
        <v>41</v>
      </c>
      <c r="W1457">
        <v>2809</v>
      </c>
      <c r="X1457" t="str" cm="1">
        <f t="array" ref="X1457">_xlfn.IFS(
HRData[[#This Row],[MonthlyIncome]]&lt;=4000,"Very Low Income",
HRData[[#This Row],[MonthlyIncome]]&lt;=8000,"Low Income",
HRData[[#This Row],[MonthlyIncome]]&lt;=12000,"Moderate Income",
HRData[[#This Row],[MonthlyIncome]]&lt;=16000,"High Income",
HRData[[#This Row],[MonthlyIncome]]&gt;16000,"Very High Income"
)</f>
        <v>Very Low Income</v>
      </c>
      <c r="Y1457">
        <v>2725</v>
      </c>
      <c r="Z1457">
        <v>2</v>
      </c>
      <c r="AA1457" t="s">
        <v>42</v>
      </c>
      <c r="AB1457" t="s">
        <v>43</v>
      </c>
      <c r="AC1457">
        <v>14</v>
      </c>
      <c r="AD1457" t="str" cm="1">
        <f t="array" ref="AD1457">_xlfn.IFS(HRData[[#This Row],[PercentSalaryHike]]&lt;=15,"11-15",HRData[[#This Row],[PercentSalaryHike]]&lt;=20,"16-20",HRData[[#This Row],[PercentSalaryHike]]&gt;=21,"21+")</f>
        <v>11-15</v>
      </c>
      <c r="AE1457">
        <v>3</v>
      </c>
      <c r="AF1457">
        <v>4</v>
      </c>
      <c r="AG1457">
        <v>80</v>
      </c>
      <c r="AH1457">
        <v>0</v>
      </c>
      <c r="AI1457">
        <v>8</v>
      </c>
      <c r="AJ1457">
        <v>2</v>
      </c>
      <c r="AK1457">
        <v>3</v>
      </c>
      <c r="AL1457">
        <v>2</v>
      </c>
      <c r="AM1457">
        <v>2</v>
      </c>
      <c r="AN1457">
        <v>2</v>
      </c>
      <c r="AO1457">
        <v>2</v>
      </c>
      <c r="AP145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457" t="str">
        <f>IF(HRData[[#This Row],[Attrition]]="Yes","Left", IF(HRData[[#This Row],[Attrition_Risk_Score]]&gt;=6,"High",IF(HRData[[#This Row],[Attrition_Risk_Score]]&gt;=3,"Medium","Low")))</f>
        <v>Low</v>
      </c>
      <c r="AR1457" t="str">
        <f>IF(HRData[[#This Row],[Attrition_Risk_Level]]&lt;&gt;"High","",HRData[[#This Row],[Attrition_Risk_Score]]*10000-HRData[[#This Row],[EmployeeNumber]])</f>
        <v/>
      </c>
    </row>
    <row r="1458" spans="1:44">
      <c r="A1458">
        <v>35</v>
      </c>
      <c r="B1458" t="str" cm="1">
        <f t="array" ref="B1458">_xlfn.IFS(
HRData[[#This Row],[Age]]&lt;=24,"18-24",
HRData[[#This Row],[Age]]&lt;=34,"25-34",
HRData[[#This Row],[Age]]&lt;=44,"35-44",
HRData[[#This Row],[Age]]&lt;=54,"45-54",
HRData[[#This Row],[Age]]&gt;=55,"55+"
)</f>
        <v>35-44</v>
      </c>
      <c r="C1458" t="s">
        <v>43</v>
      </c>
      <c r="D1458">
        <f>IF(HRData[[#This Row],[Attrition]]="Yes",1,0)</f>
        <v>0</v>
      </c>
      <c r="E1458" t="s">
        <v>44</v>
      </c>
      <c r="F1458">
        <v>1199</v>
      </c>
      <c r="G1458" t="s">
        <v>45</v>
      </c>
      <c r="H1458">
        <v>18</v>
      </c>
      <c r="I1458">
        <v>4</v>
      </c>
      <c r="J1458" t="s">
        <v>38</v>
      </c>
      <c r="K1458">
        <v>1</v>
      </c>
      <c r="L1458">
        <v>2049</v>
      </c>
      <c r="M1458">
        <v>3</v>
      </c>
      <c r="N1458" t="str" cm="1">
        <f t="array" ref="N1458">_xlfn.IFS(HRData[[#This Row],[EnvironmentSatisfaction]]=1,"Very Dissatisfied",
HRData[[#This Row],[EnvironmentSatisfaction]]=2,"Dissatisfied",
HRData[[#This Row],[EnvironmentSatisfaction]]=3,"Satisfied",
HRData[[#This Row],[EnvironmentSatisfaction]]=4,"Very Satisfied"
)</f>
        <v>Satisfied</v>
      </c>
      <c r="O1458" t="s">
        <v>46</v>
      </c>
      <c r="P1458">
        <v>80</v>
      </c>
      <c r="Q1458">
        <v>3</v>
      </c>
      <c r="R1458">
        <v>2</v>
      </c>
      <c r="S1458" t="s">
        <v>54</v>
      </c>
      <c r="T1458">
        <v>3</v>
      </c>
      <c r="U1458" t="str" cm="1">
        <f t="array" ref="U1458">_xlfn.IFS(
HRData[[#This Row],[JobSatisfaction]]=1,"Very Dissatisfied",
HRData[[#This Row],[JobSatisfaction]]=2,"Dissatisfied",
HRData[[#This Row],[JobSatisfaction]]=3,"Satisfied",
HRData[[#This Row],[JobSatisfaction]]=4,"Very Satisfied"
)</f>
        <v>Satisfied</v>
      </c>
      <c r="V1458" t="s">
        <v>48</v>
      </c>
      <c r="W1458">
        <v>5689</v>
      </c>
      <c r="X1458" t="str" cm="1">
        <f t="array" ref="X1458">_xlfn.IFS(
HRData[[#This Row],[MonthlyIncome]]&lt;=4000,"Very Low Income",
HRData[[#This Row],[MonthlyIncome]]&lt;=8000,"Low Income",
HRData[[#This Row],[MonthlyIncome]]&lt;=12000,"Moderate Income",
HRData[[#This Row],[MonthlyIncome]]&lt;=16000,"High Income",
HRData[[#This Row],[MonthlyIncome]]&gt;16000,"Very High Income"
)</f>
        <v>Low Income</v>
      </c>
      <c r="Y1458">
        <v>24594</v>
      </c>
      <c r="Z1458">
        <v>1</v>
      </c>
      <c r="AA1458" t="s">
        <v>42</v>
      </c>
      <c r="AB1458" t="s">
        <v>35</v>
      </c>
      <c r="AC1458">
        <v>14</v>
      </c>
      <c r="AD1458" t="str" cm="1">
        <f t="array" ref="AD1458">_xlfn.IFS(HRData[[#This Row],[PercentSalaryHike]]&lt;=15,"11-15",HRData[[#This Row],[PercentSalaryHike]]&lt;=20,"16-20",HRData[[#This Row],[PercentSalaryHike]]&gt;=21,"21+")</f>
        <v>11-15</v>
      </c>
      <c r="AE1458">
        <v>3</v>
      </c>
      <c r="AF1458">
        <v>4</v>
      </c>
      <c r="AG1458">
        <v>80</v>
      </c>
      <c r="AH1458">
        <v>2</v>
      </c>
      <c r="AI1458">
        <v>10</v>
      </c>
      <c r="AJ1458">
        <v>2</v>
      </c>
      <c r="AK1458">
        <v>4</v>
      </c>
      <c r="AL1458">
        <v>10</v>
      </c>
      <c r="AM1458">
        <v>2</v>
      </c>
      <c r="AN1458">
        <v>0</v>
      </c>
      <c r="AO1458">
        <v>2</v>
      </c>
      <c r="AP145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458" t="str">
        <f>IF(HRData[[#This Row],[Attrition]]="Yes","Left", IF(HRData[[#This Row],[Attrition_Risk_Score]]&gt;=6,"High",IF(HRData[[#This Row],[Attrition_Risk_Score]]&gt;=3,"Medium","Low")))</f>
        <v>Medium</v>
      </c>
      <c r="AR1458" t="str">
        <f>IF(HRData[[#This Row],[Attrition_Risk_Level]]&lt;&gt;"High","",HRData[[#This Row],[Attrition_Risk_Score]]*10000-HRData[[#This Row],[EmployeeNumber]])</f>
        <v/>
      </c>
    </row>
    <row r="1459" spans="1:44">
      <c r="A1459">
        <v>40</v>
      </c>
      <c r="B1459" t="str" cm="1">
        <f t="array" ref="B1459">_xlfn.IFS(
HRData[[#This Row],[Age]]&lt;=24,"18-24",
HRData[[#This Row],[Age]]&lt;=34,"25-34",
HRData[[#This Row],[Age]]&lt;=44,"35-44",
HRData[[#This Row],[Age]]&lt;=54,"45-54",
HRData[[#This Row],[Age]]&gt;=55,"55+"
)</f>
        <v>35-44</v>
      </c>
      <c r="C1459" t="s">
        <v>43</v>
      </c>
      <c r="D1459">
        <f>IF(HRData[[#This Row],[Attrition]]="Yes",1,0)</f>
        <v>0</v>
      </c>
      <c r="E1459" t="s">
        <v>36</v>
      </c>
      <c r="F1459">
        <v>1194</v>
      </c>
      <c r="G1459" t="s">
        <v>45</v>
      </c>
      <c r="H1459">
        <v>2</v>
      </c>
      <c r="I1459">
        <v>4</v>
      </c>
      <c r="J1459" t="s">
        <v>51</v>
      </c>
      <c r="K1459">
        <v>1</v>
      </c>
      <c r="L1459">
        <v>2051</v>
      </c>
      <c r="M1459">
        <v>3</v>
      </c>
      <c r="N1459" t="str" cm="1">
        <f t="array" ref="N1459">_xlfn.IFS(HRData[[#This Row],[EnvironmentSatisfaction]]=1,"Very Dissatisfied",
HRData[[#This Row],[EnvironmentSatisfaction]]=2,"Dissatisfied",
HRData[[#This Row],[EnvironmentSatisfaction]]=3,"Satisfied",
HRData[[#This Row],[EnvironmentSatisfaction]]=4,"Very Satisfied"
)</f>
        <v>Satisfied</v>
      </c>
      <c r="O1459" t="s">
        <v>39</v>
      </c>
      <c r="P1459">
        <v>98</v>
      </c>
      <c r="Q1459">
        <v>3</v>
      </c>
      <c r="R1459">
        <v>1</v>
      </c>
      <c r="S1459" t="s">
        <v>47</v>
      </c>
      <c r="T1459">
        <v>3</v>
      </c>
      <c r="U1459" t="str" cm="1">
        <f t="array" ref="U1459">_xlfn.IFS(
HRData[[#This Row],[JobSatisfaction]]=1,"Very Dissatisfied",
HRData[[#This Row],[JobSatisfaction]]=2,"Dissatisfied",
HRData[[#This Row],[JobSatisfaction]]=3,"Satisfied",
HRData[[#This Row],[JobSatisfaction]]=4,"Very Satisfied"
)</f>
        <v>Satisfied</v>
      </c>
      <c r="V1459" t="s">
        <v>48</v>
      </c>
      <c r="W1459">
        <v>2001</v>
      </c>
      <c r="X1459" t="str" cm="1">
        <f t="array" ref="X1459">_xlfn.IFS(
HRData[[#This Row],[MonthlyIncome]]&lt;=4000,"Very Low Income",
HRData[[#This Row],[MonthlyIncome]]&lt;=8000,"Low Income",
HRData[[#This Row],[MonthlyIncome]]&lt;=12000,"Moderate Income",
HRData[[#This Row],[MonthlyIncome]]&lt;=16000,"High Income",
HRData[[#This Row],[MonthlyIncome]]&gt;16000,"Very High Income"
)</f>
        <v>Very Low Income</v>
      </c>
      <c r="Y1459">
        <v>12549</v>
      </c>
      <c r="Z1459">
        <v>2</v>
      </c>
      <c r="AA1459" t="s">
        <v>42</v>
      </c>
      <c r="AB1459" t="s">
        <v>43</v>
      </c>
      <c r="AC1459">
        <v>14</v>
      </c>
      <c r="AD1459" t="str" cm="1">
        <f t="array" ref="AD1459">_xlfn.IFS(HRData[[#This Row],[PercentSalaryHike]]&lt;=15,"11-15",HRData[[#This Row],[PercentSalaryHike]]&lt;=20,"16-20",HRData[[#This Row],[PercentSalaryHike]]&gt;=21,"21+")</f>
        <v>11-15</v>
      </c>
      <c r="AE1459">
        <v>3</v>
      </c>
      <c r="AF1459">
        <v>2</v>
      </c>
      <c r="AG1459">
        <v>80</v>
      </c>
      <c r="AH1459">
        <v>3</v>
      </c>
      <c r="AI1459">
        <v>20</v>
      </c>
      <c r="AJ1459">
        <v>2</v>
      </c>
      <c r="AK1459">
        <v>3</v>
      </c>
      <c r="AL1459">
        <v>5</v>
      </c>
      <c r="AM1459">
        <v>3</v>
      </c>
      <c r="AN1459">
        <v>0</v>
      </c>
      <c r="AO1459">
        <v>2</v>
      </c>
      <c r="AP145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459" t="str">
        <f>IF(HRData[[#This Row],[Attrition]]="Yes","Left", IF(HRData[[#This Row],[Attrition_Risk_Score]]&gt;=6,"High",IF(HRData[[#This Row],[Attrition_Risk_Score]]&gt;=3,"Medium","Low")))</f>
        <v>Low</v>
      </c>
      <c r="AR1459" t="str">
        <f>IF(HRData[[#This Row],[Attrition_Risk_Level]]&lt;&gt;"High","",HRData[[#This Row],[Attrition_Risk_Score]]*10000-HRData[[#This Row],[EmployeeNumber]])</f>
        <v/>
      </c>
    </row>
    <row r="1460" spans="1:44">
      <c r="A1460">
        <v>35</v>
      </c>
      <c r="B1460" t="str" cm="1">
        <f t="array" ref="B1460">_xlfn.IFS(
HRData[[#This Row],[Age]]&lt;=24,"18-24",
HRData[[#This Row],[Age]]&lt;=34,"25-34",
HRData[[#This Row],[Age]]&lt;=44,"35-44",
HRData[[#This Row],[Age]]&lt;=54,"45-54",
HRData[[#This Row],[Age]]&gt;=55,"55+"
)</f>
        <v>35-44</v>
      </c>
      <c r="C1460" t="s">
        <v>43</v>
      </c>
      <c r="D1460">
        <f>IF(HRData[[#This Row],[Attrition]]="Yes",1,0)</f>
        <v>0</v>
      </c>
      <c r="E1460" t="s">
        <v>36</v>
      </c>
      <c r="F1460">
        <v>287</v>
      </c>
      <c r="G1460" t="s">
        <v>45</v>
      </c>
      <c r="H1460">
        <v>1</v>
      </c>
      <c r="I1460">
        <v>4</v>
      </c>
      <c r="J1460" t="s">
        <v>38</v>
      </c>
      <c r="K1460">
        <v>1</v>
      </c>
      <c r="L1460">
        <v>2052</v>
      </c>
      <c r="M1460">
        <v>3</v>
      </c>
      <c r="N1460" t="str" cm="1">
        <f t="array" ref="N1460">_xlfn.IFS(HRData[[#This Row],[EnvironmentSatisfaction]]=1,"Very Dissatisfied",
HRData[[#This Row],[EnvironmentSatisfaction]]=2,"Dissatisfied",
HRData[[#This Row],[EnvironmentSatisfaction]]=3,"Satisfied",
HRData[[#This Row],[EnvironmentSatisfaction]]=4,"Very Satisfied"
)</f>
        <v>Satisfied</v>
      </c>
      <c r="O1460" t="s">
        <v>39</v>
      </c>
      <c r="P1460">
        <v>62</v>
      </c>
      <c r="Q1460">
        <v>1</v>
      </c>
      <c r="R1460">
        <v>1</v>
      </c>
      <c r="S1460" t="s">
        <v>47</v>
      </c>
      <c r="T1460">
        <v>4</v>
      </c>
      <c r="U1460" t="str" cm="1">
        <f t="array" ref="U1460">_xlfn.IFS(
HRData[[#This Row],[JobSatisfaction]]=1,"Very Dissatisfied",
HRData[[#This Row],[JobSatisfaction]]=2,"Dissatisfied",
HRData[[#This Row],[JobSatisfaction]]=3,"Satisfied",
HRData[[#This Row],[JobSatisfaction]]=4,"Very Satisfied"
)</f>
        <v>Very Satisfied</v>
      </c>
      <c r="V1460" t="s">
        <v>48</v>
      </c>
      <c r="W1460">
        <v>2977</v>
      </c>
      <c r="X1460" t="str" cm="1">
        <f t="array" ref="X1460">_xlfn.IFS(
HRData[[#This Row],[MonthlyIncome]]&lt;=4000,"Very Low Income",
HRData[[#This Row],[MonthlyIncome]]&lt;=8000,"Low Income",
HRData[[#This Row],[MonthlyIncome]]&lt;=12000,"Moderate Income",
HRData[[#This Row],[MonthlyIncome]]&lt;=16000,"High Income",
HRData[[#This Row],[MonthlyIncome]]&gt;16000,"Very High Income"
)</f>
        <v>Very Low Income</v>
      </c>
      <c r="Y1460">
        <v>8952</v>
      </c>
      <c r="Z1460">
        <v>1</v>
      </c>
      <c r="AA1460" t="s">
        <v>42</v>
      </c>
      <c r="AB1460" t="s">
        <v>43</v>
      </c>
      <c r="AC1460">
        <v>12</v>
      </c>
      <c r="AD1460" t="str" cm="1">
        <f t="array" ref="AD1460">_xlfn.IFS(HRData[[#This Row],[PercentSalaryHike]]&lt;=15,"11-15",HRData[[#This Row],[PercentSalaryHike]]&lt;=20,"16-20",HRData[[#This Row],[PercentSalaryHike]]&gt;=21,"21+")</f>
        <v>11-15</v>
      </c>
      <c r="AE1460">
        <v>3</v>
      </c>
      <c r="AF1460">
        <v>4</v>
      </c>
      <c r="AG1460">
        <v>80</v>
      </c>
      <c r="AH1460">
        <v>1</v>
      </c>
      <c r="AI1460">
        <v>4</v>
      </c>
      <c r="AJ1460">
        <v>5</v>
      </c>
      <c r="AK1460">
        <v>3</v>
      </c>
      <c r="AL1460">
        <v>4</v>
      </c>
      <c r="AM1460">
        <v>3</v>
      </c>
      <c r="AN1460">
        <v>1</v>
      </c>
      <c r="AO1460">
        <v>1</v>
      </c>
      <c r="AP146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460" t="str">
        <f>IF(HRData[[#This Row],[Attrition]]="Yes","Left", IF(HRData[[#This Row],[Attrition_Risk_Score]]&gt;=6,"High",IF(HRData[[#This Row],[Attrition_Risk_Score]]&gt;=3,"Medium","Low")))</f>
        <v>Low</v>
      </c>
      <c r="AR1460" t="str">
        <f>IF(HRData[[#This Row],[Attrition_Risk_Level]]&lt;&gt;"High","",HRData[[#This Row],[Attrition_Risk_Score]]*10000-HRData[[#This Row],[EmployeeNumber]])</f>
        <v/>
      </c>
    </row>
    <row r="1461" spans="1:44">
      <c r="A1461">
        <v>29</v>
      </c>
      <c r="B1461" t="str" cm="1">
        <f t="array" ref="B1461">_xlfn.IFS(
HRData[[#This Row],[Age]]&lt;=24,"18-24",
HRData[[#This Row],[Age]]&lt;=34,"25-34",
HRData[[#This Row],[Age]]&lt;=44,"35-44",
HRData[[#This Row],[Age]]&lt;=54,"45-54",
HRData[[#This Row],[Age]]&gt;=55,"55+"
)</f>
        <v>25-34</v>
      </c>
      <c r="C1461" t="s">
        <v>43</v>
      </c>
      <c r="D1461">
        <f>IF(HRData[[#This Row],[Attrition]]="Yes",1,0)</f>
        <v>0</v>
      </c>
      <c r="E1461" t="s">
        <v>36</v>
      </c>
      <c r="F1461">
        <v>1378</v>
      </c>
      <c r="G1461" t="s">
        <v>45</v>
      </c>
      <c r="H1461">
        <v>13</v>
      </c>
      <c r="I1461">
        <v>2</v>
      </c>
      <c r="J1461" t="s">
        <v>49</v>
      </c>
      <c r="K1461">
        <v>1</v>
      </c>
      <c r="L1461">
        <v>2053</v>
      </c>
      <c r="M1461">
        <v>4</v>
      </c>
      <c r="N1461" t="str" cm="1">
        <f t="array" ref="N1461">_xlfn.IFS(HRData[[#This Row],[EnvironmentSatisfaction]]=1,"Very Dissatisfied",
HRData[[#This Row],[EnvironmentSatisfaction]]=2,"Dissatisfied",
HRData[[#This Row],[EnvironmentSatisfaction]]=3,"Satisfied",
HRData[[#This Row],[EnvironmentSatisfaction]]=4,"Very Satisfied"
)</f>
        <v>Very Satisfied</v>
      </c>
      <c r="O1461" t="s">
        <v>46</v>
      </c>
      <c r="P1461">
        <v>46</v>
      </c>
      <c r="Q1461">
        <v>2</v>
      </c>
      <c r="R1461">
        <v>2</v>
      </c>
      <c r="S1461" t="s">
        <v>50</v>
      </c>
      <c r="T1461">
        <v>2</v>
      </c>
      <c r="U1461" t="str" cm="1">
        <f t="array" ref="U1461">_xlfn.IFS(
HRData[[#This Row],[JobSatisfaction]]=1,"Very Dissatisfied",
HRData[[#This Row],[JobSatisfaction]]=2,"Dissatisfied",
HRData[[#This Row],[JobSatisfaction]]=3,"Satisfied",
HRData[[#This Row],[JobSatisfaction]]=4,"Very Satisfied"
)</f>
        <v>Dissatisfied</v>
      </c>
      <c r="V1461" t="s">
        <v>48</v>
      </c>
      <c r="W1461">
        <v>4025</v>
      </c>
      <c r="X1461" t="str" cm="1">
        <f t="array" ref="X1461">_xlfn.IFS(
HRData[[#This Row],[MonthlyIncome]]&lt;=4000,"Very Low Income",
HRData[[#This Row],[MonthlyIncome]]&lt;=8000,"Low Income",
HRData[[#This Row],[MonthlyIncome]]&lt;=12000,"Moderate Income",
HRData[[#This Row],[MonthlyIncome]]&lt;=16000,"High Income",
HRData[[#This Row],[MonthlyIncome]]&gt;16000,"Very High Income"
)</f>
        <v>Low Income</v>
      </c>
      <c r="Y1461">
        <v>23679</v>
      </c>
      <c r="Z1461">
        <v>4</v>
      </c>
      <c r="AA1461" t="s">
        <v>42</v>
      </c>
      <c r="AB1461" t="s">
        <v>35</v>
      </c>
      <c r="AC1461">
        <v>13</v>
      </c>
      <c r="AD1461" t="str" cm="1">
        <f t="array" ref="AD1461">_xlfn.IFS(HRData[[#This Row],[PercentSalaryHike]]&lt;=15,"11-15",HRData[[#This Row],[PercentSalaryHike]]&lt;=20,"16-20",HRData[[#This Row],[PercentSalaryHike]]&gt;=21,"21+")</f>
        <v>11-15</v>
      </c>
      <c r="AE1461">
        <v>3</v>
      </c>
      <c r="AF1461">
        <v>1</v>
      </c>
      <c r="AG1461">
        <v>80</v>
      </c>
      <c r="AH1461">
        <v>1</v>
      </c>
      <c r="AI1461">
        <v>10</v>
      </c>
      <c r="AJ1461">
        <v>2</v>
      </c>
      <c r="AK1461">
        <v>3</v>
      </c>
      <c r="AL1461">
        <v>4</v>
      </c>
      <c r="AM1461">
        <v>3</v>
      </c>
      <c r="AN1461">
        <v>0</v>
      </c>
      <c r="AO1461">
        <v>3</v>
      </c>
      <c r="AP146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461" t="str">
        <f>IF(HRData[[#This Row],[Attrition]]="Yes","Left", IF(HRData[[#This Row],[Attrition_Risk_Score]]&gt;=6,"High",IF(HRData[[#This Row],[Attrition_Risk_Score]]&gt;=3,"Medium","Low")))</f>
        <v>Medium</v>
      </c>
      <c r="AR1461" t="str">
        <f>IF(HRData[[#This Row],[Attrition_Risk_Level]]&lt;&gt;"High","",HRData[[#This Row],[Attrition_Risk_Score]]*10000-HRData[[#This Row],[EmployeeNumber]])</f>
        <v/>
      </c>
    </row>
    <row r="1462" spans="1:44">
      <c r="A1462">
        <v>29</v>
      </c>
      <c r="B1462" t="str" cm="1">
        <f t="array" ref="B1462">_xlfn.IFS(
HRData[[#This Row],[Age]]&lt;=24,"18-24",
HRData[[#This Row],[Age]]&lt;=34,"25-34",
HRData[[#This Row],[Age]]&lt;=44,"35-44",
HRData[[#This Row],[Age]]&lt;=54,"45-54",
HRData[[#This Row],[Age]]&gt;=55,"55+"
)</f>
        <v>25-34</v>
      </c>
      <c r="C1462" t="s">
        <v>43</v>
      </c>
      <c r="D1462">
        <f>IF(HRData[[#This Row],[Attrition]]="Yes",1,0)</f>
        <v>0</v>
      </c>
      <c r="E1462" t="s">
        <v>36</v>
      </c>
      <c r="F1462">
        <v>468</v>
      </c>
      <c r="G1462" t="s">
        <v>45</v>
      </c>
      <c r="H1462">
        <v>28</v>
      </c>
      <c r="I1462">
        <v>4</v>
      </c>
      <c r="J1462" t="s">
        <v>51</v>
      </c>
      <c r="K1462">
        <v>1</v>
      </c>
      <c r="L1462">
        <v>2054</v>
      </c>
      <c r="M1462">
        <v>4</v>
      </c>
      <c r="N1462" t="str" cm="1">
        <f t="array" ref="N1462">_xlfn.IFS(HRData[[#This Row],[EnvironmentSatisfaction]]=1,"Very Dissatisfied",
HRData[[#This Row],[EnvironmentSatisfaction]]=2,"Dissatisfied",
HRData[[#This Row],[EnvironmentSatisfaction]]=3,"Satisfied",
HRData[[#This Row],[EnvironmentSatisfaction]]=4,"Very Satisfied"
)</f>
        <v>Very Satisfied</v>
      </c>
      <c r="O1462" t="s">
        <v>39</v>
      </c>
      <c r="P1462">
        <v>73</v>
      </c>
      <c r="Q1462">
        <v>2</v>
      </c>
      <c r="R1462">
        <v>1</v>
      </c>
      <c r="S1462" t="s">
        <v>47</v>
      </c>
      <c r="T1462">
        <v>1</v>
      </c>
      <c r="U1462" t="str" cm="1">
        <f t="array" ref="U1462">_xlfn.IFS(
HRData[[#This Row],[JobSatisfaction]]=1,"Very Dissatisfied",
HRData[[#This Row],[JobSatisfaction]]=2,"Dissatisfied",
HRData[[#This Row],[JobSatisfaction]]=3,"Satisfied",
HRData[[#This Row],[JobSatisfaction]]=4,"Very Satisfied"
)</f>
        <v>Very Dissatisfied</v>
      </c>
      <c r="V1462" t="s">
        <v>41</v>
      </c>
      <c r="W1462">
        <v>3785</v>
      </c>
      <c r="X1462" t="str" cm="1">
        <f t="array" ref="X1462">_xlfn.IFS(
HRData[[#This Row],[MonthlyIncome]]&lt;=4000,"Very Low Income",
HRData[[#This Row],[MonthlyIncome]]&lt;=8000,"Low Income",
HRData[[#This Row],[MonthlyIncome]]&lt;=12000,"Moderate Income",
HRData[[#This Row],[MonthlyIncome]]&lt;=16000,"High Income",
HRData[[#This Row],[MonthlyIncome]]&gt;16000,"Very High Income"
)</f>
        <v>Very Low Income</v>
      </c>
      <c r="Y1462">
        <v>8489</v>
      </c>
      <c r="Z1462">
        <v>1</v>
      </c>
      <c r="AA1462" t="s">
        <v>42</v>
      </c>
      <c r="AB1462" t="s">
        <v>43</v>
      </c>
      <c r="AC1462">
        <v>14</v>
      </c>
      <c r="AD1462" t="str" cm="1">
        <f t="array" ref="AD1462">_xlfn.IFS(HRData[[#This Row],[PercentSalaryHike]]&lt;=15,"11-15",HRData[[#This Row],[PercentSalaryHike]]&lt;=20,"16-20",HRData[[#This Row],[PercentSalaryHike]]&gt;=21,"21+")</f>
        <v>11-15</v>
      </c>
      <c r="AE1462">
        <v>3</v>
      </c>
      <c r="AF1462">
        <v>2</v>
      </c>
      <c r="AG1462">
        <v>80</v>
      </c>
      <c r="AH1462">
        <v>0</v>
      </c>
      <c r="AI1462">
        <v>5</v>
      </c>
      <c r="AJ1462">
        <v>3</v>
      </c>
      <c r="AK1462">
        <v>1</v>
      </c>
      <c r="AL1462">
        <v>5</v>
      </c>
      <c r="AM1462">
        <v>4</v>
      </c>
      <c r="AN1462">
        <v>0</v>
      </c>
      <c r="AO1462">
        <v>4</v>
      </c>
      <c r="AP146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462" t="str">
        <f>IF(HRData[[#This Row],[Attrition]]="Yes","Left", IF(HRData[[#This Row],[Attrition_Risk_Score]]&gt;=6,"High",IF(HRData[[#This Row],[Attrition_Risk_Score]]&gt;=3,"Medium","Low")))</f>
        <v>Medium</v>
      </c>
      <c r="AR1462" t="str">
        <f>IF(HRData[[#This Row],[Attrition_Risk_Level]]&lt;&gt;"High","",HRData[[#This Row],[Attrition_Risk_Score]]*10000-HRData[[#This Row],[EmployeeNumber]])</f>
        <v/>
      </c>
    </row>
    <row r="1463" spans="1:44">
      <c r="A1463">
        <v>50</v>
      </c>
      <c r="B1463" t="str" cm="1">
        <f t="array" ref="B1463">_xlfn.IFS(
HRData[[#This Row],[Age]]&lt;=24,"18-24",
HRData[[#This Row],[Age]]&lt;=34,"25-34",
HRData[[#This Row],[Age]]&lt;=44,"35-44",
HRData[[#This Row],[Age]]&lt;=54,"45-54",
HRData[[#This Row],[Age]]&gt;=55,"55+"
)</f>
        <v>45-54</v>
      </c>
      <c r="C1463" t="s">
        <v>35</v>
      </c>
      <c r="D1463">
        <f>IF(HRData[[#This Row],[Attrition]]="Yes",1,0)</f>
        <v>1</v>
      </c>
      <c r="E1463" t="s">
        <v>36</v>
      </c>
      <c r="F1463">
        <v>410</v>
      </c>
      <c r="G1463" t="s">
        <v>37</v>
      </c>
      <c r="H1463">
        <v>28</v>
      </c>
      <c r="I1463">
        <v>3</v>
      </c>
      <c r="J1463" t="s">
        <v>59</v>
      </c>
      <c r="K1463">
        <v>1</v>
      </c>
      <c r="L1463">
        <v>2055</v>
      </c>
      <c r="M1463">
        <v>4</v>
      </c>
      <c r="N1463" t="str" cm="1">
        <f t="array" ref="N1463">_xlfn.IFS(HRData[[#This Row],[EnvironmentSatisfaction]]=1,"Very Dissatisfied",
HRData[[#This Row],[EnvironmentSatisfaction]]=2,"Dissatisfied",
HRData[[#This Row],[EnvironmentSatisfaction]]=3,"Satisfied",
HRData[[#This Row],[EnvironmentSatisfaction]]=4,"Very Satisfied"
)</f>
        <v>Very Satisfied</v>
      </c>
      <c r="O1463" t="s">
        <v>46</v>
      </c>
      <c r="P1463">
        <v>39</v>
      </c>
      <c r="Q1463">
        <v>2</v>
      </c>
      <c r="R1463">
        <v>3</v>
      </c>
      <c r="S1463" t="s">
        <v>40</v>
      </c>
      <c r="T1463">
        <v>1</v>
      </c>
      <c r="U1463" t="str" cm="1">
        <f t="array" ref="U1463">_xlfn.IFS(
HRData[[#This Row],[JobSatisfaction]]=1,"Very Dissatisfied",
HRData[[#This Row],[JobSatisfaction]]=2,"Dissatisfied",
HRData[[#This Row],[JobSatisfaction]]=3,"Satisfied",
HRData[[#This Row],[JobSatisfaction]]=4,"Very Satisfied"
)</f>
        <v>Very Dissatisfied</v>
      </c>
      <c r="V1463" t="s">
        <v>52</v>
      </c>
      <c r="W1463">
        <v>10854</v>
      </c>
      <c r="X1463" t="str" cm="1">
        <f t="array" ref="X1463">_xlfn.IFS(
HRData[[#This Row],[MonthlyIncome]]&lt;=4000,"Very Low Income",
HRData[[#This Row],[MonthlyIncome]]&lt;=8000,"Low Income",
HRData[[#This Row],[MonthlyIncome]]&lt;=12000,"Moderate Income",
HRData[[#This Row],[MonthlyIncome]]&lt;=16000,"High Income",
HRData[[#This Row],[MonthlyIncome]]&gt;16000,"Very High Income"
)</f>
        <v>Moderate Income</v>
      </c>
      <c r="Y1463">
        <v>16586</v>
      </c>
      <c r="Z1463">
        <v>4</v>
      </c>
      <c r="AA1463" t="s">
        <v>42</v>
      </c>
      <c r="AB1463" t="s">
        <v>35</v>
      </c>
      <c r="AC1463">
        <v>13</v>
      </c>
      <c r="AD1463" t="str" cm="1">
        <f t="array" ref="AD1463">_xlfn.IFS(HRData[[#This Row],[PercentSalaryHike]]&lt;=15,"11-15",HRData[[#This Row],[PercentSalaryHike]]&lt;=20,"16-20",HRData[[#This Row],[PercentSalaryHike]]&gt;=21,"21+")</f>
        <v>11-15</v>
      </c>
      <c r="AE1463">
        <v>3</v>
      </c>
      <c r="AF1463">
        <v>2</v>
      </c>
      <c r="AG1463">
        <v>80</v>
      </c>
      <c r="AH1463">
        <v>1</v>
      </c>
      <c r="AI1463">
        <v>20</v>
      </c>
      <c r="AJ1463">
        <v>3</v>
      </c>
      <c r="AK1463">
        <v>3</v>
      </c>
      <c r="AL1463">
        <v>3</v>
      </c>
      <c r="AM1463">
        <v>2</v>
      </c>
      <c r="AN1463">
        <v>2</v>
      </c>
      <c r="AO1463">
        <v>0</v>
      </c>
      <c r="AP146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463" t="str">
        <f>IF(HRData[[#This Row],[Attrition]]="Yes","Left", IF(HRData[[#This Row],[Attrition_Risk_Score]]&gt;=6,"High",IF(HRData[[#This Row],[Attrition_Risk_Score]]&gt;=3,"Medium","Low")))</f>
        <v>Left</v>
      </c>
      <c r="AR1463" t="str">
        <f>IF(HRData[[#This Row],[Attrition_Risk_Level]]&lt;&gt;"High","",HRData[[#This Row],[Attrition_Risk_Score]]*10000-HRData[[#This Row],[EmployeeNumber]])</f>
        <v/>
      </c>
    </row>
    <row r="1464" spans="1:44">
      <c r="A1464">
        <v>39</v>
      </c>
      <c r="B1464" t="str" cm="1">
        <f t="array" ref="B1464">_xlfn.IFS(
HRData[[#This Row],[Age]]&lt;=24,"18-24",
HRData[[#This Row],[Age]]&lt;=34,"25-34",
HRData[[#This Row],[Age]]&lt;=44,"35-44",
HRData[[#This Row],[Age]]&lt;=54,"45-54",
HRData[[#This Row],[Age]]&gt;=55,"55+"
)</f>
        <v>35-44</v>
      </c>
      <c r="C1464" t="s">
        <v>43</v>
      </c>
      <c r="D1464">
        <f>IF(HRData[[#This Row],[Attrition]]="Yes",1,0)</f>
        <v>0</v>
      </c>
      <c r="E1464" t="s">
        <v>36</v>
      </c>
      <c r="F1464">
        <v>722</v>
      </c>
      <c r="G1464" t="s">
        <v>37</v>
      </c>
      <c r="H1464">
        <v>24</v>
      </c>
      <c r="I1464">
        <v>1</v>
      </c>
      <c r="J1464" t="s">
        <v>59</v>
      </c>
      <c r="K1464">
        <v>1</v>
      </c>
      <c r="L1464">
        <v>2056</v>
      </c>
      <c r="M1464">
        <v>2</v>
      </c>
      <c r="N1464" t="str" cm="1">
        <f t="array" ref="N1464">_xlfn.IFS(HRData[[#This Row],[EnvironmentSatisfaction]]=1,"Very Dissatisfied",
HRData[[#This Row],[EnvironmentSatisfaction]]=2,"Dissatisfied",
HRData[[#This Row],[EnvironmentSatisfaction]]=3,"Satisfied",
HRData[[#This Row],[EnvironmentSatisfaction]]=4,"Very Satisfied"
)</f>
        <v>Dissatisfied</v>
      </c>
      <c r="O1464" t="s">
        <v>39</v>
      </c>
      <c r="P1464">
        <v>60</v>
      </c>
      <c r="Q1464">
        <v>2</v>
      </c>
      <c r="R1464">
        <v>4</v>
      </c>
      <c r="S1464" t="s">
        <v>40</v>
      </c>
      <c r="T1464">
        <v>4</v>
      </c>
      <c r="U1464" t="str" cm="1">
        <f t="array" ref="U1464">_xlfn.IFS(
HRData[[#This Row],[JobSatisfaction]]=1,"Very Dissatisfied",
HRData[[#This Row],[JobSatisfaction]]=2,"Dissatisfied",
HRData[[#This Row],[JobSatisfaction]]=3,"Satisfied",
HRData[[#This Row],[JobSatisfaction]]=4,"Very Satisfied"
)</f>
        <v>Very Satisfied</v>
      </c>
      <c r="V1464" t="s">
        <v>48</v>
      </c>
      <c r="W1464">
        <v>12031</v>
      </c>
      <c r="X1464" t="str" cm="1">
        <f t="array" ref="X1464">_xlfn.IFS(
HRData[[#This Row],[MonthlyIncome]]&lt;=4000,"Very Low Income",
HRData[[#This Row],[MonthlyIncome]]&lt;=8000,"Low Income",
HRData[[#This Row],[MonthlyIncome]]&lt;=12000,"Moderate Income",
HRData[[#This Row],[MonthlyIncome]]&lt;=16000,"High Income",
HRData[[#This Row],[MonthlyIncome]]&gt;16000,"Very High Income"
)</f>
        <v>High Income</v>
      </c>
      <c r="Y1464">
        <v>8828</v>
      </c>
      <c r="Z1464">
        <v>0</v>
      </c>
      <c r="AA1464" t="s">
        <v>42</v>
      </c>
      <c r="AB1464" t="s">
        <v>43</v>
      </c>
      <c r="AC1464">
        <v>11</v>
      </c>
      <c r="AD1464" t="str" cm="1">
        <f t="array" ref="AD1464">_xlfn.IFS(HRData[[#This Row],[PercentSalaryHike]]&lt;=15,"11-15",HRData[[#This Row],[PercentSalaryHike]]&lt;=20,"16-20",HRData[[#This Row],[PercentSalaryHike]]&gt;=21,"21+")</f>
        <v>11-15</v>
      </c>
      <c r="AE1464">
        <v>3</v>
      </c>
      <c r="AF1464">
        <v>1</v>
      </c>
      <c r="AG1464">
        <v>80</v>
      </c>
      <c r="AH1464">
        <v>1</v>
      </c>
      <c r="AI1464">
        <v>21</v>
      </c>
      <c r="AJ1464">
        <v>2</v>
      </c>
      <c r="AK1464">
        <v>2</v>
      </c>
      <c r="AL1464">
        <v>20</v>
      </c>
      <c r="AM1464">
        <v>9</v>
      </c>
      <c r="AN1464">
        <v>9</v>
      </c>
      <c r="AO1464">
        <v>6</v>
      </c>
      <c r="AP146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464" t="str">
        <f>IF(HRData[[#This Row],[Attrition]]="Yes","Left", IF(HRData[[#This Row],[Attrition_Risk_Score]]&gt;=6,"High",IF(HRData[[#This Row],[Attrition_Risk_Score]]&gt;=3,"Medium","Low")))</f>
        <v>Low</v>
      </c>
      <c r="AR1464" t="str">
        <f>IF(HRData[[#This Row],[Attrition_Risk_Level]]&lt;&gt;"High","",HRData[[#This Row],[Attrition_Risk_Score]]*10000-HRData[[#This Row],[EmployeeNumber]])</f>
        <v/>
      </c>
    </row>
    <row r="1465" spans="1:44">
      <c r="A1465">
        <v>31</v>
      </c>
      <c r="B1465" t="str" cm="1">
        <f t="array" ref="B1465">_xlfn.IFS(
HRData[[#This Row],[Age]]&lt;=24,"18-24",
HRData[[#This Row],[Age]]&lt;=34,"25-34",
HRData[[#This Row],[Age]]&lt;=44,"35-44",
HRData[[#This Row],[Age]]&lt;=54,"45-54",
HRData[[#This Row],[Age]]&gt;=55,"55+"
)</f>
        <v>25-34</v>
      </c>
      <c r="C1465" t="s">
        <v>43</v>
      </c>
      <c r="D1465">
        <f>IF(HRData[[#This Row],[Attrition]]="Yes",1,0)</f>
        <v>0</v>
      </c>
      <c r="E1465" t="s">
        <v>55</v>
      </c>
      <c r="F1465">
        <v>325</v>
      </c>
      <c r="G1465" t="s">
        <v>45</v>
      </c>
      <c r="H1465">
        <v>5</v>
      </c>
      <c r="I1465">
        <v>3</v>
      </c>
      <c r="J1465" t="s">
        <v>51</v>
      </c>
      <c r="K1465">
        <v>1</v>
      </c>
      <c r="L1465">
        <v>2057</v>
      </c>
      <c r="M1465">
        <v>2</v>
      </c>
      <c r="N1465" t="str" cm="1">
        <f t="array" ref="N1465">_xlfn.IFS(HRData[[#This Row],[EnvironmentSatisfaction]]=1,"Very Dissatisfied",
HRData[[#This Row],[EnvironmentSatisfaction]]=2,"Dissatisfied",
HRData[[#This Row],[EnvironmentSatisfaction]]=3,"Satisfied",
HRData[[#This Row],[EnvironmentSatisfaction]]=4,"Very Satisfied"
)</f>
        <v>Dissatisfied</v>
      </c>
      <c r="O1465" t="s">
        <v>46</v>
      </c>
      <c r="P1465">
        <v>74</v>
      </c>
      <c r="Q1465">
        <v>3</v>
      </c>
      <c r="R1465">
        <v>2</v>
      </c>
      <c r="S1465" t="s">
        <v>53</v>
      </c>
      <c r="T1465">
        <v>1</v>
      </c>
      <c r="U1465" t="str" cm="1">
        <f t="array" ref="U1465">_xlfn.IFS(
HRData[[#This Row],[JobSatisfaction]]=1,"Very Dissatisfied",
HRData[[#This Row],[JobSatisfaction]]=2,"Dissatisfied",
HRData[[#This Row],[JobSatisfaction]]=3,"Satisfied",
HRData[[#This Row],[JobSatisfaction]]=4,"Very Satisfied"
)</f>
        <v>Very Dissatisfied</v>
      </c>
      <c r="V1465" t="s">
        <v>41</v>
      </c>
      <c r="W1465">
        <v>9936</v>
      </c>
      <c r="X1465" t="str" cm="1">
        <f t="array" ref="X1465">_xlfn.IFS(
HRData[[#This Row],[MonthlyIncome]]&lt;=4000,"Very Low Income",
HRData[[#This Row],[MonthlyIncome]]&lt;=8000,"Low Income",
HRData[[#This Row],[MonthlyIncome]]&lt;=12000,"Moderate Income",
HRData[[#This Row],[MonthlyIncome]]&lt;=16000,"High Income",
HRData[[#This Row],[MonthlyIncome]]&gt;16000,"Very High Income"
)</f>
        <v>Moderate Income</v>
      </c>
      <c r="Y1465">
        <v>3787</v>
      </c>
      <c r="Z1465">
        <v>0</v>
      </c>
      <c r="AA1465" t="s">
        <v>42</v>
      </c>
      <c r="AB1465" t="s">
        <v>43</v>
      </c>
      <c r="AC1465">
        <v>19</v>
      </c>
      <c r="AD1465" t="str" cm="1">
        <f t="array" ref="AD1465">_xlfn.IFS(HRData[[#This Row],[PercentSalaryHike]]&lt;=15,"11-15",HRData[[#This Row],[PercentSalaryHike]]&lt;=20,"16-20",HRData[[#This Row],[PercentSalaryHike]]&gt;=21,"21+")</f>
        <v>16-20</v>
      </c>
      <c r="AE1465">
        <v>3</v>
      </c>
      <c r="AF1465">
        <v>2</v>
      </c>
      <c r="AG1465">
        <v>80</v>
      </c>
      <c r="AH1465">
        <v>0</v>
      </c>
      <c r="AI1465">
        <v>10</v>
      </c>
      <c r="AJ1465">
        <v>2</v>
      </c>
      <c r="AK1465">
        <v>3</v>
      </c>
      <c r="AL1465">
        <v>9</v>
      </c>
      <c r="AM1465">
        <v>4</v>
      </c>
      <c r="AN1465">
        <v>1</v>
      </c>
      <c r="AO1465">
        <v>7</v>
      </c>
      <c r="AP146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465" t="str">
        <f>IF(HRData[[#This Row],[Attrition]]="Yes","Left", IF(HRData[[#This Row],[Attrition_Risk_Score]]&gt;=6,"High",IF(HRData[[#This Row],[Attrition_Risk_Score]]&gt;=3,"Medium","Low")))</f>
        <v>Medium</v>
      </c>
      <c r="AR1465" t="str">
        <f>IF(HRData[[#This Row],[Attrition_Risk_Level]]&lt;&gt;"High","",HRData[[#This Row],[Attrition_Risk_Score]]*10000-HRData[[#This Row],[EmployeeNumber]])</f>
        <v/>
      </c>
    </row>
    <row r="1466" spans="1:44">
      <c r="A1466">
        <v>26</v>
      </c>
      <c r="B1466" t="str" cm="1">
        <f t="array" ref="B1466">_xlfn.IFS(
HRData[[#This Row],[Age]]&lt;=24,"18-24",
HRData[[#This Row],[Age]]&lt;=34,"25-34",
HRData[[#This Row],[Age]]&lt;=44,"35-44",
HRData[[#This Row],[Age]]&lt;=54,"45-54",
HRData[[#This Row],[Age]]&gt;=55,"55+"
)</f>
        <v>25-34</v>
      </c>
      <c r="C1466" t="s">
        <v>43</v>
      </c>
      <c r="D1466">
        <f>IF(HRData[[#This Row],[Attrition]]="Yes",1,0)</f>
        <v>0</v>
      </c>
      <c r="E1466" t="s">
        <v>36</v>
      </c>
      <c r="F1466">
        <v>1167</v>
      </c>
      <c r="G1466" t="s">
        <v>37</v>
      </c>
      <c r="H1466">
        <v>5</v>
      </c>
      <c r="I1466">
        <v>3</v>
      </c>
      <c r="J1466" t="s">
        <v>49</v>
      </c>
      <c r="K1466">
        <v>1</v>
      </c>
      <c r="L1466">
        <v>2060</v>
      </c>
      <c r="M1466">
        <v>4</v>
      </c>
      <c r="N1466" t="str" cm="1">
        <f t="array" ref="N1466">_xlfn.IFS(HRData[[#This Row],[EnvironmentSatisfaction]]=1,"Very Dissatisfied",
HRData[[#This Row],[EnvironmentSatisfaction]]=2,"Dissatisfied",
HRData[[#This Row],[EnvironmentSatisfaction]]=3,"Satisfied",
HRData[[#This Row],[EnvironmentSatisfaction]]=4,"Very Satisfied"
)</f>
        <v>Very Satisfied</v>
      </c>
      <c r="O1466" t="s">
        <v>39</v>
      </c>
      <c r="P1466">
        <v>30</v>
      </c>
      <c r="Q1466">
        <v>2</v>
      </c>
      <c r="R1466">
        <v>1</v>
      </c>
      <c r="S1466" t="s">
        <v>57</v>
      </c>
      <c r="T1466">
        <v>3</v>
      </c>
      <c r="U1466" t="str" cm="1">
        <f t="array" ref="U1466">_xlfn.IFS(
HRData[[#This Row],[JobSatisfaction]]=1,"Very Dissatisfied",
HRData[[#This Row],[JobSatisfaction]]=2,"Dissatisfied",
HRData[[#This Row],[JobSatisfaction]]=3,"Satisfied",
HRData[[#This Row],[JobSatisfaction]]=4,"Very Satisfied"
)</f>
        <v>Satisfied</v>
      </c>
      <c r="V1466" t="s">
        <v>41</v>
      </c>
      <c r="W1466">
        <v>2966</v>
      </c>
      <c r="X1466" t="str" cm="1">
        <f t="array" ref="X1466">_xlfn.IFS(
HRData[[#This Row],[MonthlyIncome]]&lt;=4000,"Very Low Income",
HRData[[#This Row],[MonthlyIncome]]&lt;=8000,"Low Income",
HRData[[#This Row],[MonthlyIncome]]&lt;=12000,"Moderate Income",
HRData[[#This Row],[MonthlyIncome]]&lt;=16000,"High Income",
HRData[[#This Row],[MonthlyIncome]]&gt;16000,"Very High Income"
)</f>
        <v>Very Low Income</v>
      </c>
      <c r="Y1466">
        <v>21378</v>
      </c>
      <c r="Z1466">
        <v>0</v>
      </c>
      <c r="AA1466" t="s">
        <v>42</v>
      </c>
      <c r="AB1466" t="s">
        <v>43</v>
      </c>
      <c r="AC1466">
        <v>18</v>
      </c>
      <c r="AD1466" t="str" cm="1">
        <f t="array" ref="AD1466">_xlfn.IFS(HRData[[#This Row],[PercentSalaryHike]]&lt;=15,"11-15",HRData[[#This Row],[PercentSalaryHike]]&lt;=20,"16-20",HRData[[#This Row],[PercentSalaryHike]]&gt;=21,"21+")</f>
        <v>16-20</v>
      </c>
      <c r="AE1466">
        <v>3</v>
      </c>
      <c r="AF1466">
        <v>4</v>
      </c>
      <c r="AG1466">
        <v>80</v>
      </c>
      <c r="AH1466">
        <v>0</v>
      </c>
      <c r="AI1466">
        <v>5</v>
      </c>
      <c r="AJ1466">
        <v>2</v>
      </c>
      <c r="AK1466">
        <v>3</v>
      </c>
      <c r="AL1466">
        <v>4</v>
      </c>
      <c r="AM1466">
        <v>2</v>
      </c>
      <c r="AN1466">
        <v>0</v>
      </c>
      <c r="AO1466">
        <v>0</v>
      </c>
      <c r="AP146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466" t="str">
        <f>IF(HRData[[#This Row],[Attrition]]="Yes","Left", IF(HRData[[#This Row],[Attrition_Risk_Score]]&gt;=6,"High",IF(HRData[[#This Row],[Attrition_Risk_Score]]&gt;=3,"Medium","Low")))</f>
        <v>Medium</v>
      </c>
      <c r="AR1466" t="str">
        <f>IF(HRData[[#This Row],[Attrition_Risk_Level]]&lt;&gt;"High","",HRData[[#This Row],[Attrition_Risk_Score]]*10000-HRData[[#This Row],[EmployeeNumber]])</f>
        <v/>
      </c>
    </row>
    <row r="1467" spans="1:44">
      <c r="A1467">
        <v>36</v>
      </c>
      <c r="B1467" t="str" cm="1">
        <f t="array" ref="B1467">_xlfn.IFS(
HRData[[#This Row],[Age]]&lt;=24,"18-24",
HRData[[#This Row],[Age]]&lt;=34,"25-34",
HRData[[#This Row],[Age]]&lt;=44,"35-44",
HRData[[#This Row],[Age]]&lt;=54,"45-54",
HRData[[#This Row],[Age]]&gt;=55,"55+"
)</f>
        <v>35-44</v>
      </c>
      <c r="C1467" t="s">
        <v>43</v>
      </c>
      <c r="D1467">
        <f>IF(HRData[[#This Row],[Attrition]]="Yes",1,0)</f>
        <v>0</v>
      </c>
      <c r="E1467" t="s">
        <v>44</v>
      </c>
      <c r="F1467">
        <v>884</v>
      </c>
      <c r="G1467" t="s">
        <v>45</v>
      </c>
      <c r="H1467">
        <v>23</v>
      </c>
      <c r="I1467">
        <v>2</v>
      </c>
      <c r="J1467" t="s">
        <v>51</v>
      </c>
      <c r="K1467">
        <v>1</v>
      </c>
      <c r="L1467">
        <v>2061</v>
      </c>
      <c r="M1467">
        <v>3</v>
      </c>
      <c r="N1467" t="str" cm="1">
        <f t="array" ref="N1467">_xlfn.IFS(HRData[[#This Row],[EnvironmentSatisfaction]]=1,"Very Dissatisfied",
HRData[[#This Row],[EnvironmentSatisfaction]]=2,"Dissatisfied",
HRData[[#This Row],[EnvironmentSatisfaction]]=3,"Satisfied",
HRData[[#This Row],[EnvironmentSatisfaction]]=4,"Very Satisfied"
)</f>
        <v>Satisfied</v>
      </c>
      <c r="O1467" t="s">
        <v>46</v>
      </c>
      <c r="P1467">
        <v>41</v>
      </c>
      <c r="Q1467">
        <v>4</v>
      </c>
      <c r="R1467">
        <v>2</v>
      </c>
      <c r="S1467" t="s">
        <v>50</v>
      </c>
      <c r="T1467">
        <v>4</v>
      </c>
      <c r="U1467" t="str" cm="1">
        <f t="array" ref="U1467">_xlfn.IFS(
HRData[[#This Row],[JobSatisfaction]]=1,"Very Dissatisfied",
HRData[[#This Row],[JobSatisfaction]]=2,"Dissatisfied",
HRData[[#This Row],[JobSatisfaction]]=3,"Satisfied",
HRData[[#This Row],[JobSatisfaction]]=4,"Very Satisfied"
)</f>
        <v>Very Satisfied</v>
      </c>
      <c r="V1467" t="s">
        <v>48</v>
      </c>
      <c r="W1467">
        <v>2571</v>
      </c>
      <c r="X1467" t="str" cm="1">
        <f t="array" ref="X1467">_xlfn.IFS(
HRData[[#This Row],[MonthlyIncome]]&lt;=4000,"Very Low Income",
HRData[[#This Row],[MonthlyIncome]]&lt;=8000,"Low Income",
HRData[[#This Row],[MonthlyIncome]]&lt;=12000,"Moderate Income",
HRData[[#This Row],[MonthlyIncome]]&lt;=16000,"High Income",
HRData[[#This Row],[MonthlyIncome]]&gt;16000,"Very High Income"
)</f>
        <v>Very Low Income</v>
      </c>
      <c r="Y1467">
        <v>12290</v>
      </c>
      <c r="Z1467">
        <v>4</v>
      </c>
      <c r="AA1467" t="s">
        <v>42</v>
      </c>
      <c r="AB1467" t="s">
        <v>43</v>
      </c>
      <c r="AC1467">
        <v>17</v>
      </c>
      <c r="AD1467" t="str" cm="1">
        <f t="array" ref="AD1467">_xlfn.IFS(HRData[[#This Row],[PercentSalaryHike]]&lt;=15,"11-15",HRData[[#This Row],[PercentSalaryHike]]&lt;=20,"16-20",HRData[[#This Row],[PercentSalaryHike]]&gt;=21,"21+")</f>
        <v>16-20</v>
      </c>
      <c r="AE1467">
        <v>3</v>
      </c>
      <c r="AF1467">
        <v>3</v>
      </c>
      <c r="AG1467">
        <v>80</v>
      </c>
      <c r="AH1467">
        <v>1</v>
      </c>
      <c r="AI1467">
        <v>17</v>
      </c>
      <c r="AJ1467">
        <v>3</v>
      </c>
      <c r="AK1467">
        <v>3</v>
      </c>
      <c r="AL1467">
        <v>5</v>
      </c>
      <c r="AM1467">
        <v>2</v>
      </c>
      <c r="AN1467">
        <v>0</v>
      </c>
      <c r="AO1467">
        <v>3</v>
      </c>
      <c r="AP146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467" t="str">
        <f>IF(HRData[[#This Row],[Attrition]]="Yes","Left", IF(HRData[[#This Row],[Attrition_Risk_Score]]&gt;=6,"High",IF(HRData[[#This Row],[Attrition_Risk_Score]]&gt;=3,"Medium","Low")))</f>
        <v>Medium</v>
      </c>
      <c r="AR1467" t="str">
        <f>IF(HRData[[#This Row],[Attrition_Risk_Level]]&lt;&gt;"High","",HRData[[#This Row],[Attrition_Risk_Score]]*10000-HRData[[#This Row],[EmployeeNumber]])</f>
        <v/>
      </c>
    </row>
    <row r="1468" spans="1:44">
      <c r="A1468">
        <v>39</v>
      </c>
      <c r="B1468" t="str" cm="1">
        <f t="array" ref="B1468">_xlfn.IFS(
HRData[[#This Row],[Age]]&lt;=24,"18-24",
HRData[[#This Row],[Age]]&lt;=34,"25-34",
HRData[[#This Row],[Age]]&lt;=44,"35-44",
HRData[[#This Row],[Age]]&lt;=54,"45-54",
HRData[[#This Row],[Age]]&gt;=55,"55+"
)</f>
        <v>35-44</v>
      </c>
      <c r="C1468" t="s">
        <v>43</v>
      </c>
      <c r="D1468">
        <f>IF(HRData[[#This Row],[Attrition]]="Yes",1,0)</f>
        <v>0</v>
      </c>
      <c r="E1468" t="s">
        <v>36</v>
      </c>
      <c r="F1468">
        <v>613</v>
      </c>
      <c r="G1468" t="s">
        <v>45</v>
      </c>
      <c r="H1468">
        <v>6</v>
      </c>
      <c r="I1468">
        <v>1</v>
      </c>
      <c r="J1468" t="s">
        <v>51</v>
      </c>
      <c r="K1468">
        <v>1</v>
      </c>
      <c r="L1468">
        <v>2062</v>
      </c>
      <c r="M1468">
        <v>4</v>
      </c>
      <c r="N1468" t="str" cm="1">
        <f t="array" ref="N1468">_xlfn.IFS(HRData[[#This Row],[EnvironmentSatisfaction]]=1,"Very Dissatisfied",
HRData[[#This Row],[EnvironmentSatisfaction]]=2,"Dissatisfied",
HRData[[#This Row],[EnvironmentSatisfaction]]=3,"Satisfied",
HRData[[#This Row],[EnvironmentSatisfaction]]=4,"Very Satisfied"
)</f>
        <v>Very Satisfied</v>
      </c>
      <c r="O1468" t="s">
        <v>46</v>
      </c>
      <c r="P1468">
        <v>42</v>
      </c>
      <c r="Q1468">
        <v>2</v>
      </c>
      <c r="R1468">
        <v>3</v>
      </c>
      <c r="S1468" t="s">
        <v>54</v>
      </c>
      <c r="T1468">
        <v>1</v>
      </c>
      <c r="U1468" t="str" cm="1">
        <f t="array" ref="U1468">_xlfn.IFS(
HRData[[#This Row],[JobSatisfaction]]=1,"Very Dissatisfied",
HRData[[#This Row],[JobSatisfaction]]=2,"Dissatisfied",
HRData[[#This Row],[JobSatisfaction]]=3,"Satisfied",
HRData[[#This Row],[JobSatisfaction]]=4,"Very Satisfied"
)</f>
        <v>Very Dissatisfied</v>
      </c>
      <c r="V1468" t="s">
        <v>48</v>
      </c>
      <c r="W1468">
        <v>9991</v>
      </c>
      <c r="X1468" t="str" cm="1">
        <f t="array" ref="X1468">_xlfn.IFS(
HRData[[#This Row],[MonthlyIncome]]&lt;=4000,"Very Low Income",
HRData[[#This Row],[MonthlyIncome]]&lt;=8000,"Low Income",
HRData[[#This Row],[MonthlyIncome]]&lt;=12000,"Moderate Income",
HRData[[#This Row],[MonthlyIncome]]&lt;=16000,"High Income",
HRData[[#This Row],[MonthlyIncome]]&gt;16000,"Very High Income"
)</f>
        <v>Moderate Income</v>
      </c>
      <c r="Y1468">
        <v>21457</v>
      </c>
      <c r="Z1468">
        <v>4</v>
      </c>
      <c r="AA1468" t="s">
        <v>42</v>
      </c>
      <c r="AB1468" t="s">
        <v>43</v>
      </c>
      <c r="AC1468">
        <v>15</v>
      </c>
      <c r="AD1468" t="str" cm="1">
        <f t="array" ref="AD1468">_xlfn.IFS(HRData[[#This Row],[PercentSalaryHike]]&lt;=15,"11-15",HRData[[#This Row],[PercentSalaryHike]]&lt;=20,"16-20",HRData[[#This Row],[PercentSalaryHike]]&gt;=21,"21+")</f>
        <v>11-15</v>
      </c>
      <c r="AE1468">
        <v>3</v>
      </c>
      <c r="AF1468">
        <v>1</v>
      </c>
      <c r="AG1468">
        <v>80</v>
      </c>
      <c r="AH1468">
        <v>1</v>
      </c>
      <c r="AI1468">
        <v>9</v>
      </c>
      <c r="AJ1468">
        <v>5</v>
      </c>
      <c r="AK1468">
        <v>3</v>
      </c>
      <c r="AL1468">
        <v>7</v>
      </c>
      <c r="AM1468">
        <v>7</v>
      </c>
      <c r="AN1468">
        <v>1</v>
      </c>
      <c r="AO1468">
        <v>7</v>
      </c>
      <c r="AP146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468" t="str">
        <f>IF(HRData[[#This Row],[Attrition]]="Yes","Left", IF(HRData[[#This Row],[Attrition_Risk_Score]]&gt;=6,"High",IF(HRData[[#This Row],[Attrition_Risk_Score]]&gt;=3,"Medium","Low")))</f>
        <v>Low</v>
      </c>
      <c r="AR1468" t="str">
        <f>IF(HRData[[#This Row],[Attrition_Risk_Level]]&lt;&gt;"High","",HRData[[#This Row],[Attrition_Risk_Score]]*10000-HRData[[#This Row],[EmployeeNumber]])</f>
        <v/>
      </c>
    </row>
    <row r="1469" spans="1:44">
      <c r="A1469">
        <v>27</v>
      </c>
      <c r="B1469" t="str" cm="1">
        <f t="array" ref="B1469">_xlfn.IFS(
HRData[[#This Row],[Age]]&lt;=24,"18-24",
HRData[[#This Row],[Age]]&lt;=34,"25-34",
HRData[[#This Row],[Age]]&lt;=44,"35-44",
HRData[[#This Row],[Age]]&lt;=54,"45-54",
HRData[[#This Row],[Age]]&gt;=55,"55+"
)</f>
        <v>25-34</v>
      </c>
      <c r="C1469" t="s">
        <v>43</v>
      </c>
      <c r="D1469">
        <f>IF(HRData[[#This Row],[Attrition]]="Yes",1,0)</f>
        <v>0</v>
      </c>
      <c r="E1469" t="s">
        <v>36</v>
      </c>
      <c r="F1469">
        <v>155</v>
      </c>
      <c r="G1469" t="s">
        <v>45</v>
      </c>
      <c r="H1469">
        <v>4</v>
      </c>
      <c r="I1469">
        <v>3</v>
      </c>
      <c r="J1469" t="s">
        <v>38</v>
      </c>
      <c r="K1469">
        <v>1</v>
      </c>
      <c r="L1469">
        <v>2064</v>
      </c>
      <c r="M1469">
        <v>2</v>
      </c>
      <c r="N1469" t="str" cm="1">
        <f t="array" ref="N1469">_xlfn.IFS(HRData[[#This Row],[EnvironmentSatisfaction]]=1,"Very Dissatisfied",
HRData[[#This Row],[EnvironmentSatisfaction]]=2,"Dissatisfied",
HRData[[#This Row],[EnvironmentSatisfaction]]=3,"Satisfied",
HRData[[#This Row],[EnvironmentSatisfaction]]=4,"Very Satisfied"
)</f>
        <v>Dissatisfied</v>
      </c>
      <c r="O1469" t="s">
        <v>46</v>
      </c>
      <c r="P1469">
        <v>87</v>
      </c>
      <c r="Q1469">
        <v>4</v>
      </c>
      <c r="R1469">
        <v>2</v>
      </c>
      <c r="S1469" t="s">
        <v>53</v>
      </c>
      <c r="T1469">
        <v>2</v>
      </c>
      <c r="U1469" t="str" cm="1">
        <f t="array" ref="U1469">_xlfn.IFS(
HRData[[#This Row],[JobSatisfaction]]=1,"Very Dissatisfied",
HRData[[#This Row],[JobSatisfaction]]=2,"Dissatisfied",
HRData[[#This Row],[JobSatisfaction]]=3,"Satisfied",
HRData[[#This Row],[JobSatisfaction]]=4,"Very Satisfied"
)</f>
        <v>Dissatisfied</v>
      </c>
      <c r="V1469" t="s">
        <v>48</v>
      </c>
      <c r="W1469">
        <v>6142</v>
      </c>
      <c r="X1469" t="str" cm="1">
        <f t="array" ref="X1469">_xlfn.IFS(
HRData[[#This Row],[MonthlyIncome]]&lt;=4000,"Very Low Income",
HRData[[#This Row],[MonthlyIncome]]&lt;=8000,"Low Income",
HRData[[#This Row],[MonthlyIncome]]&lt;=12000,"Moderate Income",
HRData[[#This Row],[MonthlyIncome]]&lt;=16000,"High Income",
HRData[[#This Row],[MonthlyIncome]]&gt;16000,"Very High Income"
)</f>
        <v>Low Income</v>
      </c>
      <c r="Y1469">
        <v>5174</v>
      </c>
      <c r="Z1469">
        <v>1</v>
      </c>
      <c r="AA1469" t="s">
        <v>42</v>
      </c>
      <c r="AB1469" t="s">
        <v>35</v>
      </c>
      <c r="AC1469">
        <v>20</v>
      </c>
      <c r="AD1469" t="str" cm="1">
        <f t="array" ref="AD1469">_xlfn.IFS(HRData[[#This Row],[PercentSalaryHike]]&lt;=15,"11-15",HRData[[#This Row],[PercentSalaryHike]]&lt;=20,"16-20",HRData[[#This Row],[PercentSalaryHike]]&gt;=21,"21+")</f>
        <v>16-20</v>
      </c>
      <c r="AE1469">
        <v>4</v>
      </c>
      <c r="AF1469">
        <v>2</v>
      </c>
      <c r="AG1469">
        <v>80</v>
      </c>
      <c r="AH1469">
        <v>1</v>
      </c>
      <c r="AI1469">
        <v>6</v>
      </c>
      <c r="AJ1469">
        <v>0</v>
      </c>
      <c r="AK1469">
        <v>3</v>
      </c>
      <c r="AL1469">
        <v>6</v>
      </c>
      <c r="AM1469">
        <v>2</v>
      </c>
      <c r="AN1469">
        <v>0</v>
      </c>
      <c r="AO1469">
        <v>3</v>
      </c>
      <c r="AP146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469" t="str">
        <f>IF(HRData[[#This Row],[Attrition]]="Yes","Left", IF(HRData[[#This Row],[Attrition_Risk_Score]]&gt;=6,"High",IF(HRData[[#This Row],[Attrition_Risk_Score]]&gt;=3,"Medium","Low")))</f>
        <v>Medium</v>
      </c>
      <c r="AR1469" t="str">
        <f>IF(HRData[[#This Row],[Attrition_Risk_Level]]&lt;&gt;"High","",HRData[[#This Row],[Attrition_Risk_Score]]*10000-HRData[[#This Row],[EmployeeNumber]])</f>
        <v/>
      </c>
    </row>
    <row r="1470" spans="1:44">
      <c r="A1470">
        <v>49</v>
      </c>
      <c r="B1470" t="str" cm="1">
        <f t="array" ref="B1470">_xlfn.IFS(
HRData[[#This Row],[Age]]&lt;=24,"18-24",
HRData[[#This Row],[Age]]&lt;=34,"25-34",
HRData[[#This Row],[Age]]&lt;=44,"35-44",
HRData[[#This Row],[Age]]&lt;=54,"45-54",
HRData[[#This Row],[Age]]&gt;=55,"55+"
)</f>
        <v>45-54</v>
      </c>
      <c r="C1470" t="s">
        <v>43</v>
      </c>
      <c r="D1470">
        <f>IF(HRData[[#This Row],[Attrition]]="Yes",1,0)</f>
        <v>0</v>
      </c>
      <c r="E1470" t="s">
        <v>44</v>
      </c>
      <c r="F1470">
        <v>1023</v>
      </c>
      <c r="G1470" t="s">
        <v>37</v>
      </c>
      <c r="H1470">
        <v>2</v>
      </c>
      <c r="I1470">
        <v>3</v>
      </c>
      <c r="J1470" t="s">
        <v>51</v>
      </c>
      <c r="K1470">
        <v>1</v>
      </c>
      <c r="L1470">
        <v>2065</v>
      </c>
      <c r="M1470">
        <v>4</v>
      </c>
      <c r="N1470" t="str" cm="1">
        <f t="array" ref="N1470">_xlfn.IFS(HRData[[#This Row],[EnvironmentSatisfaction]]=1,"Very Dissatisfied",
HRData[[#This Row],[EnvironmentSatisfaction]]=2,"Dissatisfied",
HRData[[#This Row],[EnvironmentSatisfaction]]=3,"Satisfied",
HRData[[#This Row],[EnvironmentSatisfaction]]=4,"Very Satisfied"
)</f>
        <v>Very Satisfied</v>
      </c>
      <c r="O1470" t="s">
        <v>46</v>
      </c>
      <c r="P1470">
        <v>63</v>
      </c>
      <c r="Q1470">
        <v>2</v>
      </c>
      <c r="R1470">
        <v>2</v>
      </c>
      <c r="S1470" t="s">
        <v>40</v>
      </c>
      <c r="T1470">
        <v>2</v>
      </c>
      <c r="U1470" t="str" cm="1">
        <f t="array" ref="U1470">_xlfn.IFS(
HRData[[#This Row],[JobSatisfaction]]=1,"Very Dissatisfied",
HRData[[#This Row],[JobSatisfaction]]=2,"Dissatisfied",
HRData[[#This Row],[JobSatisfaction]]=3,"Satisfied",
HRData[[#This Row],[JobSatisfaction]]=4,"Very Satisfied"
)</f>
        <v>Dissatisfied</v>
      </c>
      <c r="V1470" t="s">
        <v>48</v>
      </c>
      <c r="W1470">
        <v>5390</v>
      </c>
      <c r="X1470" t="str" cm="1">
        <f t="array" ref="X1470">_xlfn.IFS(
HRData[[#This Row],[MonthlyIncome]]&lt;=4000,"Very Low Income",
HRData[[#This Row],[MonthlyIncome]]&lt;=8000,"Low Income",
HRData[[#This Row],[MonthlyIncome]]&lt;=12000,"Moderate Income",
HRData[[#This Row],[MonthlyIncome]]&lt;=16000,"High Income",
HRData[[#This Row],[MonthlyIncome]]&gt;16000,"Very High Income"
)</f>
        <v>Low Income</v>
      </c>
      <c r="Y1470">
        <v>13243</v>
      </c>
      <c r="Z1470">
        <v>2</v>
      </c>
      <c r="AA1470" t="s">
        <v>42</v>
      </c>
      <c r="AB1470" t="s">
        <v>43</v>
      </c>
      <c r="AC1470">
        <v>14</v>
      </c>
      <c r="AD1470" t="str" cm="1">
        <f t="array" ref="AD1470">_xlfn.IFS(HRData[[#This Row],[PercentSalaryHike]]&lt;=15,"11-15",HRData[[#This Row],[PercentSalaryHike]]&lt;=20,"16-20",HRData[[#This Row],[PercentSalaryHike]]&gt;=21,"21+")</f>
        <v>11-15</v>
      </c>
      <c r="AE1470">
        <v>3</v>
      </c>
      <c r="AF1470">
        <v>4</v>
      </c>
      <c r="AG1470">
        <v>80</v>
      </c>
      <c r="AH1470">
        <v>0</v>
      </c>
      <c r="AI1470">
        <v>17</v>
      </c>
      <c r="AJ1470">
        <v>3</v>
      </c>
      <c r="AK1470">
        <v>2</v>
      </c>
      <c r="AL1470">
        <v>9</v>
      </c>
      <c r="AM1470">
        <v>6</v>
      </c>
      <c r="AN1470">
        <v>0</v>
      </c>
      <c r="AO1470">
        <v>8</v>
      </c>
      <c r="AP147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70" t="str">
        <f>IF(HRData[[#This Row],[Attrition]]="Yes","Left", IF(HRData[[#This Row],[Attrition_Risk_Score]]&gt;=6,"High",IF(HRData[[#This Row],[Attrition_Risk_Score]]&gt;=3,"Medium","Low")))</f>
        <v>Low</v>
      </c>
      <c r="AR1470" t="str">
        <f>IF(HRData[[#This Row],[Attrition_Risk_Level]]&lt;&gt;"High","",HRData[[#This Row],[Attrition_Risk_Score]]*10000-HRData[[#This Row],[EmployeeNumber]])</f>
        <v/>
      </c>
    </row>
    <row r="1471" spans="1:44">
      <c r="A1471">
        <v>34</v>
      </c>
      <c r="B1471" t="str" cm="1">
        <f t="array" ref="B1471">_xlfn.IFS(
HRData[[#This Row],[Age]]&lt;=24,"18-24",
HRData[[#This Row],[Age]]&lt;=34,"25-34",
HRData[[#This Row],[Age]]&lt;=44,"35-44",
HRData[[#This Row],[Age]]&lt;=54,"45-54",
HRData[[#This Row],[Age]]&gt;=55,"55+"
)</f>
        <v>25-34</v>
      </c>
      <c r="C1471" t="s">
        <v>43</v>
      </c>
      <c r="D1471">
        <f>IF(HRData[[#This Row],[Attrition]]="Yes",1,0)</f>
        <v>0</v>
      </c>
      <c r="E1471" t="s">
        <v>36</v>
      </c>
      <c r="F1471">
        <v>628</v>
      </c>
      <c r="G1471" t="s">
        <v>45</v>
      </c>
      <c r="H1471">
        <v>8</v>
      </c>
      <c r="I1471">
        <v>3</v>
      </c>
      <c r="J1471" t="s">
        <v>51</v>
      </c>
      <c r="K1471">
        <v>1</v>
      </c>
      <c r="L1471">
        <v>2068</v>
      </c>
      <c r="M1471">
        <v>2</v>
      </c>
      <c r="N1471" t="str" cm="1">
        <f t="array" ref="N1471">_xlfn.IFS(HRData[[#This Row],[EnvironmentSatisfaction]]=1,"Very Dissatisfied",
HRData[[#This Row],[EnvironmentSatisfaction]]=2,"Dissatisfied",
HRData[[#This Row],[EnvironmentSatisfaction]]=3,"Satisfied",
HRData[[#This Row],[EnvironmentSatisfaction]]=4,"Very Satisfied"
)</f>
        <v>Dissatisfied</v>
      </c>
      <c r="O1471" t="s">
        <v>46</v>
      </c>
      <c r="P1471">
        <v>82</v>
      </c>
      <c r="Q1471">
        <v>4</v>
      </c>
      <c r="R1471">
        <v>2</v>
      </c>
      <c r="S1471" t="s">
        <v>50</v>
      </c>
      <c r="T1471">
        <v>3</v>
      </c>
      <c r="U1471" t="str" cm="1">
        <f t="array" ref="U1471">_xlfn.IFS(
HRData[[#This Row],[JobSatisfaction]]=1,"Very Dissatisfied",
HRData[[#This Row],[JobSatisfaction]]=2,"Dissatisfied",
HRData[[#This Row],[JobSatisfaction]]=3,"Satisfied",
HRData[[#This Row],[JobSatisfaction]]=4,"Very Satisfied"
)</f>
        <v>Satisfied</v>
      </c>
      <c r="V1471" t="s">
        <v>48</v>
      </c>
      <c r="W1471">
        <v>4404</v>
      </c>
      <c r="X1471" t="str" cm="1">
        <f t="array" ref="X1471">_xlfn.IFS(
HRData[[#This Row],[MonthlyIncome]]&lt;=4000,"Very Low Income",
HRData[[#This Row],[MonthlyIncome]]&lt;=8000,"Low Income",
HRData[[#This Row],[MonthlyIncome]]&lt;=12000,"Moderate Income",
HRData[[#This Row],[MonthlyIncome]]&lt;=16000,"High Income",
HRData[[#This Row],[MonthlyIncome]]&gt;16000,"Very High Income"
)</f>
        <v>Low Income</v>
      </c>
      <c r="Y1471">
        <v>10228</v>
      </c>
      <c r="Z1471">
        <v>2</v>
      </c>
      <c r="AA1471" t="s">
        <v>42</v>
      </c>
      <c r="AB1471" t="s">
        <v>43</v>
      </c>
      <c r="AC1471">
        <v>12</v>
      </c>
      <c r="AD1471" t="str" cm="1">
        <f t="array" ref="AD1471">_xlfn.IFS(HRData[[#This Row],[PercentSalaryHike]]&lt;=15,"11-15",HRData[[#This Row],[PercentSalaryHike]]&lt;=20,"16-20",HRData[[#This Row],[PercentSalaryHike]]&gt;=21,"21+")</f>
        <v>11-15</v>
      </c>
      <c r="AE1471">
        <v>3</v>
      </c>
      <c r="AF1471">
        <v>1</v>
      </c>
      <c r="AG1471">
        <v>80</v>
      </c>
      <c r="AH1471">
        <v>0</v>
      </c>
      <c r="AI1471">
        <v>6</v>
      </c>
      <c r="AJ1471">
        <v>3</v>
      </c>
      <c r="AK1471">
        <v>4</v>
      </c>
      <c r="AL1471">
        <v>4</v>
      </c>
      <c r="AM1471">
        <v>3</v>
      </c>
      <c r="AN1471">
        <v>1</v>
      </c>
      <c r="AO1471">
        <v>2</v>
      </c>
      <c r="AP147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471" t="str">
        <f>IF(HRData[[#This Row],[Attrition]]="Yes","Left", IF(HRData[[#This Row],[Attrition_Risk_Score]]&gt;=6,"High",IF(HRData[[#This Row],[Attrition_Risk_Score]]&gt;=3,"Medium","Low")))</f>
        <v>Medium</v>
      </c>
      <c r="AR1471" t="str">
        <f>IF(HRData[[#This Row],[Attrition_Risk_Level]]&lt;&gt;"High","",HRData[[#This Row],[Attrition_Risk_Score]]*10000-HRData[[#This Row],[EmployeeNumber]])</f>
        <v/>
      </c>
    </row>
  </sheetData>
  <conditionalFormatting sqref="AQ1:AQ1048576">
    <cfRule type="cellIs" dxfId="3066" priority="1" operator="equal">
      <formula>"Left"</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7B242-EB19-444C-9A7E-3B73D1FDC302}">
  <dimension ref="B2:CC75"/>
  <sheetViews>
    <sheetView zoomScale="62" zoomScaleNormal="62" workbookViewId="0">
      <selection activeCell="C6" sqref="C6"/>
    </sheetView>
  </sheetViews>
  <sheetFormatPr defaultRowHeight="14.5"/>
  <cols>
    <col min="2" max="2" width="14" bestFit="1" customWidth="1"/>
    <col min="3" max="3" width="16.08984375" bestFit="1" customWidth="1"/>
    <col min="4" max="4" width="13.7265625" bestFit="1" customWidth="1"/>
    <col min="5" max="5" width="18.453125" bestFit="1" customWidth="1"/>
    <col min="7" max="7" width="3" style="4" customWidth="1"/>
    <col min="9" max="9" width="23.26953125" bestFit="1" customWidth="1"/>
    <col min="10" max="12" width="12.08984375" bestFit="1" customWidth="1"/>
    <col min="20" max="20" width="3.453125" style="4" customWidth="1"/>
    <col min="22" max="22" width="14" bestFit="1" customWidth="1"/>
    <col min="23" max="23" width="21.90625" bestFit="1" customWidth="1"/>
    <col min="24" max="24" width="10.08984375" bestFit="1" customWidth="1"/>
    <col min="25" max="25" width="12.08984375" bestFit="1" customWidth="1"/>
    <col min="30" max="30" width="3.81640625" style="4" customWidth="1"/>
    <col min="32" max="32" width="15.6328125" bestFit="1" customWidth="1"/>
    <col min="33" max="33" width="12.08984375" bestFit="1" customWidth="1"/>
    <col min="34" max="34" width="13.7265625" bestFit="1" customWidth="1"/>
    <col min="35" max="35" width="12.08984375" bestFit="1" customWidth="1"/>
    <col min="40" max="40" width="3.36328125" style="4" customWidth="1"/>
    <col min="42" max="42" width="13.26953125" bestFit="1" customWidth="1"/>
    <col min="43" max="43" width="12.08984375" bestFit="1" customWidth="1"/>
    <col min="44" max="44" width="13.7265625" bestFit="1" customWidth="1"/>
    <col min="45" max="45" width="12.08984375" bestFit="1" customWidth="1"/>
    <col min="51" max="51" width="4.26953125" style="4" customWidth="1"/>
    <col min="53" max="53" width="18.08984375" bestFit="1" customWidth="1"/>
    <col min="54" max="54" width="12.08984375" bestFit="1" customWidth="1"/>
    <col min="55" max="55" width="13.7265625" bestFit="1" customWidth="1"/>
    <col min="56" max="56" width="12.08984375" bestFit="1" customWidth="1"/>
    <col min="62" max="62" width="4.36328125" style="4" customWidth="1"/>
    <col min="64" max="64" width="13.1796875" bestFit="1" customWidth="1"/>
    <col min="65" max="65" width="17.08984375" customWidth="1"/>
    <col min="66" max="66" width="21.08984375" bestFit="1" customWidth="1"/>
    <col min="67" max="67" width="19.26953125" bestFit="1" customWidth="1"/>
    <col min="68" max="68" width="22.26953125" bestFit="1" customWidth="1"/>
    <col min="69" max="69" width="17.26953125" customWidth="1"/>
    <col min="70" max="70" width="19.1796875" bestFit="1" customWidth="1"/>
    <col min="71" max="71" width="10.08984375" bestFit="1" customWidth="1"/>
    <col min="72" max="72" width="19.1796875" bestFit="1" customWidth="1"/>
    <col min="73" max="73" width="10.08984375" bestFit="1" customWidth="1"/>
    <col min="74" max="74" width="19" bestFit="1" customWidth="1"/>
    <col min="77" max="77" width="3.453125" style="23" customWidth="1"/>
  </cols>
  <sheetData>
    <row r="2" spans="2:81">
      <c r="B2" s="8" t="s">
        <v>119</v>
      </c>
      <c r="I2" s="8" t="s">
        <v>120</v>
      </c>
      <c r="V2" s="8" t="s">
        <v>122</v>
      </c>
    </row>
    <row r="3" spans="2:81">
      <c r="AF3" s="8" t="s">
        <v>123</v>
      </c>
      <c r="AP3" s="8" t="s">
        <v>124</v>
      </c>
      <c r="BA3" s="8" t="s">
        <v>126</v>
      </c>
      <c r="BL3" s="8" t="s">
        <v>127</v>
      </c>
      <c r="CC3" t="str">
        <f>"Data Snapshot Date: "</f>
        <v xml:space="preserve">Data Snapshot Date: </v>
      </c>
    </row>
    <row r="4" spans="2:81">
      <c r="B4" s="5" t="s">
        <v>71</v>
      </c>
      <c r="CC4" t="str">
        <f ca="1">TEXT(TODAY(),"dd mmm yyyy")</f>
        <v>22 Aug 2026</v>
      </c>
    </row>
    <row r="5" spans="2:81">
      <c r="B5" s="1" t="s">
        <v>63</v>
      </c>
      <c r="C5" t="s">
        <v>73</v>
      </c>
      <c r="D5" t="s">
        <v>68</v>
      </c>
      <c r="E5" t="s">
        <v>69</v>
      </c>
      <c r="I5" s="5" t="s">
        <v>76</v>
      </c>
      <c r="V5" s="7" t="s">
        <v>83</v>
      </c>
      <c r="AF5" s="5" t="s">
        <v>88</v>
      </c>
      <c r="AP5" s="5" t="s">
        <v>96</v>
      </c>
      <c r="BA5" s="5" t="s">
        <v>125</v>
      </c>
    </row>
    <row r="6" spans="2:81">
      <c r="B6" s="2" t="s">
        <v>43</v>
      </c>
      <c r="C6" s="6">
        <v>1233</v>
      </c>
      <c r="D6" s="26">
        <v>0</v>
      </c>
      <c r="E6" s="26">
        <v>0</v>
      </c>
      <c r="I6" s="1" t="s">
        <v>77</v>
      </c>
      <c r="J6" t="s">
        <v>73</v>
      </c>
      <c r="K6" t="s">
        <v>68</v>
      </c>
      <c r="L6" t="s">
        <v>72</v>
      </c>
      <c r="V6" s="1" t="s">
        <v>80</v>
      </c>
      <c r="W6" t="s">
        <v>81</v>
      </c>
      <c r="X6" t="s">
        <v>82</v>
      </c>
      <c r="Y6" t="s">
        <v>72</v>
      </c>
      <c r="AF6" s="1" t="s">
        <v>87</v>
      </c>
      <c r="AG6" t="s">
        <v>82</v>
      </c>
      <c r="AH6" t="s">
        <v>68</v>
      </c>
      <c r="AI6" t="s">
        <v>72</v>
      </c>
      <c r="AP6" s="1" t="s">
        <v>95</v>
      </c>
      <c r="AQ6" t="s">
        <v>81</v>
      </c>
      <c r="AR6" t="s">
        <v>68</v>
      </c>
      <c r="AS6" t="s">
        <v>72</v>
      </c>
      <c r="BA6" s="1" t="s">
        <v>99</v>
      </c>
      <c r="BB6" t="s">
        <v>98</v>
      </c>
      <c r="BC6" t="s">
        <v>68</v>
      </c>
      <c r="BD6" t="s">
        <v>72</v>
      </c>
      <c r="BL6" s="1" t="s">
        <v>1</v>
      </c>
      <c r="BM6" t="s">
        <v>43</v>
      </c>
    </row>
    <row r="7" spans="2:81">
      <c r="B7" s="2" t="s">
        <v>35</v>
      </c>
      <c r="C7" s="26">
        <v>237</v>
      </c>
      <c r="D7" s="26">
        <v>237</v>
      </c>
      <c r="E7" s="26">
        <v>1</v>
      </c>
      <c r="I7" s="2" t="s">
        <v>61</v>
      </c>
      <c r="J7">
        <v>63</v>
      </c>
      <c r="K7">
        <v>12</v>
      </c>
      <c r="L7" s="3">
        <v>0.19047619047619047</v>
      </c>
      <c r="V7" s="2" t="s">
        <v>43</v>
      </c>
      <c r="W7" s="6">
        <v>1054</v>
      </c>
      <c r="X7">
        <v>110</v>
      </c>
      <c r="Y7" s="3">
        <v>0.10436432637571158</v>
      </c>
      <c r="AF7" s="2" t="s">
        <v>116</v>
      </c>
      <c r="AG7">
        <v>546</v>
      </c>
      <c r="AH7">
        <v>60</v>
      </c>
      <c r="AI7" s="3">
        <v>0.10989010989010989</v>
      </c>
      <c r="AP7" s="2" t="s">
        <v>90</v>
      </c>
      <c r="AQ7">
        <v>97</v>
      </c>
      <c r="AR7">
        <v>38</v>
      </c>
      <c r="AS7" s="3">
        <v>0.39175257731958762</v>
      </c>
      <c r="BA7" s="2" t="s">
        <v>110</v>
      </c>
      <c r="BB7">
        <v>459</v>
      </c>
      <c r="BC7">
        <v>52</v>
      </c>
      <c r="BD7" s="3">
        <v>0.11328976034858387</v>
      </c>
    </row>
    <row r="8" spans="2:81">
      <c r="B8" s="2" t="s">
        <v>64</v>
      </c>
      <c r="C8" s="6">
        <v>1470</v>
      </c>
      <c r="D8" s="26">
        <v>237</v>
      </c>
      <c r="E8" s="3">
        <v>0.16122448979591836</v>
      </c>
      <c r="I8" s="2" t="s">
        <v>45</v>
      </c>
      <c r="J8">
        <v>961</v>
      </c>
      <c r="K8">
        <v>133</v>
      </c>
      <c r="L8" s="3">
        <v>0.13839750260145681</v>
      </c>
      <c r="V8" s="2" t="s">
        <v>35</v>
      </c>
      <c r="W8" s="6">
        <v>416</v>
      </c>
      <c r="X8">
        <v>127</v>
      </c>
      <c r="Y8" s="3">
        <v>0.30528846153846156</v>
      </c>
      <c r="AF8" s="2" t="s">
        <v>114</v>
      </c>
      <c r="AG8">
        <v>543</v>
      </c>
      <c r="AH8">
        <v>137</v>
      </c>
      <c r="AI8" s="3">
        <v>0.25230202578268879</v>
      </c>
      <c r="AP8" s="2" t="s">
        <v>91</v>
      </c>
      <c r="AQ8">
        <v>554</v>
      </c>
      <c r="AR8">
        <v>112</v>
      </c>
      <c r="AS8" s="3">
        <v>0.20216606498194944</v>
      </c>
      <c r="BA8" s="2" t="s">
        <v>111</v>
      </c>
      <c r="BB8">
        <v>280</v>
      </c>
      <c r="BC8">
        <v>46</v>
      </c>
      <c r="BD8" s="3">
        <v>0.16428571428571428</v>
      </c>
      <c r="BL8" s="1" t="s">
        <v>104</v>
      </c>
      <c r="BM8" t="s">
        <v>103</v>
      </c>
    </row>
    <row r="9" spans="2:81">
      <c r="I9" s="2" t="s">
        <v>37</v>
      </c>
      <c r="J9">
        <v>446</v>
      </c>
      <c r="K9">
        <v>92</v>
      </c>
      <c r="L9" s="3">
        <v>0.20627802690582961</v>
      </c>
      <c r="V9" s="2" t="s">
        <v>64</v>
      </c>
      <c r="W9" s="6">
        <v>1470</v>
      </c>
      <c r="X9">
        <v>237</v>
      </c>
      <c r="Y9" s="3">
        <v>0.16122448979591836</v>
      </c>
      <c r="AF9" s="2" t="s">
        <v>115</v>
      </c>
      <c r="AG9">
        <v>186</v>
      </c>
      <c r="AH9">
        <v>29</v>
      </c>
      <c r="AI9" s="3">
        <v>0.15591397849462366</v>
      </c>
      <c r="AP9" s="2" t="s">
        <v>92</v>
      </c>
      <c r="AQ9">
        <v>505</v>
      </c>
      <c r="AR9">
        <v>51</v>
      </c>
      <c r="AS9" s="3">
        <v>0.100990099009901</v>
      </c>
      <c r="BA9" s="2" t="s">
        <v>112</v>
      </c>
      <c r="BB9">
        <v>442</v>
      </c>
      <c r="BC9">
        <v>73</v>
      </c>
      <c r="BD9" s="3">
        <v>0.16515837104072398</v>
      </c>
      <c r="BL9" s="2" t="s">
        <v>86</v>
      </c>
      <c r="BM9" s="26">
        <v>612</v>
      </c>
      <c r="BO9" t="s">
        <v>86</v>
      </c>
      <c r="BP9">
        <f>IFERROR(GETPIVOTDATA("EmployeeNumber",$BL$8,"Attrition_Risk_Level","Low"),0)</f>
        <v>612</v>
      </c>
      <c r="BQ9" t="str">
        <f>IF(BP9=0,"",BO9&amp;" "&amp;BP9&amp;" ("&amp;TEXT(IFERROR(BP9/$BP$12,0),"0.0%")&amp;")")</f>
        <v>Low 612 (49.6%)</v>
      </c>
    </row>
    <row r="10" spans="2:81">
      <c r="I10" s="2" t="s">
        <v>64</v>
      </c>
      <c r="J10">
        <v>1470</v>
      </c>
      <c r="K10">
        <v>237</v>
      </c>
      <c r="L10" s="3">
        <v>0.16122448979591836</v>
      </c>
      <c r="AF10" s="2" t="s">
        <v>117</v>
      </c>
      <c r="AG10">
        <v>69</v>
      </c>
      <c r="AH10">
        <v>6</v>
      </c>
      <c r="AI10" s="3">
        <v>8.6956521739130432E-2</v>
      </c>
      <c r="AP10" s="2" t="s">
        <v>93</v>
      </c>
      <c r="AQ10">
        <v>245</v>
      </c>
      <c r="AR10">
        <v>25</v>
      </c>
      <c r="AS10" s="3">
        <v>0.10204081632653061</v>
      </c>
      <c r="BA10" s="2" t="s">
        <v>113</v>
      </c>
      <c r="BB10">
        <v>289</v>
      </c>
      <c r="BC10">
        <v>66</v>
      </c>
      <c r="BD10" s="3">
        <v>0.22837370242214533</v>
      </c>
      <c r="BL10" s="2" t="s">
        <v>102</v>
      </c>
      <c r="BM10" s="26">
        <v>553</v>
      </c>
      <c r="BO10" t="s">
        <v>102</v>
      </c>
      <c r="BP10">
        <f>IFERROR(GETPIVOTDATA("EmployeeNumber",$BL$8,"Attrition_Risk_Level","Medium"),0)</f>
        <v>553</v>
      </c>
      <c r="BQ10" t="str">
        <f t="shared" ref="BQ10:BQ11" si="0">IF(BP10=0,"",BO10&amp;" "&amp;BP10&amp;" ("&amp;TEXT(IFERROR(BP10/$BP$12,0),"0.0%")&amp;")")</f>
        <v>Medium 553 (44.8%)</v>
      </c>
    </row>
    <row r="11" spans="2:81">
      <c r="B11" s="1" t="s">
        <v>70</v>
      </c>
      <c r="C11" t="s">
        <v>73</v>
      </c>
      <c r="AF11" s="2" t="s">
        <v>118</v>
      </c>
      <c r="AG11">
        <v>126</v>
      </c>
      <c r="AH11">
        <v>5</v>
      </c>
      <c r="AI11" s="3">
        <v>3.968253968253968E-2</v>
      </c>
      <c r="AP11" s="2" t="s">
        <v>94</v>
      </c>
      <c r="AQ11">
        <v>69</v>
      </c>
      <c r="AR11">
        <v>11</v>
      </c>
      <c r="AS11" s="3">
        <v>0.15942028985507245</v>
      </c>
      <c r="BA11" s="2" t="s">
        <v>64</v>
      </c>
      <c r="BB11">
        <v>1470</v>
      </c>
      <c r="BC11">
        <v>237</v>
      </c>
      <c r="BD11" s="3">
        <v>0.16122448979591836</v>
      </c>
      <c r="BL11" s="2" t="s">
        <v>85</v>
      </c>
      <c r="BM11" s="26">
        <v>68</v>
      </c>
      <c r="BO11" t="s">
        <v>85</v>
      </c>
      <c r="BP11">
        <f>IFERROR(GETPIVOTDATA("EmployeeNumber",$BL$8,"Attrition_Risk_Level","High"),0)</f>
        <v>68</v>
      </c>
      <c r="BQ11" t="str">
        <f t="shared" si="0"/>
        <v>High 68 (5.5%)</v>
      </c>
    </row>
    <row r="12" spans="2:81">
      <c r="B12" s="2" t="s">
        <v>43</v>
      </c>
      <c r="C12" s="6">
        <v>1233</v>
      </c>
      <c r="V12" s="1" t="s">
        <v>63</v>
      </c>
      <c r="W12" t="s">
        <v>67</v>
      </c>
      <c r="AF12" s="2" t="s">
        <v>64</v>
      </c>
      <c r="AG12">
        <v>1470</v>
      </c>
      <c r="AH12">
        <v>237</v>
      </c>
      <c r="AI12" s="3">
        <v>0.16122448979591836</v>
      </c>
      <c r="AP12" s="2" t="s">
        <v>64</v>
      </c>
      <c r="AQ12">
        <v>1470</v>
      </c>
      <c r="AR12">
        <v>237</v>
      </c>
      <c r="AS12" s="3">
        <v>0.16122448979591836</v>
      </c>
      <c r="BL12" s="2" t="s">
        <v>64</v>
      </c>
      <c r="BM12" s="26">
        <v>1233</v>
      </c>
      <c r="BP12">
        <f>SUM(BP9:BP11)</f>
        <v>1233</v>
      </c>
    </row>
    <row r="13" spans="2:81">
      <c r="B13" s="2" t="s">
        <v>35</v>
      </c>
      <c r="C13">
        <v>237</v>
      </c>
      <c r="I13" s="1" t="s">
        <v>79</v>
      </c>
      <c r="J13" s="26" t="s">
        <v>68</v>
      </c>
      <c r="K13" t="s">
        <v>72</v>
      </c>
      <c r="V13" s="2" t="s">
        <v>43</v>
      </c>
      <c r="W13" s="3">
        <v>0.10436432637571158</v>
      </c>
    </row>
    <row r="14" spans="2:81">
      <c r="B14" s="2" t="s">
        <v>64</v>
      </c>
      <c r="C14">
        <v>1470</v>
      </c>
      <c r="I14" s="2" t="s">
        <v>45</v>
      </c>
      <c r="J14" s="26">
        <v>133</v>
      </c>
      <c r="K14" s="3">
        <v>0.13839750260145681</v>
      </c>
      <c r="V14" s="2" t="s">
        <v>35</v>
      </c>
      <c r="W14" s="3">
        <v>0.30528846153846156</v>
      </c>
      <c r="BA14" s="1" t="s">
        <v>99</v>
      </c>
      <c r="BB14" t="s">
        <v>72</v>
      </c>
    </row>
    <row r="15" spans="2:81">
      <c r="I15" s="2" t="s">
        <v>61</v>
      </c>
      <c r="J15" s="26">
        <v>12</v>
      </c>
      <c r="K15" s="3">
        <v>0.19047619047619047</v>
      </c>
      <c r="V15" s="2" t="s">
        <v>64</v>
      </c>
      <c r="W15" s="3">
        <v>0.16122448979591836</v>
      </c>
      <c r="AF15" s="1" t="s">
        <v>87</v>
      </c>
      <c r="AG15" t="s">
        <v>72</v>
      </c>
      <c r="AP15" s="1" t="s">
        <v>95</v>
      </c>
      <c r="AQ15" t="s">
        <v>72</v>
      </c>
      <c r="BA15" s="2" t="s">
        <v>113</v>
      </c>
      <c r="BB15" s="3">
        <v>0.22837370242214533</v>
      </c>
    </row>
    <row r="16" spans="2:81">
      <c r="I16" s="2" t="s">
        <v>37</v>
      </c>
      <c r="J16" s="26">
        <v>92</v>
      </c>
      <c r="K16" s="3">
        <v>0.20627802690582961</v>
      </c>
      <c r="AF16" s="2" t="s">
        <v>118</v>
      </c>
      <c r="AG16" s="3">
        <v>3.968253968253968E-2</v>
      </c>
      <c r="AP16" s="2" t="s">
        <v>90</v>
      </c>
      <c r="AQ16" s="3">
        <v>0.39175257731958762</v>
      </c>
      <c r="BA16" s="2" t="s">
        <v>112</v>
      </c>
      <c r="BB16" s="3">
        <v>0.16515837104072398</v>
      </c>
    </row>
    <row r="17" spans="2:68">
      <c r="I17" s="2" t="s">
        <v>64</v>
      </c>
      <c r="J17" s="26">
        <v>237</v>
      </c>
      <c r="K17" s="3">
        <v>0.16122448979591836</v>
      </c>
      <c r="AF17" s="2" t="s">
        <v>117</v>
      </c>
      <c r="AG17" s="3">
        <v>8.6956521739130432E-2</v>
      </c>
      <c r="AP17" s="2" t="s">
        <v>91</v>
      </c>
      <c r="AQ17" s="3">
        <v>0.20216606498194944</v>
      </c>
      <c r="BA17" s="2" t="s">
        <v>111</v>
      </c>
      <c r="BB17" s="3">
        <v>0.16428571428571428</v>
      </c>
      <c r="BO17" t="str">
        <f>"("&amp;TEXT(BP11/BP12,"0.0%")&amp;" of current)"</f>
        <v>(5.5% of current)</v>
      </c>
      <c r="BP17" s="10">
        <f>BP11/BP12</f>
        <v>5.5150040551500405E-2</v>
      </c>
    </row>
    <row r="18" spans="2:68">
      <c r="AF18" s="2" t="s">
        <v>116</v>
      </c>
      <c r="AG18" s="3">
        <v>0.10989010989010989</v>
      </c>
      <c r="AP18" s="2" t="s">
        <v>92</v>
      </c>
      <c r="AQ18" s="3">
        <v>0.100990099009901</v>
      </c>
      <c r="BA18" s="2" t="s">
        <v>110</v>
      </c>
      <c r="BB18" s="3">
        <v>0.11328976034858387</v>
      </c>
    </row>
    <row r="19" spans="2:68">
      <c r="AF19" s="2" t="s">
        <v>115</v>
      </c>
      <c r="AG19" s="3">
        <v>0.15591397849462366</v>
      </c>
      <c r="AP19" s="2" t="s">
        <v>93</v>
      </c>
      <c r="AQ19" s="3">
        <v>0.10204081632653061</v>
      </c>
      <c r="BA19" s="2" t="s">
        <v>64</v>
      </c>
      <c r="BB19" s="3">
        <v>0.16122448979591836</v>
      </c>
    </row>
    <row r="20" spans="2:68">
      <c r="AF20" s="2" t="s">
        <v>114</v>
      </c>
      <c r="AG20" s="3">
        <v>0.25230202578268879</v>
      </c>
      <c r="AP20" s="2" t="s">
        <v>94</v>
      </c>
      <c r="AQ20" s="3">
        <v>0.15942028985507245</v>
      </c>
    </row>
    <row r="21" spans="2:68">
      <c r="AF21" s="2" t="s">
        <v>64</v>
      </c>
      <c r="AG21" s="3">
        <v>0.16122448979591836</v>
      </c>
      <c r="AP21" s="2" t="s">
        <v>64</v>
      </c>
      <c r="AQ21" s="3">
        <v>0.16122448979591836</v>
      </c>
    </row>
    <row r="24" spans="2:68">
      <c r="C24" s="1" t="s">
        <v>63</v>
      </c>
      <c r="D24" t="s">
        <v>66</v>
      </c>
    </row>
    <row r="25" spans="2:68">
      <c r="C25" s="2" t="s">
        <v>43</v>
      </c>
      <c r="D25">
        <v>1233</v>
      </c>
    </row>
    <row r="26" spans="2:68">
      <c r="C26" s="2" t="s">
        <v>35</v>
      </c>
      <c r="D26">
        <v>237</v>
      </c>
    </row>
    <row r="27" spans="2:68">
      <c r="C27" s="2" t="s">
        <v>64</v>
      </c>
      <c r="D27">
        <v>1470</v>
      </c>
    </row>
    <row r="29" spans="2:68">
      <c r="B29" t="s">
        <v>140</v>
      </c>
      <c r="C29" t="s">
        <v>139</v>
      </c>
    </row>
    <row r="30" spans="2:68">
      <c r="B30" s="24">
        <v>36.923809523809524</v>
      </c>
      <c r="C30" s="25">
        <v>6502.931292517007</v>
      </c>
    </row>
    <row r="31" spans="2:68">
      <c r="I31" s="8" t="s">
        <v>121</v>
      </c>
    </row>
    <row r="33" spans="2:32">
      <c r="I33" s="5" t="s">
        <v>75</v>
      </c>
    </row>
    <row r="34" spans="2:32">
      <c r="B34" s="11" t="s">
        <v>128</v>
      </c>
      <c r="C34" s="13" t="s">
        <v>129</v>
      </c>
      <c r="I34" s="1" t="s">
        <v>78</v>
      </c>
      <c r="J34" t="s">
        <v>73</v>
      </c>
      <c r="K34" t="s">
        <v>74</v>
      </c>
      <c r="L34" t="s">
        <v>72</v>
      </c>
    </row>
    <row r="35" spans="2:32">
      <c r="B35" s="14" t="s">
        <v>130</v>
      </c>
      <c r="C35" s="12" t="s">
        <v>131</v>
      </c>
      <c r="I35" s="2" t="s">
        <v>54</v>
      </c>
      <c r="J35">
        <v>131</v>
      </c>
      <c r="K35">
        <v>9</v>
      </c>
      <c r="L35" s="3">
        <v>6.8702290076335881E-2</v>
      </c>
    </row>
    <row r="36" spans="2:32">
      <c r="B36" s="14" t="s">
        <v>1</v>
      </c>
      <c r="C36" s="16">
        <f>E8</f>
        <v>0.16122448979591836</v>
      </c>
      <c r="I36" s="2" t="s">
        <v>61</v>
      </c>
      <c r="J36">
        <v>52</v>
      </c>
      <c r="K36">
        <v>12</v>
      </c>
      <c r="L36" s="3">
        <v>0.23076923076923078</v>
      </c>
    </row>
    <row r="37" spans="2:32">
      <c r="B37" s="14" t="s">
        <v>132</v>
      </c>
      <c r="C37" s="17">
        <f>40%-E8</f>
        <v>0.23877551020408166</v>
      </c>
      <c r="I37" s="2" t="s">
        <v>50</v>
      </c>
      <c r="J37">
        <v>259</v>
      </c>
      <c r="K37">
        <v>62</v>
      </c>
      <c r="L37" s="3">
        <v>0.23938223938223938</v>
      </c>
    </row>
    <row r="38" spans="2:32">
      <c r="B38" s="14" t="s">
        <v>133</v>
      </c>
      <c r="C38" s="15">
        <f>40%</f>
        <v>0.4</v>
      </c>
      <c r="I38" s="2" t="s">
        <v>56</v>
      </c>
      <c r="J38">
        <v>102</v>
      </c>
      <c r="K38">
        <v>5</v>
      </c>
      <c r="L38" s="3">
        <v>4.9019607843137254E-2</v>
      </c>
    </row>
    <row r="39" spans="2:32">
      <c r="I39" s="2" t="s">
        <v>53</v>
      </c>
      <c r="J39">
        <v>145</v>
      </c>
      <c r="K39">
        <v>10</v>
      </c>
      <c r="L39" s="3">
        <v>6.8965517241379309E-2</v>
      </c>
      <c r="V39" s="1" t="s">
        <v>63</v>
      </c>
      <c r="W39" t="s">
        <v>65</v>
      </c>
    </row>
    <row r="40" spans="2:32">
      <c r="I40" s="2" t="s">
        <v>58</v>
      </c>
      <c r="J40">
        <v>80</v>
      </c>
      <c r="K40">
        <v>2</v>
      </c>
      <c r="L40" s="3">
        <v>2.5000000000000001E-2</v>
      </c>
      <c r="V40" s="2" t="s">
        <v>43</v>
      </c>
      <c r="W40">
        <v>1089787</v>
      </c>
      <c r="AF40">
        <f>MIN(HRData[MonthlyIncome])</f>
        <v>1009</v>
      </c>
    </row>
    <row r="41" spans="2:32">
      <c r="I41" s="2" t="s">
        <v>47</v>
      </c>
      <c r="J41">
        <v>292</v>
      </c>
      <c r="K41">
        <v>47</v>
      </c>
      <c r="L41" s="3">
        <v>0.16095890410958905</v>
      </c>
      <c r="V41" s="2" t="s">
        <v>35</v>
      </c>
      <c r="W41">
        <v>416765</v>
      </c>
      <c r="AF41">
        <f>MAX(HRData[MonthlyIncome])</f>
        <v>19999</v>
      </c>
    </row>
    <row r="42" spans="2:32">
      <c r="I42" s="2" t="s">
        <v>40</v>
      </c>
      <c r="J42">
        <v>326</v>
      </c>
      <c r="K42">
        <v>57</v>
      </c>
      <c r="L42" s="3">
        <v>0.17484662576687116</v>
      </c>
      <c r="V42" s="2" t="s">
        <v>64</v>
      </c>
      <c r="W42">
        <v>1506552</v>
      </c>
      <c r="AF42" t="s">
        <v>105</v>
      </c>
    </row>
    <row r="43" spans="2:32">
      <c r="I43" s="2" t="s">
        <v>57</v>
      </c>
      <c r="J43">
        <v>83</v>
      </c>
      <c r="K43">
        <v>33</v>
      </c>
      <c r="L43" s="3">
        <v>0.39759036144578314</v>
      </c>
      <c r="AF43" t="s">
        <v>106</v>
      </c>
    </row>
    <row r="44" spans="2:32">
      <c r="I44" s="2" t="s">
        <v>64</v>
      </c>
      <c r="J44">
        <v>1470</v>
      </c>
      <c r="K44">
        <v>237</v>
      </c>
      <c r="L44" s="3">
        <v>0.16122448979591836</v>
      </c>
      <c r="AF44" t="s">
        <v>107</v>
      </c>
    </row>
    <row r="45" spans="2:32">
      <c r="AF45" t="s">
        <v>108</v>
      </c>
    </row>
    <row r="46" spans="2:32">
      <c r="AF46" t="s">
        <v>109</v>
      </c>
    </row>
    <row r="47" spans="2:32">
      <c r="I47" s="1" t="s">
        <v>78</v>
      </c>
      <c r="J47" t="s">
        <v>72</v>
      </c>
    </row>
    <row r="48" spans="2:32">
      <c r="I48" s="2" t="s">
        <v>58</v>
      </c>
      <c r="J48" s="3">
        <v>2.5000000000000001E-2</v>
      </c>
    </row>
    <row r="49" spans="2:67">
      <c r="I49" s="2" t="s">
        <v>56</v>
      </c>
      <c r="J49" s="3">
        <v>4.9019607843137254E-2</v>
      </c>
    </row>
    <row r="50" spans="2:67">
      <c r="I50" s="2" t="s">
        <v>54</v>
      </c>
      <c r="J50" s="3">
        <v>6.8702290076335881E-2</v>
      </c>
    </row>
    <row r="51" spans="2:67">
      <c r="I51" s="2" t="s">
        <v>53</v>
      </c>
      <c r="J51" s="3">
        <v>6.8965517241379309E-2</v>
      </c>
    </row>
    <row r="52" spans="2:67">
      <c r="I52" s="2" t="s">
        <v>47</v>
      </c>
      <c r="J52" s="3">
        <v>0.16095890410958905</v>
      </c>
    </row>
    <row r="53" spans="2:67">
      <c r="I53" s="2" t="s">
        <v>40</v>
      </c>
      <c r="J53" s="3">
        <v>0.17484662576687116</v>
      </c>
    </row>
    <row r="54" spans="2:67">
      <c r="I54" s="2" t="s">
        <v>61</v>
      </c>
      <c r="J54" s="3">
        <v>0.23076923076923078</v>
      </c>
    </row>
    <row r="55" spans="2:67">
      <c r="I55" s="2" t="s">
        <v>50</v>
      </c>
      <c r="J55" s="3">
        <v>0.23938223938223938</v>
      </c>
    </row>
    <row r="56" spans="2:67">
      <c r="I56" s="2" t="s">
        <v>57</v>
      </c>
      <c r="J56" s="3">
        <v>0.39759036144578314</v>
      </c>
    </row>
    <row r="57" spans="2:67">
      <c r="I57" s="2" t="s">
        <v>64</v>
      </c>
      <c r="J57" s="3">
        <v>0.16122448979591836</v>
      </c>
    </row>
    <row r="58" spans="2:67">
      <c r="B58">
        <f>MAX(HRData[PercentSalaryHike])</f>
        <v>25</v>
      </c>
    </row>
    <row r="59" spans="2:67">
      <c r="B59">
        <f>MIN(HRData[PercentSalaryHike])</f>
        <v>11</v>
      </c>
    </row>
    <row r="62" spans="2:67">
      <c r="BN62" s="1" t="s">
        <v>1</v>
      </c>
      <c r="BO62" t="s">
        <v>43</v>
      </c>
    </row>
    <row r="63" spans="2:67">
      <c r="BN63" s="1" t="s">
        <v>101</v>
      </c>
      <c r="BO63" t="s">
        <v>85</v>
      </c>
    </row>
    <row r="65" spans="66:74">
      <c r="BN65" s="18" t="s">
        <v>9</v>
      </c>
      <c r="BO65" s="27" t="s">
        <v>15</v>
      </c>
      <c r="BP65" s="18" t="s">
        <v>4</v>
      </c>
      <c r="BQ65" s="18" t="s">
        <v>22</v>
      </c>
      <c r="BR65" s="18" t="s">
        <v>84</v>
      </c>
      <c r="BS65" s="20" t="s">
        <v>0</v>
      </c>
      <c r="BT65" s="18" t="s">
        <v>31</v>
      </c>
      <c r="BU65" s="19" t="s">
        <v>134</v>
      </c>
      <c r="BV65" s="22" t="s">
        <v>138</v>
      </c>
    </row>
    <row r="66" spans="66:74">
      <c r="BN66" s="21">
        <v>2021</v>
      </c>
      <c r="BO66" t="s">
        <v>57</v>
      </c>
      <c r="BP66" t="s">
        <v>37</v>
      </c>
      <c r="BQ66" s="21" t="s">
        <v>35</v>
      </c>
      <c r="BR66" t="s">
        <v>114</v>
      </c>
      <c r="BS66" s="21">
        <v>21</v>
      </c>
      <c r="BT66" s="21">
        <v>2</v>
      </c>
      <c r="BU66" s="28">
        <v>10</v>
      </c>
      <c r="BV66" s="28">
        <v>97979</v>
      </c>
    </row>
    <row r="67" spans="66:74">
      <c r="BN67" s="21">
        <v>113</v>
      </c>
      <c r="BO67" t="s">
        <v>57</v>
      </c>
      <c r="BP67" t="s">
        <v>37</v>
      </c>
      <c r="BQ67" s="21" t="s">
        <v>43</v>
      </c>
      <c r="BR67" t="s">
        <v>114</v>
      </c>
      <c r="BS67" s="21">
        <v>23</v>
      </c>
      <c r="BT67" s="21">
        <v>0</v>
      </c>
      <c r="BU67" s="28">
        <v>8</v>
      </c>
      <c r="BV67" s="28">
        <v>79887</v>
      </c>
    </row>
    <row r="68" spans="66:74">
      <c r="BN68" s="21">
        <v>1680</v>
      </c>
      <c r="BO68" t="s">
        <v>57</v>
      </c>
      <c r="BP68" t="s">
        <v>37</v>
      </c>
      <c r="BQ68" s="21" t="s">
        <v>43</v>
      </c>
      <c r="BR68" t="s">
        <v>114</v>
      </c>
      <c r="BS68" s="21">
        <v>20</v>
      </c>
      <c r="BT68" s="21">
        <v>2</v>
      </c>
      <c r="BU68" s="28">
        <v>8</v>
      </c>
      <c r="BV68" s="28">
        <v>78320</v>
      </c>
    </row>
    <row r="69" spans="66:74">
      <c r="BN69" s="21">
        <v>10</v>
      </c>
      <c r="BO69" t="s">
        <v>50</v>
      </c>
      <c r="BP69" t="s">
        <v>45</v>
      </c>
      <c r="BQ69" s="21" t="s">
        <v>35</v>
      </c>
      <c r="BR69" t="s">
        <v>114</v>
      </c>
      <c r="BS69" s="21">
        <v>59</v>
      </c>
      <c r="BT69" s="21">
        <v>1</v>
      </c>
      <c r="BU69" s="28">
        <v>7</v>
      </c>
      <c r="BV69" s="28">
        <v>69990</v>
      </c>
    </row>
    <row r="70" spans="66:74">
      <c r="BN70" s="21">
        <v>22</v>
      </c>
      <c r="BO70" t="s">
        <v>50</v>
      </c>
      <c r="BP70" t="s">
        <v>45</v>
      </c>
      <c r="BQ70" s="21" t="s">
        <v>35</v>
      </c>
      <c r="BR70" t="s">
        <v>114</v>
      </c>
      <c r="BS70" s="21">
        <v>22</v>
      </c>
      <c r="BT70" s="21">
        <v>1</v>
      </c>
      <c r="BU70" s="28">
        <v>7</v>
      </c>
      <c r="BV70" s="28">
        <v>69978</v>
      </c>
    </row>
    <row r="71" spans="66:74">
      <c r="BN71" s="21">
        <v>351</v>
      </c>
      <c r="BO71" t="s">
        <v>50</v>
      </c>
      <c r="BP71" t="s">
        <v>45</v>
      </c>
      <c r="BQ71" t="s">
        <v>35</v>
      </c>
      <c r="BR71" t="s">
        <v>114</v>
      </c>
      <c r="BS71" s="21">
        <v>42</v>
      </c>
      <c r="BT71" s="21">
        <v>9</v>
      </c>
      <c r="BU71" s="28">
        <v>7</v>
      </c>
      <c r="BV71" s="28">
        <v>69649</v>
      </c>
    </row>
    <row r="72" spans="66:74">
      <c r="BN72" s="21">
        <v>666</v>
      </c>
      <c r="BO72" t="s">
        <v>57</v>
      </c>
      <c r="BP72" t="s">
        <v>37</v>
      </c>
      <c r="BQ72" s="21" t="s">
        <v>35</v>
      </c>
      <c r="BR72" t="s">
        <v>114</v>
      </c>
      <c r="BS72" s="21">
        <v>34</v>
      </c>
      <c r="BT72" s="21">
        <v>8</v>
      </c>
      <c r="BU72" s="28">
        <v>7</v>
      </c>
      <c r="BV72" s="28">
        <v>69334</v>
      </c>
    </row>
    <row r="73" spans="66:74">
      <c r="BN73" s="21">
        <v>758</v>
      </c>
      <c r="BO73" t="s">
        <v>50</v>
      </c>
      <c r="BP73" t="s">
        <v>45</v>
      </c>
      <c r="BQ73" s="21" t="s">
        <v>43</v>
      </c>
      <c r="BR73" t="s">
        <v>114</v>
      </c>
      <c r="BS73" s="21">
        <v>23</v>
      </c>
      <c r="BT73" s="21">
        <v>4</v>
      </c>
      <c r="BU73" s="28">
        <v>7</v>
      </c>
      <c r="BV73" s="28">
        <v>69242</v>
      </c>
    </row>
    <row r="74" spans="66:74">
      <c r="BN74" s="21">
        <v>939</v>
      </c>
      <c r="BO74" t="s">
        <v>47</v>
      </c>
      <c r="BP74" t="s">
        <v>45</v>
      </c>
      <c r="BQ74" t="s">
        <v>35</v>
      </c>
      <c r="BR74" t="s">
        <v>114</v>
      </c>
      <c r="BS74" s="21">
        <v>33</v>
      </c>
      <c r="BT74" s="21">
        <v>3</v>
      </c>
      <c r="BU74" s="28">
        <v>7</v>
      </c>
      <c r="BV74" s="28">
        <v>69061</v>
      </c>
    </row>
    <row r="75" spans="66:74">
      <c r="BN75" s="21">
        <v>1002</v>
      </c>
      <c r="BO75" t="s">
        <v>50</v>
      </c>
      <c r="BP75" t="s">
        <v>45</v>
      </c>
      <c r="BQ75" s="21" t="s">
        <v>35</v>
      </c>
      <c r="BR75" t="s">
        <v>114</v>
      </c>
      <c r="BS75" s="21">
        <v>45</v>
      </c>
      <c r="BT75" s="21">
        <v>9</v>
      </c>
      <c r="BU75" s="28">
        <v>7</v>
      </c>
      <c r="BV75" s="28">
        <v>68998</v>
      </c>
    </row>
  </sheetData>
  <pageMargins left="0.7" right="0.7" top="0.75" bottom="0.75" header="0.3" footer="0.3"/>
  <drawing r:id="rId2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25C6E-35D5-4E42-9C7A-EFFACC2319B1}">
  <sheetPr>
    <pageSetUpPr autoPageBreaks="0"/>
  </sheetPr>
  <dimension ref="E8"/>
  <sheetViews>
    <sheetView showGridLines="0" tabSelected="1" zoomScale="73" zoomScaleNormal="73" workbookViewId="0">
      <selection activeCell="L23" sqref="L23"/>
    </sheetView>
  </sheetViews>
  <sheetFormatPr defaultRowHeight="14.5"/>
  <sheetData>
    <row r="8" spans="5:5">
      <c r="E8" s="9"/>
    </row>
  </sheetData>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6EB35-5245-4598-BDB3-9EFBD47E5966}">
  <dimension ref="K12"/>
  <sheetViews>
    <sheetView showGridLines="0" workbookViewId="0">
      <selection activeCell="L9" sqref="L9"/>
    </sheetView>
  </sheetViews>
  <sheetFormatPr defaultRowHeight="14.5"/>
  <sheetData>
    <row r="12" spans="11:11">
      <c r="K12">
        <f>GETPIVOTDATA("EmployeeCount",Pivots!$B$11)</f>
        <v>1470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Pivots</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Joshua Oleru</cp:lastModifiedBy>
  <dcterms:created xsi:type="dcterms:W3CDTF">2026-08-14T17:04:12Z</dcterms:created>
  <dcterms:modified xsi:type="dcterms:W3CDTF">2026-08-23T16:59:50Z</dcterms:modified>
</cp:coreProperties>
</file>